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fonsus Vega\Documents\GitHub\sinerco\app\templates\"/>
    </mc:Choice>
  </mc:AlternateContent>
  <xr:revisionPtr revIDLastSave="0" documentId="13_ncr:1_{C9C14BE8-E124-470E-AF90-96EF30D66ACD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Rekap Inv" sheetId="8" r:id="rId1"/>
    <sheet name="4060 2" sheetId="6" state="hidden" r:id="rId2"/>
    <sheet name="7113" sheetId="9" state="hidden" r:id="rId3"/>
    <sheet name="7116" sheetId="10" r:id="rId4"/>
  </sheets>
  <definedNames>
    <definedName name="_xlnm._FilterDatabase" localSheetId="1" hidden="1">'4060 2'!$R$1:$R$478</definedName>
    <definedName name="_xlnm.Print_Area" localSheetId="2">'7113'!$A$1:$T$37</definedName>
    <definedName name="_xlnm.Print_Area" localSheetId="3">'7116'!$A$1:$T$37</definedName>
    <definedName name="_xlnm.Print_Area" localSheetId="0">'Rekap Inv'!$A$1:$E$16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0" l="1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F23" i="10" s="1"/>
  <c r="G24" i="10"/>
  <c r="F24" i="10" s="1"/>
  <c r="G25" i="10"/>
  <c r="F25" i="10" s="1"/>
  <c r="G26" i="10"/>
  <c r="F26" i="10" s="1"/>
  <c r="G27" i="10"/>
  <c r="F27" i="10" s="1"/>
  <c r="G28" i="10"/>
  <c r="F28" i="10" s="1"/>
  <c r="G29" i="10"/>
  <c r="F29" i="10" s="1"/>
  <c r="G30" i="10"/>
  <c r="F30" i="10" s="1"/>
  <c r="G31" i="10"/>
  <c r="F31" i="10" s="1"/>
  <c r="G32" i="10"/>
  <c r="F32" i="10" s="1"/>
  <c r="G33" i="10"/>
  <c r="F33" i="10" s="1"/>
  <c r="G34" i="10"/>
  <c r="F34" i="10" s="1"/>
  <c r="G35" i="10"/>
  <c r="F35" i="10" s="1"/>
  <c r="G36" i="10"/>
  <c r="F36" i="10" s="1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R7" i="10"/>
  <c r="R8" i="10"/>
  <c r="R9" i="10"/>
  <c r="R10" i="10"/>
  <c r="R11" i="10"/>
  <c r="R12" i="10"/>
  <c r="R13" i="10"/>
  <c r="R14" i="10"/>
  <c r="R15" i="10"/>
  <c r="R16" i="10"/>
  <c r="R17" i="10"/>
  <c r="S17" i="10" s="1"/>
  <c r="R18" i="10"/>
  <c r="S18" i="10" s="1"/>
  <c r="R19" i="10"/>
  <c r="S19" i="10" s="1"/>
  <c r="R20" i="10"/>
  <c r="S20" i="10" s="1"/>
  <c r="R21" i="10"/>
  <c r="S21" i="10" s="1"/>
  <c r="R22" i="10"/>
  <c r="S22" i="10" s="1"/>
  <c r="R23" i="10"/>
  <c r="S23" i="10" s="1"/>
  <c r="R24" i="10"/>
  <c r="S24" i="10" s="1"/>
  <c r="R25" i="10"/>
  <c r="S25" i="10" s="1"/>
  <c r="R26" i="10"/>
  <c r="S26" i="10" s="1"/>
  <c r="R27" i="10"/>
  <c r="S27" i="10" s="1"/>
  <c r="R28" i="10"/>
  <c r="S28" i="10" s="1"/>
  <c r="R29" i="10"/>
  <c r="S29" i="10" s="1"/>
  <c r="R30" i="10"/>
  <c r="S30" i="10" s="1"/>
  <c r="R31" i="10"/>
  <c r="S31" i="10" s="1"/>
  <c r="R32" i="10"/>
  <c r="S32" i="10" s="1"/>
  <c r="R33" i="10"/>
  <c r="S33" i="10" s="1"/>
  <c r="R34" i="10"/>
  <c r="S34" i="10" s="1"/>
  <c r="R35" i="10"/>
  <c r="S35" i="10" s="1"/>
  <c r="R36" i="10"/>
  <c r="S36" i="10" s="1"/>
  <c r="S7" i="10"/>
  <c r="S8" i="10"/>
  <c r="S9" i="10"/>
  <c r="S10" i="10"/>
  <c r="S11" i="10"/>
  <c r="S12" i="10"/>
  <c r="S13" i="10"/>
  <c r="S14" i="10"/>
  <c r="S15" i="10"/>
  <c r="S1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G6" i="9"/>
  <c r="F6" i="9" s="1"/>
  <c r="G7" i="9"/>
  <c r="F7" i="9" s="1"/>
  <c r="G8" i="9"/>
  <c r="F8" i="9" s="1"/>
  <c r="G9" i="9"/>
  <c r="F9" i="9" s="1"/>
  <c r="G10" i="9"/>
  <c r="F10" i="9" s="1"/>
  <c r="G11" i="9"/>
  <c r="F11" i="9" s="1"/>
  <c r="G12" i="9"/>
  <c r="F12" i="9" s="1"/>
  <c r="G13" i="9"/>
  <c r="F13" i="9" s="1"/>
  <c r="G14" i="9"/>
  <c r="F14" i="9" s="1"/>
  <c r="G15" i="9"/>
  <c r="F15" i="9" s="1"/>
  <c r="G16" i="9"/>
  <c r="F16" i="9" s="1"/>
  <c r="G17" i="9"/>
  <c r="F17" i="9" s="1"/>
  <c r="G18" i="9"/>
  <c r="F18" i="9" s="1"/>
  <c r="G19" i="9"/>
  <c r="F19" i="9" s="1"/>
  <c r="G20" i="9"/>
  <c r="F20" i="9" s="1"/>
  <c r="G21" i="9"/>
  <c r="F21" i="9" s="1"/>
  <c r="G22" i="9"/>
  <c r="F22" i="9" s="1"/>
  <c r="G23" i="9"/>
  <c r="F23" i="9" s="1"/>
  <c r="G24" i="9"/>
  <c r="F24" i="9" s="1"/>
  <c r="G25" i="9"/>
  <c r="F25" i="9" s="1"/>
  <c r="G26" i="9"/>
  <c r="F26" i="9" s="1"/>
  <c r="G27" i="9"/>
  <c r="F27" i="9" s="1"/>
  <c r="G28" i="9"/>
  <c r="F28" i="9" s="1"/>
  <c r="G29" i="9"/>
  <c r="F29" i="9" s="1"/>
  <c r="G30" i="9"/>
  <c r="F30" i="9" s="1"/>
  <c r="G31" i="9"/>
  <c r="F31" i="9" s="1"/>
  <c r="G32" i="9"/>
  <c r="F32" i="9" s="1"/>
  <c r="G33" i="9"/>
  <c r="F33" i="9" s="1"/>
  <c r="G34" i="9"/>
  <c r="F34" i="9" s="1"/>
  <c r="G35" i="9"/>
  <c r="F35" i="9" s="1"/>
  <c r="G36" i="9"/>
  <c r="F36" i="9" s="1"/>
  <c r="A5" i="8"/>
  <c r="M37" i="10" l="1"/>
  <c r="L37" i="10"/>
  <c r="K37" i="10"/>
  <c r="J37" i="10"/>
  <c r="E37" i="10"/>
  <c r="R6" i="10"/>
  <c r="Q6" i="10"/>
  <c r="P6" i="10"/>
  <c r="O6" i="10"/>
  <c r="G6" i="10"/>
  <c r="F6" i="10" s="1"/>
  <c r="W3" i="10"/>
  <c r="W2" i="10"/>
  <c r="S6" i="10" l="1"/>
  <c r="Q37" i="10"/>
  <c r="P37" i="10"/>
  <c r="R37" i="10"/>
  <c r="S37" i="10" l="1"/>
  <c r="D5" i="8" s="1"/>
  <c r="P37" i="9" l="1"/>
  <c r="R37" i="9"/>
  <c r="Q37" i="9"/>
  <c r="A6" i="9" l="1"/>
  <c r="W2" i="9"/>
  <c r="W3" i="9"/>
  <c r="A1" i="8"/>
  <c r="O35" i="9"/>
  <c r="S6" i="9" l="1"/>
  <c r="S10" i="9"/>
  <c r="S9" i="9"/>
  <c r="S8" i="9"/>
  <c r="S11" i="9"/>
  <c r="S7" i="9"/>
  <c r="S22" i="9"/>
  <c r="S13" i="9"/>
  <c r="S12" i="9"/>
  <c r="S15" i="9"/>
  <c r="S14" i="9"/>
  <c r="S16" i="9"/>
  <c r="S19" i="9"/>
  <c r="S18" i="9"/>
  <c r="S21" i="9"/>
  <c r="S20" i="9"/>
  <c r="S1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O34" i="9" l="1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O36" i="9"/>
  <c r="A35" i="9" l="1"/>
  <c r="A36" i="9" s="1"/>
  <c r="O33" i="9" l="1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M37" i="9" l="1"/>
  <c r="L37" i="9"/>
  <c r="K37" i="9"/>
  <c r="J37" i="9" l="1"/>
  <c r="E37" i="9"/>
  <c r="S37" i="9" l="1"/>
  <c r="D6" i="8" s="1"/>
  <c r="L307" i="6" l="1"/>
  <c r="N309" i="6" s="1"/>
  <c r="O309" i="6" s="1"/>
  <c r="K307" i="6"/>
  <c r="L311" i="6" s="1"/>
  <c r="L297" i="6"/>
  <c r="N299" i="6" s="1"/>
  <c r="K297" i="6"/>
  <c r="L301" i="6" s="1"/>
  <c r="L287" i="6"/>
  <c r="N289" i="6" s="1"/>
  <c r="O289" i="6" s="1"/>
  <c r="K287" i="6"/>
  <c r="L291" i="6" s="1"/>
  <c r="L277" i="6"/>
  <c r="N279" i="6" s="1"/>
  <c r="K277" i="6"/>
  <c r="L281" i="6" s="1"/>
  <c r="L267" i="6"/>
  <c r="N269" i="6" s="1"/>
  <c r="O269" i="6" s="1"/>
  <c r="K267" i="6"/>
  <c r="L271" i="6" s="1"/>
  <c r="L257" i="6"/>
  <c r="N259" i="6" s="1"/>
  <c r="K257" i="6"/>
  <c r="L261" i="6" s="1"/>
  <c r="L247" i="6"/>
  <c r="N249" i="6" s="1"/>
  <c r="O249" i="6" s="1"/>
  <c r="K247" i="6"/>
  <c r="L251" i="6" s="1"/>
  <c r="L237" i="6"/>
  <c r="N239" i="6" s="1"/>
  <c r="K237" i="6"/>
  <c r="L241" i="6" s="1"/>
  <c r="L227" i="6"/>
  <c r="N229" i="6" s="1"/>
  <c r="O229" i="6" s="1"/>
  <c r="K227" i="6"/>
  <c r="L231" i="6" s="1"/>
  <c r="L217" i="6"/>
  <c r="N219" i="6" s="1"/>
  <c r="K217" i="6"/>
  <c r="L221" i="6" s="1"/>
  <c r="L207" i="6"/>
  <c r="N209" i="6" s="1"/>
  <c r="M209" i="6" s="1"/>
  <c r="K207" i="6"/>
  <c r="L211" i="6" s="1"/>
  <c r="L197" i="6"/>
  <c r="N199" i="6" s="1"/>
  <c r="K197" i="6"/>
  <c r="L187" i="6"/>
  <c r="N189" i="6" s="1"/>
  <c r="K187" i="6"/>
  <c r="L177" i="6"/>
  <c r="N179" i="6" s="1"/>
  <c r="K177" i="6"/>
  <c r="L167" i="6"/>
  <c r="N169" i="6" s="1"/>
  <c r="K167" i="6"/>
  <c r="L171" i="6" s="1"/>
  <c r="L157" i="6"/>
  <c r="N159" i="6" s="1"/>
  <c r="K157" i="6"/>
  <c r="L161" i="6" s="1"/>
  <c r="L147" i="6"/>
  <c r="N149" i="6" s="1"/>
  <c r="M149" i="6" s="1"/>
  <c r="K147" i="6"/>
  <c r="L151" i="6" s="1"/>
  <c r="L137" i="6"/>
  <c r="N139" i="6" s="1"/>
  <c r="K137" i="6"/>
  <c r="L141" i="6" s="1"/>
  <c r="L127" i="6"/>
  <c r="N129" i="6" s="1"/>
  <c r="K127" i="6"/>
  <c r="L131" i="6" s="1"/>
  <c r="L117" i="6"/>
  <c r="N119" i="6" s="1"/>
  <c r="K117" i="6"/>
  <c r="L107" i="6"/>
  <c r="N109" i="6" s="1"/>
  <c r="M109" i="6" s="1"/>
  <c r="K107" i="6"/>
  <c r="L97" i="6"/>
  <c r="N99" i="6" s="1"/>
  <c r="K97" i="6"/>
  <c r="L101" i="6" s="1"/>
  <c r="L87" i="6"/>
  <c r="K87" i="6"/>
  <c r="L91" i="6" s="1"/>
  <c r="L77" i="6"/>
  <c r="N79" i="6" s="1"/>
  <c r="M79" i="6" s="1"/>
  <c r="K77" i="6"/>
  <c r="L67" i="6"/>
  <c r="N69" i="6" s="1"/>
  <c r="O69" i="6" s="1"/>
  <c r="K67" i="6"/>
  <c r="L71" i="6" s="1"/>
  <c r="L57" i="6"/>
  <c r="N59" i="6" s="1"/>
  <c r="M59" i="6" s="1"/>
  <c r="K57" i="6"/>
  <c r="L47" i="6"/>
  <c r="N49" i="6" s="1"/>
  <c r="M49" i="6" s="1"/>
  <c r="K47" i="6"/>
  <c r="L51" i="6" s="1"/>
  <c r="L37" i="6"/>
  <c r="N39" i="6" s="1"/>
  <c r="K37" i="6"/>
  <c r="E36" i="6"/>
  <c r="D36" i="6"/>
  <c r="C36" i="6"/>
  <c r="B36" i="6"/>
  <c r="E35" i="6"/>
  <c r="D35" i="6"/>
  <c r="C35" i="6"/>
  <c r="B35" i="6"/>
  <c r="L34" i="6"/>
  <c r="N36" i="6" s="1"/>
  <c r="K34" i="6"/>
  <c r="E34" i="6"/>
  <c r="D34" i="6"/>
  <c r="C34" i="6"/>
  <c r="B34" i="6"/>
  <c r="L24" i="6"/>
  <c r="N26" i="6" s="1"/>
  <c r="K24" i="6"/>
  <c r="L28" i="6" s="1"/>
  <c r="L14" i="6"/>
  <c r="N16" i="6" s="1"/>
  <c r="K14" i="6"/>
  <c r="L18" i="6" s="1"/>
  <c r="L4" i="6"/>
  <c r="N6" i="6" s="1"/>
  <c r="K4" i="6"/>
  <c r="L8" i="6" s="1"/>
  <c r="M129" i="6" l="1"/>
  <c r="O129" i="6"/>
  <c r="L92" i="6"/>
  <c r="L90" i="6"/>
  <c r="M169" i="6"/>
  <c r="O169" i="6"/>
  <c r="M189" i="6"/>
  <c r="O189" i="6"/>
  <c r="O149" i="6"/>
  <c r="O209" i="6"/>
  <c r="O109" i="6"/>
  <c r="M6" i="6"/>
  <c r="O6" i="6"/>
  <c r="L19" i="6"/>
  <c r="L17" i="6"/>
  <c r="L41" i="6"/>
  <c r="L52" i="6"/>
  <c r="M52" i="6" s="1"/>
  <c r="N89" i="6"/>
  <c r="L111" i="6"/>
  <c r="L150" i="6"/>
  <c r="L152" i="6"/>
  <c r="L162" i="6"/>
  <c r="L160" i="6"/>
  <c r="L210" i="6"/>
  <c r="L212" i="6"/>
  <c r="M212" i="6" s="1"/>
  <c r="L250" i="6"/>
  <c r="O250" i="6" s="1"/>
  <c r="L252" i="6"/>
  <c r="L302" i="6"/>
  <c r="L300" i="6"/>
  <c r="M26" i="6"/>
  <c r="O26" i="6"/>
  <c r="L130" i="6"/>
  <c r="L132" i="6"/>
  <c r="L222" i="6"/>
  <c r="L220" i="6"/>
  <c r="L262" i="6"/>
  <c r="L260" i="6"/>
  <c r="L290" i="6"/>
  <c r="O290" i="6" s="1"/>
  <c r="L292" i="6"/>
  <c r="O292" i="6" s="1"/>
  <c r="M16" i="6"/>
  <c r="O16" i="6"/>
  <c r="M36" i="6"/>
  <c r="O36" i="6"/>
  <c r="O39" i="6"/>
  <c r="M39" i="6"/>
  <c r="O99" i="6"/>
  <c r="M99" i="6"/>
  <c r="L142" i="6"/>
  <c r="L140" i="6"/>
  <c r="O199" i="6"/>
  <c r="M199" i="6"/>
  <c r="L230" i="6"/>
  <c r="L232" i="6"/>
  <c r="O232" i="6" s="1"/>
  <c r="L270" i="6"/>
  <c r="L272" i="6"/>
  <c r="L282" i="6"/>
  <c r="L280" i="6"/>
  <c r="L7" i="6"/>
  <c r="L9" i="6"/>
  <c r="L29" i="6"/>
  <c r="L27" i="6"/>
  <c r="L50" i="6"/>
  <c r="M50" i="6" s="1"/>
  <c r="L70" i="6"/>
  <c r="O70" i="6" s="1"/>
  <c r="L72" i="6"/>
  <c r="O72" i="6" s="1"/>
  <c r="O119" i="6"/>
  <c r="M119" i="6"/>
  <c r="L181" i="6"/>
  <c r="L191" i="6"/>
  <c r="L242" i="6"/>
  <c r="L240" i="6"/>
  <c r="L310" i="6"/>
  <c r="O310" i="6" s="1"/>
  <c r="L312" i="6"/>
  <c r="O312" i="6" s="1"/>
  <c r="O139" i="6"/>
  <c r="M139" i="6"/>
  <c r="L61" i="6"/>
  <c r="O59" i="6"/>
  <c r="L81" i="6"/>
  <c r="O79" i="6"/>
  <c r="L121" i="6"/>
  <c r="O159" i="6"/>
  <c r="M159" i="6"/>
  <c r="L201" i="6"/>
  <c r="O49" i="6"/>
  <c r="M69" i="6"/>
  <c r="L102" i="6"/>
  <c r="L100" i="6"/>
  <c r="O179" i="6"/>
  <c r="M179" i="6"/>
  <c r="M229" i="6"/>
  <c r="M249" i="6"/>
  <c r="M269" i="6"/>
  <c r="M289" i="6"/>
  <c r="M309" i="6"/>
  <c r="L170" i="6"/>
  <c r="O170" i="6" s="1"/>
  <c r="L172" i="6"/>
  <c r="O219" i="6"/>
  <c r="M219" i="6"/>
  <c r="O239" i="6"/>
  <c r="M239" i="6"/>
  <c r="O252" i="6"/>
  <c r="O259" i="6"/>
  <c r="M259" i="6"/>
  <c r="O272" i="6"/>
  <c r="O279" i="6"/>
  <c r="M279" i="6"/>
  <c r="O299" i="6"/>
  <c r="M299" i="6"/>
  <c r="M210" i="6"/>
  <c r="O150" i="6" l="1"/>
  <c r="O152" i="6"/>
  <c r="M172" i="6"/>
  <c r="O291" i="6"/>
  <c r="O212" i="6"/>
  <c r="N212" i="6" s="1"/>
  <c r="O132" i="6"/>
  <c r="M211" i="6"/>
  <c r="M170" i="6"/>
  <c r="N170" i="6" s="1"/>
  <c r="M132" i="6"/>
  <c r="O311" i="6"/>
  <c r="M152" i="6"/>
  <c r="O210" i="6"/>
  <c r="N210" i="6" s="1"/>
  <c r="M130" i="6"/>
  <c r="O130" i="6"/>
  <c r="O131" i="6" s="1"/>
  <c r="O151" i="6"/>
  <c r="O251" i="6"/>
  <c r="O172" i="6"/>
  <c r="O71" i="6"/>
  <c r="M51" i="6"/>
  <c r="M242" i="6"/>
  <c r="M240" i="6"/>
  <c r="M282" i="6"/>
  <c r="M280" i="6"/>
  <c r="O262" i="6"/>
  <c r="O260" i="6"/>
  <c r="N132" i="6"/>
  <c r="O302" i="6"/>
  <c r="O300" i="6"/>
  <c r="M222" i="6"/>
  <c r="M220" i="6"/>
  <c r="M292" i="6"/>
  <c r="M290" i="6"/>
  <c r="N290" i="6" s="1"/>
  <c r="M70" i="6"/>
  <c r="N70" i="6" s="1"/>
  <c r="M72" i="6"/>
  <c r="N72" i="6" s="1"/>
  <c r="M160" i="6"/>
  <c r="M162" i="6"/>
  <c r="O142" i="6"/>
  <c r="O140" i="6"/>
  <c r="L182" i="6"/>
  <c r="O182" i="6" s="1"/>
  <c r="L180" i="6"/>
  <c r="O180" i="6" s="1"/>
  <c r="M102" i="6"/>
  <c r="M100" i="6"/>
  <c r="O29" i="6"/>
  <c r="O27" i="6"/>
  <c r="L42" i="6"/>
  <c r="M42" i="6" s="1"/>
  <c r="L40" i="6"/>
  <c r="M40" i="6" s="1"/>
  <c r="M150" i="6"/>
  <c r="N150" i="6" s="1"/>
  <c r="O102" i="6"/>
  <c r="O100" i="6"/>
  <c r="M89" i="6"/>
  <c r="O89" i="6"/>
  <c r="O9" i="6"/>
  <c r="O7" i="6"/>
  <c r="M302" i="6"/>
  <c r="M300" i="6"/>
  <c r="O282" i="6"/>
  <c r="O280" i="6"/>
  <c r="M262" i="6"/>
  <c r="M260" i="6"/>
  <c r="O242" i="6"/>
  <c r="O240" i="6"/>
  <c r="O222" i="6"/>
  <c r="O220" i="6"/>
  <c r="M312" i="6"/>
  <c r="M310" i="6"/>
  <c r="N310" i="6" s="1"/>
  <c r="M272" i="6"/>
  <c r="N272" i="6" s="1"/>
  <c r="M270" i="6"/>
  <c r="M232" i="6"/>
  <c r="N232" i="6" s="1"/>
  <c r="M230" i="6"/>
  <c r="L202" i="6"/>
  <c r="O202" i="6" s="1"/>
  <c r="L200" i="6"/>
  <c r="O162" i="6"/>
  <c r="O160" i="6"/>
  <c r="L82" i="6"/>
  <c r="M82" i="6" s="1"/>
  <c r="L80" i="6"/>
  <c r="M80" i="6" s="1"/>
  <c r="M140" i="6"/>
  <c r="M142" i="6"/>
  <c r="M252" i="6"/>
  <c r="M250" i="6"/>
  <c r="N250" i="6" s="1"/>
  <c r="O19" i="6"/>
  <c r="O17" i="6"/>
  <c r="M7" i="6"/>
  <c r="M9" i="6"/>
  <c r="O52" i="6"/>
  <c r="N52" i="6" s="1"/>
  <c r="O50" i="6"/>
  <c r="N50" i="6" s="1"/>
  <c r="O270" i="6"/>
  <c r="O271" i="6" s="1"/>
  <c r="L122" i="6"/>
  <c r="M122" i="6" s="1"/>
  <c r="L120" i="6"/>
  <c r="M120" i="6" s="1"/>
  <c r="L62" i="6"/>
  <c r="M62" i="6" s="1"/>
  <c r="L60" i="6"/>
  <c r="M60" i="6" s="1"/>
  <c r="O230" i="6"/>
  <c r="O231" i="6" s="1"/>
  <c r="L190" i="6"/>
  <c r="L192" i="6"/>
  <c r="M17" i="6"/>
  <c r="M19" i="6"/>
  <c r="M27" i="6"/>
  <c r="M29" i="6"/>
  <c r="L110" i="6"/>
  <c r="L112" i="6"/>
  <c r="N262" i="6" l="1"/>
  <c r="N160" i="6"/>
  <c r="N172" i="6"/>
  <c r="M131" i="6"/>
  <c r="N131" i="6" s="1"/>
  <c r="M127" i="6" s="1"/>
  <c r="H15" i="6" s="1"/>
  <c r="G15" i="6" s="1"/>
  <c r="F15" i="6" s="1"/>
  <c r="N260" i="6"/>
  <c r="M101" i="6"/>
  <c r="M241" i="6"/>
  <c r="N140" i="6"/>
  <c r="N220" i="6"/>
  <c r="M161" i="6"/>
  <c r="N162" i="6"/>
  <c r="N300" i="6"/>
  <c r="M291" i="6"/>
  <c r="N291" i="6" s="1"/>
  <c r="M287" i="6" s="1"/>
  <c r="H31" i="6" s="1"/>
  <c r="G31" i="6" s="1"/>
  <c r="F31" i="6" s="1"/>
  <c r="M171" i="6"/>
  <c r="O141" i="6"/>
  <c r="M61" i="6"/>
  <c r="N222" i="6"/>
  <c r="O101" i="6"/>
  <c r="N101" i="6" s="1"/>
  <c r="M97" i="6" s="1"/>
  <c r="H12" i="6" s="1"/>
  <c r="G12" i="6" s="1"/>
  <c r="F12" i="6" s="1"/>
  <c r="M151" i="6"/>
  <c r="N151" i="6" s="1"/>
  <c r="M147" i="6" s="1"/>
  <c r="H17" i="6" s="1"/>
  <c r="G17" i="6" s="1"/>
  <c r="F17" i="6" s="1"/>
  <c r="O211" i="6"/>
  <c r="N211" i="6" s="1"/>
  <c r="M207" i="6" s="1"/>
  <c r="H23" i="6" s="1"/>
  <c r="G23" i="6" s="1"/>
  <c r="F23" i="6" s="1"/>
  <c r="N302" i="6"/>
  <c r="O42" i="6"/>
  <c r="N42" i="6" s="1"/>
  <c r="M231" i="6"/>
  <c r="N231" i="6" s="1"/>
  <c r="M251" i="6"/>
  <c r="N251" i="6" s="1"/>
  <c r="M311" i="6"/>
  <c r="N311" i="6" s="1"/>
  <c r="M307" i="6" s="1"/>
  <c r="H33" i="6" s="1"/>
  <c r="G33" i="6" s="1"/>
  <c r="F33" i="6" s="1"/>
  <c r="O241" i="6"/>
  <c r="O281" i="6"/>
  <c r="N9" i="6"/>
  <c r="N152" i="6"/>
  <c r="M221" i="6"/>
  <c r="N252" i="6"/>
  <c r="O122" i="6"/>
  <c r="N122" i="6" s="1"/>
  <c r="N312" i="6"/>
  <c r="O200" i="6"/>
  <c r="O201" i="6" s="1"/>
  <c r="M121" i="6"/>
  <c r="M200" i="6"/>
  <c r="N102" i="6"/>
  <c r="N240" i="6"/>
  <c r="N280" i="6"/>
  <c r="N100" i="6"/>
  <c r="O181" i="6"/>
  <c r="M18" i="6"/>
  <c r="N270" i="6"/>
  <c r="O80" i="6"/>
  <c r="N80" i="6" s="1"/>
  <c r="M81" i="6"/>
  <c r="O161" i="6"/>
  <c r="N161" i="6" s="1"/>
  <c r="M157" i="6" s="1"/>
  <c r="H18" i="6" s="1"/>
  <c r="G18" i="6" s="1"/>
  <c r="F18" i="6" s="1"/>
  <c r="M271" i="6"/>
  <c r="N271" i="6" s="1"/>
  <c r="M267" i="6" s="1"/>
  <c r="H29" i="6" s="1"/>
  <c r="G29" i="6" s="1"/>
  <c r="F29" i="6" s="1"/>
  <c r="M301" i="6"/>
  <c r="O40" i="6"/>
  <c r="O171" i="6"/>
  <c r="N171" i="6" s="1"/>
  <c r="M167" i="6" s="1"/>
  <c r="H19" i="6" s="1"/>
  <c r="G19" i="6" s="1"/>
  <c r="F19" i="6" s="1"/>
  <c r="N130" i="6"/>
  <c r="M28" i="6"/>
  <c r="O18" i="6"/>
  <c r="O60" i="6"/>
  <c r="N60" i="6" s="1"/>
  <c r="N17" i="6"/>
  <c r="M8" i="6"/>
  <c r="N7" i="6"/>
  <c r="N27" i="6"/>
  <c r="M190" i="6"/>
  <c r="O190" i="6"/>
  <c r="N29" i="6"/>
  <c r="O51" i="6"/>
  <c r="N51" i="6" s="1"/>
  <c r="M47" i="6" s="1"/>
  <c r="H7" i="6" s="1"/>
  <c r="G7" i="6" s="1"/>
  <c r="F7" i="6" s="1"/>
  <c r="N19" i="6"/>
  <c r="M182" i="6"/>
  <c r="N182" i="6" s="1"/>
  <c r="M41" i="6"/>
  <c r="N292" i="6"/>
  <c r="M261" i="6"/>
  <c r="N242" i="6"/>
  <c r="O112" i="6"/>
  <c r="M112" i="6"/>
  <c r="M202" i="6"/>
  <c r="N202" i="6" s="1"/>
  <c r="N230" i="6"/>
  <c r="O92" i="6"/>
  <c r="O90" i="6"/>
  <c r="M71" i="6"/>
  <c r="N71" i="6" s="1"/>
  <c r="M67" i="6" s="1"/>
  <c r="H9" i="6" s="1"/>
  <c r="G9" i="6" s="1"/>
  <c r="F9" i="6" s="1"/>
  <c r="N282" i="6"/>
  <c r="M110" i="6"/>
  <c r="O110" i="6"/>
  <c r="M92" i="6"/>
  <c r="M90" i="6"/>
  <c r="M141" i="6"/>
  <c r="O192" i="6"/>
  <c r="M192" i="6"/>
  <c r="M191" i="6" s="1"/>
  <c r="N142" i="6"/>
  <c r="O82" i="6"/>
  <c r="N82" i="6" s="1"/>
  <c r="O120" i="6"/>
  <c r="O221" i="6"/>
  <c r="O8" i="6"/>
  <c r="O62" i="6"/>
  <c r="N62" i="6" s="1"/>
  <c r="M180" i="6"/>
  <c r="N180" i="6" s="1"/>
  <c r="O28" i="6"/>
  <c r="O301" i="6"/>
  <c r="O261" i="6"/>
  <c r="M281" i="6"/>
  <c r="N281" i="6" l="1"/>
  <c r="M277" i="6" s="1"/>
  <c r="H30" i="6" s="1"/>
  <c r="G30" i="6" s="1"/>
  <c r="F30" i="6" s="1"/>
  <c r="N241" i="6"/>
  <c r="M237" i="6" s="1"/>
  <c r="H26" i="6" s="1"/>
  <c r="G26" i="6" s="1"/>
  <c r="F26" i="6" s="1"/>
  <c r="N28" i="6"/>
  <c r="M24" i="6" s="1"/>
  <c r="H5" i="6" s="1"/>
  <c r="G5" i="6" s="1"/>
  <c r="F5" i="6" s="1"/>
  <c r="M247" i="6"/>
  <c r="H27" i="6" s="1"/>
  <c r="G27" i="6" s="1"/>
  <c r="F27" i="6" s="1"/>
  <c r="N8" i="6"/>
  <c r="M4" i="6" s="1"/>
  <c r="H3" i="6" s="1"/>
  <c r="G3" i="6" s="1"/>
  <c r="F3" i="6" s="1"/>
  <c r="O41" i="6"/>
  <c r="N41" i="6" s="1"/>
  <c r="N301" i="6"/>
  <c r="M297" i="6" s="1"/>
  <c r="H32" i="6" s="1"/>
  <c r="G32" i="6" s="1"/>
  <c r="F32" i="6" s="1"/>
  <c r="N141" i="6"/>
  <c r="M137" i="6" s="1"/>
  <c r="H16" i="6" s="1"/>
  <c r="G16" i="6" s="1"/>
  <c r="F16" i="6" s="1"/>
  <c r="N40" i="6"/>
  <c r="M34" i="6" s="1"/>
  <c r="N110" i="6"/>
  <c r="N18" i="6"/>
  <c r="M14" i="6" s="1"/>
  <c r="H4" i="6" s="1"/>
  <c r="G4" i="6" s="1"/>
  <c r="F4" i="6" s="1"/>
  <c r="N221" i="6"/>
  <c r="M217" i="6" s="1"/>
  <c r="H24" i="6" s="1"/>
  <c r="G24" i="6" s="1"/>
  <c r="F24" i="6" s="1"/>
  <c r="O91" i="6"/>
  <c r="N112" i="6"/>
  <c r="N90" i="6"/>
  <c r="M111" i="6"/>
  <c r="N200" i="6"/>
  <c r="N120" i="6"/>
  <c r="O121" i="6"/>
  <c r="N121" i="6" s="1"/>
  <c r="N192" i="6"/>
  <c r="O191" i="6"/>
  <c r="N191" i="6" s="1"/>
  <c r="M187" i="6" s="1"/>
  <c r="H21" i="6" s="1"/>
  <c r="G21" i="6" s="1"/>
  <c r="F21" i="6" s="1"/>
  <c r="M181" i="6"/>
  <c r="N181" i="6" s="1"/>
  <c r="M177" i="6" s="1"/>
  <c r="H20" i="6" s="1"/>
  <c r="G20" i="6" s="1"/>
  <c r="F20" i="6" s="1"/>
  <c r="O61" i="6"/>
  <c r="N61" i="6" s="1"/>
  <c r="M57" i="6" s="1"/>
  <c r="H8" i="6" s="1"/>
  <c r="G8" i="6" s="1"/>
  <c r="F8" i="6" s="1"/>
  <c r="M227" i="6"/>
  <c r="H25" i="6" s="1"/>
  <c r="G25" i="6" s="1"/>
  <c r="F25" i="6" s="1"/>
  <c r="N92" i="6"/>
  <c r="M91" i="6"/>
  <c r="M201" i="6"/>
  <c r="N201" i="6" s="1"/>
  <c r="M197" i="6" s="1"/>
  <c r="H22" i="6" s="1"/>
  <c r="G22" i="6" s="1"/>
  <c r="F22" i="6" s="1"/>
  <c r="N261" i="6"/>
  <c r="M257" i="6" s="1"/>
  <c r="H28" i="6" s="1"/>
  <c r="G28" i="6" s="1"/>
  <c r="F28" i="6" s="1"/>
  <c r="O81" i="6"/>
  <c r="N81" i="6" s="1"/>
  <c r="M77" i="6" s="1"/>
  <c r="H10" i="6" s="1"/>
  <c r="G10" i="6" s="1"/>
  <c r="F10" i="6" s="1"/>
  <c r="N190" i="6"/>
  <c r="O111" i="6"/>
  <c r="M37" i="6" l="1"/>
  <c r="H6" i="6" s="1"/>
  <c r="G6" i="6" s="1"/>
  <c r="F6" i="6" s="1"/>
  <c r="N111" i="6"/>
  <c r="M107" i="6" s="1"/>
  <c r="H13" i="6" s="1"/>
  <c r="G13" i="6" s="1"/>
  <c r="F13" i="6" s="1"/>
  <c r="N91" i="6"/>
  <c r="M87" i="6" s="1"/>
  <c r="H11" i="6" s="1"/>
  <c r="G11" i="6" s="1"/>
  <c r="F11" i="6" s="1"/>
  <c r="M117" i="6"/>
  <c r="H14" i="6" s="1"/>
  <c r="G14" i="6" s="1"/>
  <c r="F14" i="6" s="1"/>
  <c r="F34" i="6" l="1"/>
  <c r="F36" i="6"/>
  <c r="F35" i="6"/>
</calcChain>
</file>

<file path=xl/sharedStrings.xml><?xml version="1.0" encoding="utf-8"?>
<sst xmlns="http://schemas.openxmlformats.org/spreadsheetml/2006/main" count="959" uniqueCount="88">
  <si>
    <t>MONTHLY GAS COMPRESSION REPORT</t>
  </si>
  <si>
    <t>GasJack Compressor</t>
  </si>
  <si>
    <t>Date</t>
  </si>
  <si>
    <t>Nilai</t>
  </si>
  <si>
    <t>Remarks</t>
  </si>
  <si>
    <t>TOTAL</t>
  </si>
  <si>
    <t>Total invoice</t>
  </si>
  <si>
    <t>IDR</t>
  </si>
  <si>
    <t>Total</t>
  </si>
  <si>
    <t>Pihak kesatu</t>
  </si>
  <si>
    <t>Pihak Kedua</t>
  </si>
  <si>
    <t xml:space="preserve"> </t>
  </si>
  <si>
    <t>Benny</t>
  </si>
  <si>
    <t>Direktur Utama</t>
  </si>
  <si>
    <t>DATE</t>
  </si>
  <si>
    <t>SUCTION
PRESSURE</t>
  </si>
  <si>
    <t>DISCHARGE
PRESSURE</t>
  </si>
  <si>
    <t>FLOWRATE</t>
  </si>
  <si>
    <t>RUNNING
TIME</t>
  </si>
  <si>
    <t>PERFORMANCE</t>
  </si>
  <si>
    <t>CORRECTED w/
RUNNING TIME
CURVE FLOWRATE</t>
  </si>
  <si>
    <t>CURVE FLOWRATE
(24 hrs OL/)</t>
  </si>
  <si>
    <t>SUCTION
PRESSURE
(psig)</t>
  </si>
  <si>
    <t>DISCHARGE
PRESSURE
(psig)</t>
  </si>
  <si>
    <t>VALVE CONFIGURATION</t>
  </si>
  <si>
    <t>FLOWRATE
(MSCFD)</t>
  </si>
  <si>
    <t>psig</t>
  </si>
  <si>
    <t>MSCFD</t>
  </si>
  <si>
    <t>%</t>
  </si>
  <si>
    <t>M-4-0</t>
  </si>
  <si>
    <t>SP</t>
  </si>
  <si>
    <t>DP</t>
  </si>
  <si>
    <t>Discharge Lapangan :</t>
  </si>
  <si>
    <t>Suction Lapangan :</t>
  </si>
  <si>
    <t>AVERAGE</t>
  </si>
  <si>
    <t>MIN</t>
  </si>
  <si>
    <t>MAX</t>
  </si>
  <si>
    <t>M-4-1</t>
  </si>
  <si>
    <t>M-4-2</t>
  </si>
  <si>
    <t>M-3-0</t>
  </si>
  <si>
    <t>M-3-1</t>
  </si>
  <si>
    <t>M-3-2</t>
  </si>
  <si>
    <t>M-2-0</t>
  </si>
  <si>
    <t>P Source</t>
  </si>
  <si>
    <t>P Suct.</t>
  </si>
  <si>
    <t>P Disch.</t>
  </si>
  <si>
    <t>Volume</t>
  </si>
  <si>
    <t>Perf.</t>
  </si>
  <si>
    <t>Curve</t>
  </si>
  <si>
    <t>T Disch.</t>
  </si>
  <si>
    <t>Speed</t>
  </si>
  <si>
    <t>Liquid Gain</t>
  </si>
  <si>
    <t>Operating Time (hrs)</t>
  </si>
  <si>
    <t>Run</t>
  </si>
  <si>
    <t>Availability</t>
  </si>
  <si>
    <t>MSCF</t>
  </si>
  <si>
    <t>°F</t>
  </si>
  <si>
    <t>RPM</t>
  </si>
  <si>
    <t>BPD</t>
  </si>
  <si>
    <t>Standby</t>
  </si>
  <si>
    <t>Down</t>
  </si>
  <si>
    <t>Unit S/N</t>
  </si>
  <si>
    <t>Tanggal awal tagihan</t>
  </si>
  <si>
    <t>Standby rate / day :</t>
  </si>
  <si>
    <t>Standby rate / day</t>
  </si>
  <si>
    <t>MPI 7113</t>
  </si>
  <si>
    <t/>
  </si>
  <si>
    <t>Operating Time</t>
  </si>
  <si>
    <t>hari</t>
  </si>
  <si>
    <t>Standby berturut-turut bulan sebelumnya :</t>
  </si>
  <si>
    <t>HSPHA</t>
  </si>
  <si>
    <t>HSPHK :</t>
  </si>
  <si>
    <t>HSPHK</t>
  </si>
  <si>
    <t>Curve / BA</t>
  </si>
  <si>
    <t>Field Manager Adera Field</t>
  </si>
  <si>
    <t>Adam S Nasution</t>
  </si>
  <si>
    <t>BA</t>
  </si>
  <si>
    <t>{{unit_sn}}</t>
  </si>
  <si>
    <t>{{suction_press}}</t>
  </si>
  <si>
    <t>{{disharge_press_unit}}</t>
  </si>
  <si>
    <t>{{suction_press_unit}}</t>
  </si>
  <si>
    <t>{{date}}</t>
  </si>
  <si>
    <t>{{discharge_press}}</t>
  </si>
  <si>
    <t>{{flowrate}}</t>
  </si>
  <si>
    <t>{{run}}</t>
  </si>
  <si>
    <t>{{stby}}</t>
  </si>
  <si>
    <t>{{down}}</t>
  </si>
  <si>
    <t>{{remarks}}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</si>
</sst>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&quot;Rp&quot;* #,##0_);_(&quot;Rp&quot;* \(#,##0\);_(&quot;Rp&quot;* &quot;-&quot;_);_(@_)"/>
    <numFmt numFmtId="166" formatCode="\:\ @"/>
    <numFmt numFmtId="167" formatCode="[$-409]d\ mmm;@"/>
    <numFmt numFmtId="168" formatCode="#,##0.0000"/>
    <numFmt numFmtId="169" formatCode="[hh]:mm"/>
    <numFmt numFmtId="170" formatCode="[$Rp-3809]#,##0.0"/>
    <numFmt numFmtId="171" formatCode="#,##0.0"/>
    <numFmt numFmtId="172" formatCode="0.00_)"/>
    <numFmt numFmtId="173" formatCode="_(* #,##0_);_(* \(#,##0\);_(* &quot;-&quot;??_);_(@_)"/>
    <numFmt numFmtId="174" formatCode="&quot;Biaya&quot;\ [$-421]\ mmmm\ yyyy"/>
    <numFmt numFmtId="175" formatCode="[$-421]d\ mmm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660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10"/>
      <color rgb="FF0000FF"/>
      <name val="Arial"/>
      <family val="2"/>
    </font>
    <font>
      <b/>
      <sz val="11"/>
      <color rgb="FF006600"/>
      <name val="Arial"/>
      <family val="2"/>
    </font>
    <font>
      <b/>
      <sz val="11"/>
      <color rgb="FF0000FF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Courier New"/>
      <family val="2"/>
      <charset val="1"/>
    </font>
    <font>
      <sz val="10"/>
      <name val="Courier"/>
      <family val="3"/>
    </font>
    <font>
      <b/>
      <sz val="14"/>
      <name val="Arial"/>
      <family val="2"/>
    </font>
    <font>
      <u/>
      <sz val="11"/>
      <name val="Arial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</borders>
  <cellStyleXfs count="11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0" fillId="0" borderId="0"/>
    <xf numFmtId="172" fontId="21" fillId="0" borderId="0"/>
    <xf numFmtId="0" fontId="20" fillId="0" borderId="0"/>
    <xf numFmtId="9" fontId="20" fillId="0" borderId="0" applyFont="0" applyFill="0" applyBorder="0" applyAlignment="0" applyProtection="0"/>
  </cellStyleXfs>
  <cellXfs count="175">
    <xf numFmtId="0" fontId="0" fillId="0" borderId="0" xfId="0"/>
    <xf numFmtId="0" fontId="5" fillId="2" borderId="7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horizontal="right" vertical="center"/>
    </xf>
    <xf numFmtId="166" fontId="6" fillId="2" borderId="0" xfId="1" applyNumberFormat="1" applyFont="1" applyFill="1" applyAlignment="1" applyProtection="1">
      <alignment vertical="center"/>
      <protection locked="0"/>
    </xf>
    <xf numFmtId="0" fontId="5" fillId="2" borderId="8" xfId="1" applyFont="1" applyFill="1" applyBorder="1" applyAlignment="1">
      <alignment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165" fontId="5" fillId="0" borderId="0" xfId="1" applyNumberFormat="1" applyFont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7" borderId="20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8" fillId="0" borderId="21" xfId="0" applyNumberFormat="1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 wrapText="1"/>
    </xf>
    <xf numFmtId="171" fontId="18" fillId="0" borderId="21" xfId="0" applyNumberFormat="1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4" fontId="19" fillId="0" borderId="9" xfId="0" applyNumberFormat="1" applyFont="1" applyBorder="1" applyAlignment="1" applyProtection="1">
      <alignment vertical="center"/>
      <protection locked="0"/>
    </xf>
    <xf numFmtId="4" fontId="19" fillId="0" borderId="16" xfId="0" applyNumberFormat="1" applyFont="1" applyBorder="1" applyAlignment="1" applyProtection="1">
      <alignment vertical="center"/>
      <protection locked="0"/>
    </xf>
    <xf numFmtId="168" fontId="16" fillId="0" borderId="10" xfId="0" applyNumberFormat="1" applyFont="1" applyBorder="1" applyAlignment="1" applyProtection="1">
      <alignment vertical="center"/>
      <protection locked="0"/>
    </xf>
    <xf numFmtId="10" fontId="16" fillId="0" borderId="10" xfId="0" applyNumberFormat="1" applyFont="1" applyBorder="1" applyAlignment="1">
      <alignment vertical="center"/>
    </xf>
    <xf numFmtId="168" fontId="16" fillId="0" borderId="10" xfId="0" applyNumberFormat="1" applyFont="1" applyBorder="1" applyAlignment="1">
      <alignment vertical="center"/>
    </xf>
    <xf numFmtId="168" fontId="15" fillId="0" borderId="10" xfId="0" applyNumberFormat="1" applyFont="1" applyBorder="1" applyAlignment="1">
      <alignment vertical="center"/>
    </xf>
    <xf numFmtId="3" fontId="16" fillId="0" borderId="0" xfId="0" quotePrefix="1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6" xfId="0" applyFont="1" applyBorder="1" applyAlignment="1">
      <alignment horizontal="center" vertical="center"/>
    </xf>
    <xf numFmtId="4" fontId="16" fillId="0" borderId="16" xfId="0" applyNumberFormat="1" applyFont="1" applyBorder="1" applyAlignment="1" applyProtection="1">
      <alignment vertical="center"/>
      <protection locked="0"/>
    </xf>
    <xf numFmtId="168" fontId="16" fillId="0" borderId="16" xfId="0" applyNumberFormat="1" applyFont="1" applyBorder="1" applyAlignment="1" applyProtection="1">
      <alignment vertical="center"/>
      <protection locked="0"/>
    </xf>
    <xf numFmtId="169" fontId="10" fillId="0" borderId="16" xfId="0" applyNumberFormat="1" applyFont="1" applyBorder="1" applyAlignment="1" applyProtection="1">
      <alignment horizontal="right" vertical="center"/>
      <protection locked="0"/>
    </xf>
    <xf numFmtId="10" fontId="16" fillId="0" borderId="16" xfId="0" applyNumberFormat="1" applyFont="1" applyBorder="1" applyAlignment="1">
      <alignment vertical="center"/>
    </xf>
    <xf numFmtId="168" fontId="16" fillId="0" borderId="16" xfId="0" applyNumberFormat="1" applyFont="1" applyBorder="1" applyAlignment="1">
      <alignment vertical="center"/>
    </xf>
    <xf numFmtId="168" fontId="15" fillId="0" borderId="16" xfId="0" applyNumberFormat="1" applyFont="1" applyBorder="1" applyAlignment="1">
      <alignment vertical="center"/>
    </xf>
    <xf numFmtId="4" fontId="18" fillId="8" borderId="0" xfId="0" applyNumberFormat="1" applyFont="1" applyFill="1" applyAlignment="1">
      <alignment vertical="center" wrapText="1"/>
    </xf>
    <xf numFmtId="4" fontId="16" fillId="8" borderId="0" xfId="0" applyNumberFormat="1" applyFont="1" applyFill="1" applyAlignment="1">
      <alignment vertical="center"/>
    </xf>
    <xf numFmtId="168" fontId="16" fillId="9" borderId="0" xfId="0" applyNumberFormat="1" applyFont="1" applyFill="1" applyAlignment="1">
      <alignment vertical="center"/>
    </xf>
    <xf numFmtId="0" fontId="16" fillId="0" borderId="0" xfId="0" applyFont="1" applyAlignment="1">
      <alignment horizontal="right" vertical="center"/>
    </xf>
    <xf numFmtId="168" fontId="16" fillId="10" borderId="0" xfId="0" applyNumberFormat="1" applyFont="1" applyFill="1" applyAlignment="1">
      <alignment vertical="center"/>
    </xf>
    <xf numFmtId="168" fontId="16" fillId="5" borderId="0" xfId="0" applyNumberFormat="1" applyFont="1" applyFill="1" applyAlignment="1">
      <alignment vertical="center"/>
    </xf>
    <xf numFmtId="0" fontId="18" fillId="0" borderId="22" xfId="0" applyFont="1" applyBorder="1" applyAlignment="1">
      <alignment horizontal="right" vertical="center"/>
    </xf>
    <xf numFmtId="0" fontId="16" fillId="0" borderId="15" xfId="0" applyFont="1" applyBorder="1" applyAlignment="1">
      <alignment horizontal="center" vertical="center"/>
    </xf>
    <xf numFmtId="168" fontId="16" fillId="0" borderId="15" xfId="0" applyNumberFormat="1" applyFont="1" applyBorder="1" applyAlignment="1" applyProtection="1">
      <alignment vertical="center"/>
      <protection locked="0"/>
    </xf>
    <xf numFmtId="10" fontId="16" fillId="0" borderId="15" xfId="0" applyNumberFormat="1" applyFont="1" applyBorder="1" applyAlignment="1">
      <alignment vertical="center"/>
    </xf>
    <xf numFmtId="168" fontId="16" fillId="0" borderId="15" xfId="0" applyNumberFormat="1" applyFont="1" applyBorder="1" applyAlignment="1">
      <alignment vertical="center"/>
    </xf>
    <xf numFmtId="168" fontId="15" fillId="0" borderId="15" xfId="0" applyNumberFormat="1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4" fontId="16" fillId="0" borderId="18" xfId="0" applyNumberFormat="1" applyFont="1" applyBorder="1" applyAlignment="1">
      <alignment vertical="center"/>
    </xf>
    <xf numFmtId="168" fontId="16" fillId="0" borderId="18" xfId="0" applyNumberFormat="1" applyFont="1" applyBorder="1" applyAlignment="1">
      <alignment vertical="center"/>
    </xf>
    <xf numFmtId="169" fontId="10" fillId="0" borderId="18" xfId="0" applyNumberFormat="1" applyFont="1" applyBorder="1" applyAlignment="1">
      <alignment horizontal="right" vertical="center"/>
    </xf>
    <xf numFmtId="10" fontId="16" fillId="0" borderId="18" xfId="0" applyNumberFormat="1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4" fontId="16" fillId="0" borderId="17" xfId="0" applyNumberFormat="1" applyFont="1" applyBorder="1" applyAlignment="1">
      <alignment vertical="center"/>
    </xf>
    <xf numFmtId="168" fontId="16" fillId="0" borderId="17" xfId="0" applyNumberFormat="1" applyFont="1" applyBorder="1" applyAlignment="1">
      <alignment vertical="center"/>
    </xf>
    <xf numFmtId="169" fontId="10" fillId="0" borderId="17" xfId="0" applyNumberFormat="1" applyFont="1" applyBorder="1" applyAlignment="1">
      <alignment horizontal="right" vertical="center"/>
    </xf>
    <xf numFmtId="10" fontId="16" fillId="0" borderId="17" xfId="0" applyNumberFormat="1" applyFont="1" applyBorder="1" applyAlignment="1">
      <alignment vertical="center"/>
    </xf>
    <xf numFmtId="4" fontId="16" fillId="0" borderId="15" xfId="0" applyNumberFormat="1" applyFont="1" applyBorder="1" applyAlignment="1">
      <alignment vertical="center"/>
    </xf>
    <xf numFmtId="169" fontId="10" fillId="0" borderId="15" xfId="0" applyNumberFormat="1" applyFont="1" applyBorder="1" applyAlignment="1">
      <alignment horizontal="right" vertical="center"/>
    </xf>
    <xf numFmtId="171" fontId="16" fillId="0" borderId="0" xfId="0" applyNumberFormat="1" applyFont="1" applyAlignment="1">
      <alignment vertical="center"/>
    </xf>
    <xf numFmtId="171" fontId="16" fillId="8" borderId="0" xfId="0" applyNumberFormat="1" applyFont="1" applyFill="1" applyAlignment="1">
      <alignment vertical="center"/>
    </xf>
    <xf numFmtId="4" fontId="16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169" fontId="10" fillId="0" borderId="9" xfId="0" applyNumberFormat="1" applyFont="1" applyBorder="1" applyAlignment="1" applyProtection="1">
      <alignment horizontal="right" vertical="center"/>
      <protection locked="0"/>
    </xf>
    <xf numFmtId="169" fontId="10" fillId="0" borderId="17" xfId="0" applyNumberFormat="1" applyFont="1" applyBorder="1" applyAlignment="1" applyProtection="1">
      <alignment horizontal="right" vertical="center"/>
      <protection locked="0"/>
    </xf>
    <xf numFmtId="0" fontId="5" fillId="0" borderId="0" xfId="1" applyFont="1" applyAlignment="1">
      <alignment vertical="center"/>
    </xf>
    <xf numFmtId="4" fontId="5" fillId="0" borderId="10" xfId="5" applyNumberFormat="1" applyFont="1" applyBorder="1" applyAlignment="1" applyProtection="1">
      <alignment vertical="top"/>
      <protection locked="0"/>
    </xf>
    <xf numFmtId="168" fontId="5" fillId="0" borderId="10" xfId="5" applyNumberFormat="1" applyFont="1" applyBorder="1" applyAlignment="1" applyProtection="1">
      <alignment vertical="top"/>
      <protection locked="0"/>
    </xf>
    <xf numFmtId="4" fontId="5" fillId="0" borderId="10" xfId="1" applyNumberFormat="1" applyFont="1" applyBorder="1" applyAlignment="1" applyProtection="1">
      <alignment vertical="top"/>
      <protection locked="0"/>
    </xf>
    <xf numFmtId="3" fontId="5" fillId="0" borderId="10" xfId="1" applyNumberFormat="1" applyFont="1" applyBorder="1" applyAlignment="1" applyProtection="1">
      <alignment vertical="top"/>
      <protection locked="0"/>
    </xf>
    <xf numFmtId="169" fontId="8" fillId="0" borderId="16" xfId="5" applyNumberFormat="1" applyFont="1" applyBorder="1" applyAlignment="1" applyProtection="1">
      <alignment horizontal="right" vertical="top"/>
      <protection locked="0"/>
    </xf>
    <xf numFmtId="4" fontId="5" fillId="0" borderId="16" xfId="5" applyNumberFormat="1" applyFont="1" applyBorder="1" applyAlignment="1" applyProtection="1">
      <alignment vertical="top"/>
      <protection locked="0"/>
    </xf>
    <xf numFmtId="168" fontId="5" fillId="0" borderId="16" xfId="5" applyNumberFormat="1" applyFont="1" applyBorder="1" applyAlignment="1" applyProtection="1">
      <alignment vertical="top"/>
      <protection locked="0"/>
    </xf>
    <xf numFmtId="4" fontId="5" fillId="0" borderId="16" xfId="1" applyNumberFormat="1" applyFont="1" applyBorder="1" applyAlignment="1" applyProtection="1">
      <alignment vertical="top"/>
      <protection locked="0"/>
    </xf>
    <xf numFmtId="3" fontId="5" fillId="0" borderId="16" xfId="1" applyNumberFormat="1" applyFont="1" applyBorder="1" applyAlignment="1" applyProtection="1">
      <alignment vertical="top"/>
      <protection locked="0"/>
    </xf>
    <xf numFmtId="169" fontId="8" fillId="0" borderId="10" xfId="5" applyNumberFormat="1" applyFont="1" applyBorder="1" applyAlignment="1" applyProtection="1">
      <alignment horizontal="right" vertical="top"/>
      <protection locked="0"/>
    </xf>
    <xf numFmtId="167" fontId="5" fillId="0" borderId="16" xfId="1" quotePrefix="1" applyNumberFormat="1" applyFont="1" applyBorder="1" applyAlignment="1">
      <alignment horizontal="center" vertical="top"/>
    </xf>
    <xf numFmtId="10" fontId="9" fillId="3" borderId="10" xfId="6" applyNumberFormat="1" applyFont="1" applyFill="1" applyBorder="1" applyAlignment="1" applyProtection="1">
      <alignment horizontal="right" vertical="top" wrapText="1"/>
    </xf>
    <xf numFmtId="10" fontId="9" fillId="3" borderId="16" xfId="6" applyNumberFormat="1" applyFont="1" applyFill="1" applyBorder="1" applyAlignment="1" applyProtection="1">
      <alignment horizontal="right" vertical="top" wrapText="1"/>
    </xf>
    <xf numFmtId="10" fontId="9" fillId="4" borderId="16" xfId="6" applyNumberFormat="1" applyFont="1" applyFill="1" applyBorder="1" applyAlignment="1" applyProtection="1">
      <alignment horizontal="right" vertical="top" wrapText="1"/>
    </xf>
    <xf numFmtId="0" fontId="5" fillId="0" borderId="0" xfId="1" applyFont="1" applyAlignment="1" applyProtection="1">
      <alignment vertical="center"/>
      <protection locked="0"/>
    </xf>
    <xf numFmtId="2" fontId="5" fillId="0" borderId="0" xfId="1" applyNumberFormat="1" applyFont="1" applyAlignment="1" applyProtection="1">
      <alignment vertical="center"/>
      <protection locked="0"/>
    </xf>
    <xf numFmtId="170" fontId="5" fillId="0" borderId="0" xfId="1" applyNumberFormat="1" applyFont="1" applyAlignment="1" applyProtection="1">
      <alignment vertical="center"/>
      <protection locked="0"/>
    </xf>
    <xf numFmtId="165" fontId="5" fillId="0" borderId="10" xfId="5" applyNumberFormat="1" applyFont="1" applyBorder="1" applyAlignment="1">
      <alignment vertical="top"/>
    </xf>
    <xf numFmtId="165" fontId="5" fillId="0" borderId="16" xfId="5" applyNumberFormat="1" applyFont="1" applyBorder="1" applyAlignment="1">
      <alignment vertical="top"/>
    </xf>
    <xf numFmtId="0" fontId="23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5" fillId="0" borderId="0" xfId="0" applyFont="1" applyAlignment="1">
      <alignment vertical="center"/>
    </xf>
    <xf numFmtId="164" fontId="5" fillId="0" borderId="0" xfId="3" applyFont="1" applyBorder="1" applyAlignment="1" applyProtection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167" fontId="5" fillId="0" borderId="19" xfId="1" quotePrefix="1" applyNumberFormat="1" applyFont="1" applyBorder="1" applyAlignment="1">
      <alignment horizontal="center" vertical="top"/>
    </xf>
    <xf numFmtId="4" fontId="5" fillId="0" borderId="19" xfId="1" applyNumberFormat="1" applyFont="1" applyBorder="1" applyAlignment="1" applyProtection="1">
      <alignment vertical="top"/>
      <protection locked="0"/>
    </xf>
    <xf numFmtId="4" fontId="5" fillId="0" borderId="19" xfId="5" applyNumberFormat="1" applyFont="1" applyBorder="1" applyAlignment="1" applyProtection="1">
      <alignment vertical="top"/>
      <protection locked="0"/>
    </xf>
    <xf numFmtId="168" fontId="5" fillId="0" borderId="19" xfId="5" applyNumberFormat="1" applyFont="1" applyBorder="1" applyAlignment="1" applyProtection="1">
      <alignment vertical="top"/>
      <protection locked="0"/>
    </xf>
    <xf numFmtId="3" fontId="5" fillId="0" borderId="19" xfId="1" applyNumberFormat="1" applyFont="1" applyBorder="1" applyAlignment="1" applyProtection="1">
      <alignment vertical="top"/>
      <protection locked="0"/>
    </xf>
    <xf numFmtId="169" fontId="8" fillId="0" borderId="19" xfId="5" applyNumberFormat="1" applyFont="1" applyBorder="1" applyAlignment="1" applyProtection="1">
      <alignment horizontal="right" vertical="top"/>
      <protection locked="0"/>
    </xf>
    <xf numFmtId="10" fontId="9" fillId="4" borderId="19" xfId="6" applyNumberFormat="1" applyFont="1" applyFill="1" applyBorder="1" applyAlignment="1" applyProtection="1">
      <alignment horizontal="right" vertical="top" wrapText="1"/>
    </xf>
    <xf numFmtId="165" fontId="5" fillId="0" borderId="19" xfId="5" applyNumberFormat="1" applyFont="1" applyBorder="1" applyAlignment="1">
      <alignment vertical="top"/>
    </xf>
    <xf numFmtId="0" fontId="6" fillId="0" borderId="18" xfId="1" applyFont="1" applyBorder="1" applyAlignment="1">
      <alignment horizontal="center" vertical="center"/>
    </xf>
    <xf numFmtId="4" fontId="6" fillId="0" borderId="27" xfId="1" applyNumberFormat="1" applyFont="1" applyBorder="1" applyAlignment="1">
      <alignment vertical="center"/>
    </xf>
    <xf numFmtId="168" fontId="6" fillId="0" borderId="18" xfId="1" applyNumberFormat="1" applyFont="1" applyBorder="1" applyAlignment="1">
      <alignment vertical="center"/>
    </xf>
    <xf numFmtId="10" fontId="11" fillId="0" borderId="27" xfId="1" applyNumberFormat="1" applyFont="1" applyBorder="1" applyAlignment="1">
      <alignment vertical="center"/>
    </xf>
    <xf numFmtId="168" fontId="6" fillId="0" borderId="27" xfId="1" applyNumberFormat="1" applyFont="1" applyBorder="1" applyAlignment="1">
      <alignment vertical="center"/>
    </xf>
    <xf numFmtId="3" fontId="6" fillId="0" borderId="27" xfId="1" applyNumberFormat="1" applyFont="1" applyBorder="1" applyAlignment="1">
      <alignment vertical="center"/>
    </xf>
    <xf numFmtId="4" fontId="6" fillId="0" borderId="18" xfId="1" applyNumberFormat="1" applyFont="1" applyBorder="1" applyAlignment="1">
      <alignment vertical="center"/>
    </xf>
    <xf numFmtId="169" fontId="12" fillId="0" borderId="18" xfId="1" applyNumberFormat="1" applyFont="1" applyBorder="1" applyAlignment="1">
      <alignment horizontal="right" vertical="center"/>
    </xf>
    <xf numFmtId="10" fontId="13" fillId="0" borderId="27" xfId="1" applyNumberFormat="1" applyFont="1" applyBorder="1" applyAlignment="1">
      <alignment vertical="center"/>
    </xf>
    <xf numFmtId="10" fontId="13" fillId="0" borderId="27" xfId="1" applyNumberFormat="1" applyFont="1" applyBorder="1" applyAlignment="1">
      <alignment horizontal="right" vertical="center"/>
    </xf>
    <xf numFmtId="0" fontId="6" fillId="0" borderId="27" xfId="1" applyFont="1" applyBorder="1" applyAlignment="1">
      <alignment vertical="center"/>
    </xf>
    <xf numFmtId="9" fontId="5" fillId="0" borderId="0" xfId="0" applyNumberFormat="1" applyFont="1" applyAlignment="1">
      <alignment vertical="center"/>
    </xf>
    <xf numFmtId="0" fontId="5" fillId="0" borderId="20" xfId="0" applyFont="1" applyBorder="1" applyAlignment="1">
      <alignment vertical="center"/>
    </xf>
    <xf numFmtId="167" fontId="5" fillId="0" borderId="10" xfId="1" quotePrefix="1" applyNumberFormat="1" applyFont="1" applyBorder="1" applyAlignment="1">
      <alignment horizontal="center" vertical="top"/>
    </xf>
    <xf numFmtId="0" fontId="6" fillId="2" borderId="9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8" fillId="0" borderId="10" xfId="5" applyFont="1" applyBorder="1" applyAlignment="1" applyProtection="1">
      <alignment vertical="top" wrapText="1"/>
      <protection locked="0"/>
    </xf>
    <xf numFmtId="0" fontId="8" fillId="0" borderId="16" xfId="5" applyFont="1" applyBorder="1" applyAlignment="1" applyProtection="1">
      <alignment vertical="top" wrapText="1"/>
      <protection locked="0"/>
    </xf>
    <xf numFmtId="0" fontId="8" fillId="0" borderId="16" xfId="0" applyFont="1" applyBorder="1" applyAlignment="1" applyProtection="1">
      <alignment vertical="top" wrapText="1"/>
      <protection locked="0"/>
    </xf>
    <xf numFmtId="0" fontId="8" fillId="0" borderId="19" xfId="5" applyFont="1" applyBorder="1" applyAlignment="1" applyProtection="1">
      <alignment vertical="top" wrapText="1"/>
      <protection locked="0"/>
    </xf>
    <xf numFmtId="165" fontId="6" fillId="0" borderId="18" xfId="1" applyNumberFormat="1" applyFont="1" applyBorder="1" applyAlignment="1">
      <alignment horizontal="right" vertical="center"/>
    </xf>
    <xf numFmtId="175" fontId="5" fillId="0" borderId="20" xfId="0" quotePrefix="1" applyNumberFormat="1" applyFont="1" applyBorder="1" applyAlignment="1" applyProtection="1">
      <alignment vertical="center"/>
      <protection locked="0"/>
    </xf>
    <xf numFmtId="3" fontId="5" fillId="0" borderId="20" xfId="0" applyNumberFormat="1" applyFont="1" applyBorder="1" applyAlignment="1" applyProtection="1">
      <alignment vertical="center"/>
      <protection locked="0"/>
    </xf>
    <xf numFmtId="9" fontId="5" fillId="0" borderId="20" xfId="0" applyNumberFormat="1" applyFont="1" applyBorder="1" applyAlignment="1" applyProtection="1">
      <alignment vertical="center"/>
      <protection locked="0"/>
    </xf>
    <xf numFmtId="168" fontId="24" fillId="0" borderId="10" xfId="0" applyNumberFormat="1" applyFont="1" applyBorder="1" applyAlignment="1">
      <alignment horizontal="right" vertical="top"/>
    </xf>
    <xf numFmtId="168" fontId="24" fillId="0" borderId="16" xfId="0" applyNumberFormat="1" applyFont="1" applyBorder="1" applyAlignment="1">
      <alignment horizontal="right" vertical="top"/>
    </xf>
    <xf numFmtId="168" fontId="24" fillId="0" borderId="15" xfId="0" applyNumberFormat="1" applyFont="1" applyBorder="1" applyAlignment="1">
      <alignment horizontal="right" vertical="top"/>
    </xf>
    <xf numFmtId="10" fontId="9" fillId="0" borderId="10" xfId="0" applyNumberFormat="1" applyFont="1" applyBorder="1" applyAlignment="1">
      <alignment horizontal="right" vertical="top"/>
    </xf>
    <xf numFmtId="10" fontId="9" fillId="0" borderId="16" xfId="0" applyNumberFormat="1" applyFont="1" applyBorder="1" applyAlignment="1">
      <alignment horizontal="right" vertical="top"/>
    </xf>
    <xf numFmtId="10" fontId="9" fillId="2" borderId="16" xfId="0" applyNumberFormat="1" applyFont="1" applyFill="1" applyBorder="1" applyAlignment="1">
      <alignment horizontal="right" vertical="top"/>
    </xf>
    <xf numFmtId="10" fontId="9" fillId="2" borderId="19" xfId="0" applyNumberFormat="1" applyFont="1" applyFill="1" applyBorder="1" applyAlignment="1">
      <alignment horizontal="right" vertical="top"/>
    </xf>
    <xf numFmtId="168" fontId="25" fillId="0" borderId="18" xfId="0" applyNumberFormat="1" applyFont="1" applyBorder="1" applyAlignment="1">
      <alignment horizontal="right" vertical="top"/>
    </xf>
    <xf numFmtId="0" fontId="5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2" fontId="5" fillId="0" borderId="0" xfId="1" applyNumberFormat="1" applyFont="1" applyAlignment="1" applyProtection="1">
      <alignment horizontal="center" vertical="top"/>
      <protection locked="0"/>
    </xf>
    <xf numFmtId="3" fontId="9" fillId="0" borderId="0" xfId="2" applyNumberFormat="1" applyFont="1" applyFill="1" applyBorder="1" applyAlignment="1" applyProtection="1">
      <alignment horizontal="right" vertical="center" wrapText="1"/>
      <protection locked="0"/>
    </xf>
    <xf numFmtId="0" fontId="6" fillId="0" borderId="0" xfId="5" applyFont="1" applyAlignment="1" applyProtection="1">
      <alignment horizontal="center" vertical="center"/>
      <protection locked="0"/>
    </xf>
    <xf numFmtId="10" fontId="7" fillId="0" borderId="10" xfId="5" applyNumberFormat="1" applyFont="1" applyBorder="1" applyAlignment="1">
      <alignment vertical="top"/>
    </xf>
    <xf numFmtId="168" fontId="5" fillId="0" borderId="10" xfId="1" applyNumberFormat="1" applyFont="1" applyBorder="1" applyAlignment="1">
      <alignment horizontal="center" vertical="top"/>
    </xf>
    <xf numFmtId="10" fontId="7" fillId="0" borderId="16" xfId="5" applyNumberFormat="1" applyFont="1" applyBorder="1" applyAlignment="1">
      <alignment vertical="top"/>
    </xf>
    <xf numFmtId="168" fontId="5" fillId="0" borderId="16" xfId="1" applyNumberFormat="1" applyFont="1" applyBorder="1" applyAlignment="1">
      <alignment horizontal="center" vertical="top"/>
    </xf>
    <xf numFmtId="10" fontId="7" fillId="2" borderId="16" xfId="5" applyNumberFormat="1" applyFont="1" applyFill="1" applyBorder="1" applyAlignment="1">
      <alignment vertical="top"/>
    </xf>
    <xf numFmtId="10" fontId="7" fillId="2" borderId="19" xfId="5" applyNumberFormat="1" applyFont="1" applyFill="1" applyBorder="1" applyAlignment="1">
      <alignment vertical="top"/>
    </xf>
    <xf numFmtId="168" fontId="5" fillId="0" borderId="19" xfId="1" applyNumberFormat="1" applyFon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174" fontId="22" fillId="0" borderId="0" xfId="0" applyNumberFormat="1" applyFont="1" applyAlignment="1">
      <alignment horizontal="left" vertical="center"/>
    </xf>
    <xf numFmtId="173" fontId="6" fillId="0" borderId="24" xfId="3" applyNumberFormat="1" applyFont="1" applyBorder="1" applyAlignment="1" applyProtection="1">
      <alignment horizontal="center" vertical="center"/>
    </xf>
    <xf numFmtId="173" fontId="6" fillId="0" borderId="25" xfId="3" applyNumberFormat="1" applyFont="1" applyBorder="1" applyAlignment="1" applyProtection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173" fontId="5" fillId="0" borderId="24" xfId="3" applyNumberFormat="1" applyFont="1" applyBorder="1" applyAlignment="1" applyProtection="1">
      <alignment horizontal="center" vertical="center"/>
    </xf>
    <xf numFmtId="173" fontId="5" fillId="0" borderId="25" xfId="3" applyNumberFormat="1" applyFont="1" applyBorder="1" applyAlignment="1" applyProtection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</cellXfs>
  <cellStyles count="11">
    <cellStyle name="Comma" xfId="3" builtinId="3"/>
    <cellStyle name="Normal" xfId="0" builtinId="0"/>
    <cellStyle name="Normal 2" xfId="1" xr:uid="{00000000-0005-0000-0000-000003000000}"/>
    <cellStyle name="Normal 2 2" xfId="5" xr:uid="{00000000-0005-0000-0000-000004000000}"/>
    <cellStyle name="Normal 3" xfId="7" xr:uid="{00000000-0005-0000-0000-000005000000}"/>
    <cellStyle name="Normal 4" xfId="9" xr:uid="{00000000-0005-0000-0000-000006000000}"/>
    <cellStyle name="Normal 5" xfId="4" xr:uid="{00000000-0005-0000-0000-000007000000}"/>
    <cellStyle name="Normale_GasProp" xfId="8" xr:uid="{00000000-0005-0000-0000-000008000000}"/>
    <cellStyle name="Percent 2" xfId="2" xr:uid="{00000000-0005-0000-0000-00000A000000}"/>
    <cellStyle name="Percent 2 2" xfId="10" xr:uid="{00000000-0005-0000-0000-00000B000000}"/>
    <cellStyle name="Percent 3" xfId="6" xr:uid="{00000000-0005-0000-0000-00000C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I16"/>
  <sheetViews>
    <sheetView workbookViewId="0">
      <selection activeCell="H9" sqref="A1:XFD1048576"/>
    </sheetView>
  </sheetViews>
  <sheetFormatPr defaultColWidth="10.7265625" defaultRowHeight="20.149999999999999" customHeight="1" x14ac:dyDescent="0.35"/>
  <cols>
    <col min="1" max="3" width="12.7265625" style="90" customWidth="1"/>
    <col min="4" max="4" width="6.7265625" style="90" customWidth="1"/>
    <col min="5" max="5" width="16.7265625" style="90" customWidth="1"/>
    <col min="6" max="7" width="10.7265625" style="90"/>
    <col min="8" max="8" width="22.7265625" style="90" customWidth="1"/>
    <col min="9" max="9" width="14.7265625" style="90" customWidth="1"/>
    <col min="10" max="16384" width="10.7265625" style="90"/>
  </cols>
  <sheetData>
    <row r="1" spans="1:9" ht="20.149999999999999" customHeight="1" x14ac:dyDescent="0.35">
      <c r="A1" s="161" t="str">
        <f>"Biaya "&amp;DAY($I$1)&amp;" - "&amp;TEXT(EOMONTH($I$1,0),"[$-id-ID]d mmmm yyyy;@")</f>
        <v>Biaya 1 - 31 Januari 2026</v>
      </c>
      <c r="B1" s="161"/>
      <c r="C1" s="161"/>
      <c r="D1" s="161"/>
      <c r="E1" s="161"/>
      <c r="H1" s="118" t="s">
        <v>62</v>
      </c>
      <c r="I1" s="127">
        <v>46023</v>
      </c>
    </row>
    <row r="2" spans="1:9" ht="20.149999999999999" customHeight="1" x14ac:dyDescent="0.35">
      <c r="H2" s="118" t="s">
        <v>72</v>
      </c>
      <c r="I2" s="128">
        <v>1500000</v>
      </c>
    </row>
    <row r="3" spans="1:9" ht="20.149999999999999" customHeight="1" thickBot="1" x14ac:dyDescent="0.4">
      <c r="A3" s="91"/>
      <c r="B3" s="91"/>
      <c r="C3" s="91"/>
      <c r="D3" s="91"/>
      <c r="E3" s="91"/>
      <c r="H3" s="118" t="s">
        <v>64</v>
      </c>
      <c r="I3" s="129">
        <v>0.25</v>
      </c>
    </row>
    <row r="4" spans="1:9" ht="20.149999999999999" customHeight="1" thickBot="1" x14ac:dyDescent="0.4">
      <c r="A4" s="168" t="s">
        <v>6</v>
      </c>
      <c r="B4" s="164"/>
      <c r="C4" s="164"/>
      <c r="D4" s="164" t="s">
        <v>7</v>
      </c>
      <c r="E4" s="165"/>
    </row>
    <row r="5" spans="1:9" ht="20.149999999999999" customHeight="1" thickBot="1" x14ac:dyDescent="0.4">
      <c r="A5" s="92" t="str">
        <f>"Untuk 1 unit "&amp;'7116'!$D$3</f>
        <v>Untuk 1 unit {{unit_sn}}</v>
      </c>
      <c r="B5" s="93"/>
      <c r="C5" s="94"/>
      <c r="D5" s="169" t="e">
        <f>'7116'!S37</f>
        <v>#VALUE!</v>
      </c>
      <c r="E5" s="170"/>
    </row>
    <row r="6" spans="1:9" ht="20.149999999999999" customHeight="1" thickBot="1" x14ac:dyDescent="0.4">
      <c r="A6" s="166" t="s">
        <v>8</v>
      </c>
      <c r="B6" s="167"/>
      <c r="C6" s="167"/>
      <c r="D6" s="162" t="e">
        <f>SUM(D5:E5)</f>
        <v>#VALUE!</v>
      </c>
      <c r="E6" s="163"/>
    </row>
    <row r="9" spans="1:9" ht="20.149999999999999" customHeight="1" x14ac:dyDescent="0.35">
      <c r="A9" s="90" t="s">
        <v>9</v>
      </c>
      <c r="E9" s="90" t="s">
        <v>10</v>
      </c>
    </row>
    <row r="15" spans="1:9" ht="20.149999999999999" customHeight="1" x14ac:dyDescent="0.3">
      <c r="A15" s="88" t="s">
        <v>75</v>
      </c>
      <c r="B15" s="96"/>
      <c r="C15" s="96"/>
      <c r="D15" s="88"/>
      <c r="E15" s="88" t="s">
        <v>12</v>
      </c>
    </row>
    <row r="16" spans="1:9" ht="20.149999999999999" customHeight="1" x14ac:dyDescent="0.35">
      <c r="A16" s="89" t="s">
        <v>74</v>
      </c>
      <c r="B16" s="97"/>
      <c r="C16" s="97"/>
      <c r="D16" s="97"/>
      <c r="E16" s="89" t="s">
        <v>13</v>
      </c>
    </row>
  </sheetData>
  <sheetProtection formatColumns="0" formatRows="0" insertColumns="0" insertRows="0" sort="0" autoFilter="0" pivotTables="0"/>
  <mergeCells count="6">
    <mergeCell ref="A1:E1"/>
    <mergeCell ref="D6:E6"/>
    <mergeCell ref="D4:E4"/>
    <mergeCell ref="A6:C6"/>
    <mergeCell ref="A4:C4"/>
    <mergeCell ref="D5:E5"/>
  </mergeCells>
  <printOptions horizontalCentered="1"/>
  <pageMargins left="0.39370078740157483" right="0.39370078740157483" top="0.59055118110236227" bottom="0.59055118110236227" header="0.31496062992125984" footer="0.31496062992125984"/>
  <pageSetup paperSize="9"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T478"/>
  <sheetViews>
    <sheetView topLeftCell="A19" workbookViewId="0">
      <selection activeCell="F3" sqref="F3:F33"/>
    </sheetView>
  </sheetViews>
  <sheetFormatPr defaultColWidth="16.7265625" defaultRowHeight="20.149999999999999" customHeight="1" x14ac:dyDescent="0.35"/>
  <cols>
    <col min="1" max="1" width="10.7265625" style="11" customWidth="1"/>
    <col min="2" max="3" width="12.7265625" style="62" customWidth="1"/>
    <col min="4" max="4" width="15.7265625" style="63" customWidth="1"/>
    <col min="5" max="5" width="12.7265625" style="64" customWidth="1"/>
    <col min="6" max="6" width="15.7265625" style="65" customWidth="1"/>
    <col min="7" max="7" width="20.7265625" style="63" customWidth="1"/>
    <col min="8" max="8" width="15.7265625" style="63" customWidth="1"/>
    <col min="9" max="10" width="16.7265625" style="28"/>
    <col min="11" max="18" width="0" style="28" hidden="1" customWidth="1"/>
    <col min="19" max="19" width="0" style="11" hidden="1" customWidth="1"/>
    <col min="20" max="20" width="0" style="28" hidden="1" customWidth="1"/>
    <col min="21" max="16384" width="16.7265625" style="28"/>
  </cols>
  <sheetData>
    <row r="1" spans="1:20" s="11" customFormat="1" ht="40" customHeight="1" x14ac:dyDescent="0.35">
      <c r="A1" s="171" t="s">
        <v>14</v>
      </c>
      <c r="B1" s="9" t="s">
        <v>15</v>
      </c>
      <c r="C1" s="9" t="s">
        <v>16</v>
      </c>
      <c r="D1" s="9" t="s">
        <v>17</v>
      </c>
      <c r="E1" s="173" t="s">
        <v>18</v>
      </c>
      <c r="F1" s="9" t="s">
        <v>19</v>
      </c>
      <c r="G1" s="9" t="s">
        <v>20</v>
      </c>
      <c r="H1" s="9" t="s">
        <v>21</v>
      </c>
      <c r="I1" s="10"/>
      <c r="J1" s="10"/>
      <c r="Q1" s="12" t="s">
        <v>22</v>
      </c>
      <c r="R1" s="12" t="s">
        <v>23</v>
      </c>
      <c r="S1" s="12" t="s">
        <v>24</v>
      </c>
      <c r="T1" s="12" t="s">
        <v>25</v>
      </c>
    </row>
    <row r="2" spans="1:20" s="11" customFormat="1" ht="20.149999999999999" customHeight="1" thickBot="1" x14ac:dyDescent="0.4">
      <c r="A2" s="172"/>
      <c r="B2" s="13" t="s">
        <v>26</v>
      </c>
      <c r="C2" s="13" t="s">
        <v>26</v>
      </c>
      <c r="D2" s="13" t="s">
        <v>27</v>
      </c>
      <c r="E2" s="174"/>
      <c r="F2" s="13" t="s">
        <v>28</v>
      </c>
      <c r="G2" s="13" t="s">
        <v>27</v>
      </c>
      <c r="H2" s="13" t="s">
        <v>27</v>
      </c>
      <c r="I2" s="10"/>
      <c r="J2" s="10"/>
      <c r="K2" s="14">
        <v>1</v>
      </c>
      <c r="Q2" s="15">
        <v>-9</v>
      </c>
      <c r="R2" s="15">
        <v>50</v>
      </c>
      <c r="S2" s="16" t="s">
        <v>29</v>
      </c>
      <c r="T2" s="17">
        <v>19.2</v>
      </c>
    </row>
    <row r="3" spans="1:20" ht="20.149999999999999" customHeight="1" thickBot="1" x14ac:dyDescent="0.4">
      <c r="A3" s="18">
        <v>1</v>
      </c>
      <c r="B3" s="19">
        <v>-0.2</v>
      </c>
      <c r="C3" s="20">
        <v>59.8</v>
      </c>
      <c r="D3" s="21">
        <v>80.900000000000006</v>
      </c>
      <c r="E3" s="66">
        <v>1</v>
      </c>
      <c r="F3" s="22">
        <f>IF(AND(D3="",G3=""),"",D3/G3)</f>
        <v>0.72183676674233022</v>
      </c>
      <c r="G3" s="23">
        <f>IF(AND(E3="",H3=""),"",IF(D3&lt;1,H3*E3/1000,H3*E3))</f>
        <v>112.0752</v>
      </c>
      <c r="H3" s="24">
        <f>IF(OR(B3="",C3=""),"",M4)</f>
        <v>112.0752</v>
      </c>
      <c r="I3" s="25"/>
      <c r="J3" s="26"/>
      <c r="K3" s="27" t="s">
        <v>30</v>
      </c>
      <c r="L3" s="27" t="s">
        <v>31</v>
      </c>
      <c r="M3" s="27" t="s">
        <v>17</v>
      </c>
      <c r="Q3" s="15">
        <v>-8</v>
      </c>
      <c r="R3" s="15">
        <v>50</v>
      </c>
      <c r="S3" s="16" t="s">
        <v>29</v>
      </c>
      <c r="T3" s="17">
        <v>30</v>
      </c>
    </row>
    <row r="4" spans="1:20" ht="20.149999999999999" customHeight="1" thickBot="1" x14ac:dyDescent="0.4">
      <c r="A4" s="29">
        <v>2</v>
      </c>
      <c r="B4" s="19">
        <v>0</v>
      </c>
      <c r="C4" s="30">
        <v>60.5</v>
      </c>
      <c r="D4" s="31">
        <v>99</v>
      </c>
      <c r="E4" s="32">
        <v>1</v>
      </c>
      <c r="F4" s="33">
        <f t="shared" ref="F4:F33" si="0">IF(AND(D4="",G4=""),"",D4/G4)</f>
        <v>0.86878685762426289</v>
      </c>
      <c r="G4" s="34">
        <f t="shared" ref="G4:G33" si="1">IF(AND(E4="",H4=""),"",IF(D4&lt;1,H4*E4/1000,H4*E4))</f>
        <v>113.952</v>
      </c>
      <c r="H4" s="35">
        <f>IF(OR(B4="",C4=""),"",M14)</f>
        <v>113.952</v>
      </c>
      <c r="I4" s="25"/>
      <c r="J4" s="26"/>
      <c r="K4" s="36">
        <f>B3</f>
        <v>-0.2</v>
      </c>
      <c r="L4" s="37">
        <f>C3</f>
        <v>59.8</v>
      </c>
      <c r="M4" s="38">
        <f>IF(OR(K4="",L4=""),"",IF(N8&lt;&gt;"",N8,IF(OR(M8&lt;&gt;"",N7&lt;&gt;"",O8&lt;&gt;"",N9&lt;&gt;""),MIN(M8,N7,O8,N9),MIN(M7:O9))))</f>
        <v>112.0752</v>
      </c>
      <c r="Q4" s="15">
        <v>-7</v>
      </c>
      <c r="R4" s="15">
        <v>50</v>
      </c>
      <c r="S4" s="16" t="s">
        <v>29</v>
      </c>
      <c r="T4" s="17">
        <v>41.4</v>
      </c>
    </row>
    <row r="5" spans="1:20" ht="20.149999999999999" customHeight="1" x14ac:dyDescent="0.35">
      <c r="A5" s="29">
        <v>3</v>
      </c>
      <c r="B5" s="19">
        <v>-0.1</v>
      </c>
      <c r="C5" s="30">
        <v>60.6</v>
      </c>
      <c r="D5" s="31">
        <v>96.5</v>
      </c>
      <c r="E5" s="32">
        <v>1</v>
      </c>
      <c r="F5" s="33">
        <f t="shared" si="0"/>
        <v>0.8558424327565044</v>
      </c>
      <c r="G5" s="34">
        <f t="shared" si="1"/>
        <v>112.7544</v>
      </c>
      <c r="H5" s="35">
        <f>IF(OR(B5="",C5=""),"",M24)</f>
        <v>112.7544</v>
      </c>
      <c r="I5" s="25"/>
      <c r="J5" s="26"/>
      <c r="L5" s="28" t="s">
        <v>11</v>
      </c>
      <c r="N5" s="39" t="s">
        <v>32</v>
      </c>
      <c r="Q5" s="15">
        <v>-6</v>
      </c>
      <c r="R5" s="15">
        <v>50</v>
      </c>
      <c r="S5" s="16" t="s">
        <v>29</v>
      </c>
      <c r="T5" s="17">
        <v>52.199999999999996</v>
      </c>
    </row>
    <row r="6" spans="1:20" ht="20.149999999999999" customHeight="1" x14ac:dyDescent="0.35">
      <c r="A6" s="29">
        <v>4</v>
      </c>
      <c r="B6" s="20">
        <v>0</v>
      </c>
      <c r="C6" s="30">
        <v>61.7</v>
      </c>
      <c r="D6" s="31">
        <v>102.3</v>
      </c>
      <c r="E6" s="32">
        <v>1</v>
      </c>
      <c r="F6" s="33">
        <f t="shared" si="0"/>
        <v>0.90322512290218693</v>
      </c>
      <c r="G6" s="34">
        <f t="shared" si="1"/>
        <v>113.26079999999999</v>
      </c>
      <c r="H6" s="35">
        <f>IF(OR(B6="",C6=""),"",M37)</f>
        <v>113.26079999999999</v>
      </c>
      <c r="I6" s="25"/>
      <c r="J6" s="26"/>
      <c r="L6" s="26"/>
      <c r="M6" s="26">
        <f>IF(N6&gt;=350,350,IF(N6&gt;=325,325,IF(N6&gt;=300,300,IF(N6&gt;=275,275,IF(N6&gt;=250,250,IF(N6&gt;=225,225,IF(N6&gt;=200,200,IF(N6&gt;=175,175,IF(N6&gt;=150,150,IF(N6&gt;=125,125,IF(N6&gt;=100,100,IF(N6&gt;=75,75,50))))))))))))</f>
        <v>50</v>
      </c>
      <c r="N6" s="37">
        <f>L4</f>
        <v>59.8</v>
      </c>
      <c r="O6" s="26">
        <f>IF(N6&lt;=50,50,IF(N6&lt;=75,75,IF(N6&lt;=100,100,IF(N6&lt;=125,125,IF(N6&lt;=150,150,IF(N6&lt;=175,175,IF(N6&lt;=200,200,IF(N6&lt;=225,225,IF(N6&lt;=250,250,IF(N6&lt;=275,275,IF(N6&lt;=300,300,IF(N6&lt;=325,325,350))))))))))))</f>
        <v>75</v>
      </c>
      <c r="Q6" s="15">
        <v>-5</v>
      </c>
      <c r="R6" s="15">
        <v>50</v>
      </c>
      <c r="S6" s="16" t="s">
        <v>29</v>
      </c>
      <c r="T6" s="17">
        <v>63.599999999999994</v>
      </c>
    </row>
    <row r="7" spans="1:20" ht="20.149999999999999" customHeight="1" x14ac:dyDescent="0.35">
      <c r="A7" s="29">
        <v>5</v>
      </c>
      <c r="B7" s="20">
        <v>0</v>
      </c>
      <c r="C7" s="20">
        <v>61</v>
      </c>
      <c r="D7" s="31">
        <v>95.1</v>
      </c>
      <c r="E7" s="32">
        <v>1</v>
      </c>
      <c r="F7" s="33">
        <f t="shared" si="0"/>
        <v>0.83667652027027017</v>
      </c>
      <c r="G7" s="34">
        <f t="shared" si="1"/>
        <v>113.664</v>
      </c>
      <c r="H7" s="35">
        <f>IF(OR(B7="",C7=""),"",M47)</f>
        <v>113.664</v>
      </c>
      <c r="I7" s="25"/>
      <c r="J7" s="26"/>
      <c r="L7" s="26">
        <f>IF(L8&gt;=0,ROUNDDOWN(L8,0),ROUNDUP(L8,0))</f>
        <v>-1</v>
      </c>
      <c r="M7" s="40">
        <f>IF(M6=350,VLOOKUP($L7,$Q$454:$T$478,4),IF(M6=325,VLOOKUP(L7,$Q$426:$T$453,4),IF(M6=300,VLOOKUP(L7,$Q$395:$T$425,4),IF(M6=275,VLOOKUP(L7,$Q$362:$T$394,4),IF(M6=250,VLOOKUP(L7,$Q$329:$T$361,4),IF(M6=225,VLOOKUP(L7,$Q$294:$T$328,4),IF(M6=200,VLOOKUP(L7,$Q$258:$T$293,4),IF(M6=175,VLOOKUP(L7,$Q$224:$T$257,4),IF(M6=150,VLOOKUP(L7,$Q$179:$T$222,4),IF(M6=125,VLOOKUP(L7,$Q$128:$T$177,4),IF(M6=100,VLOOKUP(L7,$Q$83:$T$126,4),IF(M6=75,VLOOKUP(L7,$Q$41:$T$81,4),IF(M6=50,VLOOKUP(L7,$Q$2:$T$39,4))))))))))))))</f>
        <v>108.6</v>
      </c>
      <c r="N7" s="41">
        <f>IFERROR((N6-M6)/(O6-M6)*(O7-M7)+M7,"")</f>
        <v>102.9552</v>
      </c>
      <c r="O7" s="40">
        <f>IF(O$6=350,VLOOKUP($L7,$Q$454:$T$478,4),IF(O$6=325,VLOOKUP($L7,$Q$426:$T$453,4),IF(O$6=300,VLOOKUP($L7,$Q$395:$T$425,4),IF(O$6=275,VLOOKUP($L7,$Q$362:$T$394,4),IF(O$6=250,VLOOKUP($L7,$Q$329:$T$361,4),IF(O$6=225,VLOOKUP($L7,$Q$294:$T$328,4),IF(O$6=200,VLOOKUP($L7,$Q$258:$T$293,4),IF(O$6=175,VLOOKUP($L7,$Q$224:$T$257,4),IF(O$6=150,VLOOKUP($L7,$Q$179:$T$222,4),IF(O$6=125,VLOOKUP($L7,$Q$128:$T$177,4),IF(O$6=100,VLOOKUP($L7,$Q$83:$T$126,4),IF(O$6=75,VLOOKUP($L7,$Q$41:$T$81,4),IF(O$6=50,VLOOKUP($L7,$Q$2:$T$39,4))))))))))))))</f>
        <v>94.2</v>
      </c>
      <c r="Q7" s="15">
        <v>-4</v>
      </c>
      <c r="R7" s="15">
        <v>50</v>
      </c>
      <c r="S7" s="16" t="s">
        <v>29</v>
      </c>
      <c r="T7" s="17">
        <v>74.399999999999991</v>
      </c>
    </row>
    <row r="8" spans="1:20" ht="20.149999999999999" customHeight="1" x14ac:dyDescent="0.35">
      <c r="A8" s="29">
        <v>6</v>
      </c>
      <c r="B8" s="20">
        <v>0.1</v>
      </c>
      <c r="C8" s="30">
        <v>60.4</v>
      </c>
      <c r="D8" s="31">
        <v>102</v>
      </c>
      <c r="E8" s="32">
        <v>1</v>
      </c>
      <c r="F8" s="33">
        <f t="shared" si="0"/>
        <v>0.88672828558910066</v>
      </c>
      <c r="G8" s="34">
        <f t="shared" si="1"/>
        <v>115.02959999999999</v>
      </c>
      <c r="H8" s="35">
        <f>IF(OR(B8="",C8=""),"",M57)</f>
        <v>115.02959999999999</v>
      </c>
      <c r="I8" s="25"/>
      <c r="J8" s="26"/>
      <c r="K8" s="42" t="s">
        <v>33</v>
      </c>
      <c r="L8" s="36">
        <f>K4</f>
        <v>-0.2</v>
      </c>
      <c r="M8" s="41">
        <f>IFERROR((L8-L7)/(L9-L7)*(M9-M7)+M7,"")</f>
        <v>117.72</v>
      </c>
      <c r="N8" s="38">
        <f>IFERROR((N6-O6)/(M6-O6)*(M8-O8)+O8,"")</f>
        <v>112.0752</v>
      </c>
      <c r="O8" s="41">
        <f>IFERROR((L8-L7)/(L9-L7)*(O9-O7)+O7,"")</f>
        <v>103.32</v>
      </c>
      <c r="Q8" s="15">
        <v>-3</v>
      </c>
      <c r="R8" s="15">
        <v>50</v>
      </c>
      <c r="S8" s="16" t="s">
        <v>29</v>
      </c>
      <c r="T8" s="17">
        <v>85.8</v>
      </c>
    </row>
    <row r="9" spans="1:20" ht="20.149999999999999" customHeight="1" x14ac:dyDescent="0.35">
      <c r="A9" s="29">
        <v>7</v>
      </c>
      <c r="B9" s="20">
        <v>0</v>
      </c>
      <c r="C9" s="30">
        <v>60.4</v>
      </c>
      <c r="D9" s="31">
        <v>97</v>
      </c>
      <c r="E9" s="32">
        <v>1</v>
      </c>
      <c r="F9" s="33">
        <f t="shared" si="0"/>
        <v>0.85080554619961823</v>
      </c>
      <c r="G9" s="34">
        <f t="shared" si="1"/>
        <v>114.00960000000001</v>
      </c>
      <c r="H9" s="35">
        <f>IF(OR(B9="",C9=""),"",M67)</f>
        <v>114.00960000000001</v>
      </c>
      <c r="I9" s="25"/>
      <c r="J9" s="26"/>
      <c r="L9" s="26">
        <f>IF(L8&gt;=0,ROUNDUP(L8,0),ROUNDDOWN(L8,0))</f>
        <v>0</v>
      </c>
      <c r="M9" s="40">
        <f>IF(M6=350,VLOOKUP($L9,$Q$454:$T$478,4),IF(M6=325,VLOOKUP(L9,$Q$426:$T$453,4),IF(M6=300,VLOOKUP(L9,$Q$395:$T$425,4),IF(M6=275,VLOOKUP(L9,$Q$362:$T$394,4),IF(M6=250,VLOOKUP(L9,$Q$329:$T$361,4),IF(M6=225,VLOOKUP(L9,$Q$294:$T$328,4),IF(M6=200,VLOOKUP(L9,$Q$258:$T$293,4),IF(M6=175,VLOOKUP(L9,$Q$224:$T$257,4),IF(M6=150,VLOOKUP(L9,$Q$179:$T$222,4),IF(M6=125,VLOOKUP(L9,$Q$128:$T$177,4),IF(M6=100,VLOOKUP(L9,$Q$83:$T$126,4),IF(M6=75,VLOOKUP(L9,$Q$41:$T$81,4),IF(M6=50,VLOOKUP(L9,$Q$2:$T$39,4))))))))))))))</f>
        <v>120</v>
      </c>
      <c r="N9" s="41">
        <f>IFERROR((N6-M6)/(O6-M6)*(O9-M9)+M9,"")</f>
        <v>114.3552</v>
      </c>
      <c r="O9" s="40">
        <f>IF(O$6=350,VLOOKUP($L9,$Q$454:$T$478,4),IF(O$6=325,VLOOKUP($L9,$Q$426:$T$453,4),IF(O$6=300,VLOOKUP($L9,$Q$395:$T$425,4),IF(O$6=275,VLOOKUP($L9,$Q$362:$T$394,4),IF(O$6=250,VLOOKUP($L9,$Q$329:$T$361,4),IF(O$6=225,VLOOKUP($L9,$Q$294:$T$328,4),IF(O$6=200,VLOOKUP($L9,$Q$258:$T$293,4),IF(O$6=175,VLOOKUP($L9,$Q$224:$T$257,4),IF(O$6=150,VLOOKUP($L9,$Q$179:$T$222,4),IF(O$6=125,VLOOKUP($L9,$Q$128:$T$177,4),IF(O$6=100,VLOOKUP($L9,$Q$83:$T$126,4),IF(O$6=75,VLOOKUP($L9,$Q$41:$T$81,4),IF(O$6=50,VLOOKUP($L9,$Q$2:$T$39,4))))))))))))))</f>
        <v>105.6</v>
      </c>
      <c r="Q9" s="15">
        <v>-2</v>
      </c>
      <c r="R9" s="15">
        <v>50</v>
      </c>
      <c r="S9" s="16" t="s">
        <v>29</v>
      </c>
      <c r="T9" s="17">
        <v>97.2</v>
      </c>
    </row>
    <row r="10" spans="1:20" ht="20.149999999999999" customHeight="1" x14ac:dyDescent="0.35">
      <c r="A10" s="29">
        <v>8</v>
      </c>
      <c r="B10" s="20">
        <v>0.3</v>
      </c>
      <c r="C10" s="30">
        <v>61.2</v>
      </c>
      <c r="D10" s="31">
        <v>88.6</v>
      </c>
      <c r="E10" s="32">
        <v>1</v>
      </c>
      <c r="F10" s="33">
        <f t="shared" si="0"/>
        <v>0.75980543492429387</v>
      </c>
      <c r="G10" s="34">
        <f t="shared" si="1"/>
        <v>116.6088</v>
      </c>
      <c r="H10" s="35">
        <f>IF(OR(B10="",C10=""),"",M77)</f>
        <v>116.6088</v>
      </c>
      <c r="I10" s="25"/>
      <c r="J10" s="26"/>
      <c r="Q10" s="15">
        <v>-1</v>
      </c>
      <c r="R10" s="15">
        <v>50</v>
      </c>
      <c r="S10" s="16" t="s">
        <v>29</v>
      </c>
      <c r="T10" s="17">
        <v>108.6</v>
      </c>
    </row>
    <row r="11" spans="1:20" ht="20.149999999999999" customHeight="1" x14ac:dyDescent="0.35">
      <c r="A11" s="29">
        <v>9</v>
      </c>
      <c r="B11" s="30">
        <v>0.1</v>
      </c>
      <c r="C11" s="30">
        <v>61.2</v>
      </c>
      <c r="D11" s="31">
        <v>102.3</v>
      </c>
      <c r="E11" s="32">
        <v>1</v>
      </c>
      <c r="F11" s="33">
        <f t="shared" si="0"/>
        <v>0.89291325387016363</v>
      </c>
      <c r="G11" s="34">
        <f t="shared" si="1"/>
        <v>114.5688</v>
      </c>
      <c r="H11" s="35">
        <f>IF(OR(B11="",C11=""),"",M87)</f>
        <v>114.5688</v>
      </c>
      <c r="I11" s="25"/>
      <c r="J11" s="26"/>
      <c r="Q11" s="15">
        <v>0</v>
      </c>
      <c r="R11" s="15">
        <v>50</v>
      </c>
      <c r="S11" s="16" t="s">
        <v>29</v>
      </c>
      <c r="T11" s="17">
        <v>120</v>
      </c>
    </row>
    <row r="12" spans="1:20" ht="20.149999999999999" customHeight="1" x14ac:dyDescent="0.35">
      <c r="A12" s="29">
        <v>10</v>
      </c>
      <c r="B12" s="30">
        <v>0.2</v>
      </c>
      <c r="C12" s="30">
        <v>61</v>
      </c>
      <c r="D12" s="31">
        <v>99</v>
      </c>
      <c r="E12" s="32">
        <v>1</v>
      </c>
      <c r="F12" s="33">
        <f t="shared" si="0"/>
        <v>0.85563161169881774</v>
      </c>
      <c r="G12" s="34">
        <f t="shared" si="1"/>
        <v>115.70399999999999</v>
      </c>
      <c r="H12" s="35">
        <f>IF(OR(B12="",C12=""),"",M97)</f>
        <v>115.70399999999999</v>
      </c>
      <c r="I12" s="25"/>
      <c r="J12" s="26"/>
      <c r="K12" s="14">
        <v>2</v>
      </c>
      <c r="L12" s="11"/>
      <c r="M12" s="11"/>
      <c r="Q12" s="15">
        <v>1</v>
      </c>
      <c r="R12" s="15">
        <v>50</v>
      </c>
      <c r="S12" s="16" t="s">
        <v>29</v>
      </c>
      <c r="T12" s="17">
        <v>130.19999999999999</v>
      </c>
    </row>
    <row r="13" spans="1:20" ht="20.149999999999999" customHeight="1" x14ac:dyDescent="0.35">
      <c r="A13" s="29">
        <v>11</v>
      </c>
      <c r="B13" s="30">
        <v>-0.3</v>
      </c>
      <c r="C13" s="30">
        <v>59.8</v>
      </c>
      <c r="D13" s="31">
        <v>104.4</v>
      </c>
      <c r="E13" s="32">
        <v>1</v>
      </c>
      <c r="F13" s="33">
        <f t="shared" si="0"/>
        <v>0.94108993358284843</v>
      </c>
      <c r="G13" s="34">
        <f t="shared" si="1"/>
        <v>110.93519999999999</v>
      </c>
      <c r="H13" s="35">
        <f>IF(OR(B13="",C13=""),"",M107)</f>
        <v>110.93519999999999</v>
      </c>
      <c r="I13" s="25"/>
      <c r="J13" s="26"/>
      <c r="K13" s="27" t="s">
        <v>30</v>
      </c>
      <c r="L13" s="27" t="s">
        <v>31</v>
      </c>
      <c r="M13" s="27" t="s">
        <v>17</v>
      </c>
      <c r="Q13" s="15">
        <v>2</v>
      </c>
      <c r="R13" s="15">
        <v>50</v>
      </c>
      <c r="S13" s="16" t="s">
        <v>29</v>
      </c>
      <c r="T13" s="17">
        <v>140.4</v>
      </c>
    </row>
    <row r="14" spans="1:20" ht="20.149999999999999" customHeight="1" x14ac:dyDescent="0.35">
      <c r="A14" s="29">
        <v>12</v>
      </c>
      <c r="B14" s="30">
        <v>0</v>
      </c>
      <c r="C14" s="30">
        <v>61.7</v>
      </c>
      <c r="D14" s="31">
        <v>95.3</v>
      </c>
      <c r="E14" s="32">
        <v>1</v>
      </c>
      <c r="F14" s="33">
        <f t="shared" si="0"/>
        <v>0.84142086229304403</v>
      </c>
      <c r="G14" s="34">
        <f t="shared" si="1"/>
        <v>113.26079999999999</v>
      </c>
      <c r="H14" s="35">
        <f>IF(OR(B14="",C14=""),"",M117)</f>
        <v>113.26079999999999</v>
      </c>
      <c r="I14" s="25"/>
      <c r="J14" s="26"/>
      <c r="K14" s="36">
        <f>B4</f>
        <v>0</v>
      </c>
      <c r="L14" s="37">
        <f>C4</f>
        <v>60.5</v>
      </c>
      <c r="M14" s="38">
        <f>IF(OR(K14="",L14=""),"",IF(N18&lt;&gt;"",N18,IF(OR(M18&lt;&gt;"",N17&lt;&gt;"",O18&lt;&gt;"",N19&lt;&gt;""),MIN(M18,N17,O18,N19),MIN(M17:O19))))</f>
        <v>113.952</v>
      </c>
      <c r="Q14" s="15">
        <v>3</v>
      </c>
      <c r="R14" s="15">
        <v>50</v>
      </c>
      <c r="S14" s="16" t="s">
        <v>29</v>
      </c>
      <c r="T14" s="17">
        <v>150.6</v>
      </c>
    </row>
    <row r="15" spans="1:20" ht="20.149999999999999" customHeight="1" x14ac:dyDescent="0.35">
      <c r="A15" s="29">
        <v>13</v>
      </c>
      <c r="B15" s="30">
        <v>0.2</v>
      </c>
      <c r="C15" s="30">
        <v>58.8</v>
      </c>
      <c r="D15" s="31">
        <v>95.3</v>
      </c>
      <c r="E15" s="32">
        <v>1</v>
      </c>
      <c r="F15" s="33">
        <f t="shared" si="0"/>
        <v>0.81473046356710033</v>
      </c>
      <c r="G15" s="34">
        <f t="shared" si="1"/>
        <v>116.9712</v>
      </c>
      <c r="H15" s="35">
        <f>IF(OR(B15="",C15=""),"",M127)</f>
        <v>116.9712</v>
      </c>
      <c r="I15" s="25"/>
      <c r="J15" s="26"/>
      <c r="L15" s="28" t="s">
        <v>11</v>
      </c>
      <c r="N15" s="39" t="s">
        <v>32</v>
      </c>
      <c r="Q15" s="15">
        <v>4</v>
      </c>
      <c r="R15" s="15">
        <v>50</v>
      </c>
      <c r="S15" s="16" t="s">
        <v>29</v>
      </c>
      <c r="T15" s="17">
        <v>161.4</v>
      </c>
    </row>
    <row r="16" spans="1:20" ht="20.149999999999999" customHeight="1" x14ac:dyDescent="0.35">
      <c r="A16" s="29">
        <v>14</v>
      </c>
      <c r="B16" s="30">
        <v>0.2</v>
      </c>
      <c r="C16" s="30">
        <v>60.6</v>
      </c>
      <c r="D16" s="31">
        <v>106.6</v>
      </c>
      <c r="E16" s="32">
        <v>1</v>
      </c>
      <c r="F16" s="33">
        <f t="shared" si="0"/>
        <v>0.91948550214604119</v>
      </c>
      <c r="G16" s="34">
        <f t="shared" si="1"/>
        <v>115.9344</v>
      </c>
      <c r="H16" s="35">
        <f>IF(OR(B16="",C16=""),"",M137)</f>
        <v>115.9344</v>
      </c>
      <c r="I16" s="25"/>
      <c r="J16" s="26"/>
      <c r="L16" s="26"/>
      <c r="M16" s="26">
        <f>IF(N16&gt;=350,350,IF(N16&gt;=325,325,IF(N16&gt;=300,300,IF(N16&gt;=275,275,IF(N16&gt;=250,250,IF(N16&gt;=225,225,IF(N16&gt;=200,200,IF(N16&gt;=175,175,IF(N16&gt;=150,150,IF(N16&gt;=125,125,IF(N16&gt;=100,100,IF(N16&gt;=75,75,50))))))))))))</f>
        <v>50</v>
      </c>
      <c r="N16" s="37">
        <f>L14</f>
        <v>60.5</v>
      </c>
      <c r="O16" s="26">
        <f>IF(N16&lt;=50,50,IF(N16&lt;=75,75,IF(N16&lt;=100,100,IF(N16&lt;=125,125,IF(N16&lt;=150,150,IF(N16&lt;=175,175,IF(N16&lt;=200,200,IF(N16&lt;=225,225,IF(N16&lt;=250,250,IF(N16&lt;=275,275,IF(N16&lt;=300,300,IF(N16&lt;=325,325,350))))))))))))</f>
        <v>75</v>
      </c>
      <c r="Q16" s="15">
        <v>5</v>
      </c>
      <c r="R16" s="15">
        <v>50</v>
      </c>
      <c r="S16" s="16" t="s">
        <v>29</v>
      </c>
      <c r="T16" s="17">
        <v>171.6</v>
      </c>
    </row>
    <row r="17" spans="1:20" ht="20.149999999999999" customHeight="1" x14ac:dyDescent="0.35">
      <c r="A17" s="29">
        <v>15</v>
      </c>
      <c r="B17" s="30">
        <v>0.6</v>
      </c>
      <c r="C17" s="30">
        <v>62.8</v>
      </c>
      <c r="D17" s="31">
        <v>117.1</v>
      </c>
      <c r="E17" s="32">
        <v>1</v>
      </c>
      <c r="F17" s="33">
        <f t="shared" si="0"/>
        <v>0.98612851503024912</v>
      </c>
      <c r="G17" s="34">
        <f t="shared" si="1"/>
        <v>118.74719999999999</v>
      </c>
      <c r="H17" s="35">
        <f>IF(OR(B17="",C17=""),"",M147)</f>
        <v>118.74719999999999</v>
      </c>
      <c r="I17" s="25"/>
      <c r="J17" s="26"/>
      <c r="L17" s="26">
        <f>IF(L18&gt;=0,ROUNDDOWN(L18,0),ROUNDUP(L18,0))</f>
        <v>0</v>
      </c>
      <c r="M17" s="40">
        <f>IF(M16=350,VLOOKUP($L17,$Q$454:$T$478,4),IF(M16=325,VLOOKUP(L17,$Q$426:$T$453,4),IF(M16=300,VLOOKUP(L17,$Q$395:$T$425,4),IF(M16=275,VLOOKUP(L17,$Q$362:$T$394,4),IF(M16=250,VLOOKUP(L17,$Q$329:$T$361,4),IF(M16=225,VLOOKUP(L17,$Q$294:$T$328,4),IF(M16=200,VLOOKUP(L17,$Q$258:$T$293,4),IF(M16=175,VLOOKUP(L17,$Q$224:$T$257,4),IF(M16=150,VLOOKUP(L17,$Q$179:$T$222,4),IF(M16=125,VLOOKUP(L17,$Q$128:$T$177,4),IF(M16=100,VLOOKUP(L17,$Q$83:$T$126,4),IF(M16=75,VLOOKUP(L17,$Q$41:$T$81,4),IF(M16=50,VLOOKUP(L17,$Q$2:$T$39,4))))))))))))))</f>
        <v>120</v>
      </c>
      <c r="N17" s="41">
        <f>IFERROR((N16-M16)/(O16-M16)*(O17-M17)+M17,"")</f>
        <v>113.952</v>
      </c>
      <c r="O17" s="40">
        <f>IF(O16=350,VLOOKUP($L17,$Q$454:$T$478,4),IF(O16=325,VLOOKUP($L17,$Q$426:$T$453,4),IF(O16=300,VLOOKUP($L17,$Q$395:$T$425,4),IF(O16=275,VLOOKUP($L17,$Q$362:$T$394,4),IF(O16=250,VLOOKUP($L17,$Q$329:$T$361,4),IF(O16=225,VLOOKUP($L17,$Q$294:$T$328,4),IF(O16=200,VLOOKUP($L17,$Q$258:$T$293,4),IF(O16=175,VLOOKUP($L17,$Q$224:$T$257,4),IF(O16=150,VLOOKUP($L17,$Q$179:$T$222,4),IF(O16=125,VLOOKUP($L17,$Q$128:$T$177,4),IF(O16=100,VLOOKUP($L17,$Q$83:$T$126,4),IF(O16=75,VLOOKUP($L17,$Q$41:$T$81,4),IF(O16=50,VLOOKUP($L17,$Q$2:$T$39,4))))))))))))))</f>
        <v>105.6</v>
      </c>
      <c r="Q17" s="15">
        <v>6</v>
      </c>
      <c r="R17" s="15">
        <v>50</v>
      </c>
      <c r="S17" s="16" t="s">
        <v>29</v>
      </c>
      <c r="T17" s="17">
        <v>181.79999999999998</v>
      </c>
    </row>
    <row r="18" spans="1:20" ht="20.149999999999999" customHeight="1" x14ac:dyDescent="0.35">
      <c r="A18" s="29">
        <v>16</v>
      </c>
      <c r="B18" s="30">
        <v>0.9</v>
      </c>
      <c r="C18" s="30">
        <v>63.9</v>
      </c>
      <c r="D18" s="31">
        <v>117.6</v>
      </c>
      <c r="E18" s="32">
        <v>1</v>
      </c>
      <c r="F18" s="33">
        <f t="shared" si="0"/>
        <v>0.97050842757828437</v>
      </c>
      <c r="G18" s="34">
        <f t="shared" si="1"/>
        <v>121.17359999999999</v>
      </c>
      <c r="H18" s="35">
        <f>IF(OR(B18="",C18=""),"",M157)</f>
        <v>121.17359999999999</v>
      </c>
      <c r="I18" s="25"/>
      <c r="J18" s="26"/>
      <c r="K18" s="42" t="s">
        <v>33</v>
      </c>
      <c r="L18" s="36">
        <f>K14</f>
        <v>0</v>
      </c>
      <c r="M18" s="41" t="str">
        <f>IFERROR((L18-L17)/(L19-L17)*(M19-M17)+M17,"")</f>
        <v/>
      </c>
      <c r="N18" s="38" t="str">
        <f>IFERROR((N16-O16)/(M16-O16)*(M18-O18)+O18,"")</f>
        <v/>
      </c>
      <c r="O18" s="41" t="str">
        <f>IFERROR((L18-L17)/(L19-L17)*(O19-O17)+O17,"")</f>
        <v/>
      </c>
      <c r="Q18" s="15">
        <v>7</v>
      </c>
      <c r="R18" s="15">
        <v>50</v>
      </c>
      <c r="S18" s="16" t="s">
        <v>29</v>
      </c>
      <c r="T18" s="17">
        <v>192</v>
      </c>
    </row>
    <row r="19" spans="1:20" ht="20.149999999999999" customHeight="1" x14ac:dyDescent="0.35">
      <c r="A19" s="29">
        <v>17</v>
      </c>
      <c r="B19" s="30">
        <v>1.4</v>
      </c>
      <c r="C19" s="30">
        <v>63.5</v>
      </c>
      <c r="D19" s="31">
        <v>130.30000000000001</v>
      </c>
      <c r="E19" s="32">
        <v>1</v>
      </c>
      <c r="F19" s="33">
        <f t="shared" si="0"/>
        <v>1.0300069563017771</v>
      </c>
      <c r="G19" s="34">
        <f t="shared" si="1"/>
        <v>126.504</v>
      </c>
      <c r="H19" s="35">
        <f>IF(OR(B19="",C19=""),"",M167)</f>
        <v>126.504</v>
      </c>
      <c r="I19" s="25"/>
      <c r="J19" s="26"/>
      <c r="L19" s="26">
        <f>IF(L18&gt;=0,ROUNDUP(L18,0),ROUNDDOWN(L18,0))</f>
        <v>0</v>
      </c>
      <c r="M19" s="40">
        <f>IF(M16=350,VLOOKUP($L19,$Q$454:$T$478,4),IF(M16=325,VLOOKUP(L19,$Q$426:$T$453,4),IF(M16=300,VLOOKUP(L19,$Q$395:$T$425,4),IF(M16=275,VLOOKUP(L19,$Q$362:$T$394,4),IF(M16=250,VLOOKUP(L19,$Q$329:$T$361,4),IF(M16=225,VLOOKUP(L19,$Q$294:$T$328,4),IF(M16=200,VLOOKUP(L19,$Q$258:$T$293,4),IF(M16=175,VLOOKUP(L19,$Q$224:$T$257,4),IF(M16=150,VLOOKUP(L19,$Q$179:$T$222,4),IF(M16=125,VLOOKUP(L19,$Q$128:$T$177,4),IF(M16=100,VLOOKUP(L19,$Q$83:$T$126,4),IF(M16=75,VLOOKUP(L19,$Q$41:$T$81,4),IF(M16=50,VLOOKUP(L19,$Q$2:$T$39,4))))))))))))))</f>
        <v>120</v>
      </c>
      <c r="N19" s="41">
        <f>IFERROR((N16-M16)/(O16-M16)*(O19-M19)+M19,"")</f>
        <v>113.952</v>
      </c>
      <c r="O19" s="40">
        <f>IF(O16=350,VLOOKUP($L19,$Q$454:$T$478,4),IF(O16=325,VLOOKUP($L19,$Q$426:$T$453,4),IF(O16=300,VLOOKUP($L19,$Q$395:$T$425,4),IF(O16=275,VLOOKUP($L19,$Q$362:$T$394,4),IF(O16=250,VLOOKUP($L19,$Q$329:$T$361,4),IF(O16=225,VLOOKUP($L19,$Q$294:$T$328,4),IF(O16=200,VLOOKUP($L19,$Q$258:$T$293,4),IF(O16=175,VLOOKUP($L19,$Q$224:$T$257,4),IF(O16=150,VLOOKUP($L19,$Q$179:$T$222,4),IF(O16=125,VLOOKUP($L19,$Q$128:$T$177,4),IF(O16=100,VLOOKUP($L19,$Q$83:$T$126,4),IF(O16=75,VLOOKUP($L19,$Q$41:$T$81,4),IF(O16=50,VLOOKUP($L19,$Q$2:$T$39,4))))))))))))))</f>
        <v>105.6</v>
      </c>
      <c r="Q19" s="15">
        <v>8</v>
      </c>
      <c r="R19" s="15">
        <v>50</v>
      </c>
      <c r="S19" s="16" t="s">
        <v>29</v>
      </c>
      <c r="T19" s="17">
        <v>202.79999999999998</v>
      </c>
    </row>
    <row r="20" spans="1:20" ht="20.149999999999999" customHeight="1" x14ac:dyDescent="0.35">
      <c r="A20" s="29">
        <v>18</v>
      </c>
      <c r="B20" s="30">
        <v>1.5</v>
      </c>
      <c r="C20" s="30">
        <v>63</v>
      </c>
      <c r="D20" s="31">
        <v>125.5</v>
      </c>
      <c r="E20" s="32">
        <v>1</v>
      </c>
      <c r="F20" s="33">
        <f t="shared" si="0"/>
        <v>0.98191093168090626</v>
      </c>
      <c r="G20" s="34">
        <f t="shared" si="1"/>
        <v>127.81200000000001</v>
      </c>
      <c r="H20" s="35">
        <f>IF(OR(B20="",C20=""),"",M177)</f>
        <v>127.81200000000001</v>
      </c>
      <c r="I20" s="25"/>
      <c r="J20" s="26"/>
      <c r="Q20" s="15">
        <v>9</v>
      </c>
      <c r="R20" s="15">
        <v>50</v>
      </c>
      <c r="S20" s="16" t="s">
        <v>29</v>
      </c>
      <c r="T20" s="17">
        <v>213</v>
      </c>
    </row>
    <row r="21" spans="1:20" ht="20.149999999999999" customHeight="1" x14ac:dyDescent="0.35">
      <c r="A21" s="29">
        <v>19</v>
      </c>
      <c r="B21" s="30">
        <v>1.5</v>
      </c>
      <c r="C21" s="30">
        <v>63.3</v>
      </c>
      <c r="D21" s="31">
        <v>119.7</v>
      </c>
      <c r="E21" s="32">
        <v>1</v>
      </c>
      <c r="F21" s="33">
        <f t="shared" si="0"/>
        <v>0.9377996728277832</v>
      </c>
      <c r="G21" s="34">
        <f t="shared" si="1"/>
        <v>127.63920000000002</v>
      </c>
      <c r="H21" s="35">
        <f>IF(OR(B21="",C21=""),"",M187)</f>
        <v>127.63920000000002</v>
      </c>
      <c r="I21" s="25"/>
      <c r="J21" s="26"/>
      <c r="Q21" s="15">
        <v>10</v>
      </c>
      <c r="R21" s="15">
        <v>50</v>
      </c>
      <c r="S21" s="16" t="s">
        <v>29</v>
      </c>
      <c r="T21" s="17">
        <v>223.79999999999998</v>
      </c>
    </row>
    <row r="22" spans="1:20" ht="20.149999999999999" customHeight="1" x14ac:dyDescent="0.35">
      <c r="A22" s="29">
        <v>20</v>
      </c>
      <c r="B22" s="30">
        <v>1.7</v>
      </c>
      <c r="C22" s="20">
        <v>62.9</v>
      </c>
      <c r="D22" s="31">
        <v>122.8</v>
      </c>
      <c r="E22" s="32">
        <v>1</v>
      </c>
      <c r="F22" s="33">
        <f t="shared" si="0"/>
        <v>0.94527271271715085</v>
      </c>
      <c r="G22" s="34">
        <f t="shared" si="1"/>
        <v>129.90960000000001</v>
      </c>
      <c r="H22" s="35">
        <f>IF(OR(B22="",C22=""),"",M197)</f>
        <v>129.90960000000001</v>
      </c>
      <c r="I22" s="25"/>
      <c r="J22" s="26"/>
      <c r="K22" s="14">
        <v>3</v>
      </c>
      <c r="L22" s="11"/>
      <c r="M22" s="11"/>
      <c r="Q22" s="15">
        <v>11</v>
      </c>
      <c r="R22" s="15">
        <v>50</v>
      </c>
      <c r="S22" s="16" t="s">
        <v>29</v>
      </c>
      <c r="T22" s="17">
        <v>234</v>
      </c>
    </row>
    <row r="23" spans="1:20" ht="20.149999999999999" customHeight="1" x14ac:dyDescent="0.35">
      <c r="A23" s="29">
        <v>21</v>
      </c>
      <c r="B23" s="30">
        <v>1.8</v>
      </c>
      <c r="C23" s="30">
        <v>63.2</v>
      </c>
      <c r="D23" s="31">
        <v>127.8</v>
      </c>
      <c r="E23" s="32">
        <v>1</v>
      </c>
      <c r="F23" s="33">
        <f t="shared" si="0"/>
        <v>0.97738702690796964</v>
      </c>
      <c r="G23" s="34">
        <f t="shared" si="1"/>
        <v>130.7568</v>
      </c>
      <c r="H23" s="35">
        <f>IF(OR(B23="",C23=""),"",M207)</f>
        <v>130.7568</v>
      </c>
      <c r="I23" s="25"/>
      <c r="J23" s="26"/>
      <c r="K23" s="27" t="s">
        <v>30</v>
      </c>
      <c r="L23" s="27" t="s">
        <v>31</v>
      </c>
      <c r="M23" s="27" t="s">
        <v>17</v>
      </c>
      <c r="Q23" s="15">
        <v>12</v>
      </c>
      <c r="R23" s="15">
        <v>50</v>
      </c>
      <c r="S23" s="16" t="s">
        <v>29</v>
      </c>
      <c r="T23" s="17">
        <v>244.2</v>
      </c>
    </row>
    <row r="24" spans="1:20" ht="20.149999999999999" customHeight="1" x14ac:dyDescent="0.35">
      <c r="A24" s="29">
        <v>22</v>
      </c>
      <c r="B24" s="30">
        <v>2.2000000000000002</v>
      </c>
      <c r="C24" s="30">
        <v>63.8</v>
      </c>
      <c r="D24" s="31">
        <v>135.5</v>
      </c>
      <c r="E24" s="32">
        <v>1</v>
      </c>
      <c r="F24" s="33">
        <f t="shared" si="0"/>
        <v>1.0075008625099635</v>
      </c>
      <c r="G24" s="34">
        <f t="shared" si="1"/>
        <v>134.49119999999999</v>
      </c>
      <c r="H24" s="35">
        <f>IF(OR(B24="",C24=""),"",M217)</f>
        <v>134.49119999999999</v>
      </c>
      <c r="I24" s="25"/>
      <c r="J24" s="26"/>
      <c r="K24" s="36">
        <f>B5</f>
        <v>-0.1</v>
      </c>
      <c r="L24" s="37">
        <f>C5</f>
        <v>60.6</v>
      </c>
      <c r="M24" s="38">
        <f>IF(OR(K24="",L24=""),"",IF(N28&lt;&gt;"",N28,IF(OR(M28&lt;&gt;"",N27&lt;&gt;"",O28&lt;&gt;"",N29&lt;&gt;""),MIN(M28,N27,O28,N29),MIN(M27:O29))))</f>
        <v>112.7544</v>
      </c>
      <c r="Q24" s="15">
        <v>13</v>
      </c>
      <c r="R24" s="15">
        <v>50</v>
      </c>
      <c r="S24" s="16" t="s">
        <v>29</v>
      </c>
      <c r="T24" s="17">
        <v>255</v>
      </c>
    </row>
    <row r="25" spans="1:20" ht="20.149999999999999" customHeight="1" x14ac:dyDescent="0.35">
      <c r="A25" s="29">
        <v>23</v>
      </c>
      <c r="B25" s="30">
        <v>1.5</v>
      </c>
      <c r="C25" s="30">
        <v>62.9</v>
      </c>
      <c r="D25" s="31">
        <v>124.3</v>
      </c>
      <c r="E25" s="32">
        <v>1</v>
      </c>
      <c r="F25" s="33">
        <f t="shared" si="0"/>
        <v>0.97208406063677366</v>
      </c>
      <c r="G25" s="34">
        <f t="shared" si="1"/>
        <v>127.86960000000001</v>
      </c>
      <c r="H25" s="35">
        <f>IF(OR(B25="",C25=""),"",M227)</f>
        <v>127.86960000000001</v>
      </c>
      <c r="I25" s="25"/>
      <c r="J25" s="26"/>
      <c r="L25" s="28" t="s">
        <v>11</v>
      </c>
      <c r="N25" s="39" t="s">
        <v>32</v>
      </c>
      <c r="Q25" s="15">
        <v>14</v>
      </c>
      <c r="R25" s="15">
        <v>50</v>
      </c>
      <c r="S25" s="16" t="s">
        <v>29</v>
      </c>
      <c r="T25" s="17">
        <v>265.2</v>
      </c>
    </row>
    <row r="26" spans="1:20" ht="20.149999999999999" customHeight="1" x14ac:dyDescent="0.35">
      <c r="A26" s="29">
        <v>24</v>
      </c>
      <c r="B26" s="20">
        <v>2.4</v>
      </c>
      <c r="C26" s="30">
        <v>64.099999999999994</v>
      </c>
      <c r="D26" s="31">
        <v>138.9</v>
      </c>
      <c r="E26" s="32">
        <v>1</v>
      </c>
      <c r="F26" s="33">
        <f t="shared" si="0"/>
        <v>1.0186391157420447</v>
      </c>
      <c r="G26" s="34">
        <f t="shared" si="1"/>
        <v>136.35839999999999</v>
      </c>
      <c r="H26" s="35">
        <f>IF(OR(B26="",C26=""),"",M237)</f>
        <v>136.35839999999999</v>
      </c>
      <c r="I26" s="25"/>
      <c r="J26" s="26"/>
      <c r="L26" s="26"/>
      <c r="M26" s="26">
        <f>IF(N26&gt;=350,350,IF(N26&gt;=325,325,IF(N26&gt;=300,300,IF(N26&gt;=275,275,IF(N26&gt;=250,250,IF(N26&gt;=225,225,IF(N26&gt;=200,200,IF(N26&gt;=175,175,IF(N26&gt;=150,150,IF(N26&gt;=125,125,IF(N26&gt;=100,100,IF(N26&gt;=75,75,50))))))))))))</f>
        <v>50</v>
      </c>
      <c r="N26" s="37">
        <f>L24</f>
        <v>60.6</v>
      </c>
      <c r="O26" s="26">
        <f>IF(N26&lt;=50,50,IF(N26&lt;=75,75,IF(N26&lt;=100,100,IF(N26&lt;=125,125,IF(N26&lt;=150,150,IF(N26&lt;=175,175,IF(N26&lt;=200,200,IF(N26&lt;=225,225,IF(N26&lt;=250,250,IF(N26&lt;=275,275,IF(N26&lt;=300,300,IF(N26&lt;=325,325,350))))))))))))</f>
        <v>75</v>
      </c>
      <c r="Q26" s="15">
        <v>15</v>
      </c>
      <c r="R26" s="15">
        <v>50</v>
      </c>
      <c r="S26" s="16" t="s">
        <v>29</v>
      </c>
      <c r="T26" s="17">
        <v>276</v>
      </c>
    </row>
    <row r="27" spans="1:20" ht="20.149999999999999" customHeight="1" x14ac:dyDescent="0.35">
      <c r="A27" s="29">
        <v>25</v>
      </c>
      <c r="B27" s="30">
        <v>2</v>
      </c>
      <c r="C27" s="30">
        <v>63.4</v>
      </c>
      <c r="D27" s="31">
        <v>130.30000000000001</v>
      </c>
      <c r="E27" s="32">
        <v>1</v>
      </c>
      <c r="F27" s="33">
        <f t="shared" si="0"/>
        <v>0.98205026167908749</v>
      </c>
      <c r="G27" s="34">
        <f t="shared" si="1"/>
        <v>132.6816</v>
      </c>
      <c r="H27" s="35">
        <f>IF(OR(B27="",C27=""),"",M247)</f>
        <v>132.6816</v>
      </c>
      <c r="I27" s="25"/>
      <c r="J27" s="26"/>
      <c r="L27" s="26">
        <f>IF(L28&gt;=0,ROUNDDOWN(L28,0),ROUNDUP(L28,0))</f>
        <v>-1</v>
      </c>
      <c r="M27" s="40">
        <f>IF(M26=350,VLOOKUP($L27,$Q$454:$T$478,4),IF(M26=325,VLOOKUP(L27,$Q$426:$T$453,4),IF(M26=300,VLOOKUP(L27,$Q$395:$T$425,4),IF(M26=275,VLOOKUP(L27,$Q$362:$T$394,4),IF(M26=250,VLOOKUP(L27,$Q$329:$T$361,4),IF(M26=225,VLOOKUP(L27,$Q$294:$T$328,4),IF(M26=200,VLOOKUP(L27,$Q$258:$T$293,4),IF(M26=175,VLOOKUP(L27,$Q$224:$T$257,4),IF(M26=150,VLOOKUP(L27,$Q$179:$T$222,4),IF(M26=125,VLOOKUP(L27,$Q$128:$T$177,4),IF(M26=100,VLOOKUP(L27,$Q$83:$T$126,4),IF(M26=75,VLOOKUP(L27,$Q$41:$T$81,4),IF(M26=50,VLOOKUP(L27,$Q$2:$T$39,4))))))))))))))</f>
        <v>108.6</v>
      </c>
      <c r="N27" s="41">
        <f>IFERROR((N26-M26)/(O26-M26)*(O27-M27)+M27,"")</f>
        <v>102.4944</v>
      </c>
      <c r="O27" s="40">
        <f>IF(O26=350,VLOOKUP($L27,$Q$454:$T$478,4),IF(O26=325,VLOOKUP($L27,$Q$426:$T$453,4),IF(O26=300,VLOOKUP($L27,$Q$395:$T$425,4),IF(O26=275,VLOOKUP($L27,$Q$362:$T$394,4),IF(O26=250,VLOOKUP($L27,$Q$329:$T$361,4),IF(O26=225,VLOOKUP($L27,$Q$294:$T$328,4),IF(O26=200,VLOOKUP($L27,$Q$258:$T$293,4),IF(O26=175,VLOOKUP($L27,$Q$224:$T$257,4),IF(O26=150,VLOOKUP($L27,$Q$179:$T$222,4),IF(O26=125,VLOOKUP($L27,$Q$128:$T$177,4),IF(O26=100,VLOOKUP($L27,$Q$83:$T$126,4),IF(O26=75,VLOOKUP($L27,$Q$41:$T$81,4),IF(O26=50,VLOOKUP($L27,$Q$2:$T$39,4))))))))))))))</f>
        <v>94.2</v>
      </c>
      <c r="Q27" s="15">
        <v>16</v>
      </c>
      <c r="R27" s="15">
        <v>50</v>
      </c>
      <c r="S27" s="16" t="s">
        <v>29</v>
      </c>
      <c r="T27" s="17">
        <v>286.2</v>
      </c>
    </row>
    <row r="28" spans="1:20" ht="20.149999999999999" customHeight="1" x14ac:dyDescent="0.35">
      <c r="A28" s="29">
        <v>26</v>
      </c>
      <c r="B28" s="30">
        <v>2</v>
      </c>
      <c r="C28" s="30">
        <v>62.6</v>
      </c>
      <c r="D28" s="31">
        <v>119.7</v>
      </c>
      <c r="E28" s="32">
        <v>1</v>
      </c>
      <c r="F28" s="33">
        <f t="shared" si="0"/>
        <v>0.8990374215877136</v>
      </c>
      <c r="G28" s="34">
        <f t="shared" si="1"/>
        <v>133.14240000000001</v>
      </c>
      <c r="H28" s="35">
        <f>IF(OR(B28="",C28=""),"",M257)</f>
        <v>133.14240000000001</v>
      </c>
      <c r="I28" s="25"/>
      <c r="J28" s="26"/>
      <c r="K28" s="42" t="s">
        <v>33</v>
      </c>
      <c r="L28" s="36">
        <f>K24</f>
        <v>-0.1</v>
      </c>
      <c r="M28" s="41">
        <f>IFERROR((L28-L27)/(L29-L27)*(M29-M27)+M27,"")</f>
        <v>118.86</v>
      </c>
      <c r="N28" s="38">
        <f>IFERROR((N26-O26)/(M26-O26)*(M28-O28)+O28,"")</f>
        <v>112.7544</v>
      </c>
      <c r="O28" s="41">
        <f>IFERROR((L28-L27)/(L29-L27)*(O29-O27)+O27,"")</f>
        <v>104.46</v>
      </c>
      <c r="Q28" s="15">
        <v>17</v>
      </c>
      <c r="R28" s="15">
        <v>50</v>
      </c>
      <c r="S28" s="16" t="s">
        <v>29</v>
      </c>
      <c r="T28" s="17">
        <v>297</v>
      </c>
    </row>
    <row r="29" spans="1:20" ht="20.149999999999999" customHeight="1" x14ac:dyDescent="0.35">
      <c r="A29" s="29">
        <v>27</v>
      </c>
      <c r="B29" s="30">
        <v>2.2000000000000002</v>
      </c>
      <c r="C29" s="30">
        <v>63.1</v>
      </c>
      <c r="D29" s="31">
        <v>129.9</v>
      </c>
      <c r="E29" s="32">
        <v>1</v>
      </c>
      <c r="F29" s="33">
        <f t="shared" si="0"/>
        <v>0.96297548304451497</v>
      </c>
      <c r="G29" s="34">
        <f t="shared" si="1"/>
        <v>134.89439999999999</v>
      </c>
      <c r="H29" s="35">
        <f>IF(OR(B29="",C29=""),"",M267)</f>
        <v>134.89439999999999</v>
      </c>
      <c r="I29" s="25"/>
      <c r="J29" s="26"/>
      <c r="L29" s="26">
        <f>IF(L28&gt;=0,ROUNDUP(L28,0),ROUNDDOWN(L28,0))</f>
        <v>0</v>
      </c>
      <c r="M29" s="40">
        <f>IF(M26=350,VLOOKUP($L29,$Q$454:$T$478,4),IF(M26=325,VLOOKUP(L29,$Q$426:$T$453,4),IF(M26=300,VLOOKUP(L29,$Q$395:$T$425,4),IF(M26=275,VLOOKUP(L29,$Q$362:$T$394,4),IF(M26=250,VLOOKUP(L29,$Q$329:$T$361,4),IF(M26=225,VLOOKUP(L29,$Q$294:$T$328,4),IF(M26=200,VLOOKUP(L29,$Q$258:$T$293,4),IF(M26=175,VLOOKUP(L29,$Q$224:$T$257,4),IF(M26=150,VLOOKUP(L29,$Q$179:$T$222,4),IF(M26=125,VLOOKUP(L29,$Q$128:$T$177,4),IF(M26=100,VLOOKUP(L29,$Q$83:$T$126,4),IF(M26=75,VLOOKUP(L29,$Q$41:$T$81,4),IF(M26=50,VLOOKUP(L29,$Q$2:$T$39,4))))))))))))))</f>
        <v>120</v>
      </c>
      <c r="N29" s="41">
        <f>IFERROR((N26-M26)/(O26-M26)*(O29-M29)+M29,"")</f>
        <v>113.89439999999999</v>
      </c>
      <c r="O29" s="40">
        <f>IF(O26=350,VLOOKUP($L29,$Q$454:$T$478,4),IF(O26=325,VLOOKUP($L29,$Q$426:$T$453,4),IF(O26=300,VLOOKUP($L29,$Q$395:$T$425,4),IF(O26=275,VLOOKUP($L29,$Q$362:$T$394,4),IF(O26=250,VLOOKUP($L29,$Q$329:$T$361,4),IF(O26=225,VLOOKUP($L29,$Q$294:$T$328,4),IF(O26=200,VLOOKUP($L29,$Q$258:$T$293,4),IF(O26=175,VLOOKUP($L29,$Q$224:$T$257,4),IF(O26=150,VLOOKUP($L29,$Q$179:$T$222,4),IF(O26=125,VLOOKUP($L29,$Q$128:$T$177,4),IF(O26=100,VLOOKUP($L29,$Q$83:$T$126,4),IF(O26=75,VLOOKUP($L29,$Q$41:$T$81,4),IF(O26=50,VLOOKUP($L29,$Q$2:$T$39,4))))))))))))))</f>
        <v>105.6</v>
      </c>
      <c r="Q29" s="15">
        <v>18</v>
      </c>
      <c r="R29" s="15">
        <v>50</v>
      </c>
      <c r="S29" s="16" t="s">
        <v>29</v>
      </c>
      <c r="T29" s="17">
        <v>307.8</v>
      </c>
    </row>
    <row r="30" spans="1:20" ht="20.149999999999999" customHeight="1" x14ac:dyDescent="0.35">
      <c r="A30" s="29">
        <v>28</v>
      </c>
      <c r="B30" s="30">
        <v>2.2999999999999998</v>
      </c>
      <c r="C30" s="30">
        <v>64.099999999999994</v>
      </c>
      <c r="D30" s="31">
        <v>143</v>
      </c>
      <c r="E30" s="32">
        <v>1</v>
      </c>
      <c r="F30" s="33">
        <f t="shared" si="0"/>
        <v>1.0566106884668356</v>
      </c>
      <c r="G30" s="34">
        <f t="shared" si="1"/>
        <v>135.33840000000001</v>
      </c>
      <c r="H30" s="35">
        <f>IF(OR(B30="",C30=""),"",M277)</f>
        <v>135.33840000000001</v>
      </c>
      <c r="I30" s="25"/>
      <c r="J30" s="26"/>
      <c r="Q30" s="15">
        <v>19</v>
      </c>
      <c r="R30" s="15">
        <v>50</v>
      </c>
      <c r="S30" s="16" t="s">
        <v>29</v>
      </c>
      <c r="T30" s="17">
        <v>318</v>
      </c>
    </row>
    <row r="31" spans="1:20" ht="20.149999999999999" customHeight="1" x14ac:dyDescent="0.35">
      <c r="A31" s="29">
        <v>29</v>
      </c>
      <c r="B31" s="30">
        <v>2.8</v>
      </c>
      <c r="C31" s="30">
        <v>65</v>
      </c>
      <c r="D31" s="31">
        <v>137.9</v>
      </c>
      <c r="E31" s="32">
        <v>0.95833333333333337</v>
      </c>
      <c r="F31" s="33">
        <f t="shared" si="0"/>
        <v>1.0284137519576404</v>
      </c>
      <c r="G31" s="34">
        <f t="shared" si="1"/>
        <v>134.09</v>
      </c>
      <c r="H31" s="35">
        <f>IF(OR(B31="",C31=""),"",M287)</f>
        <v>139.91999999999999</v>
      </c>
      <c r="I31" s="25"/>
      <c r="J31" s="26"/>
      <c r="Q31" s="15">
        <v>20</v>
      </c>
      <c r="R31" s="15">
        <v>50</v>
      </c>
      <c r="S31" s="16" t="s">
        <v>29</v>
      </c>
      <c r="T31" s="17">
        <v>328.8</v>
      </c>
    </row>
    <row r="32" spans="1:20" ht="20.149999999999999" customHeight="1" x14ac:dyDescent="0.35">
      <c r="A32" s="29">
        <v>30</v>
      </c>
      <c r="B32" s="30">
        <v>1.4</v>
      </c>
      <c r="C32" s="30">
        <v>61.1</v>
      </c>
      <c r="D32" s="31">
        <v>103.3</v>
      </c>
      <c r="E32" s="32">
        <v>1</v>
      </c>
      <c r="F32" s="33">
        <f t="shared" si="0"/>
        <v>0.80774812646223526</v>
      </c>
      <c r="G32" s="34">
        <f t="shared" si="1"/>
        <v>127.88639999999999</v>
      </c>
      <c r="H32" s="35">
        <f>IF(OR(B32="",C32=""),"",M297)</f>
        <v>127.88639999999999</v>
      </c>
      <c r="I32" s="25"/>
      <c r="J32" s="26"/>
      <c r="K32" s="14">
        <v>4</v>
      </c>
      <c r="L32" s="11"/>
      <c r="M32" s="11"/>
      <c r="Q32" s="15">
        <v>21</v>
      </c>
      <c r="R32" s="15">
        <v>50</v>
      </c>
      <c r="S32" s="16" t="s">
        <v>29</v>
      </c>
      <c r="T32" s="17">
        <v>339</v>
      </c>
    </row>
    <row r="33" spans="1:20" ht="20.149999999999999" customHeight="1" thickBot="1" x14ac:dyDescent="0.4">
      <c r="A33" s="43">
        <v>31</v>
      </c>
      <c r="B33" s="30">
        <v>1.3</v>
      </c>
      <c r="C33" s="30">
        <v>61.8</v>
      </c>
      <c r="D33" s="44">
        <v>89.9</v>
      </c>
      <c r="E33" s="67">
        <v>1</v>
      </c>
      <c r="F33" s="45">
        <f t="shared" si="0"/>
        <v>0.71087873784626676</v>
      </c>
      <c r="G33" s="46">
        <f t="shared" si="1"/>
        <v>126.4632</v>
      </c>
      <c r="H33" s="47">
        <f>IF(OR(B33="",C33=""),"",M307)</f>
        <v>126.4632</v>
      </c>
      <c r="I33" s="25"/>
      <c r="J33" s="26"/>
      <c r="K33" s="27" t="s">
        <v>30</v>
      </c>
      <c r="L33" s="27" t="s">
        <v>31</v>
      </c>
      <c r="M33" s="27" t="s">
        <v>17</v>
      </c>
      <c r="Q33" s="15">
        <v>22</v>
      </c>
      <c r="R33" s="15">
        <v>50</v>
      </c>
      <c r="S33" s="16" t="s">
        <v>29</v>
      </c>
      <c r="T33" s="17">
        <v>349.8</v>
      </c>
    </row>
    <row r="34" spans="1:20" ht="20.149999999999999" customHeight="1" thickBot="1" x14ac:dyDescent="0.4">
      <c r="A34" s="48" t="s">
        <v>34</v>
      </c>
      <c r="B34" s="49">
        <f>IFERROR(AVERAGE(B3:B33),"")</f>
        <v>0.967741935483871</v>
      </c>
      <c r="C34" s="49">
        <f t="shared" ref="C34:F34" si="2">IFERROR(AVERAGE(C3:C33),"")</f>
        <v>62.038709677419341</v>
      </c>
      <c r="D34" s="50">
        <f t="shared" si="2"/>
        <v>112.18709677419356</v>
      </c>
      <c r="E34" s="51">
        <f t="shared" si="2"/>
        <v>0.99865591397849462</v>
      </c>
      <c r="F34" s="52">
        <f t="shared" si="2"/>
        <v>0.91044939829496074</v>
      </c>
      <c r="G34" s="50"/>
      <c r="H34" s="50"/>
      <c r="K34" s="36">
        <f>IF(B6="","",B6)</f>
        <v>0</v>
      </c>
      <c r="L34" s="37">
        <f>IF(C6="","",C6)</f>
        <v>61.7</v>
      </c>
      <c r="M34" s="38">
        <f>IF(OR(K34="",L34=""),"",AVERAGEIF(M40:O40,"&lt;&gt;0",M40:O40))</f>
        <v>112.95359999999999</v>
      </c>
      <c r="Q34" s="15">
        <v>23</v>
      </c>
      <c r="R34" s="15">
        <v>50</v>
      </c>
      <c r="S34" s="16" t="s">
        <v>29</v>
      </c>
      <c r="T34" s="17">
        <v>600</v>
      </c>
    </row>
    <row r="35" spans="1:20" ht="20.149999999999999" customHeight="1" x14ac:dyDescent="0.35">
      <c r="A35" s="53" t="s">
        <v>35</v>
      </c>
      <c r="B35" s="54">
        <f>IF(COUNT(B3:B33)&gt;0,MIN(B3:B33),"")</f>
        <v>-0.3</v>
      </c>
      <c r="C35" s="54">
        <f>IF(COUNT(C3:C33)&gt;0,MIN(C3:C33),"")</f>
        <v>58.8</v>
      </c>
      <c r="D35" s="55">
        <f>IF(COUNT(D3:D33)&gt;0,MIN(D3:D33),"")</f>
        <v>80.900000000000006</v>
      </c>
      <c r="E35" s="56">
        <f>IF(COUNT(E3:E33)&gt;0,MIN(E3:E33),"")</f>
        <v>0.95833333333333337</v>
      </c>
      <c r="F35" s="57">
        <f>IF(COUNT(F3:F33)&gt;0,MIN(F3:F33),"")</f>
        <v>0.71087873784626676</v>
      </c>
      <c r="G35" s="55"/>
      <c r="H35" s="55"/>
      <c r="L35" s="28" t="s">
        <v>11</v>
      </c>
      <c r="N35" s="39" t="s">
        <v>32</v>
      </c>
      <c r="Q35" s="15">
        <v>24</v>
      </c>
      <c r="R35" s="15">
        <v>50</v>
      </c>
      <c r="S35" s="16" t="s">
        <v>29</v>
      </c>
      <c r="T35" s="17">
        <v>618</v>
      </c>
    </row>
    <row r="36" spans="1:20" ht="20.149999999999999" customHeight="1" thickBot="1" x14ac:dyDescent="0.4">
      <c r="A36" s="13" t="s">
        <v>36</v>
      </c>
      <c r="B36" s="58">
        <f>IF(COUNT(B3:B33)&gt;0,MAX(B3:B33),"")</f>
        <v>2.8</v>
      </c>
      <c r="C36" s="58">
        <f>IF(COUNT(C3:C33)&gt;0,MAX(C3:C33),"")</f>
        <v>65</v>
      </c>
      <c r="D36" s="46">
        <f>IF(COUNT(D3:D33)&gt;0,MAX(D3:D33),"")</f>
        <v>143</v>
      </c>
      <c r="E36" s="59">
        <f>IF(COUNT(E3:E33)&gt;0,MAX(E3:E33),"")</f>
        <v>1</v>
      </c>
      <c r="F36" s="45">
        <f>IF(COUNT(F3:F33)&gt;0,MAX(F3:F33),"")</f>
        <v>1.0566106884668356</v>
      </c>
      <c r="G36" s="46"/>
      <c r="H36" s="46"/>
      <c r="L36" s="26"/>
      <c r="M36" s="60">
        <f>IF(N36&gt;=350,350,IF(N36&gt;=325,325,IF(N36&gt;=300,300,IF(N36&gt;=275,275,IF(N36&gt;=250,250,IF(N36&gt;=225,225,IF(N36&gt;=200,200,IF(N36&gt;=175,175,IF(N36&gt;=150,150,IF(N36&gt;=125,125,IF(N36&gt;=100,100,IF(N36&gt;=75,75,50))))))))))))</f>
        <v>50</v>
      </c>
      <c r="N36" s="61">
        <f>L34</f>
        <v>61.7</v>
      </c>
      <c r="O36" s="60">
        <f>IF(N36&lt;=50,50,IF(N36&lt;=75,75,IF(N36&lt;=100,100,IF(N36&lt;=125,125,IF(N36&lt;=150,150,IF(N36&lt;=175,175,IF(N36&lt;=200,200,IF(N36&lt;=225,225,IF(N36&lt;=250,250,IF(N36&lt;=275,275,IF(N36&lt;=300,300,IF(N36&lt;=325,325,350))))))))))))</f>
        <v>75</v>
      </c>
      <c r="Q36" s="15">
        <v>25</v>
      </c>
      <c r="R36" s="15">
        <v>50</v>
      </c>
      <c r="S36" s="16" t="s">
        <v>29</v>
      </c>
      <c r="T36" s="17">
        <v>636</v>
      </c>
    </row>
    <row r="37" spans="1:20" ht="20.149999999999999" customHeight="1" x14ac:dyDescent="0.35">
      <c r="K37" s="36">
        <f>B6</f>
        <v>0</v>
      </c>
      <c r="L37" s="37">
        <f>C6</f>
        <v>61.7</v>
      </c>
      <c r="M37" s="38">
        <f>IF(OR(K37="",L37=""),"",IF(N41&lt;&gt;"",N41,IF(OR(M41&lt;&gt;"",N40&lt;&gt;"",O41&lt;&gt;"",N42&lt;&gt;""),MIN(M41,N40,O41,N42),MIN(M40:O42))))</f>
        <v>113.26079999999999</v>
      </c>
      <c r="Q37" s="15">
        <v>23</v>
      </c>
      <c r="R37" s="15">
        <v>50</v>
      </c>
      <c r="S37" s="16" t="s">
        <v>29</v>
      </c>
      <c r="T37" s="17">
        <v>360</v>
      </c>
    </row>
    <row r="38" spans="1:20" ht="20.149999999999999" customHeight="1" x14ac:dyDescent="0.35">
      <c r="L38" s="28" t="s">
        <v>11</v>
      </c>
      <c r="N38" s="39" t="s">
        <v>32</v>
      </c>
      <c r="Q38" s="15">
        <v>24</v>
      </c>
      <c r="R38" s="15">
        <v>50</v>
      </c>
      <c r="S38" s="16" t="s">
        <v>29</v>
      </c>
      <c r="T38" s="17">
        <v>370.8</v>
      </c>
    </row>
    <row r="39" spans="1:20" ht="20.149999999999999" customHeight="1" x14ac:dyDescent="0.35">
      <c r="L39" s="26"/>
      <c r="M39" s="26">
        <f>IF(N39&gt;=350,350,IF(N39&gt;=325,325,IF(N39&gt;=300,300,IF(N39&gt;=275,275,IF(N39&gt;=250,250,IF(N39&gt;=225,225,IF(N39&gt;=200,200,IF(N39&gt;=175,175,IF(N39&gt;=150,150,IF(N39&gt;=125,125,IF(N39&gt;=100,100,IF(N39&gt;=75,75,50))))))))))))</f>
        <v>50</v>
      </c>
      <c r="N39" s="37">
        <f>L37</f>
        <v>61.7</v>
      </c>
      <c r="O39" s="26">
        <f>IF(N39&lt;=50,50,IF(N39&lt;=75,75,IF(N39&lt;=100,100,IF(N39&lt;=125,125,IF(N39&lt;=150,150,IF(N39&lt;=175,175,IF(N39&lt;=200,200,IF(N39&lt;=225,225,IF(N39&lt;=250,250,IF(N39&lt;=275,275,IF(N39&lt;=300,300,IF(N39&lt;=325,325,350))))))))))))</f>
        <v>75</v>
      </c>
      <c r="Q39" s="15">
        <v>25</v>
      </c>
      <c r="R39" s="15">
        <v>50</v>
      </c>
      <c r="S39" s="16" t="s">
        <v>29</v>
      </c>
      <c r="T39" s="17">
        <v>381.59999999999997</v>
      </c>
    </row>
    <row r="40" spans="1:20" ht="20.149999999999999" customHeight="1" x14ac:dyDescent="0.35">
      <c r="L40" s="26">
        <f>IF(L41&gt;=0,ROUNDDOWN(L41,0),ROUNDUP(L41,0))</f>
        <v>0</v>
      </c>
      <c r="M40" s="40">
        <f>IF(M39=350,VLOOKUP($L40,$Q$454:$T$478,4),IF(M39=325,VLOOKUP(L40,$Q$426:$T$453,4),IF(M39=300,VLOOKUP(L40,$Q$395:$T$425,4),IF(M39=275,VLOOKUP(L40,$Q$362:$T$394,4),IF(M39=250,VLOOKUP(L40,$Q$329:$T$361,4),IF(M39=225,VLOOKUP(L40,$Q$294:$T$328,4),IF(M39=200,VLOOKUP(L40,$Q$258:$T$293,4),IF(M39=175,VLOOKUP(L40,$Q$224:$T$257,4),IF(M39=150,VLOOKUP(L40,$Q$179:$T$222,4),IF(M39=125,VLOOKUP(L40,$Q$128:$T$177,4),IF(M39=100,VLOOKUP(L40,$Q$83:$T$126,4),IF(M39=75,VLOOKUP(L40,$Q$41:$T$81,4),IF(M39=50,VLOOKUP(L40,$Q$2:$T$39,4))))))))))))))</f>
        <v>120</v>
      </c>
      <c r="N40" s="41">
        <f>IFERROR((N39-M39)/(O39-M39)*(O40-M40)+M40,"")</f>
        <v>113.26079999999999</v>
      </c>
      <c r="O40" s="40">
        <f>IF(O39=350,VLOOKUP($L40,$Q$454:$T$478,4),IF(O39=325,VLOOKUP($L40,$Q$426:$T$453,4),IF(O39=300,VLOOKUP($L40,$Q$395:$T$425,4),IF(O39=275,VLOOKUP($L40,$Q$362:$T$394,4),IF(O39=250,VLOOKUP($L40,$Q$329:$T$361,4),IF(O39=225,VLOOKUP($L40,$Q$294:$T$328,4),IF(O39=200,VLOOKUP($L40,$Q$258:$T$293,4),IF(O39=175,VLOOKUP($L40,$Q$224:$T$257,4),IF(O39=150,VLOOKUP($L40,$Q$179:$T$222,4),IF(O39=125,VLOOKUP($L40,$Q$128:$T$177,4),IF(O39=100,VLOOKUP($L40,$Q$83:$T$126,4),IF(O39=75,VLOOKUP($L40,$Q$41:$T$81,4),IF(O39=50,VLOOKUP($L40,$Q$2:$T$39,4))))))))))))))</f>
        <v>105.6</v>
      </c>
      <c r="Q40" s="15"/>
      <c r="R40" s="15"/>
      <c r="S40" s="16"/>
      <c r="T40" s="17"/>
    </row>
    <row r="41" spans="1:20" ht="20.149999999999999" customHeight="1" x14ac:dyDescent="0.35">
      <c r="K41" s="42" t="s">
        <v>33</v>
      </c>
      <c r="L41" s="36">
        <f>K37</f>
        <v>0</v>
      </c>
      <c r="M41" s="41" t="str">
        <f>IFERROR((L41-L40)/(L42-L40)*(M42-M40)+M40,"")</f>
        <v/>
      </c>
      <c r="N41" s="38" t="str">
        <f>IFERROR((N39-O39)/(M39-O39)*(M41-O41)+O41,"")</f>
        <v/>
      </c>
      <c r="O41" s="41" t="str">
        <f>IFERROR((L41-L40)/(L42-L40)*(O42-O40)+O40,"")</f>
        <v/>
      </c>
      <c r="Q41" s="15">
        <v>-7</v>
      </c>
      <c r="R41" s="15">
        <v>75</v>
      </c>
      <c r="S41" s="16" t="s">
        <v>29</v>
      </c>
      <c r="T41" s="17">
        <v>28.2</v>
      </c>
    </row>
    <row r="42" spans="1:20" ht="20.149999999999999" customHeight="1" x14ac:dyDescent="0.35">
      <c r="L42" s="26">
        <f>IF(L41&gt;=0,ROUNDUP(L41,0),ROUNDDOWN(L41,0))</f>
        <v>0</v>
      </c>
      <c r="M42" s="40">
        <f>IF(M39=350,VLOOKUP($L42,$Q$454:$T$478,4),IF(M39=325,VLOOKUP(L42,$Q$426:$T$453,4),IF(M39=300,VLOOKUP(L42,$Q$395:$T$425,4),IF(M39=275,VLOOKUP(L42,$Q$362:$T$394,4),IF(M39=250,VLOOKUP(L42,$Q$329:$T$361,4),IF(M39=225,VLOOKUP(L42,$Q$294:$T$328,4),IF(M39=200,VLOOKUP(L42,$Q$258:$T$293,4),IF(M39=175,VLOOKUP(L42,$Q$224:$T$257,4),IF(M39=150,VLOOKUP(L42,$Q$179:$T$222,4),IF(M39=125,VLOOKUP(L42,$Q$128:$T$177,4),IF(M39=100,VLOOKUP(L42,$Q$83:$T$126,4),IF(M39=75,VLOOKUP(L42,$Q$41:$T$81,4),IF(M39=50,VLOOKUP(L42,$Q$2:$T$39,4))))))))))))))</f>
        <v>120</v>
      </c>
      <c r="N42" s="41">
        <f>IFERROR((N39-M39)/(O39-M39)*(O42-M42)+M42,"")</f>
        <v>113.26079999999999</v>
      </c>
      <c r="O42" s="40">
        <f>IF(O39=350,VLOOKUP($L42,$Q$454:$T$478,4),IF(O39=325,VLOOKUP($L42,$Q$426:$T$453,4),IF(O39=300,VLOOKUP($L42,$Q$395:$T$425,4),IF(O39=275,VLOOKUP($L42,$Q$362:$T$394,4),IF(O39=250,VLOOKUP($L42,$Q$329:$T$361,4),IF(O39=225,VLOOKUP($L42,$Q$294:$T$328,4),IF(O39=200,VLOOKUP($L42,$Q$258:$T$293,4),IF(O39=175,VLOOKUP($L42,$Q$224:$T$257,4),IF(O39=150,VLOOKUP($L42,$Q$179:$T$222,4),IF(O39=125,VLOOKUP($L42,$Q$128:$T$177,4),IF(O39=100,VLOOKUP($L42,$Q$83:$T$126,4),IF(O39=75,VLOOKUP($L42,$Q$41:$T$81,4),IF(O39=50,VLOOKUP($L42,$Q$2:$T$39,4))))))))))))))</f>
        <v>105.6</v>
      </c>
      <c r="Q42" s="15">
        <v>-6</v>
      </c>
      <c r="R42" s="15">
        <v>75</v>
      </c>
      <c r="S42" s="16" t="s">
        <v>29</v>
      </c>
      <c r="T42" s="17">
        <v>39</v>
      </c>
    </row>
    <row r="43" spans="1:20" ht="20.149999999999999" customHeight="1" x14ac:dyDescent="0.35">
      <c r="Q43" s="15">
        <v>-5</v>
      </c>
      <c r="R43" s="15">
        <v>75</v>
      </c>
      <c r="S43" s="16" t="s">
        <v>29</v>
      </c>
      <c r="T43" s="17">
        <v>49.8</v>
      </c>
    </row>
    <row r="44" spans="1:20" ht="20.149999999999999" customHeight="1" x14ac:dyDescent="0.35">
      <c r="Q44" s="15">
        <v>-4</v>
      </c>
      <c r="R44" s="15">
        <v>75</v>
      </c>
      <c r="S44" s="16" t="s">
        <v>29</v>
      </c>
      <c r="T44" s="17">
        <v>61.199999999999996</v>
      </c>
    </row>
    <row r="45" spans="1:20" ht="20.149999999999999" customHeight="1" x14ac:dyDescent="0.35">
      <c r="K45" s="14">
        <v>5</v>
      </c>
      <c r="L45" s="11"/>
      <c r="M45" s="11"/>
      <c r="Q45" s="15">
        <v>-3</v>
      </c>
      <c r="R45" s="15">
        <v>75</v>
      </c>
      <c r="S45" s="16" t="s">
        <v>29</v>
      </c>
      <c r="T45" s="17">
        <v>72</v>
      </c>
    </row>
    <row r="46" spans="1:20" ht="20.149999999999999" customHeight="1" x14ac:dyDescent="0.35">
      <c r="K46" s="27" t="s">
        <v>30</v>
      </c>
      <c r="L46" s="27" t="s">
        <v>31</v>
      </c>
      <c r="M46" s="27" t="s">
        <v>17</v>
      </c>
      <c r="Q46" s="15">
        <v>-2</v>
      </c>
      <c r="R46" s="15">
        <v>75</v>
      </c>
      <c r="S46" s="16" t="s">
        <v>29</v>
      </c>
      <c r="T46" s="17">
        <v>83.399999999999991</v>
      </c>
    </row>
    <row r="47" spans="1:20" ht="20.149999999999999" customHeight="1" x14ac:dyDescent="0.35">
      <c r="K47" s="36">
        <f>B7</f>
        <v>0</v>
      </c>
      <c r="L47" s="37">
        <f>C7</f>
        <v>61</v>
      </c>
      <c r="M47" s="38">
        <f>IF(OR(K47="",L47=""),"",IF(N51&lt;&gt;"",N51,IF(OR(M51&lt;&gt;"",N50&lt;&gt;"",O51&lt;&gt;"",N52&lt;&gt;""),MIN(M51,N50,O51,N52),MIN(M50:O52))))</f>
        <v>113.664</v>
      </c>
      <c r="Q47" s="15">
        <v>-1</v>
      </c>
      <c r="R47" s="15">
        <v>75</v>
      </c>
      <c r="S47" s="16" t="s">
        <v>29</v>
      </c>
      <c r="T47" s="17">
        <v>94.2</v>
      </c>
    </row>
    <row r="48" spans="1:20" ht="20.149999999999999" customHeight="1" x14ac:dyDescent="0.35">
      <c r="L48" s="28" t="s">
        <v>11</v>
      </c>
      <c r="N48" s="39" t="s">
        <v>32</v>
      </c>
      <c r="Q48" s="15">
        <v>0</v>
      </c>
      <c r="R48" s="15">
        <v>75</v>
      </c>
      <c r="S48" s="16" t="s">
        <v>29</v>
      </c>
      <c r="T48" s="17">
        <v>105.6</v>
      </c>
    </row>
    <row r="49" spans="11:20" ht="20.149999999999999" customHeight="1" x14ac:dyDescent="0.35">
      <c r="L49" s="26"/>
      <c r="M49" s="26">
        <f>IF(N49&gt;=350,350,IF(N49&gt;=325,325,IF(N49&gt;=300,300,IF(N49&gt;=275,275,IF(N49&gt;=250,250,IF(N49&gt;=225,225,IF(N49&gt;=200,200,IF(N49&gt;=175,175,IF(N49&gt;=150,150,IF(N49&gt;=125,125,IF(N49&gt;=100,100,IF(N49&gt;=75,75,50))))))))))))</f>
        <v>50</v>
      </c>
      <c r="N49" s="37">
        <f>L47</f>
        <v>61</v>
      </c>
      <c r="O49" s="26">
        <f>IF(N49&lt;=50,50,IF(N49&lt;=75,75,IF(N49&lt;=100,100,IF(N49&lt;=125,125,IF(N49&lt;=150,150,IF(N49&lt;=175,175,IF(N49&lt;=200,200,IF(N49&lt;=225,225,IF(N49&lt;=250,250,IF(N49&lt;=275,275,IF(N49&lt;=300,300,IF(N49&lt;=325,325,350))))))))))))</f>
        <v>75</v>
      </c>
      <c r="Q49" s="15">
        <v>1</v>
      </c>
      <c r="R49" s="15">
        <v>75</v>
      </c>
      <c r="S49" s="16" t="s">
        <v>29</v>
      </c>
      <c r="T49" s="17">
        <v>115.8</v>
      </c>
    </row>
    <row r="50" spans="11:20" ht="20.149999999999999" customHeight="1" x14ac:dyDescent="0.35">
      <c r="L50" s="26">
        <f>IF(L51&gt;=0,ROUNDDOWN(L51,0),ROUNDUP(L51,0))</f>
        <v>0</v>
      </c>
      <c r="M50" s="40">
        <f>IF(M49=350,VLOOKUP($L50,$Q$454:$T$478,4),IF(M49=325,VLOOKUP(L50,$Q$426:$T$453,4),IF(M49=300,VLOOKUP(L50,$Q$395:$T$425,4),IF(M49=275,VLOOKUP(L50,$Q$362:$T$394,4),IF(M49=250,VLOOKUP(L50,$Q$329:$T$361,4),IF(M49=225,VLOOKUP(L50,$Q$294:$T$328,4),IF(M49=200,VLOOKUP(L50,$Q$258:$T$293,4),IF(M49=175,VLOOKUP(L50,$Q$224:$T$257,4),IF(M49=150,VLOOKUP(L50,$Q$179:$T$222,4),IF(M49=125,VLOOKUP(L50,$Q$128:$T$177,4),IF(M49=100,VLOOKUP(L50,$Q$83:$T$126,4),IF(M49=75,VLOOKUP(L50,$Q$41:$T$81,4),IF(M49=50,VLOOKUP(L50,$Q$2:$T$39,4))))))))))))))</f>
        <v>120</v>
      </c>
      <c r="N50" s="41">
        <f>IFERROR((N49-M49)/(O49-M49)*(O50-M50)+M50,"")</f>
        <v>113.664</v>
      </c>
      <c r="O50" s="40">
        <f>IF(O49=350,VLOOKUP($L50,$Q$454:$T$478,4),IF(O49=325,VLOOKUP($L50,$Q$426:$T$453,4),IF(O49=300,VLOOKUP($L50,$Q$395:$T$425,4),IF(O49=275,VLOOKUP($L50,$Q$362:$T$394,4),IF(O49=250,VLOOKUP($L50,$Q$329:$T$361,4),IF(O49=225,VLOOKUP($L50,$Q$294:$T$328,4),IF(O49=200,VLOOKUP($L50,$Q$258:$T$293,4),IF(O49=175,VLOOKUP($L50,$Q$224:$T$257,4),IF(O49=150,VLOOKUP($L50,$Q$179:$T$222,4),IF(O49=125,VLOOKUP($L50,$Q$128:$T$177,4),IF(O49=100,VLOOKUP($L50,$Q$83:$T$126,4),IF(O49=75,VLOOKUP($L50,$Q$41:$T$81,4),IF(O49=50,VLOOKUP($L50,$Q$2:$T$39,4))))))))))))))</f>
        <v>105.6</v>
      </c>
      <c r="Q50" s="15">
        <v>2</v>
      </c>
      <c r="R50" s="15">
        <v>75</v>
      </c>
      <c r="S50" s="16" t="s">
        <v>29</v>
      </c>
      <c r="T50" s="17">
        <v>126</v>
      </c>
    </row>
    <row r="51" spans="11:20" ht="20.149999999999999" customHeight="1" x14ac:dyDescent="0.35">
      <c r="K51" s="42" t="s">
        <v>33</v>
      </c>
      <c r="L51" s="36">
        <f>K47</f>
        <v>0</v>
      </c>
      <c r="M51" s="41" t="str">
        <f>IFERROR((L51-L50)/(L52-L50)*(M52-M50)+M50,"")</f>
        <v/>
      </c>
      <c r="N51" s="38" t="str">
        <f>IFERROR((N49-O49)/(M49-O49)*(M51-O51)+O51,"")</f>
        <v/>
      </c>
      <c r="O51" s="41" t="str">
        <f>IFERROR((L51-L50)/(L52-L50)*(O52-O50)+O50,"")</f>
        <v/>
      </c>
      <c r="Q51" s="15">
        <v>3</v>
      </c>
      <c r="R51" s="15">
        <v>75</v>
      </c>
      <c r="S51" s="16" t="s">
        <v>29</v>
      </c>
      <c r="T51" s="17">
        <v>136.19999999999999</v>
      </c>
    </row>
    <row r="52" spans="11:20" ht="20.149999999999999" customHeight="1" x14ac:dyDescent="0.35">
      <c r="L52" s="26">
        <f>IF(L51&gt;=0,ROUNDUP(L51,0),ROUNDDOWN(L51,0))</f>
        <v>0</v>
      </c>
      <c r="M52" s="40">
        <f>IF(M49=350,VLOOKUP($L52,$Q$454:$T$478,4),IF(M49=325,VLOOKUP(L52,$Q$426:$T$453,4),IF(M49=300,VLOOKUP(L52,$Q$395:$T$425,4),IF(M49=275,VLOOKUP(L52,$Q$362:$T$394,4),IF(M49=250,VLOOKUP(L52,$Q$329:$T$361,4),IF(M49=225,VLOOKUP(L52,$Q$294:$T$328,4),IF(M49=200,VLOOKUP(L52,$Q$258:$T$293,4),IF(M49=175,VLOOKUP(L52,$Q$224:$T$257,4),IF(M49=150,VLOOKUP(L52,$Q$179:$T$222,4),IF(M49=125,VLOOKUP(L52,$Q$128:$T$177,4),IF(M49=100,VLOOKUP(L52,$Q$83:$T$126,4),IF(M49=75,VLOOKUP(L52,$Q$41:$T$81,4),IF(M49=50,VLOOKUP(L52,$Q$2:$T$39,4))))))))))))))</f>
        <v>120</v>
      </c>
      <c r="N52" s="41">
        <f>IFERROR((N49-M49)/(O49-M49)*(O52-M52)+M52,"")</f>
        <v>113.664</v>
      </c>
      <c r="O52" s="40">
        <f>IF(O49=350,VLOOKUP($L52,$Q$454:$T$478,4),IF(O49=325,VLOOKUP($L52,$Q$426:$T$453,4),IF(O49=300,VLOOKUP($L52,$Q$395:$T$425,4),IF(O49=275,VLOOKUP($L52,$Q$362:$T$394,4),IF(O49=250,VLOOKUP($L52,$Q$329:$T$361,4),IF(O49=225,VLOOKUP($L52,$Q$294:$T$328,4),IF(O49=200,VLOOKUP($L52,$Q$258:$T$293,4),IF(O49=175,VLOOKUP($L52,$Q$224:$T$257,4),IF(O49=150,VLOOKUP($L52,$Q$179:$T$222,4),IF(O49=125,VLOOKUP($L52,$Q$128:$T$177,4),IF(O49=100,VLOOKUP($L52,$Q$83:$T$126,4),IF(O49=75,VLOOKUP($L52,$Q$41:$T$81,4),IF(O49=50,VLOOKUP($L52,$Q$2:$T$39,4))))))))))))))</f>
        <v>105.6</v>
      </c>
      <c r="Q52" s="15">
        <v>4</v>
      </c>
      <c r="R52" s="15">
        <v>75</v>
      </c>
      <c r="S52" s="16" t="s">
        <v>29</v>
      </c>
      <c r="T52" s="17">
        <v>146.4</v>
      </c>
    </row>
    <row r="53" spans="11:20" ht="20.149999999999999" customHeight="1" x14ac:dyDescent="0.35">
      <c r="Q53" s="15">
        <v>5</v>
      </c>
      <c r="R53" s="15">
        <v>75</v>
      </c>
      <c r="S53" s="16" t="s">
        <v>29</v>
      </c>
      <c r="T53" s="17">
        <v>156.6</v>
      </c>
    </row>
    <row r="54" spans="11:20" ht="20.149999999999999" customHeight="1" x14ac:dyDescent="0.35">
      <c r="Q54" s="15">
        <v>6</v>
      </c>
      <c r="R54" s="15">
        <v>75</v>
      </c>
      <c r="S54" s="16" t="s">
        <v>29</v>
      </c>
      <c r="T54" s="17">
        <v>166.79999999999998</v>
      </c>
    </row>
    <row r="55" spans="11:20" ht="20.149999999999999" customHeight="1" x14ac:dyDescent="0.35">
      <c r="K55" s="14">
        <v>6</v>
      </c>
      <c r="L55" s="11"/>
      <c r="M55" s="11"/>
      <c r="Q55" s="15">
        <v>7</v>
      </c>
      <c r="R55" s="15">
        <v>75</v>
      </c>
      <c r="S55" s="16" t="s">
        <v>29</v>
      </c>
      <c r="T55" s="17">
        <v>177.6</v>
      </c>
    </row>
    <row r="56" spans="11:20" ht="20.149999999999999" customHeight="1" x14ac:dyDescent="0.35">
      <c r="K56" s="27" t="s">
        <v>30</v>
      </c>
      <c r="L56" s="27" t="s">
        <v>31</v>
      </c>
      <c r="M56" s="27" t="s">
        <v>17</v>
      </c>
      <c r="Q56" s="15">
        <v>8</v>
      </c>
      <c r="R56" s="15">
        <v>75</v>
      </c>
      <c r="S56" s="16" t="s">
        <v>29</v>
      </c>
      <c r="T56" s="17">
        <v>187.79999999999998</v>
      </c>
    </row>
    <row r="57" spans="11:20" ht="20.149999999999999" customHeight="1" x14ac:dyDescent="0.35">
      <c r="K57" s="36">
        <f>B8</f>
        <v>0.1</v>
      </c>
      <c r="L57" s="37">
        <f>C8</f>
        <v>60.4</v>
      </c>
      <c r="M57" s="38">
        <f>IF(OR(K57="",L57=""),"",IF(N61&lt;&gt;"",N61,IF(OR(M61&lt;&gt;"",N60&lt;&gt;"",O61&lt;&gt;"",N62&lt;&gt;""),MIN(M61,N60,O61,N62),MIN(M60:O62))))</f>
        <v>115.02959999999999</v>
      </c>
      <c r="Q57" s="15">
        <v>9</v>
      </c>
      <c r="R57" s="15">
        <v>75</v>
      </c>
      <c r="S57" s="16" t="s">
        <v>29</v>
      </c>
      <c r="T57" s="17">
        <v>198</v>
      </c>
    </row>
    <row r="58" spans="11:20" ht="20.149999999999999" customHeight="1" x14ac:dyDescent="0.35">
      <c r="L58" s="28" t="s">
        <v>11</v>
      </c>
      <c r="N58" s="39" t="s">
        <v>32</v>
      </c>
      <c r="Q58" s="15">
        <v>10</v>
      </c>
      <c r="R58" s="15">
        <v>75</v>
      </c>
      <c r="S58" s="16" t="s">
        <v>29</v>
      </c>
      <c r="T58" s="17">
        <v>208.2</v>
      </c>
    </row>
    <row r="59" spans="11:20" ht="20.149999999999999" customHeight="1" x14ac:dyDescent="0.35">
      <c r="L59" s="26"/>
      <c r="M59" s="26">
        <f>IF(N59&gt;=350,350,IF(N59&gt;=325,325,IF(N59&gt;=300,300,IF(N59&gt;=275,275,IF(N59&gt;=250,250,IF(N59&gt;=225,225,IF(N59&gt;=200,200,IF(N59&gt;=175,175,IF(N59&gt;=150,150,IF(N59&gt;=125,125,IF(N59&gt;=100,100,IF(N59&gt;=75,75,50))))))))))))</f>
        <v>50</v>
      </c>
      <c r="N59" s="37">
        <f>L57</f>
        <v>60.4</v>
      </c>
      <c r="O59" s="26">
        <f>IF(N59&lt;=50,50,IF(N59&lt;=75,75,IF(N59&lt;=100,100,IF(N59&lt;=125,125,IF(N59&lt;=150,150,IF(N59&lt;=175,175,IF(N59&lt;=200,200,IF(N59&lt;=225,225,IF(N59&lt;=250,250,IF(N59&lt;=275,275,IF(N59&lt;=300,300,IF(N59&lt;=325,325,350))))))))))))</f>
        <v>75</v>
      </c>
      <c r="Q59" s="15">
        <v>11</v>
      </c>
      <c r="R59" s="15">
        <v>75</v>
      </c>
      <c r="S59" s="16" t="s">
        <v>29</v>
      </c>
      <c r="T59" s="17">
        <v>218.4</v>
      </c>
    </row>
    <row r="60" spans="11:20" ht="20.149999999999999" customHeight="1" x14ac:dyDescent="0.35">
      <c r="L60" s="26">
        <f>IF(L61&gt;=0,ROUNDDOWN(L61,0),ROUNDUP(L61,0))</f>
        <v>0</v>
      </c>
      <c r="M60" s="40">
        <f>IF(M59=350,VLOOKUP($L60,$Q$454:$T$478,4),IF(M59=325,VLOOKUP(L60,$Q$426:$T$453,4),IF(M59=300,VLOOKUP(L60,$Q$395:$T$425,4),IF(M59=275,VLOOKUP(L60,$Q$362:$T$394,4),IF(M59=250,VLOOKUP(L60,$Q$329:$T$361,4),IF(M59=225,VLOOKUP(L60,$Q$294:$T$328,4),IF(M59=200,VLOOKUP(L60,$Q$258:$T$293,4),IF(M59=175,VLOOKUP(L60,$Q$224:$T$257,4),IF(M59=150,VLOOKUP(L60,$Q$179:$T$222,4),IF(M59=125,VLOOKUP(L60,$Q$128:$T$177,4),IF(M59=100,VLOOKUP(L60,$Q$83:$T$126,4),IF(M59=75,VLOOKUP(L60,$Q$41:$T$81,4),IF(M59=50,VLOOKUP(L60,$Q$2:$T$39,4))))))))))))))</f>
        <v>120</v>
      </c>
      <c r="N60" s="41">
        <f>IFERROR((N59-M59)/(O59-M59)*(O60-M60)+M60,"")</f>
        <v>114.00960000000001</v>
      </c>
      <c r="O60" s="40">
        <f>IF(O59=350,VLOOKUP($L60,$Q$454:$T$478,4),IF(O59=325,VLOOKUP($L60,$Q$426:$T$453,4),IF(O59=300,VLOOKUP($L60,$Q$395:$T$425,4),IF(O59=275,VLOOKUP($L60,$Q$362:$T$394,4),IF(O59=250,VLOOKUP($L60,$Q$329:$T$361,4),IF(O59=225,VLOOKUP($L60,$Q$294:$T$328,4),IF(O59=200,VLOOKUP($L60,$Q$258:$T$293,4),IF(O59=175,VLOOKUP($L60,$Q$224:$T$257,4),IF(O59=150,VLOOKUP($L60,$Q$179:$T$222,4),IF(O59=125,VLOOKUP($L60,$Q$128:$T$177,4),IF(O59=100,VLOOKUP($L60,$Q$83:$T$126,4),IF(O59=75,VLOOKUP($L60,$Q$41:$T$81,4),IF(O59=50,VLOOKUP($L60,$Q$2:$T$39,4))))))))))))))</f>
        <v>105.6</v>
      </c>
      <c r="Q60" s="15">
        <v>12</v>
      </c>
      <c r="R60" s="15">
        <v>75</v>
      </c>
      <c r="S60" s="16" t="s">
        <v>29</v>
      </c>
      <c r="T60" s="17">
        <v>229.2</v>
      </c>
    </row>
    <row r="61" spans="11:20" ht="20.149999999999999" customHeight="1" x14ac:dyDescent="0.35">
      <c r="K61" s="42" t="s">
        <v>33</v>
      </c>
      <c r="L61" s="36">
        <f>K57</f>
        <v>0.1</v>
      </c>
      <c r="M61" s="41">
        <f>IFERROR((L61-L60)/(L62-L60)*(M62-M60)+M60,"")</f>
        <v>121.02</v>
      </c>
      <c r="N61" s="38">
        <f>IFERROR((N59-O59)/(M59-O59)*(M61-O61)+O61,"")</f>
        <v>115.02959999999999</v>
      </c>
      <c r="O61" s="41">
        <f>IFERROR((L61-L60)/(L62-L60)*(O62-O60)+O60,"")</f>
        <v>106.61999999999999</v>
      </c>
      <c r="Q61" s="15">
        <v>13</v>
      </c>
      <c r="R61" s="15">
        <v>75</v>
      </c>
      <c r="S61" s="16" t="s">
        <v>29</v>
      </c>
      <c r="T61" s="17">
        <v>239.39999999999998</v>
      </c>
    </row>
    <row r="62" spans="11:20" ht="20.149999999999999" customHeight="1" x14ac:dyDescent="0.35">
      <c r="L62" s="26">
        <f>IF(L61&gt;=0,ROUNDUP(L61,0),ROUNDDOWN(L61,0))</f>
        <v>1</v>
      </c>
      <c r="M62" s="40">
        <f>IF(M59=350,VLOOKUP($L62,$Q$454:$T$478,4),IF(M59=325,VLOOKUP(L62,$Q$426:$T$453,4),IF(M59=300,VLOOKUP(L62,$Q$395:$T$425,4),IF(M59=275,VLOOKUP(L62,$Q$362:$T$394,4),IF(M59=250,VLOOKUP(L62,$Q$329:$T$361,4),IF(M59=225,VLOOKUP(L62,$Q$294:$T$328,4),IF(M59=200,VLOOKUP(L62,$Q$258:$T$293,4),IF(M59=175,VLOOKUP(L62,$Q$224:$T$257,4),IF(M59=150,VLOOKUP(L62,$Q$179:$T$222,4),IF(M59=125,VLOOKUP(L62,$Q$128:$T$177,4),IF(M59=100,VLOOKUP(L62,$Q$83:$T$126,4),IF(M59=75,VLOOKUP(L62,$Q$41:$T$81,4),IF(M59=50,VLOOKUP(L62,$Q$2:$T$39,4))))))))))))))</f>
        <v>130.19999999999999</v>
      </c>
      <c r="N62" s="41">
        <f>IFERROR((N59-M59)/(O59-M59)*(O62-M62)+M62,"")</f>
        <v>124.20959999999999</v>
      </c>
      <c r="O62" s="40">
        <f>IF(O59=350,VLOOKUP($L62,$Q$454:$T$478,4),IF(O59=325,VLOOKUP($L62,$Q$426:$T$453,4),IF(O59=300,VLOOKUP($L62,$Q$395:$T$425,4),IF(O59=275,VLOOKUP($L62,$Q$362:$T$394,4),IF(O59=250,VLOOKUP($L62,$Q$329:$T$361,4),IF(O59=225,VLOOKUP($L62,$Q$294:$T$328,4),IF(O59=200,VLOOKUP($L62,$Q$258:$T$293,4),IF(O59=175,VLOOKUP($L62,$Q$224:$T$257,4),IF(O59=150,VLOOKUP($L62,$Q$179:$T$222,4),IF(O59=125,VLOOKUP($L62,$Q$128:$T$177,4),IF(O59=100,VLOOKUP($L62,$Q$83:$T$126,4),IF(O59=75,VLOOKUP($L62,$Q$41:$T$81,4),IF(O59=50,VLOOKUP($L62,$Q$2:$T$39,4))))))))))))))</f>
        <v>115.8</v>
      </c>
      <c r="Q62" s="15">
        <v>14</v>
      </c>
      <c r="R62" s="15">
        <v>75</v>
      </c>
      <c r="S62" s="16" t="s">
        <v>29</v>
      </c>
      <c r="T62" s="17">
        <v>249.6</v>
      </c>
    </row>
    <row r="63" spans="11:20" ht="20.149999999999999" customHeight="1" x14ac:dyDescent="0.35">
      <c r="Q63" s="15">
        <v>15</v>
      </c>
      <c r="R63" s="15">
        <v>75</v>
      </c>
      <c r="S63" s="16" t="s">
        <v>29</v>
      </c>
      <c r="T63" s="17">
        <v>260.39999999999998</v>
      </c>
    </row>
    <row r="64" spans="11:20" ht="20.149999999999999" customHeight="1" x14ac:dyDescent="0.35">
      <c r="Q64" s="15">
        <v>16</v>
      </c>
      <c r="R64" s="15">
        <v>75</v>
      </c>
      <c r="S64" s="16" t="s">
        <v>29</v>
      </c>
      <c r="T64" s="17">
        <v>270.59999999999997</v>
      </c>
    </row>
    <row r="65" spans="11:20" ht="20.149999999999999" customHeight="1" x14ac:dyDescent="0.35">
      <c r="K65" s="14">
        <v>7</v>
      </c>
      <c r="L65" s="11"/>
      <c r="M65" s="11"/>
      <c r="Q65" s="15">
        <v>17</v>
      </c>
      <c r="R65" s="15">
        <v>75</v>
      </c>
      <c r="S65" s="16" t="s">
        <v>29</v>
      </c>
      <c r="T65" s="17">
        <v>281.39999999999998</v>
      </c>
    </row>
    <row r="66" spans="11:20" ht="20.149999999999999" customHeight="1" x14ac:dyDescent="0.35">
      <c r="K66" s="27" t="s">
        <v>30</v>
      </c>
      <c r="L66" s="27" t="s">
        <v>31</v>
      </c>
      <c r="M66" s="27" t="s">
        <v>17</v>
      </c>
      <c r="Q66" s="15">
        <v>18</v>
      </c>
      <c r="R66" s="15">
        <v>75</v>
      </c>
      <c r="S66" s="16" t="s">
        <v>29</v>
      </c>
      <c r="T66" s="17">
        <v>291.59999999999997</v>
      </c>
    </row>
    <row r="67" spans="11:20" ht="20.149999999999999" customHeight="1" x14ac:dyDescent="0.35">
      <c r="K67" s="36">
        <f>B9</f>
        <v>0</v>
      </c>
      <c r="L67" s="37">
        <f>C9</f>
        <v>60.4</v>
      </c>
      <c r="M67" s="38">
        <f>IF(OR(K67="",L67=""),"",IF(N71&lt;&gt;"",N71,IF(OR(M71&lt;&gt;"",N70&lt;&gt;"",O71&lt;&gt;"",N72&lt;&gt;""),MIN(M71,N70,O71,N72),MIN(M70:O72))))</f>
        <v>114.00960000000001</v>
      </c>
      <c r="Q67" s="15">
        <v>19</v>
      </c>
      <c r="R67" s="15">
        <v>75</v>
      </c>
      <c r="S67" s="16" t="s">
        <v>29</v>
      </c>
      <c r="T67" s="17">
        <v>301.8</v>
      </c>
    </row>
    <row r="68" spans="11:20" ht="20.149999999999999" customHeight="1" x14ac:dyDescent="0.35">
      <c r="L68" s="28" t="s">
        <v>11</v>
      </c>
      <c r="N68" s="39" t="s">
        <v>32</v>
      </c>
      <c r="Q68" s="15">
        <v>20</v>
      </c>
      <c r="R68" s="15">
        <v>75</v>
      </c>
      <c r="S68" s="16" t="s">
        <v>29</v>
      </c>
      <c r="T68" s="17">
        <v>312.59999999999997</v>
      </c>
    </row>
    <row r="69" spans="11:20" ht="20.149999999999999" customHeight="1" x14ac:dyDescent="0.35">
      <c r="L69" s="26"/>
      <c r="M69" s="26">
        <f>IF(N69&gt;=350,350,IF(N69&gt;=325,325,IF(N69&gt;=300,300,IF(N69&gt;=275,275,IF(N69&gt;=250,250,IF(N69&gt;=225,225,IF(N69&gt;=200,200,IF(N69&gt;=175,175,IF(N69&gt;=150,150,IF(N69&gt;=125,125,IF(N69&gt;=100,100,IF(N69&gt;=75,75,50))))))))))))</f>
        <v>50</v>
      </c>
      <c r="N69" s="37">
        <f>L67</f>
        <v>60.4</v>
      </c>
      <c r="O69" s="26">
        <f>IF(N69&lt;=50,50,IF(N69&lt;=75,75,IF(N69&lt;=100,100,IF(N69&lt;=125,125,IF(N69&lt;=150,150,IF(N69&lt;=175,175,IF(N69&lt;=200,200,IF(N69&lt;=225,225,IF(N69&lt;=250,250,IF(N69&lt;=275,275,IF(N69&lt;=300,300,IF(N69&lt;=325,325,350))))))))))))</f>
        <v>75</v>
      </c>
      <c r="Q69" s="15">
        <v>21</v>
      </c>
      <c r="R69" s="15">
        <v>75</v>
      </c>
      <c r="S69" s="16" t="s">
        <v>29</v>
      </c>
      <c r="T69" s="17">
        <v>322.8</v>
      </c>
    </row>
    <row r="70" spans="11:20" ht="20.149999999999999" customHeight="1" x14ac:dyDescent="0.35">
      <c r="L70" s="26">
        <f>IF(L71&gt;=0,ROUNDDOWN(L71,0),ROUNDUP(L71,0))</f>
        <v>0</v>
      </c>
      <c r="M70" s="40">
        <f>IF(M69=350,VLOOKUP($L70,$Q$454:$T$478,4),IF(M69=325,VLOOKUP(L70,$Q$426:$T$453,4),IF(M69=300,VLOOKUP(L70,$Q$395:$T$425,4),IF(M69=275,VLOOKUP(L70,$Q$362:$T$394,4),IF(M69=250,VLOOKUP(L70,$Q$329:$T$361,4),IF(M69=225,VLOOKUP(L70,$Q$294:$T$328,4),IF(M69=200,VLOOKUP(L70,$Q$258:$T$293,4),IF(M69=175,VLOOKUP(L70,$Q$224:$T$257,4),IF(M69=150,VLOOKUP(L70,$Q$179:$T$222,4),IF(M69=125,VLOOKUP(L70,$Q$128:$T$177,4),IF(M69=100,VLOOKUP(L70,$Q$83:$T$126,4),IF(M69=75,VLOOKUP(L70,$Q$41:$T$81,4),IF(M69=50,VLOOKUP(L70,$Q$2:$T$39,4))))))))))))))</f>
        <v>120</v>
      </c>
      <c r="N70" s="41">
        <f>IFERROR((N69-M69)/(O69-M69)*(O70-M70)+M70,"")</f>
        <v>114.00960000000001</v>
      </c>
      <c r="O70" s="40">
        <f>IF(O69=350,VLOOKUP($L70,$Q$454:$T$478,4),IF(O69=325,VLOOKUP($L70,$Q$426:$T$453,4),IF(O69=300,VLOOKUP($L70,$Q$395:$T$425,4),IF(O69=275,VLOOKUP($L70,$Q$362:$T$394,4),IF(O69=250,VLOOKUP($L70,$Q$329:$T$361,4),IF(O69=225,VLOOKUP($L70,$Q$294:$T$328,4),IF(O69=200,VLOOKUP($L70,$Q$258:$T$293,4),IF(O69=175,VLOOKUP($L70,$Q$224:$T$257,4),IF(O69=150,VLOOKUP($L70,$Q$179:$T$222,4),IF(O69=125,VLOOKUP($L70,$Q$128:$T$177,4),IF(O69=100,VLOOKUP($L70,$Q$83:$T$126,4),IF(O69=75,VLOOKUP($L70,$Q$41:$T$81,4),IF(O69=50,VLOOKUP($L70,$Q$2:$T$39,4))))))))))))))</f>
        <v>105.6</v>
      </c>
      <c r="Q70" s="15">
        <v>22</v>
      </c>
      <c r="R70" s="15">
        <v>75</v>
      </c>
      <c r="S70" s="16" t="s">
        <v>29</v>
      </c>
      <c r="T70" s="17">
        <v>333.59999999999997</v>
      </c>
    </row>
    <row r="71" spans="11:20" ht="20.149999999999999" customHeight="1" x14ac:dyDescent="0.35">
      <c r="K71" s="42" t="s">
        <v>33</v>
      </c>
      <c r="L71" s="36">
        <f>K67</f>
        <v>0</v>
      </c>
      <c r="M71" s="41" t="str">
        <f>IFERROR((L71-L70)/(L72-L70)*(M72-M70)+M70,"")</f>
        <v/>
      </c>
      <c r="N71" s="38" t="str">
        <f>IFERROR((N69-O69)/(M69-O69)*(M71-O71)+O71,"")</f>
        <v/>
      </c>
      <c r="O71" s="41" t="str">
        <f>IFERROR((L71-L70)/(L72-L70)*(O72-O70)+O70,"")</f>
        <v/>
      </c>
      <c r="Q71" s="15">
        <v>23</v>
      </c>
      <c r="R71" s="15">
        <v>75</v>
      </c>
      <c r="S71" s="16" t="s">
        <v>29</v>
      </c>
      <c r="T71" s="17">
        <v>343.8</v>
      </c>
    </row>
    <row r="72" spans="11:20" ht="20.149999999999999" customHeight="1" x14ac:dyDescent="0.35">
      <c r="L72" s="26">
        <f>IF(L71&gt;=0,ROUNDUP(L71,0),ROUNDDOWN(L71,0))</f>
        <v>0</v>
      </c>
      <c r="M72" s="40">
        <f>IF(M69=350,VLOOKUP($L72,$Q$454:$T$478,4),IF(M69=325,VLOOKUP(L72,$Q$426:$T$453,4),IF(M69=300,VLOOKUP(L72,$Q$395:$T$425,4),IF(M69=275,VLOOKUP(L72,$Q$362:$T$394,4),IF(M69=250,VLOOKUP(L72,$Q$329:$T$361,4),IF(M69=225,VLOOKUP(L72,$Q$294:$T$328,4),IF(M69=200,VLOOKUP(L72,$Q$258:$T$293,4),IF(M69=175,VLOOKUP(L72,$Q$224:$T$257,4),IF(M69=150,VLOOKUP(L72,$Q$179:$T$222,4),IF(M69=125,VLOOKUP(L72,$Q$128:$T$177,4),IF(M69=100,VLOOKUP(L72,$Q$83:$T$126,4),IF(M69=75,VLOOKUP(L72,$Q$41:$T$81,4),IF(M69=50,VLOOKUP(L72,$Q$2:$T$39,4))))))))))))))</f>
        <v>120</v>
      </c>
      <c r="N72" s="41">
        <f>IFERROR((N69-M69)/(O69-M69)*(O72-M72)+M72,"")</f>
        <v>114.00960000000001</v>
      </c>
      <c r="O72" s="40">
        <f>IF(O69=350,VLOOKUP($L72,$Q$454:$T$478,4),IF(O69=325,VLOOKUP($L72,$Q$426:$T$453,4),IF(O69=300,VLOOKUP($L72,$Q$395:$T$425,4),IF(O69=275,VLOOKUP($L72,$Q$362:$T$394,4),IF(O69=250,VLOOKUP($L72,$Q$329:$T$361,4),IF(O69=225,VLOOKUP($L72,$Q$294:$T$328,4),IF(O69=200,VLOOKUP($L72,$Q$258:$T$293,4),IF(O69=175,VLOOKUP($L72,$Q$224:$T$257,4),IF(O69=150,VLOOKUP($L72,$Q$179:$T$222,4),IF(O69=125,VLOOKUP($L72,$Q$128:$T$177,4),IF(O69=100,VLOOKUP($L72,$Q$83:$T$126,4),IF(O69=75,VLOOKUP($L72,$Q$41:$T$81,4),IF(O69=50,VLOOKUP($L72,$Q$2:$T$39,4))))))))))))))</f>
        <v>105.6</v>
      </c>
      <c r="Q72" s="15">
        <v>24</v>
      </c>
      <c r="R72" s="15">
        <v>75</v>
      </c>
      <c r="S72" s="16" t="s">
        <v>29</v>
      </c>
      <c r="T72" s="17">
        <v>354.59999999999997</v>
      </c>
    </row>
    <row r="73" spans="11:20" ht="20.149999999999999" customHeight="1" x14ac:dyDescent="0.35">
      <c r="Q73" s="15">
        <v>25</v>
      </c>
      <c r="R73" s="15">
        <v>75</v>
      </c>
      <c r="S73" s="16" t="s">
        <v>29</v>
      </c>
      <c r="T73" s="17">
        <v>364.8</v>
      </c>
    </row>
    <row r="74" spans="11:20" ht="20.149999999999999" customHeight="1" x14ac:dyDescent="0.35">
      <c r="Q74" s="15">
        <v>26</v>
      </c>
      <c r="R74" s="15">
        <v>75</v>
      </c>
      <c r="S74" s="16" t="s">
        <v>29</v>
      </c>
      <c r="T74" s="17">
        <v>375.59999999999997</v>
      </c>
    </row>
    <row r="75" spans="11:20" ht="20.149999999999999" customHeight="1" x14ac:dyDescent="0.35">
      <c r="K75" s="14">
        <v>8</v>
      </c>
      <c r="L75" s="11"/>
      <c r="M75" s="11"/>
      <c r="Q75" s="15">
        <v>27</v>
      </c>
      <c r="R75" s="15">
        <v>75</v>
      </c>
      <c r="S75" s="16" t="s">
        <v>29</v>
      </c>
      <c r="T75" s="17">
        <v>386.4</v>
      </c>
    </row>
    <row r="76" spans="11:20" ht="20.149999999999999" customHeight="1" x14ac:dyDescent="0.35">
      <c r="K76" s="27" t="s">
        <v>30</v>
      </c>
      <c r="L76" s="27" t="s">
        <v>31</v>
      </c>
      <c r="M76" s="27" t="s">
        <v>17</v>
      </c>
      <c r="Q76" s="15">
        <v>28</v>
      </c>
      <c r="R76" s="15">
        <v>75</v>
      </c>
      <c r="S76" s="16" t="s">
        <v>29</v>
      </c>
      <c r="T76" s="17">
        <v>396.59999999999997</v>
      </c>
    </row>
    <row r="77" spans="11:20" ht="20.149999999999999" customHeight="1" x14ac:dyDescent="0.35">
      <c r="K77" s="36">
        <f>B10</f>
        <v>0.3</v>
      </c>
      <c r="L77" s="37">
        <f>C10</f>
        <v>61.2</v>
      </c>
      <c r="M77" s="38">
        <f>IF(OR(K77="",L77=""),"",IF(N81&lt;&gt;"",N81,IF(OR(M81&lt;&gt;"",N80&lt;&gt;"",O81&lt;&gt;"",N82&lt;&gt;""),MIN(M81,N80,O81,N82),MIN(M80:O82))))</f>
        <v>116.6088</v>
      </c>
      <c r="Q77" s="15">
        <v>29</v>
      </c>
      <c r="R77" s="15">
        <v>75</v>
      </c>
      <c r="S77" s="16" t="s">
        <v>29</v>
      </c>
      <c r="T77" s="17">
        <v>407.4</v>
      </c>
    </row>
    <row r="78" spans="11:20" ht="20.149999999999999" customHeight="1" x14ac:dyDescent="0.35">
      <c r="L78" s="28" t="s">
        <v>11</v>
      </c>
      <c r="N78" s="39" t="s">
        <v>32</v>
      </c>
      <c r="Q78" s="15">
        <v>30</v>
      </c>
      <c r="R78" s="15">
        <v>75</v>
      </c>
      <c r="S78" s="16" t="s">
        <v>29</v>
      </c>
      <c r="T78" s="17">
        <v>417.59999999999997</v>
      </c>
    </row>
    <row r="79" spans="11:20" ht="20.149999999999999" customHeight="1" x14ac:dyDescent="0.35">
      <c r="L79" s="26"/>
      <c r="M79" s="26">
        <f>IF(N79&gt;=350,350,IF(N79&gt;=325,325,IF(N79&gt;=300,300,IF(N79&gt;=275,275,IF(N79&gt;=250,250,IF(N79&gt;=225,225,IF(N79&gt;=200,200,IF(N79&gt;=175,175,IF(N79&gt;=150,150,IF(N79&gt;=125,125,IF(N79&gt;=100,100,IF(N79&gt;=75,75,50))))))))))))</f>
        <v>50</v>
      </c>
      <c r="N79" s="37">
        <f>L77</f>
        <v>61.2</v>
      </c>
      <c r="O79" s="26">
        <f>IF(N79&lt;=50,50,IF(N79&lt;=75,75,IF(N79&lt;=100,100,IF(N79&lt;=125,125,IF(N79&lt;=150,150,IF(N79&lt;=175,175,IF(N79&lt;=200,200,IF(N79&lt;=225,225,IF(N79&lt;=250,250,IF(N79&lt;=275,275,IF(N79&lt;=300,300,IF(N79&lt;=325,325,350))))))))))))</f>
        <v>75</v>
      </c>
      <c r="Q79" s="15">
        <v>31</v>
      </c>
      <c r="R79" s="15">
        <v>75</v>
      </c>
      <c r="S79" s="16" t="s">
        <v>29</v>
      </c>
      <c r="T79" s="17">
        <v>427.8</v>
      </c>
    </row>
    <row r="80" spans="11:20" ht="20.149999999999999" customHeight="1" x14ac:dyDescent="0.35">
      <c r="L80" s="26">
        <f>IF(L81&gt;=0,ROUNDDOWN(L81,0),ROUNDUP(L81,0))</f>
        <v>0</v>
      </c>
      <c r="M80" s="40">
        <f>IF(M79=350,VLOOKUP($L80,$Q$454:$T$478,4),IF(M79=325,VLOOKUP(L80,$Q$426:$T$453,4),IF(M79=300,VLOOKUP(L80,$Q$395:$T$425,4),IF(M79=275,VLOOKUP(L80,$Q$362:$T$394,4),IF(M79=250,VLOOKUP(L80,$Q$329:$T$361,4),IF(M79=225,VLOOKUP(L80,$Q$294:$T$328,4),IF(M79=200,VLOOKUP(L80,$Q$258:$T$293,4),IF(M79=175,VLOOKUP(L80,$Q$224:$T$257,4),IF(M79=150,VLOOKUP(L80,$Q$179:$T$222,4),IF(M79=125,VLOOKUP(L80,$Q$128:$T$177,4),IF(M79=100,VLOOKUP(L80,$Q$83:$T$126,4),IF(M79=75,VLOOKUP(L80,$Q$41:$T$81,4),IF(M79=50,VLOOKUP(L80,$Q$2:$T$39,4))))))))))))))</f>
        <v>120</v>
      </c>
      <c r="N80" s="41">
        <f>IFERROR((N79-M79)/(O79-M79)*(O80-M80)+M80,"")</f>
        <v>113.5488</v>
      </c>
      <c r="O80" s="40">
        <f>IF(O79=350,VLOOKUP($L80,$Q$454:$T$478,4),IF(O79=325,VLOOKUP($L80,$Q$426:$T$453,4),IF(O79=300,VLOOKUP($L80,$Q$395:$T$425,4),IF(O79=275,VLOOKUP($L80,$Q$362:$T$394,4),IF(O79=250,VLOOKUP($L80,$Q$329:$T$361,4),IF(O79=225,VLOOKUP($L80,$Q$294:$T$328,4),IF(O79=200,VLOOKUP($L80,$Q$258:$T$293,4),IF(O79=175,VLOOKUP($L80,$Q$224:$T$257,4),IF(O79=150,VLOOKUP($L80,$Q$179:$T$222,4),IF(O79=125,VLOOKUP($L80,$Q$128:$T$177,4),IF(O79=100,VLOOKUP($L80,$Q$83:$T$126,4),IF(O79=75,VLOOKUP($L80,$Q$41:$T$81,4),IF(O79=50,VLOOKUP($L80,$Q$2:$T$39,4))))))))))))))</f>
        <v>105.6</v>
      </c>
      <c r="Q80" s="15">
        <v>32</v>
      </c>
      <c r="R80" s="15">
        <v>75</v>
      </c>
      <c r="S80" s="16" t="s">
        <v>29</v>
      </c>
      <c r="T80" s="17">
        <v>438.59999999999997</v>
      </c>
    </row>
    <row r="81" spans="11:20" ht="20.149999999999999" customHeight="1" x14ac:dyDescent="0.35">
      <c r="K81" s="42" t="s">
        <v>33</v>
      </c>
      <c r="L81" s="36">
        <f>K77</f>
        <v>0.3</v>
      </c>
      <c r="M81" s="41">
        <f>IFERROR((L81-L80)/(L82-L80)*(M82-M80)+M80,"")</f>
        <v>123.06</v>
      </c>
      <c r="N81" s="38">
        <f>IFERROR((N79-O79)/(M79-O79)*(M81-O81)+O81,"")</f>
        <v>116.6088</v>
      </c>
      <c r="O81" s="41">
        <f>IFERROR((L81-L80)/(L82-L80)*(O82-O80)+O80,"")</f>
        <v>108.66</v>
      </c>
      <c r="Q81" s="15">
        <v>33</v>
      </c>
      <c r="R81" s="15">
        <v>75</v>
      </c>
      <c r="S81" s="16" t="s">
        <v>29</v>
      </c>
      <c r="T81" s="17">
        <v>449.4</v>
      </c>
    </row>
    <row r="82" spans="11:20" ht="20.149999999999999" customHeight="1" x14ac:dyDescent="0.35">
      <c r="L82" s="26">
        <f>IF(L81&gt;=0,ROUNDUP(L81,0),ROUNDDOWN(L81,0))</f>
        <v>1</v>
      </c>
      <c r="M82" s="40">
        <f>IF(M79=350,VLOOKUP($L82,$Q$454:$T$478,4),IF(M79=325,VLOOKUP(L82,$Q$426:$T$453,4),IF(M79=300,VLOOKUP(L82,$Q$395:$T$425,4),IF(M79=275,VLOOKUP(L82,$Q$362:$T$394,4),IF(M79=250,VLOOKUP(L82,$Q$329:$T$361,4),IF(M79=225,VLOOKUP(L82,$Q$294:$T$328,4),IF(M79=200,VLOOKUP(L82,$Q$258:$T$293,4),IF(M79=175,VLOOKUP(L82,$Q$224:$T$257,4),IF(M79=150,VLOOKUP(L82,$Q$179:$T$222,4),IF(M79=125,VLOOKUP(L82,$Q$128:$T$177,4),IF(M79=100,VLOOKUP(L82,$Q$83:$T$126,4),IF(M79=75,VLOOKUP(L82,$Q$41:$T$81,4),IF(M79=50,VLOOKUP(L82,$Q$2:$T$39,4))))))))))))))</f>
        <v>130.19999999999999</v>
      </c>
      <c r="N82" s="41">
        <f>IFERROR((N79-M79)/(O79-M79)*(O82-M82)+M82,"")</f>
        <v>123.74879999999999</v>
      </c>
      <c r="O82" s="40">
        <f>IF(O79=350,VLOOKUP($L82,$Q$454:$T$478,4),IF(O79=325,VLOOKUP($L82,$Q$426:$T$453,4),IF(O79=300,VLOOKUP($L82,$Q$395:$T$425,4),IF(O79=275,VLOOKUP($L82,$Q$362:$T$394,4),IF(O79=250,VLOOKUP($L82,$Q$329:$T$361,4),IF(O79=225,VLOOKUP($L82,$Q$294:$T$328,4),IF(O79=200,VLOOKUP($L82,$Q$258:$T$293,4),IF(O79=175,VLOOKUP($L82,$Q$224:$T$257,4),IF(O79=150,VLOOKUP($L82,$Q$179:$T$222,4),IF(O79=125,VLOOKUP($L82,$Q$128:$T$177,4),IF(O79=100,VLOOKUP($L82,$Q$83:$T$126,4),IF(O79=75,VLOOKUP($L82,$Q$41:$T$81,4),IF(O79=50,VLOOKUP($L82,$Q$2:$T$39,4))))))))))))))</f>
        <v>115.8</v>
      </c>
      <c r="Q82" s="15"/>
      <c r="R82" s="15"/>
      <c r="S82" s="16"/>
      <c r="T82" s="17"/>
    </row>
    <row r="83" spans="11:20" ht="20.149999999999999" customHeight="1" x14ac:dyDescent="0.35">
      <c r="Q83" s="15">
        <v>-6</v>
      </c>
      <c r="R83" s="15">
        <v>100</v>
      </c>
      <c r="S83" s="16" t="s">
        <v>29</v>
      </c>
      <c r="T83" s="17">
        <v>25.8</v>
      </c>
    </row>
    <row r="84" spans="11:20" ht="20.149999999999999" customHeight="1" x14ac:dyDescent="0.35">
      <c r="Q84" s="15">
        <v>-5</v>
      </c>
      <c r="R84" s="15">
        <v>100</v>
      </c>
      <c r="S84" s="16" t="s">
        <v>29</v>
      </c>
      <c r="T84" s="17">
        <v>37.199999999999996</v>
      </c>
    </row>
    <row r="85" spans="11:20" ht="20.149999999999999" customHeight="1" x14ac:dyDescent="0.35">
      <c r="K85" s="14">
        <v>9</v>
      </c>
      <c r="L85" s="11"/>
      <c r="M85" s="11"/>
      <c r="Q85" s="15">
        <v>-4</v>
      </c>
      <c r="R85" s="15">
        <v>100</v>
      </c>
      <c r="S85" s="16" t="s">
        <v>29</v>
      </c>
      <c r="T85" s="17">
        <v>48</v>
      </c>
    </row>
    <row r="86" spans="11:20" ht="20.149999999999999" customHeight="1" x14ac:dyDescent="0.35">
      <c r="K86" s="27" t="s">
        <v>30</v>
      </c>
      <c r="L86" s="27" t="s">
        <v>31</v>
      </c>
      <c r="M86" s="27" t="s">
        <v>17</v>
      </c>
      <c r="Q86" s="15">
        <v>-3</v>
      </c>
      <c r="R86" s="15">
        <v>100</v>
      </c>
      <c r="S86" s="16" t="s">
        <v>29</v>
      </c>
      <c r="T86" s="17">
        <v>58.8</v>
      </c>
    </row>
    <row r="87" spans="11:20" ht="20.149999999999999" customHeight="1" x14ac:dyDescent="0.35">
      <c r="K87" s="36">
        <f>B11</f>
        <v>0.1</v>
      </c>
      <c r="L87" s="37">
        <f>C11</f>
        <v>61.2</v>
      </c>
      <c r="M87" s="38">
        <f>IF(OR(K87="",L87=""),"",IF(N91&lt;&gt;"",N91,IF(OR(M91&lt;&gt;"",N90&lt;&gt;"",O91&lt;&gt;"",N92&lt;&gt;""),MIN(M91,N90,O91,N92),MIN(M90:O92))))</f>
        <v>114.5688</v>
      </c>
      <c r="Q87" s="15">
        <v>-2</v>
      </c>
      <c r="R87" s="15">
        <v>100</v>
      </c>
      <c r="S87" s="16" t="s">
        <v>29</v>
      </c>
      <c r="T87" s="17">
        <v>69.599999999999994</v>
      </c>
    </row>
    <row r="88" spans="11:20" ht="20.149999999999999" customHeight="1" x14ac:dyDescent="0.35">
      <c r="L88" s="28" t="s">
        <v>11</v>
      </c>
      <c r="N88" s="39" t="s">
        <v>32</v>
      </c>
      <c r="Q88" s="15">
        <v>-1</v>
      </c>
      <c r="R88" s="15">
        <v>100</v>
      </c>
      <c r="S88" s="16" t="s">
        <v>29</v>
      </c>
      <c r="T88" s="17">
        <v>81</v>
      </c>
    </row>
    <row r="89" spans="11:20" ht="20.149999999999999" customHeight="1" x14ac:dyDescent="0.35">
      <c r="L89" s="26"/>
      <c r="M89" s="26">
        <f>IF(N89&gt;=350,350,IF(N89&gt;=325,325,IF(N89&gt;=300,300,IF(N89&gt;=275,275,IF(N89&gt;=250,250,IF(N89&gt;=225,225,IF(N89&gt;=200,200,IF(N89&gt;=175,175,IF(N89&gt;=150,150,IF(N89&gt;=125,125,IF(N89&gt;=100,100,IF(N89&gt;=75,75,50))))))))))))</f>
        <v>50</v>
      </c>
      <c r="N89" s="37">
        <f>L87</f>
        <v>61.2</v>
      </c>
      <c r="O89" s="26">
        <f>IF(N89&lt;=50,50,IF(N89&lt;=75,75,IF(N89&lt;=100,100,IF(N89&lt;=125,125,IF(N89&lt;=150,150,IF(N89&lt;=175,175,IF(N89&lt;=200,200,IF(N89&lt;=225,225,IF(N89&lt;=250,250,IF(N89&lt;=275,275,IF(N89&lt;=300,300,IF(N89&lt;=325,325,350))))))))))))</f>
        <v>75</v>
      </c>
      <c r="Q89" s="15">
        <v>0</v>
      </c>
      <c r="R89" s="15">
        <v>100</v>
      </c>
      <c r="S89" s="16" t="s">
        <v>29</v>
      </c>
      <c r="T89" s="17">
        <v>91.8</v>
      </c>
    </row>
    <row r="90" spans="11:20" ht="20.149999999999999" customHeight="1" x14ac:dyDescent="0.35">
      <c r="L90" s="26">
        <f>IF(L91&gt;=0,ROUNDDOWN(L91,0),ROUNDUP(L91,0))</f>
        <v>0</v>
      </c>
      <c r="M90" s="40">
        <f>IF(M89=350,VLOOKUP($L90,$Q$454:$T$478,4),IF(M89=325,VLOOKUP(L90,$Q$426:$T$453,4),IF(M89=300,VLOOKUP(L90,$Q$395:$T$425,4),IF(M89=275,VLOOKUP(L90,$Q$362:$T$394,4),IF(M89=250,VLOOKUP(L90,$Q$329:$T$361,4),IF(M89=225,VLOOKUP(L90,$Q$294:$T$328,4),IF(M89=200,VLOOKUP(L90,$Q$258:$T$293,4),IF(M89=175,VLOOKUP(L90,$Q$224:$T$257,4),IF(M89=150,VLOOKUP(L90,$Q$179:$T$222,4),IF(M89=125,VLOOKUP(L90,$Q$128:$T$177,4),IF(M89=100,VLOOKUP(L90,$Q$83:$T$126,4),IF(M89=75,VLOOKUP(L90,$Q$41:$T$81,4),IF(M89=50,VLOOKUP(L90,$Q$2:$T$39,4))))))))))))))</f>
        <v>120</v>
      </c>
      <c r="N90" s="41">
        <f>IFERROR((N89-M89)/(O89-M89)*(O90-M90)+M90,"")</f>
        <v>113.5488</v>
      </c>
      <c r="O90" s="40">
        <f>IF(O89=350,VLOOKUP($L90,$Q$454:$T$478,4),IF(O89=325,VLOOKUP($L90,$Q$426:$T$453,4),IF(O89=300,VLOOKUP($L90,$Q$395:$T$425,4),IF(O89=275,VLOOKUP($L90,$Q$362:$T$394,4),IF(O89=250,VLOOKUP($L90,$Q$329:$T$361,4),IF(O89=225,VLOOKUP($L90,$Q$294:$T$328,4),IF(O89=200,VLOOKUP($L90,$Q$258:$T$293,4),IF(O89=175,VLOOKUP($L90,$Q$224:$T$257,4),IF(O89=150,VLOOKUP($L90,$Q$179:$T$222,4),IF(O89=125,VLOOKUP($L90,$Q$128:$T$177,4),IF(O89=100,VLOOKUP($L90,$Q$83:$T$126,4),IF(O89=75,VLOOKUP($L90,$Q$41:$T$81,4),IF(O89=50,VLOOKUP($L90,$Q$2:$T$39,4))))))))))))))</f>
        <v>105.6</v>
      </c>
      <c r="Q90" s="15">
        <v>1</v>
      </c>
      <c r="R90" s="15">
        <v>100</v>
      </c>
      <c r="S90" s="16" t="s">
        <v>29</v>
      </c>
      <c r="T90" s="17">
        <v>102</v>
      </c>
    </row>
    <row r="91" spans="11:20" ht="20.149999999999999" customHeight="1" x14ac:dyDescent="0.35">
      <c r="K91" s="42" t="s">
        <v>33</v>
      </c>
      <c r="L91" s="36">
        <f>K87</f>
        <v>0.1</v>
      </c>
      <c r="M91" s="41">
        <f>IFERROR((L91-L90)/(L92-L90)*(M92-M90)+M90,"")</f>
        <v>121.02</v>
      </c>
      <c r="N91" s="38">
        <f>IFERROR((N89-O89)/(M89-O89)*(M91-O91)+O91,"")</f>
        <v>114.5688</v>
      </c>
      <c r="O91" s="41">
        <f>IFERROR((L91-L90)/(L92-L90)*(O92-O90)+O90,"")</f>
        <v>106.61999999999999</v>
      </c>
      <c r="Q91" s="15">
        <v>2</v>
      </c>
      <c r="R91" s="15">
        <v>100</v>
      </c>
      <c r="S91" s="16" t="s">
        <v>29</v>
      </c>
      <c r="T91" s="17">
        <v>112.2</v>
      </c>
    </row>
    <row r="92" spans="11:20" ht="20.149999999999999" customHeight="1" x14ac:dyDescent="0.35">
      <c r="L92" s="26">
        <f>IF(L91&gt;=0,ROUNDUP(L91,0),ROUNDDOWN(L91,0))</f>
        <v>1</v>
      </c>
      <c r="M92" s="40">
        <f>IF(M89=350,VLOOKUP($L92,$Q$454:$T$478,4),IF(M89=325,VLOOKUP(L92,$Q$426:$T$453,4),IF(M89=300,VLOOKUP(L92,$Q$395:$T$425,4),IF(M89=275,VLOOKUP(L92,$Q$362:$T$394,4),IF(M89=250,VLOOKUP(L92,$Q$329:$T$361,4),IF(M89=225,VLOOKUP(L92,$Q$294:$T$328,4),IF(M89=200,VLOOKUP(L92,$Q$258:$T$293,4),IF(M89=175,VLOOKUP(L92,$Q$224:$T$257,4),IF(M89=150,VLOOKUP(L92,$Q$179:$T$222,4),IF(M89=125,VLOOKUP(L92,$Q$128:$T$177,4),IF(M89=100,VLOOKUP(L92,$Q$83:$T$126,4),IF(M89=75,VLOOKUP(L92,$Q$41:$T$81,4),IF(M89=50,VLOOKUP(L92,$Q$2:$T$39,4))))))))))))))</f>
        <v>130.19999999999999</v>
      </c>
      <c r="N92" s="41">
        <f>IFERROR((N89-M89)/(O89-M89)*(O92-M92)+M92,"")</f>
        <v>123.74879999999999</v>
      </c>
      <c r="O92" s="40">
        <f>IF(O89=350,VLOOKUP($L92,$Q$454:$T$478,4),IF(O89=325,VLOOKUP($L92,$Q$426:$T$453,4),IF(O89=300,VLOOKUP($L92,$Q$395:$T$425,4),IF(O89=275,VLOOKUP($L92,$Q$362:$T$394,4),IF(O89=250,VLOOKUP($L92,$Q$329:$T$361,4),IF(O89=225,VLOOKUP($L92,$Q$294:$T$328,4),IF(O89=200,VLOOKUP($L92,$Q$258:$T$293,4),IF(O89=175,VLOOKUP($L92,$Q$224:$T$257,4),IF(O89=150,VLOOKUP($L92,$Q$179:$T$222,4),IF(O89=125,VLOOKUP($L92,$Q$128:$T$177,4),IF(O89=100,VLOOKUP($L92,$Q$83:$T$126,4),IF(O89=75,VLOOKUP($L92,$Q$41:$T$81,4),IF(O89=50,VLOOKUP($L92,$Q$2:$T$39,4))))))))))))))</f>
        <v>115.8</v>
      </c>
      <c r="Q92" s="15">
        <v>3</v>
      </c>
      <c r="R92" s="15">
        <v>100</v>
      </c>
      <c r="S92" s="16" t="s">
        <v>29</v>
      </c>
      <c r="T92" s="17">
        <v>122.39999999999999</v>
      </c>
    </row>
    <row r="93" spans="11:20" ht="20.149999999999999" customHeight="1" x14ac:dyDescent="0.35">
      <c r="Q93" s="15">
        <v>4</v>
      </c>
      <c r="R93" s="15">
        <v>100</v>
      </c>
      <c r="S93" s="16" t="s">
        <v>29</v>
      </c>
      <c r="T93" s="17">
        <v>132</v>
      </c>
    </row>
    <row r="94" spans="11:20" ht="20.149999999999999" customHeight="1" x14ac:dyDescent="0.35">
      <c r="Q94" s="15">
        <v>5</v>
      </c>
      <c r="R94" s="15">
        <v>100</v>
      </c>
      <c r="S94" s="16" t="s">
        <v>29</v>
      </c>
      <c r="T94" s="17">
        <v>142.19999999999999</v>
      </c>
    </row>
    <row r="95" spans="11:20" ht="20.149999999999999" customHeight="1" x14ac:dyDescent="0.35">
      <c r="K95" s="14">
        <v>10</v>
      </c>
      <c r="L95" s="11"/>
      <c r="M95" s="11"/>
      <c r="Q95" s="15">
        <v>6</v>
      </c>
      <c r="R95" s="15">
        <v>100</v>
      </c>
      <c r="S95" s="16" t="s">
        <v>29</v>
      </c>
      <c r="T95" s="17">
        <v>152.4</v>
      </c>
    </row>
    <row r="96" spans="11:20" ht="20.149999999999999" customHeight="1" x14ac:dyDescent="0.35">
      <c r="K96" s="27" t="s">
        <v>30</v>
      </c>
      <c r="L96" s="27" t="s">
        <v>31</v>
      </c>
      <c r="M96" s="27" t="s">
        <v>17</v>
      </c>
      <c r="Q96" s="15">
        <v>7</v>
      </c>
      <c r="R96" s="15">
        <v>100</v>
      </c>
      <c r="S96" s="16" t="s">
        <v>29</v>
      </c>
      <c r="T96" s="17">
        <v>162.6</v>
      </c>
    </row>
    <row r="97" spans="11:20" ht="20.149999999999999" customHeight="1" x14ac:dyDescent="0.35">
      <c r="K97" s="36">
        <f>B12</f>
        <v>0.2</v>
      </c>
      <c r="L97" s="37">
        <f>C12</f>
        <v>61</v>
      </c>
      <c r="M97" s="38">
        <f>IF(OR(K97="",L97=""),"",IF(N101&lt;&gt;"",N101,IF(OR(M101&lt;&gt;"",N100&lt;&gt;"",O101&lt;&gt;"",N102&lt;&gt;""),MIN(M101,N100,O101,N102),MIN(M100:O102))))</f>
        <v>115.70399999999999</v>
      </c>
      <c r="Q97" s="15">
        <v>8</v>
      </c>
      <c r="R97" s="15">
        <v>100</v>
      </c>
      <c r="S97" s="16" t="s">
        <v>29</v>
      </c>
      <c r="T97" s="17">
        <v>172.79999999999998</v>
      </c>
    </row>
    <row r="98" spans="11:20" ht="20.149999999999999" customHeight="1" x14ac:dyDescent="0.35">
      <c r="L98" s="28" t="s">
        <v>11</v>
      </c>
      <c r="N98" s="39" t="s">
        <v>32</v>
      </c>
      <c r="Q98" s="15">
        <v>9</v>
      </c>
      <c r="R98" s="15">
        <v>100</v>
      </c>
      <c r="S98" s="16" t="s">
        <v>29</v>
      </c>
      <c r="T98" s="17">
        <v>183.6</v>
      </c>
    </row>
    <row r="99" spans="11:20" ht="20.149999999999999" customHeight="1" x14ac:dyDescent="0.35">
      <c r="L99" s="26"/>
      <c r="M99" s="26">
        <f>IF(N99&gt;=350,350,IF(N99&gt;=325,325,IF(N99&gt;=300,300,IF(N99&gt;=275,275,IF(N99&gt;=250,250,IF(N99&gt;=225,225,IF(N99&gt;=200,200,IF(N99&gt;=175,175,IF(N99&gt;=150,150,IF(N99&gt;=125,125,IF(N99&gt;=100,100,IF(N99&gt;=75,75,50))))))))))))</f>
        <v>50</v>
      </c>
      <c r="N99" s="37">
        <f>L97</f>
        <v>61</v>
      </c>
      <c r="O99" s="26">
        <f>IF(N99&lt;=50,50,IF(N99&lt;=75,75,IF(N99&lt;=100,100,IF(N99&lt;=125,125,IF(N99&lt;=150,150,IF(N99&lt;=175,175,IF(N99&lt;=200,200,IF(N99&lt;=225,225,IF(N99&lt;=250,250,IF(N99&lt;=275,275,IF(N99&lt;=300,300,IF(N99&lt;=325,325,350))))))))))))</f>
        <v>75</v>
      </c>
      <c r="Q99" s="15">
        <v>10</v>
      </c>
      <c r="R99" s="15">
        <v>100</v>
      </c>
      <c r="S99" s="16" t="s">
        <v>29</v>
      </c>
      <c r="T99" s="17">
        <v>193.79999999999998</v>
      </c>
    </row>
    <row r="100" spans="11:20" ht="20.149999999999999" customHeight="1" x14ac:dyDescent="0.35">
      <c r="L100" s="26">
        <f>IF(L101&gt;=0,ROUNDDOWN(L101,0),ROUNDUP(L101,0))</f>
        <v>0</v>
      </c>
      <c r="M100" s="40">
        <f>IF(M99=350,VLOOKUP($L100,$Q$454:$T$478,4),IF(M99=325,VLOOKUP(L100,$Q$426:$T$453,4),IF(M99=300,VLOOKUP(L100,$Q$395:$T$425,4),IF(M99=275,VLOOKUP(L100,$Q$362:$T$394,4),IF(M99=250,VLOOKUP(L100,$Q$329:$T$361,4),IF(M99=225,VLOOKUP(L100,$Q$294:$T$328,4),IF(M99=200,VLOOKUP(L100,$Q$258:$T$293,4),IF(M99=175,VLOOKUP(L100,$Q$224:$T$257,4),IF(M99=150,VLOOKUP(L100,$Q$179:$T$222,4),IF(M99=125,VLOOKUP(L100,$Q$128:$T$177,4),IF(M99=100,VLOOKUP(L100,$Q$83:$T$126,4),IF(M99=75,VLOOKUP(L100,$Q$41:$T$81,4),IF(M99=50,VLOOKUP(L100,$Q$2:$T$39,4))))))))))))))</f>
        <v>120</v>
      </c>
      <c r="N100" s="41">
        <f>IFERROR((N99-M99)/(O99-M99)*(O100-M100)+M100,"")</f>
        <v>113.664</v>
      </c>
      <c r="O100" s="40">
        <f>IF(O99=350,VLOOKUP($L100,$Q$454:$T$478,4),IF(O99=325,VLOOKUP($L100,$Q$426:$T$453,4),IF(O99=300,VLOOKUP($L100,$Q$395:$T$425,4),IF(O99=275,VLOOKUP($L100,$Q$362:$T$394,4),IF(O99=250,VLOOKUP($L100,$Q$329:$T$361,4),IF(O99=225,VLOOKUP($L100,$Q$294:$T$328,4),IF(O99=200,VLOOKUP($L100,$Q$258:$T$293,4),IF(O99=175,VLOOKUP($L100,$Q$224:$T$257,4),IF(O99=150,VLOOKUP($L100,$Q$179:$T$222,4),IF(O99=125,VLOOKUP($L100,$Q$128:$T$177,4),IF(O99=100,VLOOKUP($L100,$Q$83:$T$126,4),IF(O99=75,VLOOKUP($L100,$Q$41:$T$81,4),IF(O99=50,VLOOKUP($L100,$Q$2:$T$39,4))))))))))))))</f>
        <v>105.6</v>
      </c>
      <c r="Q100" s="15">
        <v>11</v>
      </c>
      <c r="R100" s="15">
        <v>100</v>
      </c>
      <c r="S100" s="16" t="s">
        <v>29</v>
      </c>
      <c r="T100" s="17">
        <v>204</v>
      </c>
    </row>
    <row r="101" spans="11:20" ht="20.149999999999999" customHeight="1" x14ac:dyDescent="0.35">
      <c r="K101" s="42" t="s">
        <v>33</v>
      </c>
      <c r="L101" s="36">
        <f>K97</f>
        <v>0.2</v>
      </c>
      <c r="M101" s="41">
        <f>IFERROR((L101-L100)/(L102-L100)*(M102-M100)+M100,"")</f>
        <v>122.03999999999999</v>
      </c>
      <c r="N101" s="38">
        <f>IFERROR((N99-O99)/(M99-O99)*(M101-O101)+O101,"")</f>
        <v>115.70399999999999</v>
      </c>
      <c r="O101" s="41">
        <f>IFERROR((L101-L100)/(L102-L100)*(O102-O100)+O100,"")</f>
        <v>107.64</v>
      </c>
      <c r="Q101" s="15">
        <v>12</v>
      </c>
      <c r="R101" s="15">
        <v>100</v>
      </c>
      <c r="S101" s="16" t="s">
        <v>29</v>
      </c>
      <c r="T101" s="17">
        <v>214.2</v>
      </c>
    </row>
    <row r="102" spans="11:20" ht="20.149999999999999" customHeight="1" x14ac:dyDescent="0.35">
      <c r="L102" s="26">
        <f>IF(L101&gt;=0,ROUNDUP(L101,0),ROUNDDOWN(L101,0))</f>
        <v>1</v>
      </c>
      <c r="M102" s="40">
        <f>IF(M99=350,VLOOKUP($L102,$Q$454:$T$478,4),IF(M99=325,VLOOKUP(L102,$Q$426:$T$453,4),IF(M99=300,VLOOKUP(L102,$Q$395:$T$425,4),IF(M99=275,VLOOKUP(L102,$Q$362:$T$394,4),IF(M99=250,VLOOKUP(L102,$Q$329:$T$361,4),IF(M99=225,VLOOKUP(L102,$Q$294:$T$328,4),IF(M99=200,VLOOKUP(L102,$Q$258:$T$293,4),IF(M99=175,VLOOKUP(L102,$Q$224:$T$257,4),IF(M99=150,VLOOKUP(L102,$Q$179:$T$222,4),IF(M99=125,VLOOKUP(L102,$Q$128:$T$177,4),IF(M99=100,VLOOKUP(L102,$Q$83:$T$126,4),IF(M99=75,VLOOKUP(L102,$Q$41:$T$81,4),IF(M99=50,VLOOKUP(L102,$Q$2:$T$39,4))))))))))))))</f>
        <v>130.19999999999999</v>
      </c>
      <c r="N102" s="41">
        <f>IFERROR((N99-M99)/(O99-M99)*(O102-M102)+M102,"")</f>
        <v>123.86399999999999</v>
      </c>
      <c r="O102" s="40">
        <f>IF(O99=350,VLOOKUP($L102,$Q$454:$T$478,4),IF(O99=325,VLOOKUP($L102,$Q$426:$T$453,4),IF(O99=300,VLOOKUP($L102,$Q$395:$T$425,4),IF(O99=275,VLOOKUP($L102,$Q$362:$T$394,4),IF(O99=250,VLOOKUP($L102,$Q$329:$T$361,4),IF(O99=225,VLOOKUP($L102,$Q$294:$T$328,4),IF(O99=200,VLOOKUP($L102,$Q$258:$T$293,4),IF(O99=175,VLOOKUP($L102,$Q$224:$T$257,4),IF(O99=150,VLOOKUP($L102,$Q$179:$T$222,4),IF(O99=125,VLOOKUP($L102,$Q$128:$T$177,4),IF(O99=100,VLOOKUP($L102,$Q$83:$T$126,4),IF(O99=75,VLOOKUP($L102,$Q$41:$T$81,4),IF(O99=50,VLOOKUP($L102,$Q$2:$T$39,4))))))))))))))</f>
        <v>115.8</v>
      </c>
      <c r="Q102" s="15">
        <v>13</v>
      </c>
      <c r="R102" s="15">
        <v>100</v>
      </c>
      <c r="S102" s="16" t="s">
        <v>29</v>
      </c>
      <c r="T102" s="17">
        <v>224.4</v>
      </c>
    </row>
    <row r="103" spans="11:20" ht="20.149999999999999" customHeight="1" x14ac:dyDescent="0.35">
      <c r="Q103" s="15">
        <v>14</v>
      </c>
      <c r="R103" s="15">
        <v>100</v>
      </c>
      <c r="S103" s="16" t="s">
        <v>29</v>
      </c>
      <c r="T103" s="17">
        <v>234.6</v>
      </c>
    </row>
    <row r="104" spans="11:20" ht="20.149999999999999" customHeight="1" x14ac:dyDescent="0.35">
      <c r="Q104" s="15">
        <v>15</v>
      </c>
      <c r="R104" s="15">
        <v>100</v>
      </c>
      <c r="S104" s="16" t="s">
        <v>29</v>
      </c>
      <c r="T104" s="17">
        <v>245.39999999999998</v>
      </c>
    </row>
    <row r="105" spans="11:20" ht="20.149999999999999" customHeight="1" x14ac:dyDescent="0.35">
      <c r="K105" s="14">
        <v>11</v>
      </c>
      <c r="L105" s="11"/>
      <c r="M105" s="11"/>
      <c r="Q105" s="15">
        <v>16</v>
      </c>
      <c r="R105" s="15">
        <v>100</v>
      </c>
      <c r="S105" s="16" t="s">
        <v>29</v>
      </c>
      <c r="T105" s="17">
        <v>255.6</v>
      </c>
    </row>
    <row r="106" spans="11:20" ht="20.149999999999999" customHeight="1" x14ac:dyDescent="0.35">
      <c r="K106" s="27" t="s">
        <v>30</v>
      </c>
      <c r="L106" s="27" t="s">
        <v>31</v>
      </c>
      <c r="M106" s="27" t="s">
        <v>17</v>
      </c>
      <c r="Q106" s="15">
        <v>17</v>
      </c>
      <c r="R106" s="15">
        <v>100</v>
      </c>
      <c r="S106" s="16" t="s">
        <v>29</v>
      </c>
      <c r="T106" s="17">
        <v>265.8</v>
      </c>
    </row>
    <row r="107" spans="11:20" ht="20.149999999999999" customHeight="1" x14ac:dyDescent="0.35">
      <c r="K107" s="36">
        <f>B13</f>
        <v>-0.3</v>
      </c>
      <c r="L107" s="37">
        <f>C13</f>
        <v>59.8</v>
      </c>
      <c r="M107" s="38">
        <f>IF(OR(K107="",L107=""),"",IF(N111&lt;&gt;"",N111,IF(OR(M111&lt;&gt;"",N110&lt;&gt;"",O111&lt;&gt;"",N112&lt;&gt;""),MIN(M111,N110,O111,N112),MIN(M110:O112))))</f>
        <v>110.93519999999999</v>
      </c>
      <c r="Q107" s="15">
        <v>18</v>
      </c>
      <c r="R107" s="15">
        <v>100</v>
      </c>
      <c r="S107" s="16" t="s">
        <v>29</v>
      </c>
      <c r="T107" s="17">
        <v>276</v>
      </c>
    </row>
    <row r="108" spans="11:20" ht="20.149999999999999" customHeight="1" x14ac:dyDescent="0.35">
      <c r="L108" s="28" t="s">
        <v>11</v>
      </c>
      <c r="N108" s="39" t="s">
        <v>32</v>
      </c>
      <c r="Q108" s="15">
        <v>19</v>
      </c>
      <c r="R108" s="15">
        <v>100</v>
      </c>
      <c r="S108" s="16" t="s">
        <v>29</v>
      </c>
      <c r="T108" s="17">
        <v>286.8</v>
      </c>
    </row>
    <row r="109" spans="11:20" ht="20.149999999999999" customHeight="1" x14ac:dyDescent="0.35">
      <c r="L109" s="26"/>
      <c r="M109" s="26">
        <f>IF(N109&gt;=350,350,IF(N109&gt;=325,325,IF(N109&gt;=300,300,IF(N109&gt;=275,275,IF(N109&gt;=250,250,IF(N109&gt;=225,225,IF(N109&gt;=200,200,IF(N109&gt;=175,175,IF(N109&gt;=150,150,IF(N109&gt;=125,125,IF(N109&gt;=100,100,IF(N109&gt;=75,75,50))))))))))))</f>
        <v>50</v>
      </c>
      <c r="N109" s="37">
        <f>L107</f>
        <v>59.8</v>
      </c>
      <c r="O109" s="26">
        <f>IF(N109&lt;=50,50,IF(N109&lt;=75,75,IF(N109&lt;=100,100,IF(N109&lt;=125,125,IF(N109&lt;=150,150,IF(N109&lt;=175,175,IF(N109&lt;=200,200,IF(N109&lt;=225,225,IF(N109&lt;=250,250,IF(N109&lt;=275,275,IF(N109&lt;=300,300,IF(N109&lt;=325,325,350))))))))))))</f>
        <v>75</v>
      </c>
      <c r="Q109" s="15">
        <v>20</v>
      </c>
      <c r="R109" s="15">
        <v>100</v>
      </c>
      <c r="S109" s="16" t="s">
        <v>29</v>
      </c>
      <c r="T109" s="17">
        <v>297</v>
      </c>
    </row>
    <row r="110" spans="11:20" ht="20.149999999999999" customHeight="1" x14ac:dyDescent="0.35">
      <c r="L110" s="26">
        <f>IF(L111&gt;=0,ROUNDDOWN(L111,0),ROUNDUP(L111,0))</f>
        <v>-1</v>
      </c>
      <c r="M110" s="40">
        <f>IF(M109=350,VLOOKUP($L110,$Q$454:$T$478,4),IF(M109=325,VLOOKUP(L110,$Q$426:$T$453,4),IF(M109=300,VLOOKUP(L110,$Q$395:$T$425,4),IF(M109=275,VLOOKUP(L110,$Q$362:$T$394,4),IF(M109=250,VLOOKUP(L110,$Q$329:$T$361,4),IF(M109=225,VLOOKUP(L110,$Q$294:$T$328,4),IF(M109=200,VLOOKUP(L110,$Q$258:$T$293,4),IF(M109=175,VLOOKUP(L110,$Q$224:$T$257,4),IF(M109=150,VLOOKUP(L110,$Q$179:$T$222,4),IF(M109=125,VLOOKUP(L110,$Q$128:$T$177,4),IF(M109=100,VLOOKUP(L110,$Q$83:$T$126,4),IF(M109=75,VLOOKUP(L110,$Q$41:$T$81,4),IF(M109=50,VLOOKUP(L110,$Q$2:$T$39,4))))))))))))))</f>
        <v>108.6</v>
      </c>
      <c r="N110" s="41">
        <f>IFERROR((N109-M109)/(O109-M109)*(O110-M110)+M110,"")</f>
        <v>102.9552</v>
      </c>
      <c r="O110" s="40">
        <f>IF(O109=350,VLOOKUP($L110,$Q$454:$T$478,4),IF(O109=325,VLOOKUP($L110,$Q$426:$T$453,4),IF(O109=300,VLOOKUP($L110,$Q$395:$T$425,4),IF(O109=275,VLOOKUP($L110,$Q$362:$T$394,4),IF(O109=250,VLOOKUP($L110,$Q$329:$T$361,4),IF(O109=225,VLOOKUP($L110,$Q$294:$T$328,4),IF(O109=200,VLOOKUP($L110,$Q$258:$T$293,4),IF(O109=175,VLOOKUP($L110,$Q$224:$T$257,4),IF(O109=150,VLOOKUP($L110,$Q$179:$T$222,4),IF(O109=125,VLOOKUP($L110,$Q$128:$T$177,4),IF(O109=100,VLOOKUP($L110,$Q$83:$T$126,4),IF(O109=75,VLOOKUP($L110,$Q$41:$T$81,4),IF(O109=50,VLOOKUP($L110,$Q$2:$T$39,4))))))))))))))</f>
        <v>94.2</v>
      </c>
      <c r="Q110" s="15">
        <v>21</v>
      </c>
      <c r="R110" s="15">
        <v>100</v>
      </c>
      <c r="S110" s="16" t="s">
        <v>29</v>
      </c>
      <c r="T110" s="17">
        <v>307.2</v>
      </c>
    </row>
    <row r="111" spans="11:20" ht="20.149999999999999" customHeight="1" x14ac:dyDescent="0.35">
      <c r="K111" s="42" t="s">
        <v>33</v>
      </c>
      <c r="L111" s="36">
        <f>K107</f>
        <v>-0.3</v>
      </c>
      <c r="M111" s="41">
        <f>IFERROR((L111-L110)/(L112-L110)*(M112-M110)+M110,"")</f>
        <v>116.58</v>
      </c>
      <c r="N111" s="38">
        <f>IFERROR((N109-O109)/(M109-O109)*(M111-O111)+O111,"")</f>
        <v>110.93519999999999</v>
      </c>
      <c r="O111" s="41">
        <f>IFERROR((L111-L110)/(L112-L110)*(O112-O110)+O110,"")</f>
        <v>102.17999999999999</v>
      </c>
      <c r="Q111" s="15">
        <v>22</v>
      </c>
      <c r="R111" s="15">
        <v>100</v>
      </c>
      <c r="S111" s="16" t="s">
        <v>29</v>
      </c>
      <c r="T111" s="17">
        <v>318</v>
      </c>
    </row>
    <row r="112" spans="11:20" ht="20.149999999999999" customHeight="1" x14ac:dyDescent="0.35">
      <c r="L112" s="26">
        <f>IF(L111&gt;=0,ROUNDUP(L111,0),ROUNDDOWN(L111,0))</f>
        <v>0</v>
      </c>
      <c r="M112" s="40">
        <f>IF(M109=350,VLOOKUP($L112,$Q$454:$T$478,4),IF(M109=325,VLOOKUP(L112,$Q$426:$T$453,4),IF(M109=300,VLOOKUP(L112,$Q$395:$T$425,4),IF(M109=275,VLOOKUP(L112,$Q$362:$T$394,4),IF(M109=250,VLOOKUP(L112,$Q$329:$T$361,4),IF(M109=225,VLOOKUP(L112,$Q$294:$T$328,4),IF(M109=200,VLOOKUP(L112,$Q$258:$T$293,4),IF(M109=175,VLOOKUP(L112,$Q$224:$T$257,4),IF(M109=150,VLOOKUP(L112,$Q$179:$T$222,4),IF(M109=125,VLOOKUP(L112,$Q$128:$T$177,4),IF(M109=100,VLOOKUP(L112,$Q$83:$T$126,4),IF(M109=75,VLOOKUP(L112,$Q$41:$T$81,4),IF(M109=50,VLOOKUP(L112,$Q$2:$T$39,4))))))))))))))</f>
        <v>120</v>
      </c>
      <c r="N112" s="41">
        <f>IFERROR((N109-M109)/(O109-M109)*(O112-M112)+M112,"")</f>
        <v>114.3552</v>
      </c>
      <c r="O112" s="40">
        <f>IF(O109=350,VLOOKUP($L112,$Q$454:$T$478,4),IF(O109=325,VLOOKUP($L112,$Q$426:$T$453,4),IF(O109=300,VLOOKUP($L112,$Q$395:$T$425,4),IF(O109=275,VLOOKUP($L112,$Q$362:$T$394,4),IF(O109=250,VLOOKUP($L112,$Q$329:$T$361,4),IF(O109=225,VLOOKUP($L112,$Q$294:$T$328,4),IF(O109=200,VLOOKUP($L112,$Q$258:$T$293,4),IF(O109=175,VLOOKUP($L112,$Q$224:$T$257,4),IF(O109=150,VLOOKUP($L112,$Q$179:$T$222,4),IF(O109=125,VLOOKUP($L112,$Q$128:$T$177,4),IF(O109=100,VLOOKUP($L112,$Q$83:$T$126,4),IF(O109=75,VLOOKUP($L112,$Q$41:$T$81,4),IF(O109=50,VLOOKUP($L112,$Q$2:$T$39,4))))))))))))))</f>
        <v>105.6</v>
      </c>
      <c r="Q112" s="15">
        <v>23</v>
      </c>
      <c r="R112" s="15">
        <v>100</v>
      </c>
      <c r="S112" s="16" t="s">
        <v>29</v>
      </c>
      <c r="T112" s="17">
        <v>328.2</v>
      </c>
    </row>
    <row r="113" spans="11:20" ht="20.149999999999999" customHeight="1" x14ac:dyDescent="0.35">
      <c r="Q113" s="15">
        <v>24</v>
      </c>
      <c r="R113" s="15">
        <v>100</v>
      </c>
      <c r="S113" s="16" t="s">
        <v>29</v>
      </c>
      <c r="T113" s="17">
        <v>339</v>
      </c>
    </row>
    <row r="114" spans="11:20" ht="20.149999999999999" customHeight="1" x14ac:dyDescent="0.35">
      <c r="Q114" s="15">
        <v>25</v>
      </c>
      <c r="R114" s="15">
        <v>100</v>
      </c>
      <c r="S114" s="16" t="s">
        <v>29</v>
      </c>
      <c r="T114" s="17">
        <v>349.2</v>
      </c>
    </row>
    <row r="115" spans="11:20" ht="20.149999999999999" customHeight="1" x14ac:dyDescent="0.35">
      <c r="K115" s="14">
        <v>12</v>
      </c>
      <c r="L115" s="11"/>
      <c r="M115" s="11"/>
      <c r="Q115" s="15">
        <v>26</v>
      </c>
      <c r="R115" s="15">
        <v>100</v>
      </c>
      <c r="S115" s="16" t="s">
        <v>37</v>
      </c>
      <c r="T115" s="17">
        <v>347.4</v>
      </c>
    </row>
    <row r="116" spans="11:20" ht="20.149999999999999" customHeight="1" x14ac:dyDescent="0.35">
      <c r="K116" s="27" t="s">
        <v>30</v>
      </c>
      <c r="L116" s="27" t="s">
        <v>31</v>
      </c>
      <c r="M116" s="27" t="s">
        <v>17</v>
      </c>
      <c r="Q116" s="15">
        <v>27</v>
      </c>
      <c r="R116" s="15">
        <v>100</v>
      </c>
      <c r="S116" s="16" t="s">
        <v>37</v>
      </c>
      <c r="T116" s="17">
        <v>358.2</v>
      </c>
    </row>
    <row r="117" spans="11:20" ht="20.149999999999999" customHeight="1" x14ac:dyDescent="0.35">
      <c r="K117" s="36">
        <f>B14</f>
        <v>0</v>
      </c>
      <c r="L117" s="37">
        <f>C14</f>
        <v>61.7</v>
      </c>
      <c r="M117" s="38">
        <f>IF(OR(K117="",L117=""),"",IF(N121&lt;&gt;"",N121,IF(OR(M121&lt;&gt;"",N120&lt;&gt;"",O121&lt;&gt;"",N122&lt;&gt;""),MIN(M121,N120,O121,N122),MIN(M120:O122))))</f>
        <v>113.26079999999999</v>
      </c>
      <c r="Q117" s="15">
        <v>28</v>
      </c>
      <c r="R117" s="15">
        <v>100</v>
      </c>
      <c r="S117" s="16" t="s">
        <v>37</v>
      </c>
      <c r="T117" s="17">
        <v>368.4</v>
      </c>
    </row>
    <row r="118" spans="11:20" ht="20.149999999999999" customHeight="1" x14ac:dyDescent="0.35">
      <c r="L118" s="28" t="s">
        <v>11</v>
      </c>
      <c r="N118" s="39" t="s">
        <v>32</v>
      </c>
      <c r="Q118" s="15">
        <v>29</v>
      </c>
      <c r="R118" s="15">
        <v>100</v>
      </c>
      <c r="S118" s="16" t="s">
        <v>37</v>
      </c>
      <c r="T118" s="17">
        <v>379.2</v>
      </c>
    </row>
    <row r="119" spans="11:20" ht="20.149999999999999" customHeight="1" x14ac:dyDescent="0.35">
      <c r="L119" s="26"/>
      <c r="M119" s="26">
        <f>IF(N119&gt;=350,350,IF(N119&gt;=325,325,IF(N119&gt;=300,300,IF(N119&gt;=275,275,IF(N119&gt;=250,250,IF(N119&gt;=225,225,IF(N119&gt;=200,200,IF(N119&gt;=175,175,IF(N119&gt;=150,150,IF(N119&gt;=125,125,IF(N119&gt;=100,100,IF(N119&gt;=75,75,50))))))))))))</f>
        <v>50</v>
      </c>
      <c r="N119" s="37">
        <f>L117</f>
        <v>61.7</v>
      </c>
      <c r="O119" s="26">
        <f>IF(N119&lt;=50,50,IF(N119&lt;=75,75,IF(N119&lt;=100,100,IF(N119&lt;=125,125,IF(N119&lt;=150,150,IF(N119&lt;=175,175,IF(N119&lt;=200,200,IF(N119&lt;=225,225,IF(N119&lt;=250,250,IF(N119&lt;=275,275,IF(N119&lt;=300,300,IF(N119&lt;=325,325,350))))))))))))</f>
        <v>75</v>
      </c>
      <c r="Q119" s="15">
        <v>30</v>
      </c>
      <c r="R119" s="15">
        <v>100</v>
      </c>
      <c r="S119" s="16" t="s">
        <v>37</v>
      </c>
      <c r="T119" s="17">
        <v>390</v>
      </c>
    </row>
    <row r="120" spans="11:20" ht="20.149999999999999" customHeight="1" x14ac:dyDescent="0.35">
      <c r="L120" s="26">
        <f>IF(L121&gt;=0,ROUNDDOWN(L121,0),ROUNDUP(L121,0))</f>
        <v>0</v>
      </c>
      <c r="M120" s="40">
        <f>IF(M119=350,VLOOKUP($L120,$Q$454:$T$478,4),IF(M119=325,VLOOKUP(L120,$Q$426:$T$453,4),IF(M119=300,VLOOKUP(L120,$Q$395:$T$425,4),IF(M119=275,VLOOKUP(L120,$Q$362:$T$394,4),IF(M119=250,VLOOKUP(L120,$Q$329:$T$361,4),IF(M119=225,VLOOKUP(L120,$Q$294:$T$328,4),IF(M119=200,VLOOKUP(L120,$Q$258:$T$293,4),IF(M119=175,VLOOKUP(L120,$Q$224:$T$257,4),IF(M119=150,VLOOKUP(L120,$Q$179:$T$222,4),IF(M119=125,VLOOKUP(L120,$Q$128:$T$177,4),IF(M119=100,VLOOKUP(L120,$Q$83:$T$126,4),IF(M119=75,VLOOKUP(L120,$Q$41:$T$81,4),IF(M119=50,VLOOKUP(L120,$Q$2:$T$39,4))))))))))))))</f>
        <v>120</v>
      </c>
      <c r="N120" s="41">
        <f>IFERROR((N119-M119)/(O119-M119)*(O120-M120)+M120,"")</f>
        <v>113.26079999999999</v>
      </c>
      <c r="O120" s="40">
        <f>IF(O119=350,VLOOKUP($L120,$Q$454:$T$478,4),IF(O119=325,VLOOKUP($L120,$Q$426:$T$453,4),IF(O119=300,VLOOKUP($L120,$Q$395:$T$425,4),IF(O119=275,VLOOKUP($L120,$Q$362:$T$394,4),IF(O119=250,VLOOKUP($L120,$Q$329:$T$361,4),IF(O119=225,VLOOKUP($L120,$Q$294:$T$328,4),IF(O119=200,VLOOKUP($L120,$Q$258:$T$293,4),IF(O119=175,VLOOKUP($L120,$Q$224:$T$257,4),IF(O119=150,VLOOKUP($L120,$Q$179:$T$222,4),IF(O119=125,VLOOKUP($L120,$Q$128:$T$177,4),IF(O119=100,VLOOKUP($L120,$Q$83:$T$126,4),IF(O119=75,VLOOKUP($L120,$Q$41:$T$81,4),IF(O119=50,VLOOKUP($L120,$Q$2:$T$39,4))))))))))))))</f>
        <v>105.6</v>
      </c>
      <c r="Q120" s="15">
        <v>31</v>
      </c>
      <c r="R120" s="15">
        <v>100</v>
      </c>
      <c r="S120" s="16" t="s">
        <v>37</v>
      </c>
      <c r="T120" s="17">
        <v>400.2</v>
      </c>
    </row>
    <row r="121" spans="11:20" ht="20.149999999999999" customHeight="1" x14ac:dyDescent="0.35">
      <c r="K121" s="42" t="s">
        <v>33</v>
      </c>
      <c r="L121" s="36">
        <f>K117</f>
        <v>0</v>
      </c>
      <c r="M121" s="41" t="str">
        <f>IFERROR((L121-L120)/(L122-L120)*(M122-M120)+M120,"")</f>
        <v/>
      </c>
      <c r="N121" s="38" t="str">
        <f>IFERROR((N119-O119)/(M119-O119)*(M121-O121)+O121,"")</f>
        <v/>
      </c>
      <c r="O121" s="41" t="str">
        <f>IFERROR((L121-L120)/(L122-L120)*(O122-O120)+O120,"")</f>
        <v/>
      </c>
      <c r="Q121" s="15">
        <v>32</v>
      </c>
      <c r="R121" s="15">
        <v>100</v>
      </c>
      <c r="S121" s="16" t="s">
        <v>38</v>
      </c>
      <c r="T121" s="17">
        <v>399.59999999999997</v>
      </c>
    </row>
    <row r="122" spans="11:20" ht="20.149999999999999" customHeight="1" x14ac:dyDescent="0.35">
      <c r="L122" s="26">
        <f>IF(L121&gt;=0,ROUNDUP(L121,0),ROUNDDOWN(L121,0))</f>
        <v>0</v>
      </c>
      <c r="M122" s="40">
        <f>IF(M119=350,VLOOKUP($L122,$Q$454:$T$478,4),IF(M119=325,VLOOKUP(L122,$Q$426:$T$453,4),IF(M119=300,VLOOKUP(L122,$Q$395:$T$425,4),IF(M119=275,VLOOKUP(L122,$Q$362:$T$394,4),IF(M119=250,VLOOKUP(L122,$Q$329:$T$361,4),IF(M119=225,VLOOKUP(L122,$Q$294:$T$328,4),IF(M119=200,VLOOKUP(L122,$Q$258:$T$293,4),IF(M119=175,VLOOKUP(L122,$Q$224:$T$257,4),IF(M119=150,VLOOKUP(L122,$Q$179:$T$222,4),IF(M119=125,VLOOKUP(L122,$Q$128:$T$177,4),IF(M119=100,VLOOKUP(L122,$Q$83:$T$126,4),IF(M119=75,VLOOKUP(L122,$Q$41:$T$81,4),IF(M119=50,VLOOKUP(L122,$Q$2:$T$39,4))))))))))))))</f>
        <v>120</v>
      </c>
      <c r="N122" s="41">
        <f>IFERROR((N119-M119)/(O119-M119)*(O122-M122)+M122,"")</f>
        <v>113.26079999999999</v>
      </c>
      <c r="O122" s="40">
        <f>IF(O119=350,VLOOKUP($L122,$Q$454:$T$478,4),IF(O119=325,VLOOKUP($L122,$Q$426:$T$453,4),IF(O119=300,VLOOKUP($L122,$Q$395:$T$425,4),IF(O119=275,VLOOKUP($L122,$Q$362:$T$394,4),IF(O119=250,VLOOKUP($L122,$Q$329:$T$361,4),IF(O119=225,VLOOKUP($L122,$Q$294:$T$328,4),IF(O119=200,VLOOKUP($L122,$Q$258:$T$293,4),IF(O119=175,VLOOKUP($L122,$Q$224:$T$257,4),IF(O119=150,VLOOKUP($L122,$Q$179:$T$222,4),IF(O119=125,VLOOKUP($L122,$Q$128:$T$177,4),IF(O119=100,VLOOKUP($L122,$Q$83:$T$126,4),IF(O119=75,VLOOKUP($L122,$Q$41:$T$81,4),IF(O119=50,VLOOKUP($L122,$Q$2:$T$39,4))))))))))))))</f>
        <v>105.6</v>
      </c>
      <c r="Q122" s="15">
        <v>33</v>
      </c>
      <c r="R122" s="15">
        <v>100</v>
      </c>
      <c r="S122" s="16" t="s">
        <v>38</v>
      </c>
      <c r="T122" s="17">
        <v>410.4</v>
      </c>
    </row>
    <row r="123" spans="11:20" ht="20.149999999999999" customHeight="1" x14ac:dyDescent="0.35">
      <c r="Q123" s="15">
        <v>34</v>
      </c>
      <c r="R123" s="15">
        <v>100</v>
      </c>
      <c r="S123" s="16" t="s">
        <v>38</v>
      </c>
      <c r="T123" s="17">
        <v>421.2</v>
      </c>
    </row>
    <row r="124" spans="11:20" ht="20.149999999999999" customHeight="1" x14ac:dyDescent="0.35">
      <c r="Q124" s="15">
        <v>35</v>
      </c>
      <c r="R124" s="15">
        <v>100</v>
      </c>
      <c r="S124" s="16" t="s">
        <v>38</v>
      </c>
      <c r="T124" s="17">
        <v>431.4</v>
      </c>
    </row>
    <row r="125" spans="11:20" ht="20.149999999999999" customHeight="1" x14ac:dyDescent="0.35">
      <c r="K125" s="14">
        <v>13</v>
      </c>
      <c r="L125" s="11"/>
      <c r="M125" s="11"/>
      <c r="Q125" s="15">
        <v>36</v>
      </c>
      <c r="R125" s="15">
        <v>100</v>
      </c>
      <c r="S125" s="16" t="s">
        <v>38</v>
      </c>
      <c r="T125" s="17">
        <v>442.2</v>
      </c>
    </row>
    <row r="126" spans="11:20" ht="20.149999999999999" customHeight="1" x14ac:dyDescent="0.35">
      <c r="K126" s="27" t="s">
        <v>30</v>
      </c>
      <c r="L126" s="27" t="s">
        <v>31</v>
      </c>
      <c r="M126" s="27" t="s">
        <v>17</v>
      </c>
      <c r="Q126" s="15">
        <v>37</v>
      </c>
      <c r="R126" s="15">
        <v>100</v>
      </c>
      <c r="S126" s="16" t="s">
        <v>38</v>
      </c>
      <c r="T126" s="17">
        <v>453</v>
      </c>
    </row>
    <row r="127" spans="11:20" ht="20.149999999999999" customHeight="1" x14ac:dyDescent="0.35">
      <c r="K127" s="36">
        <f>B15</f>
        <v>0.2</v>
      </c>
      <c r="L127" s="37">
        <f>C15</f>
        <v>58.8</v>
      </c>
      <c r="M127" s="38">
        <f>IF(OR(K127="",L127=""),"",IF(N131&lt;&gt;"",N131,IF(OR(M131&lt;&gt;"",N130&lt;&gt;"",O131&lt;&gt;"",N132&lt;&gt;""),MIN(M131,N130,O131,N132),MIN(M130:O132))))</f>
        <v>116.9712</v>
      </c>
      <c r="Q127" s="15"/>
      <c r="R127" s="15"/>
      <c r="S127" s="16"/>
      <c r="T127" s="17"/>
    </row>
    <row r="128" spans="11:20" ht="20.149999999999999" customHeight="1" x14ac:dyDescent="0.35">
      <c r="L128" s="28" t="s">
        <v>11</v>
      </c>
      <c r="N128" s="39" t="s">
        <v>32</v>
      </c>
      <c r="Q128" s="15">
        <v>-4</v>
      </c>
      <c r="R128" s="15">
        <v>125</v>
      </c>
      <c r="S128" s="16" t="s">
        <v>29</v>
      </c>
      <c r="T128" s="17">
        <v>34.799999999999997</v>
      </c>
    </row>
    <row r="129" spans="11:20" ht="20.149999999999999" customHeight="1" x14ac:dyDescent="0.35">
      <c r="L129" s="26"/>
      <c r="M129" s="26">
        <f>IF(N129&gt;=350,350,IF(N129&gt;=325,325,IF(N129&gt;=300,300,IF(N129&gt;=275,275,IF(N129&gt;=250,250,IF(N129&gt;=225,225,IF(N129&gt;=200,200,IF(N129&gt;=175,175,IF(N129&gt;=150,150,IF(N129&gt;=125,125,IF(N129&gt;=100,100,IF(N129&gt;=75,75,50))))))))))))</f>
        <v>50</v>
      </c>
      <c r="N129" s="37">
        <f>L127</f>
        <v>58.8</v>
      </c>
      <c r="O129" s="26">
        <f>IF(N129&lt;=50,50,IF(N129&lt;=75,75,IF(N129&lt;=100,100,IF(N129&lt;=125,125,IF(N129&lt;=150,150,IF(N129&lt;=175,175,IF(N129&lt;=200,200,IF(N129&lt;=225,225,IF(N129&lt;=250,250,IF(N129&lt;=275,275,IF(N129&lt;=300,300,IF(N129&lt;=325,325,350))))))))))))</f>
        <v>75</v>
      </c>
      <c r="Q129" s="15">
        <v>-3</v>
      </c>
      <c r="R129" s="15">
        <v>125</v>
      </c>
      <c r="S129" s="16" t="s">
        <v>29</v>
      </c>
      <c r="T129" s="17">
        <v>45.6</v>
      </c>
    </row>
    <row r="130" spans="11:20" ht="20.149999999999999" customHeight="1" x14ac:dyDescent="0.35">
      <c r="L130" s="26">
        <f>IF(L131&gt;=0,ROUNDDOWN(L131,0),ROUNDUP(L131,0))</f>
        <v>0</v>
      </c>
      <c r="M130" s="40">
        <f>IF(M129=350,VLOOKUP($L130,$Q$454:$T$478,4),IF(M129=325,VLOOKUP(L130,$Q$426:$T$453,4),IF(M129=300,VLOOKUP(L130,$Q$395:$T$425,4),IF(M129=275,VLOOKUP(L130,$Q$362:$T$394,4),IF(M129=250,VLOOKUP(L130,$Q$329:$T$361,4),IF(M129=225,VLOOKUP(L130,$Q$294:$T$328,4),IF(M129=200,VLOOKUP(L130,$Q$258:$T$293,4),IF(M129=175,VLOOKUP(L130,$Q$224:$T$257,4),IF(M129=150,VLOOKUP(L130,$Q$179:$T$222,4),IF(M129=125,VLOOKUP(L130,$Q$128:$T$177,4),IF(M129=100,VLOOKUP(L130,$Q$83:$T$126,4),IF(M129=75,VLOOKUP(L130,$Q$41:$T$81,4),IF(M129=50,VLOOKUP(L130,$Q$2:$T$39,4))))))))))))))</f>
        <v>120</v>
      </c>
      <c r="N130" s="41">
        <f>IFERROR((N129-M129)/(O129-M129)*(O130-M130)+M130,"")</f>
        <v>114.9312</v>
      </c>
      <c r="O130" s="40">
        <f>IF(O129=350,VLOOKUP($L130,$Q$454:$T$478,4),IF(O129=325,VLOOKUP($L130,$Q$426:$T$453,4),IF(O129=300,VLOOKUP($L130,$Q$395:$T$425,4),IF(O129=275,VLOOKUP($L130,$Q$362:$T$394,4),IF(O129=250,VLOOKUP($L130,$Q$329:$T$361,4),IF(O129=225,VLOOKUP($L130,$Q$294:$T$328,4),IF(O129=200,VLOOKUP($L130,$Q$258:$T$293,4),IF(O129=175,VLOOKUP($L130,$Q$224:$T$257,4),IF(O129=150,VLOOKUP($L130,$Q$179:$T$222,4),IF(O129=125,VLOOKUP($L130,$Q$128:$T$177,4),IF(O129=100,VLOOKUP($L130,$Q$83:$T$126,4),IF(O129=75,VLOOKUP($L130,$Q$41:$T$81,4),IF(O129=50,VLOOKUP($L130,$Q$2:$T$39,4))))))))))))))</f>
        <v>105.6</v>
      </c>
      <c r="Q130" s="15">
        <v>-2</v>
      </c>
      <c r="R130" s="15">
        <v>125</v>
      </c>
      <c r="S130" s="16" t="s">
        <v>29</v>
      </c>
      <c r="T130" s="17">
        <v>56.4</v>
      </c>
    </row>
    <row r="131" spans="11:20" ht="20.149999999999999" customHeight="1" x14ac:dyDescent="0.35">
      <c r="K131" s="42" t="s">
        <v>33</v>
      </c>
      <c r="L131" s="36">
        <f>K127</f>
        <v>0.2</v>
      </c>
      <c r="M131" s="41">
        <f>IFERROR((L131-L130)/(L132-L130)*(M132-M130)+M130,"")</f>
        <v>122.03999999999999</v>
      </c>
      <c r="N131" s="38">
        <f>IFERROR((N129-O129)/(M129-O129)*(M131-O131)+O131,"")</f>
        <v>116.9712</v>
      </c>
      <c r="O131" s="41">
        <f>IFERROR((L131-L130)/(L132-L130)*(O132-O130)+O130,"")</f>
        <v>107.64</v>
      </c>
      <c r="Q131" s="15">
        <v>-1</v>
      </c>
      <c r="R131" s="15">
        <v>125</v>
      </c>
      <c r="S131" s="16" t="s">
        <v>29</v>
      </c>
      <c r="T131" s="17">
        <v>67.8</v>
      </c>
    </row>
    <row r="132" spans="11:20" ht="20.149999999999999" customHeight="1" x14ac:dyDescent="0.35">
      <c r="L132" s="26">
        <f>IF(L131&gt;=0,ROUNDUP(L131,0),ROUNDDOWN(L131,0))</f>
        <v>1</v>
      </c>
      <c r="M132" s="40">
        <f>IF(M129=350,VLOOKUP($L132,$Q$454:$T$478,4),IF(M129=325,VLOOKUP(L132,$Q$426:$T$453,4),IF(M129=300,VLOOKUP(L132,$Q$395:$T$425,4),IF(M129=275,VLOOKUP(L132,$Q$362:$T$394,4),IF(M129=250,VLOOKUP(L132,$Q$329:$T$361,4),IF(M129=225,VLOOKUP(L132,$Q$294:$T$328,4),IF(M129=200,VLOOKUP(L132,$Q$258:$T$293,4),IF(M129=175,VLOOKUP(L132,$Q$224:$T$257,4),IF(M129=150,VLOOKUP(L132,$Q$179:$T$222,4),IF(M129=125,VLOOKUP(L132,$Q$128:$T$177,4),IF(M129=100,VLOOKUP(L132,$Q$83:$T$126,4),IF(M129=75,VLOOKUP(L132,$Q$41:$T$81,4),IF(M129=50,VLOOKUP(L132,$Q$2:$T$39,4))))))))))))))</f>
        <v>130.19999999999999</v>
      </c>
      <c r="N132" s="41">
        <f>IFERROR((N129-M129)/(O129-M129)*(O132-M132)+M132,"")</f>
        <v>125.13119999999999</v>
      </c>
      <c r="O132" s="40">
        <f>IF(O129=350,VLOOKUP($L132,$Q$454:$T$478,4),IF(O129=325,VLOOKUP($L132,$Q$426:$T$453,4),IF(O129=300,VLOOKUP($L132,$Q$395:$T$425,4),IF(O129=275,VLOOKUP($L132,$Q$362:$T$394,4),IF(O129=250,VLOOKUP($L132,$Q$329:$T$361,4),IF(O129=225,VLOOKUP($L132,$Q$294:$T$328,4),IF(O129=200,VLOOKUP($L132,$Q$258:$T$293,4),IF(O129=175,VLOOKUP($L132,$Q$224:$T$257,4),IF(O129=150,VLOOKUP($L132,$Q$179:$T$222,4),IF(O129=125,VLOOKUP($L132,$Q$128:$T$177,4),IF(O129=100,VLOOKUP($L132,$Q$83:$T$126,4),IF(O129=75,VLOOKUP($L132,$Q$41:$T$81,4),IF(O129=50,VLOOKUP($L132,$Q$2:$T$39,4))))))))))))))</f>
        <v>115.8</v>
      </c>
      <c r="Q132" s="15">
        <v>0</v>
      </c>
      <c r="R132" s="15">
        <v>125</v>
      </c>
      <c r="S132" s="16" t="s">
        <v>29</v>
      </c>
      <c r="T132" s="17">
        <v>78.599999999999994</v>
      </c>
    </row>
    <row r="133" spans="11:20" ht="20.149999999999999" customHeight="1" x14ac:dyDescent="0.35">
      <c r="Q133" s="15">
        <v>1</v>
      </c>
      <c r="R133" s="15">
        <v>125</v>
      </c>
      <c r="S133" s="16" t="s">
        <v>29</v>
      </c>
      <c r="T133" s="17">
        <v>88.8</v>
      </c>
    </row>
    <row r="134" spans="11:20" ht="20.149999999999999" customHeight="1" x14ac:dyDescent="0.35">
      <c r="Q134" s="15">
        <v>2</v>
      </c>
      <c r="R134" s="15">
        <v>125</v>
      </c>
      <c r="S134" s="16" t="s">
        <v>29</v>
      </c>
      <c r="T134" s="17">
        <v>98.399999999999991</v>
      </c>
    </row>
    <row r="135" spans="11:20" ht="20.149999999999999" customHeight="1" x14ac:dyDescent="0.35">
      <c r="K135" s="14">
        <v>14</v>
      </c>
      <c r="L135" s="11"/>
      <c r="M135" s="11"/>
      <c r="Q135" s="15">
        <v>3</v>
      </c>
      <c r="R135" s="15">
        <v>125</v>
      </c>
      <c r="S135" s="16" t="s">
        <v>29</v>
      </c>
      <c r="T135" s="17">
        <v>108.6</v>
      </c>
    </row>
    <row r="136" spans="11:20" ht="20.149999999999999" customHeight="1" x14ac:dyDescent="0.35">
      <c r="K136" s="27" t="s">
        <v>30</v>
      </c>
      <c r="L136" s="27" t="s">
        <v>31</v>
      </c>
      <c r="M136" s="27" t="s">
        <v>17</v>
      </c>
      <c r="Q136" s="15">
        <v>4</v>
      </c>
      <c r="R136" s="15">
        <v>125</v>
      </c>
      <c r="S136" s="16" t="s">
        <v>29</v>
      </c>
      <c r="T136" s="17">
        <v>118.8</v>
      </c>
    </row>
    <row r="137" spans="11:20" ht="20.149999999999999" customHeight="1" x14ac:dyDescent="0.35">
      <c r="K137" s="36">
        <f>B16</f>
        <v>0.2</v>
      </c>
      <c r="L137" s="37">
        <f>C16</f>
        <v>60.6</v>
      </c>
      <c r="M137" s="38">
        <f>IF(OR(K137="",L137=""),"",IF(N141&lt;&gt;"",N141,IF(OR(M141&lt;&gt;"",N140&lt;&gt;"",O141&lt;&gt;"",N142&lt;&gt;""),MIN(M141,N140,O141,N142),MIN(M140:O142))))</f>
        <v>115.9344</v>
      </c>
      <c r="Q137" s="15">
        <v>5</v>
      </c>
      <c r="R137" s="15">
        <v>125</v>
      </c>
      <c r="S137" s="16" t="s">
        <v>29</v>
      </c>
      <c r="T137" s="17">
        <v>129</v>
      </c>
    </row>
    <row r="138" spans="11:20" ht="20.149999999999999" customHeight="1" x14ac:dyDescent="0.35">
      <c r="L138" s="28" t="s">
        <v>11</v>
      </c>
      <c r="N138" s="39" t="s">
        <v>32</v>
      </c>
      <c r="Q138" s="15">
        <v>6</v>
      </c>
      <c r="R138" s="15">
        <v>125</v>
      </c>
      <c r="S138" s="16" t="s">
        <v>29</v>
      </c>
      <c r="T138" s="17">
        <v>138.6</v>
      </c>
    </row>
    <row r="139" spans="11:20" ht="20.149999999999999" customHeight="1" x14ac:dyDescent="0.35">
      <c r="L139" s="26"/>
      <c r="M139" s="26">
        <f>IF(N139&gt;=350,350,IF(N139&gt;=325,325,IF(N139&gt;=300,300,IF(N139&gt;=275,275,IF(N139&gt;=250,250,IF(N139&gt;=225,225,IF(N139&gt;=200,200,IF(N139&gt;=175,175,IF(N139&gt;=150,150,IF(N139&gt;=125,125,IF(N139&gt;=100,100,IF(N139&gt;=75,75,50))))))))))))</f>
        <v>50</v>
      </c>
      <c r="N139" s="37">
        <f>L137</f>
        <v>60.6</v>
      </c>
      <c r="O139" s="26">
        <f>IF(N139&lt;=50,50,IF(N139&lt;=75,75,IF(N139&lt;=100,100,IF(N139&lt;=125,125,IF(N139&lt;=150,150,IF(N139&lt;=175,175,IF(N139&lt;=200,200,IF(N139&lt;=225,225,IF(N139&lt;=250,250,IF(N139&lt;=275,275,IF(N139&lt;=300,300,IF(N139&lt;=325,325,350))))))))))))</f>
        <v>75</v>
      </c>
      <c r="Q139" s="15">
        <v>7</v>
      </c>
      <c r="R139" s="15">
        <v>125</v>
      </c>
      <c r="S139" s="16" t="s">
        <v>29</v>
      </c>
      <c r="T139" s="17">
        <v>148.79999999999998</v>
      </c>
    </row>
    <row r="140" spans="11:20" ht="20.149999999999999" customHeight="1" x14ac:dyDescent="0.35">
      <c r="L140" s="26">
        <f>IF(L141&gt;=0,ROUNDDOWN(L141,0),ROUNDUP(L141,0))</f>
        <v>0</v>
      </c>
      <c r="M140" s="40">
        <f>IF(M139=350,VLOOKUP($L140,$Q$454:$T$478,4),IF(M139=325,VLOOKUP(L140,$Q$426:$T$453,4),IF(M139=300,VLOOKUP(L140,$Q$395:$T$425,4),IF(M139=275,VLOOKUP(L140,$Q$362:$T$394,4),IF(M139=250,VLOOKUP(L140,$Q$329:$T$361,4),IF(M139=225,VLOOKUP(L140,$Q$294:$T$328,4),IF(M139=200,VLOOKUP(L140,$Q$258:$T$293,4),IF(M139=175,VLOOKUP(L140,$Q$224:$T$257,4),IF(M139=150,VLOOKUP(L140,$Q$179:$T$222,4),IF(M139=125,VLOOKUP(L140,$Q$128:$T$177,4),IF(M139=100,VLOOKUP(L140,$Q$83:$T$126,4),IF(M139=75,VLOOKUP(L140,$Q$41:$T$81,4),IF(M139=50,VLOOKUP(L140,$Q$2:$T$39,4))))))))))))))</f>
        <v>120</v>
      </c>
      <c r="N140" s="41">
        <f>IFERROR((N139-M139)/(O139-M139)*(O140-M140)+M140,"")</f>
        <v>113.89439999999999</v>
      </c>
      <c r="O140" s="40">
        <f>IF(O139=350,VLOOKUP($L140,$Q$454:$T$478,4),IF(O139=325,VLOOKUP($L140,$Q$426:$T$453,4),IF(O139=300,VLOOKUP($L140,$Q$395:$T$425,4),IF(O139=275,VLOOKUP($L140,$Q$362:$T$394,4),IF(O139=250,VLOOKUP($L140,$Q$329:$T$361,4),IF(O139=225,VLOOKUP($L140,$Q$294:$T$328,4),IF(O139=200,VLOOKUP($L140,$Q$258:$T$293,4),IF(O139=175,VLOOKUP($L140,$Q$224:$T$257,4),IF(O139=150,VLOOKUP($L140,$Q$179:$T$222,4),IF(O139=125,VLOOKUP($L140,$Q$128:$T$177,4),IF(O139=100,VLOOKUP($L140,$Q$83:$T$126,4),IF(O139=75,VLOOKUP($L140,$Q$41:$T$81,4),IF(O139=50,VLOOKUP($L140,$Q$2:$T$39,4))))))))))))))</f>
        <v>105.6</v>
      </c>
      <c r="Q140" s="15">
        <v>8</v>
      </c>
      <c r="R140" s="15">
        <v>125</v>
      </c>
      <c r="S140" s="16" t="s">
        <v>29</v>
      </c>
      <c r="T140" s="17">
        <v>159</v>
      </c>
    </row>
    <row r="141" spans="11:20" ht="20.149999999999999" customHeight="1" x14ac:dyDescent="0.35">
      <c r="K141" s="42" t="s">
        <v>33</v>
      </c>
      <c r="L141" s="36">
        <f>K137</f>
        <v>0.2</v>
      </c>
      <c r="M141" s="41">
        <f>IFERROR((L141-L140)/(L142-L140)*(M142-M140)+M140,"")</f>
        <v>122.03999999999999</v>
      </c>
      <c r="N141" s="38">
        <f>IFERROR((N139-O139)/(M139-O139)*(M141-O141)+O141,"")</f>
        <v>115.9344</v>
      </c>
      <c r="O141" s="41">
        <f>IFERROR((L141-L140)/(L142-L140)*(O142-O140)+O140,"")</f>
        <v>107.64</v>
      </c>
      <c r="Q141" s="15">
        <v>9</v>
      </c>
      <c r="R141" s="15">
        <v>125</v>
      </c>
      <c r="S141" s="16" t="s">
        <v>29</v>
      </c>
      <c r="T141" s="17">
        <v>169.2</v>
      </c>
    </row>
    <row r="142" spans="11:20" ht="20.149999999999999" customHeight="1" x14ac:dyDescent="0.35">
      <c r="L142" s="26">
        <f>IF(L141&gt;=0,ROUNDUP(L141,0),ROUNDDOWN(L141,0))</f>
        <v>1</v>
      </c>
      <c r="M142" s="40">
        <f>IF(M139=350,VLOOKUP($L142,$Q$454:$T$478,4),IF(M139=325,VLOOKUP(L142,$Q$426:$T$453,4),IF(M139=300,VLOOKUP(L142,$Q$395:$T$425,4),IF(M139=275,VLOOKUP(L142,$Q$362:$T$394,4),IF(M139=250,VLOOKUP(L142,$Q$329:$T$361,4),IF(M139=225,VLOOKUP(L142,$Q$294:$T$328,4),IF(M139=200,VLOOKUP(L142,$Q$258:$T$293,4),IF(M139=175,VLOOKUP(L142,$Q$224:$T$257,4),IF(M139=150,VLOOKUP(L142,$Q$179:$T$222,4),IF(M139=125,VLOOKUP(L142,$Q$128:$T$177,4),IF(M139=100,VLOOKUP(L142,$Q$83:$T$126,4),IF(M139=75,VLOOKUP(L142,$Q$41:$T$81,4),IF(M139=50,VLOOKUP(L142,$Q$2:$T$39,4))))))))))))))</f>
        <v>130.19999999999999</v>
      </c>
      <c r="N142" s="41">
        <f>IFERROR((N139-M139)/(O139-M139)*(O142-M142)+M142,"")</f>
        <v>124.09439999999999</v>
      </c>
      <c r="O142" s="40">
        <f>IF(O139=350,VLOOKUP($L142,$Q$454:$T$478,4),IF(O139=325,VLOOKUP($L142,$Q$426:$T$453,4),IF(O139=300,VLOOKUP($L142,$Q$395:$T$425,4),IF(O139=275,VLOOKUP($L142,$Q$362:$T$394,4),IF(O139=250,VLOOKUP($L142,$Q$329:$T$361,4),IF(O139=225,VLOOKUP($L142,$Q$294:$T$328,4),IF(O139=200,VLOOKUP($L142,$Q$258:$T$293,4),IF(O139=175,VLOOKUP($L142,$Q$224:$T$257,4),IF(O139=150,VLOOKUP($L142,$Q$179:$T$222,4),IF(O139=125,VLOOKUP($L142,$Q$128:$T$177,4),IF(O139=100,VLOOKUP($L142,$Q$83:$T$126,4),IF(O139=75,VLOOKUP($L142,$Q$41:$T$81,4),IF(O139=50,VLOOKUP($L142,$Q$2:$T$39,4))))))))))))))</f>
        <v>115.8</v>
      </c>
      <c r="Q142" s="15">
        <v>10</v>
      </c>
      <c r="R142" s="15">
        <v>125</v>
      </c>
      <c r="S142" s="16" t="s">
        <v>29</v>
      </c>
      <c r="T142" s="17">
        <v>179.4</v>
      </c>
    </row>
    <row r="143" spans="11:20" ht="20.149999999999999" customHeight="1" x14ac:dyDescent="0.35">
      <c r="Q143" s="15">
        <v>11</v>
      </c>
      <c r="R143" s="15">
        <v>125</v>
      </c>
      <c r="S143" s="16" t="s">
        <v>29</v>
      </c>
      <c r="T143" s="17">
        <v>189.6</v>
      </c>
    </row>
    <row r="144" spans="11:20" ht="20.149999999999999" customHeight="1" x14ac:dyDescent="0.35">
      <c r="Q144" s="15">
        <v>12</v>
      </c>
      <c r="R144" s="15">
        <v>125</v>
      </c>
      <c r="S144" s="16" t="s">
        <v>29</v>
      </c>
      <c r="T144" s="17">
        <v>199.79999999999998</v>
      </c>
    </row>
    <row r="145" spans="11:20" ht="20.149999999999999" customHeight="1" x14ac:dyDescent="0.35">
      <c r="K145" s="14">
        <v>15</v>
      </c>
      <c r="L145" s="11"/>
      <c r="M145" s="11"/>
      <c r="Q145" s="15">
        <v>13</v>
      </c>
      <c r="R145" s="15">
        <v>125</v>
      </c>
      <c r="S145" s="16" t="s">
        <v>29</v>
      </c>
      <c r="T145" s="17">
        <v>210</v>
      </c>
    </row>
    <row r="146" spans="11:20" ht="20.149999999999999" customHeight="1" x14ac:dyDescent="0.35">
      <c r="K146" s="27" t="s">
        <v>30</v>
      </c>
      <c r="L146" s="27" t="s">
        <v>31</v>
      </c>
      <c r="M146" s="27" t="s">
        <v>17</v>
      </c>
      <c r="Q146" s="15">
        <v>14</v>
      </c>
      <c r="R146" s="15">
        <v>125</v>
      </c>
      <c r="S146" s="16" t="s">
        <v>29</v>
      </c>
      <c r="T146" s="17">
        <v>220.2</v>
      </c>
    </row>
    <row r="147" spans="11:20" ht="20.149999999999999" customHeight="1" x14ac:dyDescent="0.35">
      <c r="K147" s="36">
        <f>B17</f>
        <v>0.6</v>
      </c>
      <c r="L147" s="37">
        <f>C17</f>
        <v>62.8</v>
      </c>
      <c r="M147" s="38">
        <f>IF(OR(K147="",L147=""),"",IF(N151&lt;&gt;"",N151,IF(OR(M151&lt;&gt;"",N150&lt;&gt;"",O151&lt;&gt;"",N152&lt;&gt;""),MIN(M151,N150,O151,N152),MIN(M150:O152))))</f>
        <v>118.74719999999999</v>
      </c>
      <c r="Q147" s="15">
        <v>15</v>
      </c>
      <c r="R147" s="15">
        <v>125</v>
      </c>
      <c r="S147" s="16" t="s">
        <v>29</v>
      </c>
      <c r="T147" s="17">
        <v>230.39999999999998</v>
      </c>
    </row>
    <row r="148" spans="11:20" ht="20.149999999999999" customHeight="1" x14ac:dyDescent="0.35">
      <c r="L148" s="28" t="s">
        <v>11</v>
      </c>
      <c r="N148" s="39" t="s">
        <v>32</v>
      </c>
      <c r="Q148" s="15">
        <v>16</v>
      </c>
      <c r="R148" s="15">
        <v>125</v>
      </c>
      <c r="S148" s="16" t="s">
        <v>29</v>
      </c>
      <c r="T148" s="17">
        <v>241.79999999999998</v>
      </c>
    </row>
    <row r="149" spans="11:20" ht="20.149999999999999" customHeight="1" x14ac:dyDescent="0.35">
      <c r="L149" s="26"/>
      <c r="M149" s="26">
        <f>IF(N149&gt;=350,350,IF(N149&gt;=325,325,IF(N149&gt;=300,300,IF(N149&gt;=275,275,IF(N149&gt;=250,250,IF(N149&gt;=225,225,IF(N149&gt;=200,200,IF(N149&gt;=175,175,IF(N149&gt;=150,150,IF(N149&gt;=125,125,IF(N149&gt;=100,100,IF(N149&gt;=75,75,50))))))))))))</f>
        <v>50</v>
      </c>
      <c r="N149" s="37">
        <f>L147</f>
        <v>62.8</v>
      </c>
      <c r="O149" s="26">
        <f>IF(N149&lt;=50,50,IF(N149&lt;=75,75,IF(N149&lt;=100,100,IF(N149&lt;=125,125,IF(N149&lt;=150,150,IF(N149&lt;=175,175,IF(N149&lt;=200,200,IF(N149&lt;=225,225,IF(N149&lt;=250,250,IF(N149&lt;=275,275,IF(N149&lt;=300,300,IF(N149&lt;=325,325,350))))))))))))</f>
        <v>75</v>
      </c>
      <c r="Q149" s="15">
        <v>17</v>
      </c>
      <c r="R149" s="15">
        <v>125</v>
      </c>
      <c r="S149" s="16" t="s">
        <v>29</v>
      </c>
      <c r="T149" s="17">
        <v>251.39999999999998</v>
      </c>
    </row>
    <row r="150" spans="11:20" ht="20.149999999999999" customHeight="1" x14ac:dyDescent="0.35">
      <c r="L150" s="26">
        <f>IF(L151&gt;=0,ROUNDDOWN(L151,0),ROUNDUP(L151,0))</f>
        <v>0</v>
      </c>
      <c r="M150" s="40">
        <f>IF(M149=350,VLOOKUP($L150,$Q$454:$T$478,4),IF(M149=325,VLOOKUP(L150,$Q$426:$T$453,4),IF(M149=300,VLOOKUP(L150,$Q$395:$T$425,4),IF(M149=275,VLOOKUP(L150,$Q$362:$T$394,4),IF(M149=250,VLOOKUP(L150,$Q$329:$T$361,4),IF(M149=225,VLOOKUP(L150,$Q$294:$T$328,4),IF(M149=200,VLOOKUP(L150,$Q$258:$T$293,4),IF(M149=175,VLOOKUP(L150,$Q$224:$T$257,4),IF(M149=150,VLOOKUP(L150,$Q$179:$T$222,4),IF(M149=125,VLOOKUP(L150,$Q$128:$T$177,4),IF(M149=100,VLOOKUP(L150,$Q$83:$T$126,4),IF(M149=75,VLOOKUP(L150,$Q$41:$T$81,4),IF(M149=50,VLOOKUP(L150,$Q$2:$T$39,4))))))))))))))</f>
        <v>120</v>
      </c>
      <c r="N150" s="41">
        <f>IFERROR((N149-M149)/(O149-M149)*(O150-M150)+M150,"")</f>
        <v>112.6272</v>
      </c>
      <c r="O150" s="40">
        <f>IF(O149=350,VLOOKUP($L150,$Q$454:$T$478,4),IF(O149=325,VLOOKUP($L150,$Q$426:$T$453,4),IF(O149=300,VLOOKUP($L150,$Q$395:$T$425,4),IF(O149=275,VLOOKUP($L150,$Q$362:$T$394,4),IF(O149=250,VLOOKUP($L150,$Q$329:$T$361,4),IF(O149=225,VLOOKUP($L150,$Q$294:$T$328,4),IF(O149=200,VLOOKUP($L150,$Q$258:$T$293,4),IF(O149=175,VLOOKUP($L150,$Q$224:$T$257,4),IF(O149=150,VLOOKUP($L150,$Q$179:$T$222,4),IF(O149=125,VLOOKUP($L150,$Q$128:$T$177,4),IF(O149=100,VLOOKUP($L150,$Q$83:$T$126,4),IF(O149=75,VLOOKUP($L150,$Q$41:$T$81,4),IF(O149=50,VLOOKUP($L150,$Q$2:$T$39,4))))))))))))))</f>
        <v>105.6</v>
      </c>
      <c r="Q150" s="15">
        <v>18</v>
      </c>
      <c r="R150" s="15">
        <v>125</v>
      </c>
      <c r="S150" s="16" t="s">
        <v>37</v>
      </c>
      <c r="T150" s="17">
        <v>245.39999999999998</v>
      </c>
    </row>
    <row r="151" spans="11:20" ht="20.149999999999999" customHeight="1" x14ac:dyDescent="0.35">
      <c r="K151" s="42" t="s">
        <v>33</v>
      </c>
      <c r="L151" s="36">
        <f>K147</f>
        <v>0.6</v>
      </c>
      <c r="M151" s="41">
        <f>IFERROR((L151-L150)/(L152-L150)*(M152-M150)+M150,"")</f>
        <v>126.11999999999999</v>
      </c>
      <c r="N151" s="38">
        <f>IFERROR((N149-O149)/(M149-O149)*(M151-O151)+O151,"")</f>
        <v>118.74719999999999</v>
      </c>
      <c r="O151" s="41">
        <f>IFERROR((L151-L150)/(L152-L150)*(O152-O150)+O150,"")</f>
        <v>111.72</v>
      </c>
      <c r="Q151" s="15">
        <v>19</v>
      </c>
      <c r="R151" s="15">
        <v>125</v>
      </c>
      <c r="S151" s="16" t="s">
        <v>37</v>
      </c>
      <c r="T151" s="17">
        <v>256.2</v>
      </c>
    </row>
    <row r="152" spans="11:20" ht="20.149999999999999" customHeight="1" x14ac:dyDescent="0.35">
      <c r="L152" s="26">
        <f>IF(L151&gt;=0,ROUNDUP(L151,0),ROUNDDOWN(L151,0))</f>
        <v>1</v>
      </c>
      <c r="M152" s="40">
        <f>IF(M149=350,VLOOKUP($L152,$Q$454:$T$478,4),IF(M149=325,VLOOKUP(L152,$Q$426:$T$453,4),IF(M149=300,VLOOKUP(L152,$Q$395:$T$425,4),IF(M149=275,VLOOKUP(L152,$Q$362:$T$394,4),IF(M149=250,VLOOKUP(L152,$Q$329:$T$361,4),IF(M149=225,VLOOKUP(L152,$Q$294:$T$328,4),IF(M149=200,VLOOKUP(L152,$Q$258:$T$293,4),IF(M149=175,VLOOKUP(L152,$Q$224:$T$257,4),IF(M149=150,VLOOKUP(L152,$Q$179:$T$222,4),IF(M149=125,VLOOKUP(L152,$Q$128:$T$177,4),IF(M149=100,VLOOKUP(L152,$Q$83:$T$126,4),IF(M149=75,VLOOKUP(L152,$Q$41:$T$81,4),IF(M149=50,VLOOKUP(L152,$Q$2:$T$39,4))))))))))))))</f>
        <v>130.19999999999999</v>
      </c>
      <c r="N152" s="41">
        <f>IFERROR((N149-M149)/(O149-M149)*(O152-M152)+M152,"")</f>
        <v>122.82719999999999</v>
      </c>
      <c r="O152" s="40">
        <f>IF(O149=350,VLOOKUP($L152,$Q$454:$T$478,4),IF(O149=325,VLOOKUP($L152,$Q$426:$T$453,4),IF(O149=300,VLOOKUP($L152,$Q$395:$T$425,4),IF(O149=275,VLOOKUP($L152,$Q$362:$T$394,4),IF(O149=250,VLOOKUP($L152,$Q$329:$T$361,4),IF(O149=225,VLOOKUP($L152,$Q$294:$T$328,4),IF(O149=200,VLOOKUP($L152,$Q$258:$T$293,4),IF(O149=175,VLOOKUP($L152,$Q$224:$T$257,4),IF(O149=150,VLOOKUP($L152,$Q$179:$T$222,4),IF(O149=125,VLOOKUP($L152,$Q$128:$T$177,4),IF(O149=100,VLOOKUP($L152,$Q$83:$T$126,4),IF(O149=75,VLOOKUP($L152,$Q$41:$T$81,4),IF(O149=50,VLOOKUP($L152,$Q$2:$T$39,4))))))))))))))</f>
        <v>115.8</v>
      </c>
      <c r="Q152" s="15">
        <v>20</v>
      </c>
      <c r="R152" s="15">
        <v>125</v>
      </c>
      <c r="S152" s="16" t="s">
        <v>37</v>
      </c>
      <c r="T152" s="17">
        <v>266.39999999999998</v>
      </c>
    </row>
    <row r="153" spans="11:20" ht="20.149999999999999" customHeight="1" x14ac:dyDescent="0.35">
      <c r="Q153" s="15">
        <v>21</v>
      </c>
      <c r="R153" s="15">
        <v>125</v>
      </c>
      <c r="S153" s="16" t="s">
        <v>38</v>
      </c>
      <c r="T153" s="17">
        <v>261</v>
      </c>
    </row>
    <row r="154" spans="11:20" ht="20.149999999999999" customHeight="1" x14ac:dyDescent="0.35">
      <c r="Q154" s="15">
        <v>22</v>
      </c>
      <c r="R154" s="15">
        <v>125</v>
      </c>
      <c r="S154" s="16" t="s">
        <v>38</v>
      </c>
      <c r="T154" s="17">
        <v>271.8</v>
      </c>
    </row>
    <row r="155" spans="11:20" ht="20.149999999999999" customHeight="1" x14ac:dyDescent="0.35">
      <c r="K155" s="14">
        <v>16</v>
      </c>
      <c r="L155" s="11"/>
      <c r="M155" s="11"/>
      <c r="Q155" s="15">
        <v>23</v>
      </c>
      <c r="R155" s="15">
        <v>125</v>
      </c>
      <c r="S155" s="16" t="s">
        <v>38</v>
      </c>
      <c r="T155" s="17">
        <v>282</v>
      </c>
    </row>
    <row r="156" spans="11:20" ht="20.149999999999999" customHeight="1" x14ac:dyDescent="0.35">
      <c r="K156" s="27" t="s">
        <v>30</v>
      </c>
      <c r="L156" s="27" t="s">
        <v>31</v>
      </c>
      <c r="M156" s="27" t="s">
        <v>17</v>
      </c>
      <c r="Q156" s="15">
        <v>24</v>
      </c>
      <c r="R156" s="15">
        <v>125</v>
      </c>
      <c r="S156" s="16" t="s">
        <v>38</v>
      </c>
      <c r="T156" s="17">
        <v>292.8</v>
      </c>
    </row>
    <row r="157" spans="11:20" ht="20.149999999999999" customHeight="1" x14ac:dyDescent="0.35">
      <c r="K157" s="36">
        <f>B18</f>
        <v>0.9</v>
      </c>
      <c r="L157" s="37">
        <f>C18</f>
        <v>63.9</v>
      </c>
      <c r="M157" s="38">
        <f>IF(OR(K157="",L157=""),"",IF(N161&lt;&gt;"",N161,IF(OR(M161&lt;&gt;"",N160&lt;&gt;"",O161&lt;&gt;"",N162&lt;&gt;""),MIN(M161,N160,O161,N162),MIN(M160:O162))))</f>
        <v>121.17359999999999</v>
      </c>
      <c r="Q157" s="15">
        <v>30</v>
      </c>
      <c r="R157" s="15">
        <v>125</v>
      </c>
      <c r="S157" s="16" t="s">
        <v>39</v>
      </c>
      <c r="T157" s="17">
        <v>289.2</v>
      </c>
    </row>
    <row r="158" spans="11:20" ht="20.149999999999999" customHeight="1" x14ac:dyDescent="0.35">
      <c r="L158" s="28" t="s">
        <v>11</v>
      </c>
      <c r="N158" s="39" t="s">
        <v>32</v>
      </c>
      <c r="Q158" s="15">
        <v>31</v>
      </c>
      <c r="R158" s="15">
        <v>125</v>
      </c>
      <c r="S158" s="16" t="s">
        <v>39</v>
      </c>
      <c r="T158" s="17">
        <v>297</v>
      </c>
    </row>
    <row r="159" spans="11:20" ht="20.149999999999999" customHeight="1" x14ac:dyDescent="0.35">
      <c r="L159" s="26"/>
      <c r="M159" s="26">
        <f>IF(N159&gt;=350,350,IF(N159&gt;=325,325,IF(N159&gt;=300,300,IF(N159&gt;=275,275,IF(N159&gt;=250,250,IF(N159&gt;=225,225,IF(N159&gt;=200,200,IF(N159&gt;=175,175,IF(N159&gt;=150,150,IF(N159&gt;=125,125,IF(N159&gt;=100,100,IF(N159&gt;=75,75,50))))))))))))</f>
        <v>50</v>
      </c>
      <c r="N159" s="37">
        <f>L157</f>
        <v>63.9</v>
      </c>
      <c r="O159" s="26">
        <f>IF(N159&lt;=50,50,IF(N159&lt;=75,75,IF(N159&lt;=100,100,IF(N159&lt;=125,125,IF(N159&lt;=150,150,IF(N159&lt;=175,175,IF(N159&lt;=200,200,IF(N159&lt;=225,225,IF(N159&lt;=250,250,IF(N159&lt;=275,275,IF(N159&lt;=300,300,IF(N159&lt;=325,325,350))))))))))))</f>
        <v>75</v>
      </c>
      <c r="Q159" s="15">
        <v>32</v>
      </c>
      <c r="R159" s="15">
        <v>125</v>
      </c>
      <c r="S159" s="16" t="s">
        <v>39</v>
      </c>
      <c r="T159" s="17">
        <v>304.8</v>
      </c>
    </row>
    <row r="160" spans="11:20" ht="20.149999999999999" customHeight="1" x14ac:dyDescent="0.35">
      <c r="L160" s="26">
        <f>IF(L161&gt;=0,ROUNDDOWN(L161,0),ROUNDUP(L161,0))</f>
        <v>0</v>
      </c>
      <c r="M160" s="40">
        <f>IF(M159=350,VLOOKUP($L160,$Q$454:$T$478,4),IF(M159=325,VLOOKUP(L160,$Q$426:$T$453,4),IF(M159=300,VLOOKUP(L160,$Q$395:$T$425,4),IF(M159=275,VLOOKUP(L160,$Q$362:$T$394,4),IF(M159=250,VLOOKUP(L160,$Q$329:$T$361,4),IF(M159=225,VLOOKUP(L160,$Q$294:$T$328,4),IF(M159=200,VLOOKUP(L160,$Q$258:$T$293,4),IF(M159=175,VLOOKUP(L160,$Q$224:$T$257,4),IF(M159=150,VLOOKUP(L160,$Q$179:$T$222,4),IF(M159=125,VLOOKUP(L160,$Q$128:$T$177,4),IF(M159=100,VLOOKUP(L160,$Q$83:$T$126,4),IF(M159=75,VLOOKUP(L160,$Q$41:$T$81,4),IF(M159=50,VLOOKUP(L160,$Q$2:$T$39,4))))))))))))))</f>
        <v>120</v>
      </c>
      <c r="N160" s="41">
        <f>IFERROR((N159-M159)/(O159-M159)*(O160-M160)+M160,"")</f>
        <v>111.9936</v>
      </c>
      <c r="O160" s="40">
        <f>IF(O159=350,VLOOKUP($L160,$Q$454:$T$478,4),IF(O159=325,VLOOKUP($L160,$Q$426:$T$453,4),IF(O159=300,VLOOKUP($L160,$Q$395:$T$425,4),IF(O159=275,VLOOKUP($L160,$Q$362:$T$394,4),IF(O159=250,VLOOKUP($L160,$Q$329:$T$361,4),IF(O159=225,VLOOKUP($L160,$Q$294:$T$328,4),IF(O159=200,VLOOKUP($L160,$Q$258:$T$293,4),IF(O159=175,VLOOKUP($L160,$Q$224:$T$257,4),IF(O159=150,VLOOKUP($L160,$Q$179:$T$222,4),IF(O159=125,VLOOKUP($L160,$Q$128:$T$177,4),IF(O159=100,VLOOKUP($L160,$Q$83:$T$126,4),IF(O159=75,VLOOKUP($L160,$Q$41:$T$81,4),IF(O159=50,VLOOKUP($L160,$Q$2:$T$39,4))))))))))))))</f>
        <v>105.6</v>
      </c>
      <c r="Q160" s="15">
        <v>33</v>
      </c>
      <c r="R160" s="15">
        <v>125</v>
      </c>
      <c r="S160" s="16" t="s">
        <v>39</v>
      </c>
      <c r="T160" s="17">
        <v>313.2</v>
      </c>
    </row>
    <row r="161" spans="11:20" ht="20.149999999999999" customHeight="1" x14ac:dyDescent="0.35">
      <c r="K161" s="42" t="s">
        <v>33</v>
      </c>
      <c r="L161" s="36">
        <f>K157</f>
        <v>0.9</v>
      </c>
      <c r="M161" s="41">
        <f>IFERROR((L161-L160)/(L162-L160)*(M162-M160)+M160,"")</f>
        <v>129.17999999999998</v>
      </c>
      <c r="N161" s="38">
        <f>IFERROR((N159-O159)/(M159-O159)*(M161-O161)+O161,"")</f>
        <v>121.17359999999999</v>
      </c>
      <c r="O161" s="41">
        <f>IFERROR((L161-L160)/(L162-L160)*(O162-O160)+O160,"")</f>
        <v>114.78</v>
      </c>
      <c r="Q161" s="15">
        <v>34</v>
      </c>
      <c r="R161" s="15">
        <v>125</v>
      </c>
      <c r="S161" s="16" t="s">
        <v>39</v>
      </c>
      <c r="T161" s="17">
        <v>321</v>
      </c>
    </row>
    <row r="162" spans="11:20" ht="20.149999999999999" customHeight="1" x14ac:dyDescent="0.35">
      <c r="L162" s="26">
        <f>IF(L161&gt;=0,ROUNDUP(L161,0),ROUNDDOWN(L161,0))</f>
        <v>1</v>
      </c>
      <c r="M162" s="40">
        <f>IF(M159=350,VLOOKUP($L162,$Q$454:$T$478,4),IF(M159=325,VLOOKUP(L162,$Q$426:$T$453,4),IF(M159=300,VLOOKUP(L162,$Q$395:$T$425,4),IF(M159=275,VLOOKUP(L162,$Q$362:$T$394,4),IF(M159=250,VLOOKUP(L162,$Q$329:$T$361,4),IF(M159=225,VLOOKUP(L162,$Q$294:$T$328,4),IF(M159=200,VLOOKUP(L162,$Q$258:$T$293,4),IF(M159=175,VLOOKUP(L162,$Q$224:$T$257,4),IF(M159=150,VLOOKUP(L162,$Q$179:$T$222,4),IF(M159=125,VLOOKUP(L162,$Q$128:$T$177,4),IF(M159=100,VLOOKUP(L162,$Q$83:$T$126,4),IF(M159=75,VLOOKUP(L162,$Q$41:$T$81,4),IF(M159=50,VLOOKUP(L162,$Q$2:$T$39,4))))))))))))))</f>
        <v>130.19999999999999</v>
      </c>
      <c r="N162" s="41">
        <f>IFERROR((N159-M159)/(O159-M159)*(O162-M162)+M162,"")</f>
        <v>122.19359999999999</v>
      </c>
      <c r="O162" s="40">
        <f>IF(O159=350,VLOOKUP($L162,$Q$454:$T$478,4),IF(O159=325,VLOOKUP($L162,$Q$426:$T$453,4),IF(O159=300,VLOOKUP($L162,$Q$395:$T$425,4),IF(O159=275,VLOOKUP($L162,$Q$362:$T$394,4),IF(O159=250,VLOOKUP($L162,$Q$329:$T$361,4),IF(O159=225,VLOOKUP($L162,$Q$294:$T$328,4),IF(O159=200,VLOOKUP($L162,$Q$258:$T$293,4),IF(O159=175,VLOOKUP($L162,$Q$224:$T$257,4),IF(O159=150,VLOOKUP($L162,$Q$179:$T$222,4),IF(O159=125,VLOOKUP($L162,$Q$128:$T$177,4),IF(O159=100,VLOOKUP($L162,$Q$83:$T$126,4),IF(O159=75,VLOOKUP($L162,$Q$41:$T$81,4),IF(O159=50,VLOOKUP($L162,$Q$2:$T$39,4))))))))))))))</f>
        <v>115.8</v>
      </c>
      <c r="Q162" s="15">
        <v>35</v>
      </c>
      <c r="R162" s="15">
        <v>125</v>
      </c>
      <c r="S162" s="16" t="s">
        <v>39</v>
      </c>
      <c r="T162" s="17">
        <v>328.8</v>
      </c>
    </row>
    <row r="163" spans="11:20" ht="20.149999999999999" customHeight="1" x14ac:dyDescent="0.35">
      <c r="Q163" s="15">
        <v>36</v>
      </c>
      <c r="R163" s="15">
        <v>125</v>
      </c>
      <c r="S163" s="16" t="s">
        <v>39</v>
      </c>
      <c r="T163" s="17">
        <v>336.59999999999997</v>
      </c>
    </row>
    <row r="164" spans="11:20" ht="20.149999999999999" customHeight="1" x14ac:dyDescent="0.35">
      <c r="Q164" s="15">
        <v>37</v>
      </c>
      <c r="R164" s="15">
        <v>125</v>
      </c>
      <c r="S164" s="16" t="s">
        <v>39</v>
      </c>
      <c r="T164" s="17">
        <v>344.4</v>
      </c>
    </row>
    <row r="165" spans="11:20" ht="20.149999999999999" customHeight="1" x14ac:dyDescent="0.35">
      <c r="K165" s="14">
        <v>17</v>
      </c>
      <c r="L165" s="11"/>
      <c r="M165" s="11"/>
      <c r="Q165" s="15">
        <v>38</v>
      </c>
      <c r="R165" s="15">
        <v>125</v>
      </c>
      <c r="S165" s="16" t="s">
        <v>39</v>
      </c>
      <c r="T165" s="17">
        <v>352.2</v>
      </c>
    </row>
    <row r="166" spans="11:20" ht="20.149999999999999" customHeight="1" x14ac:dyDescent="0.35">
      <c r="K166" s="27" t="s">
        <v>30</v>
      </c>
      <c r="L166" s="27" t="s">
        <v>31</v>
      </c>
      <c r="M166" s="27" t="s">
        <v>17</v>
      </c>
      <c r="Q166" s="15">
        <v>39</v>
      </c>
      <c r="R166" s="15">
        <v>125</v>
      </c>
      <c r="S166" s="16" t="s">
        <v>39</v>
      </c>
      <c r="T166" s="17">
        <v>360</v>
      </c>
    </row>
    <row r="167" spans="11:20" ht="20.149999999999999" customHeight="1" x14ac:dyDescent="0.35">
      <c r="K167" s="36">
        <f>B19</f>
        <v>1.4</v>
      </c>
      <c r="L167" s="37">
        <f>C19</f>
        <v>63.5</v>
      </c>
      <c r="M167" s="38">
        <f>IF(OR(K167="",L167=""),"",IF(N171&lt;&gt;"",N171,IF(OR(M171&lt;&gt;"",N170&lt;&gt;"",O171&lt;&gt;"",N172&lt;&gt;""),MIN(M171,N170,O171,N172),MIN(M170:O172))))</f>
        <v>126.504</v>
      </c>
      <c r="Q167" s="15">
        <v>40</v>
      </c>
      <c r="R167" s="15">
        <v>125</v>
      </c>
      <c r="S167" s="16" t="s">
        <v>39</v>
      </c>
      <c r="T167" s="17">
        <v>368.4</v>
      </c>
    </row>
    <row r="168" spans="11:20" ht="20.149999999999999" customHeight="1" x14ac:dyDescent="0.35">
      <c r="L168" s="28" t="s">
        <v>11</v>
      </c>
      <c r="N168" s="39" t="s">
        <v>32</v>
      </c>
      <c r="Q168" s="15">
        <v>41</v>
      </c>
      <c r="R168" s="15">
        <v>125</v>
      </c>
      <c r="S168" s="16" t="s">
        <v>39</v>
      </c>
      <c r="T168" s="17">
        <v>376.2</v>
      </c>
    </row>
    <row r="169" spans="11:20" ht="20.149999999999999" customHeight="1" x14ac:dyDescent="0.35">
      <c r="L169" s="26"/>
      <c r="M169" s="26">
        <f>IF(N169&gt;=350,350,IF(N169&gt;=325,325,IF(N169&gt;=300,300,IF(N169&gt;=275,275,IF(N169&gt;=250,250,IF(N169&gt;=225,225,IF(N169&gt;=200,200,IF(N169&gt;=175,175,IF(N169&gt;=150,150,IF(N169&gt;=125,125,IF(N169&gt;=100,100,IF(N169&gt;=75,75,50))))))))))))</f>
        <v>50</v>
      </c>
      <c r="N169" s="37">
        <f>L167</f>
        <v>63.5</v>
      </c>
      <c r="O169" s="26">
        <f>IF(N169&lt;=50,50,IF(N169&lt;=75,75,IF(N169&lt;=100,100,IF(N169&lt;=125,125,IF(N169&lt;=150,150,IF(N169&lt;=175,175,IF(N169&lt;=200,200,IF(N169&lt;=225,225,IF(N169&lt;=250,250,IF(N169&lt;=275,275,IF(N169&lt;=300,300,IF(N169&lt;=325,325,350))))))))))))</f>
        <v>75</v>
      </c>
      <c r="Q169" s="15">
        <v>42</v>
      </c>
      <c r="R169" s="15">
        <v>125</v>
      </c>
      <c r="S169" s="16" t="s">
        <v>39</v>
      </c>
      <c r="T169" s="17">
        <v>384</v>
      </c>
    </row>
    <row r="170" spans="11:20" ht="20.149999999999999" customHeight="1" x14ac:dyDescent="0.35">
      <c r="L170" s="26">
        <f>IF(L171&gt;=0,ROUNDDOWN(L171,0),ROUNDUP(L171,0))</f>
        <v>1</v>
      </c>
      <c r="M170" s="40">
        <f>IF(M169=350,VLOOKUP($L170,$Q$454:$T$478,4),IF(M169=325,VLOOKUP(L170,$Q$426:$T$453,4),IF(M169=300,VLOOKUP(L170,$Q$395:$T$425,4),IF(M169=275,VLOOKUP(L170,$Q$362:$T$394,4),IF(M169=250,VLOOKUP(L170,$Q$329:$T$361,4),IF(M169=225,VLOOKUP(L170,$Q$294:$T$328,4),IF(M169=200,VLOOKUP(L170,$Q$258:$T$293,4),IF(M169=175,VLOOKUP(L170,$Q$224:$T$257,4),IF(M169=150,VLOOKUP(L170,$Q$179:$T$222,4),IF(M169=125,VLOOKUP(L170,$Q$128:$T$177,4),IF(M169=100,VLOOKUP(L170,$Q$83:$T$126,4),IF(M169=75,VLOOKUP(L170,$Q$41:$T$81,4),IF(M169=50,VLOOKUP(L170,$Q$2:$T$39,4))))))))))))))</f>
        <v>130.19999999999999</v>
      </c>
      <c r="N170" s="41">
        <f>IFERROR((N169-M169)/(O169-M169)*(O170-M170)+M170,"")</f>
        <v>122.42399999999999</v>
      </c>
      <c r="O170" s="40">
        <f>IF(O169=350,VLOOKUP($L170,$Q$454:$T$478,4),IF(O169=325,VLOOKUP($L170,$Q$426:$T$453,4),IF(O169=300,VLOOKUP($L170,$Q$395:$T$425,4),IF(O169=275,VLOOKUP($L170,$Q$362:$T$394,4),IF(O169=250,VLOOKUP($L170,$Q$329:$T$361,4),IF(O169=225,VLOOKUP($L170,$Q$294:$T$328,4),IF(O169=200,VLOOKUP($L170,$Q$258:$T$293,4),IF(O169=175,VLOOKUP($L170,$Q$224:$T$257,4),IF(O169=150,VLOOKUP($L170,$Q$179:$T$222,4),IF(O169=125,VLOOKUP($L170,$Q$128:$T$177,4),IF(O169=100,VLOOKUP($L170,$Q$83:$T$126,4),IF(O169=75,VLOOKUP($L170,$Q$41:$T$81,4),IF(O169=50,VLOOKUP($L170,$Q$2:$T$39,4))))))))))))))</f>
        <v>115.8</v>
      </c>
      <c r="Q170" s="15">
        <v>43</v>
      </c>
      <c r="R170" s="15">
        <v>125</v>
      </c>
      <c r="S170" s="16" t="s">
        <v>39</v>
      </c>
      <c r="T170" s="17">
        <v>391.8</v>
      </c>
    </row>
    <row r="171" spans="11:20" ht="20.149999999999999" customHeight="1" x14ac:dyDescent="0.35">
      <c r="K171" s="42" t="s">
        <v>33</v>
      </c>
      <c r="L171" s="36">
        <f>K167</f>
        <v>1.4</v>
      </c>
      <c r="M171" s="41">
        <f>IFERROR((L171-L170)/(L172-L170)*(M172-M170)+M170,"")</f>
        <v>134.28</v>
      </c>
      <c r="N171" s="38">
        <f>IFERROR((N169-O169)/(M169-O169)*(M171-O171)+O171,"")</f>
        <v>126.504</v>
      </c>
      <c r="O171" s="41">
        <f>IFERROR((L171-L170)/(L172-L170)*(O172-O170)+O170,"")</f>
        <v>119.88</v>
      </c>
      <c r="Q171" s="15">
        <v>44</v>
      </c>
      <c r="R171" s="15">
        <v>125</v>
      </c>
      <c r="S171" s="16" t="s">
        <v>39</v>
      </c>
      <c r="T171" s="17">
        <v>399.59999999999997</v>
      </c>
    </row>
    <row r="172" spans="11:20" ht="20.149999999999999" customHeight="1" x14ac:dyDescent="0.35">
      <c r="L172" s="26">
        <f>IF(L171&gt;=0,ROUNDUP(L171,0),ROUNDDOWN(L171,0))</f>
        <v>2</v>
      </c>
      <c r="M172" s="40">
        <f>IF(M169=350,VLOOKUP($L172,$Q$454:$T$478,4),IF(M169=325,VLOOKUP(L172,$Q$426:$T$453,4),IF(M169=300,VLOOKUP(L172,$Q$395:$T$425,4),IF(M169=275,VLOOKUP(L172,$Q$362:$T$394,4),IF(M169=250,VLOOKUP(L172,$Q$329:$T$361,4),IF(M169=225,VLOOKUP(L172,$Q$294:$T$328,4),IF(M169=200,VLOOKUP(L172,$Q$258:$T$293,4),IF(M169=175,VLOOKUP(L172,$Q$224:$T$257,4),IF(M169=150,VLOOKUP(L172,$Q$179:$T$222,4),IF(M169=125,VLOOKUP(L172,$Q$128:$T$177,4),IF(M169=100,VLOOKUP(L172,$Q$83:$T$126,4),IF(M169=75,VLOOKUP(L172,$Q$41:$T$81,4),IF(M169=50,VLOOKUP(L172,$Q$2:$T$39,4))))))))))))))</f>
        <v>140.4</v>
      </c>
      <c r="N172" s="41">
        <f>IFERROR((N169-M169)/(O169-M169)*(O172-M172)+M172,"")</f>
        <v>132.624</v>
      </c>
      <c r="O172" s="40">
        <f>IF(O169=350,VLOOKUP($L172,$Q$454:$T$478,4),IF(O169=325,VLOOKUP($L172,$Q$426:$T$453,4),IF(O169=300,VLOOKUP($L172,$Q$395:$T$425,4),IF(O169=275,VLOOKUP($L172,$Q$362:$T$394,4),IF(O169=250,VLOOKUP($L172,$Q$329:$T$361,4),IF(O169=225,VLOOKUP($L172,$Q$294:$T$328,4),IF(O169=200,VLOOKUP($L172,$Q$258:$T$293,4),IF(O169=175,VLOOKUP($L172,$Q$224:$T$257,4),IF(O169=150,VLOOKUP($L172,$Q$179:$T$222,4),IF(O169=125,VLOOKUP($L172,$Q$128:$T$177,4),IF(O169=100,VLOOKUP($L172,$Q$83:$T$126,4),IF(O169=75,VLOOKUP($L172,$Q$41:$T$81,4),IF(O169=50,VLOOKUP($L172,$Q$2:$T$39,4))))))))))))))</f>
        <v>126</v>
      </c>
      <c r="Q172" s="15">
        <v>45</v>
      </c>
      <c r="R172" s="15">
        <v>125</v>
      </c>
      <c r="S172" s="16" t="s">
        <v>39</v>
      </c>
      <c r="T172" s="17">
        <v>408</v>
      </c>
    </row>
    <row r="173" spans="11:20" ht="20.149999999999999" customHeight="1" x14ac:dyDescent="0.35">
      <c r="Q173" s="15">
        <v>46</v>
      </c>
      <c r="R173" s="15">
        <v>125</v>
      </c>
      <c r="S173" s="16" t="s">
        <v>39</v>
      </c>
      <c r="T173" s="17">
        <v>415.8</v>
      </c>
    </row>
    <row r="174" spans="11:20" ht="20.149999999999999" customHeight="1" x14ac:dyDescent="0.35">
      <c r="Q174" s="15">
        <v>47</v>
      </c>
      <c r="R174" s="15">
        <v>125</v>
      </c>
      <c r="S174" s="16" t="s">
        <v>39</v>
      </c>
      <c r="T174" s="17">
        <v>423.59999999999997</v>
      </c>
    </row>
    <row r="175" spans="11:20" ht="20.149999999999999" customHeight="1" x14ac:dyDescent="0.35">
      <c r="K175" s="14">
        <v>18</v>
      </c>
      <c r="L175" s="11"/>
      <c r="M175" s="11"/>
      <c r="Q175" s="15">
        <v>48</v>
      </c>
      <c r="R175" s="15">
        <v>125</v>
      </c>
      <c r="S175" s="16" t="s">
        <v>39</v>
      </c>
      <c r="T175" s="17">
        <v>431.4</v>
      </c>
    </row>
    <row r="176" spans="11:20" ht="20.149999999999999" customHeight="1" x14ac:dyDescent="0.35">
      <c r="K176" s="27" t="s">
        <v>30</v>
      </c>
      <c r="L176" s="27" t="s">
        <v>31</v>
      </c>
      <c r="M176" s="27" t="s">
        <v>17</v>
      </c>
      <c r="Q176" s="15">
        <v>49</v>
      </c>
      <c r="R176" s="15">
        <v>125</v>
      </c>
      <c r="S176" s="16" t="s">
        <v>39</v>
      </c>
      <c r="T176" s="17">
        <v>439.8</v>
      </c>
    </row>
    <row r="177" spans="11:20" ht="20.149999999999999" customHeight="1" x14ac:dyDescent="0.35">
      <c r="K177" s="36">
        <f>B20</f>
        <v>1.5</v>
      </c>
      <c r="L177" s="37">
        <f>C20</f>
        <v>63</v>
      </c>
      <c r="M177" s="38">
        <f>IF(OR(K177="",L177=""),"",IF(N181&lt;&gt;"",N181,IF(OR(M181&lt;&gt;"",N180&lt;&gt;"",O181&lt;&gt;"",N182&lt;&gt;""),MIN(M181,N180,O181,N182),MIN(M180:O182))))</f>
        <v>127.81200000000001</v>
      </c>
      <c r="Q177" s="15">
        <v>50</v>
      </c>
      <c r="R177" s="15">
        <v>125</v>
      </c>
      <c r="S177" s="16" t="s">
        <v>39</v>
      </c>
      <c r="T177" s="17">
        <v>447.59999999999997</v>
      </c>
    </row>
    <row r="178" spans="11:20" ht="20.149999999999999" customHeight="1" x14ac:dyDescent="0.35">
      <c r="L178" s="28" t="s">
        <v>11</v>
      </c>
      <c r="N178" s="39" t="s">
        <v>32</v>
      </c>
      <c r="Q178" s="15"/>
      <c r="R178" s="15"/>
      <c r="S178" s="16"/>
      <c r="T178" s="17"/>
    </row>
    <row r="179" spans="11:20" ht="20.149999999999999" customHeight="1" x14ac:dyDescent="0.35">
      <c r="L179" s="26"/>
      <c r="M179" s="26">
        <f>IF(N179&gt;=350,350,IF(N179&gt;=325,325,IF(N179&gt;=300,300,IF(N179&gt;=275,275,IF(N179&gt;=250,250,IF(N179&gt;=225,225,IF(N179&gt;=200,200,IF(N179&gt;=175,175,IF(N179&gt;=150,150,IF(N179&gt;=125,125,IF(N179&gt;=100,100,IF(N179&gt;=75,75,50))))))))))))</f>
        <v>50</v>
      </c>
      <c r="N179" s="37">
        <f>L177</f>
        <v>63</v>
      </c>
      <c r="O179" s="26">
        <f>IF(N179&lt;=50,50,IF(N179&lt;=75,75,IF(N179&lt;=100,100,IF(N179&lt;=125,125,IF(N179&lt;=150,150,IF(N179&lt;=175,175,IF(N179&lt;=200,200,IF(N179&lt;=225,225,IF(N179&lt;=250,250,IF(N179&lt;=275,275,IF(N179&lt;=300,300,IF(N179&lt;=325,325,350))))))))))))</f>
        <v>75</v>
      </c>
      <c r="Q179" s="15">
        <v>-2</v>
      </c>
      <c r="R179" s="15">
        <v>150</v>
      </c>
      <c r="S179" s="16" t="s">
        <v>29</v>
      </c>
      <c r="T179" s="17">
        <v>43.8</v>
      </c>
    </row>
    <row r="180" spans="11:20" ht="20.149999999999999" customHeight="1" x14ac:dyDescent="0.35">
      <c r="L180" s="26">
        <f>IF(L181&gt;=0,ROUNDDOWN(L181,0),ROUNDUP(L181,0))</f>
        <v>1</v>
      </c>
      <c r="M180" s="40">
        <f>IF(M179=350,VLOOKUP($L180,$Q$454:$T$478,4),IF(M179=325,VLOOKUP(L180,$Q$426:$T$453,4),IF(M179=300,VLOOKUP(L180,$Q$395:$T$425,4),IF(M179=275,VLOOKUP(L180,$Q$362:$T$394,4),IF(M179=250,VLOOKUP(L180,$Q$329:$T$361,4),IF(M179=225,VLOOKUP(L180,$Q$294:$T$328,4),IF(M179=200,VLOOKUP(L180,$Q$258:$T$293,4),IF(M179=175,VLOOKUP(L180,$Q$224:$T$257,4),IF(M179=150,VLOOKUP(L180,$Q$179:$T$222,4),IF(M179=125,VLOOKUP(L180,$Q$128:$T$177,4),IF(M179=100,VLOOKUP(L180,$Q$83:$T$126,4),IF(M179=75,VLOOKUP(L180,$Q$41:$T$81,4),IF(M179=50,VLOOKUP(L180,$Q$2:$T$39,4))))))))))))))</f>
        <v>130.19999999999999</v>
      </c>
      <c r="N180" s="41">
        <f>IFERROR((N179-M179)/(O179-M179)*(O180-M180)+M180,"")</f>
        <v>122.71199999999999</v>
      </c>
      <c r="O180" s="40">
        <f>IF(O179=350,VLOOKUP($L180,$Q$454:$T$478,4),IF(O179=325,VLOOKUP($L180,$Q$426:$T$453,4),IF(O179=300,VLOOKUP($L180,$Q$395:$T$425,4),IF(O179=275,VLOOKUP($L180,$Q$362:$T$394,4),IF(O179=250,VLOOKUP($L180,$Q$329:$T$361,4),IF(O179=225,VLOOKUP($L180,$Q$294:$T$328,4),IF(O179=200,VLOOKUP($L180,$Q$258:$T$293,4),IF(O179=175,VLOOKUP($L180,$Q$224:$T$257,4),IF(O179=150,VLOOKUP($L180,$Q$179:$T$222,4),IF(O179=125,VLOOKUP($L180,$Q$128:$T$177,4),IF(O179=100,VLOOKUP($L180,$Q$83:$T$126,4),IF(O179=75,VLOOKUP($L180,$Q$41:$T$81,4),IF(O179=50,VLOOKUP($L180,$Q$2:$T$39,4))))))))))))))</f>
        <v>115.8</v>
      </c>
      <c r="Q180" s="15">
        <v>-1</v>
      </c>
      <c r="R180" s="15">
        <v>150</v>
      </c>
      <c r="S180" s="16" t="s">
        <v>29</v>
      </c>
      <c r="T180" s="17">
        <v>54.6</v>
      </c>
    </row>
    <row r="181" spans="11:20" ht="20.149999999999999" customHeight="1" x14ac:dyDescent="0.35">
      <c r="K181" s="42" t="s">
        <v>33</v>
      </c>
      <c r="L181" s="36">
        <f>K177</f>
        <v>1.5</v>
      </c>
      <c r="M181" s="41">
        <f>IFERROR((L181-L180)/(L182-L180)*(M182-M180)+M180,"")</f>
        <v>135.30000000000001</v>
      </c>
      <c r="N181" s="38">
        <f>IFERROR((N179-O179)/(M179-O179)*(M181-O181)+O181,"")</f>
        <v>127.81200000000001</v>
      </c>
      <c r="O181" s="41">
        <f>IFERROR((L181-L180)/(L182-L180)*(O182-O180)+O180,"")</f>
        <v>120.9</v>
      </c>
      <c r="Q181" s="15">
        <v>0</v>
      </c>
      <c r="R181" s="15">
        <v>150</v>
      </c>
      <c r="S181" s="16" t="s">
        <v>29</v>
      </c>
      <c r="T181" s="17">
        <v>65.399999999999991</v>
      </c>
    </row>
    <row r="182" spans="11:20" ht="20.149999999999999" customHeight="1" x14ac:dyDescent="0.35">
      <c r="L182" s="26">
        <f>IF(L181&gt;=0,ROUNDUP(L181,0),ROUNDDOWN(L181,0))</f>
        <v>2</v>
      </c>
      <c r="M182" s="40">
        <f>IF(M179=350,VLOOKUP($L182,$Q$454:$T$478,4),IF(M179=325,VLOOKUP(L182,$Q$426:$T$453,4),IF(M179=300,VLOOKUP(L182,$Q$395:$T$425,4),IF(M179=275,VLOOKUP(L182,$Q$362:$T$394,4),IF(M179=250,VLOOKUP(L182,$Q$329:$T$361,4),IF(M179=225,VLOOKUP(L182,$Q$294:$T$328,4),IF(M179=200,VLOOKUP(L182,$Q$258:$T$293,4),IF(M179=175,VLOOKUP(L182,$Q$224:$T$257,4),IF(M179=150,VLOOKUP(L182,$Q$179:$T$222,4),IF(M179=125,VLOOKUP(L182,$Q$128:$T$177,4),IF(M179=100,VLOOKUP(L182,$Q$83:$T$126,4),IF(M179=75,VLOOKUP(L182,$Q$41:$T$81,4),IF(M179=50,VLOOKUP(L182,$Q$2:$T$39,4))))))))))))))</f>
        <v>140.4</v>
      </c>
      <c r="N182" s="41">
        <f>IFERROR((N179-M179)/(O179-M179)*(O182-M182)+M182,"")</f>
        <v>132.91200000000001</v>
      </c>
      <c r="O182" s="40">
        <f>IF(O179=350,VLOOKUP($L182,$Q$454:$T$478,4),IF(O179=325,VLOOKUP($L182,$Q$426:$T$453,4),IF(O179=300,VLOOKUP($L182,$Q$395:$T$425,4),IF(O179=275,VLOOKUP($L182,$Q$362:$T$394,4),IF(O179=250,VLOOKUP($L182,$Q$329:$T$361,4),IF(O179=225,VLOOKUP($L182,$Q$294:$T$328,4),IF(O179=200,VLOOKUP($L182,$Q$258:$T$293,4),IF(O179=175,VLOOKUP($L182,$Q$224:$T$257,4),IF(O179=150,VLOOKUP($L182,$Q$179:$T$222,4),IF(O179=125,VLOOKUP($L182,$Q$128:$T$177,4),IF(O179=100,VLOOKUP($L182,$Q$83:$T$126,4),IF(O179=75,VLOOKUP($L182,$Q$41:$T$81,4),IF(O179=50,VLOOKUP($L182,$Q$2:$T$39,4))))))))))))))</f>
        <v>126</v>
      </c>
      <c r="Q182" s="15">
        <v>1</v>
      </c>
      <c r="R182" s="15">
        <v>150</v>
      </c>
      <c r="S182" s="16" t="s">
        <v>29</v>
      </c>
      <c r="T182" s="17">
        <v>75.599999999999994</v>
      </c>
    </row>
    <row r="183" spans="11:20" ht="20.149999999999999" customHeight="1" x14ac:dyDescent="0.35">
      <c r="Q183" s="15">
        <v>2</v>
      </c>
      <c r="R183" s="15">
        <v>150</v>
      </c>
      <c r="S183" s="16" t="s">
        <v>29</v>
      </c>
      <c r="T183" s="17">
        <v>85.2</v>
      </c>
    </row>
    <row r="184" spans="11:20" ht="20.149999999999999" customHeight="1" x14ac:dyDescent="0.35">
      <c r="Q184" s="15">
        <v>3</v>
      </c>
      <c r="R184" s="15">
        <v>150</v>
      </c>
      <c r="S184" s="16" t="s">
        <v>29</v>
      </c>
      <c r="T184" s="17">
        <v>95.399999999999991</v>
      </c>
    </row>
    <row r="185" spans="11:20" ht="20.149999999999999" customHeight="1" x14ac:dyDescent="0.35">
      <c r="K185" s="14">
        <v>19</v>
      </c>
      <c r="L185" s="11"/>
      <c r="M185" s="11"/>
      <c r="Q185" s="15">
        <v>4</v>
      </c>
      <c r="R185" s="15">
        <v>150</v>
      </c>
      <c r="S185" s="16" t="s">
        <v>29</v>
      </c>
      <c r="T185" s="17">
        <v>105</v>
      </c>
    </row>
    <row r="186" spans="11:20" ht="20.149999999999999" customHeight="1" x14ac:dyDescent="0.35">
      <c r="K186" s="27" t="s">
        <v>30</v>
      </c>
      <c r="L186" s="27" t="s">
        <v>31</v>
      </c>
      <c r="M186" s="27" t="s">
        <v>17</v>
      </c>
      <c r="Q186" s="15">
        <v>5</v>
      </c>
      <c r="R186" s="15">
        <v>150</v>
      </c>
      <c r="S186" s="16" t="s">
        <v>29</v>
      </c>
      <c r="T186" s="17">
        <v>115.19999999999999</v>
      </c>
    </row>
    <row r="187" spans="11:20" ht="20.149999999999999" customHeight="1" x14ac:dyDescent="0.35">
      <c r="K187" s="36">
        <f>B21</f>
        <v>1.5</v>
      </c>
      <c r="L187" s="37">
        <f>C21</f>
        <v>63.3</v>
      </c>
      <c r="M187" s="38">
        <f>IF(OR(K187="",L187=""),"",IF(N191&lt;&gt;"",N191,IF(OR(M191&lt;&gt;"",N190&lt;&gt;"",O191&lt;&gt;"",N192&lt;&gt;""),MIN(M191,N190,O191,N192),MIN(M190:O192))))</f>
        <v>127.63920000000002</v>
      </c>
      <c r="Q187" s="15">
        <v>6</v>
      </c>
      <c r="R187" s="15">
        <v>150</v>
      </c>
      <c r="S187" s="16" t="s">
        <v>29</v>
      </c>
      <c r="T187" s="17">
        <v>125.39999999999999</v>
      </c>
    </row>
    <row r="188" spans="11:20" ht="20.149999999999999" customHeight="1" x14ac:dyDescent="0.35">
      <c r="L188" s="28" t="s">
        <v>11</v>
      </c>
      <c r="N188" s="39" t="s">
        <v>32</v>
      </c>
      <c r="Q188" s="15">
        <v>7</v>
      </c>
      <c r="R188" s="15">
        <v>150</v>
      </c>
      <c r="S188" s="16" t="s">
        <v>29</v>
      </c>
      <c r="T188" s="17">
        <v>135.6</v>
      </c>
    </row>
    <row r="189" spans="11:20" ht="20.149999999999999" customHeight="1" x14ac:dyDescent="0.35">
      <c r="L189" s="26"/>
      <c r="M189" s="26">
        <f>IF(N189&gt;=350,350,IF(N189&gt;=325,325,IF(N189&gt;=300,300,IF(N189&gt;=275,275,IF(N189&gt;=250,250,IF(N189&gt;=225,225,IF(N189&gt;=200,200,IF(N189&gt;=175,175,IF(N189&gt;=150,150,IF(N189&gt;=125,125,IF(N189&gt;=100,100,IF(N189&gt;=75,75,50))))))))))))</f>
        <v>50</v>
      </c>
      <c r="N189" s="37">
        <f>L187</f>
        <v>63.3</v>
      </c>
      <c r="O189" s="26">
        <f>IF(N189&lt;=50,50,IF(N189&lt;=75,75,IF(N189&lt;=100,100,IF(N189&lt;=125,125,IF(N189&lt;=150,150,IF(N189&lt;=175,175,IF(N189&lt;=200,200,IF(N189&lt;=225,225,IF(N189&lt;=250,250,IF(N189&lt;=275,275,IF(N189&lt;=300,300,IF(N189&lt;=325,325,350))))))))))))</f>
        <v>75</v>
      </c>
      <c r="Q189" s="15">
        <v>8</v>
      </c>
      <c r="R189" s="15">
        <v>150</v>
      </c>
      <c r="S189" s="16" t="s">
        <v>29</v>
      </c>
      <c r="T189" s="17">
        <v>145.19999999999999</v>
      </c>
    </row>
    <row r="190" spans="11:20" ht="20.149999999999999" customHeight="1" x14ac:dyDescent="0.35">
      <c r="L190" s="26">
        <f>IF(L191&gt;=0,ROUNDDOWN(L191,0),ROUNDUP(L191,0))</f>
        <v>1</v>
      </c>
      <c r="M190" s="40">
        <f>IF(M189=350,VLOOKUP($L190,$Q$454:$T$478,4),IF(M189=325,VLOOKUP(L190,$Q$426:$T$453,4),IF(M189=300,VLOOKUP(L190,$Q$395:$T$425,4),IF(M189=275,VLOOKUP(L190,$Q$362:$T$394,4),IF(M189=250,VLOOKUP(L190,$Q$329:$T$361,4),IF(M189=225,VLOOKUP(L190,$Q$294:$T$328,4),IF(M189=200,VLOOKUP(L190,$Q$258:$T$293,4),IF(M189=175,VLOOKUP(L190,$Q$224:$T$257,4),IF(M189=150,VLOOKUP(L190,$Q$179:$T$222,4),IF(M189=125,VLOOKUP(L190,$Q$128:$T$177,4),IF(M189=100,VLOOKUP(L190,$Q$83:$T$126,4),IF(M189=75,VLOOKUP(L190,$Q$41:$T$81,4),IF(M189=50,VLOOKUP(L190,$Q$2:$T$39,4))))))))))))))</f>
        <v>130.19999999999999</v>
      </c>
      <c r="N190" s="41">
        <f>IFERROR((N189-M189)/(O189-M189)*(O190-M190)+M190,"")</f>
        <v>122.53919999999999</v>
      </c>
      <c r="O190" s="40">
        <f>IF(O189=350,VLOOKUP($L190,$Q$454:$T$478,4),IF(O189=325,VLOOKUP($L190,$Q$426:$T$453,4),IF(O189=300,VLOOKUP($L190,$Q$395:$T$425,4),IF(O189=275,VLOOKUP($L190,$Q$362:$T$394,4),IF(O189=250,VLOOKUP($L190,$Q$329:$T$361,4),IF(O189=225,VLOOKUP($L190,$Q$294:$T$328,4),IF(O189=200,VLOOKUP($L190,$Q$258:$T$293,4),IF(O189=175,VLOOKUP($L190,$Q$224:$T$257,4),IF(O189=150,VLOOKUP($L190,$Q$179:$T$222,4),IF(O189=125,VLOOKUP($L190,$Q$128:$T$177,4),IF(O189=100,VLOOKUP($L190,$Q$83:$T$126,4),IF(O189=75,VLOOKUP($L190,$Q$41:$T$81,4),IF(O189=50,VLOOKUP($L190,$Q$2:$T$39,4))))))))))))))</f>
        <v>115.8</v>
      </c>
      <c r="Q190" s="15">
        <v>9</v>
      </c>
      <c r="R190" s="15">
        <v>150</v>
      </c>
      <c r="S190" s="16" t="s">
        <v>29</v>
      </c>
      <c r="T190" s="17">
        <v>155.4</v>
      </c>
    </row>
    <row r="191" spans="11:20" ht="20.149999999999999" customHeight="1" x14ac:dyDescent="0.35">
      <c r="K191" s="42" t="s">
        <v>33</v>
      </c>
      <c r="L191" s="36">
        <f>K187</f>
        <v>1.5</v>
      </c>
      <c r="M191" s="41">
        <f>IFERROR((L191-L190)/(L192-L190)*(M192-M190)+M190,"")</f>
        <v>135.30000000000001</v>
      </c>
      <c r="N191" s="38">
        <f>IFERROR((N189-O189)/(M189-O189)*(M191-O191)+O191,"")</f>
        <v>127.63920000000002</v>
      </c>
      <c r="O191" s="41">
        <f>IFERROR((L191-L190)/(L192-L190)*(O192-O190)+O190,"")</f>
        <v>120.9</v>
      </c>
      <c r="Q191" s="15">
        <v>10</v>
      </c>
      <c r="R191" s="15">
        <v>150</v>
      </c>
      <c r="S191" s="16" t="s">
        <v>29</v>
      </c>
      <c r="T191" s="17">
        <v>165.6</v>
      </c>
    </row>
    <row r="192" spans="11:20" ht="20.149999999999999" customHeight="1" x14ac:dyDescent="0.35">
      <c r="L192" s="26">
        <f>IF(L191&gt;=0,ROUNDUP(L191,0),ROUNDDOWN(L191,0))</f>
        <v>2</v>
      </c>
      <c r="M192" s="40">
        <f>IF(M189=350,VLOOKUP($L192,$Q$454:$T$478,4),IF(M189=325,VLOOKUP(L192,$Q$426:$T$453,4),IF(M189=300,VLOOKUP(L192,$Q$395:$T$425,4),IF(M189=275,VLOOKUP(L192,$Q$362:$T$394,4),IF(M189=250,VLOOKUP(L192,$Q$329:$T$361,4),IF(M189=225,VLOOKUP(L192,$Q$294:$T$328,4),IF(M189=200,VLOOKUP(L192,$Q$258:$T$293,4),IF(M189=175,VLOOKUP(L192,$Q$224:$T$257,4),IF(M189=150,VLOOKUP(L192,$Q$179:$T$222,4),IF(M189=125,VLOOKUP(L192,$Q$128:$T$177,4),IF(M189=100,VLOOKUP(L192,$Q$83:$T$126,4),IF(M189=75,VLOOKUP(L192,$Q$41:$T$81,4),IF(M189=50,VLOOKUP(L192,$Q$2:$T$39,4))))))))))))))</f>
        <v>140.4</v>
      </c>
      <c r="N192" s="41">
        <f>IFERROR((N189-M189)/(O189-M189)*(O192-M192)+M192,"")</f>
        <v>132.73920000000001</v>
      </c>
      <c r="O192" s="40">
        <f>IF(O189=350,VLOOKUP($L192,$Q$454:$T$478,4),IF(O189=325,VLOOKUP($L192,$Q$426:$T$453,4),IF(O189=300,VLOOKUP($L192,$Q$395:$T$425,4),IF(O189=275,VLOOKUP($L192,$Q$362:$T$394,4),IF(O189=250,VLOOKUP($L192,$Q$329:$T$361,4),IF(O189=225,VLOOKUP($L192,$Q$294:$T$328,4),IF(O189=200,VLOOKUP($L192,$Q$258:$T$293,4),IF(O189=175,VLOOKUP($L192,$Q$224:$T$257,4),IF(O189=150,VLOOKUP($L192,$Q$179:$T$222,4),IF(O189=125,VLOOKUP($L192,$Q$128:$T$177,4),IF(O189=100,VLOOKUP($L192,$Q$83:$T$126,4),IF(O189=75,VLOOKUP($L192,$Q$41:$T$81,4),IF(O189=50,VLOOKUP($L192,$Q$2:$T$39,4))))))))))))))</f>
        <v>126</v>
      </c>
      <c r="Q192" s="15">
        <v>11</v>
      </c>
      <c r="R192" s="15">
        <v>150</v>
      </c>
      <c r="S192" s="16" t="s">
        <v>29</v>
      </c>
      <c r="T192" s="17">
        <v>175.79999999999998</v>
      </c>
    </row>
    <row r="193" spans="11:20" ht="20.149999999999999" customHeight="1" x14ac:dyDescent="0.35">
      <c r="Q193" s="15">
        <v>12</v>
      </c>
      <c r="R193" s="15">
        <v>150</v>
      </c>
      <c r="S193" s="16" t="s">
        <v>29</v>
      </c>
      <c r="T193" s="17">
        <v>183</v>
      </c>
    </row>
    <row r="194" spans="11:20" ht="20.149999999999999" customHeight="1" x14ac:dyDescent="0.35">
      <c r="Q194" s="15">
        <v>13</v>
      </c>
      <c r="R194" s="15">
        <v>150</v>
      </c>
      <c r="S194" s="16" t="s">
        <v>29</v>
      </c>
      <c r="T194" s="17">
        <v>196.2</v>
      </c>
    </row>
    <row r="195" spans="11:20" ht="20.149999999999999" customHeight="1" x14ac:dyDescent="0.35">
      <c r="K195" s="14">
        <v>20</v>
      </c>
      <c r="L195" s="11"/>
      <c r="M195" s="11"/>
      <c r="Q195" s="15">
        <v>14</v>
      </c>
      <c r="R195" s="15">
        <v>150</v>
      </c>
      <c r="S195" s="16" t="s">
        <v>29</v>
      </c>
      <c r="T195" s="17">
        <v>206.4</v>
      </c>
    </row>
    <row r="196" spans="11:20" ht="20.149999999999999" customHeight="1" x14ac:dyDescent="0.35">
      <c r="K196" s="27" t="s">
        <v>30</v>
      </c>
      <c r="L196" s="27" t="s">
        <v>31</v>
      </c>
      <c r="M196" s="27" t="s">
        <v>17</v>
      </c>
      <c r="Q196" s="15">
        <v>15</v>
      </c>
      <c r="R196" s="15">
        <v>150</v>
      </c>
      <c r="S196" s="16" t="s">
        <v>29</v>
      </c>
      <c r="T196" s="17">
        <v>216.6</v>
      </c>
    </row>
    <row r="197" spans="11:20" ht="20.149999999999999" customHeight="1" x14ac:dyDescent="0.35">
      <c r="K197" s="36">
        <f>B22</f>
        <v>1.7</v>
      </c>
      <c r="L197" s="37">
        <f>C22</f>
        <v>62.9</v>
      </c>
      <c r="M197" s="38">
        <f>IF(OR(K197="",L197=""),"",IF(N201&lt;&gt;"",N201,IF(OR(M201&lt;&gt;"",N200&lt;&gt;"",O201&lt;&gt;"",N202&lt;&gt;""),MIN(M201,N200,O201,N202),MIN(M200:O202))))</f>
        <v>129.90960000000001</v>
      </c>
      <c r="Q197" s="15">
        <v>16</v>
      </c>
      <c r="R197" s="15">
        <v>150</v>
      </c>
      <c r="S197" s="16" t="s">
        <v>37</v>
      </c>
      <c r="T197" s="17">
        <v>207.6</v>
      </c>
    </row>
    <row r="198" spans="11:20" ht="20.149999999999999" customHeight="1" x14ac:dyDescent="0.35">
      <c r="L198" s="28" t="s">
        <v>11</v>
      </c>
      <c r="N198" s="39" t="s">
        <v>32</v>
      </c>
      <c r="Q198" s="15">
        <v>17</v>
      </c>
      <c r="R198" s="15">
        <v>150</v>
      </c>
      <c r="S198" s="16" t="s">
        <v>37</v>
      </c>
      <c r="T198" s="17">
        <v>217.79999999999998</v>
      </c>
    </row>
    <row r="199" spans="11:20" ht="20.149999999999999" customHeight="1" x14ac:dyDescent="0.35">
      <c r="L199" s="26"/>
      <c r="M199" s="26">
        <f>IF(N199&gt;=350,350,IF(N199&gt;=325,325,IF(N199&gt;=300,300,IF(N199&gt;=275,275,IF(N199&gt;=250,250,IF(N199&gt;=225,225,IF(N199&gt;=200,200,IF(N199&gt;=175,175,IF(N199&gt;=150,150,IF(N199&gt;=125,125,IF(N199&gt;=100,100,IF(N199&gt;=75,75,50))))))))))))</f>
        <v>50</v>
      </c>
      <c r="N199" s="37">
        <f>L197</f>
        <v>62.9</v>
      </c>
      <c r="O199" s="26">
        <f>IF(N199&lt;=50,50,IF(N199&lt;=75,75,IF(N199&lt;=100,100,IF(N199&lt;=125,125,IF(N199&lt;=150,150,IF(N199&lt;=175,175,IF(N199&lt;=200,200,IF(N199&lt;=225,225,IF(N199&lt;=250,250,IF(N199&lt;=275,275,IF(N199&lt;=300,300,IF(N199&lt;=325,325,350))))))))))))</f>
        <v>75</v>
      </c>
      <c r="Q199" s="15">
        <v>18</v>
      </c>
      <c r="R199" s="15">
        <v>150</v>
      </c>
      <c r="S199" s="16" t="s">
        <v>37</v>
      </c>
      <c r="T199" s="17">
        <v>228</v>
      </c>
    </row>
    <row r="200" spans="11:20" ht="20.149999999999999" customHeight="1" x14ac:dyDescent="0.35">
      <c r="L200" s="26">
        <f>IF(L201&gt;=0,ROUNDDOWN(L201,0),ROUNDUP(L201,0))</f>
        <v>1</v>
      </c>
      <c r="M200" s="40">
        <f>IF(M199=350,VLOOKUP($L200,$Q$454:$T$478,4),IF(M199=325,VLOOKUP(L200,$Q$426:$T$453,4),IF(M199=300,VLOOKUP(L200,$Q$395:$T$425,4),IF(M199=275,VLOOKUP(L200,$Q$362:$T$394,4),IF(M199=250,VLOOKUP(L200,$Q$329:$T$361,4),IF(M199=225,VLOOKUP(L200,$Q$294:$T$328,4),IF(M199=200,VLOOKUP(L200,$Q$258:$T$293,4),IF(M199=175,VLOOKUP(L200,$Q$224:$T$257,4),IF(M199=150,VLOOKUP(L200,$Q$179:$T$222,4),IF(M199=125,VLOOKUP(L200,$Q$128:$T$177,4),IF(M199=100,VLOOKUP(L200,$Q$83:$T$126,4),IF(M199=75,VLOOKUP(L200,$Q$41:$T$81,4),IF(M199=50,VLOOKUP(L200,$Q$2:$T$39,4))))))))))))))</f>
        <v>130.19999999999999</v>
      </c>
      <c r="N200" s="41">
        <f>IFERROR((N199-M199)/(O199-M199)*(O200-M200)+M200,"")</f>
        <v>122.7696</v>
      </c>
      <c r="O200" s="40">
        <f>IF(O199=350,VLOOKUP($L200,$Q$454:$T$478,4),IF(O199=325,VLOOKUP($L200,$Q$426:$T$453,4),IF(O199=300,VLOOKUP($L200,$Q$395:$T$425,4),IF(O199=275,VLOOKUP($L200,$Q$362:$T$394,4),IF(O199=250,VLOOKUP($L200,$Q$329:$T$361,4),IF(O199=225,VLOOKUP($L200,$Q$294:$T$328,4),IF(O199=200,VLOOKUP($L200,$Q$258:$T$293,4),IF(O199=175,VLOOKUP($L200,$Q$224:$T$257,4),IF(O199=150,VLOOKUP($L200,$Q$179:$T$222,4),IF(O199=125,VLOOKUP($L200,$Q$128:$T$177,4),IF(O199=100,VLOOKUP($L200,$Q$83:$T$126,4),IF(O199=75,VLOOKUP($L200,$Q$41:$T$81,4),IF(O199=50,VLOOKUP($L200,$Q$2:$T$39,4))))))))))))))</f>
        <v>115.8</v>
      </c>
      <c r="Q200" s="15">
        <v>19</v>
      </c>
      <c r="R200" s="15">
        <v>150</v>
      </c>
      <c r="S200" s="16" t="s">
        <v>38</v>
      </c>
      <c r="T200" s="17">
        <v>219.6</v>
      </c>
    </row>
    <row r="201" spans="11:20" ht="20.149999999999999" customHeight="1" x14ac:dyDescent="0.35">
      <c r="K201" s="42" t="s">
        <v>33</v>
      </c>
      <c r="L201" s="36">
        <f>K197</f>
        <v>1.7</v>
      </c>
      <c r="M201" s="41">
        <f>IFERROR((L201-L200)/(L202-L200)*(M202-M200)+M200,"")</f>
        <v>137.34</v>
      </c>
      <c r="N201" s="38">
        <f>IFERROR((N199-O199)/(M199-O199)*(M201-O201)+O201,"")</f>
        <v>129.90960000000001</v>
      </c>
      <c r="O201" s="41">
        <f>IFERROR((L201-L200)/(L202-L200)*(O202-O200)+O200,"")</f>
        <v>122.94</v>
      </c>
      <c r="Q201" s="15">
        <v>20</v>
      </c>
      <c r="R201" s="15">
        <v>150</v>
      </c>
      <c r="S201" s="16" t="s">
        <v>38</v>
      </c>
      <c r="T201" s="17">
        <v>229.79999999999998</v>
      </c>
    </row>
    <row r="202" spans="11:20" ht="20.149999999999999" customHeight="1" x14ac:dyDescent="0.35">
      <c r="L202" s="26">
        <f>IF(L201&gt;=0,ROUNDUP(L201,0),ROUNDDOWN(L201,0))</f>
        <v>2</v>
      </c>
      <c r="M202" s="40">
        <f>IF(M199=350,VLOOKUP($L202,$Q$454:$T$478,4),IF(M199=325,VLOOKUP(L202,$Q$426:$T$453,4),IF(M199=300,VLOOKUP(L202,$Q$395:$T$425,4),IF(M199=275,VLOOKUP(L202,$Q$362:$T$394,4),IF(M199=250,VLOOKUP(L202,$Q$329:$T$361,4),IF(M199=225,VLOOKUP(L202,$Q$294:$T$328,4),IF(M199=200,VLOOKUP(L202,$Q$258:$T$293,4),IF(M199=175,VLOOKUP(L202,$Q$224:$T$257,4),IF(M199=150,VLOOKUP(L202,$Q$179:$T$222,4),IF(M199=125,VLOOKUP(L202,$Q$128:$T$177,4),IF(M199=100,VLOOKUP(L202,$Q$83:$T$126,4),IF(M199=75,VLOOKUP(L202,$Q$41:$T$81,4),IF(M199=50,VLOOKUP(L202,$Q$2:$T$39,4))))))))))))))</f>
        <v>140.4</v>
      </c>
      <c r="N202" s="41">
        <f>IFERROR((N199-M199)/(O199-M199)*(O202-M202)+M202,"")</f>
        <v>132.96960000000001</v>
      </c>
      <c r="O202" s="40">
        <f>IF(O199=350,VLOOKUP($L202,$Q$454:$T$478,4),IF(O199=325,VLOOKUP($L202,$Q$426:$T$453,4),IF(O199=300,VLOOKUP($L202,$Q$395:$T$425,4),IF(O199=275,VLOOKUP($L202,$Q$362:$T$394,4),IF(O199=250,VLOOKUP($L202,$Q$329:$T$361,4),IF(O199=225,VLOOKUP($L202,$Q$294:$T$328,4),IF(O199=200,VLOOKUP($L202,$Q$258:$T$293,4),IF(O199=175,VLOOKUP($L202,$Q$224:$T$257,4),IF(O199=150,VLOOKUP($L202,$Q$179:$T$222,4),IF(O199=125,VLOOKUP($L202,$Q$128:$T$177,4),IF(O199=100,VLOOKUP($L202,$Q$83:$T$126,4),IF(O199=75,VLOOKUP($L202,$Q$41:$T$81,4),IF(O199=50,VLOOKUP($L202,$Q$2:$T$39,4))))))))))))))</f>
        <v>126</v>
      </c>
      <c r="Q202" s="15">
        <v>21</v>
      </c>
      <c r="R202" s="15">
        <v>150</v>
      </c>
      <c r="S202" s="16" t="s">
        <v>38</v>
      </c>
      <c r="T202" s="17">
        <v>240.6</v>
      </c>
    </row>
    <row r="203" spans="11:20" ht="20.149999999999999" customHeight="1" x14ac:dyDescent="0.35">
      <c r="Q203" s="15">
        <v>25</v>
      </c>
      <c r="R203" s="15">
        <v>150</v>
      </c>
      <c r="S203" s="16" t="s">
        <v>39</v>
      </c>
      <c r="T203" s="17">
        <v>239.39999999999998</v>
      </c>
    </row>
    <row r="204" spans="11:20" ht="20.149999999999999" customHeight="1" x14ac:dyDescent="0.35">
      <c r="Q204" s="15">
        <v>26</v>
      </c>
      <c r="R204" s="15">
        <v>150</v>
      </c>
      <c r="S204" s="16" t="s">
        <v>39</v>
      </c>
      <c r="T204" s="17">
        <v>247.2</v>
      </c>
    </row>
    <row r="205" spans="11:20" ht="20.149999999999999" customHeight="1" x14ac:dyDescent="0.35">
      <c r="K205" s="14">
        <v>21</v>
      </c>
      <c r="L205" s="11"/>
      <c r="M205" s="11"/>
      <c r="Q205" s="15">
        <v>27</v>
      </c>
      <c r="R205" s="15">
        <v>150</v>
      </c>
      <c r="S205" s="16" t="s">
        <v>39</v>
      </c>
      <c r="T205" s="17">
        <v>255</v>
      </c>
    </row>
    <row r="206" spans="11:20" ht="20.149999999999999" customHeight="1" x14ac:dyDescent="0.35">
      <c r="K206" s="27" t="s">
        <v>30</v>
      </c>
      <c r="L206" s="27" t="s">
        <v>31</v>
      </c>
      <c r="M206" s="27" t="s">
        <v>17</v>
      </c>
      <c r="Q206" s="15">
        <v>28</v>
      </c>
      <c r="R206" s="15">
        <v>150</v>
      </c>
      <c r="S206" s="16" t="s">
        <v>39</v>
      </c>
      <c r="T206" s="17">
        <v>262.8</v>
      </c>
    </row>
    <row r="207" spans="11:20" ht="20.149999999999999" customHeight="1" x14ac:dyDescent="0.35">
      <c r="K207" s="36">
        <f>B23</f>
        <v>1.8</v>
      </c>
      <c r="L207" s="37">
        <f>C23</f>
        <v>63.2</v>
      </c>
      <c r="M207" s="38">
        <f>IF(OR(K207="",L207=""),"",IF(N211&lt;&gt;"",N211,IF(OR(M211&lt;&gt;"",N210&lt;&gt;"",O211&lt;&gt;"",N212&lt;&gt;""),MIN(M211,N210,O211,N212),MIN(M210:O212))))</f>
        <v>130.7568</v>
      </c>
      <c r="Q207" s="15">
        <v>29</v>
      </c>
      <c r="R207" s="15">
        <v>150</v>
      </c>
      <c r="S207" s="16" t="s">
        <v>39</v>
      </c>
      <c r="T207" s="17">
        <v>270.59999999999997</v>
      </c>
    </row>
    <row r="208" spans="11:20" ht="20.149999999999999" customHeight="1" x14ac:dyDescent="0.35">
      <c r="L208" s="28" t="s">
        <v>11</v>
      </c>
      <c r="N208" s="39" t="s">
        <v>32</v>
      </c>
      <c r="Q208" s="15">
        <v>30</v>
      </c>
      <c r="R208" s="15">
        <v>150</v>
      </c>
      <c r="S208" s="16" t="s">
        <v>39</v>
      </c>
      <c r="T208" s="17">
        <v>278.39999999999998</v>
      </c>
    </row>
    <row r="209" spans="11:20" ht="20.149999999999999" customHeight="1" x14ac:dyDescent="0.35">
      <c r="L209" s="26"/>
      <c r="M209" s="26">
        <f>IF(N209&gt;=350,350,IF(N209&gt;=325,325,IF(N209&gt;=300,300,IF(N209&gt;=275,275,IF(N209&gt;=250,250,IF(N209&gt;=225,225,IF(N209&gt;=200,200,IF(N209&gt;=175,175,IF(N209&gt;=150,150,IF(N209&gt;=125,125,IF(N209&gt;=100,100,IF(N209&gt;=75,75,50))))))))))))</f>
        <v>50</v>
      </c>
      <c r="N209" s="37">
        <f>L207</f>
        <v>63.2</v>
      </c>
      <c r="O209" s="26">
        <f>IF(N209&lt;=50,50,IF(N209&lt;=75,75,IF(N209&lt;=100,100,IF(N209&lt;=125,125,IF(N209&lt;=150,150,IF(N209&lt;=175,175,IF(N209&lt;=200,200,IF(N209&lt;=225,225,IF(N209&lt;=250,250,IF(N209&lt;=275,275,IF(N209&lt;=300,300,IF(N209&lt;=325,325,350))))))))))))</f>
        <v>75</v>
      </c>
      <c r="Q209" s="15">
        <v>31</v>
      </c>
      <c r="R209" s="15">
        <v>150</v>
      </c>
      <c r="S209" s="16" t="s">
        <v>39</v>
      </c>
      <c r="T209" s="17">
        <v>286.2</v>
      </c>
    </row>
    <row r="210" spans="11:20" ht="20.149999999999999" customHeight="1" x14ac:dyDescent="0.35">
      <c r="L210" s="26">
        <f>IF(L211&gt;=0,ROUNDDOWN(L211,0),ROUNDUP(L211,0))</f>
        <v>1</v>
      </c>
      <c r="M210" s="40">
        <f>IF(M209=350,VLOOKUP($L210,$Q$454:$T$478,4),IF(M209=325,VLOOKUP(L210,$Q$426:$T$453,4),IF(M209=300,VLOOKUP(L210,$Q$395:$T$425,4),IF(M209=275,VLOOKUP(L210,$Q$362:$T$394,4),IF(M209=250,VLOOKUP(L210,$Q$329:$T$361,4),IF(M209=225,VLOOKUP(L210,$Q$294:$T$328,4),IF(M209=200,VLOOKUP(L210,$Q$258:$T$293,4),IF(M209=175,VLOOKUP(L210,$Q$224:$T$257,4),IF(M209=150,VLOOKUP(L210,$Q$179:$T$222,4),IF(M209=125,VLOOKUP(L210,$Q$128:$T$177,4),IF(M209=100,VLOOKUP(L210,$Q$83:$T$126,4),IF(M209=75,VLOOKUP(L210,$Q$41:$T$81,4),IF(M209=50,VLOOKUP(L210,$Q$2:$T$39,4))))))))))))))</f>
        <v>130.19999999999999</v>
      </c>
      <c r="N210" s="41">
        <f>IFERROR((N209-M209)/(O209-M209)*(O210-M210)+M210,"")</f>
        <v>122.59679999999999</v>
      </c>
      <c r="O210" s="40">
        <f>IF(O209=350,VLOOKUP($L210,$Q$454:$T$478,4),IF(O209=325,VLOOKUP($L210,$Q$426:$T$453,4),IF(O209=300,VLOOKUP($L210,$Q$395:$T$425,4),IF(O209=275,VLOOKUP($L210,$Q$362:$T$394,4),IF(O209=250,VLOOKUP($L210,$Q$329:$T$361,4),IF(O209=225,VLOOKUP($L210,$Q$294:$T$328,4),IF(O209=200,VLOOKUP($L210,$Q$258:$T$293,4),IF(O209=175,VLOOKUP($L210,$Q$224:$T$257,4),IF(O209=150,VLOOKUP($L210,$Q$179:$T$222,4),IF(O209=125,VLOOKUP($L210,$Q$128:$T$177,4),IF(O209=100,VLOOKUP($L210,$Q$83:$T$126,4),IF(O209=75,VLOOKUP($L210,$Q$41:$T$81,4),IF(O209=50,VLOOKUP($L210,$Q$2:$T$39,4))))))))))))))</f>
        <v>115.8</v>
      </c>
      <c r="Q210" s="15">
        <v>32</v>
      </c>
      <c r="R210" s="15">
        <v>150</v>
      </c>
      <c r="S210" s="16" t="s">
        <v>39</v>
      </c>
      <c r="T210" s="17">
        <v>294</v>
      </c>
    </row>
    <row r="211" spans="11:20" ht="20.149999999999999" customHeight="1" x14ac:dyDescent="0.35">
      <c r="K211" s="42" t="s">
        <v>33</v>
      </c>
      <c r="L211" s="36">
        <f>K207</f>
        <v>1.8</v>
      </c>
      <c r="M211" s="41">
        <f>IFERROR((L211-L210)/(L212-L210)*(M212-M210)+M210,"")</f>
        <v>138.36000000000001</v>
      </c>
      <c r="N211" s="38">
        <f>IFERROR((N209-O209)/(M209-O209)*(M211-O211)+O211,"")</f>
        <v>130.7568</v>
      </c>
      <c r="O211" s="41">
        <f>IFERROR((L211-L210)/(L212-L210)*(O212-O210)+O210,"")</f>
        <v>123.96</v>
      </c>
      <c r="Q211" s="15">
        <v>33</v>
      </c>
      <c r="R211" s="15">
        <v>150</v>
      </c>
      <c r="S211" s="16" t="s">
        <v>39</v>
      </c>
      <c r="T211" s="17">
        <v>301.8</v>
      </c>
    </row>
    <row r="212" spans="11:20" ht="20.149999999999999" customHeight="1" x14ac:dyDescent="0.35">
      <c r="L212" s="26">
        <f>IF(L211&gt;=0,ROUNDUP(L211,0),ROUNDDOWN(L211,0))</f>
        <v>2</v>
      </c>
      <c r="M212" s="40">
        <f>IF(M209=350,VLOOKUP($L212,$Q$454:$T$478,4),IF(M209=325,VLOOKUP(L212,$Q$426:$T$453,4),IF(M209=300,VLOOKUP(L212,$Q$395:$T$425,4),IF(M209=275,VLOOKUP(L212,$Q$362:$T$394,4),IF(M209=250,VLOOKUP(L212,$Q$329:$T$361,4),IF(M209=225,VLOOKUP(L212,$Q$294:$T$328,4),IF(M209=200,VLOOKUP(L212,$Q$258:$T$293,4),IF(M209=175,VLOOKUP(L212,$Q$224:$T$257,4),IF(M209=150,VLOOKUP(L212,$Q$179:$T$222,4),IF(M209=125,VLOOKUP(L212,$Q$128:$T$177,4),IF(M209=100,VLOOKUP(L212,$Q$83:$T$126,4),IF(M209=75,VLOOKUP(L212,$Q$41:$T$81,4),IF(M209=50,VLOOKUP(L212,$Q$2:$T$39,4))))))))))))))</f>
        <v>140.4</v>
      </c>
      <c r="N212" s="41">
        <f>IFERROR((N209-M209)/(O209-M209)*(O212-M212)+M212,"")</f>
        <v>132.79679999999999</v>
      </c>
      <c r="O212" s="40">
        <f>IF(O209=350,VLOOKUP($L212,$Q$454:$T$478,4),IF(O209=325,VLOOKUP($L212,$Q$426:$T$453,4),IF(O209=300,VLOOKUP($L212,$Q$395:$T$425,4),IF(O209=275,VLOOKUP($L212,$Q$362:$T$394,4),IF(O209=250,VLOOKUP($L212,$Q$329:$T$361,4),IF(O209=225,VLOOKUP($L212,$Q$294:$T$328,4),IF(O209=200,VLOOKUP($L212,$Q$258:$T$293,4),IF(O209=175,VLOOKUP($L212,$Q$224:$T$257,4),IF(O209=150,VLOOKUP($L212,$Q$179:$T$222,4),IF(O209=125,VLOOKUP($L212,$Q$128:$T$177,4),IF(O209=100,VLOOKUP($L212,$Q$83:$T$126,4),IF(O209=75,VLOOKUP($L212,$Q$41:$T$81,4),IF(O209=50,VLOOKUP($L212,$Q$2:$T$39,4))))))))))))))</f>
        <v>126</v>
      </c>
      <c r="Q212" s="15">
        <v>34</v>
      </c>
      <c r="R212" s="15">
        <v>150</v>
      </c>
      <c r="S212" s="16" t="s">
        <v>39</v>
      </c>
      <c r="T212" s="17">
        <v>309.59999999999997</v>
      </c>
    </row>
    <row r="213" spans="11:20" ht="20.149999999999999" customHeight="1" x14ac:dyDescent="0.35">
      <c r="Q213" s="15">
        <v>36</v>
      </c>
      <c r="R213" s="15">
        <v>150</v>
      </c>
      <c r="S213" s="16" t="s">
        <v>40</v>
      </c>
      <c r="T213" s="17">
        <v>311.39999999999998</v>
      </c>
    </row>
    <row r="214" spans="11:20" ht="20.149999999999999" customHeight="1" x14ac:dyDescent="0.35">
      <c r="Q214" s="15">
        <v>37</v>
      </c>
      <c r="R214" s="15">
        <v>150</v>
      </c>
      <c r="S214" s="16" t="s">
        <v>40</v>
      </c>
      <c r="T214" s="17">
        <v>319.2</v>
      </c>
    </row>
    <row r="215" spans="11:20" ht="20.149999999999999" customHeight="1" x14ac:dyDescent="0.35">
      <c r="K215" s="14">
        <v>22</v>
      </c>
      <c r="L215" s="11"/>
      <c r="M215" s="11"/>
      <c r="Q215" s="15">
        <v>38</v>
      </c>
      <c r="R215" s="15">
        <v>150</v>
      </c>
      <c r="S215" s="16" t="s">
        <v>40</v>
      </c>
      <c r="T215" s="17">
        <v>327.59999999999997</v>
      </c>
    </row>
    <row r="216" spans="11:20" ht="20.149999999999999" customHeight="1" x14ac:dyDescent="0.35">
      <c r="K216" s="27" t="s">
        <v>30</v>
      </c>
      <c r="L216" s="27" t="s">
        <v>31</v>
      </c>
      <c r="M216" s="27" t="s">
        <v>17</v>
      </c>
      <c r="Q216" s="15">
        <v>39</v>
      </c>
      <c r="R216" s="15">
        <v>150</v>
      </c>
      <c r="S216" s="16" t="s">
        <v>40</v>
      </c>
      <c r="T216" s="17">
        <v>335.4</v>
      </c>
    </row>
    <row r="217" spans="11:20" ht="20.149999999999999" customHeight="1" x14ac:dyDescent="0.35">
      <c r="K217" s="36">
        <f>B24</f>
        <v>2.2000000000000002</v>
      </c>
      <c r="L217" s="37">
        <f>C24</f>
        <v>63.8</v>
      </c>
      <c r="M217" s="38">
        <f>IF(OR(K217="",L217=""),"",IF(N221&lt;&gt;"",N221,IF(OR(M221&lt;&gt;"",N220&lt;&gt;"",O221&lt;&gt;"",N222&lt;&gt;""),MIN(M221,N220,O221,N222),MIN(M220:O222))))</f>
        <v>134.49119999999999</v>
      </c>
      <c r="Q217" s="15">
        <v>40</v>
      </c>
      <c r="R217" s="15">
        <v>150</v>
      </c>
      <c r="S217" s="16" t="s">
        <v>41</v>
      </c>
      <c r="T217" s="17">
        <v>330</v>
      </c>
    </row>
    <row r="218" spans="11:20" ht="20.149999999999999" customHeight="1" x14ac:dyDescent="0.35">
      <c r="L218" s="28" t="s">
        <v>11</v>
      </c>
      <c r="N218" s="39" t="s">
        <v>32</v>
      </c>
      <c r="Q218" s="15">
        <v>41</v>
      </c>
      <c r="R218" s="15">
        <v>150</v>
      </c>
      <c r="S218" s="16" t="s">
        <v>41</v>
      </c>
      <c r="T218" s="17">
        <v>337.8</v>
      </c>
    </row>
    <row r="219" spans="11:20" ht="20.149999999999999" customHeight="1" x14ac:dyDescent="0.35">
      <c r="L219" s="26"/>
      <c r="M219" s="26">
        <f>IF(N219&gt;=350,350,IF(N219&gt;=325,325,IF(N219&gt;=300,300,IF(N219&gt;=275,275,IF(N219&gt;=250,250,IF(N219&gt;=225,225,IF(N219&gt;=200,200,IF(N219&gt;=175,175,IF(N219&gt;=150,150,IF(N219&gt;=125,125,IF(N219&gt;=100,100,IF(N219&gt;=75,75,50))))))))))))</f>
        <v>50</v>
      </c>
      <c r="N219" s="37">
        <f>L217</f>
        <v>63.8</v>
      </c>
      <c r="O219" s="26">
        <f>IF(N219&lt;=50,50,IF(N219&lt;=75,75,IF(N219&lt;=100,100,IF(N219&lt;=125,125,IF(N219&lt;=150,150,IF(N219&lt;=175,175,IF(N219&lt;=200,200,IF(N219&lt;=225,225,IF(N219&lt;=250,250,IF(N219&lt;=275,275,IF(N219&lt;=300,300,IF(N219&lt;=325,325,350))))))))))))</f>
        <v>75</v>
      </c>
      <c r="Q219" s="15">
        <v>42</v>
      </c>
      <c r="R219" s="15">
        <v>150</v>
      </c>
      <c r="S219" s="16" t="s">
        <v>41</v>
      </c>
      <c r="T219" s="17">
        <v>346.2</v>
      </c>
    </row>
    <row r="220" spans="11:20" ht="20.149999999999999" customHeight="1" x14ac:dyDescent="0.35">
      <c r="L220" s="26">
        <f>IF(L221&gt;=0,ROUNDDOWN(L221,0),ROUNDUP(L221,0))</f>
        <v>2</v>
      </c>
      <c r="M220" s="40">
        <f>IF(M219=350,VLOOKUP($L220,$Q$454:$T$478,4),IF(M219=325,VLOOKUP(L220,$Q$426:$T$453,4),IF(M219=300,VLOOKUP(L220,$Q$395:$T$425,4),IF(M219=275,VLOOKUP(L220,$Q$362:$T$394,4),IF(M219=250,VLOOKUP(L220,$Q$329:$T$361,4),IF(M219=225,VLOOKUP(L220,$Q$294:$T$328,4),IF(M219=200,VLOOKUP(L220,$Q$258:$T$293,4),IF(M219=175,VLOOKUP(L220,$Q$224:$T$257,4),IF(M219=150,VLOOKUP(L220,$Q$179:$T$222,4),IF(M219=125,VLOOKUP(L220,$Q$128:$T$177,4),IF(M219=100,VLOOKUP(L220,$Q$83:$T$126,4),IF(M219=75,VLOOKUP(L220,$Q$41:$T$81,4),IF(M219=50,VLOOKUP(L220,$Q$2:$T$39,4))))))))))))))</f>
        <v>140.4</v>
      </c>
      <c r="N220" s="41">
        <f>IFERROR((N219-M219)/(O219-M219)*(O220-M220)+M220,"")</f>
        <v>132.4512</v>
      </c>
      <c r="O220" s="40">
        <f>IF(O219=350,VLOOKUP($L220,$Q$454:$T$478,4),IF(O219=325,VLOOKUP($L220,$Q$426:$T$453,4),IF(O219=300,VLOOKUP($L220,$Q$395:$T$425,4),IF(O219=275,VLOOKUP($L220,$Q$362:$T$394,4),IF(O219=250,VLOOKUP($L220,$Q$329:$T$361,4),IF(O219=225,VLOOKUP($L220,$Q$294:$T$328,4),IF(O219=200,VLOOKUP($L220,$Q$258:$T$293,4),IF(O219=175,VLOOKUP($L220,$Q$224:$T$257,4),IF(O219=150,VLOOKUP($L220,$Q$179:$T$222,4),IF(O219=125,VLOOKUP($L220,$Q$128:$T$177,4),IF(O219=100,VLOOKUP($L220,$Q$83:$T$126,4),IF(O219=75,VLOOKUP($L220,$Q$41:$T$81,4),IF(O219=50,VLOOKUP($L220,$Q$2:$T$39,4))))))))))))))</f>
        <v>126</v>
      </c>
      <c r="Q220" s="15">
        <v>43</v>
      </c>
      <c r="R220" s="15">
        <v>150</v>
      </c>
      <c r="S220" s="16" t="s">
        <v>41</v>
      </c>
      <c r="T220" s="17">
        <v>354</v>
      </c>
    </row>
    <row r="221" spans="11:20" ht="20.149999999999999" customHeight="1" x14ac:dyDescent="0.35">
      <c r="K221" s="42" t="s">
        <v>33</v>
      </c>
      <c r="L221" s="36">
        <f>K217</f>
        <v>2.2000000000000002</v>
      </c>
      <c r="M221" s="41">
        <f>IFERROR((L221-L220)/(L222-L220)*(M222-M220)+M220,"")</f>
        <v>142.44</v>
      </c>
      <c r="N221" s="38">
        <f>IFERROR((N219-O219)/(M219-O219)*(M221-O221)+O221,"")</f>
        <v>134.49119999999999</v>
      </c>
      <c r="O221" s="41">
        <f>IFERROR((L221-L220)/(L222-L220)*(O222-O220)+O220,"")</f>
        <v>128.04</v>
      </c>
      <c r="Q221" s="15">
        <v>44</v>
      </c>
      <c r="R221" s="15">
        <v>150</v>
      </c>
      <c r="S221" s="16" t="s">
        <v>41</v>
      </c>
      <c r="T221" s="17">
        <v>361.8</v>
      </c>
    </row>
    <row r="222" spans="11:20" ht="20.149999999999999" customHeight="1" x14ac:dyDescent="0.35">
      <c r="L222" s="26">
        <f>IF(L221&gt;=0,ROUNDUP(L221,0),ROUNDDOWN(L221,0))</f>
        <v>3</v>
      </c>
      <c r="M222" s="40">
        <f>IF(M219=350,VLOOKUP($L222,$Q$454:$T$478,4),IF(M219=325,VLOOKUP(L222,$Q$426:$T$453,4),IF(M219=300,VLOOKUP(L222,$Q$395:$T$425,4),IF(M219=275,VLOOKUP(L222,$Q$362:$T$394,4),IF(M219=250,VLOOKUP(L222,$Q$329:$T$361,4),IF(M219=225,VLOOKUP(L222,$Q$294:$T$328,4),IF(M219=200,VLOOKUP(L222,$Q$258:$T$293,4),IF(M219=175,VLOOKUP(L222,$Q$224:$T$257,4),IF(M219=150,VLOOKUP(L222,$Q$179:$T$222,4),IF(M219=125,VLOOKUP(L222,$Q$128:$T$177,4),IF(M219=100,VLOOKUP(L222,$Q$83:$T$126,4),IF(M219=75,VLOOKUP(L222,$Q$41:$T$81,4),IF(M219=50,VLOOKUP(L222,$Q$2:$T$39,4))))))))))))))</f>
        <v>150.6</v>
      </c>
      <c r="N222" s="41">
        <f>IFERROR((N219-M219)/(O219-M219)*(O222-M222)+M222,"")</f>
        <v>142.65119999999999</v>
      </c>
      <c r="O222" s="40">
        <f>IF(O219=350,VLOOKUP($L222,$Q$454:$T$478,4),IF(O219=325,VLOOKUP($L222,$Q$426:$T$453,4),IF(O219=300,VLOOKUP($L222,$Q$395:$T$425,4),IF(O219=275,VLOOKUP($L222,$Q$362:$T$394,4),IF(O219=250,VLOOKUP($L222,$Q$329:$T$361,4),IF(O219=225,VLOOKUP($L222,$Q$294:$T$328,4),IF(O219=200,VLOOKUP($L222,$Q$258:$T$293,4),IF(O219=175,VLOOKUP($L222,$Q$224:$T$257,4),IF(O219=150,VLOOKUP($L222,$Q$179:$T$222,4),IF(O219=125,VLOOKUP($L222,$Q$128:$T$177,4),IF(O219=100,VLOOKUP($L222,$Q$83:$T$126,4),IF(O219=75,VLOOKUP($L222,$Q$41:$T$81,4),IF(O219=50,VLOOKUP($L222,$Q$2:$T$39,4))))))))))))))</f>
        <v>136.19999999999999</v>
      </c>
      <c r="Q222" s="15">
        <v>45</v>
      </c>
      <c r="R222" s="15">
        <v>150</v>
      </c>
      <c r="S222" s="16" t="s">
        <v>41</v>
      </c>
      <c r="T222" s="17">
        <v>370.2</v>
      </c>
    </row>
    <row r="223" spans="11:20" ht="20.149999999999999" customHeight="1" x14ac:dyDescent="0.35">
      <c r="Q223" s="15"/>
      <c r="R223" s="15"/>
      <c r="S223" s="16"/>
      <c r="T223" s="17"/>
    </row>
    <row r="224" spans="11:20" ht="20.149999999999999" customHeight="1" x14ac:dyDescent="0.35">
      <c r="Q224" s="15">
        <v>-1</v>
      </c>
      <c r="R224" s="15">
        <v>175</v>
      </c>
      <c r="S224" s="16" t="s">
        <v>29</v>
      </c>
      <c r="T224" s="17">
        <v>42</v>
      </c>
    </row>
    <row r="225" spans="11:20" ht="20.149999999999999" customHeight="1" x14ac:dyDescent="0.35">
      <c r="K225" s="14">
        <v>23</v>
      </c>
      <c r="L225" s="11"/>
      <c r="M225" s="11"/>
      <c r="Q225" s="15">
        <v>0</v>
      </c>
      <c r="R225" s="15">
        <v>175</v>
      </c>
      <c r="S225" s="16" t="s">
        <v>29</v>
      </c>
      <c r="T225" s="17">
        <v>52.8</v>
      </c>
    </row>
    <row r="226" spans="11:20" ht="20.149999999999999" customHeight="1" x14ac:dyDescent="0.35">
      <c r="K226" s="27" t="s">
        <v>30</v>
      </c>
      <c r="L226" s="27" t="s">
        <v>31</v>
      </c>
      <c r="M226" s="27" t="s">
        <v>17</v>
      </c>
      <c r="Q226" s="15">
        <v>1</v>
      </c>
      <c r="R226" s="15">
        <v>175</v>
      </c>
      <c r="S226" s="16" t="s">
        <v>29</v>
      </c>
      <c r="T226" s="17">
        <v>62.4</v>
      </c>
    </row>
    <row r="227" spans="11:20" ht="20.149999999999999" customHeight="1" x14ac:dyDescent="0.35">
      <c r="K227" s="36">
        <f>B25</f>
        <v>1.5</v>
      </c>
      <c r="L227" s="37">
        <f>C25</f>
        <v>62.9</v>
      </c>
      <c r="M227" s="38">
        <f>IF(OR(K227="",L227=""),"",IF(N231&lt;&gt;"",N231,IF(OR(M231&lt;&gt;"",N230&lt;&gt;"",O231&lt;&gt;"",N232&lt;&gt;""),MIN(M231,N230,O231,N232),MIN(M230:O232))))</f>
        <v>127.86960000000001</v>
      </c>
      <c r="Q227" s="15">
        <v>2</v>
      </c>
      <c r="R227" s="15">
        <v>175</v>
      </c>
      <c r="S227" s="16" t="s">
        <v>29</v>
      </c>
      <c r="T227" s="17">
        <v>72</v>
      </c>
    </row>
    <row r="228" spans="11:20" ht="20.149999999999999" customHeight="1" x14ac:dyDescent="0.35">
      <c r="L228" s="28" t="s">
        <v>11</v>
      </c>
      <c r="N228" s="39" t="s">
        <v>32</v>
      </c>
      <c r="Q228" s="15">
        <v>3</v>
      </c>
      <c r="R228" s="15">
        <v>175</v>
      </c>
      <c r="S228" s="16" t="s">
        <v>29</v>
      </c>
      <c r="T228" s="17">
        <v>82.2</v>
      </c>
    </row>
    <row r="229" spans="11:20" ht="20.149999999999999" customHeight="1" x14ac:dyDescent="0.35">
      <c r="L229" s="26"/>
      <c r="M229" s="26">
        <f>IF(N229&gt;=350,350,IF(N229&gt;=325,325,IF(N229&gt;=300,300,IF(N229&gt;=275,275,IF(N229&gt;=250,250,IF(N229&gt;=225,225,IF(N229&gt;=200,200,IF(N229&gt;=175,175,IF(N229&gt;=150,150,IF(N229&gt;=125,125,IF(N229&gt;=100,100,IF(N229&gt;=75,75,50))))))))))))</f>
        <v>50</v>
      </c>
      <c r="N229" s="37">
        <f>L227</f>
        <v>62.9</v>
      </c>
      <c r="O229" s="26">
        <f>IF(N229&lt;=50,50,IF(N229&lt;=75,75,IF(N229&lt;=100,100,IF(N229&lt;=125,125,IF(N229&lt;=150,150,IF(N229&lt;=175,175,IF(N229&lt;=200,200,IF(N229&lt;=225,225,IF(N229&lt;=250,250,IF(N229&lt;=275,275,IF(N229&lt;=300,300,IF(N229&lt;=325,325,350))))))))))))</f>
        <v>75</v>
      </c>
      <c r="Q229" s="15">
        <v>4</v>
      </c>
      <c r="R229" s="15">
        <v>175</v>
      </c>
      <c r="S229" s="16" t="s">
        <v>29</v>
      </c>
      <c r="T229" s="17">
        <v>91.8</v>
      </c>
    </row>
    <row r="230" spans="11:20" ht="20.149999999999999" customHeight="1" x14ac:dyDescent="0.35">
      <c r="L230" s="26">
        <f>IF(L231&gt;=0,ROUNDDOWN(L231,0),ROUNDUP(L231,0))</f>
        <v>1</v>
      </c>
      <c r="M230" s="40">
        <f>IF(M229=350,VLOOKUP($L230,$Q$454:$T$478,4),IF(M229=325,VLOOKUP(L230,$Q$426:$T$453,4),IF(M229=300,VLOOKUP(L230,$Q$395:$T$425,4),IF(M229=275,VLOOKUP(L230,$Q$362:$T$394,4),IF(M229=250,VLOOKUP(L230,$Q$329:$T$361,4),IF(M229=225,VLOOKUP(L230,$Q$294:$T$328,4),IF(M229=200,VLOOKUP(L230,$Q$258:$T$293,4),IF(M229=175,VLOOKUP(L230,$Q$224:$T$257,4),IF(M229=150,VLOOKUP(L230,$Q$179:$T$222,4),IF(M229=125,VLOOKUP(L230,$Q$128:$T$177,4),IF(M229=100,VLOOKUP(L230,$Q$83:$T$126,4),IF(M229=75,VLOOKUP(L230,$Q$41:$T$81,4),IF(M229=50,VLOOKUP(L230,$Q$2:$T$39,4))))))))))))))</f>
        <v>130.19999999999999</v>
      </c>
      <c r="N230" s="41">
        <f>IFERROR((N229-M229)/(O229-M229)*(O230-M230)+M230,"")</f>
        <v>122.7696</v>
      </c>
      <c r="O230" s="40">
        <f>IF(O229=350,VLOOKUP($L230,$Q$454:$T$478,4),IF(O229=325,VLOOKUP($L230,$Q$426:$T$453,4),IF(O229=300,VLOOKUP($L230,$Q$395:$T$425,4),IF(O229=275,VLOOKUP($L230,$Q$362:$T$394,4),IF(O229=250,VLOOKUP($L230,$Q$329:$T$361,4),IF(O229=225,VLOOKUP($L230,$Q$294:$T$328,4),IF(O229=200,VLOOKUP($L230,$Q$258:$T$293,4),IF(O229=175,VLOOKUP($L230,$Q$224:$T$257,4),IF(O229=150,VLOOKUP($L230,$Q$179:$T$222,4),IF(O229=125,VLOOKUP($L230,$Q$128:$T$177,4),IF(O229=100,VLOOKUP($L230,$Q$83:$T$126,4),IF(O229=75,VLOOKUP($L230,$Q$41:$T$81,4),IF(O229=50,VLOOKUP($L230,$Q$2:$T$39,4))))))))))))))</f>
        <v>115.8</v>
      </c>
      <c r="Q230" s="15">
        <v>5</v>
      </c>
      <c r="R230" s="15">
        <v>175</v>
      </c>
      <c r="S230" s="16" t="s">
        <v>29</v>
      </c>
      <c r="T230" s="17">
        <v>102</v>
      </c>
    </row>
    <row r="231" spans="11:20" ht="20.149999999999999" customHeight="1" x14ac:dyDescent="0.35">
      <c r="K231" s="42" t="s">
        <v>33</v>
      </c>
      <c r="L231" s="36">
        <f>K227</f>
        <v>1.5</v>
      </c>
      <c r="M231" s="41">
        <f>IFERROR((L231-L230)/(L232-L230)*(M232-M230)+M230,"")</f>
        <v>135.30000000000001</v>
      </c>
      <c r="N231" s="38">
        <f>IFERROR((N229-O229)/(M229-O229)*(M231-O231)+O231,"")</f>
        <v>127.86960000000001</v>
      </c>
      <c r="O231" s="41">
        <f>IFERROR((L231-L230)/(L232-L230)*(O232-O230)+O230,"")</f>
        <v>120.9</v>
      </c>
      <c r="Q231" s="15">
        <v>6</v>
      </c>
      <c r="R231" s="15">
        <v>175</v>
      </c>
      <c r="S231" s="16" t="s">
        <v>29</v>
      </c>
      <c r="T231" s="17">
        <v>112.2</v>
      </c>
    </row>
    <row r="232" spans="11:20" ht="20.149999999999999" customHeight="1" x14ac:dyDescent="0.35">
      <c r="L232" s="26">
        <f>IF(L231&gt;=0,ROUNDUP(L231,0),ROUNDDOWN(L231,0))</f>
        <v>2</v>
      </c>
      <c r="M232" s="40">
        <f>IF(M229=350,VLOOKUP($L232,$Q$454:$T$478,4),IF(M229=325,VLOOKUP(L232,$Q$426:$T$453,4),IF(M229=300,VLOOKUP(L232,$Q$395:$T$425,4),IF(M229=275,VLOOKUP(L232,$Q$362:$T$394,4),IF(M229=250,VLOOKUP(L232,$Q$329:$T$361,4),IF(M229=225,VLOOKUP(L232,$Q$294:$T$328,4),IF(M229=200,VLOOKUP(L232,$Q$258:$T$293,4),IF(M229=175,VLOOKUP(L232,$Q$224:$T$257,4),IF(M229=150,VLOOKUP(L232,$Q$179:$T$222,4),IF(M229=125,VLOOKUP(L232,$Q$128:$T$177,4),IF(M229=100,VLOOKUP(L232,$Q$83:$T$126,4),IF(M229=75,VLOOKUP(L232,$Q$41:$T$81,4),IF(M229=50,VLOOKUP(L232,$Q$2:$T$39,4))))))))))))))</f>
        <v>140.4</v>
      </c>
      <c r="N232" s="41">
        <f>IFERROR((N229-M229)/(O229-M229)*(O232-M232)+M232,"")</f>
        <v>132.96960000000001</v>
      </c>
      <c r="O232" s="40">
        <f>IF(O229=350,VLOOKUP($L232,$Q$454:$T$478,4),IF(O229=325,VLOOKUP($L232,$Q$426:$T$453,4),IF(O229=300,VLOOKUP($L232,$Q$395:$T$425,4),IF(O229=275,VLOOKUP($L232,$Q$362:$T$394,4),IF(O229=250,VLOOKUP($L232,$Q$329:$T$361,4),IF(O229=225,VLOOKUP($L232,$Q$294:$T$328,4),IF(O229=200,VLOOKUP($L232,$Q$258:$T$293,4),IF(O229=175,VLOOKUP($L232,$Q$224:$T$257,4),IF(O229=150,VLOOKUP($L232,$Q$179:$T$222,4),IF(O229=125,VLOOKUP($L232,$Q$128:$T$177,4),IF(O229=100,VLOOKUP($L232,$Q$83:$T$126,4),IF(O229=75,VLOOKUP($L232,$Q$41:$T$81,4),IF(O229=50,VLOOKUP($L232,$Q$2:$T$39,4))))))))))))))</f>
        <v>126</v>
      </c>
      <c r="Q232" s="15">
        <v>7</v>
      </c>
      <c r="R232" s="15">
        <v>175</v>
      </c>
      <c r="S232" s="16" t="s">
        <v>29</v>
      </c>
      <c r="T232" s="17">
        <v>121.8</v>
      </c>
    </row>
    <row r="233" spans="11:20" ht="20.149999999999999" customHeight="1" x14ac:dyDescent="0.35">
      <c r="Q233" s="15">
        <v>8</v>
      </c>
      <c r="R233" s="15">
        <v>175</v>
      </c>
      <c r="S233" s="16" t="s">
        <v>29</v>
      </c>
      <c r="T233" s="17">
        <v>132</v>
      </c>
    </row>
    <row r="234" spans="11:20" ht="20.149999999999999" customHeight="1" x14ac:dyDescent="0.35">
      <c r="Q234" s="15">
        <v>9</v>
      </c>
      <c r="R234" s="15">
        <v>175</v>
      </c>
      <c r="S234" s="16" t="s">
        <v>29</v>
      </c>
      <c r="T234" s="17">
        <v>142.19999999999999</v>
      </c>
    </row>
    <row r="235" spans="11:20" ht="20.149999999999999" customHeight="1" x14ac:dyDescent="0.35">
      <c r="K235" s="14">
        <v>24</v>
      </c>
      <c r="L235" s="11"/>
      <c r="M235" s="11"/>
      <c r="Q235" s="15">
        <v>10</v>
      </c>
      <c r="R235" s="15">
        <v>175</v>
      </c>
      <c r="S235" s="16" t="s">
        <v>29</v>
      </c>
      <c r="T235" s="17">
        <v>151.79999999999998</v>
      </c>
    </row>
    <row r="236" spans="11:20" ht="20.149999999999999" customHeight="1" x14ac:dyDescent="0.35">
      <c r="K236" s="27" t="s">
        <v>30</v>
      </c>
      <c r="L236" s="27" t="s">
        <v>31</v>
      </c>
      <c r="M236" s="27" t="s">
        <v>17</v>
      </c>
      <c r="Q236" s="15">
        <v>11</v>
      </c>
      <c r="R236" s="15">
        <v>175</v>
      </c>
      <c r="S236" s="16" t="s">
        <v>29</v>
      </c>
      <c r="T236" s="17">
        <v>162</v>
      </c>
    </row>
    <row r="237" spans="11:20" ht="20.149999999999999" customHeight="1" x14ac:dyDescent="0.35">
      <c r="K237" s="36">
        <f>B26</f>
        <v>2.4</v>
      </c>
      <c r="L237" s="37">
        <f>C26</f>
        <v>64.099999999999994</v>
      </c>
      <c r="M237" s="38">
        <f>IF(OR(K237="",L237=""),"",IF(N241&lt;&gt;"",N241,IF(OR(M241&lt;&gt;"",N240&lt;&gt;"",O241&lt;&gt;"",N242&lt;&gt;""),MIN(M241,N240,O241,N242),MIN(M240:O242))))</f>
        <v>136.35839999999999</v>
      </c>
      <c r="Q237" s="15">
        <v>12</v>
      </c>
      <c r="R237" s="15">
        <v>175</v>
      </c>
      <c r="S237" s="16" t="s">
        <v>29</v>
      </c>
      <c r="T237" s="17">
        <v>169.2</v>
      </c>
    </row>
    <row r="238" spans="11:20" ht="20.149999999999999" customHeight="1" x14ac:dyDescent="0.35">
      <c r="L238" s="28" t="s">
        <v>11</v>
      </c>
      <c r="N238" s="39" t="s">
        <v>32</v>
      </c>
      <c r="Q238" s="15">
        <v>13</v>
      </c>
      <c r="R238" s="15">
        <v>175</v>
      </c>
      <c r="S238" s="16" t="s">
        <v>29</v>
      </c>
      <c r="T238" s="17">
        <v>182.4</v>
      </c>
    </row>
    <row r="239" spans="11:20" ht="20.149999999999999" customHeight="1" x14ac:dyDescent="0.35">
      <c r="L239" s="26"/>
      <c r="M239" s="26">
        <f>IF(N239&gt;=350,350,IF(N239&gt;=325,325,IF(N239&gt;=300,300,IF(N239&gt;=275,275,IF(N239&gt;=250,250,IF(N239&gt;=225,225,IF(N239&gt;=200,200,IF(N239&gt;=175,175,IF(N239&gt;=150,150,IF(N239&gt;=125,125,IF(N239&gt;=100,100,IF(N239&gt;=75,75,50))))))))))))</f>
        <v>50</v>
      </c>
      <c r="N239" s="37">
        <f>L237</f>
        <v>64.099999999999994</v>
      </c>
      <c r="O239" s="26">
        <f>IF(N239&lt;=50,50,IF(N239&lt;=75,75,IF(N239&lt;=100,100,IF(N239&lt;=125,125,IF(N239&lt;=150,150,IF(N239&lt;=175,175,IF(N239&lt;=200,200,IF(N239&lt;=225,225,IF(N239&lt;=250,250,IF(N239&lt;=275,275,IF(N239&lt;=300,300,IF(N239&lt;=325,325,350))))))))))))</f>
        <v>75</v>
      </c>
      <c r="Q239" s="15">
        <v>14</v>
      </c>
      <c r="R239" s="15">
        <v>175</v>
      </c>
      <c r="S239" s="16" t="s">
        <v>29</v>
      </c>
      <c r="T239" s="17">
        <v>192.6</v>
      </c>
    </row>
    <row r="240" spans="11:20" ht="20.149999999999999" customHeight="1" x14ac:dyDescent="0.35">
      <c r="L240" s="26">
        <f>IF(L241&gt;=0,ROUNDDOWN(L241,0),ROUNDUP(L241,0))</f>
        <v>2</v>
      </c>
      <c r="M240" s="40">
        <f>IF(M239=350,VLOOKUP($L240,$Q$454:$T$478,4),IF(M239=325,VLOOKUP(L240,$Q$426:$T$453,4),IF(M239=300,VLOOKUP(L240,$Q$395:$T$425,4),IF(M239=275,VLOOKUP(L240,$Q$362:$T$394,4),IF(M239=250,VLOOKUP(L240,$Q$329:$T$361,4),IF(M239=225,VLOOKUP(L240,$Q$294:$T$328,4),IF(M239=200,VLOOKUP(L240,$Q$258:$T$293,4),IF(M239=175,VLOOKUP(L240,$Q$224:$T$257,4),IF(M239=150,VLOOKUP(L240,$Q$179:$T$222,4),IF(M239=125,VLOOKUP(L240,$Q$128:$T$177,4),IF(M239=100,VLOOKUP(L240,$Q$83:$T$126,4),IF(M239=75,VLOOKUP(L240,$Q$41:$T$81,4),IF(M239=50,VLOOKUP(L240,$Q$2:$T$39,4))))))))))))))</f>
        <v>140.4</v>
      </c>
      <c r="N240" s="41">
        <f>IFERROR((N239-M239)/(O239-M239)*(O240-M240)+M240,"")</f>
        <v>132.2784</v>
      </c>
      <c r="O240" s="40">
        <f>IF(O239=350,VLOOKUP($L240,$Q$454:$T$478,4),IF(O239=325,VLOOKUP($L240,$Q$426:$T$453,4),IF(O239=300,VLOOKUP($L240,$Q$395:$T$425,4),IF(O239=275,VLOOKUP($L240,$Q$362:$T$394,4),IF(O239=250,VLOOKUP($L240,$Q$329:$T$361,4),IF(O239=225,VLOOKUP($L240,$Q$294:$T$328,4),IF(O239=200,VLOOKUP($L240,$Q$258:$T$293,4),IF(O239=175,VLOOKUP($L240,$Q$224:$T$257,4),IF(O239=150,VLOOKUP($L240,$Q$179:$T$222,4),IF(O239=125,VLOOKUP($L240,$Q$128:$T$177,4),IF(O239=100,VLOOKUP($L240,$Q$83:$T$126,4),IF(O239=75,VLOOKUP($L240,$Q$41:$T$81,4),IF(O239=50,VLOOKUP($L240,$Q$2:$T$39,4))))))))))))))</f>
        <v>126</v>
      </c>
      <c r="Q240" s="15">
        <v>16</v>
      </c>
      <c r="R240" s="15">
        <v>175</v>
      </c>
      <c r="S240" s="16" t="s">
        <v>37</v>
      </c>
      <c r="T240" s="17">
        <v>190.79999999999998</v>
      </c>
    </row>
    <row r="241" spans="11:20" ht="20.149999999999999" customHeight="1" x14ac:dyDescent="0.35">
      <c r="K241" s="42" t="s">
        <v>33</v>
      </c>
      <c r="L241" s="36">
        <f>K237</f>
        <v>2.4</v>
      </c>
      <c r="M241" s="41">
        <f>IFERROR((L241-L240)/(L242-L240)*(M242-M240)+M240,"")</f>
        <v>144.47999999999999</v>
      </c>
      <c r="N241" s="38">
        <f>IFERROR((N239-O239)/(M239-O239)*(M241-O241)+O241,"")</f>
        <v>136.35839999999999</v>
      </c>
      <c r="O241" s="41">
        <f>IFERROR((L241-L240)/(L242-L240)*(O242-O240)+O240,"")</f>
        <v>130.07999999999998</v>
      </c>
      <c r="Q241" s="15">
        <v>17</v>
      </c>
      <c r="R241" s="15">
        <v>175</v>
      </c>
      <c r="S241" s="16" t="s">
        <v>37</v>
      </c>
      <c r="T241" s="17">
        <v>201</v>
      </c>
    </row>
    <row r="242" spans="11:20" ht="20.149999999999999" customHeight="1" x14ac:dyDescent="0.35">
      <c r="L242" s="26">
        <f>IF(L241&gt;=0,ROUNDUP(L241,0),ROUNDDOWN(L241,0))</f>
        <v>3</v>
      </c>
      <c r="M242" s="40">
        <f>IF(M239=350,VLOOKUP($L242,$Q$454:$T$478,4),IF(M239=325,VLOOKUP(L242,$Q$426:$T$453,4),IF(M239=300,VLOOKUP(L242,$Q$395:$T$425,4),IF(M239=275,VLOOKUP(L242,$Q$362:$T$394,4),IF(M239=250,VLOOKUP(L242,$Q$329:$T$361,4),IF(M239=225,VLOOKUP(L242,$Q$294:$T$328,4),IF(M239=200,VLOOKUP(L242,$Q$258:$T$293,4),IF(M239=175,VLOOKUP(L242,$Q$224:$T$257,4),IF(M239=150,VLOOKUP(L242,$Q$179:$T$222,4),IF(M239=125,VLOOKUP(L242,$Q$128:$T$177,4),IF(M239=100,VLOOKUP(L242,$Q$83:$T$126,4),IF(M239=75,VLOOKUP(L242,$Q$41:$T$81,4),IF(M239=50,VLOOKUP(L242,$Q$2:$T$39,4))))))))))))))</f>
        <v>150.6</v>
      </c>
      <c r="N242" s="41">
        <f>IFERROR((N239-M239)/(O239-M239)*(O242-M242)+M242,"")</f>
        <v>142.47839999999999</v>
      </c>
      <c r="O242" s="40">
        <f>IF(O239=350,VLOOKUP($L242,$Q$454:$T$478,4),IF(O239=325,VLOOKUP($L242,$Q$426:$T$453,4),IF(O239=300,VLOOKUP($L242,$Q$395:$T$425,4),IF(O239=275,VLOOKUP($L242,$Q$362:$T$394,4),IF(O239=250,VLOOKUP($L242,$Q$329:$T$361,4),IF(O239=225,VLOOKUP($L242,$Q$294:$T$328,4),IF(O239=200,VLOOKUP($L242,$Q$258:$T$293,4),IF(O239=175,VLOOKUP($L242,$Q$224:$T$257,4),IF(O239=150,VLOOKUP($L242,$Q$179:$T$222,4),IF(O239=125,VLOOKUP($L242,$Q$128:$T$177,4),IF(O239=100,VLOOKUP($L242,$Q$83:$T$126,4),IF(O239=75,VLOOKUP($L242,$Q$41:$T$81,4),IF(O239=50,VLOOKUP($L242,$Q$2:$T$39,4))))))))))))))</f>
        <v>136.19999999999999</v>
      </c>
      <c r="Q242" s="15">
        <v>18</v>
      </c>
      <c r="R242" s="15">
        <v>175</v>
      </c>
      <c r="S242" s="16" t="s">
        <v>37</v>
      </c>
      <c r="T242" s="17">
        <v>211.2</v>
      </c>
    </row>
    <row r="243" spans="11:20" ht="20.149999999999999" customHeight="1" x14ac:dyDescent="0.35">
      <c r="Q243" s="15">
        <v>19</v>
      </c>
      <c r="R243" s="15">
        <v>175</v>
      </c>
      <c r="S243" s="16" t="s">
        <v>38</v>
      </c>
      <c r="T243" s="17">
        <v>199.2</v>
      </c>
    </row>
    <row r="244" spans="11:20" ht="20.149999999999999" customHeight="1" x14ac:dyDescent="0.35">
      <c r="Q244" s="15">
        <v>20</v>
      </c>
      <c r="R244" s="15">
        <v>175</v>
      </c>
      <c r="S244" s="16" t="s">
        <v>38</v>
      </c>
      <c r="T244" s="17">
        <v>210</v>
      </c>
    </row>
    <row r="245" spans="11:20" ht="20.149999999999999" customHeight="1" x14ac:dyDescent="0.35">
      <c r="K245" s="14">
        <v>25</v>
      </c>
      <c r="L245" s="11"/>
      <c r="M245" s="11"/>
      <c r="Q245" s="15">
        <v>21</v>
      </c>
      <c r="R245" s="15">
        <v>175</v>
      </c>
      <c r="S245" s="16" t="s">
        <v>38</v>
      </c>
      <c r="T245" s="17">
        <v>220.2</v>
      </c>
    </row>
    <row r="246" spans="11:20" ht="20.149999999999999" customHeight="1" x14ac:dyDescent="0.35">
      <c r="K246" s="27" t="s">
        <v>30</v>
      </c>
      <c r="L246" s="27" t="s">
        <v>31</v>
      </c>
      <c r="M246" s="27" t="s">
        <v>17</v>
      </c>
      <c r="Q246" s="15">
        <v>23</v>
      </c>
      <c r="R246" s="15">
        <v>175</v>
      </c>
      <c r="S246" s="16" t="s">
        <v>39</v>
      </c>
      <c r="T246" s="17">
        <v>213</v>
      </c>
    </row>
    <row r="247" spans="11:20" ht="20.149999999999999" customHeight="1" x14ac:dyDescent="0.35">
      <c r="K247" s="36">
        <f>B27</f>
        <v>2</v>
      </c>
      <c r="L247" s="37">
        <f>C27</f>
        <v>63.4</v>
      </c>
      <c r="M247" s="38">
        <f>IF(OR(K247="",L247=""),"",IF(N251&lt;&gt;"",N251,IF(OR(M251&lt;&gt;"",N250&lt;&gt;"",O251&lt;&gt;"",N252&lt;&gt;""),MIN(M251,N250,O251,N252),MIN(M250:O252))))</f>
        <v>132.6816</v>
      </c>
      <c r="Q247" s="15">
        <v>24</v>
      </c>
      <c r="R247" s="15">
        <v>175</v>
      </c>
      <c r="S247" s="16" t="s">
        <v>39</v>
      </c>
      <c r="T247" s="17">
        <v>220.79999999999998</v>
      </c>
    </row>
    <row r="248" spans="11:20" ht="20.149999999999999" customHeight="1" x14ac:dyDescent="0.35">
      <c r="L248" s="28" t="s">
        <v>11</v>
      </c>
      <c r="N248" s="39" t="s">
        <v>32</v>
      </c>
      <c r="Q248" s="15">
        <v>25</v>
      </c>
      <c r="R248" s="15">
        <v>175</v>
      </c>
      <c r="S248" s="16" t="s">
        <v>39</v>
      </c>
      <c r="T248" s="17">
        <v>228.6</v>
      </c>
    </row>
    <row r="249" spans="11:20" ht="20.149999999999999" customHeight="1" x14ac:dyDescent="0.35">
      <c r="L249" s="26"/>
      <c r="M249" s="26">
        <f>IF(N249&gt;=350,350,IF(N249&gt;=325,325,IF(N249&gt;=300,300,IF(N249&gt;=275,275,IF(N249&gt;=250,250,IF(N249&gt;=225,225,IF(N249&gt;=200,200,IF(N249&gt;=175,175,IF(N249&gt;=150,150,IF(N249&gt;=125,125,IF(N249&gt;=100,100,IF(N249&gt;=75,75,50))))))))))))</f>
        <v>50</v>
      </c>
      <c r="N249" s="37">
        <f>L247</f>
        <v>63.4</v>
      </c>
      <c r="O249" s="26">
        <f>IF(N249&lt;=50,50,IF(N249&lt;=75,75,IF(N249&lt;=100,100,IF(N249&lt;=125,125,IF(N249&lt;=150,150,IF(N249&lt;=175,175,IF(N249&lt;=200,200,IF(N249&lt;=225,225,IF(N249&lt;=250,250,IF(N249&lt;=275,275,IF(N249&lt;=300,300,IF(N249&lt;=325,325,350))))))))))))</f>
        <v>75</v>
      </c>
      <c r="Q249" s="15">
        <v>26</v>
      </c>
      <c r="R249" s="15">
        <v>175</v>
      </c>
      <c r="S249" s="16" t="s">
        <v>39</v>
      </c>
      <c r="T249" s="17">
        <v>236.39999999999998</v>
      </c>
    </row>
    <row r="250" spans="11:20" ht="20.149999999999999" customHeight="1" x14ac:dyDescent="0.35">
      <c r="L250" s="26">
        <f>IF(L251&gt;=0,ROUNDDOWN(L251,0),ROUNDUP(L251,0))</f>
        <v>2</v>
      </c>
      <c r="M250" s="40">
        <f>IF(M249=350,VLOOKUP($L250,$Q$454:$T$478,4),IF(M249=325,VLOOKUP(L250,$Q$426:$T$453,4),IF(M249=300,VLOOKUP(L250,$Q$395:$T$425,4),IF(M249=275,VLOOKUP(L250,$Q$362:$T$394,4),IF(M249=250,VLOOKUP(L250,$Q$329:$T$361,4),IF(M249=225,VLOOKUP(L250,$Q$294:$T$328,4),IF(M249=200,VLOOKUP(L250,$Q$258:$T$293,4),IF(M249=175,VLOOKUP(L250,$Q$224:$T$257,4),IF(M249=150,VLOOKUP(L250,$Q$179:$T$222,4),IF(M249=125,VLOOKUP(L250,$Q$128:$T$177,4),IF(M249=100,VLOOKUP(L250,$Q$83:$T$126,4),IF(M249=75,VLOOKUP(L250,$Q$41:$T$81,4),IF(M249=50,VLOOKUP(L250,$Q$2:$T$39,4))))))))))))))</f>
        <v>140.4</v>
      </c>
      <c r="N250" s="41">
        <f>IFERROR((N249-M249)/(O249-M249)*(O250-M250)+M250,"")</f>
        <v>132.6816</v>
      </c>
      <c r="O250" s="40">
        <f>IF(O249=350,VLOOKUP($L250,$Q$454:$T$478,4),IF(O249=325,VLOOKUP($L250,$Q$426:$T$453,4),IF(O249=300,VLOOKUP($L250,$Q$395:$T$425,4),IF(O249=275,VLOOKUP($L250,$Q$362:$T$394,4),IF(O249=250,VLOOKUP($L250,$Q$329:$T$361,4),IF(O249=225,VLOOKUP($L250,$Q$294:$T$328,4),IF(O249=200,VLOOKUP($L250,$Q$258:$T$293,4),IF(O249=175,VLOOKUP($L250,$Q$224:$T$257,4),IF(O249=150,VLOOKUP($L250,$Q$179:$T$222,4),IF(O249=125,VLOOKUP($L250,$Q$128:$T$177,4),IF(O249=100,VLOOKUP($L250,$Q$83:$T$126,4),IF(O249=75,VLOOKUP($L250,$Q$41:$T$81,4),IF(O249=50,VLOOKUP($L250,$Q$2:$T$39,4))))))))))))))</f>
        <v>126</v>
      </c>
      <c r="Q250" s="15">
        <v>27</v>
      </c>
      <c r="R250" s="15">
        <v>175</v>
      </c>
      <c r="S250" s="16" t="s">
        <v>39</v>
      </c>
      <c r="T250" s="17">
        <v>243.6</v>
      </c>
    </row>
    <row r="251" spans="11:20" ht="20.149999999999999" customHeight="1" x14ac:dyDescent="0.35">
      <c r="K251" s="42" t="s">
        <v>33</v>
      </c>
      <c r="L251" s="36">
        <f>K247</f>
        <v>2</v>
      </c>
      <c r="M251" s="41" t="str">
        <f>IFERROR((L251-L250)/(L252-L250)*(M252-M250)+M250,"")</f>
        <v/>
      </c>
      <c r="N251" s="38" t="str">
        <f>IFERROR((N249-O249)/(M249-O249)*(M251-O251)+O251,"")</f>
        <v/>
      </c>
      <c r="O251" s="41" t="str">
        <f>IFERROR((L251-L250)/(L252-L250)*(O252-O250)+O250,"")</f>
        <v/>
      </c>
      <c r="Q251" s="15">
        <v>28</v>
      </c>
      <c r="R251" s="15">
        <v>175</v>
      </c>
      <c r="S251" s="16" t="s">
        <v>39</v>
      </c>
      <c r="T251" s="17">
        <v>251.39999999999998</v>
      </c>
    </row>
    <row r="252" spans="11:20" ht="20.149999999999999" customHeight="1" x14ac:dyDescent="0.35">
      <c r="L252" s="26">
        <f>IF(L251&gt;=0,ROUNDUP(L251,0),ROUNDDOWN(L251,0))</f>
        <v>2</v>
      </c>
      <c r="M252" s="40">
        <f>IF(M249=350,VLOOKUP($L252,$Q$454:$T$478,4),IF(M249=325,VLOOKUP(L252,$Q$426:$T$453,4),IF(M249=300,VLOOKUP(L252,$Q$395:$T$425,4),IF(M249=275,VLOOKUP(L252,$Q$362:$T$394,4),IF(M249=250,VLOOKUP(L252,$Q$329:$T$361,4),IF(M249=225,VLOOKUP(L252,$Q$294:$T$328,4),IF(M249=200,VLOOKUP(L252,$Q$258:$T$293,4),IF(M249=175,VLOOKUP(L252,$Q$224:$T$257,4),IF(M249=150,VLOOKUP(L252,$Q$179:$T$222,4),IF(M249=125,VLOOKUP(L252,$Q$128:$T$177,4),IF(M249=100,VLOOKUP(L252,$Q$83:$T$126,4),IF(M249=75,VLOOKUP(L252,$Q$41:$T$81,4),IF(M249=50,VLOOKUP(L252,$Q$2:$T$39,4))))))))))))))</f>
        <v>140.4</v>
      </c>
      <c r="N252" s="41">
        <f>IFERROR((N249-M249)/(O249-M249)*(O252-M252)+M252,"")</f>
        <v>132.6816</v>
      </c>
      <c r="O252" s="40">
        <f>IF(O249=350,VLOOKUP($L252,$Q$454:$T$478,4),IF(O249=325,VLOOKUP($L252,$Q$426:$T$453,4),IF(O249=300,VLOOKUP($L252,$Q$395:$T$425,4),IF(O249=275,VLOOKUP($L252,$Q$362:$T$394,4),IF(O249=250,VLOOKUP($L252,$Q$329:$T$361,4),IF(O249=225,VLOOKUP($L252,$Q$294:$T$328,4),IF(O249=200,VLOOKUP($L252,$Q$258:$T$293,4),IF(O249=175,VLOOKUP($L252,$Q$224:$T$257,4),IF(O249=150,VLOOKUP($L252,$Q$179:$T$222,4),IF(O249=125,VLOOKUP($L252,$Q$128:$T$177,4),IF(O249=100,VLOOKUP($L252,$Q$83:$T$126,4),IF(O249=75,VLOOKUP($L252,$Q$41:$T$81,4),IF(O249=50,VLOOKUP($L252,$Q$2:$T$39,4))))))))))))))</f>
        <v>126</v>
      </c>
      <c r="Q252" s="15">
        <v>30</v>
      </c>
      <c r="R252" s="15">
        <v>175</v>
      </c>
      <c r="S252" s="16" t="s">
        <v>40</v>
      </c>
      <c r="T252" s="17">
        <v>250.79999999999998</v>
      </c>
    </row>
    <row r="253" spans="11:20" ht="20.149999999999999" customHeight="1" x14ac:dyDescent="0.35">
      <c r="Q253" s="15">
        <v>31</v>
      </c>
      <c r="R253" s="15">
        <v>175</v>
      </c>
      <c r="S253" s="16" t="s">
        <v>40</v>
      </c>
      <c r="T253" s="17">
        <v>258.59999999999997</v>
      </c>
    </row>
    <row r="254" spans="11:20" ht="20.149999999999999" customHeight="1" x14ac:dyDescent="0.35">
      <c r="Q254" s="15">
        <v>32</v>
      </c>
      <c r="R254" s="15">
        <v>175</v>
      </c>
      <c r="S254" s="16" t="s">
        <v>40</v>
      </c>
      <c r="T254" s="17">
        <v>266.39999999999998</v>
      </c>
    </row>
    <row r="255" spans="11:20" ht="20.149999999999999" customHeight="1" x14ac:dyDescent="0.35">
      <c r="K255" s="14">
        <v>26</v>
      </c>
      <c r="L255" s="11"/>
      <c r="M255" s="11"/>
      <c r="Q255" s="15">
        <v>35</v>
      </c>
      <c r="R255" s="15">
        <v>175</v>
      </c>
      <c r="S255" s="16" t="s">
        <v>41</v>
      </c>
      <c r="T255" s="17">
        <v>274.2</v>
      </c>
    </row>
    <row r="256" spans="11:20" ht="20.149999999999999" customHeight="1" x14ac:dyDescent="0.35">
      <c r="K256" s="27" t="s">
        <v>30</v>
      </c>
      <c r="L256" s="27" t="s">
        <v>31</v>
      </c>
      <c r="M256" s="27" t="s">
        <v>17</v>
      </c>
      <c r="Q256" s="15">
        <v>36</v>
      </c>
      <c r="R256" s="15">
        <v>175</v>
      </c>
      <c r="S256" s="16" t="s">
        <v>41</v>
      </c>
      <c r="T256" s="17">
        <v>282</v>
      </c>
    </row>
    <row r="257" spans="11:20" ht="20.149999999999999" customHeight="1" x14ac:dyDescent="0.35">
      <c r="K257" s="36">
        <f>B28</f>
        <v>2</v>
      </c>
      <c r="L257" s="37">
        <f>C28</f>
        <v>62.6</v>
      </c>
      <c r="M257" s="38">
        <f>IF(OR(K257="",L257=""),"",IF(N261&lt;&gt;"",N261,IF(OR(M261&lt;&gt;"",N260&lt;&gt;"",O261&lt;&gt;"",N262&lt;&gt;""),MIN(M261,N260,O261,N262),MIN(M260:O262))))</f>
        <v>133.14240000000001</v>
      </c>
      <c r="Q257" s="15">
        <v>37</v>
      </c>
      <c r="R257" s="15">
        <v>175</v>
      </c>
      <c r="S257" s="16" t="s">
        <v>41</v>
      </c>
      <c r="T257" s="17">
        <v>289.8</v>
      </c>
    </row>
    <row r="258" spans="11:20" ht="20.149999999999999" customHeight="1" x14ac:dyDescent="0.35">
      <c r="L258" s="28" t="s">
        <v>11</v>
      </c>
      <c r="N258" s="39" t="s">
        <v>32</v>
      </c>
      <c r="Q258" s="15">
        <v>1</v>
      </c>
      <c r="R258" s="15">
        <v>200</v>
      </c>
      <c r="S258" s="16" t="s">
        <v>29</v>
      </c>
      <c r="T258" s="17">
        <v>49.8</v>
      </c>
    </row>
    <row r="259" spans="11:20" ht="20.149999999999999" customHeight="1" x14ac:dyDescent="0.35">
      <c r="L259" s="26"/>
      <c r="M259" s="26">
        <f>IF(N259&gt;=350,350,IF(N259&gt;=325,325,IF(N259&gt;=300,300,IF(N259&gt;=275,275,IF(N259&gt;=250,250,IF(N259&gt;=225,225,IF(N259&gt;=200,200,IF(N259&gt;=175,175,IF(N259&gt;=150,150,IF(N259&gt;=125,125,IF(N259&gt;=100,100,IF(N259&gt;=75,75,50))))))))))))</f>
        <v>50</v>
      </c>
      <c r="N259" s="37">
        <f>L257</f>
        <v>62.6</v>
      </c>
      <c r="O259" s="26">
        <f>IF(N259&lt;=50,50,IF(N259&lt;=75,75,IF(N259&lt;=100,100,IF(N259&lt;=125,125,IF(N259&lt;=150,150,IF(N259&lt;=175,175,IF(N259&lt;=200,200,IF(N259&lt;=225,225,IF(N259&lt;=250,250,IF(N259&lt;=275,275,IF(N259&lt;=300,300,IF(N259&lt;=325,325,350))))))))))))</f>
        <v>75</v>
      </c>
      <c r="Q259" s="15">
        <v>2</v>
      </c>
      <c r="R259" s="15">
        <v>200</v>
      </c>
      <c r="S259" s="16" t="s">
        <v>29</v>
      </c>
      <c r="T259" s="17">
        <v>59.4</v>
      </c>
    </row>
    <row r="260" spans="11:20" ht="20.149999999999999" customHeight="1" x14ac:dyDescent="0.35">
      <c r="L260" s="26">
        <f>IF(L261&gt;=0,ROUNDDOWN(L261,0),ROUNDUP(L261,0))</f>
        <v>2</v>
      </c>
      <c r="M260" s="40">
        <f>IF(M259=350,VLOOKUP($L260,$Q$454:$T$478,4),IF(M259=325,VLOOKUP(L260,$Q$426:$T$453,4),IF(M259=300,VLOOKUP(L260,$Q$395:$T$425,4),IF(M259=275,VLOOKUP(L260,$Q$362:$T$394,4),IF(M259=250,VLOOKUP(L260,$Q$329:$T$361,4),IF(M259=225,VLOOKUP(L260,$Q$294:$T$328,4),IF(M259=200,VLOOKUP(L260,$Q$258:$T$293,4),IF(M259=175,VLOOKUP(L260,$Q$224:$T$257,4),IF(M259=150,VLOOKUP(L260,$Q$179:$T$222,4),IF(M259=125,VLOOKUP(L260,$Q$128:$T$177,4),IF(M259=100,VLOOKUP(L260,$Q$83:$T$126,4),IF(M259=75,VLOOKUP(L260,$Q$41:$T$81,4),IF(M259=50,VLOOKUP(L260,$Q$2:$T$39,4))))))))))))))</f>
        <v>140.4</v>
      </c>
      <c r="N260" s="41">
        <f>IFERROR((N259-M259)/(O259-M259)*(O260-M260)+M260,"")</f>
        <v>133.14240000000001</v>
      </c>
      <c r="O260" s="40">
        <f>IF(O259=350,VLOOKUP($L260,$Q$454:$T$478,4),IF(O259=325,VLOOKUP($L260,$Q$426:$T$453,4),IF(O259=300,VLOOKUP($L260,$Q$395:$T$425,4),IF(O259=275,VLOOKUP($L260,$Q$362:$T$394,4),IF(O259=250,VLOOKUP($L260,$Q$329:$T$361,4),IF(O259=225,VLOOKUP($L260,$Q$294:$T$328,4),IF(O259=200,VLOOKUP($L260,$Q$258:$T$293,4),IF(O259=175,VLOOKUP($L260,$Q$224:$T$257,4),IF(O259=150,VLOOKUP($L260,$Q$179:$T$222,4),IF(O259=125,VLOOKUP($L260,$Q$128:$T$177,4),IF(O259=100,VLOOKUP($L260,$Q$83:$T$126,4),IF(O259=75,VLOOKUP($L260,$Q$41:$T$81,4),IF(O259=50,VLOOKUP($L260,$Q$2:$T$39,4))))))))))))))</f>
        <v>126</v>
      </c>
      <c r="Q260" s="15">
        <v>3</v>
      </c>
      <c r="R260" s="15">
        <v>200</v>
      </c>
      <c r="S260" s="16" t="s">
        <v>29</v>
      </c>
      <c r="T260" s="17">
        <v>69</v>
      </c>
    </row>
    <row r="261" spans="11:20" ht="20.149999999999999" customHeight="1" x14ac:dyDescent="0.35">
      <c r="K261" s="42" t="s">
        <v>33</v>
      </c>
      <c r="L261" s="36">
        <f>K257</f>
        <v>2</v>
      </c>
      <c r="M261" s="41" t="str">
        <f>IFERROR((L261-L260)/(L262-L260)*(M262-M260)+M260,"")</f>
        <v/>
      </c>
      <c r="N261" s="38" t="str">
        <f>IFERROR((N259-O259)/(M259-O259)*(M261-O261)+O261,"")</f>
        <v/>
      </c>
      <c r="O261" s="41" t="str">
        <f>IFERROR((L261-L260)/(L262-L260)*(O262-O260)+O260,"")</f>
        <v/>
      </c>
      <c r="Q261" s="15">
        <v>4</v>
      </c>
      <c r="R261" s="15">
        <v>200</v>
      </c>
      <c r="S261" s="16" t="s">
        <v>29</v>
      </c>
      <c r="T261" s="17">
        <v>78.599999999999994</v>
      </c>
    </row>
    <row r="262" spans="11:20" ht="20.149999999999999" customHeight="1" x14ac:dyDescent="0.35">
      <c r="L262" s="26">
        <f>IF(L261&gt;=0,ROUNDUP(L261,0),ROUNDDOWN(L261,0))</f>
        <v>2</v>
      </c>
      <c r="M262" s="40">
        <f>IF(M259=350,VLOOKUP($L262,$Q$454:$T$478,4),IF(M259=325,VLOOKUP(L262,$Q$426:$T$453,4),IF(M259=300,VLOOKUP(L262,$Q$395:$T$425,4),IF(M259=275,VLOOKUP(L262,$Q$362:$T$394,4),IF(M259=250,VLOOKUP(L262,$Q$329:$T$361,4),IF(M259=225,VLOOKUP(L262,$Q$294:$T$328,4),IF(M259=200,VLOOKUP(L262,$Q$258:$T$293,4),IF(M259=175,VLOOKUP(L262,$Q$224:$T$257,4),IF(M259=150,VLOOKUP(L262,$Q$179:$T$222,4),IF(M259=125,VLOOKUP(L262,$Q$128:$T$177,4),IF(M259=100,VLOOKUP(L262,$Q$83:$T$126,4),IF(M259=75,VLOOKUP(L262,$Q$41:$T$81,4),IF(M259=50,VLOOKUP(L262,$Q$2:$T$39,4))))))))))))))</f>
        <v>140.4</v>
      </c>
      <c r="N262" s="41">
        <f>IFERROR((N259-M259)/(O259-M259)*(O262-M262)+M262,"")</f>
        <v>133.14240000000001</v>
      </c>
      <c r="O262" s="40">
        <f>IF(O259=350,VLOOKUP($L262,$Q$454:$T$478,4),IF(O259=325,VLOOKUP($L262,$Q$426:$T$453,4),IF(O259=300,VLOOKUP($L262,$Q$395:$T$425,4),IF(O259=275,VLOOKUP($L262,$Q$362:$T$394,4),IF(O259=250,VLOOKUP($L262,$Q$329:$T$361,4),IF(O259=225,VLOOKUP($L262,$Q$294:$T$328,4),IF(O259=200,VLOOKUP($L262,$Q$258:$T$293,4),IF(O259=175,VLOOKUP($L262,$Q$224:$T$257,4),IF(O259=150,VLOOKUP($L262,$Q$179:$T$222,4),IF(O259=125,VLOOKUP($L262,$Q$128:$T$177,4),IF(O259=100,VLOOKUP($L262,$Q$83:$T$126,4),IF(O259=75,VLOOKUP($L262,$Q$41:$T$81,4),IF(O259=50,VLOOKUP($L262,$Q$2:$T$39,4))))))))))))))</f>
        <v>126</v>
      </c>
      <c r="Q262" s="15">
        <v>5</v>
      </c>
      <c r="R262" s="15">
        <v>200</v>
      </c>
      <c r="S262" s="16" t="s">
        <v>29</v>
      </c>
      <c r="T262" s="17">
        <v>88.8</v>
      </c>
    </row>
    <row r="263" spans="11:20" ht="20.149999999999999" customHeight="1" x14ac:dyDescent="0.35">
      <c r="Q263" s="15">
        <v>6</v>
      </c>
      <c r="R263" s="15">
        <v>200</v>
      </c>
      <c r="S263" s="16" t="s">
        <v>29</v>
      </c>
      <c r="T263" s="17">
        <v>98.399999999999991</v>
      </c>
    </row>
    <row r="264" spans="11:20" ht="20.149999999999999" customHeight="1" x14ac:dyDescent="0.35">
      <c r="Q264" s="15">
        <v>7</v>
      </c>
      <c r="R264" s="15">
        <v>200</v>
      </c>
      <c r="S264" s="16" t="s">
        <v>29</v>
      </c>
      <c r="T264" s="17">
        <v>108.6</v>
      </c>
    </row>
    <row r="265" spans="11:20" ht="20.149999999999999" customHeight="1" x14ac:dyDescent="0.35">
      <c r="K265" s="14">
        <v>27</v>
      </c>
      <c r="L265" s="11"/>
      <c r="M265" s="11"/>
      <c r="Q265" s="15">
        <v>8</v>
      </c>
      <c r="R265" s="15">
        <v>200</v>
      </c>
      <c r="S265" s="16" t="s">
        <v>29</v>
      </c>
      <c r="T265" s="17">
        <v>118.19999999999999</v>
      </c>
    </row>
    <row r="266" spans="11:20" ht="20.149999999999999" customHeight="1" x14ac:dyDescent="0.35">
      <c r="K266" s="27" t="s">
        <v>30</v>
      </c>
      <c r="L266" s="27" t="s">
        <v>31</v>
      </c>
      <c r="M266" s="27" t="s">
        <v>17</v>
      </c>
      <c r="Q266" s="15">
        <v>9</v>
      </c>
      <c r="R266" s="15">
        <v>200</v>
      </c>
      <c r="S266" s="16" t="s">
        <v>29</v>
      </c>
      <c r="T266" s="17">
        <v>128.4</v>
      </c>
    </row>
    <row r="267" spans="11:20" ht="20.149999999999999" customHeight="1" x14ac:dyDescent="0.35">
      <c r="K267" s="36">
        <f>B29</f>
        <v>2.2000000000000002</v>
      </c>
      <c r="L267" s="37">
        <f>C29</f>
        <v>63.1</v>
      </c>
      <c r="M267" s="38">
        <f>IF(OR(K267="",L267=""),"",IF(N271&lt;&gt;"",N271,IF(OR(M271&lt;&gt;"",N270&lt;&gt;"",O271&lt;&gt;"",N272&lt;&gt;""),MIN(M271,N270,O271,N272),MIN(M270:O272))))</f>
        <v>134.89439999999999</v>
      </c>
      <c r="Q267" s="15">
        <v>10</v>
      </c>
      <c r="R267" s="15">
        <v>200</v>
      </c>
      <c r="S267" s="16" t="s">
        <v>29</v>
      </c>
      <c r="T267" s="17">
        <v>138.6</v>
      </c>
    </row>
    <row r="268" spans="11:20" ht="20.149999999999999" customHeight="1" x14ac:dyDescent="0.35">
      <c r="L268" s="28" t="s">
        <v>11</v>
      </c>
      <c r="N268" s="39" t="s">
        <v>32</v>
      </c>
      <c r="Q268" s="15">
        <v>11</v>
      </c>
      <c r="R268" s="15">
        <v>200</v>
      </c>
      <c r="S268" s="16" t="s">
        <v>29</v>
      </c>
      <c r="T268" s="17">
        <v>148.19999999999999</v>
      </c>
    </row>
    <row r="269" spans="11:20" ht="20.149999999999999" customHeight="1" x14ac:dyDescent="0.35">
      <c r="L269" s="26"/>
      <c r="M269" s="26">
        <f>IF(N269&gt;=350,350,IF(N269&gt;=325,325,IF(N269&gt;=300,300,IF(N269&gt;=275,275,IF(N269&gt;=250,250,IF(N269&gt;=225,225,IF(N269&gt;=200,200,IF(N269&gt;=175,175,IF(N269&gt;=150,150,IF(N269&gt;=125,125,IF(N269&gt;=100,100,IF(N269&gt;=75,75,50))))))))))))</f>
        <v>50</v>
      </c>
      <c r="N269" s="37">
        <f>L267</f>
        <v>63.1</v>
      </c>
      <c r="O269" s="26">
        <f>IF(N269&lt;=50,50,IF(N269&lt;=75,75,IF(N269&lt;=100,100,IF(N269&lt;=125,125,IF(N269&lt;=150,150,IF(N269&lt;=175,175,IF(N269&lt;=200,200,IF(N269&lt;=225,225,IF(N269&lt;=250,250,IF(N269&lt;=275,275,IF(N269&lt;=300,300,IF(N269&lt;=325,325,350))))))))))))</f>
        <v>75</v>
      </c>
      <c r="Q269" s="15">
        <v>12</v>
      </c>
      <c r="R269" s="15">
        <v>200</v>
      </c>
      <c r="S269" s="16" t="s">
        <v>29</v>
      </c>
      <c r="T269" s="17">
        <v>154.79999999999998</v>
      </c>
    </row>
    <row r="270" spans="11:20" ht="20.149999999999999" customHeight="1" x14ac:dyDescent="0.35">
      <c r="L270" s="26">
        <f>IF(L271&gt;=0,ROUNDDOWN(L271,0),ROUNDUP(L271,0))</f>
        <v>2</v>
      </c>
      <c r="M270" s="40">
        <f>IF(M269=350,VLOOKUP($L270,$Q$454:$T$478,4),IF(M269=325,VLOOKUP(L270,$Q$426:$T$453,4),IF(M269=300,VLOOKUP(L270,$Q$395:$T$425,4),IF(M269=275,VLOOKUP(L270,$Q$362:$T$394,4),IF(M269=250,VLOOKUP(L270,$Q$329:$T$361,4),IF(M269=225,VLOOKUP(L270,$Q$294:$T$328,4),IF(M269=200,VLOOKUP(L270,$Q$258:$T$293,4),IF(M269=175,VLOOKUP(L270,$Q$224:$T$257,4),IF(M269=150,VLOOKUP(L270,$Q$179:$T$222,4),IF(M269=125,VLOOKUP(L270,$Q$128:$T$177,4),IF(M269=100,VLOOKUP(L270,$Q$83:$T$126,4),IF(M269=75,VLOOKUP(L270,$Q$41:$T$81,4),IF(M269=50,VLOOKUP(L270,$Q$2:$T$39,4))))))))))))))</f>
        <v>140.4</v>
      </c>
      <c r="N270" s="41">
        <f>IFERROR((N269-M269)/(O269-M269)*(O270-M270)+M270,"")</f>
        <v>132.8544</v>
      </c>
      <c r="O270" s="40">
        <f>IF(O269=350,VLOOKUP($L270,$Q$454:$T$478,4),IF(O269=325,VLOOKUP($L270,$Q$426:$T$453,4),IF(O269=300,VLOOKUP($L270,$Q$395:$T$425,4),IF(O269=275,VLOOKUP($L270,$Q$362:$T$394,4),IF(O269=250,VLOOKUP($L270,$Q$329:$T$361,4),IF(O269=225,VLOOKUP($L270,$Q$294:$T$328,4),IF(O269=200,VLOOKUP($L270,$Q$258:$T$293,4),IF(O269=175,VLOOKUP($L270,$Q$224:$T$257,4),IF(O269=150,VLOOKUP($L270,$Q$179:$T$222,4),IF(O269=125,VLOOKUP($L270,$Q$128:$T$177,4),IF(O269=100,VLOOKUP($L270,$Q$83:$T$126,4),IF(O269=75,VLOOKUP($L270,$Q$41:$T$81,4),IF(O269=50,VLOOKUP($L270,$Q$2:$T$39,4))))))))))))))</f>
        <v>126</v>
      </c>
      <c r="Q270" s="15">
        <v>13</v>
      </c>
      <c r="R270" s="15">
        <v>200</v>
      </c>
      <c r="S270" s="16" t="s">
        <v>29</v>
      </c>
      <c r="T270" s="17">
        <v>168.6</v>
      </c>
    </row>
    <row r="271" spans="11:20" ht="20.149999999999999" customHeight="1" x14ac:dyDescent="0.35">
      <c r="K271" s="42" t="s">
        <v>33</v>
      </c>
      <c r="L271" s="36">
        <f>K267</f>
        <v>2.2000000000000002</v>
      </c>
      <c r="M271" s="41">
        <f>IFERROR((L271-L270)/(L272-L270)*(M272-M270)+M270,"")</f>
        <v>142.44</v>
      </c>
      <c r="N271" s="38">
        <f>IFERROR((N269-O269)/(M269-O269)*(M271-O271)+O271,"")</f>
        <v>134.89439999999999</v>
      </c>
      <c r="O271" s="41">
        <f>IFERROR((L271-L270)/(L272-L270)*(O272-O270)+O270,"")</f>
        <v>128.04</v>
      </c>
      <c r="Q271" s="15">
        <v>14</v>
      </c>
      <c r="R271" s="15">
        <v>200</v>
      </c>
      <c r="S271" s="16" t="s">
        <v>29</v>
      </c>
      <c r="T271" s="17">
        <v>178.2</v>
      </c>
    </row>
    <row r="272" spans="11:20" ht="20.149999999999999" customHeight="1" x14ac:dyDescent="0.35">
      <c r="L272" s="26">
        <f>IF(L271&gt;=0,ROUNDUP(L271,0),ROUNDDOWN(L271,0))</f>
        <v>3</v>
      </c>
      <c r="M272" s="40">
        <f>IF(M269=350,VLOOKUP($L272,$Q$454:$T$478,4),IF(M269=325,VLOOKUP(L272,$Q$426:$T$453,4),IF(M269=300,VLOOKUP(L272,$Q$395:$T$425,4),IF(M269=275,VLOOKUP(L272,$Q$362:$T$394,4),IF(M269=250,VLOOKUP(L272,$Q$329:$T$361,4),IF(M269=225,VLOOKUP(L272,$Q$294:$T$328,4),IF(M269=200,VLOOKUP(L272,$Q$258:$T$293,4),IF(M269=175,VLOOKUP(L272,$Q$224:$T$257,4),IF(M269=150,VLOOKUP(L272,$Q$179:$T$222,4),IF(M269=125,VLOOKUP(L272,$Q$128:$T$177,4),IF(M269=100,VLOOKUP(L272,$Q$83:$T$126,4),IF(M269=75,VLOOKUP(L272,$Q$41:$T$81,4),IF(M269=50,VLOOKUP(L272,$Q$2:$T$39,4))))))))))))))</f>
        <v>150.6</v>
      </c>
      <c r="N272" s="41">
        <f>IFERROR((N269-M269)/(O269-M269)*(O272-M272)+M272,"")</f>
        <v>143.05439999999999</v>
      </c>
      <c r="O272" s="40">
        <f>IF(O269=350,VLOOKUP($L272,$Q$454:$T$478,4),IF(O269=325,VLOOKUP($L272,$Q$426:$T$453,4),IF(O269=300,VLOOKUP($L272,$Q$395:$T$425,4),IF(O269=275,VLOOKUP($L272,$Q$362:$T$394,4),IF(O269=250,VLOOKUP($L272,$Q$329:$T$361,4),IF(O269=225,VLOOKUP($L272,$Q$294:$T$328,4),IF(O269=200,VLOOKUP($L272,$Q$258:$T$293,4),IF(O269=175,VLOOKUP($L272,$Q$224:$T$257,4),IF(O269=150,VLOOKUP($L272,$Q$179:$T$222,4),IF(O269=125,VLOOKUP($L272,$Q$128:$T$177,4),IF(O269=100,VLOOKUP($L272,$Q$83:$T$126,4),IF(O269=75,VLOOKUP($L272,$Q$41:$T$81,4),IF(O269=50,VLOOKUP($L272,$Q$2:$T$39,4))))))))))))))</f>
        <v>136.19999999999999</v>
      </c>
      <c r="Q272" s="15">
        <v>16</v>
      </c>
      <c r="R272" s="15">
        <v>200</v>
      </c>
      <c r="S272" s="16" t="s">
        <v>37</v>
      </c>
      <c r="T272" s="17">
        <v>173.4</v>
      </c>
    </row>
    <row r="273" spans="11:20" ht="20.149999999999999" customHeight="1" x14ac:dyDescent="0.35">
      <c r="Q273" s="15">
        <v>17</v>
      </c>
      <c r="R273" s="15">
        <v>200</v>
      </c>
      <c r="S273" s="16" t="s">
        <v>37</v>
      </c>
      <c r="T273" s="17">
        <v>183.6</v>
      </c>
    </row>
    <row r="274" spans="11:20" ht="20.149999999999999" customHeight="1" x14ac:dyDescent="0.35">
      <c r="Q274" s="15">
        <v>18</v>
      </c>
      <c r="R274" s="15">
        <v>200</v>
      </c>
      <c r="S274" s="16" t="s">
        <v>37</v>
      </c>
      <c r="T274" s="17">
        <v>193.79999999999998</v>
      </c>
    </row>
    <row r="275" spans="11:20" ht="20.149999999999999" customHeight="1" x14ac:dyDescent="0.35">
      <c r="K275" s="14">
        <v>28</v>
      </c>
      <c r="L275" s="11"/>
      <c r="M275" s="11"/>
      <c r="Q275" s="15">
        <v>20</v>
      </c>
      <c r="R275" s="15">
        <v>200</v>
      </c>
      <c r="S275" s="16" t="s">
        <v>38</v>
      </c>
      <c r="T275" s="17">
        <v>189</v>
      </c>
    </row>
    <row r="276" spans="11:20" ht="20.149999999999999" customHeight="1" x14ac:dyDescent="0.35">
      <c r="K276" s="27" t="s">
        <v>30</v>
      </c>
      <c r="L276" s="27" t="s">
        <v>31</v>
      </c>
      <c r="M276" s="27" t="s">
        <v>17</v>
      </c>
      <c r="Q276" s="15">
        <v>21</v>
      </c>
      <c r="R276" s="15">
        <v>200</v>
      </c>
      <c r="S276" s="16" t="s">
        <v>38</v>
      </c>
      <c r="T276" s="17">
        <v>199.2</v>
      </c>
    </row>
    <row r="277" spans="11:20" ht="20.149999999999999" customHeight="1" x14ac:dyDescent="0.35">
      <c r="K277" s="36">
        <f>B30</f>
        <v>2.2999999999999998</v>
      </c>
      <c r="L277" s="37">
        <f>C30</f>
        <v>64.099999999999994</v>
      </c>
      <c r="M277" s="38">
        <f>IF(OR(K277="",L277=""),"",IF(N281&lt;&gt;"",N281,IF(OR(M281&lt;&gt;"",N280&lt;&gt;"",O281&lt;&gt;"",N282&lt;&gt;""),MIN(M281,N280,O281,N282),MIN(M280:O282))))</f>
        <v>135.33840000000001</v>
      </c>
      <c r="Q277" s="15">
        <v>22</v>
      </c>
      <c r="R277" s="15">
        <v>200</v>
      </c>
      <c r="S277" s="16" t="s">
        <v>38</v>
      </c>
      <c r="T277" s="17">
        <v>209.4</v>
      </c>
    </row>
    <row r="278" spans="11:20" ht="20.149999999999999" customHeight="1" x14ac:dyDescent="0.35">
      <c r="L278" s="28" t="s">
        <v>11</v>
      </c>
      <c r="N278" s="39" t="s">
        <v>32</v>
      </c>
      <c r="Q278" s="15">
        <v>24</v>
      </c>
      <c r="R278" s="15">
        <v>200</v>
      </c>
      <c r="S278" s="16" t="s">
        <v>39</v>
      </c>
      <c r="T278" s="17">
        <v>209.4</v>
      </c>
    </row>
    <row r="279" spans="11:20" ht="20.149999999999999" customHeight="1" x14ac:dyDescent="0.35">
      <c r="L279" s="26"/>
      <c r="M279" s="26">
        <f>IF(N279&gt;=350,350,IF(N279&gt;=325,325,IF(N279&gt;=300,300,IF(N279&gt;=275,275,IF(N279&gt;=250,250,IF(N279&gt;=225,225,IF(N279&gt;=200,200,IF(N279&gt;=175,175,IF(N279&gt;=150,150,IF(N279&gt;=125,125,IF(N279&gt;=100,100,IF(N279&gt;=75,75,50))))))))))))</f>
        <v>50</v>
      </c>
      <c r="N279" s="37">
        <f>L277</f>
        <v>64.099999999999994</v>
      </c>
      <c r="O279" s="26">
        <f>IF(N279&lt;=50,50,IF(N279&lt;=75,75,IF(N279&lt;=100,100,IF(N279&lt;=125,125,IF(N279&lt;=150,150,IF(N279&lt;=175,175,IF(N279&lt;=200,200,IF(N279&lt;=225,225,IF(N279&lt;=250,250,IF(N279&lt;=275,275,IF(N279&lt;=300,300,IF(N279&lt;=325,325,350))))))))))))</f>
        <v>75</v>
      </c>
      <c r="Q279" s="15">
        <v>25</v>
      </c>
      <c r="R279" s="15">
        <v>200</v>
      </c>
      <c r="S279" s="16" t="s">
        <v>39</v>
      </c>
      <c r="T279" s="17">
        <v>217.2</v>
      </c>
    </row>
    <row r="280" spans="11:20" ht="20.149999999999999" customHeight="1" x14ac:dyDescent="0.35">
      <c r="L280" s="26">
        <f>IF(L281&gt;=0,ROUNDDOWN(L281,0),ROUNDUP(L281,0))</f>
        <v>2</v>
      </c>
      <c r="M280" s="40">
        <f>IF(M279=350,VLOOKUP($L280,$Q$454:$T$478,4),IF(M279=325,VLOOKUP(L280,$Q$426:$T$453,4),IF(M279=300,VLOOKUP(L280,$Q$395:$T$425,4),IF(M279=275,VLOOKUP(L280,$Q$362:$T$394,4),IF(M279=250,VLOOKUP(L280,$Q$329:$T$361,4),IF(M279=225,VLOOKUP(L280,$Q$294:$T$328,4),IF(M279=200,VLOOKUP(L280,$Q$258:$T$293,4),IF(M279=175,VLOOKUP(L280,$Q$224:$T$257,4),IF(M279=150,VLOOKUP(L280,$Q$179:$T$222,4),IF(M279=125,VLOOKUP(L280,$Q$128:$T$177,4),IF(M279=100,VLOOKUP(L280,$Q$83:$T$126,4),IF(M279=75,VLOOKUP(L280,$Q$41:$T$81,4),IF(M279=50,VLOOKUP(L280,$Q$2:$T$39,4))))))))))))))</f>
        <v>140.4</v>
      </c>
      <c r="N280" s="41">
        <f>IFERROR((N279-M279)/(O279-M279)*(O280-M280)+M280,"")</f>
        <v>132.2784</v>
      </c>
      <c r="O280" s="40">
        <f>IF(O279=350,VLOOKUP($L280,$Q$454:$T$478,4),IF(O279=325,VLOOKUP($L280,$Q$426:$T$453,4),IF(O279=300,VLOOKUP($L280,$Q$395:$T$425,4),IF(O279=275,VLOOKUP($L280,$Q$362:$T$394,4),IF(O279=250,VLOOKUP($L280,$Q$329:$T$361,4),IF(O279=225,VLOOKUP($L280,$Q$294:$T$328,4),IF(O279=200,VLOOKUP($L280,$Q$258:$T$293,4),IF(O279=175,VLOOKUP($L280,$Q$224:$T$257,4),IF(O279=150,VLOOKUP($L280,$Q$179:$T$222,4),IF(O279=125,VLOOKUP($L280,$Q$128:$T$177,4),IF(O279=100,VLOOKUP($L280,$Q$83:$T$126,4),IF(O279=75,VLOOKUP($L280,$Q$41:$T$81,4),IF(O279=50,VLOOKUP($L280,$Q$2:$T$39,4))))))))))))))</f>
        <v>126</v>
      </c>
      <c r="Q280" s="15">
        <v>26</v>
      </c>
      <c r="R280" s="15">
        <v>200</v>
      </c>
      <c r="S280" s="16" t="s">
        <v>39</v>
      </c>
      <c r="T280" s="17">
        <v>225</v>
      </c>
    </row>
    <row r="281" spans="11:20" ht="20.149999999999999" customHeight="1" x14ac:dyDescent="0.35">
      <c r="K281" s="42" t="s">
        <v>33</v>
      </c>
      <c r="L281" s="36">
        <f>K277</f>
        <v>2.2999999999999998</v>
      </c>
      <c r="M281" s="41">
        <f>IFERROR((L281-L280)/(L282-L280)*(M282-M280)+M280,"")</f>
        <v>143.46</v>
      </c>
      <c r="N281" s="38">
        <f>IFERROR((N279-O279)/(M279-O279)*(M281-O281)+O281,"")</f>
        <v>135.33840000000001</v>
      </c>
      <c r="O281" s="41">
        <f>IFERROR((L281-L280)/(L282-L280)*(O282-O280)+O280,"")</f>
        <v>129.06</v>
      </c>
      <c r="Q281" s="15">
        <v>28</v>
      </c>
      <c r="R281" s="15">
        <v>200</v>
      </c>
      <c r="S281" s="16" t="s">
        <v>40</v>
      </c>
      <c r="T281" s="17">
        <v>221.4</v>
      </c>
    </row>
    <row r="282" spans="11:20" ht="20.149999999999999" customHeight="1" x14ac:dyDescent="0.35">
      <c r="L282" s="26">
        <f>IF(L281&gt;=0,ROUNDUP(L281,0),ROUNDDOWN(L281,0))</f>
        <v>3</v>
      </c>
      <c r="M282" s="40">
        <f>IF(M279=350,VLOOKUP($L282,$Q$454:$T$478,4),IF(M279=325,VLOOKUP(L282,$Q$426:$T$453,4),IF(M279=300,VLOOKUP(L282,$Q$395:$T$425,4),IF(M279=275,VLOOKUP(L282,$Q$362:$T$394,4),IF(M279=250,VLOOKUP(L282,$Q$329:$T$361,4),IF(M279=225,VLOOKUP(L282,$Q$294:$T$328,4),IF(M279=200,VLOOKUP(L282,$Q$258:$T$293,4),IF(M279=175,VLOOKUP(L282,$Q$224:$T$257,4),IF(M279=150,VLOOKUP(L282,$Q$179:$T$222,4),IF(M279=125,VLOOKUP(L282,$Q$128:$T$177,4),IF(M279=100,VLOOKUP(L282,$Q$83:$T$126,4),IF(M279=75,VLOOKUP(L282,$Q$41:$T$81,4),IF(M279=50,VLOOKUP(L282,$Q$2:$T$39,4))))))))))))))</f>
        <v>150.6</v>
      </c>
      <c r="N282" s="41">
        <f>IFERROR((N279-M279)/(O279-M279)*(O282-M282)+M282,"")</f>
        <v>142.47839999999999</v>
      </c>
      <c r="O282" s="40">
        <f>IF(O279=350,VLOOKUP($L282,$Q$454:$T$478,4),IF(O279=325,VLOOKUP($L282,$Q$426:$T$453,4),IF(O279=300,VLOOKUP($L282,$Q$395:$T$425,4),IF(O279=275,VLOOKUP($L282,$Q$362:$T$394,4),IF(O279=250,VLOOKUP($L282,$Q$329:$T$361,4),IF(O279=225,VLOOKUP($L282,$Q$294:$T$328,4),IF(O279=200,VLOOKUP($L282,$Q$258:$T$293,4),IF(O279=175,VLOOKUP($L282,$Q$224:$T$257,4),IF(O279=150,VLOOKUP($L282,$Q$179:$T$222,4),IF(O279=125,VLOOKUP($L282,$Q$128:$T$177,4),IF(O279=100,VLOOKUP($L282,$Q$83:$T$126,4),IF(O279=75,VLOOKUP($L282,$Q$41:$T$81,4),IF(O279=50,VLOOKUP($L282,$Q$2:$T$39,4))))))))))))))</f>
        <v>136.19999999999999</v>
      </c>
      <c r="Q282" s="15">
        <v>29</v>
      </c>
      <c r="R282" s="15">
        <v>200</v>
      </c>
      <c r="S282" s="16" t="s">
        <v>40</v>
      </c>
      <c r="T282" s="17">
        <v>229.2</v>
      </c>
    </row>
    <row r="283" spans="11:20" ht="20.149999999999999" customHeight="1" x14ac:dyDescent="0.35">
      <c r="Q283" s="15">
        <v>30</v>
      </c>
      <c r="R283" s="15">
        <v>200</v>
      </c>
      <c r="S283" s="16" t="s">
        <v>40</v>
      </c>
      <c r="T283" s="17">
        <v>237</v>
      </c>
    </row>
    <row r="284" spans="11:20" ht="20.149999999999999" customHeight="1" x14ac:dyDescent="0.35">
      <c r="Q284" s="15">
        <v>32</v>
      </c>
      <c r="R284" s="15">
        <v>200</v>
      </c>
      <c r="S284" s="16" t="s">
        <v>41</v>
      </c>
      <c r="T284" s="17">
        <v>234</v>
      </c>
    </row>
    <row r="285" spans="11:20" ht="20.149999999999999" customHeight="1" x14ac:dyDescent="0.35">
      <c r="K285" s="14">
        <v>29</v>
      </c>
      <c r="L285" s="11"/>
      <c r="M285" s="11"/>
      <c r="Q285" s="15">
        <v>33</v>
      </c>
      <c r="R285" s="15">
        <v>200</v>
      </c>
      <c r="S285" s="16" t="s">
        <v>41</v>
      </c>
      <c r="T285" s="17">
        <v>241.79999999999998</v>
      </c>
    </row>
    <row r="286" spans="11:20" ht="20.149999999999999" customHeight="1" x14ac:dyDescent="0.35">
      <c r="K286" s="27" t="s">
        <v>30</v>
      </c>
      <c r="L286" s="27" t="s">
        <v>31</v>
      </c>
      <c r="M286" s="27" t="s">
        <v>17</v>
      </c>
      <c r="Q286" s="15">
        <v>34</v>
      </c>
      <c r="R286" s="15">
        <v>200</v>
      </c>
      <c r="S286" s="16" t="s">
        <v>41</v>
      </c>
      <c r="T286" s="17">
        <v>249.6</v>
      </c>
    </row>
    <row r="287" spans="11:20" ht="20.149999999999999" customHeight="1" x14ac:dyDescent="0.35">
      <c r="K287" s="36">
        <f>B31</f>
        <v>2.8</v>
      </c>
      <c r="L287" s="37">
        <f>C31</f>
        <v>65</v>
      </c>
      <c r="M287" s="38">
        <f>IF(OR(K287="",L287=""),"",IF(N291&lt;&gt;"",N291,IF(OR(M291&lt;&gt;"",N290&lt;&gt;"",O291&lt;&gt;"",N292&lt;&gt;""),MIN(M291,N290,O291,N292),MIN(M290:O292))))</f>
        <v>139.91999999999999</v>
      </c>
      <c r="Q287" s="15">
        <v>35</v>
      </c>
      <c r="R287" s="15">
        <v>200</v>
      </c>
      <c r="S287" s="16" t="s">
        <v>41</v>
      </c>
      <c r="T287" s="17">
        <v>257.39999999999998</v>
      </c>
    </row>
    <row r="288" spans="11:20" ht="20.149999999999999" customHeight="1" x14ac:dyDescent="0.35">
      <c r="L288" s="28" t="s">
        <v>11</v>
      </c>
      <c r="N288" s="39" t="s">
        <v>32</v>
      </c>
      <c r="Q288" s="15">
        <v>45</v>
      </c>
      <c r="R288" s="15">
        <v>200</v>
      </c>
      <c r="S288" s="16" t="s">
        <v>42</v>
      </c>
      <c r="T288" s="17">
        <v>258.59999999999997</v>
      </c>
    </row>
    <row r="289" spans="11:20" ht="20.149999999999999" customHeight="1" x14ac:dyDescent="0.35">
      <c r="L289" s="26"/>
      <c r="M289" s="26">
        <f>IF(N289&gt;=350,350,IF(N289&gt;=325,325,IF(N289&gt;=300,300,IF(N289&gt;=275,275,IF(N289&gt;=250,250,IF(N289&gt;=225,225,IF(N289&gt;=200,200,IF(N289&gt;=175,175,IF(N289&gt;=150,150,IF(N289&gt;=125,125,IF(N289&gt;=100,100,IF(N289&gt;=75,75,50))))))))))))</f>
        <v>50</v>
      </c>
      <c r="N289" s="37">
        <f>L287</f>
        <v>65</v>
      </c>
      <c r="O289" s="26">
        <f>IF(N289&lt;=50,50,IF(N289&lt;=75,75,IF(N289&lt;=100,100,IF(N289&lt;=125,125,IF(N289&lt;=150,150,IF(N289&lt;=175,175,IF(N289&lt;=200,200,IF(N289&lt;=225,225,IF(N289&lt;=250,250,IF(N289&lt;=275,275,IF(N289&lt;=300,300,IF(N289&lt;=325,325,350))))))))))))</f>
        <v>75</v>
      </c>
      <c r="Q289" s="15">
        <v>46</v>
      </c>
      <c r="R289" s="15">
        <v>200</v>
      </c>
      <c r="S289" s="16" t="s">
        <v>42</v>
      </c>
      <c r="T289" s="17">
        <v>264</v>
      </c>
    </row>
    <row r="290" spans="11:20" ht="20.149999999999999" customHeight="1" x14ac:dyDescent="0.35">
      <c r="L290" s="26">
        <f>IF(L291&gt;=0,ROUNDDOWN(L291,0),ROUNDUP(L291,0))</f>
        <v>2</v>
      </c>
      <c r="M290" s="40">
        <f>IF(M289=350,VLOOKUP($L290,$Q$454:$T$478,4),IF(M289=325,VLOOKUP(L290,$Q$426:$T$453,4),IF(M289=300,VLOOKUP(L290,$Q$395:$T$425,4),IF(M289=275,VLOOKUP(L290,$Q$362:$T$394,4),IF(M289=250,VLOOKUP(L290,$Q$329:$T$361,4),IF(M289=225,VLOOKUP(L290,$Q$294:$T$328,4),IF(M289=200,VLOOKUP(L290,$Q$258:$T$293,4),IF(M289=175,VLOOKUP(L290,$Q$224:$T$257,4),IF(M289=150,VLOOKUP(L290,$Q$179:$T$222,4),IF(M289=125,VLOOKUP(L290,$Q$128:$T$177,4),IF(M289=100,VLOOKUP(L290,$Q$83:$T$126,4),IF(M289=75,VLOOKUP(L290,$Q$41:$T$81,4),IF(M289=50,VLOOKUP(L290,$Q$2:$T$39,4))))))))))))))</f>
        <v>140.4</v>
      </c>
      <c r="N290" s="41">
        <f>IFERROR((N289-M289)/(O289-M289)*(O290-M290)+M290,"")</f>
        <v>131.76</v>
      </c>
      <c r="O290" s="40">
        <f>IF(O289=350,VLOOKUP($L290,$Q$454:$T$478,4),IF(O289=325,VLOOKUP($L290,$Q$426:$T$453,4),IF(O289=300,VLOOKUP($L290,$Q$395:$T$425,4),IF(O289=275,VLOOKUP($L290,$Q$362:$T$394,4),IF(O289=250,VLOOKUP($L290,$Q$329:$T$361,4),IF(O289=225,VLOOKUP($L290,$Q$294:$T$328,4),IF(O289=200,VLOOKUP($L290,$Q$258:$T$293,4),IF(O289=175,VLOOKUP($L290,$Q$224:$T$257,4),IF(O289=150,VLOOKUP($L290,$Q$179:$T$222,4),IF(O289=125,VLOOKUP($L290,$Q$128:$T$177,4),IF(O289=100,VLOOKUP($L290,$Q$83:$T$126,4),IF(O289=75,VLOOKUP($L290,$Q$41:$T$81,4),IF(O289=50,VLOOKUP($L290,$Q$2:$T$39,4))))))))))))))</f>
        <v>126</v>
      </c>
      <c r="Q290" s="15">
        <v>47</v>
      </c>
      <c r="R290" s="15">
        <v>200</v>
      </c>
      <c r="S290" s="16" t="s">
        <v>42</v>
      </c>
      <c r="T290" s="17">
        <v>269.39999999999998</v>
      </c>
    </row>
    <row r="291" spans="11:20" ht="20.149999999999999" customHeight="1" x14ac:dyDescent="0.35">
      <c r="K291" s="42" t="s">
        <v>33</v>
      </c>
      <c r="L291" s="36">
        <f>K287</f>
        <v>2.8</v>
      </c>
      <c r="M291" s="41">
        <f>IFERROR((L291-L290)/(L292-L290)*(M292-M290)+M290,"")</f>
        <v>148.56</v>
      </c>
      <c r="N291" s="38">
        <f>IFERROR((N289-O289)/(M289-O289)*(M291-O291)+O291,"")</f>
        <v>139.91999999999999</v>
      </c>
      <c r="O291" s="41">
        <f>IFERROR((L291-L290)/(L292-L290)*(O292-O290)+O290,"")</f>
        <v>134.16</v>
      </c>
      <c r="Q291" s="15">
        <v>48</v>
      </c>
      <c r="R291" s="15">
        <v>200</v>
      </c>
      <c r="S291" s="16" t="s">
        <v>42</v>
      </c>
      <c r="T291" s="17">
        <v>274.8</v>
      </c>
    </row>
    <row r="292" spans="11:20" ht="20.149999999999999" customHeight="1" x14ac:dyDescent="0.35">
      <c r="L292" s="26">
        <f>IF(L291&gt;=0,ROUNDUP(L291,0),ROUNDDOWN(L291,0))</f>
        <v>3</v>
      </c>
      <c r="M292" s="40">
        <f>IF(M289=350,VLOOKUP($L292,$Q$454:$T$478,4),IF(M289=325,VLOOKUP(L292,$Q$426:$T$453,4),IF(M289=300,VLOOKUP(L292,$Q$395:$T$425,4),IF(M289=275,VLOOKUP(L292,$Q$362:$T$394,4),IF(M289=250,VLOOKUP(L292,$Q$329:$T$361,4),IF(M289=225,VLOOKUP(L292,$Q$294:$T$328,4),IF(M289=200,VLOOKUP(L292,$Q$258:$T$293,4),IF(M289=175,VLOOKUP(L292,$Q$224:$T$257,4),IF(M289=150,VLOOKUP(L292,$Q$179:$T$222,4),IF(M289=125,VLOOKUP(L292,$Q$128:$T$177,4),IF(M289=100,VLOOKUP(L292,$Q$83:$T$126,4),IF(M289=75,VLOOKUP(L292,$Q$41:$T$81,4),IF(M289=50,VLOOKUP(L292,$Q$2:$T$39,4))))))))))))))</f>
        <v>150.6</v>
      </c>
      <c r="N292" s="41">
        <f>IFERROR((N289-M289)/(O289-M289)*(O292-M292)+M292,"")</f>
        <v>141.95999999999998</v>
      </c>
      <c r="O292" s="40">
        <f>IF(O289=350,VLOOKUP($L292,$Q$454:$T$478,4),IF(O289=325,VLOOKUP($L292,$Q$426:$T$453,4),IF(O289=300,VLOOKUP($L292,$Q$395:$T$425,4),IF(O289=275,VLOOKUP($L292,$Q$362:$T$394,4),IF(O289=250,VLOOKUP($L292,$Q$329:$T$361,4),IF(O289=225,VLOOKUP($L292,$Q$294:$T$328,4),IF(O289=200,VLOOKUP($L292,$Q$258:$T$293,4),IF(O289=175,VLOOKUP($L292,$Q$224:$T$257,4),IF(O289=150,VLOOKUP($L292,$Q$179:$T$222,4),IF(O289=125,VLOOKUP($L292,$Q$128:$T$177,4),IF(O289=100,VLOOKUP($L292,$Q$83:$T$126,4),IF(O289=75,VLOOKUP($L292,$Q$41:$T$81,4),IF(O289=50,VLOOKUP($L292,$Q$2:$T$39,4))))))))))))))</f>
        <v>136.19999999999999</v>
      </c>
      <c r="Q292" s="15">
        <v>49</v>
      </c>
      <c r="R292" s="15">
        <v>200</v>
      </c>
      <c r="S292" s="16" t="s">
        <v>42</v>
      </c>
      <c r="T292" s="17">
        <v>280.2</v>
      </c>
    </row>
    <row r="293" spans="11:20" ht="20.149999999999999" customHeight="1" x14ac:dyDescent="0.35">
      <c r="Q293" s="15">
        <v>50</v>
      </c>
      <c r="R293" s="15">
        <v>200</v>
      </c>
      <c r="S293" s="16" t="s">
        <v>42</v>
      </c>
      <c r="T293" s="17">
        <v>286.2</v>
      </c>
    </row>
    <row r="294" spans="11:20" ht="20.149999999999999" customHeight="1" x14ac:dyDescent="0.35">
      <c r="Q294" s="15">
        <v>3</v>
      </c>
      <c r="R294" s="15">
        <v>225</v>
      </c>
      <c r="S294" s="16" t="s">
        <v>29</v>
      </c>
      <c r="T294" s="17">
        <v>56.4</v>
      </c>
    </row>
    <row r="295" spans="11:20" ht="20.149999999999999" customHeight="1" x14ac:dyDescent="0.35">
      <c r="K295" s="14">
        <v>30</v>
      </c>
      <c r="L295" s="11"/>
      <c r="M295" s="11"/>
      <c r="Q295" s="15">
        <v>4</v>
      </c>
      <c r="R295" s="15">
        <v>225</v>
      </c>
      <c r="S295" s="16" t="s">
        <v>29</v>
      </c>
      <c r="T295" s="17">
        <v>66</v>
      </c>
    </row>
    <row r="296" spans="11:20" ht="20.149999999999999" customHeight="1" x14ac:dyDescent="0.35">
      <c r="K296" s="27" t="s">
        <v>30</v>
      </c>
      <c r="L296" s="27" t="s">
        <v>31</v>
      </c>
      <c r="M296" s="27" t="s">
        <v>17</v>
      </c>
      <c r="Q296" s="15">
        <v>5</v>
      </c>
      <c r="R296" s="15">
        <v>225</v>
      </c>
      <c r="S296" s="16" t="s">
        <v>29</v>
      </c>
      <c r="T296" s="17">
        <v>75.599999999999994</v>
      </c>
    </row>
    <row r="297" spans="11:20" ht="20.149999999999999" customHeight="1" x14ac:dyDescent="0.35">
      <c r="K297" s="36">
        <f>B32</f>
        <v>1.4</v>
      </c>
      <c r="L297" s="37">
        <f>C32</f>
        <v>61.1</v>
      </c>
      <c r="M297" s="38">
        <f>IF(OR(K297="",L297=""),"",IF(N301&lt;&gt;"",N301,IF(OR(M301&lt;&gt;"",N300&lt;&gt;"",O301&lt;&gt;"",N302&lt;&gt;""),MIN(M301,N300,O301,N302),MIN(M300:O302))))</f>
        <v>127.88639999999999</v>
      </c>
      <c r="Q297" s="15">
        <v>6</v>
      </c>
      <c r="R297" s="15">
        <v>225</v>
      </c>
      <c r="S297" s="16" t="s">
        <v>29</v>
      </c>
      <c r="T297" s="17">
        <v>85.8</v>
      </c>
    </row>
    <row r="298" spans="11:20" ht="20.149999999999999" customHeight="1" x14ac:dyDescent="0.35">
      <c r="L298" s="28" t="s">
        <v>11</v>
      </c>
      <c r="N298" s="39" t="s">
        <v>32</v>
      </c>
      <c r="Q298" s="15">
        <v>7</v>
      </c>
      <c r="R298" s="15">
        <v>225</v>
      </c>
      <c r="S298" s="16" t="s">
        <v>29</v>
      </c>
      <c r="T298" s="17">
        <v>95.399999999999991</v>
      </c>
    </row>
    <row r="299" spans="11:20" ht="20.149999999999999" customHeight="1" x14ac:dyDescent="0.35">
      <c r="L299" s="26"/>
      <c r="M299" s="26">
        <f>IF(N299&gt;=350,350,IF(N299&gt;=325,325,IF(N299&gt;=300,300,IF(N299&gt;=275,275,IF(N299&gt;=250,250,IF(N299&gt;=225,225,IF(N299&gt;=200,200,IF(N299&gt;=175,175,IF(N299&gt;=150,150,IF(N299&gt;=125,125,IF(N299&gt;=100,100,IF(N299&gt;=75,75,50))))))))))))</f>
        <v>50</v>
      </c>
      <c r="N299" s="37">
        <f>L297</f>
        <v>61.1</v>
      </c>
      <c r="O299" s="26">
        <f>IF(N299&lt;=50,50,IF(N299&lt;=75,75,IF(N299&lt;=100,100,IF(N299&lt;=125,125,IF(N299&lt;=150,150,IF(N299&lt;=175,175,IF(N299&lt;=200,200,IF(N299&lt;=225,225,IF(N299&lt;=250,250,IF(N299&lt;=275,275,IF(N299&lt;=300,300,IF(N299&lt;=325,325,350))))))))))))</f>
        <v>75</v>
      </c>
      <c r="Q299" s="15">
        <v>8</v>
      </c>
      <c r="R299" s="15">
        <v>225</v>
      </c>
      <c r="S299" s="16" t="s">
        <v>29</v>
      </c>
      <c r="T299" s="17">
        <v>105.6</v>
      </c>
    </row>
    <row r="300" spans="11:20" ht="20.149999999999999" customHeight="1" x14ac:dyDescent="0.35">
      <c r="L300" s="26">
        <f>IF(L301&gt;=0,ROUNDDOWN(L301,0),ROUNDUP(L301,0))</f>
        <v>1</v>
      </c>
      <c r="M300" s="40">
        <f>IF(M299=350,VLOOKUP($L300,$Q$454:$T$478,4),IF(M299=325,VLOOKUP(L300,$Q$426:$T$453,4),IF(M299=300,VLOOKUP(L300,$Q$395:$T$425,4),IF(M299=275,VLOOKUP(L300,$Q$362:$T$394,4),IF(M299=250,VLOOKUP(L300,$Q$329:$T$361,4),IF(M299=225,VLOOKUP(L300,$Q$294:$T$328,4),IF(M299=200,VLOOKUP(L300,$Q$258:$T$293,4),IF(M299=175,VLOOKUP(L300,$Q$224:$T$257,4),IF(M299=150,VLOOKUP(L300,$Q$179:$T$222,4),IF(M299=125,VLOOKUP(L300,$Q$128:$T$177,4),IF(M299=100,VLOOKUP(L300,$Q$83:$T$126,4),IF(M299=75,VLOOKUP(L300,$Q$41:$T$81,4),IF(M299=50,VLOOKUP(L300,$Q$2:$T$39,4))))))))))))))</f>
        <v>130.19999999999999</v>
      </c>
      <c r="N300" s="41">
        <f>IFERROR((N299-M299)/(O299-M299)*(O300-M300)+M300,"")</f>
        <v>123.8064</v>
      </c>
      <c r="O300" s="40">
        <f>IF(O299=350,VLOOKUP($L300,$Q$454:$T$478,4),IF(O299=325,VLOOKUP($L300,$Q$426:$T$453,4),IF(O299=300,VLOOKUP($L300,$Q$395:$T$425,4),IF(O299=275,VLOOKUP($L300,$Q$362:$T$394,4),IF(O299=250,VLOOKUP($L300,$Q$329:$T$361,4),IF(O299=225,VLOOKUP($L300,$Q$294:$T$328,4),IF(O299=200,VLOOKUP($L300,$Q$258:$T$293,4),IF(O299=175,VLOOKUP($L300,$Q$224:$T$257,4),IF(O299=150,VLOOKUP($L300,$Q$179:$T$222,4),IF(O299=125,VLOOKUP($L300,$Q$128:$T$177,4),IF(O299=100,VLOOKUP($L300,$Q$83:$T$126,4),IF(O299=75,VLOOKUP($L300,$Q$41:$T$81,4),IF(O299=50,VLOOKUP($L300,$Q$2:$T$39,4))))))))))))))</f>
        <v>115.8</v>
      </c>
      <c r="Q300" s="15">
        <v>9</v>
      </c>
      <c r="R300" s="15">
        <v>225</v>
      </c>
      <c r="S300" s="16" t="s">
        <v>29</v>
      </c>
      <c r="T300" s="17">
        <v>115.19999999999999</v>
      </c>
    </row>
    <row r="301" spans="11:20" ht="20.149999999999999" customHeight="1" x14ac:dyDescent="0.35">
      <c r="K301" s="42" t="s">
        <v>33</v>
      </c>
      <c r="L301" s="36">
        <f>K297</f>
        <v>1.4</v>
      </c>
      <c r="M301" s="41">
        <f>IFERROR((L301-L300)/(L302-L300)*(M302-M300)+M300,"")</f>
        <v>134.28</v>
      </c>
      <c r="N301" s="38">
        <f>IFERROR((N299-O299)/(M299-O299)*(M301-O301)+O301,"")</f>
        <v>127.88639999999999</v>
      </c>
      <c r="O301" s="41">
        <f>IFERROR((L301-L300)/(L302-L300)*(O302-O300)+O300,"")</f>
        <v>119.88</v>
      </c>
      <c r="Q301" s="15">
        <v>10</v>
      </c>
      <c r="R301" s="15">
        <v>225</v>
      </c>
      <c r="S301" s="16" t="s">
        <v>29</v>
      </c>
      <c r="T301" s="17">
        <v>125.39999999999999</v>
      </c>
    </row>
    <row r="302" spans="11:20" ht="20.149999999999999" customHeight="1" x14ac:dyDescent="0.35">
      <c r="L302" s="26">
        <f>IF(L301&gt;=0,ROUNDUP(L301,0),ROUNDDOWN(L301,0))</f>
        <v>2</v>
      </c>
      <c r="M302" s="40">
        <f>IF(M299=350,VLOOKUP($L302,$Q$454:$T$478,4),IF(M299=325,VLOOKUP(L302,$Q$426:$T$453,4),IF(M299=300,VLOOKUP(L302,$Q$395:$T$425,4),IF(M299=275,VLOOKUP(L302,$Q$362:$T$394,4),IF(M299=250,VLOOKUP(L302,$Q$329:$T$361,4),IF(M299=225,VLOOKUP(L302,$Q$294:$T$328,4),IF(M299=200,VLOOKUP(L302,$Q$258:$T$293,4),IF(M299=175,VLOOKUP(L302,$Q$224:$T$257,4),IF(M299=150,VLOOKUP(L302,$Q$179:$T$222,4),IF(M299=125,VLOOKUP(L302,$Q$128:$T$177,4),IF(M299=100,VLOOKUP(L302,$Q$83:$T$126,4),IF(M299=75,VLOOKUP(L302,$Q$41:$T$81,4),IF(M299=50,VLOOKUP(L302,$Q$2:$T$39,4))))))))))))))</f>
        <v>140.4</v>
      </c>
      <c r="N302" s="41">
        <f>IFERROR((N299-M299)/(O299-M299)*(O302-M302)+M302,"")</f>
        <v>134.00640000000001</v>
      </c>
      <c r="O302" s="40">
        <f>IF(O299=350,VLOOKUP($L302,$Q$454:$T$478,4),IF(O299=325,VLOOKUP($L302,$Q$426:$T$453,4),IF(O299=300,VLOOKUP($L302,$Q$395:$T$425,4),IF(O299=275,VLOOKUP($L302,$Q$362:$T$394,4),IF(O299=250,VLOOKUP($L302,$Q$329:$T$361,4),IF(O299=225,VLOOKUP($L302,$Q$294:$T$328,4),IF(O299=200,VLOOKUP($L302,$Q$258:$T$293,4),IF(O299=175,VLOOKUP($L302,$Q$224:$T$257,4),IF(O299=150,VLOOKUP($L302,$Q$179:$T$222,4),IF(O299=125,VLOOKUP($L302,$Q$128:$T$177,4),IF(O299=100,VLOOKUP($L302,$Q$83:$T$126,4),IF(O299=75,VLOOKUP($L302,$Q$41:$T$81,4),IF(O299=50,VLOOKUP($L302,$Q$2:$T$39,4))))))))))))))</f>
        <v>126</v>
      </c>
      <c r="Q302" s="15">
        <v>11</v>
      </c>
      <c r="R302" s="15">
        <v>225</v>
      </c>
      <c r="S302" s="16" t="s">
        <v>29</v>
      </c>
      <c r="T302" s="17">
        <v>135</v>
      </c>
    </row>
    <row r="303" spans="11:20" ht="20.149999999999999" customHeight="1" x14ac:dyDescent="0.35">
      <c r="Q303" s="15">
        <v>12</v>
      </c>
      <c r="R303" s="15">
        <v>225</v>
      </c>
      <c r="S303" s="16" t="s">
        <v>29</v>
      </c>
      <c r="T303" s="17">
        <v>141</v>
      </c>
    </row>
    <row r="304" spans="11:20" ht="20.149999999999999" customHeight="1" x14ac:dyDescent="0.35">
      <c r="Q304" s="15">
        <v>13</v>
      </c>
      <c r="R304" s="15">
        <v>225</v>
      </c>
      <c r="S304" s="16" t="s">
        <v>29</v>
      </c>
      <c r="T304" s="17">
        <v>154.79999999999998</v>
      </c>
    </row>
    <row r="305" spans="11:20" ht="20.149999999999999" customHeight="1" x14ac:dyDescent="0.35">
      <c r="K305" s="14">
        <v>31</v>
      </c>
      <c r="L305" s="11"/>
      <c r="M305" s="11"/>
      <c r="Q305" s="15">
        <v>14</v>
      </c>
      <c r="R305" s="15">
        <v>225</v>
      </c>
      <c r="S305" s="16" t="s">
        <v>29</v>
      </c>
      <c r="T305" s="17">
        <v>165</v>
      </c>
    </row>
    <row r="306" spans="11:20" ht="20.149999999999999" customHeight="1" x14ac:dyDescent="0.35">
      <c r="K306" s="27" t="s">
        <v>30</v>
      </c>
      <c r="L306" s="27" t="s">
        <v>31</v>
      </c>
      <c r="M306" s="27" t="s">
        <v>17</v>
      </c>
      <c r="Q306" s="15">
        <v>15</v>
      </c>
      <c r="R306" s="15">
        <v>225</v>
      </c>
      <c r="S306" s="16" t="s">
        <v>29</v>
      </c>
      <c r="T306" s="17">
        <v>175.2</v>
      </c>
    </row>
    <row r="307" spans="11:20" ht="20.149999999999999" customHeight="1" x14ac:dyDescent="0.35">
      <c r="K307" s="36">
        <f>B33</f>
        <v>1.3</v>
      </c>
      <c r="L307" s="37">
        <f>C33</f>
        <v>61.8</v>
      </c>
      <c r="M307" s="38">
        <f>IF(OR(K307="",L307=""),"",IF(N311&lt;&gt;"",N311,IF(OR(M311&lt;&gt;"",N310&lt;&gt;"",O311&lt;&gt;"",N312&lt;&gt;""),MIN(M311,N310,O311,N312),MIN(M310:O312))))</f>
        <v>126.4632</v>
      </c>
      <c r="Q307" s="15">
        <v>17</v>
      </c>
      <c r="R307" s="15">
        <v>225</v>
      </c>
      <c r="S307" s="16" t="s">
        <v>37</v>
      </c>
      <c r="T307" s="17">
        <v>167.4</v>
      </c>
    </row>
    <row r="308" spans="11:20" ht="20.149999999999999" customHeight="1" x14ac:dyDescent="0.35">
      <c r="L308" s="28" t="s">
        <v>11</v>
      </c>
      <c r="N308" s="39" t="s">
        <v>32</v>
      </c>
      <c r="Q308" s="15">
        <v>18</v>
      </c>
      <c r="R308" s="15">
        <v>225</v>
      </c>
      <c r="S308" s="16" t="s">
        <v>37</v>
      </c>
      <c r="T308" s="17">
        <v>177.6</v>
      </c>
    </row>
    <row r="309" spans="11:20" ht="20.149999999999999" customHeight="1" x14ac:dyDescent="0.35">
      <c r="L309" s="26"/>
      <c r="M309" s="26">
        <f>IF(N309&gt;=350,350,IF(N309&gt;=325,325,IF(N309&gt;=300,300,IF(N309&gt;=275,275,IF(N309&gt;=250,250,IF(N309&gt;=225,225,IF(N309&gt;=200,200,IF(N309&gt;=175,175,IF(N309&gt;=150,150,IF(N309&gt;=125,125,IF(N309&gt;=100,100,IF(N309&gt;=75,75,50))))))))))))</f>
        <v>50</v>
      </c>
      <c r="N309" s="37">
        <f>L307</f>
        <v>61.8</v>
      </c>
      <c r="O309" s="26">
        <f>IF(N309&lt;=50,50,IF(N309&lt;=75,75,IF(N309&lt;=100,100,IF(N309&lt;=125,125,IF(N309&lt;=150,150,IF(N309&lt;=175,175,IF(N309&lt;=200,200,IF(N309&lt;=225,225,IF(N309&lt;=250,250,IF(N309&lt;=275,275,IF(N309&lt;=300,300,IF(N309&lt;=325,325,350))))))))))))</f>
        <v>75</v>
      </c>
      <c r="Q309" s="15">
        <v>19</v>
      </c>
      <c r="R309" s="15">
        <v>225</v>
      </c>
      <c r="S309" s="16" t="s">
        <v>37</v>
      </c>
      <c r="T309" s="17">
        <v>187.2</v>
      </c>
    </row>
    <row r="310" spans="11:20" ht="20.149999999999999" customHeight="1" x14ac:dyDescent="0.35">
      <c r="L310" s="26">
        <f>IF(L311&gt;=0,ROUNDDOWN(L311,0),ROUNDUP(L311,0))</f>
        <v>1</v>
      </c>
      <c r="M310" s="40">
        <f>IF(M309=350,VLOOKUP($L310,$Q$454:$T$478,4),IF(M309=325,VLOOKUP(L310,$Q$426:$T$453,4),IF(M309=300,VLOOKUP(L310,$Q$395:$T$425,4),IF(M309=275,VLOOKUP(L310,$Q$362:$T$394,4),IF(M309=250,VLOOKUP(L310,$Q$329:$T$361,4),IF(M309=225,VLOOKUP(L310,$Q$294:$T$328,4),IF(M309=200,VLOOKUP(L310,$Q$258:$T$293,4),IF(M309=175,VLOOKUP(L310,$Q$224:$T$257,4),IF(M309=150,VLOOKUP(L310,$Q$179:$T$222,4),IF(M309=125,VLOOKUP(L310,$Q$128:$T$177,4),IF(M309=100,VLOOKUP(L310,$Q$83:$T$126,4),IF(M309=75,VLOOKUP(L310,$Q$41:$T$81,4),IF(M309=50,VLOOKUP(L310,$Q$2:$T$39,4))))))))))))))</f>
        <v>130.19999999999999</v>
      </c>
      <c r="N310" s="41">
        <f>IFERROR((N309-M309)/(O309-M309)*(O310-M310)+M310,"")</f>
        <v>123.4032</v>
      </c>
      <c r="O310" s="40">
        <f>IF(O309=350,VLOOKUP($L310,$Q$454:$T$478,4),IF(O309=325,VLOOKUP($L310,$Q$426:$T$453,4),IF(O309=300,VLOOKUP($L310,$Q$395:$T$425,4),IF(O309=275,VLOOKUP($L310,$Q$362:$T$394,4),IF(O309=250,VLOOKUP($L310,$Q$329:$T$361,4),IF(O309=225,VLOOKUP($L310,$Q$294:$T$328,4),IF(O309=200,VLOOKUP($L310,$Q$258:$T$293,4),IF(O309=175,VLOOKUP($L310,$Q$224:$T$257,4),IF(O309=150,VLOOKUP($L310,$Q$179:$T$222,4),IF(O309=125,VLOOKUP($L310,$Q$128:$T$177,4),IF(O309=100,VLOOKUP($L310,$Q$83:$T$126,4),IF(O309=75,VLOOKUP($L310,$Q$41:$T$81,4),IF(O309=50,VLOOKUP($L310,$Q$2:$T$39,4))))))))))))))</f>
        <v>115.8</v>
      </c>
      <c r="Q310" s="15">
        <v>21</v>
      </c>
      <c r="R310" s="15">
        <v>225</v>
      </c>
      <c r="S310" s="16" t="s">
        <v>38</v>
      </c>
      <c r="T310" s="17">
        <v>180</v>
      </c>
    </row>
    <row r="311" spans="11:20" ht="20.149999999999999" customHeight="1" x14ac:dyDescent="0.35">
      <c r="K311" s="42" t="s">
        <v>33</v>
      </c>
      <c r="L311" s="36">
        <f>K307</f>
        <v>1.3</v>
      </c>
      <c r="M311" s="41">
        <f>IFERROR((L311-L310)/(L312-L310)*(M312-M310)+M310,"")</f>
        <v>133.26</v>
      </c>
      <c r="N311" s="38">
        <f>IFERROR((N309-O309)/(M309-O309)*(M311-O311)+O311,"")</f>
        <v>126.4632</v>
      </c>
      <c r="O311" s="41">
        <f>IFERROR((L311-L310)/(L312-L310)*(O312-O310)+O310,"")</f>
        <v>118.86</v>
      </c>
      <c r="Q311" s="15">
        <v>22</v>
      </c>
      <c r="R311" s="15">
        <v>225</v>
      </c>
      <c r="S311" s="16" t="s">
        <v>38</v>
      </c>
      <c r="T311" s="17">
        <v>190.2</v>
      </c>
    </row>
    <row r="312" spans="11:20" ht="20.149999999999999" customHeight="1" x14ac:dyDescent="0.35">
      <c r="L312" s="26">
        <f>IF(L311&gt;=0,ROUNDUP(L311,0),ROUNDDOWN(L311,0))</f>
        <v>2</v>
      </c>
      <c r="M312" s="40">
        <f>IF(M309=350,VLOOKUP($L312,$Q$454:$T$478,4),IF(M309=325,VLOOKUP(L312,$Q$426:$T$453,4),IF(M309=300,VLOOKUP(L312,$Q$395:$T$425,4),IF(M309=275,VLOOKUP(L312,$Q$362:$T$394,4),IF(M309=250,VLOOKUP(L312,$Q$329:$T$361,4),IF(M309=225,VLOOKUP(L312,$Q$294:$T$328,4),IF(M309=200,VLOOKUP(L312,$Q$258:$T$293,4),IF(M309=175,VLOOKUP(L312,$Q$224:$T$257,4),IF(M309=150,VLOOKUP(L312,$Q$179:$T$222,4),IF(M309=125,VLOOKUP(L312,$Q$128:$T$177,4),IF(M309=100,VLOOKUP(L312,$Q$83:$T$126,4),IF(M309=75,VLOOKUP(L312,$Q$41:$T$81,4),IF(M309=50,VLOOKUP(L312,$Q$2:$T$39,4))))))))))))))</f>
        <v>140.4</v>
      </c>
      <c r="N312" s="41">
        <f>IFERROR((N309-M309)/(O309-M309)*(O312-M312)+M312,"")</f>
        <v>133.60320000000002</v>
      </c>
      <c r="O312" s="40">
        <f>IF(O309=350,VLOOKUP($L312,$Q$454:$T$478,4),IF(O309=325,VLOOKUP($L312,$Q$426:$T$453,4),IF(O309=300,VLOOKUP($L312,$Q$395:$T$425,4),IF(O309=275,VLOOKUP($L312,$Q$362:$T$394,4),IF(O309=250,VLOOKUP($L312,$Q$329:$T$361,4),IF(O309=225,VLOOKUP($L312,$Q$294:$T$328,4),IF(O309=200,VLOOKUP($L312,$Q$258:$T$293,4),IF(O309=175,VLOOKUP($L312,$Q$224:$T$257,4),IF(O309=150,VLOOKUP($L312,$Q$179:$T$222,4),IF(O309=125,VLOOKUP($L312,$Q$128:$T$177,4),IF(O309=100,VLOOKUP($L312,$Q$83:$T$126,4),IF(O309=75,VLOOKUP($L312,$Q$41:$T$81,4),IF(O309=50,VLOOKUP($L312,$Q$2:$T$39,4))))))))))))))</f>
        <v>126</v>
      </c>
      <c r="Q312" s="15">
        <v>23</v>
      </c>
      <c r="R312" s="15">
        <v>225</v>
      </c>
      <c r="S312" s="16" t="s">
        <v>38</v>
      </c>
      <c r="T312" s="17">
        <v>199.79999999999998</v>
      </c>
    </row>
    <row r="313" spans="11:20" ht="20.149999999999999" customHeight="1" x14ac:dyDescent="0.35">
      <c r="Q313" s="15">
        <v>24</v>
      </c>
      <c r="R313" s="15">
        <v>225</v>
      </c>
      <c r="S313" s="16" t="s">
        <v>39</v>
      </c>
      <c r="T313" s="17">
        <v>199.2</v>
      </c>
    </row>
    <row r="314" spans="11:20" ht="20.149999999999999" customHeight="1" x14ac:dyDescent="0.35">
      <c r="Q314" s="15">
        <v>25</v>
      </c>
      <c r="R314" s="15">
        <v>225</v>
      </c>
      <c r="S314" s="16" t="s">
        <v>39</v>
      </c>
      <c r="T314" s="17">
        <v>207</v>
      </c>
    </row>
    <row r="315" spans="11:20" ht="20.149999999999999" customHeight="1" x14ac:dyDescent="0.35">
      <c r="Q315" s="15">
        <v>27</v>
      </c>
      <c r="R315" s="15">
        <v>225</v>
      </c>
      <c r="S315" s="16" t="s">
        <v>40</v>
      </c>
      <c r="T315" s="17">
        <v>201</v>
      </c>
    </row>
    <row r="316" spans="11:20" ht="20.149999999999999" customHeight="1" x14ac:dyDescent="0.35">
      <c r="Q316" s="15">
        <v>28</v>
      </c>
      <c r="R316" s="15">
        <v>225</v>
      </c>
      <c r="S316" s="16" t="s">
        <v>40</v>
      </c>
      <c r="T316" s="17">
        <v>208.79999999999998</v>
      </c>
    </row>
    <row r="317" spans="11:20" ht="20.149999999999999" customHeight="1" x14ac:dyDescent="0.35">
      <c r="Q317" s="15">
        <v>29</v>
      </c>
      <c r="R317" s="15">
        <v>225</v>
      </c>
      <c r="S317" s="16" t="s">
        <v>40</v>
      </c>
      <c r="T317" s="17">
        <v>216.6</v>
      </c>
    </row>
    <row r="318" spans="11:20" ht="20.149999999999999" customHeight="1" x14ac:dyDescent="0.35">
      <c r="Q318" s="15">
        <v>32</v>
      </c>
      <c r="R318" s="15">
        <v>225</v>
      </c>
      <c r="S318" s="16" t="s">
        <v>41</v>
      </c>
      <c r="T318" s="17">
        <v>219</v>
      </c>
    </row>
    <row r="319" spans="11:20" ht="20.149999999999999" customHeight="1" x14ac:dyDescent="0.35">
      <c r="Q319" s="15">
        <v>33</v>
      </c>
      <c r="R319" s="15">
        <v>225</v>
      </c>
      <c r="S319" s="16" t="s">
        <v>41</v>
      </c>
      <c r="T319" s="17">
        <v>226.79999999999998</v>
      </c>
    </row>
    <row r="320" spans="11:20" ht="20.149999999999999" customHeight="1" x14ac:dyDescent="0.35">
      <c r="Q320" s="15">
        <v>34</v>
      </c>
      <c r="R320" s="15">
        <v>225</v>
      </c>
      <c r="S320" s="16" t="s">
        <v>41</v>
      </c>
      <c r="T320" s="17">
        <v>234.6</v>
      </c>
    </row>
    <row r="321" spans="17:20" ht="20.149999999999999" customHeight="1" x14ac:dyDescent="0.35">
      <c r="Q321" s="15">
        <v>43</v>
      </c>
      <c r="R321" s="15">
        <v>225</v>
      </c>
      <c r="S321" s="16" t="s">
        <v>42</v>
      </c>
      <c r="T321" s="17">
        <v>240</v>
      </c>
    </row>
    <row r="322" spans="17:20" ht="20.149999999999999" customHeight="1" x14ac:dyDescent="0.35">
      <c r="Q322" s="15">
        <v>44</v>
      </c>
      <c r="R322" s="15">
        <v>225</v>
      </c>
      <c r="S322" s="16" t="s">
        <v>42</v>
      </c>
      <c r="T322" s="17">
        <v>245.39999999999998</v>
      </c>
    </row>
    <row r="323" spans="17:20" ht="20.149999999999999" customHeight="1" x14ac:dyDescent="0.35">
      <c r="Q323" s="15">
        <v>45</v>
      </c>
      <c r="R323" s="15">
        <v>225</v>
      </c>
      <c r="S323" s="16" t="s">
        <v>42</v>
      </c>
      <c r="T323" s="17">
        <v>250.79999999999998</v>
      </c>
    </row>
    <row r="324" spans="17:20" ht="20.149999999999999" customHeight="1" x14ac:dyDescent="0.35">
      <c r="Q324" s="15">
        <v>46</v>
      </c>
      <c r="R324" s="15">
        <v>225</v>
      </c>
      <c r="S324" s="16" t="s">
        <v>42</v>
      </c>
      <c r="T324" s="17">
        <v>256.2</v>
      </c>
    </row>
    <row r="325" spans="17:20" ht="20.149999999999999" customHeight="1" x14ac:dyDescent="0.35">
      <c r="Q325" s="15">
        <v>47</v>
      </c>
      <c r="R325" s="15">
        <v>225</v>
      </c>
      <c r="S325" s="16" t="s">
        <v>42</v>
      </c>
      <c r="T325" s="17">
        <v>262.2</v>
      </c>
    </row>
    <row r="326" spans="17:20" ht="20.149999999999999" customHeight="1" x14ac:dyDescent="0.35">
      <c r="Q326" s="15">
        <v>48</v>
      </c>
      <c r="R326" s="15">
        <v>225</v>
      </c>
      <c r="S326" s="16" t="s">
        <v>42</v>
      </c>
      <c r="T326" s="17">
        <v>267.59999999999997</v>
      </c>
    </row>
    <row r="327" spans="17:20" ht="20.149999999999999" customHeight="1" x14ac:dyDescent="0.35">
      <c r="Q327" s="15">
        <v>49</v>
      </c>
      <c r="R327" s="15">
        <v>225</v>
      </c>
      <c r="S327" s="16" t="s">
        <v>42</v>
      </c>
      <c r="T327" s="17">
        <v>273</v>
      </c>
    </row>
    <row r="328" spans="17:20" ht="20.149999999999999" customHeight="1" x14ac:dyDescent="0.35">
      <c r="Q328" s="15">
        <v>50</v>
      </c>
      <c r="R328" s="15">
        <v>225</v>
      </c>
      <c r="S328" s="16" t="s">
        <v>42</v>
      </c>
      <c r="T328" s="17">
        <v>278.39999999999998</v>
      </c>
    </row>
    <row r="329" spans="17:20" ht="20.149999999999999" customHeight="1" x14ac:dyDescent="0.35">
      <c r="Q329" s="15">
        <v>5</v>
      </c>
      <c r="R329" s="15">
        <v>250</v>
      </c>
      <c r="S329" s="16" t="s">
        <v>29</v>
      </c>
      <c r="T329" s="17">
        <v>63</v>
      </c>
    </row>
    <row r="330" spans="17:20" ht="20.149999999999999" customHeight="1" x14ac:dyDescent="0.35">
      <c r="Q330" s="15">
        <v>6</v>
      </c>
      <c r="R330" s="15">
        <v>250</v>
      </c>
      <c r="S330" s="16" t="s">
        <v>29</v>
      </c>
      <c r="T330" s="17">
        <v>72.599999999999994</v>
      </c>
    </row>
    <row r="331" spans="17:20" ht="20.149999999999999" customHeight="1" x14ac:dyDescent="0.35">
      <c r="Q331" s="15">
        <v>7</v>
      </c>
      <c r="R331" s="15">
        <v>250</v>
      </c>
      <c r="S331" s="16" t="s">
        <v>29</v>
      </c>
      <c r="T331" s="17">
        <v>82.8</v>
      </c>
    </row>
    <row r="332" spans="17:20" ht="20.149999999999999" customHeight="1" x14ac:dyDescent="0.35">
      <c r="Q332" s="15">
        <v>8</v>
      </c>
      <c r="R332" s="15">
        <v>250</v>
      </c>
      <c r="S332" s="16" t="s">
        <v>29</v>
      </c>
      <c r="T332" s="17">
        <v>92.399999999999991</v>
      </c>
    </row>
    <row r="333" spans="17:20" ht="20.149999999999999" customHeight="1" x14ac:dyDescent="0.35">
      <c r="Q333" s="15">
        <v>9</v>
      </c>
      <c r="R333" s="15">
        <v>250</v>
      </c>
      <c r="S333" s="16" t="s">
        <v>29</v>
      </c>
      <c r="T333" s="17">
        <v>102</v>
      </c>
    </row>
    <row r="334" spans="17:20" ht="20.149999999999999" customHeight="1" x14ac:dyDescent="0.35">
      <c r="Q334" s="15">
        <v>10</v>
      </c>
      <c r="R334" s="15">
        <v>250</v>
      </c>
      <c r="S334" s="16" t="s">
        <v>29</v>
      </c>
      <c r="T334" s="17">
        <v>112.2</v>
      </c>
    </row>
    <row r="335" spans="17:20" ht="20.149999999999999" customHeight="1" x14ac:dyDescent="0.35">
      <c r="Q335" s="15">
        <v>11</v>
      </c>
      <c r="R335" s="15">
        <v>250</v>
      </c>
      <c r="S335" s="16" t="s">
        <v>29</v>
      </c>
      <c r="T335" s="17">
        <v>121.8</v>
      </c>
    </row>
    <row r="336" spans="17:20" ht="20.149999999999999" customHeight="1" x14ac:dyDescent="0.35">
      <c r="Q336" s="15">
        <v>12</v>
      </c>
      <c r="R336" s="15">
        <v>250</v>
      </c>
      <c r="S336" s="16" t="s">
        <v>29</v>
      </c>
      <c r="T336" s="17">
        <v>127.8</v>
      </c>
    </row>
    <row r="337" spans="17:20" ht="20.149999999999999" customHeight="1" x14ac:dyDescent="0.35">
      <c r="Q337" s="15">
        <v>13</v>
      </c>
      <c r="R337" s="15">
        <v>250</v>
      </c>
      <c r="S337" s="16" t="s">
        <v>29</v>
      </c>
      <c r="T337" s="17">
        <v>141.6</v>
      </c>
    </row>
    <row r="338" spans="17:20" ht="20.149999999999999" customHeight="1" x14ac:dyDescent="0.35">
      <c r="Q338" s="15">
        <v>14</v>
      </c>
      <c r="R338" s="15">
        <v>250</v>
      </c>
      <c r="S338" s="16" t="s">
        <v>29</v>
      </c>
      <c r="T338" s="17">
        <v>151.79999999999998</v>
      </c>
    </row>
    <row r="339" spans="17:20" ht="20.149999999999999" customHeight="1" x14ac:dyDescent="0.35">
      <c r="Q339" s="15">
        <v>15</v>
      </c>
      <c r="R339" s="15">
        <v>250</v>
      </c>
      <c r="S339" s="16" t="s">
        <v>29</v>
      </c>
      <c r="T339" s="17">
        <v>162</v>
      </c>
    </row>
    <row r="340" spans="17:20" ht="20.149999999999999" customHeight="1" x14ac:dyDescent="0.35">
      <c r="Q340" s="15">
        <v>18</v>
      </c>
      <c r="R340" s="15">
        <v>250</v>
      </c>
      <c r="S340" s="16" t="s">
        <v>37</v>
      </c>
      <c r="T340" s="17">
        <v>160.79999999999998</v>
      </c>
    </row>
    <row r="341" spans="17:20" ht="20.149999999999999" customHeight="1" x14ac:dyDescent="0.35">
      <c r="Q341" s="15">
        <v>19</v>
      </c>
      <c r="R341" s="15">
        <v>250</v>
      </c>
      <c r="S341" s="16" t="s">
        <v>37</v>
      </c>
      <c r="T341" s="17">
        <v>171</v>
      </c>
    </row>
    <row r="342" spans="17:20" ht="20.149999999999999" customHeight="1" x14ac:dyDescent="0.35">
      <c r="Q342" s="15">
        <v>20</v>
      </c>
      <c r="R342" s="15">
        <v>250</v>
      </c>
      <c r="S342" s="16" t="s">
        <v>37</v>
      </c>
      <c r="T342" s="17">
        <v>181.2</v>
      </c>
    </row>
    <row r="343" spans="17:20" ht="20.149999999999999" customHeight="1" x14ac:dyDescent="0.35">
      <c r="Q343" s="15">
        <v>22</v>
      </c>
      <c r="R343" s="15">
        <v>250</v>
      </c>
      <c r="S343" s="16" t="s">
        <v>39</v>
      </c>
      <c r="T343" s="17">
        <v>174</v>
      </c>
    </row>
    <row r="344" spans="17:20" ht="20.149999999999999" customHeight="1" x14ac:dyDescent="0.35">
      <c r="Q344" s="15">
        <v>23</v>
      </c>
      <c r="R344" s="15">
        <v>250</v>
      </c>
      <c r="S344" s="16" t="s">
        <v>39</v>
      </c>
      <c r="T344" s="17">
        <v>181.2</v>
      </c>
    </row>
    <row r="345" spans="17:20" ht="20.149999999999999" customHeight="1" x14ac:dyDescent="0.35">
      <c r="Q345" s="15">
        <v>24</v>
      </c>
      <c r="R345" s="15">
        <v>250</v>
      </c>
      <c r="S345" s="16" t="s">
        <v>39</v>
      </c>
      <c r="T345" s="17">
        <v>189</v>
      </c>
    </row>
    <row r="346" spans="17:20" ht="20.149999999999999" customHeight="1" x14ac:dyDescent="0.35">
      <c r="Q346" s="15">
        <v>27</v>
      </c>
      <c r="R346" s="15">
        <v>250</v>
      </c>
      <c r="S346" s="16" t="s">
        <v>40</v>
      </c>
      <c r="T346" s="17">
        <v>188.4</v>
      </c>
    </row>
    <row r="347" spans="17:20" ht="20.149999999999999" customHeight="1" x14ac:dyDescent="0.35">
      <c r="Q347" s="15">
        <v>28</v>
      </c>
      <c r="R347" s="15">
        <v>250</v>
      </c>
      <c r="S347" s="16" t="s">
        <v>40</v>
      </c>
      <c r="T347" s="17">
        <v>196.2</v>
      </c>
    </row>
    <row r="348" spans="17:20" ht="20.149999999999999" customHeight="1" x14ac:dyDescent="0.35">
      <c r="Q348" s="15">
        <v>29</v>
      </c>
      <c r="R348" s="15">
        <v>250</v>
      </c>
      <c r="S348" s="16" t="s">
        <v>40</v>
      </c>
      <c r="T348" s="17">
        <v>204</v>
      </c>
    </row>
    <row r="349" spans="17:20" ht="20.149999999999999" customHeight="1" x14ac:dyDescent="0.35">
      <c r="Q349" s="15">
        <v>32</v>
      </c>
      <c r="R349" s="15">
        <v>250</v>
      </c>
      <c r="S349" s="16" t="s">
        <v>41</v>
      </c>
      <c r="T349" s="17">
        <v>204</v>
      </c>
    </row>
    <row r="350" spans="17:20" ht="20.149999999999999" customHeight="1" x14ac:dyDescent="0.35">
      <c r="Q350" s="15">
        <v>33</v>
      </c>
      <c r="R350" s="15">
        <v>250</v>
      </c>
      <c r="S350" s="16" t="s">
        <v>41</v>
      </c>
      <c r="T350" s="17">
        <v>211.79999999999998</v>
      </c>
    </row>
    <row r="351" spans="17:20" ht="20.149999999999999" customHeight="1" x14ac:dyDescent="0.35">
      <c r="Q351" s="15">
        <v>34</v>
      </c>
      <c r="R351" s="15">
        <v>250</v>
      </c>
      <c r="S351" s="16" t="s">
        <v>41</v>
      </c>
      <c r="T351" s="17">
        <v>219</v>
      </c>
    </row>
    <row r="352" spans="17:20" ht="20.149999999999999" customHeight="1" x14ac:dyDescent="0.35">
      <c r="Q352" s="15">
        <v>41</v>
      </c>
      <c r="R352" s="15">
        <v>250</v>
      </c>
      <c r="S352" s="16" t="s">
        <v>42</v>
      </c>
      <c r="T352" s="17">
        <v>222</v>
      </c>
    </row>
    <row r="353" spans="17:20" ht="20.149999999999999" customHeight="1" x14ac:dyDescent="0.35">
      <c r="Q353" s="15">
        <v>42</v>
      </c>
      <c r="R353" s="15">
        <v>250</v>
      </c>
      <c r="S353" s="16" t="s">
        <v>42</v>
      </c>
      <c r="T353" s="17">
        <v>227.4</v>
      </c>
    </row>
    <row r="354" spans="17:20" ht="20.149999999999999" customHeight="1" x14ac:dyDescent="0.35">
      <c r="Q354" s="15">
        <v>43</v>
      </c>
      <c r="R354" s="15">
        <v>250</v>
      </c>
      <c r="S354" s="16" t="s">
        <v>42</v>
      </c>
      <c r="T354" s="17">
        <v>232.79999999999998</v>
      </c>
    </row>
    <row r="355" spans="17:20" ht="20.149999999999999" customHeight="1" x14ac:dyDescent="0.35">
      <c r="Q355" s="15">
        <v>44</v>
      </c>
      <c r="R355" s="15">
        <v>250</v>
      </c>
      <c r="S355" s="16" t="s">
        <v>42</v>
      </c>
      <c r="T355" s="17">
        <v>238.2</v>
      </c>
    </row>
    <row r="356" spans="17:20" ht="20.149999999999999" customHeight="1" x14ac:dyDescent="0.35">
      <c r="Q356" s="15">
        <v>45</v>
      </c>
      <c r="R356" s="15">
        <v>250</v>
      </c>
      <c r="S356" s="16" t="s">
        <v>42</v>
      </c>
      <c r="T356" s="17">
        <v>243.6</v>
      </c>
    </row>
    <row r="357" spans="17:20" ht="20.149999999999999" customHeight="1" x14ac:dyDescent="0.35">
      <c r="Q357" s="15">
        <v>46</v>
      </c>
      <c r="R357" s="15">
        <v>250</v>
      </c>
      <c r="S357" s="16" t="s">
        <v>42</v>
      </c>
      <c r="T357" s="17">
        <v>249</v>
      </c>
    </row>
    <row r="358" spans="17:20" ht="20.149999999999999" customHeight="1" x14ac:dyDescent="0.35">
      <c r="Q358" s="15">
        <v>47</v>
      </c>
      <c r="R358" s="15">
        <v>250</v>
      </c>
      <c r="S358" s="16" t="s">
        <v>42</v>
      </c>
      <c r="T358" s="17">
        <v>254.39999999999998</v>
      </c>
    </row>
    <row r="359" spans="17:20" ht="20.149999999999999" customHeight="1" x14ac:dyDescent="0.35">
      <c r="Q359" s="15">
        <v>48</v>
      </c>
      <c r="R359" s="15">
        <v>250</v>
      </c>
      <c r="S359" s="16" t="s">
        <v>42</v>
      </c>
      <c r="T359" s="17">
        <v>259.8</v>
      </c>
    </row>
    <row r="360" spans="17:20" ht="20.149999999999999" customHeight="1" x14ac:dyDescent="0.35">
      <c r="Q360" s="15">
        <v>49</v>
      </c>
      <c r="R360" s="15">
        <v>250</v>
      </c>
      <c r="S360" s="16" t="s">
        <v>42</v>
      </c>
      <c r="T360" s="17">
        <v>265.2</v>
      </c>
    </row>
    <row r="361" spans="17:20" ht="20.149999999999999" customHeight="1" x14ac:dyDescent="0.35">
      <c r="Q361" s="15">
        <v>50</v>
      </c>
      <c r="R361" s="15">
        <v>250</v>
      </c>
      <c r="S361" s="16" t="s">
        <v>42</v>
      </c>
      <c r="T361" s="17">
        <v>270.59999999999997</v>
      </c>
    </row>
    <row r="362" spans="17:20" ht="20.149999999999999" customHeight="1" x14ac:dyDescent="0.35">
      <c r="Q362" s="15">
        <v>6</v>
      </c>
      <c r="R362" s="15">
        <v>275</v>
      </c>
      <c r="S362" s="16" t="s">
        <v>29</v>
      </c>
      <c r="T362" s="17">
        <v>60</v>
      </c>
    </row>
    <row r="363" spans="17:20" ht="20.149999999999999" customHeight="1" x14ac:dyDescent="0.35">
      <c r="Q363" s="15">
        <v>7</v>
      </c>
      <c r="R363" s="15">
        <v>275</v>
      </c>
      <c r="S363" s="16" t="s">
        <v>29</v>
      </c>
      <c r="T363" s="17">
        <v>70.2</v>
      </c>
    </row>
    <row r="364" spans="17:20" ht="20.149999999999999" customHeight="1" x14ac:dyDescent="0.35">
      <c r="Q364" s="15">
        <v>8</v>
      </c>
      <c r="R364" s="15">
        <v>275</v>
      </c>
      <c r="S364" s="16" t="s">
        <v>29</v>
      </c>
      <c r="T364" s="17">
        <v>79.8</v>
      </c>
    </row>
    <row r="365" spans="17:20" ht="20.149999999999999" customHeight="1" x14ac:dyDescent="0.35">
      <c r="Q365" s="15">
        <v>9</v>
      </c>
      <c r="R365" s="15">
        <v>275</v>
      </c>
      <c r="S365" s="16" t="s">
        <v>29</v>
      </c>
      <c r="T365" s="17">
        <v>89.399999999999991</v>
      </c>
    </row>
    <row r="366" spans="17:20" ht="20.149999999999999" customHeight="1" x14ac:dyDescent="0.35">
      <c r="Q366" s="15">
        <v>10</v>
      </c>
      <c r="R366" s="15">
        <v>275</v>
      </c>
      <c r="S366" s="16" t="s">
        <v>29</v>
      </c>
      <c r="T366" s="17">
        <v>99</v>
      </c>
    </row>
    <row r="367" spans="17:20" ht="20.149999999999999" customHeight="1" x14ac:dyDescent="0.35">
      <c r="Q367" s="15">
        <v>11</v>
      </c>
      <c r="R367" s="15">
        <v>275</v>
      </c>
      <c r="S367" s="16" t="s">
        <v>29</v>
      </c>
      <c r="T367" s="17">
        <v>109.2</v>
      </c>
    </row>
    <row r="368" spans="17:20" ht="20.149999999999999" customHeight="1" x14ac:dyDescent="0.35">
      <c r="Q368" s="15">
        <v>12</v>
      </c>
      <c r="R368" s="15">
        <v>275</v>
      </c>
      <c r="S368" s="16" t="s">
        <v>29</v>
      </c>
      <c r="T368" s="17">
        <v>118.8</v>
      </c>
    </row>
    <row r="369" spans="17:20" ht="20.149999999999999" customHeight="1" x14ac:dyDescent="0.35">
      <c r="Q369" s="15">
        <v>13</v>
      </c>
      <c r="R369" s="15">
        <v>275</v>
      </c>
      <c r="S369" s="16" t="s">
        <v>29</v>
      </c>
      <c r="T369" s="17">
        <v>129</v>
      </c>
    </row>
    <row r="370" spans="17:20" ht="20.149999999999999" customHeight="1" x14ac:dyDescent="0.35">
      <c r="Q370" s="15">
        <v>14</v>
      </c>
      <c r="R370" s="15">
        <v>275</v>
      </c>
      <c r="S370" s="16" t="s">
        <v>29</v>
      </c>
      <c r="T370" s="17">
        <v>138.6</v>
      </c>
    </row>
    <row r="371" spans="17:20" ht="20.149999999999999" customHeight="1" x14ac:dyDescent="0.35">
      <c r="Q371" s="15">
        <v>15</v>
      </c>
      <c r="R371" s="15">
        <v>275</v>
      </c>
      <c r="S371" s="16" t="s">
        <v>29</v>
      </c>
      <c r="T371" s="17">
        <v>148.79999999999998</v>
      </c>
    </row>
    <row r="372" spans="17:20" ht="20.149999999999999" customHeight="1" x14ac:dyDescent="0.35">
      <c r="Q372" s="15">
        <v>16</v>
      </c>
      <c r="R372" s="15">
        <v>275</v>
      </c>
      <c r="S372" s="16" t="s">
        <v>29</v>
      </c>
      <c r="T372" s="17">
        <v>158.4</v>
      </c>
    </row>
    <row r="373" spans="17:20" ht="20.149999999999999" customHeight="1" x14ac:dyDescent="0.35">
      <c r="Q373" s="15">
        <v>19</v>
      </c>
      <c r="R373" s="15">
        <v>275</v>
      </c>
      <c r="S373" s="16" t="s">
        <v>37</v>
      </c>
      <c r="T373" s="17">
        <v>154.79999999999998</v>
      </c>
    </row>
    <row r="374" spans="17:20" ht="20.149999999999999" customHeight="1" x14ac:dyDescent="0.35">
      <c r="Q374" s="15">
        <v>20</v>
      </c>
      <c r="R374" s="15">
        <v>275</v>
      </c>
      <c r="S374" s="16" t="s">
        <v>37</v>
      </c>
      <c r="T374" s="17">
        <v>165</v>
      </c>
    </row>
    <row r="375" spans="17:20" ht="20.149999999999999" customHeight="1" x14ac:dyDescent="0.35">
      <c r="Q375" s="15">
        <v>21</v>
      </c>
      <c r="R375" s="15">
        <v>275</v>
      </c>
      <c r="S375" s="16" t="s">
        <v>37</v>
      </c>
      <c r="T375" s="17">
        <v>175.2</v>
      </c>
    </row>
    <row r="376" spans="17:20" ht="20.149999999999999" customHeight="1" x14ac:dyDescent="0.35">
      <c r="Q376" s="15">
        <v>23</v>
      </c>
      <c r="R376" s="15">
        <v>275</v>
      </c>
      <c r="S376" s="16" t="s">
        <v>39</v>
      </c>
      <c r="T376" s="17">
        <v>171</v>
      </c>
    </row>
    <row r="377" spans="17:20" ht="20.149999999999999" customHeight="1" x14ac:dyDescent="0.35">
      <c r="Q377" s="15">
        <v>24</v>
      </c>
      <c r="R377" s="15">
        <v>275</v>
      </c>
      <c r="S377" s="16" t="s">
        <v>39</v>
      </c>
      <c r="T377" s="17">
        <v>178.79999999999998</v>
      </c>
    </row>
    <row r="378" spans="17:20" ht="20.149999999999999" customHeight="1" x14ac:dyDescent="0.35">
      <c r="Q378" s="15">
        <v>25</v>
      </c>
      <c r="R378" s="15">
        <v>275</v>
      </c>
      <c r="S378" s="16" t="s">
        <v>39</v>
      </c>
      <c r="T378" s="17">
        <v>186.6</v>
      </c>
    </row>
    <row r="379" spans="17:20" ht="20.149999999999999" customHeight="1" x14ac:dyDescent="0.35">
      <c r="Q379" s="15">
        <v>28</v>
      </c>
      <c r="R379" s="15">
        <v>275</v>
      </c>
      <c r="S379" s="16" t="s">
        <v>40</v>
      </c>
      <c r="T379" s="17">
        <v>183.6</v>
      </c>
    </row>
    <row r="380" spans="17:20" ht="20.149999999999999" customHeight="1" x14ac:dyDescent="0.35">
      <c r="Q380" s="15">
        <v>29</v>
      </c>
      <c r="R380" s="15">
        <v>275</v>
      </c>
      <c r="S380" s="16" t="s">
        <v>40</v>
      </c>
      <c r="T380" s="17">
        <v>191.4</v>
      </c>
    </row>
    <row r="381" spans="17:20" ht="20.149999999999999" customHeight="1" x14ac:dyDescent="0.35">
      <c r="Q381" s="15">
        <v>30</v>
      </c>
      <c r="R381" s="15">
        <v>275</v>
      </c>
      <c r="S381" s="16" t="s">
        <v>40</v>
      </c>
      <c r="T381" s="17">
        <v>199.2</v>
      </c>
    </row>
    <row r="382" spans="17:20" ht="20.149999999999999" customHeight="1" x14ac:dyDescent="0.35">
      <c r="Q382" s="15">
        <v>32</v>
      </c>
      <c r="R382" s="15">
        <v>275</v>
      </c>
      <c r="S382" s="16" t="s">
        <v>41</v>
      </c>
      <c r="T382" s="17">
        <v>189</v>
      </c>
    </row>
    <row r="383" spans="17:20" ht="20.149999999999999" customHeight="1" x14ac:dyDescent="0.35">
      <c r="Q383" s="15">
        <v>33</v>
      </c>
      <c r="R383" s="15">
        <v>275</v>
      </c>
      <c r="S383" s="16" t="s">
        <v>41</v>
      </c>
      <c r="T383" s="17">
        <v>196.79999999999998</v>
      </c>
    </row>
    <row r="384" spans="17:20" ht="20.149999999999999" customHeight="1" x14ac:dyDescent="0.35">
      <c r="Q384" s="15">
        <v>34</v>
      </c>
      <c r="R384" s="15">
        <v>275</v>
      </c>
      <c r="S384" s="16" t="s">
        <v>41</v>
      </c>
      <c r="T384" s="17">
        <v>204.6</v>
      </c>
    </row>
    <row r="385" spans="17:20" ht="20.149999999999999" customHeight="1" x14ac:dyDescent="0.35">
      <c r="Q385" s="15">
        <v>40</v>
      </c>
      <c r="R385" s="15">
        <v>275</v>
      </c>
      <c r="S385" s="16" t="s">
        <v>42</v>
      </c>
      <c r="T385" s="17">
        <v>209.4</v>
      </c>
    </row>
    <row r="386" spans="17:20" ht="20.149999999999999" customHeight="1" x14ac:dyDescent="0.35">
      <c r="Q386" s="15">
        <v>41</v>
      </c>
      <c r="R386" s="15">
        <v>275</v>
      </c>
      <c r="S386" s="16" t="s">
        <v>42</v>
      </c>
      <c r="T386" s="17">
        <v>214.79999999999998</v>
      </c>
    </row>
    <row r="387" spans="17:20" ht="20.149999999999999" customHeight="1" x14ac:dyDescent="0.35">
      <c r="Q387" s="15">
        <v>42</v>
      </c>
      <c r="R387" s="15">
        <v>275</v>
      </c>
      <c r="S387" s="16" t="s">
        <v>42</v>
      </c>
      <c r="T387" s="17">
        <v>220.2</v>
      </c>
    </row>
    <row r="388" spans="17:20" ht="20.149999999999999" customHeight="1" x14ac:dyDescent="0.35">
      <c r="Q388" s="15">
        <v>43</v>
      </c>
      <c r="R388" s="15">
        <v>275</v>
      </c>
      <c r="S388" s="16" t="s">
        <v>42</v>
      </c>
      <c r="T388" s="17">
        <v>225.6</v>
      </c>
    </row>
    <row r="389" spans="17:20" ht="20.149999999999999" customHeight="1" x14ac:dyDescent="0.35">
      <c r="Q389" s="15">
        <v>44</v>
      </c>
      <c r="R389" s="15">
        <v>275</v>
      </c>
      <c r="S389" s="16" t="s">
        <v>42</v>
      </c>
      <c r="T389" s="17">
        <v>231</v>
      </c>
    </row>
    <row r="390" spans="17:20" ht="20.149999999999999" customHeight="1" x14ac:dyDescent="0.35">
      <c r="Q390" s="15">
        <v>45</v>
      </c>
      <c r="R390" s="15">
        <v>275</v>
      </c>
      <c r="S390" s="16" t="s">
        <v>42</v>
      </c>
      <c r="T390" s="17">
        <v>236.39999999999998</v>
      </c>
    </row>
    <row r="391" spans="17:20" ht="20.149999999999999" customHeight="1" x14ac:dyDescent="0.35">
      <c r="Q391" s="15">
        <v>46</v>
      </c>
      <c r="R391" s="15">
        <v>275</v>
      </c>
      <c r="S391" s="16" t="s">
        <v>42</v>
      </c>
      <c r="T391" s="17">
        <v>241.79999999999998</v>
      </c>
    </row>
    <row r="392" spans="17:20" ht="20.149999999999999" customHeight="1" x14ac:dyDescent="0.35">
      <c r="Q392" s="15">
        <v>47</v>
      </c>
      <c r="R392" s="15">
        <v>275</v>
      </c>
      <c r="S392" s="16" t="s">
        <v>42</v>
      </c>
      <c r="T392" s="17">
        <v>247.2</v>
      </c>
    </row>
    <row r="393" spans="17:20" ht="20.149999999999999" customHeight="1" x14ac:dyDescent="0.35">
      <c r="Q393" s="15">
        <v>48</v>
      </c>
      <c r="R393" s="15">
        <v>275</v>
      </c>
      <c r="S393" s="16" t="s">
        <v>42</v>
      </c>
      <c r="T393" s="17">
        <v>252.6</v>
      </c>
    </row>
    <row r="394" spans="17:20" ht="20.149999999999999" customHeight="1" x14ac:dyDescent="0.35">
      <c r="Q394" s="15">
        <v>49</v>
      </c>
      <c r="R394" s="15">
        <v>275</v>
      </c>
      <c r="S394" s="16" t="s">
        <v>42</v>
      </c>
      <c r="T394" s="17">
        <v>258</v>
      </c>
    </row>
    <row r="395" spans="17:20" ht="20.149999999999999" customHeight="1" x14ac:dyDescent="0.35">
      <c r="Q395" s="15">
        <v>8</v>
      </c>
      <c r="R395" s="15">
        <v>300</v>
      </c>
      <c r="S395" s="16" t="s">
        <v>29</v>
      </c>
      <c r="T395" s="17">
        <v>67.2</v>
      </c>
    </row>
    <row r="396" spans="17:20" ht="20.149999999999999" customHeight="1" x14ac:dyDescent="0.35">
      <c r="Q396" s="15">
        <v>9</v>
      </c>
      <c r="R396" s="15">
        <v>300</v>
      </c>
      <c r="S396" s="16" t="s">
        <v>29</v>
      </c>
      <c r="T396" s="17">
        <v>76.8</v>
      </c>
    </row>
    <row r="397" spans="17:20" ht="20.149999999999999" customHeight="1" x14ac:dyDescent="0.35">
      <c r="Q397" s="15">
        <v>10</v>
      </c>
      <c r="R397" s="15">
        <v>300</v>
      </c>
      <c r="S397" s="16" t="s">
        <v>29</v>
      </c>
      <c r="T397" s="17">
        <v>86.399999999999991</v>
      </c>
    </row>
    <row r="398" spans="17:20" ht="20.149999999999999" customHeight="1" x14ac:dyDescent="0.35">
      <c r="Q398" s="15">
        <v>11</v>
      </c>
      <c r="R398" s="15">
        <v>300</v>
      </c>
      <c r="S398" s="16" t="s">
        <v>29</v>
      </c>
      <c r="T398" s="17">
        <v>96</v>
      </c>
    </row>
    <row r="399" spans="17:20" ht="20.149999999999999" customHeight="1" x14ac:dyDescent="0.35">
      <c r="Q399" s="15">
        <v>12</v>
      </c>
      <c r="R399" s="15">
        <v>300</v>
      </c>
      <c r="S399" s="16" t="s">
        <v>29</v>
      </c>
      <c r="T399" s="17">
        <v>106.2</v>
      </c>
    </row>
    <row r="400" spans="17:20" ht="20.149999999999999" customHeight="1" x14ac:dyDescent="0.35">
      <c r="Q400" s="15">
        <v>13</v>
      </c>
      <c r="R400" s="15">
        <v>300</v>
      </c>
      <c r="S400" s="16" t="s">
        <v>29</v>
      </c>
      <c r="T400" s="17">
        <v>115.8</v>
      </c>
    </row>
    <row r="401" spans="17:20" ht="20.149999999999999" customHeight="1" x14ac:dyDescent="0.35">
      <c r="Q401" s="15">
        <v>14</v>
      </c>
      <c r="R401" s="15">
        <v>300</v>
      </c>
      <c r="S401" s="16" t="s">
        <v>29</v>
      </c>
      <c r="T401" s="17">
        <v>126</v>
      </c>
    </row>
    <row r="402" spans="17:20" ht="20.149999999999999" customHeight="1" x14ac:dyDescent="0.35">
      <c r="Q402" s="15">
        <v>15</v>
      </c>
      <c r="R402" s="15">
        <v>300</v>
      </c>
      <c r="S402" s="16" t="s">
        <v>29</v>
      </c>
      <c r="T402" s="17">
        <v>135.6</v>
      </c>
    </row>
    <row r="403" spans="17:20" ht="20.149999999999999" customHeight="1" x14ac:dyDescent="0.35">
      <c r="Q403" s="15">
        <v>16</v>
      </c>
      <c r="R403" s="15">
        <v>300</v>
      </c>
      <c r="S403" s="16" t="s">
        <v>29</v>
      </c>
      <c r="T403" s="17">
        <v>145.79999999999998</v>
      </c>
    </row>
    <row r="404" spans="17:20" ht="20.149999999999999" customHeight="1" x14ac:dyDescent="0.35">
      <c r="Q404" s="15">
        <v>17</v>
      </c>
      <c r="R404" s="15">
        <v>300</v>
      </c>
      <c r="S404" s="16" t="s">
        <v>29</v>
      </c>
      <c r="T404" s="17">
        <v>155.4</v>
      </c>
    </row>
    <row r="405" spans="17:20" ht="20.149999999999999" customHeight="1" x14ac:dyDescent="0.35">
      <c r="Q405" s="15">
        <v>20</v>
      </c>
      <c r="R405" s="15">
        <v>300</v>
      </c>
      <c r="S405" s="16" t="s">
        <v>37</v>
      </c>
      <c r="T405" s="17">
        <v>148.79999999999998</v>
      </c>
    </row>
    <row r="406" spans="17:20" ht="20.149999999999999" customHeight="1" x14ac:dyDescent="0.35">
      <c r="Q406" s="15">
        <v>21</v>
      </c>
      <c r="R406" s="15">
        <v>300</v>
      </c>
      <c r="S406" s="16" t="s">
        <v>37</v>
      </c>
      <c r="T406" s="17">
        <v>159</v>
      </c>
    </row>
    <row r="407" spans="17:20" ht="20.149999999999999" customHeight="1" x14ac:dyDescent="0.35">
      <c r="Q407" s="15">
        <v>22</v>
      </c>
      <c r="R407" s="15">
        <v>300</v>
      </c>
      <c r="S407" s="16" t="s">
        <v>37</v>
      </c>
      <c r="T407" s="17">
        <v>168.6</v>
      </c>
    </row>
    <row r="408" spans="17:20" ht="20.149999999999999" customHeight="1" x14ac:dyDescent="0.35">
      <c r="Q408" s="15">
        <v>23</v>
      </c>
      <c r="R408" s="15">
        <v>300</v>
      </c>
      <c r="S408" s="16" t="s">
        <v>39</v>
      </c>
      <c r="T408" s="17">
        <v>161.4</v>
      </c>
    </row>
    <row r="409" spans="17:20" ht="20.149999999999999" customHeight="1" x14ac:dyDescent="0.35">
      <c r="Q409" s="15">
        <v>24</v>
      </c>
      <c r="R409" s="15">
        <v>300</v>
      </c>
      <c r="S409" s="16" t="s">
        <v>39</v>
      </c>
      <c r="T409" s="17">
        <v>168.6</v>
      </c>
    </row>
    <row r="410" spans="17:20" ht="20.149999999999999" customHeight="1" x14ac:dyDescent="0.35">
      <c r="Q410" s="15">
        <v>25</v>
      </c>
      <c r="R410" s="15">
        <v>300</v>
      </c>
      <c r="S410" s="16" t="s">
        <v>39</v>
      </c>
      <c r="T410" s="17">
        <v>176.4</v>
      </c>
    </row>
    <row r="411" spans="17:20" ht="20.149999999999999" customHeight="1" x14ac:dyDescent="0.35">
      <c r="Q411" s="15">
        <v>28</v>
      </c>
      <c r="R411" s="15">
        <v>300</v>
      </c>
      <c r="S411" s="16" t="s">
        <v>40</v>
      </c>
      <c r="T411" s="17">
        <v>171.6</v>
      </c>
    </row>
    <row r="412" spans="17:20" ht="20.149999999999999" customHeight="1" x14ac:dyDescent="0.35">
      <c r="Q412" s="15">
        <v>29</v>
      </c>
      <c r="R412" s="15">
        <v>300</v>
      </c>
      <c r="S412" s="16" t="s">
        <v>40</v>
      </c>
      <c r="T412" s="17">
        <v>178.79999999999998</v>
      </c>
    </row>
    <row r="413" spans="17:20" ht="20.149999999999999" customHeight="1" x14ac:dyDescent="0.35">
      <c r="Q413" s="15">
        <v>30</v>
      </c>
      <c r="R413" s="15">
        <v>300</v>
      </c>
      <c r="S413" s="16" t="s">
        <v>40</v>
      </c>
      <c r="T413" s="17">
        <v>186.6</v>
      </c>
    </row>
    <row r="414" spans="17:20" ht="20.149999999999999" customHeight="1" x14ac:dyDescent="0.35">
      <c r="Q414" s="15">
        <v>33</v>
      </c>
      <c r="R414" s="15">
        <v>300</v>
      </c>
      <c r="S414" s="16" t="s">
        <v>41</v>
      </c>
      <c r="T414" s="17">
        <v>181.79999999999998</v>
      </c>
    </row>
    <row r="415" spans="17:20" ht="20.149999999999999" customHeight="1" x14ac:dyDescent="0.35">
      <c r="Q415" s="15">
        <v>34</v>
      </c>
      <c r="R415" s="15">
        <v>300</v>
      </c>
      <c r="S415" s="16" t="s">
        <v>41</v>
      </c>
      <c r="T415" s="17">
        <v>189.6</v>
      </c>
    </row>
    <row r="416" spans="17:20" ht="20.149999999999999" customHeight="1" x14ac:dyDescent="0.35">
      <c r="Q416" s="15">
        <v>35</v>
      </c>
      <c r="R416" s="15">
        <v>300</v>
      </c>
      <c r="S416" s="16" t="s">
        <v>41</v>
      </c>
      <c r="T416" s="17">
        <v>197.4</v>
      </c>
    </row>
    <row r="417" spans="17:20" ht="20.149999999999999" customHeight="1" x14ac:dyDescent="0.35">
      <c r="Q417" s="15">
        <v>36</v>
      </c>
      <c r="R417" s="15">
        <v>300</v>
      </c>
      <c r="S417" s="16" t="s">
        <v>41</v>
      </c>
      <c r="T417" s="17">
        <v>205.2</v>
      </c>
    </row>
    <row r="418" spans="17:20" ht="20.149999999999999" customHeight="1" x14ac:dyDescent="0.35">
      <c r="Q418" s="15">
        <v>41</v>
      </c>
      <c r="R418" s="15">
        <v>300</v>
      </c>
      <c r="S418" s="16" t="s">
        <v>42</v>
      </c>
      <c r="T418" s="17">
        <v>207.6</v>
      </c>
    </row>
    <row r="419" spans="17:20" ht="20.149999999999999" customHeight="1" x14ac:dyDescent="0.35">
      <c r="Q419" s="15">
        <v>42</v>
      </c>
      <c r="R419" s="15">
        <v>300</v>
      </c>
      <c r="S419" s="16" t="s">
        <v>42</v>
      </c>
      <c r="T419" s="17">
        <v>213</v>
      </c>
    </row>
    <row r="420" spans="17:20" ht="20.149999999999999" customHeight="1" x14ac:dyDescent="0.35">
      <c r="Q420" s="15">
        <v>43</v>
      </c>
      <c r="R420" s="15">
        <v>300</v>
      </c>
      <c r="S420" s="16" t="s">
        <v>42</v>
      </c>
      <c r="T420" s="17">
        <v>218.4</v>
      </c>
    </row>
    <row r="421" spans="17:20" ht="20.149999999999999" customHeight="1" x14ac:dyDescent="0.35">
      <c r="Q421" s="15">
        <v>44</v>
      </c>
      <c r="R421" s="15">
        <v>300</v>
      </c>
      <c r="S421" s="16" t="s">
        <v>42</v>
      </c>
      <c r="T421" s="17">
        <v>223.2</v>
      </c>
    </row>
    <row r="422" spans="17:20" ht="20.149999999999999" customHeight="1" x14ac:dyDescent="0.35">
      <c r="Q422" s="15">
        <v>45</v>
      </c>
      <c r="R422" s="15">
        <v>300</v>
      </c>
      <c r="S422" s="16" t="s">
        <v>42</v>
      </c>
      <c r="T422" s="17">
        <v>228.6</v>
      </c>
    </row>
    <row r="423" spans="17:20" ht="20.149999999999999" customHeight="1" x14ac:dyDescent="0.35">
      <c r="Q423" s="15">
        <v>46</v>
      </c>
      <c r="R423" s="15">
        <v>300</v>
      </c>
      <c r="S423" s="16" t="s">
        <v>42</v>
      </c>
      <c r="T423" s="17">
        <v>234</v>
      </c>
    </row>
    <row r="424" spans="17:20" ht="20.149999999999999" customHeight="1" x14ac:dyDescent="0.35">
      <c r="Q424" s="15">
        <v>47</v>
      </c>
      <c r="R424" s="15">
        <v>300</v>
      </c>
      <c r="S424" s="16" t="s">
        <v>42</v>
      </c>
      <c r="T424" s="17">
        <v>239.39999999999998</v>
      </c>
    </row>
    <row r="425" spans="17:20" ht="20.149999999999999" customHeight="1" x14ac:dyDescent="0.35">
      <c r="Q425" s="15">
        <v>48</v>
      </c>
      <c r="R425" s="15">
        <v>300</v>
      </c>
      <c r="S425" s="16" t="s">
        <v>42</v>
      </c>
      <c r="T425" s="17">
        <v>244.79999999999998</v>
      </c>
    </row>
    <row r="426" spans="17:20" ht="20.149999999999999" customHeight="1" x14ac:dyDescent="0.35">
      <c r="Q426" s="15">
        <v>10</v>
      </c>
      <c r="R426" s="15">
        <v>325</v>
      </c>
      <c r="S426" s="16" t="s">
        <v>29</v>
      </c>
      <c r="T426" s="17">
        <v>73.8</v>
      </c>
    </row>
    <row r="427" spans="17:20" ht="20.149999999999999" customHeight="1" x14ac:dyDescent="0.35">
      <c r="Q427" s="15">
        <v>11</v>
      </c>
      <c r="R427" s="15">
        <v>325</v>
      </c>
      <c r="S427" s="16" t="s">
        <v>29</v>
      </c>
      <c r="T427" s="17">
        <v>83.399999999999991</v>
      </c>
    </row>
    <row r="428" spans="17:20" ht="20.149999999999999" customHeight="1" x14ac:dyDescent="0.35">
      <c r="Q428" s="15">
        <v>12</v>
      </c>
      <c r="R428" s="15">
        <v>325</v>
      </c>
      <c r="S428" s="16" t="s">
        <v>29</v>
      </c>
      <c r="T428" s="17">
        <v>93</v>
      </c>
    </row>
    <row r="429" spans="17:20" ht="20.149999999999999" customHeight="1" x14ac:dyDescent="0.35">
      <c r="Q429" s="15">
        <v>13</v>
      </c>
      <c r="R429" s="15">
        <v>325</v>
      </c>
      <c r="S429" s="16" t="s">
        <v>29</v>
      </c>
      <c r="T429" s="17">
        <v>103.2</v>
      </c>
    </row>
    <row r="430" spans="17:20" ht="20.149999999999999" customHeight="1" x14ac:dyDescent="0.35">
      <c r="Q430" s="15">
        <v>14</v>
      </c>
      <c r="R430" s="15">
        <v>325</v>
      </c>
      <c r="S430" s="16" t="s">
        <v>29</v>
      </c>
      <c r="T430" s="17">
        <v>112.8</v>
      </c>
    </row>
    <row r="431" spans="17:20" ht="20.149999999999999" customHeight="1" x14ac:dyDescent="0.35">
      <c r="Q431" s="15">
        <v>15</v>
      </c>
      <c r="R431" s="15">
        <v>325</v>
      </c>
      <c r="S431" s="16" t="s">
        <v>29</v>
      </c>
      <c r="T431" s="17">
        <v>122.39999999999999</v>
      </c>
    </row>
    <row r="432" spans="17:20" ht="20.149999999999999" customHeight="1" x14ac:dyDescent="0.35">
      <c r="Q432" s="15">
        <v>16</v>
      </c>
      <c r="R432" s="15">
        <v>325</v>
      </c>
      <c r="S432" s="16" t="s">
        <v>29</v>
      </c>
      <c r="T432" s="17">
        <v>132.6</v>
      </c>
    </row>
    <row r="433" spans="17:20" ht="20.149999999999999" customHeight="1" x14ac:dyDescent="0.35">
      <c r="Q433" s="15">
        <v>17</v>
      </c>
      <c r="R433" s="15">
        <v>325</v>
      </c>
      <c r="S433" s="16" t="s">
        <v>29</v>
      </c>
      <c r="T433" s="17">
        <v>142.19999999999999</v>
      </c>
    </row>
    <row r="434" spans="17:20" ht="20.149999999999999" customHeight="1" x14ac:dyDescent="0.35">
      <c r="Q434" s="15">
        <v>18</v>
      </c>
      <c r="R434" s="15">
        <v>325</v>
      </c>
      <c r="S434" s="16" t="s">
        <v>29</v>
      </c>
      <c r="T434" s="17">
        <v>152.4</v>
      </c>
    </row>
    <row r="435" spans="17:20" ht="20.149999999999999" customHeight="1" x14ac:dyDescent="0.35">
      <c r="Q435" s="15">
        <v>21</v>
      </c>
      <c r="R435" s="15">
        <v>325</v>
      </c>
      <c r="S435" s="16" t="s">
        <v>37</v>
      </c>
      <c r="T435" s="17">
        <v>142.79999999999998</v>
      </c>
    </row>
    <row r="436" spans="17:20" ht="20.149999999999999" customHeight="1" x14ac:dyDescent="0.35">
      <c r="Q436" s="15">
        <v>22</v>
      </c>
      <c r="R436" s="15">
        <v>325</v>
      </c>
      <c r="S436" s="16" t="s">
        <v>37</v>
      </c>
      <c r="T436" s="17">
        <v>153</v>
      </c>
    </row>
    <row r="437" spans="17:20" ht="20.149999999999999" customHeight="1" x14ac:dyDescent="0.35">
      <c r="Q437" s="15">
        <v>23</v>
      </c>
      <c r="R437" s="15">
        <v>325</v>
      </c>
      <c r="S437" s="16" t="s">
        <v>37</v>
      </c>
      <c r="T437" s="17">
        <v>162.6</v>
      </c>
    </row>
    <row r="438" spans="17:20" ht="20.149999999999999" customHeight="1" x14ac:dyDescent="0.35">
      <c r="Q438" s="15">
        <v>24</v>
      </c>
      <c r="R438" s="15">
        <v>325</v>
      </c>
      <c r="S438" s="16" t="s">
        <v>39</v>
      </c>
      <c r="T438" s="17">
        <v>159</v>
      </c>
    </row>
    <row r="439" spans="17:20" ht="20.149999999999999" customHeight="1" x14ac:dyDescent="0.35">
      <c r="Q439" s="15">
        <v>25</v>
      </c>
      <c r="R439" s="15">
        <v>325</v>
      </c>
      <c r="S439" s="16" t="s">
        <v>39</v>
      </c>
      <c r="T439" s="17">
        <v>166.2</v>
      </c>
    </row>
    <row r="440" spans="17:20" ht="20.149999999999999" customHeight="1" x14ac:dyDescent="0.35">
      <c r="Q440" s="15">
        <v>26</v>
      </c>
      <c r="R440" s="15">
        <v>325</v>
      </c>
      <c r="S440" s="16" t="s">
        <v>39</v>
      </c>
      <c r="T440" s="17">
        <v>174</v>
      </c>
    </row>
    <row r="441" spans="17:20" ht="20.149999999999999" customHeight="1" x14ac:dyDescent="0.35">
      <c r="Q441" s="15">
        <v>29</v>
      </c>
      <c r="R441" s="15">
        <v>325</v>
      </c>
      <c r="S441" s="16" t="s">
        <v>40</v>
      </c>
      <c r="T441" s="17">
        <v>166.79999999999998</v>
      </c>
    </row>
    <row r="442" spans="17:20" ht="20.149999999999999" customHeight="1" x14ac:dyDescent="0.35">
      <c r="Q442" s="15">
        <v>30</v>
      </c>
      <c r="R442" s="15">
        <v>325</v>
      </c>
      <c r="S442" s="16" t="s">
        <v>40</v>
      </c>
      <c r="T442" s="17">
        <v>174.6</v>
      </c>
    </row>
    <row r="443" spans="17:20" ht="20.149999999999999" customHeight="1" x14ac:dyDescent="0.35">
      <c r="Q443" s="15">
        <v>31</v>
      </c>
      <c r="R443" s="15">
        <v>325</v>
      </c>
      <c r="S443" s="16" t="s">
        <v>40</v>
      </c>
      <c r="T443" s="17">
        <v>181.79999999999998</v>
      </c>
    </row>
    <row r="444" spans="17:20" ht="20.149999999999999" customHeight="1" x14ac:dyDescent="0.35">
      <c r="Q444" s="15">
        <v>35</v>
      </c>
      <c r="R444" s="15">
        <v>325</v>
      </c>
      <c r="S444" s="16" t="s">
        <v>41</v>
      </c>
      <c r="T444" s="17">
        <v>182.4</v>
      </c>
    </row>
    <row r="445" spans="17:20" ht="20.149999999999999" customHeight="1" x14ac:dyDescent="0.35">
      <c r="Q445" s="15">
        <v>36</v>
      </c>
      <c r="R445" s="15">
        <v>325</v>
      </c>
      <c r="S445" s="16" t="s">
        <v>41</v>
      </c>
      <c r="T445" s="17">
        <v>190.2</v>
      </c>
    </row>
    <row r="446" spans="17:20" ht="20.149999999999999" customHeight="1" x14ac:dyDescent="0.35">
      <c r="Q446" s="15">
        <v>37</v>
      </c>
      <c r="R446" s="15">
        <v>325</v>
      </c>
      <c r="S446" s="16" t="s">
        <v>41</v>
      </c>
      <c r="T446" s="17">
        <v>198</v>
      </c>
    </row>
    <row r="447" spans="17:20" ht="20.149999999999999" customHeight="1" x14ac:dyDescent="0.35">
      <c r="Q447" s="15">
        <v>41</v>
      </c>
      <c r="R447" s="15">
        <v>325</v>
      </c>
      <c r="S447" s="16" t="s">
        <v>42</v>
      </c>
      <c r="T447" s="17">
        <v>200.4</v>
      </c>
    </row>
    <row r="448" spans="17:20" ht="20.149999999999999" customHeight="1" x14ac:dyDescent="0.35">
      <c r="Q448" s="15">
        <v>42</v>
      </c>
      <c r="R448" s="15">
        <v>325</v>
      </c>
      <c r="S448" s="16" t="s">
        <v>42</v>
      </c>
      <c r="T448" s="17">
        <v>205.79999999999998</v>
      </c>
    </row>
    <row r="449" spans="17:20" ht="20.149999999999999" customHeight="1" x14ac:dyDescent="0.35">
      <c r="Q449" s="15">
        <v>43</v>
      </c>
      <c r="R449" s="15">
        <v>325</v>
      </c>
      <c r="S449" s="16" t="s">
        <v>42</v>
      </c>
      <c r="T449" s="17">
        <v>210.6</v>
      </c>
    </row>
    <row r="450" spans="17:20" ht="20.149999999999999" customHeight="1" x14ac:dyDescent="0.35">
      <c r="Q450" s="15">
        <v>44</v>
      </c>
      <c r="R450" s="15">
        <v>325</v>
      </c>
      <c r="S450" s="16" t="s">
        <v>42</v>
      </c>
      <c r="T450" s="17">
        <v>216</v>
      </c>
    </row>
    <row r="451" spans="17:20" ht="20.149999999999999" customHeight="1" x14ac:dyDescent="0.35">
      <c r="Q451" s="15">
        <v>45</v>
      </c>
      <c r="R451" s="15">
        <v>325</v>
      </c>
      <c r="S451" s="16" t="s">
        <v>42</v>
      </c>
      <c r="T451" s="17">
        <v>221.4</v>
      </c>
    </row>
    <row r="452" spans="17:20" ht="20.149999999999999" customHeight="1" x14ac:dyDescent="0.35">
      <c r="Q452" s="15">
        <v>46</v>
      </c>
      <c r="R452" s="15">
        <v>325</v>
      </c>
      <c r="S452" s="16" t="s">
        <v>42</v>
      </c>
      <c r="T452" s="17">
        <v>226.79999999999998</v>
      </c>
    </row>
    <row r="453" spans="17:20" ht="20.149999999999999" customHeight="1" x14ac:dyDescent="0.35">
      <c r="Q453" s="15">
        <v>47</v>
      </c>
      <c r="R453" s="15">
        <v>325</v>
      </c>
      <c r="S453" s="16" t="s">
        <v>42</v>
      </c>
      <c r="T453" s="17">
        <v>232.2</v>
      </c>
    </row>
    <row r="454" spans="17:20" ht="20.149999999999999" customHeight="1" x14ac:dyDescent="0.35">
      <c r="Q454" s="15">
        <v>12</v>
      </c>
      <c r="R454" s="15">
        <v>350</v>
      </c>
      <c r="S454" s="16" t="s">
        <v>29</v>
      </c>
      <c r="T454" s="17">
        <v>80.399999999999991</v>
      </c>
    </row>
    <row r="455" spans="17:20" ht="20.149999999999999" customHeight="1" x14ac:dyDescent="0.35">
      <c r="Q455" s="15">
        <v>13</v>
      </c>
      <c r="R455" s="15">
        <v>350</v>
      </c>
      <c r="S455" s="16" t="s">
        <v>29</v>
      </c>
      <c r="T455" s="17">
        <v>90</v>
      </c>
    </row>
    <row r="456" spans="17:20" ht="20.149999999999999" customHeight="1" x14ac:dyDescent="0.35">
      <c r="Q456" s="15">
        <v>14</v>
      </c>
      <c r="R456" s="15">
        <v>350</v>
      </c>
      <c r="S456" s="16" t="s">
        <v>29</v>
      </c>
      <c r="T456" s="17">
        <v>99.6</v>
      </c>
    </row>
    <row r="457" spans="17:20" ht="20.149999999999999" customHeight="1" x14ac:dyDescent="0.35">
      <c r="Q457" s="15">
        <v>15</v>
      </c>
      <c r="R457" s="15">
        <v>350</v>
      </c>
      <c r="S457" s="16" t="s">
        <v>29</v>
      </c>
      <c r="T457" s="17">
        <v>109.2</v>
      </c>
    </row>
    <row r="458" spans="17:20" ht="20.149999999999999" customHeight="1" x14ac:dyDescent="0.35">
      <c r="Q458" s="15">
        <v>16</v>
      </c>
      <c r="R458" s="15">
        <v>350</v>
      </c>
      <c r="S458" s="16" t="s">
        <v>29</v>
      </c>
      <c r="T458" s="17">
        <v>119.39999999999999</v>
      </c>
    </row>
    <row r="459" spans="17:20" ht="20.149999999999999" customHeight="1" x14ac:dyDescent="0.35">
      <c r="Q459" s="15">
        <v>17</v>
      </c>
      <c r="R459" s="15">
        <v>350</v>
      </c>
      <c r="S459" s="16" t="s">
        <v>29</v>
      </c>
      <c r="T459" s="17">
        <v>129</v>
      </c>
    </row>
    <row r="460" spans="17:20" ht="20.149999999999999" customHeight="1" x14ac:dyDescent="0.35">
      <c r="Q460" s="15">
        <v>18</v>
      </c>
      <c r="R460" s="15">
        <v>350</v>
      </c>
      <c r="S460" s="16" t="s">
        <v>29</v>
      </c>
      <c r="T460" s="17">
        <v>138.6</v>
      </c>
    </row>
    <row r="461" spans="17:20" ht="20.149999999999999" customHeight="1" x14ac:dyDescent="0.35">
      <c r="Q461" s="15">
        <v>19</v>
      </c>
      <c r="R461" s="15">
        <v>350</v>
      </c>
      <c r="S461" s="16" t="s">
        <v>29</v>
      </c>
      <c r="T461" s="17">
        <v>148.79999999999998</v>
      </c>
    </row>
    <row r="462" spans="17:20" ht="20.149999999999999" customHeight="1" x14ac:dyDescent="0.35">
      <c r="Q462" s="15">
        <v>22</v>
      </c>
      <c r="R462" s="15">
        <v>350</v>
      </c>
      <c r="S462" s="16" t="s">
        <v>37</v>
      </c>
      <c r="T462" s="17">
        <v>136.19999999999999</v>
      </c>
    </row>
    <row r="463" spans="17:20" ht="20.149999999999999" customHeight="1" x14ac:dyDescent="0.35">
      <c r="Q463" s="15">
        <v>23</v>
      </c>
      <c r="R463" s="15">
        <v>350</v>
      </c>
      <c r="S463" s="16" t="s">
        <v>37</v>
      </c>
      <c r="T463" s="17">
        <v>146.4</v>
      </c>
    </row>
    <row r="464" spans="17:20" ht="20.149999999999999" customHeight="1" x14ac:dyDescent="0.35">
      <c r="Q464" s="15">
        <v>24</v>
      </c>
      <c r="R464" s="15">
        <v>350</v>
      </c>
      <c r="S464" s="16" t="s">
        <v>37</v>
      </c>
      <c r="T464" s="17">
        <v>156</v>
      </c>
    </row>
    <row r="465" spans="17:20" ht="20.149999999999999" customHeight="1" x14ac:dyDescent="0.35">
      <c r="Q465" s="15">
        <v>25</v>
      </c>
      <c r="R465" s="15">
        <v>350</v>
      </c>
      <c r="S465" s="16" t="s">
        <v>39</v>
      </c>
      <c r="T465" s="17">
        <v>156</v>
      </c>
    </row>
    <row r="466" spans="17:20" ht="20.149999999999999" customHeight="1" x14ac:dyDescent="0.35">
      <c r="Q466" s="15">
        <v>26</v>
      </c>
      <c r="R466" s="15">
        <v>350</v>
      </c>
      <c r="S466" s="16" t="s">
        <v>39</v>
      </c>
      <c r="T466" s="17">
        <v>163.19999999999999</v>
      </c>
    </row>
    <row r="467" spans="17:20" ht="20.149999999999999" customHeight="1" x14ac:dyDescent="0.35">
      <c r="Q467" s="15">
        <v>27</v>
      </c>
      <c r="R467" s="15">
        <v>350</v>
      </c>
      <c r="S467" s="16" t="s">
        <v>39</v>
      </c>
      <c r="T467" s="17">
        <v>171</v>
      </c>
    </row>
    <row r="468" spans="17:20" ht="20.149999999999999" customHeight="1" x14ac:dyDescent="0.35">
      <c r="Q468" s="15">
        <v>31</v>
      </c>
      <c r="R468" s="15">
        <v>350</v>
      </c>
      <c r="S468" s="16" t="s">
        <v>40</v>
      </c>
      <c r="T468" s="17">
        <v>169.2</v>
      </c>
    </row>
    <row r="469" spans="17:20" ht="20.149999999999999" customHeight="1" x14ac:dyDescent="0.35">
      <c r="Q469" s="15">
        <v>32</v>
      </c>
      <c r="R469" s="15">
        <v>350</v>
      </c>
      <c r="S469" s="16" t="s">
        <v>40</v>
      </c>
      <c r="T469" s="17">
        <v>176.4</v>
      </c>
    </row>
    <row r="470" spans="17:20" ht="20.149999999999999" customHeight="1" x14ac:dyDescent="0.35">
      <c r="Q470" s="15">
        <v>36</v>
      </c>
      <c r="R470" s="15">
        <v>350</v>
      </c>
      <c r="S470" s="16" t="s">
        <v>41</v>
      </c>
      <c r="T470" s="17">
        <v>174.6</v>
      </c>
    </row>
    <row r="471" spans="17:20" ht="20.149999999999999" customHeight="1" x14ac:dyDescent="0.35">
      <c r="Q471" s="15">
        <v>37</v>
      </c>
      <c r="R471" s="15">
        <v>350</v>
      </c>
      <c r="S471" s="16" t="s">
        <v>41</v>
      </c>
      <c r="T471" s="17">
        <v>182.4</v>
      </c>
    </row>
    <row r="472" spans="17:20" ht="20.149999999999999" customHeight="1" x14ac:dyDescent="0.35">
      <c r="Q472" s="15">
        <v>38</v>
      </c>
      <c r="R472" s="15">
        <v>350</v>
      </c>
      <c r="S472" s="16" t="s">
        <v>41</v>
      </c>
      <c r="T472" s="17">
        <v>190.2</v>
      </c>
    </row>
    <row r="473" spans="17:20" ht="20.149999999999999" customHeight="1" x14ac:dyDescent="0.35">
      <c r="Q473" s="15">
        <v>40</v>
      </c>
      <c r="R473" s="15">
        <v>350</v>
      </c>
      <c r="S473" s="16" t="s">
        <v>42</v>
      </c>
      <c r="T473" s="17">
        <v>187.2</v>
      </c>
    </row>
    <row r="474" spans="17:20" ht="20.149999999999999" customHeight="1" x14ac:dyDescent="0.35">
      <c r="Q474" s="15">
        <v>41</v>
      </c>
      <c r="R474" s="15">
        <v>350</v>
      </c>
      <c r="S474" s="16" t="s">
        <v>42</v>
      </c>
      <c r="T474" s="17">
        <v>192.6</v>
      </c>
    </row>
    <row r="475" spans="17:20" ht="20.149999999999999" customHeight="1" x14ac:dyDescent="0.35">
      <c r="Q475" s="15">
        <v>42</v>
      </c>
      <c r="R475" s="15">
        <v>350</v>
      </c>
      <c r="S475" s="16" t="s">
        <v>42</v>
      </c>
      <c r="T475" s="17">
        <v>198</v>
      </c>
    </row>
    <row r="476" spans="17:20" ht="20.149999999999999" customHeight="1" x14ac:dyDescent="0.35">
      <c r="Q476" s="15">
        <v>43</v>
      </c>
      <c r="R476" s="15">
        <v>350</v>
      </c>
      <c r="S476" s="16" t="s">
        <v>42</v>
      </c>
      <c r="T476" s="17">
        <v>203.4</v>
      </c>
    </row>
    <row r="477" spans="17:20" ht="20.149999999999999" customHeight="1" x14ac:dyDescent="0.35">
      <c r="Q477" s="15">
        <v>44</v>
      </c>
      <c r="R477" s="15">
        <v>350</v>
      </c>
      <c r="S477" s="16" t="s">
        <v>42</v>
      </c>
      <c r="T477" s="17">
        <v>208.79999999999998</v>
      </c>
    </row>
    <row r="478" spans="17:20" ht="20.149999999999999" customHeight="1" x14ac:dyDescent="0.35">
      <c r="Q478" s="15">
        <v>45</v>
      </c>
      <c r="R478" s="15">
        <v>350</v>
      </c>
      <c r="S478" s="16" t="s">
        <v>42</v>
      </c>
      <c r="T478" s="17">
        <v>213.6</v>
      </c>
    </row>
  </sheetData>
  <sheetProtection formatColumns="0" formatRows="0" insertColumns="0" insertRows="0" sort="0" autoFilter="0" pivotTables="0"/>
  <mergeCells count="2">
    <mergeCell ref="A1:A2"/>
    <mergeCell ref="E1:E2"/>
  </mergeCells>
  <conditionalFormatting sqref="F3:F36">
    <cfRule type="cellIs" dxfId="1" priority="1" operator="lessThan">
      <formula>0.9</formula>
    </cfRule>
    <cfRule type="cellIs" dxfId="0" priority="13" operator="lessThan">
      <formula>0.85</formula>
    </cfRule>
  </conditionalFormatting>
  <pageMargins left="0.43" right="0.14000000000000001" top="0.74803149606299213" bottom="0.74803149606299213" header="0.31496062992125984" footer="0.31496062992125984"/>
  <pageSetup paperSize="9" scale="8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37"/>
  <sheetViews>
    <sheetView zoomScale="85" zoomScaleNormal="85" workbookViewId="0">
      <selection activeCell="L44" sqref="L44"/>
    </sheetView>
  </sheetViews>
  <sheetFormatPr defaultColWidth="12.7265625" defaultRowHeight="20.149999999999999" customHeight="1" x14ac:dyDescent="0.35"/>
  <cols>
    <col min="1" max="1" width="11.7265625" style="83" customWidth="1"/>
    <col min="2" max="2" width="10.7265625" style="83" hidden="1" customWidth="1"/>
    <col min="3" max="4" width="10.7265625" style="83" customWidth="1"/>
    <col min="5" max="5" width="12.7265625" style="83" customWidth="1"/>
    <col min="6" max="6" width="10.7265625" style="83" customWidth="1"/>
    <col min="7" max="7" width="12.7265625" style="83" customWidth="1"/>
    <col min="8" max="9" width="10.7265625" style="83" hidden="1" customWidth="1"/>
    <col min="10" max="10" width="12.7265625" style="83" hidden="1" customWidth="1"/>
    <col min="11" max="13" width="9.7265625" style="83" customWidth="1"/>
    <col min="14" max="14" width="10.7265625" style="83" hidden="1" customWidth="1"/>
    <col min="15" max="15" width="12.7265625" style="83" customWidth="1"/>
    <col min="16" max="18" width="10.7265625" style="83" customWidth="1"/>
    <col min="19" max="19" width="18.453125" style="83" customWidth="1"/>
    <col min="20" max="20" width="56.7265625" style="83" customWidth="1"/>
    <col min="21" max="21" width="15.26953125" style="83" bestFit="1" customWidth="1"/>
    <col min="22" max="22" width="30.7265625" style="83" customWidth="1"/>
    <col min="23" max="16384" width="12.7265625" style="83"/>
  </cols>
  <sheetData>
    <row r="1" spans="1:24" ht="20.149999999999999" customHeight="1" x14ac:dyDescent="0.3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68"/>
      <c r="V1" s="68"/>
      <c r="W1" s="8"/>
      <c r="X1" s="68"/>
    </row>
    <row r="2" spans="1:24" ht="20.149999999999999" customHeight="1" thickBot="1" x14ac:dyDescent="0.4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  <c r="U2" s="68"/>
      <c r="V2" s="138" t="s">
        <v>71</v>
      </c>
      <c r="W2" s="95">
        <f>'Rekap Inv'!I2</f>
        <v>1500000</v>
      </c>
      <c r="X2" s="68"/>
    </row>
    <row r="3" spans="1:24" ht="20.149999999999999" customHeight="1" thickBot="1" x14ac:dyDescent="0.4">
      <c r="A3" s="1"/>
      <c r="B3" s="2"/>
      <c r="C3" s="3" t="s">
        <v>61</v>
      </c>
      <c r="D3" s="4" t="s">
        <v>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5"/>
      <c r="U3" s="68"/>
      <c r="V3" s="139" t="s">
        <v>63</v>
      </c>
      <c r="W3" s="117">
        <f>'Rekap Inv'!I3</f>
        <v>0.25</v>
      </c>
      <c r="X3" s="68"/>
    </row>
    <row r="4" spans="1:24" ht="20.149999999999999" customHeight="1" x14ac:dyDescent="0.35">
      <c r="A4" s="156" t="s">
        <v>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158" t="s">
        <v>67</v>
      </c>
      <c r="L4" s="159" t="s">
        <v>66</v>
      </c>
      <c r="M4" s="160" t="s">
        <v>66</v>
      </c>
      <c r="N4" s="6" t="s">
        <v>53</v>
      </c>
      <c r="O4" s="6" t="s">
        <v>54</v>
      </c>
      <c r="P4" s="158" t="s">
        <v>52</v>
      </c>
      <c r="Q4" s="159"/>
      <c r="R4" s="160"/>
      <c r="S4" s="120" t="s">
        <v>3</v>
      </c>
      <c r="T4" s="156" t="s">
        <v>4</v>
      </c>
      <c r="V4" s="139" t="s">
        <v>69</v>
      </c>
      <c r="W4" s="141">
        <v>4</v>
      </c>
      <c r="X4" s="83" t="s">
        <v>68</v>
      </c>
    </row>
    <row r="5" spans="1:24" ht="20.149999999999999" customHeight="1" thickBot="1" x14ac:dyDescent="0.4">
      <c r="A5" s="157"/>
      <c r="B5" s="7" t="s">
        <v>26</v>
      </c>
      <c r="C5" s="7" t="s">
        <v>26</v>
      </c>
      <c r="D5" s="7" t="s">
        <v>26</v>
      </c>
      <c r="E5" s="7" t="s">
        <v>55</v>
      </c>
      <c r="F5" s="7" t="s">
        <v>28</v>
      </c>
      <c r="G5" s="7" t="s">
        <v>27</v>
      </c>
      <c r="H5" s="7" t="s">
        <v>56</v>
      </c>
      <c r="I5" s="7" t="s">
        <v>57</v>
      </c>
      <c r="J5" s="7" t="s">
        <v>58</v>
      </c>
      <c r="K5" s="7" t="s">
        <v>53</v>
      </c>
      <c r="L5" s="7" t="s">
        <v>59</v>
      </c>
      <c r="M5" s="7" t="s">
        <v>60</v>
      </c>
      <c r="N5" s="7" t="s">
        <v>28</v>
      </c>
      <c r="O5" s="7" t="s">
        <v>28</v>
      </c>
      <c r="P5" s="7" t="s">
        <v>53</v>
      </c>
      <c r="Q5" s="7" t="s">
        <v>59</v>
      </c>
      <c r="R5" s="7" t="s">
        <v>60</v>
      </c>
      <c r="S5" s="121" t="s">
        <v>70</v>
      </c>
      <c r="T5" s="157"/>
      <c r="U5" s="142" t="s">
        <v>73</v>
      </c>
    </row>
    <row r="6" spans="1:24" ht="14" x14ac:dyDescent="0.35">
      <c r="A6" s="119">
        <f>'Rekap Inv'!$I$1</f>
        <v>46023</v>
      </c>
      <c r="B6" s="71"/>
      <c r="C6" s="69" t="s">
        <v>66</v>
      </c>
      <c r="D6" s="69" t="s">
        <v>66</v>
      </c>
      <c r="E6" s="70" t="s">
        <v>66</v>
      </c>
      <c r="F6" s="143" t="str">
        <f>IF(G6="","",IF(G6="BA",100%,E6/G6))</f>
        <v/>
      </c>
      <c r="G6" s="144" t="str">
        <f>IF(U6="","",IF(U6="BA","BA",U6))</f>
        <v/>
      </c>
      <c r="H6" s="71">
        <v>55</v>
      </c>
      <c r="I6" s="72">
        <v>1845</v>
      </c>
      <c r="J6" s="71" t="s">
        <v>66</v>
      </c>
      <c r="K6" s="78"/>
      <c r="L6" s="78"/>
      <c r="M6" s="78"/>
      <c r="N6" s="133" t="str">
        <f>IF(K6="","",K6)</f>
        <v/>
      </c>
      <c r="O6" s="80" t="str">
        <f t="shared" ref="O6:O33" si="0">IF(OR(K6="",L6="",M6=""),"",(K6+L6)/SUM(K6:M6))</f>
        <v/>
      </c>
      <c r="P6" s="130"/>
      <c r="Q6" s="130"/>
      <c r="R6" s="130"/>
      <c r="S6" s="86" t="e">
        <f>IF(R6&gt;(24-6),0,IF((AND(P6=0,(COUNTIF(Q$6:Q6,24)+$W$4)&gt;10)),0,IF(U6="BA",(100%*P6+$W$3*Q6)/24*$W$2,(F6*P6+$W$3*Q6)/24*$W$2)))</f>
        <v>#VALUE!</v>
      </c>
      <c r="T6" s="122"/>
      <c r="U6" s="140"/>
      <c r="V6" s="84"/>
      <c r="W6" s="85"/>
    </row>
    <row r="7" spans="1:24" ht="14" x14ac:dyDescent="0.35">
      <c r="A7" s="79">
        <f>A6+1</f>
        <v>46024</v>
      </c>
      <c r="B7" s="76"/>
      <c r="C7" s="74" t="s">
        <v>66</v>
      </c>
      <c r="D7" s="74" t="s">
        <v>66</v>
      </c>
      <c r="E7" s="75" t="s">
        <v>66</v>
      </c>
      <c r="F7" s="145" t="str">
        <f t="shared" ref="F7:F36" si="1">IF(G7="","",IF(G7="BA",100%,E7/G7))</f>
        <v/>
      </c>
      <c r="G7" s="146" t="str">
        <f t="shared" ref="G7:G36" si="2">IF(U7="","",IF(U7="BA","BA",U7))</f>
        <v/>
      </c>
      <c r="H7" s="76" t="s">
        <v>66</v>
      </c>
      <c r="I7" s="77" t="s">
        <v>66</v>
      </c>
      <c r="J7" s="76" t="s">
        <v>66</v>
      </c>
      <c r="K7" s="73"/>
      <c r="L7" s="73"/>
      <c r="M7" s="73"/>
      <c r="N7" s="134" t="str">
        <f t="shared" ref="N7:N36" si="3">IF(K7="","",K7)</f>
        <v/>
      </c>
      <c r="O7" s="81" t="str">
        <f t="shared" si="0"/>
        <v/>
      </c>
      <c r="P7" s="131"/>
      <c r="Q7" s="131"/>
      <c r="R7" s="131"/>
      <c r="S7" s="87" t="e">
        <f>IF(R7&gt;(24-6),0,IF((AND(P7=0,(COUNTIF(Q$6:Q7,24)+$W$4)&gt;10)),0,IF(U7="BA",(100%*P7+$W$3*Q7)/24*$W$2,(F7*P7+$W$3*Q7)/24*$W$2)))</f>
        <v>#VALUE!</v>
      </c>
      <c r="T7" s="123"/>
      <c r="U7" s="140"/>
      <c r="V7" s="84"/>
      <c r="W7" s="85"/>
    </row>
    <row r="8" spans="1:24" ht="14" x14ac:dyDescent="0.35">
      <c r="A8" s="79">
        <f t="shared" ref="A8:A36" si="4">A7+1</f>
        <v>46025</v>
      </c>
      <c r="B8" s="76"/>
      <c r="C8" s="74" t="s">
        <v>66</v>
      </c>
      <c r="D8" s="74" t="s">
        <v>66</v>
      </c>
      <c r="E8" s="75" t="s">
        <v>66</v>
      </c>
      <c r="F8" s="145" t="str">
        <f t="shared" si="1"/>
        <v/>
      </c>
      <c r="G8" s="146" t="str">
        <f t="shared" si="2"/>
        <v/>
      </c>
      <c r="H8" s="76" t="s">
        <v>66</v>
      </c>
      <c r="I8" s="77" t="s">
        <v>66</v>
      </c>
      <c r="J8" s="76" t="s">
        <v>66</v>
      </c>
      <c r="K8" s="73"/>
      <c r="L8" s="73"/>
      <c r="M8" s="73"/>
      <c r="N8" s="134" t="str">
        <f t="shared" si="3"/>
        <v/>
      </c>
      <c r="O8" s="81" t="str">
        <f t="shared" si="0"/>
        <v/>
      </c>
      <c r="P8" s="131"/>
      <c r="Q8" s="131"/>
      <c r="R8" s="131"/>
      <c r="S8" s="87" t="e">
        <f>IF(R8&gt;(24-6),0,IF((AND(P8=0,(COUNTIF(Q$6:Q8,24)+$W$4)&gt;10)),0,IF(U8="BA",(100%*P8+$W$3*Q8)/24*$W$2,(F8*P8+$W$3*Q8)/24*$W$2)))</f>
        <v>#VALUE!</v>
      </c>
      <c r="T8" s="123"/>
      <c r="U8" s="140"/>
      <c r="V8" s="84"/>
      <c r="W8" s="85"/>
    </row>
    <row r="9" spans="1:24" ht="14" x14ac:dyDescent="0.35">
      <c r="A9" s="79">
        <f t="shared" si="4"/>
        <v>46026</v>
      </c>
      <c r="B9" s="76"/>
      <c r="C9" s="74" t="s">
        <v>66</v>
      </c>
      <c r="D9" s="74" t="s">
        <v>66</v>
      </c>
      <c r="E9" s="75" t="s">
        <v>66</v>
      </c>
      <c r="F9" s="145" t="str">
        <f t="shared" si="1"/>
        <v/>
      </c>
      <c r="G9" s="146" t="str">
        <f t="shared" si="2"/>
        <v/>
      </c>
      <c r="H9" s="76" t="s">
        <v>66</v>
      </c>
      <c r="I9" s="77" t="s">
        <v>66</v>
      </c>
      <c r="J9" s="76" t="s">
        <v>66</v>
      </c>
      <c r="K9" s="73"/>
      <c r="L9" s="73"/>
      <c r="M9" s="73"/>
      <c r="N9" s="134" t="str">
        <f t="shared" si="3"/>
        <v/>
      </c>
      <c r="O9" s="81" t="str">
        <f t="shared" si="0"/>
        <v/>
      </c>
      <c r="P9" s="131"/>
      <c r="Q9" s="131"/>
      <c r="R9" s="131"/>
      <c r="S9" s="87" t="e">
        <f>IF(R9&gt;(24-6),0,IF((AND(P9=0,(COUNTIF(Q$6:Q9,24)+$W$4)&gt;10)),0,IF(U9="BA",(100%*P9+$W$3*Q9)/24*$W$2,(F9*P9+$W$3*Q9)/24*$W$2)))</f>
        <v>#VALUE!</v>
      </c>
      <c r="T9" s="123"/>
      <c r="U9" s="140"/>
      <c r="V9" s="84"/>
      <c r="W9" s="85"/>
    </row>
    <row r="10" spans="1:24" ht="14" x14ac:dyDescent="0.35">
      <c r="A10" s="79">
        <f t="shared" si="4"/>
        <v>46027</v>
      </c>
      <c r="B10" s="76"/>
      <c r="C10" s="74" t="s">
        <v>66</v>
      </c>
      <c r="D10" s="74" t="s">
        <v>66</v>
      </c>
      <c r="E10" s="75" t="s">
        <v>66</v>
      </c>
      <c r="F10" s="145" t="str">
        <f t="shared" si="1"/>
        <v/>
      </c>
      <c r="G10" s="146" t="str">
        <f t="shared" si="2"/>
        <v/>
      </c>
      <c r="H10" s="76" t="s">
        <v>66</v>
      </c>
      <c r="I10" s="77" t="s">
        <v>66</v>
      </c>
      <c r="J10" s="76" t="s">
        <v>66</v>
      </c>
      <c r="K10" s="73"/>
      <c r="L10" s="73"/>
      <c r="M10" s="73"/>
      <c r="N10" s="134" t="str">
        <f t="shared" si="3"/>
        <v/>
      </c>
      <c r="O10" s="81" t="str">
        <f t="shared" si="0"/>
        <v/>
      </c>
      <c r="P10" s="131"/>
      <c r="Q10" s="131"/>
      <c r="R10" s="131"/>
      <c r="S10" s="87" t="e">
        <f>IF(R10&gt;(24-6),0,IF((AND(P10=0,(COUNTIF(Q$6:Q10,24)+$W$4)&gt;10)),0,IF(U10="BA",(100%*P10+$W$3*Q10)/24*$W$2,(F10*P10+$W$3*Q10)/24*$W$2)))</f>
        <v>#VALUE!</v>
      </c>
      <c r="T10" s="123"/>
      <c r="U10" s="140"/>
      <c r="V10" s="84"/>
      <c r="W10" s="85"/>
    </row>
    <row r="11" spans="1:24" ht="14" x14ac:dyDescent="0.35">
      <c r="A11" s="79">
        <f t="shared" si="4"/>
        <v>46028</v>
      </c>
      <c r="B11" s="76"/>
      <c r="C11" s="74" t="s">
        <v>66</v>
      </c>
      <c r="D11" s="74" t="s">
        <v>66</v>
      </c>
      <c r="E11" s="75" t="s">
        <v>66</v>
      </c>
      <c r="F11" s="145" t="str">
        <f t="shared" si="1"/>
        <v/>
      </c>
      <c r="G11" s="146" t="str">
        <f t="shared" si="2"/>
        <v/>
      </c>
      <c r="H11" s="76" t="s">
        <v>66</v>
      </c>
      <c r="I11" s="77" t="s">
        <v>66</v>
      </c>
      <c r="J11" s="76" t="s">
        <v>66</v>
      </c>
      <c r="K11" s="73"/>
      <c r="L11" s="73"/>
      <c r="M11" s="73"/>
      <c r="N11" s="134" t="str">
        <f t="shared" si="3"/>
        <v/>
      </c>
      <c r="O11" s="81" t="str">
        <f t="shared" si="0"/>
        <v/>
      </c>
      <c r="P11" s="131"/>
      <c r="Q11" s="131"/>
      <c r="R11" s="131"/>
      <c r="S11" s="87" t="e">
        <f>IF(R11&gt;(24-6),0,IF((AND(P11=0,(COUNTIF(Q$6:Q11,24)+$W$4)&gt;10)),0,IF(U11="BA",(100%*P11+$W$3*Q11)/24*$W$2,(F11*P11+$W$3*Q11)/24*$W$2)))</f>
        <v>#VALUE!</v>
      </c>
      <c r="T11" s="123"/>
      <c r="U11" s="140"/>
      <c r="V11" s="84"/>
      <c r="W11" s="85"/>
    </row>
    <row r="12" spans="1:24" ht="14" x14ac:dyDescent="0.35">
      <c r="A12" s="79">
        <f t="shared" si="4"/>
        <v>46029</v>
      </c>
      <c r="B12" s="76"/>
      <c r="C12" s="74" t="s">
        <v>66</v>
      </c>
      <c r="D12" s="74" t="s">
        <v>66</v>
      </c>
      <c r="E12" s="75" t="s">
        <v>66</v>
      </c>
      <c r="F12" s="145" t="str">
        <f t="shared" si="1"/>
        <v/>
      </c>
      <c r="G12" s="146" t="str">
        <f t="shared" si="2"/>
        <v/>
      </c>
      <c r="H12" s="76" t="s">
        <v>66</v>
      </c>
      <c r="I12" s="77" t="s">
        <v>66</v>
      </c>
      <c r="J12" s="76" t="s">
        <v>66</v>
      </c>
      <c r="K12" s="73"/>
      <c r="L12" s="73"/>
      <c r="M12" s="73"/>
      <c r="N12" s="134" t="str">
        <f t="shared" si="3"/>
        <v/>
      </c>
      <c r="O12" s="81" t="str">
        <f t="shared" si="0"/>
        <v/>
      </c>
      <c r="P12" s="131"/>
      <c r="Q12" s="131"/>
      <c r="R12" s="131"/>
      <c r="S12" s="87" t="e">
        <f>IF(R12&gt;(24-6),0,IF((AND(P12=0,(COUNTIF(Q$6:Q12,24)+$W$4)&gt;10)),0,IF(U12="BA",(100%*P12+$W$3*Q12)/24*$W$2,(F12*P12+$W$3*Q12)/24*$W$2)))</f>
        <v>#VALUE!</v>
      </c>
      <c r="T12" s="123"/>
      <c r="U12" s="140"/>
      <c r="V12" s="84"/>
      <c r="W12" s="85"/>
    </row>
    <row r="13" spans="1:24" ht="14" x14ac:dyDescent="0.35">
      <c r="A13" s="79">
        <f t="shared" si="4"/>
        <v>46030</v>
      </c>
      <c r="B13" s="76"/>
      <c r="C13" s="74" t="s">
        <v>66</v>
      </c>
      <c r="D13" s="74" t="s">
        <v>66</v>
      </c>
      <c r="E13" s="75" t="s">
        <v>66</v>
      </c>
      <c r="F13" s="145" t="str">
        <f t="shared" si="1"/>
        <v/>
      </c>
      <c r="G13" s="146" t="str">
        <f t="shared" si="2"/>
        <v/>
      </c>
      <c r="H13" s="76" t="s">
        <v>66</v>
      </c>
      <c r="I13" s="77" t="s">
        <v>66</v>
      </c>
      <c r="J13" s="76" t="s">
        <v>66</v>
      </c>
      <c r="K13" s="73"/>
      <c r="L13" s="73"/>
      <c r="M13" s="73"/>
      <c r="N13" s="134" t="str">
        <f t="shared" si="3"/>
        <v/>
      </c>
      <c r="O13" s="81" t="str">
        <f t="shared" si="0"/>
        <v/>
      </c>
      <c r="P13" s="131"/>
      <c r="Q13" s="131"/>
      <c r="R13" s="131"/>
      <c r="S13" s="87" t="e">
        <f>IF(R13&gt;(24-6),0,IF((AND(P13=0,(COUNTIF(Q$6:Q13,24)+$W$4)&gt;10)),0,IF(U13="BA",(100%*P13+$W$3*Q13)/24*$W$2,(F13*P13+$W$3*Q13)/24*$W$2)))</f>
        <v>#VALUE!</v>
      </c>
      <c r="T13" s="123"/>
      <c r="U13" s="140"/>
      <c r="V13" s="84"/>
      <c r="W13" s="85"/>
    </row>
    <row r="14" spans="1:24" ht="14" x14ac:dyDescent="0.35">
      <c r="A14" s="79">
        <f t="shared" si="4"/>
        <v>46031</v>
      </c>
      <c r="B14" s="76"/>
      <c r="C14" s="74" t="s">
        <v>66</v>
      </c>
      <c r="D14" s="74" t="s">
        <v>66</v>
      </c>
      <c r="E14" s="75" t="s">
        <v>66</v>
      </c>
      <c r="F14" s="145" t="str">
        <f t="shared" si="1"/>
        <v/>
      </c>
      <c r="G14" s="146" t="str">
        <f t="shared" si="2"/>
        <v/>
      </c>
      <c r="H14" s="76" t="s">
        <v>66</v>
      </c>
      <c r="I14" s="77" t="s">
        <v>66</v>
      </c>
      <c r="J14" s="76" t="s">
        <v>66</v>
      </c>
      <c r="K14" s="73"/>
      <c r="L14" s="73"/>
      <c r="M14" s="73"/>
      <c r="N14" s="134" t="str">
        <f t="shared" si="3"/>
        <v/>
      </c>
      <c r="O14" s="81" t="str">
        <f t="shared" si="0"/>
        <v/>
      </c>
      <c r="P14" s="131"/>
      <c r="Q14" s="131"/>
      <c r="R14" s="131"/>
      <c r="S14" s="87" t="e">
        <f>IF(R14&gt;(24-6),0,IF((AND(P14=0,(COUNTIF(Q$6:Q14,24)+$W$4)&gt;10)),0,IF(U14="BA",(100%*P14+$W$3*Q14)/24*$W$2,(F14*P14+$W$3*Q14)/24*$W$2)))</f>
        <v>#VALUE!</v>
      </c>
      <c r="T14" s="123"/>
      <c r="U14" s="140"/>
      <c r="V14" s="84"/>
      <c r="W14" s="85"/>
    </row>
    <row r="15" spans="1:24" ht="14" x14ac:dyDescent="0.35">
      <c r="A15" s="79">
        <f t="shared" si="4"/>
        <v>46032</v>
      </c>
      <c r="B15" s="76"/>
      <c r="C15" s="74" t="s">
        <v>66</v>
      </c>
      <c r="D15" s="74" t="s">
        <v>66</v>
      </c>
      <c r="E15" s="75" t="s">
        <v>66</v>
      </c>
      <c r="F15" s="145" t="str">
        <f t="shared" si="1"/>
        <v/>
      </c>
      <c r="G15" s="146" t="str">
        <f t="shared" si="2"/>
        <v/>
      </c>
      <c r="H15" s="76" t="s">
        <v>66</v>
      </c>
      <c r="I15" s="77" t="s">
        <v>66</v>
      </c>
      <c r="J15" s="76" t="s">
        <v>66</v>
      </c>
      <c r="K15" s="73"/>
      <c r="L15" s="73"/>
      <c r="M15" s="73"/>
      <c r="N15" s="134" t="str">
        <f t="shared" si="3"/>
        <v/>
      </c>
      <c r="O15" s="81" t="str">
        <f t="shared" si="0"/>
        <v/>
      </c>
      <c r="P15" s="131"/>
      <c r="Q15" s="131"/>
      <c r="R15" s="131"/>
      <c r="S15" s="87" t="e">
        <f>IF(R15&gt;(24-6),0,IF((AND(P15=0,(COUNTIF(Q$6:Q15,24)+$W$4)&gt;10)),0,IF(U15="BA",(100%*P15+$W$3*Q15)/24*$W$2,(F15*P15+$W$3*Q15)/24*$W$2)))</f>
        <v>#VALUE!</v>
      </c>
      <c r="T15" s="123"/>
      <c r="U15" s="140"/>
      <c r="V15" s="84"/>
      <c r="W15" s="85"/>
    </row>
    <row r="16" spans="1:24" ht="14" x14ac:dyDescent="0.35">
      <c r="A16" s="79">
        <f t="shared" si="4"/>
        <v>46033</v>
      </c>
      <c r="B16" s="76"/>
      <c r="C16" s="74" t="s">
        <v>66</v>
      </c>
      <c r="D16" s="74" t="s">
        <v>66</v>
      </c>
      <c r="E16" s="75" t="s">
        <v>66</v>
      </c>
      <c r="F16" s="145" t="str">
        <f t="shared" si="1"/>
        <v/>
      </c>
      <c r="G16" s="146" t="str">
        <f t="shared" si="2"/>
        <v/>
      </c>
      <c r="H16" s="76" t="s">
        <v>66</v>
      </c>
      <c r="I16" s="77" t="s">
        <v>66</v>
      </c>
      <c r="J16" s="76" t="s">
        <v>66</v>
      </c>
      <c r="K16" s="73"/>
      <c r="L16" s="73"/>
      <c r="M16" s="73"/>
      <c r="N16" s="134" t="str">
        <f t="shared" si="3"/>
        <v/>
      </c>
      <c r="O16" s="81" t="str">
        <f t="shared" si="0"/>
        <v/>
      </c>
      <c r="P16" s="131"/>
      <c r="Q16" s="131"/>
      <c r="R16" s="131"/>
      <c r="S16" s="87" t="e">
        <f>IF(R16&gt;(24-6),0,IF((AND(P16=0,(COUNTIF(Q$6:Q16,24)+$W$4)&gt;10)),0,IF(U16="BA",(100%*P16+$W$3*Q16)/24*$W$2,(F16*P16+$W$3*Q16)/24*$W$2)))</f>
        <v>#VALUE!</v>
      </c>
      <c r="T16" s="123"/>
      <c r="U16" s="140"/>
      <c r="V16" s="84"/>
      <c r="W16" s="85"/>
    </row>
    <row r="17" spans="1:23" ht="14" x14ac:dyDescent="0.35">
      <c r="A17" s="79">
        <f t="shared" si="4"/>
        <v>46034</v>
      </c>
      <c r="B17" s="76"/>
      <c r="C17" s="74" t="s">
        <v>66</v>
      </c>
      <c r="D17" s="74" t="s">
        <v>66</v>
      </c>
      <c r="E17" s="75" t="s">
        <v>66</v>
      </c>
      <c r="F17" s="145" t="str">
        <f t="shared" si="1"/>
        <v/>
      </c>
      <c r="G17" s="146" t="str">
        <f t="shared" si="2"/>
        <v/>
      </c>
      <c r="H17" s="76">
        <v>47.2</v>
      </c>
      <c r="I17" s="77">
        <v>1811</v>
      </c>
      <c r="J17" s="76" t="s">
        <v>66</v>
      </c>
      <c r="K17" s="73"/>
      <c r="L17" s="73"/>
      <c r="M17" s="73"/>
      <c r="N17" s="134" t="str">
        <f t="shared" si="3"/>
        <v/>
      </c>
      <c r="O17" s="81" t="str">
        <f t="shared" si="0"/>
        <v/>
      </c>
      <c r="P17" s="131"/>
      <c r="Q17" s="131"/>
      <c r="R17" s="131"/>
      <c r="S17" s="87" t="e">
        <f>IF(R17&gt;(24-6),0,IF((AND(P17=0,(COUNTIF(Q$6:Q17,24)+$W$4)&gt;10)),0,IF(U17="BA",(100%*P17+$W$3*Q17)/24*$W$2,(F17*P17+$W$3*Q17)/24*$W$2)))</f>
        <v>#VALUE!</v>
      </c>
      <c r="T17" s="123"/>
      <c r="U17" s="140"/>
      <c r="V17" s="84"/>
      <c r="W17" s="85"/>
    </row>
    <row r="18" spans="1:23" ht="14" x14ac:dyDescent="0.35">
      <c r="A18" s="79">
        <f t="shared" si="4"/>
        <v>46035</v>
      </c>
      <c r="B18" s="76"/>
      <c r="C18" s="74" t="s">
        <v>66</v>
      </c>
      <c r="D18" s="74" t="s">
        <v>66</v>
      </c>
      <c r="E18" s="75" t="s">
        <v>66</v>
      </c>
      <c r="F18" s="145" t="str">
        <f t="shared" si="1"/>
        <v/>
      </c>
      <c r="G18" s="146" t="str">
        <f t="shared" si="2"/>
        <v/>
      </c>
      <c r="H18" s="76">
        <v>50.6</v>
      </c>
      <c r="I18" s="77">
        <v>1828</v>
      </c>
      <c r="J18" s="76" t="s">
        <v>66</v>
      </c>
      <c r="K18" s="73"/>
      <c r="L18" s="73"/>
      <c r="M18" s="73"/>
      <c r="N18" s="134" t="str">
        <f t="shared" si="3"/>
        <v/>
      </c>
      <c r="O18" s="81" t="str">
        <f t="shared" si="0"/>
        <v/>
      </c>
      <c r="P18" s="131"/>
      <c r="Q18" s="131"/>
      <c r="R18" s="131"/>
      <c r="S18" s="87" t="e">
        <f>IF(R18&gt;(24-6),0,IF((AND(P18=0,(COUNTIF(Q$6:Q18,24)+$W$4)&gt;10)),0,IF(U18="BA",(100%*P18+$W$3*Q18)/24*$W$2,(F18*P18+$W$3*Q18)/24*$W$2)))</f>
        <v>#VALUE!</v>
      </c>
      <c r="T18" s="123"/>
      <c r="U18" s="140"/>
      <c r="V18" s="84"/>
      <c r="W18" s="85"/>
    </row>
    <row r="19" spans="1:23" ht="14" x14ac:dyDescent="0.35">
      <c r="A19" s="79">
        <f t="shared" si="4"/>
        <v>46036</v>
      </c>
      <c r="B19" s="76"/>
      <c r="C19" s="74" t="s">
        <v>66</v>
      </c>
      <c r="D19" s="74" t="s">
        <v>66</v>
      </c>
      <c r="E19" s="75" t="s">
        <v>66</v>
      </c>
      <c r="F19" s="145" t="str">
        <f t="shared" si="1"/>
        <v/>
      </c>
      <c r="G19" s="146" t="str">
        <f t="shared" si="2"/>
        <v/>
      </c>
      <c r="H19" s="76">
        <v>52</v>
      </c>
      <c r="I19" s="77">
        <v>1849</v>
      </c>
      <c r="J19" s="76" t="s">
        <v>66</v>
      </c>
      <c r="K19" s="73"/>
      <c r="L19" s="73"/>
      <c r="M19" s="73"/>
      <c r="N19" s="134" t="str">
        <f t="shared" si="3"/>
        <v/>
      </c>
      <c r="O19" s="81" t="str">
        <f t="shared" si="0"/>
        <v/>
      </c>
      <c r="P19" s="131"/>
      <c r="Q19" s="131"/>
      <c r="R19" s="131"/>
      <c r="S19" s="87" t="e">
        <f>IF(R19&gt;(24-6),0,IF((AND(P19=0,(COUNTIF(Q$6:Q19,24)+$W$4)&gt;10)),0,IF(U19="BA",(100%*P19+$W$3*Q19)/24*$W$2,(F19*P19+$W$3*Q19)/24*$W$2)))</f>
        <v>#VALUE!</v>
      </c>
      <c r="T19" s="123"/>
      <c r="U19" s="140"/>
      <c r="V19" s="84"/>
      <c r="W19" s="85"/>
    </row>
    <row r="20" spans="1:23" ht="14" x14ac:dyDescent="0.35">
      <c r="A20" s="79">
        <f t="shared" si="4"/>
        <v>46037</v>
      </c>
      <c r="B20" s="76"/>
      <c r="C20" s="74"/>
      <c r="D20" s="74"/>
      <c r="E20" s="75"/>
      <c r="F20" s="145" t="str">
        <f t="shared" si="1"/>
        <v/>
      </c>
      <c r="G20" s="146" t="str">
        <f t="shared" si="2"/>
        <v/>
      </c>
      <c r="H20" s="76">
        <v>51.5</v>
      </c>
      <c r="I20" s="77">
        <v>1844</v>
      </c>
      <c r="J20" s="76" t="s">
        <v>66</v>
      </c>
      <c r="K20" s="73"/>
      <c r="L20" s="73"/>
      <c r="M20" s="73"/>
      <c r="N20" s="134" t="str">
        <f t="shared" si="3"/>
        <v/>
      </c>
      <c r="O20" s="81" t="str">
        <f t="shared" si="0"/>
        <v/>
      </c>
      <c r="P20" s="131"/>
      <c r="Q20" s="131"/>
      <c r="R20" s="131"/>
      <c r="S20" s="87" t="e">
        <f>IF(R20&gt;(24-6),0,IF((AND(P20=0,(COUNTIF(Q$6:Q20,24)+$W$4)&gt;10)),0,IF(U20="BA",(100%*P20+$W$3*Q20)/24*$W$2,(F20*P20+$W$3*Q20)/24*$W$2)))</f>
        <v>#VALUE!</v>
      </c>
      <c r="T20" s="123"/>
      <c r="U20" s="140"/>
      <c r="V20" s="84"/>
      <c r="W20" s="85"/>
    </row>
    <row r="21" spans="1:23" ht="14" x14ac:dyDescent="0.35">
      <c r="A21" s="79">
        <f t="shared" si="4"/>
        <v>46038</v>
      </c>
      <c r="B21" s="76"/>
      <c r="C21" s="74"/>
      <c r="D21" s="74"/>
      <c r="E21" s="75"/>
      <c r="F21" s="145" t="str">
        <f t="shared" si="1"/>
        <v/>
      </c>
      <c r="G21" s="146" t="str">
        <f t="shared" si="2"/>
        <v/>
      </c>
      <c r="H21" s="76">
        <v>51.7</v>
      </c>
      <c r="I21" s="77">
        <v>1834</v>
      </c>
      <c r="J21" s="76" t="s">
        <v>66</v>
      </c>
      <c r="K21" s="73"/>
      <c r="L21" s="73"/>
      <c r="M21" s="73"/>
      <c r="N21" s="134" t="str">
        <f t="shared" si="3"/>
        <v/>
      </c>
      <c r="O21" s="81" t="str">
        <f t="shared" si="0"/>
        <v/>
      </c>
      <c r="P21" s="131"/>
      <c r="Q21" s="131"/>
      <c r="R21" s="131"/>
      <c r="S21" s="87" t="e">
        <f>IF(R21&gt;(24-6),0,IF((AND(P21=0,(COUNTIF(Q$6:Q21,24)+$W$4)&gt;10)),0,IF(U21="BA",(100%*P21+$W$3*Q21)/24*$W$2,(F21*P21+$W$3*Q21)/24*$W$2)))</f>
        <v>#VALUE!</v>
      </c>
      <c r="T21" s="123"/>
      <c r="U21" s="140"/>
      <c r="V21" s="84"/>
      <c r="W21" s="85"/>
    </row>
    <row r="22" spans="1:23" ht="14" x14ac:dyDescent="0.35">
      <c r="A22" s="79">
        <f t="shared" si="4"/>
        <v>46039</v>
      </c>
      <c r="B22" s="76"/>
      <c r="C22" s="74"/>
      <c r="D22" s="74"/>
      <c r="E22" s="75"/>
      <c r="F22" s="145" t="str">
        <f t="shared" si="1"/>
        <v/>
      </c>
      <c r="G22" s="146" t="str">
        <f t="shared" si="2"/>
        <v/>
      </c>
      <c r="H22" s="76">
        <v>50.4</v>
      </c>
      <c r="I22" s="77">
        <v>1837</v>
      </c>
      <c r="J22" s="76" t="s">
        <v>66</v>
      </c>
      <c r="K22" s="73"/>
      <c r="L22" s="73"/>
      <c r="M22" s="73"/>
      <c r="N22" s="134" t="str">
        <f t="shared" si="3"/>
        <v/>
      </c>
      <c r="O22" s="81" t="str">
        <f t="shared" si="0"/>
        <v/>
      </c>
      <c r="P22" s="131"/>
      <c r="Q22" s="131"/>
      <c r="R22" s="131"/>
      <c r="S22" s="87" t="e">
        <f>IF(R22&gt;(24-6),0,IF((AND(P22=0,(COUNTIF(Q$6:Q22,24)+$W$4)&gt;10)),0,IF(U22="BA",(100%*P22+$W$3*Q22)/24*$W$2,(F22*P22+$W$3*Q22)/24*$W$2)))</f>
        <v>#VALUE!</v>
      </c>
      <c r="T22" s="123"/>
      <c r="U22" s="140"/>
      <c r="V22" s="84"/>
      <c r="W22" s="85"/>
    </row>
    <row r="23" spans="1:23" ht="14" x14ac:dyDescent="0.35">
      <c r="A23" s="79">
        <f t="shared" si="4"/>
        <v>46040</v>
      </c>
      <c r="B23" s="76"/>
      <c r="C23" s="74" t="s">
        <v>66</v>
      </c>
      <c r="D23" s="74" t="s">
        <v>66</v>
      </c>
      <c r="E23" s="75" t="s">
        <v>66</v>
      </c>
      <c r="F23" s="145" t="str">
        <f t="shared" si="1"/>
        <v/>
      </c>
      <c r="G23" s="146" t="str">
        <f t="shared" si="2"/>
        <v/>
      </c>
      <c r="H23" s="76">
        <v>51.5</v>
      </c>
      <c r="I23" s="77">
        <v>1845</v>
      </c>
      <c r="J23" s="76" t="s">
        <v>66</v>
      </c>
      <c r="K23" s="73"/>
      <c r="L23" s="73"/>
      <c r="M23" s="73"/>
      <c r="N23" s="134" t="str">
        <f t="shared" si="3"/>
        <v/>
      </c>
      <c r="O23" s="81" t="str">
        <f t="shared" si="0"/>
        <v/>
      </c>
      <c r="P23" s="131"/>
      <c r="Q23" s="131"/>
      <c r="R23" s="131"/>
      <c r="S23" s="87">
        <v>1262500</v>
      </c>
      <c r="T23" s="123"/>
      <c r="U23" s="140"/>
      <c r="V23" s="84"/>
      <c r="W23" s="85"/>
    </row>
    <row r="24" spans="1:23" ht="14" x14ac:dyDescent="0.35">
      <c r="A24" s="79">
        <f t="shared" si="4"/>
        <v>46041</v>
      </c>
      <c r="B24" s="76"/>
      <c r="C24" s="74" t="s">
        <v>66</v>
      </c>
      <c r="D24" s="74" t="s">
        <v>66</v>
      </c>
      <c r="E24" s="75" t="s">
        <v>66</v>
      </c>
      <c r="F24" s="145" t="str">
        <f t="shared" si="1"/>
        <v/>
      </c>
      <c r="G24" s="146" t="str">
        <f t="shared" si="2"/>
        <v/>
      </c>
      <c r="H24" s="76">
        <v>50.2</v>
      </c>
      <c r="I24" s="77">
        <v>1855</v>
      </c>
      <c r="J24" s="76" t="s">
        <v>66</v>
      </c>
      <c r="K24" s="73"/>
      <c r="L24" s="73"/>
      <c r="M24" s="73"/>
      <c r="N24" s="134" t="str">
        <f t="shared" si="3"/>
        <v/>
      </c>
      <c r="O24" s="81" t="str">
        <f t="shared" si="0"/>
        <v/>
      </c>
      <c r="P24" s="131"/>
      <c r="Q24" s="131"/>
      <c r="R24" s="131"/>
      <c r="S24" s="87">
        <v>1262500</v>
      </c>
      <c r="T24" s="123"/>
      <c r="U24" s="140"/>
      <c r="V24" s="84"/>
      <c r="W24" s="85"/>
    </row>
    <row r="25" spans="1:23" ht="14" x14ac:dyDescent="0.35">
      <c r="A25" s="79">
        <f t="shared" si="4"/>
        <v>46042</v>
      </c>
      <c r="B25" s="76"/>
      <c r="C25" s="74" t="s">
        <v>66</v>
      </c>
      <c r="D25" s="74" t="s">
        <v>66</v>
      </c>
      <c r="E25" s="75" t="s">
        <v>66</v>
      </c>
      <c r="F25" s="145" t="str">
        <f t="shared" si="1"/>
        <v/>
      </c>
      <c r="G25" s="146" t="str">
        <f t="shared" si="2"/>
        <v/>
      </c>
      <c r="H25" s="76">
        <v>52.3</v>
      </c>
      <c r="I25" s="77">
        <v>1852</v>
      </c>
      <c r="J25" s="76" t="s">
        <v>66</v>
      </c>
      <c r="K25" s="73"/>
      <c r="L25" s="73"/>
      <c r="M25" s="73"/>
      <c r="N25" s="134" t="str">
        <f t="shared" si="3"/>
        <v/>
      </c>
      <c r="O25" s="81" t="str">
        <f t="shared" si="0"/>
        <v/>
      </c>
      <c r="P25" s="131"/>
      <c r="Q25" s="131"/>
      <c r="R25" s="131"/>
      <c r="S25" s="87">
        <v>1262500</v>
      </c>
      <c r="T25" s="123"/>
      <c r="U25" s="140"/>
      <c r="V25" s="84"/>
      <c r="W25" s="85"/>
    </row>
    <row r="26" spans="1:23" ht="14" x14ac:dyDescent="0.35">
      <c r="A26" s="79">
        <f t="shared" si="4"/>
        <v>46043</v>
      </c>
      <c r="B26" s="76"/>
      <c r="C26" s="74" t="s">
        <v>66</v>
      </c>
      <c r="D26" s="74" t="s">
        <v>66</v>
      </c>
      <c r="E26" s="75" t="s">
        <v>66</v>
      </c>
      <c r="F26" s="147" t="str">
        <f t="shared" si="1"/>
        <v/>
      </c>
      <c r="G26" s="146" t="str">
        <f t="shared" si="2"/>
        <v/>
      </c>
      <c r="H26" s="76">
        <v>53.3</v>
      </c>
      <c r="I26" s="77">
        <v>1874</v>
      </c>
      <c r="J26" s="76" t="s">
        <v>66</v>
      </c>
      <c r="K26" s="73"/>
      <c r="L26" s="73"/>
      <c r="M26" s="73"/>
      <c r="N26" s="135" t="str">
        <f t="shared" si="3"/>
        <v/>
      </c>
      <c r="O26" s="82" t="str">
        <f t="shared" si="0"/>
        <v/>
      </c>
      <c r="P26" s="131"/>
      <c r="Q26" s="131"/>
      <c r="R26" s="131"/>
      <c r="S26" s="87">
        <v>1262500</v>
      </c>
      <c r="T26" s="123"/>
      <c r="U26" s="140"/>
      <c r="V26" s="84"/>
      <c r="W26" s="85"/>
    </row>
    <row r="27" spans="1:23" ht="14" x14ac:dyDescent="0.35">
      <c r="A27" s="79">
        <f t="shared" si="4"/>
        <v>46044</v>
      </c>
      <c r="B27" s="76"/>
      <c r="C27" s="74" t="s">
        <v>66</v>
      </c>
      <c r="D27" s="74" t="s">
        <v>66</v>
      </c>
      <c r="E27" s="75" t="s">
        <v>66</v>
      </c>
      <c r="F27" s="147" t="str">
        <f t="shared" si="1"/>
        <v/>
      </c>
      <c r="G27" s="146" t="str">
        <f t="shared" si="2"/>
        <v/>
      </c>
      <c r="H27" s="76">
        <v>52</v>
      </c>
      <c r="I27" s="77">
        <v>1866</v>
      </c>
      <c r="J27" s="76" t="s">
        <v>66</v>
      </c>
      <c r="K27" s="73"/>
      <c r="L27" s="73"/>
      <c r="M27" s="73"/>
      <c r="N27" s="135" t="str">
        <f t="shared" si="3"/>
        <v/>
      </c>
      <c r="O27" s="82" t="str">
        <f t="shared" si="0"/>
        <v/>
      </c>
      <c r="P27" s="131"/>
      <c r="Q27" s="131"/>
      <c r="R27" s="131"/>
      <c r="S27" s="87">
        <v>1262500</v>
      </c>
      <c r="T27" s="123"/>
      <c r="U27" s="140"/>
      <c r="V27" s="84"/>
      <c r="W27" s="85"/>
    </row>
    <row r="28" spans="1:23" ht="14" x14ac:dyDescent="0.35">
      <c r="A28" s="79">
        <f t="shared" si="4"/>
        <v>46045</v>
      </c>
      <c r="B28" s="76"/>
      <c r="C28" s="74" t="s">
        <v>66</v>
      </c>
      <c r="D28" s="74" t="s">
        <v>66</v>
      </c>
      <c r="E28" s="75" t="s">
        <v>66</v>
      </c>
      <c r="F28" s="147" t="str">
        <f t="shared" si="1"/>
        <v/>
      </c>
      <c r="G28" s="146" t="str">
        <f t="shared" si="2"/>
        <v/>
      </c>
      <c r="H28" s="76">
        <v>50.6</v>
      </c>
      <c r="I28" s="77">
        <v>1868</v>
      </c>
      <c r="J28" s="76" t="s">
        <v>66</v>
      </c>
      <c r="K28" s="73"/>
      <c r="L28" s="73"/>
      <c r="M28" s="73"/>
      <c r="N28" s="135" t="str">
        <f t="shared" si="3"/>
        <v/>
      </c>
      <c r="O28" s="82" t="str">
        <f t="shared" si="0"/>
        <v/>
      </c>
      <c r="P28" s="131"/>
      <c r="Q28" s="131"/>
      <c r="R28" s="131"/>
      <c r="S28" s="87">
        <v>1262500</v>
      </c>
      <c r="T28" s="123"/>
      <c r="U28" s="140"/>
      <c r="V28" s="84"/>
      <c r="W28" s="85"/>
    </row>
    <row r="29" spans="1:23" ht="14" x14ac:dyDescent="0.35">
      <c r="A29" s="79">
        <f t="shared" si="4"/>
        <v>46046</v>
      </c>
      <c r="B29" s="76"/>
      <c r="C29" s="74" t="s">
        <v>66</v>
      </c>
      <c r="D29" s="74" t="s">
        <v>66</v>
      </c>
      <c r="E29" s="75" t="s">
        <v>66</v>
      </c>
      <c r="F29" s="147" t="str">
        <f t="shared" si="1"/>
        <v/>
      </c>
      <c r="G29" s="146" t="str">
        <f t="shared" si="2"/>
        <v/>
      </c>
      <c r="H29" s="76">
        <v>52.1</v>
      </c>
      <c r="I29" s="77">
        <v>1867</v>
      </c>
      <c r="J29" s="76" t="s">
        <v>66</v>
      </c>
      <c r="K29" s="73"/>
      <c r="L29" s="73"/>
      <c r="M29" s="73"/>
      <c r="N29" s="135" t="str">
        <f t="shared" si="3"/>
        <v/>
      </c>
      <c r="O29" s="82" t="str">
        <f t="shared" si="0"/>
        <v/>
      </c>
      <c r="P29" s="131"/>
      <c r="Q29" s="131"/>
      <c r="R29" s="131"/>
      <c r="S29" s="87">
        <v>1262500</v>
      </c>
      <c r="T29" s="123"/>
      <c r="U29" s="140"/>
      <c r="V29" s="84"/>
      <c r="W29" s="85"/>
    </row>
    <row r="30" spans="1:23" ht="14" x14ac:dyDescent="0.35">
      <c r="A30" s="79">
        <f t="shared" si="4"/>
        <v>46047</v>
      </c>
      <c r="B30" s="76"/>
      <c r="C30" s="74" t="s">
        <v>66</v>
      </c>
      <c r="D30" s="74" t="s">
        <v>66</v>
      </c>
      <c r="E30" s="75" t="s">
        <v>66</v>
      </c>
      <c r="F30" s="147" t="str">
        <f t="shared" si="1"/>
        <v/>
      </c>
      <c r="G30" s="146" t="str">
        <f t="shared" si="2"/>
        <v/>
      </c>
      <c r="H30" s="76">
        <v>53.1</v>
      </c>
      <c r="I30" s="77">
        <v>1869</v>
      </c>
      <c r="J30" s="76" t="s">
        <v>66</v>
      </c>
      <c r="K30" s="73"/>
      <c r="L30" s="73"/>
      <c r="M30" s="73"/>
      <c r="N30" s="135" t="str">
        <f t="shared" si="3"/>
        <v/>
      </c>
      <c r="O30" s="82" t="str">
        <f t="shared" si="0"/>
        <v/>
      </c>
      <c r="P30" s="131"/>
      <c r="Q30" s="131"/>
      <c r="R30" s="131"/>
      <c r="S30" s="87">
        <v>1262500</v>
      </c>
      <c r="T30" s="124"/>
      <c r="U30" s="140"/>
      <c r="V30" s="84"/>
      <c r="W30" s="85"/>
    </row>
    <row r="31" spans="1:23" ht="14" x14ac:dyDescent="0.35">
      <c r="A31" s="79">
        <f t="shared" si="4"/>
        <v>46048</v>
      </c>
      <c r="B31" s="76"/>
      <c r="C31" s="74" t="s">
        <v>66</v>
      </c>
      <c r="D31" s="74" t="s">
        <v>66</v>
      </c>
      <c r="E31" s="75" t="s">
        <v>66</v>
      </c>
      <c r="F31" s="147" t="str">
        <f t="shared" si="1"/>
        <v/>
      </c>
      <c r="G31" s="146" t="str">
        <f t="shared" si="2"/>
        <v/>
      </c>
      <c r="H31" s="76">
        <v>53.5</v>
      </c>
      <c r="I31" s="77">
        <v>1870</v>
      </c>
      <c r="J31" s="76" t="s">
        <v>66</v>
      </c>
      <c r="K31" s="73"/>
      <c r="L31" s="73"/>
      <c r="M31" s="73"/>
      <c r="N31" s="135" t="str">
        <f t="shared" si="3"/>
        <v/>
      </c>
      <c r="O31" s="82" t="str">
        <f t="shared" si="0"/>
        <v/>
      </c>
      <c r="P31" s="131"/>
      <c r="Q31" s="131"/>
      <c r="R31" s="131"/>
      <c r="S31" s="87">
        <v>1262500</v>
      </c>
      <c r="T31" s="123"/>
      <c r="U31" s="140"/>
      <c r="V31" s="84"/>
      <c r="W31" s="85"/>
    </row>
    <row r="32" spans="1:23" ht="14" x14ac:dyDescent="0.35">
      <c r="A32" s="79">
        <f t="shared" si="4"/>
        <v>46049</v>
      </c>
      <c r="B32" s="76"/>
      <c r="C32" s="74" t="s">
        <v>66</v>
      </c>
      <c r="D32" s="74" t="s">
        <v>66</v>
      </c>
      <c r="E32" s="75" t="s">
        <v>66</v>
      </c>
      <c r="F32" s="147" t="str">
        <f t="shared" si="1"/>
        <v/>
      </c>
      <c r="G32" s="146" t="str">
        <f t="shared" si="2"/>
        <v/>
      </c>
      <c r="H32" s="76">
        <v>54.6</v>
      </c>
      <c r="I32" s="77">
        <v>1866</v>
      </c>
      <c r="J32" s="76" t="s">
        <v>66</v>
      </c>
      <c r="K32" s="73"/>
      <c r="L32" s="73"/>
      <c r="M32" s="73"/>
      <c r="N32" s="135" t="str">
        <f t="shared" si="3"/>
        <v/>
      </c>
      <c r="O32" s="82" t="str">
        <f t="shared" si="0"/>
        <v/>
      </c>
      <c r="P32" s="131"/>
      <c r="Q32" s="131"/>
      <c r="R32" s="131"/>
      <c r="S32" s="87">
        <v>1262500</v>
      </c>
      <c r="T32" s="123"/>
      <c r="U32" s="140"/>
      <c r="V32" s="84"/>
      <c r="W32" s="85"/>
    </row>
    <row r="33" spans="1:23" ht="14" x14ac:dyDescent="0.35">
      <c r="A33" s="79">
        <f t="shared" si="4"/>
        <v>46050</v>
      </c>
      <c r="B33" s="76"/>
      <c r="C33" s="74" t="s">
        <v>66</v>
      </c>
      <c r="D33" s="74" t="s">
        <v>66</v>
      </c>
      <c r="E33" s="75" t="s">
        <v>66</v>
      </c>
      <c r="F33" s="147" t="str">
        <f t="shared" si="1"/>
        <v/>
      </c>
      <c r="G33" s="146" t="str">
        <f t="shared" si="2"/>
        <v/>
      </c>
      <c r="H33" s="76">
        <v>53.3</v>
      </c>
      <c r="I33" s="77">
        <v>1871</v>
      </c>
      <c r="J33" s="76" t="s">
        <v>66</v>
      </c>
      <c r="K33" s="73"/>
      <c r="L33" s="73"/>
      <c r="M33" s="73"/>
      <c r="N33" s="135" t="str">
        <f t="shared" si="3"/>
        <v/>
      </c>
      <c r="O33" s="82" t="str">
        <f t="shared" si="0"/>
        <v/>
      </c>
      <c r="P33" s="131"/>
      <c r="Q33" s="131"/>
      <c r="R33" s="131"/>
      <c r="S33" s="87">
        <v>0</v>
      </c>
      <c r="T33" s="123"/>
      <c r="U33" s="140"/>
      <c r="V33" s="84"/>
      <c r="W33" s="85"/>
    </row>
    <row r="34" spans="1:23" ht="14" x14ac:dyDescent="0.35">
      <c r="A34" s="79">
        <f t="shared" si="4"/>
        <v>46051</v>
      </c>
      <c r="B34" s="76"/>
      <c r="C34" s="74" t="s">
        <v>66</v>
      </c>
      <c r="D34" s="74" t="s">
        <v>66</v>
      </c>
      <c r="E34" s="75" t="s">
        <v>66</v>
      </c>
      <c r="F34" s="147" t="str">
        <f t="shared" si="1"/>
        <v/>
      </c>
      <c r="G34" s="146" t="str">
        <f t="shared" si="2"/>
        <v/>
      </c>
      <c r="H34" s="76">
        <v>54.2</v>
      </c>
      <c r="I34" s="77">
        <v>1843</v>
      </c>
      <c r="J34" s="76" t="s">
        <v>66</v>
      </c>
      <c r="K34" s="73"/>
      <c r="L34" s="73"/>
      <c r="M34" s="73"/>
      <c r="N34" s="135" t="str">
        <f t="shared" si="3"/>
        <v/>
      </c>
      <c r="O34" s="82" t="str">
        <f t="shared" ref="O34:O35" si="5">IF(OR(K34="",L34="",M34=""),"",(K34+L34)/SUM(K34:M34))</f>
        <v/>
      </c>
      <c r="P34" s="131"/>
      <c r="Q34" s="131"/>
      <c r="R34" s="131"/>
      <c r="S34" s="87">
        <v>0</v>
      </c>
      <c r="T34" s="123"/>
      <c r="U34" s="140"/>
      <c r="V34" s="84"/>
      <c r="W34" s="85"/>
    </row>
    <row r="35" spans="1:23" ht="14" x14ac:dyDescent="0.35">
      <c r="A35" s="79">
        <f t="shared" si="4"/>
        <v>46052</v>
      </c>
      <c r="B35" s="76"/>
      <c r="C35" s="74" t="s">
        <v>66</v>
      </c>
      <c r="D35" s="74" t="s">
        <v>66</v>
      </c>
      <c r="E35" s="75" t="s">
        <v>66</v>
      </c>
      <c r="F35" s="147" t="str">
        <f t="shared" si="1"/>
        <v/>
      </c>
      <c r="G35" s="146" t="str">
        <f t="shared" si="2"/>
        <v/>
      </c>
      <c r="H35" s="76">
        <v>51.7</v>
      </c>
      <c r="I35" s="77">
        <v>1850</v>
      </c>
      <c r="J35" s="76" t="s">
        <v>66</v>
      </c>
      <c r="K35" s="73"/>
      <c r="L35" s="73"/>
      <c r="M35" s="73"/>
      <c r="N35" s="135" t="str">
        <f t="shared" si="3"/>
        <v/>
      </c>
      <c r="O35" s="82" t="str">
        <f t="shared" si="5"/>
        <v/>
      </c>
      <c r="P35" s="131"/>
      <c r="Q35" s="131"/>
      <c r="R35" s="131"/>
      <c r="S35" s="87">
        <v>0</v>
      </c>
      <c r="T35" s="123"/>
      <c r="U35" s="140"/>
      <c r="V35" s="84"/>
      <c r="W35" s="85"/>
    </row>
    <row r="36" spans="1:23" ht="14.5" thickBot="1" x14ac:dyDescent="0.4">
      <c r="A36" s="98">
        <f t="shared" si="4"/>
        <v>46053</v>
      </c>
      <c r="B36" s="99"/>
      <c r="C36" s="100" t="s">
        <v>66</v>
      </c>
      <c r="D36" s="100" t="s">
        <v>66</v>
      </c>
      <c r="E36" s="101" t="s">
        <v>66</v>
      </c>
      <c r="F36" s="148" t="str">
        <f t="shared" si="1"/>
        <v/>
      </c>
      <c r="G36" s="149" t="str">
        <f t="shared" si="2"/>
        <v/>
      </c>
      <c r="H36" s="99"/>
      <c r="I36" s="102"/>
      <c r="J36" s="99"/>
      <c r="K36" s="103"/>
      <c r="L36" s="103"/>
      <c r="M36" s="103"/>
      <c r="N36" s="136" t="str">
        <f t="shared" si="3"/>
        <v/>
      </c>
      <c r="O36" s="104" t="str">
        <f t="shared" ref="O36" si="6">IF(OR(K36="",L36="",M36=""),"",(K36+L36)/SUM(K36:M36))</f>
        <v/>
      </c>
      <c r="P36" s="132"/>
      <c r="Q36" s="132"/>
      <c r="R36" s="132"/>
      <c r="S36" s="105">
        <v>0</v>
      </c>
      <c r="T36" s="125"/>
      <c r="U36" s="140"/>
      <c r="V36" s="84"/>
      <c r="W36" s="85"/>
    </row>
    <row r="37" spans="1:23" ht="20.149999999999999" customHeight="1" thickBot="1" x14ac:dyDescent="0.4">
      <c r="A37" s="106" t="s">
        <v>5</v>
      </c>
      <c r="B37" s="107"/>
      <c r="C37" s="107"/>
      <c r="D37" s="107"/>
      <c r="E37" s="108" t="str">
        <f>IF(COUNT(E6:E36)=0,"",SUM(E6:E36))</f>
        <v/>
      </c>
      <c r="F37" s="109"/>
      <c r="G37" s="110"/>
      <c r="H37" s="107"/>
      <c r="I37" s="111"/>
      <c r="J37" s="112" t="str">
        <f>IF(COUNT(J6:J36)=0,"",SUM(J6:J36))</f>
        <v/>
      </c>
      <c r="K37" s="113" t="str">
        <f>IF(COUNT(K6:K36)=0,"",SUM(K6:K36))</f>
        <v/>
      </c>
      <c r="L37" s="113" t="str">
        <f>IF(COUNT(L6:L36)=0,"",SUM(L6:L36))</f>
        <v/>
      </c>
      <c r="M37" s="113" t="str">
        <f>IF(COUNT(M6:M36)=0,"",SUM(M6:M36))</f>
        <v/>
      </c>
      <c r="N37" s="114"/>
      <c r="O37" s="115"/>
      <c r="P37" s="137" t="str">
        <f>IF(COUNT(P6:P36)=0,"",SUM(P6:P36))</f>
        <v/>
      </c>
      <c r="Q37" s="137" t="str">
        <f>IF(COUNT(Q6:Q36)=0,"",SUM(Q6:Q36))</f>
        <v/>
      </c>
      <c r="R37" s="137" t="str">
        <f>IF(COUNT(R6:R36)=0,"",SUM(R6:R36))</f>
        <v/>
      </c>
      <c r="S37" s="126" t="e">
        <f>SUM(S6:S36)</f>
        <v>#VALUE!</v>
      </c>
      <c r="T37" s="116"/>
    </row>
  </sheetData>
  <sheetProtection formatColumns="0" formatRows="0" insertColumns="0" insertRows="0" sort="0" autoFilter="0" pivotTables="0"/>
  <mergeCells count="6">
    <mergeCell ref="P4:R4"/>
    <mergeCell ref="A1:T1"/>
    <mergeCell ref="A2:T2"/>
    <mergeCell ref="A4:A5"/>
    <mergeCell ref="K4:M4"/>
    <mergeCell ref="T4:T5"/>
  </mergeCells>
  <dataValidations count="1">
    <dataValidation type="list" allowBlank="1" showInputMessage="1" sqref="U6:U36" xr:uid="{585D7DA6-1B90-4A8F-9C1C-605E72698BEC}">
      <formula1>"BA"</formula1>
    </dataValidation>
  </dataValidations>
  <printOptions horizontalCentered="1"/>
  <pageMargins left="0.39370078740157483" right="0.39370078740157483" top="0.59055118110236227" bottom="0.59055118110236227" header="0.31496062992125984" footer="0.31496062992125984"/>
  <pageSetup paperSize="9" scale="43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875C-B333-4FE6-AE64-88669B17425F}">
  <sheetPr codeName="Sheet4">
    <pageSetUpPr fitToPage="1"/>
  </sheetPr>
  <dimension ref="A1:X37"/>
  <sheetViews>
    <sheetView tabSelected="1" zoomScale="66" zoomScaleNormal="85" workbookViewId="0">
      <selection activeCell="G6" sqref="G6:G36"/>
    </sheetView>
  </sheetViews>
  <sheetFormatPr defaultColWidth="12.7265625" defaultRowHeight="20.149999999999999" customHeight="1" x14ac:dyDescent="0.35"/>
  <cols>
    <col min="1" max="1" width="11.7265625" style="83" customWidth="1"/>
    <col min="2" max="2" width="10.7265625" style="83" hidden="1" customWidth="1"/>
    <col min="3" max="4" width="10.7265625" style="83" customWidth="1"/>
    <col min="5" max="5" width="12.7265625" style="83" customWidth="1"/>
    <col min="6" max="6" width="10.7265625" style="83" customWidth="1"/>
    <col min="7" max="7" width="12.7265625" style="83" customWidth="1"/>
    <col min="8" max="9" width="10.7265625" style="83" hidden="1" customWidth="1"/>
    <col min="10" max="10" width="12.7265625" style="83" hidden="1" customWidth="1"/>
    <col min="11" max="13" width="9.7265625" style="83" customWidth="1"/>
    <col min="14" max="14" width="10.7265625" style="83" hidden="1" customWidth="1"/>
    <col min="15" max="15" width="12.7265625" style="83" customWidth="1"/>
    <col min="16" max="18" width="10.7265625" style="83" customWidth="1"/>
    <col min="19" max="19" width="18.453125" style="83" customWidth="1"/>
    <col min="20" max="20" width="56.7265625" style="83" customWidth="1"/>
    <col min="21" max="21" width="15.26953125" style="83" bestFit="1" customWidth="1"/>
    <col min="22" max="22" width="30.7265625" style="83" customWidth="1"/>
    <col min="23" max="16384" width="12.7265625" style="83"/>
  </cols>
  <sheetData>
    <row r="1" spans="1:24" ht="20.149999999999999" customHeight="1" x14ac:dyDescent="0.3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68"/>
      <c r="V1" s="68"/>
      <c r="W1" s="8"/>
      <c r="X1" s="68"/>
    </row>
    <row r="2" spans="1:24" ht="20.149999999999999" customHeight="1" thickBot="1" x14ac:dyDescent="0.4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  <c r="U2" s="68"/>
      <c r="V2" s="138" t="s">
        <v>71</v>
      </c>
      <c r="W2" s="95">
        <f>'Rekap Inv'!I2</f>
        <v>1500000</v>
      </c>
      <c r="X2" s="68"/>
    </row>
    <row r="3" spans="1:24" ht="20.149999999999999" customHeight="1" thickBot="1" x14ac:dyDescent="0.4">
      <c r="A3" s="1"/>
      <c r="B3" s="2"/>
      <c r="C3" s="3" t="s">
        <v>61</v>
      </c>
      <c r="D3" s="4" t="s">
        <v>77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5"/>
      <c r="U3" s="68"/>
      <c r="V3" s="139" t="s">
        <v>63</v>
      </c>
      <c r="W3" s="117">
        <f>'Rekap Inv'!I3</f>
        <v>0.25</v>
      </c>
      <c r="X3" s="68"/>
    </row>
    <row r="4" spans="1:24" ht="20.149999999999999" customHeight="1" x14ac:dyDescent="0.35">
      <c r="A4" s="156" t="s">
        <v>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158" t="s">
        <v>67</v>
      </c>
      <c r="L4" s="159" t="s">
        <v>66</v>
      </c>
      <c r="M4" s="160" t="s">
        <v>66</v>
      </c>
      <c r="N4" s="6" t="s">
        <v>53</v>
      </c>
      <c r="O4" s="6" t="s">
        <v>54</v>
      </c>
      <c r="P4" s="158" t="s">
        <v>52</v>
      </c>
      <c r="Q4" s="159"/>
      <c r="R4" s="160"/>
      <c r="S4" s="120" t="s">
        <v>3</v>
      </c>
      <c r="T4" s="156" t="s">
        <v>4</v>
      </c>
      <c r="V4" s="139" t="s">
        <v>69</v>
      </c>
      <c r="W4" s="141">
        <v>0</v>
      </c>
      <c r="X4" s="83" t="s">
        <v>68</v>
      </c>
    </row>
    <row r="5" spans="1:24" ht="20.149999999999999" customHeight="1" thickBot="1" x14ac:dyDescent="0.4">
      <c r="A5" s="157"/>
      <c r="B5" s="7" t="s">
        <v>26</v>
      </c>
      <c r="C5" s="7" t="s">
        <v>80</v>
      </c>
      <c r="D5" s="7" t="s">
        <v>79</v>
      </c>
      <c r="E5" s="7" t="s">
        <v>55</v>
      </c>
      <c r="F5" s="7" t="s">
        <v>28</v>
      </c>
      <c r="G5" s="7" t="s">
        <v>27</v>
      </c>
      <c r="H5" s="7" t="s">
        <v>56</v>
      </c>
      <c r="I5" s="7" t="s">
        <v>57</v>
      </c>
      <c r="J5" s="7" t="s">
        <v>58</v>
      </c>
      <c r="K5" s="7" t="s">
        <v>53</v>
      </c>
      <c r="L5" s="7" t="s">
        <v>59</v>
      </c>
      <c r="M5" s="7" t="s">
        <v>60</v>
      </c>
      <c r="N5" s="7" t="s">
        <v>28</v>
      </c>
      <c r="O5" s="7" t="s">
        <v>28</v>
      </c>
      <c r="P5" s="7" t="s">
        <v>53</v>
      </c>
      <c r="Q5" s="7" t="s">
        <v>59</v>
      </c>
      <c r="R5" s="7" t="s">
        <v>60</v>
      </c>
      <c r="S5" s="121" t="s">
        <v>70</v>
      </c>
      <c r="T5" s="157"/>
      <c r="U5" s="142" t="s">
        <v>73</v>
      </c>
    </row>
    <row r="6" spans="1:24" ht="14.5" thickBot="1" x14ac:dyDescent="0.4">
      <c r="A6" s="119" t="s">
        <v>81</v>
      </c>
      <c r="B6" s="71"/>
      <c r="C6" s="69" t="s">
        <v>78</v>
      </c>
      <c r="D6" s="69" t="s">
        <v>82</v>
      </c>
      <c r="E6" s="70" t="s">
        <v>83</v>
      </c>
      <c r="F6" s="143">
        <f>IF(G6="","",IF(G6="BA",100%,E6/G6))</f>
        <v>1</v>
      </c>
      <c r="G6" s="144" t="str">
        <f>IF(U6="","",IF(U6="BA","BA",U6))</f>
        <v>BA</v>
      </c>
      <c r="H6" s="71">
        <v>55</v>
      </c>
      <c r="I6" s="72">
        <v>1845</v>
      </c>
      <c r="J6" s="71" t="s">
        <v>66</v>
      </c>
      <c r="K6" s="78" t="s">
        <v>84</v>
      </c>
      <c r="L6" s="78" t="s">
        <v>85</v>
      </c>
      <c r="M6" s="78" t="s">
        <v>86</v>
      </c>
      <c r="N6" s="133">
        <v>1</v>
      </c>
      <c r="O6" s="80" t="e">
        <f t="shared" ref="O6:O36" si="0">IF(OR(K6="",L6="",M6=""),"",(K6+L6)/SUM(K6:M6))</f>
        <v>#VALUE!</v>
      </c>
      <c r="P6" s="130" t="e">
        <f>IF(K6="","",K6*24)</f>
        <v>#VALUE!</v>
      </c>
      <c r="Q6" s="130" t="e">
        <f t="shared" ref="Q6:R21" si="1">IF(L6="","",L6*24)</f>
        <v>#VALUE!</v>
      </c>
      <c r="R6" s="130" t="e">
        <f t="shared" si="1"/>
        <v>#VALUE!</v>
      </c>
      <c r="S6" s="86" t="e">
        <f>IF(R6&gt;(24-6),0,IF((AND(P6=0,(COUNTIF(Q$6:Q6,24)+$W$4)&gt;10)),0,IF(U6="BA",(100%*P6+$W$3*Q6)/24*$W$2,(F6*P6+$W$3*Q6)/24*$W$2)))</f>
        <v>#VALUE!</v>
      </c>
      <c r="T6" s="122" t="s">
        <v>87</v>
      </c>
      <c r="U6" s="140" t="s">
        <v>76</v>
      </c>
      <c r="V6" s="84"/>
      <c r="W6" s="85"/>
    </row>
    <row r="7" spans="1:24" ht="14.5" thickBot="1" x14ac:dyDescent="0.4">
      <c r="A7" s="79"/>
      <c r="B7" s="76"/>
      <c r="C7" s="74"/>
      <c r="D7" s="74"/>
      <c r="E7" s="75"/>
      <c r="F7" s="143">
        <f t="shared" ref="F7:F36" si="2">IF(G7="","",IF(G7="BA",100%,E7/G7))</f>
        <v>1</v>
      </c>
      <c r="G7" s="144" t="str">
        <f t="shared" ref="G7:G36" si="3">IF(U7="","",IF(U7="BA","BA",U7))</f>
        <v>BA</v>
      </c>
      <c r="H7" s="76"/>
      <c r="I7" s="77"/>
      <c r="J7" s="76"/>
      <c r="K7" s="73"/>
      <c r="L7" s="73"/>
      <c r="M7" s="73"/>
      <c r="N7" s="134"/>
      <c r="O7" s="80" t="str">
        <f t="shared" si="0"/>
        <v/>
      </c>
      <c r="P7" s="130" t="str">
        <f t="shared" ref="P7:R36" si="4">IF(K7="","",K7*24)</f>
        <v/>
      </c>
      <c r="Q7" s="130" t="str">
        <f t="shared" si="1"/>
        <v/>
      </c>
      <c r="R7" s="130" t="str">
        <f t="shared" si="1"/>
        <v/>
      </c>
      <c r="S7" s="86">
        <f>IF(R7&gt;(24-6),0,IF((AND(P7=0,(COUNTIF(Q$6:Q7,24)+$W$4)&gt;10)),0,IF(U7="BA",(100%*P7+$W$3*Q7)/24*$W$2,(F7*P7+$W$3*Q7)/24*$W$2)))</f>
        <v>0</v>
      </c>
      <c r="T7" s="123"/>
      <c r="U7" s="140" t="s">
        <v>76</v>
      </c>
      <c r="V7" s="84"/>
      <c r="W7" s="85"/>
    </row>
    <row r="8" spans="1:24" ht="14.5" thickBot="1" x14ac:dyDescent="0.4">
      <c r="A8" s="79"/>
      <c r="B8" s="76"/>
      <c r="C8" s="74"/>
      <c r="D8" s="74"/>
      <c r="E8" s="75"/>
      <c r="F8" s="143">
        <f t="shared" si="2"/>
        <v>1</v>
      </c>
      <c r="G8" s="144" t="str">
        <f t="shared" si="3"/>
        <v>BA</v>
      </c>
      <c r="H8" s="76"/>
      <c r="I8" s="77"/>
      <c r="J8" s="76"/>
      <c r="K8" s="73"/>
      <c r="L8" s="73"/>
      <c r="M8" s="73"/>
      <c r="N8" s="134"/>
      <c r="O8" s="80" t="str">
        <f t="shared" si="0"/>
        <v/>
      </c>
      <c r="P8" s="130" t="str">
        <f t="shared" si="4"/>
        <v/>
      </c>
      <c r="Q8" s="130" t="str">
        <f t="shared" si="1"/>
        <v/>
      </c>
      <c r="R8" s="130" t="str">
        <f t="shared" si="1"/>
        <v/>
      </c>
      <c r="S8" s="86">
        <f>IF(R8&gt;(24-6),0,IF((AND(P8=0,(COUNTIF(Q$6:Q8,24)+$W$4)&gt;10)),0,IF(U8="BA",(100%*P8+$W$3*Q8)/24*$W$2,(F8*P8+$W$3*Q8)/24*$W$2)))</f>
        <v>0</v>
      </c>
      <c r="T8" s="123"/>
      <c r="U8" s="140" t="s">
        <v>76</v>
      </c>
      <c r="V8" s="84"/>
      <c r="W8" s="85"/>
    </row>
    <row r="9" spans="1:24" ht="14.5" thickBot="1" x14ac:dyDescent="0.4">
      <c r="A9" s="79"/>
      <c r="B9" s="76"/>
      <c r="C9" s="74"/>
      <c r="D9" s="74"/>
      <c r="E9" s="75"/>
      <c r="F9" s="143">
        <f t="shared" si="2"/>
        <v>1</v>
      </c>
      <c r="G9" s="144" t="str">
        <f t="shared" si="3"/>
        <v>BA</v>
      </c>
      <c r="H9" s="76"/>
      <c r="I9" s="77"/>
      <c r="J9" s="76"/>
      <c r="K9" s="73"/>
      <c r="L9" s="73"/>
      <c r="M9" s="73"/>
      <c r="N9" s="134"/>
      <c r="O9" s="80" t="str">
        <f t="shared" si="0"/>
        <v/>
      </c>
      <c r="P9" s="130" t="str">
        <f t="shared" si="4"/>
        <v/>
      </c>
      <c r="Q9" s="130" t="str">
        <f t="shared" si="1"/>
        <v/>
      </c>
      <c r="R9" s="130" t="str">
        <f t="shared" si="1"/>
        <v/>
      </c>
      <c r="S9" s="86">
        <f>IF(R9&gt;(24-6),0,IF((AND(P9=0,(COUNTIF(Q$6:Q9,24)+$W$4)&gt;10)),0,IF(U9="BA",(100%*P9+$W$3*Q9)/24*$W$2,(F9*P9+$W$3*Q9)/24*$W$2)))</f>
        <v>0</v>
      </c>
      <c r="T9" s="123"/>
      <c r="U9" s="140" t="s">
        <v>76</v>
      </c>
      <c r="V9" s="84"/>
      <c r="W9" s="85"/>
    </row>
    <row r="10" spans="1:24" ht="14.5" thickBot="1" x14ac:dyDescent="0.4">
      <c r="A10" s="79"/>
      <c r="B10" s="76"/>
      <c r="C10" s="74"/>
      <c r="D10" s="74"/>
      <c r="E10" s="75"/>
      <c r="F10" s="143">
        <f t="shared" si="2"/>
        <v>1</v>
      </c>
      <c r="G10" s="144" t="str">
        <f t="shared" si="3"/>
        <v>BA</v>
      </c>
      <c r="H10" s="76"/>
      <c r="I10" s="77"/>
      <c r="J10" s="76"/>
      <c r="K10" s="73"/>
      <c r="L10" s="73"/>
      <c r="M10" s="73"/>
      <c r="N10" s="134"/>
      <c r="O10" s="80" t="str">
        <f t="shared" si="0"/>
        <v/>
      </c>
      <c r="P10" s="130" t="str">
        <f t="shared" si="4"/>
        <v/>
      </c>
      <c r="Q10" s="130" t="str">
        <f t="shared" si="1"/>
        <v/>
      </c>
      <c r="R10" s="130" t="str">
        <f t="shared" si="1"/>
        <v/>
      </c>
      <c r="S10" s="86">
        <f>IF(R10&gt;(24-6),0,IF((AND(P10=0,(COUNTIF(Q$6:Q10,24)+$W$4)&gt;10)),0,IF(U10="BA",(100%*P10+$W$3*Q10)/24*$W$2,(F10*P10+$W$3*Q10)/24*$W$2)))</f>
        <v>0</v>
      </c>
      <c r="T10" s="123"/>
      <c r="U10" s="140" t="s">
        <v>76</v>
      </c>
      <c r="V10" s="84"/>
      <c r="W10" s="85"/>
    </row>
    <row r="11" spans="1:24" ht="14.5" thickBot="1" x14ac:dyDescent="0.4">
      <c r="A11" s="79"/>
      <c r="B11" s="76"/>
      <c r="C11" s="74"/>
      <c r="D11" s="74"/>
      <c r="E11" s="75"/>
      <c r="F11" s="143">
        <f t="shared" si="2"/>
        <v>1</v>
      </c>
      <c r="G11" s="144" t="str">
        <f t="shared" si="3"/>
        <v>BA</v>
      </c>
      <c r="H11" s="76"/>
      <c r="I11" s="77"/>
      <c r="J11" s="76"/>
      <c r="K11" s="73"/>
      <c r="L11" s="73"/>
      <c r="M11" s="73"/>
      <c r="N11" s="134"/>
      <c r="O11" s="80" t="str">
        <f t="shared" si="0"/>
        <v/>
      </c>
      <c r="P11" s="130" t="str">
        <f t="shared" si="4"/>
        <v/>
      </c>
      <c r="Q11" s="130" t="str">
        <f t="shared" si="1"/>
        <v/>
      </c>
      <c r="R11" s="130" t="str">
        <f t="shared" si="1"/>
        <v/>
      </c>
      <c r="S11" s="86">
        <f>IF(R11&gt;(24-6),0,IF((AND(P11=0,(COUNTIF(Q$6:Q11,24)+$W$4)&gt;10)),0,IF(U11="BA",(100%*P11+$W$3*Q11)/24*$W$2,(F11*P11+$W$3*Q11)/24*$W$2)))</f>
        <v>0</v>
      </c>
      <c r="T11" s="123"/>
      <c r="U11" s="140" t="s">
        <v>76</v>
      </c>
      <c r="V11" s="84"/>
      <c r="W11" s="85"/>
    </row>
    <row r="12" spans="1:24" ht="14.5" thickBot="1" x14ac:dyDescent="0.4">
      <c r="A12" s="79"/>
      <c r="B12" s="76"/>
      <c r="C12" s="74"/>
      <c r="D12" s="74"/>
      <c r="E12" s="75"/>
      <c r="F12" s="143">
        <f t="shared" si="2"/>
        <v>1</v>
      </c>
      <c r="G12" s="144" t="str">
        <f t="shared" si="3"/>
        <v>BA</v>
      </c>
      <c r="H12" s="76"/>
      <c r="I12" s="77"/>
      <c r="J12" s="76"/>
      <c r="K12" s="73"/>
      <c r="L12" s="73"/>
      <c r="M12" s="73"/>
      <c r="N12" s="134"/>
      <c r="O12" s="80" t="str">
        <f t="shared" si="0"/>
        <v/>
      </c>
      <c r="P12" s="130" t="str">
        <f t="shared" si="4"/>
        <v/>
      </c>
      <c r="Q12" s="130" t="str">
        <f t="shared" si="1"/>
        <v/>
      </c>
      <c r="R12" s="130" t="str">
        <f t="shared" si="1"/>
        <v/>
      </c>
      <c r="S12" s="86">
        <f>IF(R12&gt;(24-6),0,IF((AND(P12=0,(COUNTIF(Q$6:Q12,24)+$W$4)&gt;10)),0,IF(U12="BA",(100%*P12+$W$3*Q12)/24*$W$2,(F12*P12+$W$3*Q12)/24*$W$2)))</f>
        <v>0</v>
      </c>
      <c r="T12" s="123"/>
      <c r="U12" s="140" t="s">
        <v>76</v>
      </c>
      <c r="V12" s="84"/>
      <c r="W12" s="85"/>
    </row>
    <row r="13" spans="1:24" ht="14.5" thickBot="1" x14ac:dyDescent="0.4">
      <c r="A13" s="79"/>
      <c r="B13" s="76"/>
      <c r="C13" s="74"/>
      <c r="D13" s="74"/>
      <c r="E13" s="75"/>
      <c r="F13" s="143">
        <f t="shared" si="2"/>
        <v>1</v>
      </c>
      <c r="G13" s="144" t="str">
        <f t="shared" si="3"/>
        <v>BA</v>
      </c>
      <c r="H13" s="76"/>
      <c r="I13" s="77"/>
      <c r="J13" s="76"/>
      <c r="K13" s="73"/>
      <c r="L13" s="73"/>
      <c r="M13" s="73"/>
      <c r="N13" s="134"/>
      <c r="O13" s="80" t="str">
        <f t="shared" si="0"/>
        <v/>
      </c>
      <c r="P13" s="130" t="str">
        <f t="shared" si="4"/>
        <v/>
      </c>
      <c r="Q13" s="130" t="str">
        <f t="shared" si="1"/>
        <v/>
      </c>
      <c r="R13" s="130" t="str">
        <f t="shared" si="1"/>
        <v/>
      </c>
      <c r="S13" s="86">
        <f>IF(R13&gt;(24-6),0,IF((AND(P13=0,(COUNTIF(Q$6:Q13,24)+$W$4)&gt;10)),0,IF(U13="BA",(100%*P13+$W$3*Q13)/24*$W$2,(F13*P13+$W$3*Q13)/24*$W$2)))</f>
        <v>0</v>
      </c>
      <c r="T13" s="123"/>
      <c r="U13" s="140" t="s">
        <v>76</v>
      </c>
      <c r="V13" s="84"/>
      <c r="W13" s="85"/>
    </row>
    <row r="14" spans="1:24" ht="14.5" thickBot="1" x14ac:dyDescent="0.4">
      <c r="A14" s="79"/>
      <c r="B14" s="76"/>
      <c r="C14" s="74"/>
      <c r="D14" s="74"/>
      <c r="E14" s="75"/>
      <c r="F14" s="143">
        <f t="shared" si="2"/>
        <v>1</v>
      </c>
      <c r="G14" s="144" t="str">
        <f t="shared" si="3"/>
        <v>BA</v>
      </c>
      <c r="H14" s="76"/>
      <c r="I14" s="77"/>
      <c r="J14" s="76"/>
      <c r="K14" s="73"/>
      <c r="L14" s="73"/>
      <c r="M14" s="73"/>
      <c r="N14" s="134"/>
      <c r="O14" s="80" t="str">
        <f t="shared" si="0"/>
        <v/>
      </c>
      <c r="P14" s="130" t="str">
        <f t="shared" si="4"/>
        <v/>
      </c>
      <c r="Q14" s="130" t="str">
        <f t="shared" si="1"/>
        <v/>
      </c>
      <c r="R14" s="130" t="str">
        <f t="shared" si="1"/>
        <v/>
      </c>
      <c r="S14" s="86">
        <f>IF(R14&gt;(24-6),0,IF((AND(P14=0,(COUNTIF(Q$6:Q14,24)+$W$4)&gt;10)),0,IF(U14="BA",(100%*P14+$W$3*Q14)/24*$W$2,(F14*P14+$W$3*Q14)/24*$W$2)))</f>
        <v>0</v>
      </c>
      <c r="T14" s="123"/>
      <c r="U14" s="140" t="s">
        <v>76</v>
      </c>
      <c r="V14" s="84"/>
      <c r="W14" s="85"/>
    </row>
    <row r="15" spans="1:24" ht="14.5" thickBot="1" x14ac:dyDescent="0.4">
      <c r="A15" s="79"/>
      <c r="B15" s="76"/>
      <c r="C15" s="74"/>
      <c r="D15" s="74"/>
      <c r="E15" s="75"/>
      <c r="F15" s="143">
        <f t="shared" si="2"/>
        <v>1</v>
      </c>
      <c r="G15" s="144" t="str">
        <f t="shared" si="3"/>
        <v>BA</v>
      </c>
      <c r="H15" s="76"/>
      <c r="I15" s="77"/>
      <c r="J15" s="76"/>
      <c r="K15" s="73"/>
      <c r="L15" s="73"/>
      <c r="M15" s="73"/>
      <c r="N15" s="134"/>
      <c r="O15" s="80" t="str">
        <f t="shared" si="0"/>
        <v/>
      </c>
      <c r="P15" s="130" t="str">
        <f t="shared" si="4"/>
        <v/>
      </c>
      <c r="Q15" s="130" t="str">
        <f t="shared" si="1"/>
        <v/>
      </c>
      <c r="R15" s="130" t="str">
        <f t="shared" si="1"/>
        <v/>
      </c>
      <c r="S15" s="86">
        <f>IF(R15&gt;(24-6),0,IF((AND(P15=0,(COUNTIF(Q$6:Q15,24)+$W$4)&gt;10)),0,IF(U15="BA",(100%*P15+$W$3*Q15)/24*$W$2,(F15*P15+$W$3*Q15)/24*$W$2)))</f>
        <v>0</v>
      </c>
      <c r="T15" s="123"/>
      <c r="U15" s="140" t="s">
        <v>76</v>
      </c>
      <c r="V15" s="84"/>
      <c r="W15" s="85"/>
    </row>
    <row r="16" spans="1:24" ht="14.5" thickBot="1" x14ac:dyDescent="0.4">
      <c r="A16" s="79"/>
      <c r="B16" s="76"/>
      <c r="C16" s="74"/>
      <c r="D16" s="74"/>
      <c r="E16" s="75"/>
      <c r="F16" s="143">
        <f t="shared" si="2"/>
        <v>1</v>
      </c>
      <c r="G16" s="144" t="str">
        <f t="shared" si="3"/>
        <v>BA</v>
      </c>
      <c r="H16" s="76"/>
      <c r="I16" s="77"/>
      <c r="J16" s="76"/>
      <c r="K16" s="73"/>
      <c r="L16" s="73"/>
      <c r="M16" s="73"/>
      <c r="N16" s="134"/>
      <c r="O16" s="80" t="str">
        <f t="shared" si="0"/>
        <v/>
      </c>
      <c r="P16" s="130" t="str">
        <f t="shared" si="4"/>
        <v/>
      </c>
      <c r="Q16" s="130" t="str">
        <f t="shared" si="1"/>
        <v/>
      </c>
      <c r="R16" s="130" t="str">
        <f t="shared" si="1"/>
        <v/>
      </c>
      <c r="S16" s="86">
        <f>IF(R16&gt;(24-6),0,IF((AND(P16=0,(COUNTIF(Q$6:Q16,24)+$W$4)&gt;10)),0,IF(U16="BA",(100%*P16+$W$3*Q16)/24*$W$2,(F16*P16+$W$3*Q16)/24*$W$2)))</f>
        <v>0</v>
      </c>
      <c r="T16" s="123"/>
      <c r="U16" s="140" t="s">
        <v>76</v>
      </c>
      <c r="V16" s="84"/>
      <c r="W16" s="85"/>
    </row>
    <row r="17" spans="1:23" ht="14.5" thickBot="1" x14ac:dyDescent="0.4">
      <c r="A17" s="79"/>
      <c r="B17" s="76"/>
      <c r="C17" s="74"/>
      <c r="D17" s="74"/>
      <c r="E17" s="75"/>
      <c r="F17" s="143">
        <f t="shared" si="2"/>
        <v>1</v>
      </c>
      <c r="G17" s="144" t="str">
        <f t="shared" si="3"/>
        <v>BA</v>
      </c>
      <c r="H17" s="76"/>
      <c r="I17" s="77"/>
      <c r="J17" s="76"/>
      <c r="K17" s="73"/>
      <c r="L17" s="73"/>
      <c r="M17" s="73"/>
      <c r="N17" s="134"/>
      <c r="O17" s="80" t="str">
        <f t="shared" si="0"/>
        <v/>
      </c>
      <c r="P17" s="130" t="str">
        <f t="shared" si="4"/>
        <v/>
      </c>
      <c r="Q17" s="130" t="str">
        <f t="shared" si="1"/>
        <v/>
      </c>
      <c r="R17" s="130" t="str">
        <f t="shared" si="1"/>
        <v/>
      </c>
      <c r="S17" s="86">
        <f>IF(R17&gt;(24-6),0,IF((AND(P17=0,(COUNTIF(Q$6:Q17,24)+$W$4)&gt;10)),0,IF(U17="BA",(100%*P17+$W$3*Q17)/24*$W$2,(F17*P17+$W$3*Q17)/24*$W$2)))</f>
        <v>0</v>
      </c>
      <c r="T17" s="123"/>
      <c r="U17" s="140" t="s">
        <v>76</v>
      </c>
      <c r="V17" s="84"/>
      <c r="W17" s="85"/>
    </row>
    <row r="18" spans="1:23" ht="14.5" thickBot="1" x14ac:dyDescent="0.4">
      <c r="A18" s="79"/>
      <c r="B18" s="76"/>
      <c r="C18" s="74"/>
      <c r="D18" s="74"/>
      <c r="E18" s="75"/>
      <c r="F18" s="143">
        <f t="shared" si="2"/>
        <v>1</v>
      </c>
      <c r="G18" s="144" t="str">
        <f t="shared" si="3"/>
        <v>BA</v>
      </c>
      <c r="H18" s="76"/>
      <c r="I18" s="77"/>
      <c r="J18" s="76"/>
      <c r="K18" s="73"/>
      <c r="L18" s="73"/>
      <c r="M18" s="73"/>
      <c r="N18" s="134"/>
      <c r="O18" s="80" t="str">
        <f t="shared" si="0"/>
        <v/>
      </c>
      <c r="P18" s="130" t="str">
        <f t="shared" si="4"/>
        <v/>
      </c>
      <c r="Q18" s="130" t="str">
        <f t="shared" si="1"/>
        <v/>
      </c>
      <c r="R18" s="130" t="str">
        <f t="shared" si="1"/>
        <v/>
      </c>
      <c r="S18" s="86">
        <f>IF(R18&gt;(24-6),0,IF((AND(P18=0,(COUNTIF(Q$6:Q18,24)+$W$4)&gt;10)),0,IF(U18="BA",(100%*P18+$W$3*Q18)/24*$W$2,(F18*P18+$W$3*Q18)/24*$W$2)))</f>
        <v>0</v>
      </c>
      <c r="T18" s="123"/>
      <c r="U18" s="140" t="s">
        <v>76</v>
      </c>
      <c r="V18" s="84"/>
      <c r="W18" s="85"/>
    </row>
    <row r="19" spans="1:23" ht="14.5" thickBot="1" x14ac:dyDescent="0.4">
      <c r="A19" s="79"/>
      <c r="B19" s="76"/>
      <c r="C19" s="74"/>
      <c r="D19" s="74"/>
      <c r="E19" s="75"/>
      <c r="F19" s="143">
        <f t="shared" si="2"/>
        <v>1</v>
      </c>
      <c r="G19" s="144" t="str">
        <f t="shared" si="3"/>
        <v>BA</v>
      </c>
      <c r="H19" s="76"/>
      <c r="I19" s="77"/>
      <c r="J19" s="76"/>
      <c r="K19" s="73"/>
      <c r="L19" s="73"/>
      <c r="M19" s="73"/>
      <c r="N19" s="134"/>
      <c r="O19" s="80" t="str">
        <f t="shared" si="0"/>
        <v/>
      </c>
      <c r="P19" s="130" t="str">
        <f t="shared" si="4"/>
        <v/>
      </c>
      <c r="Q19" s="130" t="str">
        <f t="shared" si="1"/>
        <v/>
      </c>
      <c r="R19" s="130" t="str">
        <f t="shared" si="1"/>
        <v/>
      </c>
      <c r="S19" s="86">
        <f>IF(R19&gt;(24-6),0,IF((AND(P19=0,(COUNTIF(Q$6:Q19,24)+$W$4)&gt;10)),0,IF(U19="BA",(100%*P19+$W$3*Q19)/24*$W$2,(F19*P19+$W$3*Q19)/24*$W$2)))</f>
        <v>0</v>
      </c>
      <c r="T19" s="123"/>
      <c r="U19" s="140" t="s">
        <v>76</v>
      </c>
      <c r="V19" s="84"/>
      <c r="W19" s="85"/>
    </row>
    <row r="20" spans="1:23" ht="14.5" thickBot="1" x14ac:dyDescent="0.4">
      <c r="A20" s="79"/>
      <c r="B20" s="76"/>
      <c r="C20" s="74"/>
      <c r="D20" s="74"/>
      <c r="E20" s="75"/>
      <c r="F20" s="143">
        <f t="shared" si="2"/>
        <v>1</v>
      </c>
      <c r="G20" s="144" t="str">
        <f t="shared" si="3"/>
        <v>BA</v>
      </c>
      <c r="H20" s="76"/>
      <c r="I20" s="77"/>
      <c r="J20" s="76"/>
      <c r="K20" s="73"/>
      <c r="L20" s="73"/>
      <c r="M20" s="73"/>
      <c r="N20" s="134"/>
      <c r="O20" s="80" t="str">
        <f t="shared" si="0"/>
        <v/>
      </c>
      <c r="P20" s="130" t="str">
        <f t="shared" si="4"/>
        <v/>
      </c>
      <c r="Q20" s="130" t="str">
        <f t="shared" si="1"/>
        <v/>
      </c>
      <c r="R20" s="130" t="str">
        <f t="shared" si="1"/>
        <v/>
      </c>
      <c r="S20" s="86">
        <f>IF(R20&gt;(24-6),0,IF((AND(P20=0,(COUNTIF(Q$6:Q20,24)+$W$4)&gt;10)),0,IF(U20="BA",(100%*P20+$W$3*Q20)/24*$W$2,(F20*P20+$W$3*Q20)/24*$W$2)))</f>
        <v>0</v>
      </c>
      <c r="T20" s="123"/>
      <c r="U20" s="140" t="s">
        <v>76</v>
      </c>
      <c r="V20" s="84"/>
      <c r="W20" s="85"/>
    </row>
    <row r="21" spans="1:23" ht="14.5" thickBot="1" x14ac:dyDescent="0.4">
      <c r="A21" s="79"/>
      <c r="B21" s="76"/>
      <c r="C21" s="74"/>
      <c r="D21" s="74"/>
      <c r="E21" s="75"/>
      <c r="F21" s="143">
        <f t="shared" si="2"/>
        <v>1</v>
      </c>
      <c r="G21" s="144" t="str">
        <f t="shared" si="3"/>
        <v>BA</v>
      </c>
      <c r="H21" s="76"/>
      <c r="I21" s="77"/>
      <c r="J21" s="76"/>
      <c r="K21" s="73"/>
      <c r="L21" s="73"/>
      <c r="M21" s="73"/>
      <c r="N21" s="134"/>
      <c r="O21" s="80" t="str">
        <f t="shared" si="0"/>
        <v/>
      </c>
      <c r="P21" s="130" t="str">
        <f t="shared" si="4"/>
        <v/>
      </c>
      <c r="Q21" s="130" t="str">
        <f t="shared" si="1"/>
        <v/>
      </c>
      <c r="R21" s="130" t="str">
        <f t="shared" si="1"/>
        <v/>
      </c>
      <c r="S21" s="86">
        <f>IF(R21&gt;(24-6),0,IF((AND(P21=0,(COUNTIF(Q$6:Q21,24)+$W$4)&gt;10)),0,IF(U21="BA",(100%*P21+$W$3*Q21)/24*$W$2,(F21*P21+$W$3*Q21)/24*$W$2)))</f>
        <v>0</v>
      </c>
      <c r="T21" s="123"/>
      <c r="U21" s="140" t="s">
        <v>76</v>
      </c>
      <c r="V21" s="84"/>
      <c r="W21" s="85"/>
    </row>
    <row r="22" spans="1:23" ht="14.5" thickBot="1" x14ac:dyDescent="0.4">
      <c r="A22" s="79"/>
      <c r="B22" s="76"/>
      <c r="C22" s="74"/>
      <c r="D22" s="74"/>
      <c r="E22" s="75"/>
      <c r="F22" s="143">
        <f t="shared" si="2"/>
        <v>1</v>
      </c>
      <c r="G22" s="144" t="str">
        <f t="shared" si="3"/>
        <v>BA</v>
      </c>
      <c r="H22" s="76"/>
      <c r="I22" s="77"/>
      <c r="J22" s="76"/>
      <c r="K22" s="73"/>
      <c r="L22" s="73"/>
      <c r="M22" s="73"/>
      <c r="N22" s="134"/>
      <c r="O22" s="80" t="str">
        <f t="shared" si="0"/>
        <v/>
      </c>
      <c r="P22" s="130" t="str">
        <f t="shared" si="4"/>
        <v/>
      </c>
      <c r="Q22" s="130" t="str">
        <f t="shared" si="4"/>
        <v/>
      </c>
      <c r="R22" s="130" t="str">
        <f t="shared" si="4"/>
        <v/>
      </c>
      <c r="S22" s="86">
        <f>IF(R22&gt;(24-6),0,IF((AND(P22=0,(COUNTIF(Q$6:Q22,24)+$W$4)&gt;10)),0,IF(U22="BA",(100%*P22+$W$3*Q22)/24*$W$2,(F22*P22+$W$3*Q22)/24*$W$2)))</f>
        <v>0</v>
      </c>
      <c r="T22" s="123"/>
      <c r="U22" s="140" t="s">
        <v>76</v>
      </c>
      <c r="V22" s="84"/>
      <c r="W22" s="85"/>
    </row>
    <row r="23" spans="1:23" ht="14.5" thickBot="1" x14ac:dyDescent="0.4">
      <c r="A23" s="79"/>
      <c r="B23" s="76"/>
      <c r="C23" s="74"/>
      <c r="D23" s="74"/>
      <c r="E23" s="75"/>
      <c r="F23" s="143">
        <f t="shared" si="2"/>
        <v>1</v>
      </c>
      <c r="G23" s="144" t="str">
        <f t="shared" si="3"/>
        <v>BA</v>
      </c>
      <c r="H23" s="76"/>
      <c r="I23" s="77"/>
      <c r="J23" s="76"/>
      <c r="K23" s="73"/>
      <c r="L23" s="73"/>
      <c r="M23" s="73"/>
      <c r="N23" s="134"/>
      <c r="O23" s="80" t="str">
        <f t="shared" si="0"/>
        <v/>
      </c>
      <c r="P23" s="130" t="str">
        <f t="shared" si="4"/>
        <v/>
      </c>
      <c r="Q23" s="130" t="str">
        <f t="shared" si="4"/>
        <v/>
      </c>
      <c r="R23" s="130" t="str">
        <f t="shared" si="4"/>
        <v/>
      </c>
      <c r="S23" s="86">
        <f>IF(R23&gt;(24-6),0,IF((AND(P23=0,(COUNTIF(Q$6:Q23,24)+$W$4)&gt;10)),0,IF(U23="BA",(100%*P23+$W$3*Q23)/24*$W$2,(F23*P23+$W$3*Q23)/24*$W$2)))</f>
        <v>0</v>
      </c>
      <c r="T23" s="123"/>
      <c r="U23" s="140" t="s">
        <v>76</v>
      </c>
      <c r="V23" s="84"/>
      <c r="W23" s="85"/>
    </row>
    <row r="24" spans="1:23" ht="14.5" thickBot="1" x14ac:dyDescent="0.4">
      <c r="A24" s="79"/>
      <c r="B24" s="76"/>
      <c r="C24" s="74"/>
      <c r="D24" s="74"/>
      <c r="E24" s="75"/>
      <c r="F24" s="143">
        <f t="shared" si="2"/>
        <v>1</v>
      </c>
      <c r="G24" s="144" t="str">
        <f t="shared" si="3"/>
        <v>BA</v>
      </c>
      <c r="H24" s="76"/>
      <c r="I24" s="77"/>
      <c r="J24" s="76"/>
      <c r="K24" s="73"/>
      <c r="L24" s="73"/>
      <c r="M24" s="73"/>
      <c r="N24" s="134"/>
      <c r="O24" s="80" t="str">
        <f t="shared" si="0"/>
        <v/>
      </c>
      <c r="P24" s="130" t="str">
        <f t="shared" si="4"/>
        <v/>
      </c>
      <c r="Q24" s="130" t="str">
        <f t="shared" si="4"/>
        <v/>
      </c>
      <c r="R24" s="130" t="str">
        <f t="shared" si="4"/>
        <v/>
      </c>
      <c r="S24" s="86">
        <f>IF(R24&gt;(24-6),0,IF((AND(P24=0,(COUNTIF(Q$6:Q24,24)+$W$4)&gt;10)),0,IF(U24="BA",(100%*P24+$W$3*Q24)/24*$W$2,(F24*P24+$W$3*Q24)/24*$W$2)))</f>
        <v>0</v>
      </c>
      <c r="T24" s="123"/>
      <c r="U24" s="140" t="s">
        <v>76</v>
      </c>
      <c r="V24" s="84"/>
      <c r="W24" s="85"/>
    </row>
    <row r="25" spans="1:23" ht="14.5" thickBot="1" x14ac:dyDescent="0.4">
      <c r="A25" s="79"/>
      <c r="B25" s="76"/>
      <c r="C25" s="74"/>
      <c r="D25" s="74"/>
      <c r="E25" s="75"/>
      <c r="F25" s="143">
        <f t="shared" si="2"/>
        <v>1</v>
      </c>
      <c r="G25" s="144" t="str">
        <f t="shared" si="3"/>
        <v>BA</v>
      </c>
      <c r="H25" s="76"/>
      <c r="I25" s="77"/>
      <c r="J25" s="76"/>
      <c r="K25" s="73"/>
      <c r="L25" s="73"/>
      <c r="M25" s="73"/>
      <c r="N25" s="134"/>
      <c r="O25" s="80" t="str">
        <f t="shared" si="0"/>
        <v/>
      </c>
      <c r="P25" s="130" t="str">
        <f t="shared" si="4"/>
        <v/>
      </c>
      <c r="Q25" s="130" t="str">
        <f t="shared" si="4"/>
        <v/>
      </c>
      <c r="R25" s="130" t="str">
        <f t="shared" si="4"/>
        <v/>
      </c>
      <c r="S25" s="86">
        <f>IF(R25&gt;(24-6),0,IF((AND(P25=0,(COUNTIF(Q$6:Q25,24)+$W$4)&gt;10)),0,IF(U25="BA",(100%*P25+$W$3*Q25)/24*$W$2,(F25*P25+$W$3*Q25)/24*$W$2)))</f>
        <v>0</v>
      </c>
      <c r="T25" s="123"/>
      <c r="U25" s="140" t="s">
        <v>76</v>
      </c>
      <c r="V25" s="84"/>
      <c r="W25" s="85"/>
    </row>
    <row r="26" spans="1:23" ht="14.5" thickBot="1" x14ac:dyDescent="0.4">
      <c r="A26" s="79"/>
      <c r="B26" s="76"/>
      <c r="C26" s="74"/>
      <c r="D26" s="74"/>
      <c r="E26" s="75"/>
      <c r="F26" s="143">
        <f t="shared" si="2"/>
        <v>1</v>
      </c>
      <c r="G26" s="144" t="str">
        <f t="shared" si="3"/>
        <v>BA</v>
      </c>
      <c r="H26" s="76"/>
      <c r="I26" s="77"/>
      <c r="J26" s="76"/>
      <c r="K26" s="73"/>
      <c r="L26" s="73"/>
      <c r="M26" s="73"/>
      <c r="N26" s="135"/>
      <c r="O26" s="80" t="str">
        <f t="shared" si="0"/>
        <v/>
      </c>
      <c r="P26" s="130" t="str">
        <f t="shared" si="4"/>
        <v/>
      </c>
      <c r="Q26" s="130" t="str">
        <f t="shared" si="4"/>
        <v/>
      </c>
      <c r="R26" s="130" t="str">
        <f t="shared" si="4"/>
        <v/>
      </c>
      <c r="S26" s="86">
        <f>IF(R26&gt;(24-6),0,IF((AND(P26=0,(COUNTIF(Q$6:Q26,24)+$W$4)&gt;10)),0,IF(U26="BA",(100%*P26+$W$3*Q26)/24*$W$2,(F26*P26+$W$3*Q26)/24*$W$2)))</f>
        <v>0</v>
      </c>
      <c r="T26" s="123"/>
      <c r="U26" s="140" t="s">
        <v>76</v>
      </c>
      <c r="V26" s="84"/>
      <c r="W26" s="85"/>
    </row>
    <row r="27" spans="1:23" ht="14.5" thickBot="1" x14ac:dyDescent="0.4">
      <c r="A27" s="79"/>
      <c r="B27" s="76"/>
      <c r="C27" s="74"/>
      <c r="D27" s="74"/>
      <c r="E27" s="75"/>
      <c r="F27" s="143">
        <f t="shared" si="2"/>
        <v>1</v>
      </c>
      <c r="G27" s="144" t="str">
        <f t="shared" si="3"/>
        <v>BA</v>
      </c>
      <c r="H27" s="76"/>
      <c r="I27" s="77"/>
      <c r="J27" s="76"/>
      <c r="K27" s="73"/>
      <c r="L27" s="73"/>
      <c r="M27" s="73"/>
      <c r="N27" s="135"/>
      <c r="O27" s="80" t="str">
        <f t="shared" si="0"/>
        <v/>
      </c>
      <c r="P27" s="130" t="str">
        <f t="shared" si="4"/>
        <v/>
      </c>
      <c r="Q27" s="130" t="str">
        <f t="shared" si="4"/>
        <v/>
      </c>
      <c r="R27" s="130" t="str">
        <f t="shared" si="4"/>
        <v/>
      </c>
      <c r="S27" s="86">
        <f>IF(R27&gt;(24-6),0,IF((AND(P27=0,(COUNTIF(Q$6:Q27,24)+$W$4)&gt;10)),0,IF(U27="BA",(100%*P27+$W$3*Q27)/24*$W$2,(F27*P27+$W$3*Q27)/24*$W$2)))</f>
        <v>0</v>
      </c>
      <c r="T27" s="123"/>
      <c r="U27" s="140" t="s">
        <v>76</v>
      </c>
      <c r="V27" s="84"/>
      <c r="W27" s="85"/>
    </row>
    <row r="28" spans="1:23" ht="14.5" thickBot="1" x14ac:dyDescent="0.4">
      <c r="A28" s="79"/>
      <c r="B28" s="76"/>
      <c r="C28" s="74"/>
      <c r="D28" s="74"/>
      <c r="E28" s="75"/>
      <c r="F28" s="143">
        <f t="shared" si="2"/>
        <v>1</v>
      </c>
      <c r="G28" s="144" t="str">
        <f t="shared" si="3"/>
        <v>BA</v>
      </c>
      <c r="H28" s="76"/>
      <c r="I28" s="77"/>
      <c r="J28" s="76"/>
      <c r="K28" s="73"/>
      <c r="L28" s="73"/>
      <c r="M28" s="73"/>
      <c r="N28" s="135"/>
      <c r="O28" s="80" t="str">
        <f t="shared" si="0"/>
        <v/>
      </c>
      <c r="P28" s="130" t="str">
        <f t="shared" si="4"/>
        <v/>
      </c>
      <c r="Q28" s="130" t="str">
        <f t="shared" si="4"/>
        <v/>
      </c>
      <c r="R28" s="130" t="str">
        <f t="shared" si="4"/>
        <v/>
      </c>
      <c r="S28" s="86">
        <f>IF(R28&gt;(24-6),0,IF((AND(P28=0,(COUNTIF(Q$6:Q28,24)+$W$4)&gt;10)),0,IF(U28="BA",(100%*P28+$W$3*Q28)/24*$W$2,(F28*P28+$W$3*Q28)/24*$W$2)))</f>
        <v>0</v>
      </c>
      <c r="T28" s="123"/>
      <c r="U28" s="140" t="s">
        <v>76</v>
      </c>
      <c r="V28" s="84"/>
      <c r="W28" s="85"/>
    </row>
    <row r="29" spans="1:23" ht="14.5" thickBot="1" x14ac:dyDescent="0.4">
      <c r="A29" s="79"/>
      <c r="B29" s="76"/>
      <c r="C29" s="74"/>
      <c r="D29" s="74"/>
      <c r="E29" s="75"/>
      <c r="F29" s="143">
        <f t="shared" si="2"/>
        <v>1</v>
      </c>
      <c r="G29" s="144" t="str">
        <f t="shared" si="3"/>
        <v>BA</v>
      </c>
      <c r="H29" s="76"/>
      <c r="I29" s="77"/>
      <c r="J29" s="76"/>
      <c r="K29" s="73"/>
      <c r="L29" s="73"/>
      <c r="M29" s="73"/>
      <c r="N29" s="135"/>
      <c r="O29" s="80" t="str">
        <f t="shared" si="0"/>
        <v/>
      </c>
      <c r="P29" s="130" t="str">
        <f t="shared" si="4"/>
        <v/>
      </c>
      <c r="Q29" s="130" t="str">
        <f t="shared" si="4"/>
        <v/>
      </c>
      <c r="R29" s="130" t="str">
        <f t="shared" si="4"/>
        <v/>
      </c>
      <c r="S29" s="86">
        <f>IF(R29&gt;(24-6),0,IF((AND(P29=0,(COUNTIF(Q$6:Q29,24)+$W$4)&gt;10)),0,IF(U29="BA",(100%*P29+$W$3*Q29)/24*$W$2,(F29*P29+$W$3*Q29)/24*$W$2)))</f>
        <v>0</v>
      </c>
      <c r="T29" s="123"/>
      <c r="U29" s="140" t="s">
        <v>76</v>
      </c>
      <c r="V29" s="84"/>
      <c r="W29" s="85"/>
    </row>
    <row r="30" spans="1:23" ht="14.5" thickBot="1" x14ac:dyDescent="0.4">
      <c r="A30" s="79"/>
      <c r="B30" s="76"/>
      <c r="C30" s="74"/>
      <c r="D30" s="74"/>
      <c r="E30" s="75"/>
      <c r="F30" s="143">
        <f t="shared" si="2"/>
        <v>1</v>
      </c>
      <c r="G30" s="144" t="str">
        <f t="shared" si="3"/>
        <v>BA</v>
      </c>
      <c r="H30" s="76"/>
      <c r="I30" s="77"/>
      <c r="J30" s="76"/>
      <c r="K30" s="73"/>
      <c r="L30" s="73"/>
      <c r="M30" s="73"/>
      <c r="N30" s="135"/>
      <c r="O30" s="80" t="str">
        <f t="shared" si="0"/>
        <v/>
      </c>
      <c r="P30" s="130" t="str">
        <f t="shared" si="4"/>
        <v/>
      </c>
      <c r="Q30" s="130" t="str">
        <f t="shared" si="4"/>
        <v/>
      </c>
      <c r="R30" s="130" t="str">
        <f t="shared" si="4"/>
        <v/>
      </c>
      <c r="S30" s="86">
        <f>IF(R30&gt;(24-6),0,IF((AND(P30=0,(COUNTIF(Q$6:Q30,24)+$W$4)&gt;10)),0,IF(U30="BA",(100%*P30+$W$3*Q30)/24*$W$2,(F30*P30+$W$3*Q30)/24*$W$2)))</f>
        <v>0</v>
      </c>
      <c r="T30" s="124"/>
      <c r="U30" s="140" t="s">
        <v>76</v>
      </c>
      <c r="V30" s="84"/>
      <c r="W30" s="85"/>
    </row>
    <row r="31" spans="1:23" ht="14.5" thickBot="1" x14ac:dyDescent="0.4">
      <c r="A31" s="79"/>
      <c r="B31" s="76"/>
      <c r="C31" s="74"/>
      <c r="D31" s="74"/>
      <c r="E31" s="75"/>
      <c r="F31" s="143">
        <f t="shared" si="2"/>
        <v>1</v>
      </c>
      <c r="G31" s="144" t="str">
        <f t="shared" si="3"/>
        <v>BA</v>
      </c>
      <c r="H31" s="76"/>
      <c r="I31" s="77"/>
      <c r="J31" s="76"/>
      <c r="K31" s="73"/>
      <c r="L31" s="73"/>
      <c r="M31" s="73"/>
      <c r="N31" s="135"/>
      <c r="O31" s="80" t="str">
        <f t="shared" si="0"/>
        <v/>
      </c>
      <c r="P31" s="130" t="str">
        <f t="shared" si="4"/>
        <v/>
      </c>
      <c r="Q31" s="130" t="str">
        <f t="shared" si="4"/>
        <v/>
      </c>
      <c r="R31" s="130" t="str">
        <f t="shared" si="4"/>
        <v/>
      </c>
      <c r="S31" s="86">
        <f>IF(R31&gt;(24-6),0,IF((AND(P31=0,(COUNTIF(Q$6:Q31,24)+$W$4)&gt;10)),0,IF(U31="BA",(100%*P31+$W$3*Q31)/24*$W$2,(F31*P31+$W$3*Q31)/24*$W$2)))</f>
        <v>0</v>
      </c>
      <c r="T31" s="123"/>
      <c r="U31" s="140" t="s">
        <v>76</v>
      </c>
      <c r="V31" s="84"/>
      <c r="W31" s="85"/>
    </row>
    <row r="32" spans="1:23" ht="14.5" thickBot="1" x14ac:dyDescent="0.4">
      <c r="A32" s="79"/>
      <c r="B32" s="76"/>
      <c r="C32" s="74"/>
      <c r="D32" s="74"/>
      <c r="E32" s="75"/>
      <c r="F32" s="143">
        <f t="shared" si="2"/>
        <v>1</v>
      </c>
      <c r="G32" s="144" t="str">
        <f t="shared" si="3"/>
        <v>BA</v>
      </c>
      <c r="H32" s="76"/>
      <c r="I32" s="77"/>
      <c r="J32" s="76"/>
      <c r="K32" s="73"/>
      <c r="L32" s="73"/>
      <c r="M32" s="73"/>
      <c r="N32" s="135"/>
      <c r="O32" s="80" t="str">
        <f t="shared" si="0"/>
        <v/>
      </c>
      <c r="P32" s="130" t="str">
        <f t="shared" si="4"/>
        <v/>
      </c>
      <c r="Q32" s="130" t="str">
        <f t="shared" si="4"/>
        <v/>
      </c>
      <c r="R32" s="130" t="str">
        <f t="shared" si="4"/>
        <v/>
      </c>
      <c r="S32" s="86">
        <f>IF(R32&gt;(24-6),0,IF((AND(P32=0,(COUNTIF(Q$6:Q32,24)+$W$4)&gt;10)),0,IF(U32="BA",(100%*P32+$W$3*Q32)/24*$W$2,(F32*P32+$W$3*Q32)/24*$W$2)))</f>
        <v>0</v>
      </c>
      <c r="T32" s="123"/>
      <c r="U32" s="140" t="s">
        <v>76</v>
      </c>
      <c r="V32" s="84"/>
      <c r="W32" s="85"/>
    </row>
    <row r="33" spans="1:23" ht="14.5" thickBot="1" x14ac:dyDescent="0.4">
      <c r="A33" s="79"/>
      <c r="B33" s="76"/>
      <c r="C33" s="74"/>
      <c r="D33" s="74"/>
      <c r="E33" s="75"/>
      <c r="F33" s="143">
        <f t="shared" si="2"/>
        <v>1</v>
      </c>
      <c r="G33" s="144" t="str">
        <f t="shared" si="3"/>
        <v>BA</v>
      </c>
      <c r="H33" s="76"/>
      <c r="I33" s="77"/>
      <c r="J33" s="76"/>
      <c r="K33" s="73"/>
      <c r="L33" s="73"/>
      <c r="M33" s="73"/>
      <c r="N33" s="135"/>
      <c r="O33" s="80" t="str">
        <f t="shared" si="0"/>
        <v/>
      </c>
      <c r="P33" s="130" t="str">
        <f t="shared" si="4"/>
        <v/>
      </c>
      <c r="Q33" s="130" t="str">
        <f t="shared" si="4"/>
        <v/>
      </c>
      <c r="R33" s="130" t="str">
        <f t="shared" si="4"/>
        <v/>
      </c>
      <c r="S33" s="86">
        <f>IF(R33&gt;(24-6),0,IF((AND(P33=0,(COUNTIF(Q$6:Q33,24)+$W$4)&gt;10)),0,IF(U33="BA",(100%*P33+$W$3*Q33)/24*$W$2,(F33*P33+$W$3*Q33)/24*$W$2)))</f>
        <v>0</v>
      </c>
      <c r="T33" s="123"/>
      <c r="U33" s="140" t="s">
        <v>76</v>
      </c>
      <c r="V33" s="84"/>
      <c r="W33" s="85"/>
    </row>
    <row r="34" spans="1:23" ht="14.5" thickBot="1" x14ac:dyDescent="0.4">
      <c r="A34" s="79"/>
      <c r="B34" s="76"/>
      <c r="C34" s="74"/>
      <c r="D34" s="74"/>
      <c r="E34" s="75"/>
      <c r="F34" s="143">
        <f t="shared" si="2"/>
        <v>1</v>
      </c>
      <c r="G34" s="144" t="str">
        <f t="shared" si="3"/>
        <v>BA</v>
      </c>
      <c r="H34" s="76"/>
      <c r="I34" s="77"/>
      <c r="J34" s="76"/>
      <c r="K34" s="73"/>
      <c r="L34" s="73"/>
      <c r="M34" s="73"/>
      <c r="N34" s="135"/>
      <c r="O34" s="80" t="str">
        <f t="shared" si="0"/>
        <v/>
      </c>
      <c r="P34" s="130" t="str">
        <f t="shared" si="4"/>
        <v/>
      </c>
      <c r="Q34" s="130" t="str">
        <f t="shared" si="4"/>
        <v/>
      </c>
      <c r="R34" s="130" t="str">
        <f t="shared" si="4"/>
        <v/>
      </c>
      <c r="S34" s="86">
        <f>IF(R34&gt;(24-6),0,IF((AND(P34=0,(COUNTIF(Q$6:Q34,24)+$W$4)&gt;10)),0,IF(U34="BA",(100%*P34+$W$3*Q34)/24*$W$2,(F34*P34+$W$3*Q34)/24*$W$2)))</f>
        <v>0</v>
      </c>
      <c r="T34" s="123"/>
      <c r="U34" s="140" t="s">
        <v>76</v>
      </c>
      <c r="V34" s="84"/>
      <c r="W34" s="85"/>
    </row>
    <row r="35" spans="1:23" ht="14.5" thickBot="1" x14ac:dyDescent="0.4">
      <c r="A35" s="79"/>
      <c r="B35" s="76"/>
      <c r="C35" s="74"/>
      <c r="D35" s="74"/>
      <c r="E35" s="75"/>
      <c r="F35" s="143">
        <f t="shared" si="2"/>
        <v>1</v>
      </c>
      <c r="G35" s="144" t="str">
        <f t="shared" si="3"/>
        <v>BA</v>
      </c>
      <c r="H35" s="76"/>
      <c r="I35" s="77"/>
      <c r="J35" s="76"/>
      <c r="K35" s="73"/>
      <c r="L35" s="73"/>
      <c r="M35" s="73"/>
      <c r="N35" s="135"/>
      <c r="O35" s="80" t="str">
        <f t="shared" si="0"/>
        <v/>
      </c>
      <c r="P35" s="130" t="str">
        <f t="shared" si="4"/>
        <v/>
      </c>
      <c r="Q35" s="130" t="str">
        <f t="shared" si="4"/>
        <v/>
      </c>
      <c r="R35" s="130" t="str">
        <f t="shared" si="4"/>
        <v/>
      </c>
      <c r="S35" s="86">
        <f>IF(R35&gt;(24-6),0,IF((AND(P35=0,(COUNTIF(Q$6:Q35,24)+$W$4)&gt;10)),0,IF(U35="BA",(100%*P35+$W$3*Q35)/24*$W$2,(F35*P35+$W$3*Q35)/24*$W$2)))</f>
        <v>0</v>
      </c>
      <c r="T35" s="123"/>
      <c r="U35" s="140" t="s">
        <v>76</v>
      </c>
      <c r="V35" s="84"/>
      <c r="W35" s="85"/>
    </row>
    <row r="36" spans="1:23" ht="14.5" thickBot="1" x14ac:dyDescent="0.4">
      <c r="A36" s="98"/>
      <c r="B36" s="99"/>
      <c r="C36" s="100"/>
      <c r="D36" s="100"/>
      <c r="E36" s="101"/>
      <c r="F36" s="143">
        <f t="shared" si="2"/>
        <v>1</v>
      </c>
      <c r="G36" s="144" t="str">
        <f t="shared" si="3"/>
        <v>BA</v>
      </c>
      <c r="H36" s="99"/>
      <c r="I36" s="102"/>
      <c r="J36" s="99"/>
      <c r="K36" s="103"/>
      <c r="L36" s="103"/>
      <c r="M36" s="103"/>
      <c r="N36" s="136"/>
      <c r="O36" s="80" t="str">
        <f t="shared" si="0"/>
        <v/>
      </c>
      <c r="P36" s="130" t="str">
        <f t="shared" si="4"/>
        <v/>
      </c>
      <c r="Q36" s="130" t="str">
        <f t="shared" si="4"/>
        <v/>
      </c>
      <c r="R36" s="130" t="str">
        <f t="shared" si="4"/>
        <v/>
      </c>
      <c r="S36" s="86">
        <f>IF(R36&gt;(24-6),0,IF((AND(P36=0,(COUNTIF(Q$6:Q36,24)+$W$4)&gt;10)),0,IF(U36="BA",(100%*P36+$W$3*Q36)/24*$W$2,(F36*P36+$W$3*Q36)/24*$W$2)))</f>
        <v>0</v>
      </c>
      <c r="T36" s="125"/>
      <c r="U36" s="140" t="s">
        <v>76</v>
      </c>
      <c r="V36" s="84"/>
      <c r="W36" s="85"/>
    </row>
    <row r="37" spans="1:23" ht="20.149999999999999" customHeight="1" thickBot="1" x14ac:dyDescent="0.4">
      <c r="A37" s="106" t="s">
        <v>5</v>
      </c>
      <c r="B37" s="107"/>
      <c r="C37" s="107"/>
      <c r="D37" s="107"/>
      <c r="E37" s="108" t="str">
        <f>IF(COUNT(E6:E36)=0,"",SUM(E6:E36))</f>
        <v/>
      </c>
      <c r="F37" s="109"/>
      <c r="G37" s="110"/>
      <c r="H37" s="107"/>
      <c r="I37" s="111"/>
      <c r="J37" s="112" t="str">
        <f>IF(COUNT(J6:J36)=0,"",SUM(J6:J36))</f>
        <v/>
      </c>
      <c r="K37" s="113" t="str">
        <f>IF(COUNT(K6:K36)=0,"",SUM(K6:K36))</f>
        <v/>
      </c>
      <c r="L37" s="113" t="str">
        <f>IF(COUNT(L6:L36)=0,"",SUM(L6:L36))</f>
        <v/>
      </c>
      <c r="M37" s="113" t="str">
        <f>IF(COUNT(M6:M36)=0,"",SUM(M6:M36))</f>
        <v/>
      </c>
      <c r="N37" s="114"/>
      <c r="O37" s="115"/>
      <c r="P37" s="137" t="str">
        <f>IF(COUNT(P6:P36)=0,"",SUM(P6:P36))</f>
        <v/>
      </c>
      <c r="Q37" s="137" t="str">
        <f>IF(COUNT(Q6:Q36)=0,"",SUM(Q6:Q36))</f>
        <v/>
      </c>
      <c r="R37" s="137" t="str">
        <f>IF(COUNT(R6:R36)=0,"",SUM(R6:R36))</f>
        <v/>
      </c>
      <c r="S37" s="126" t="e">
        <f>SUM(S6:S36)</f>
        <v>#VALUE!</v>
      </c>
      <c r="T37" s="116"/>
    </row>
  </sheetData>
  <sheetProtection formatColumns="0" formatRows="0" insertColumns="0" insertRows="0" sort="0" autoFilter="0" pivotTables="0"/>
  <mergeCells count="6">
    <mergeCell ref="A1:T1"/>
    <mergeCell ref="A2:T2"/>
    <mergeCell ref="A4:A5"/>
    <mergeCell ref="K4:M4"/>
    <mergeCell ref="P4:R4"/>
    <mergeCell ref="T4:T5"/>
  </mergeCells>
  <dataValidations count="1">
    <dataValidation type="list" allowBlank="1" showInputMessage="1" sqref="U6:U36" xr:uid="{1F670E5D-A7FD-4F17-BF5F-7BFE38AF2C35}">
      <formula1>"BA"</formula1>
    </dataValidation>
  </dataValidations>
  <printOptions horizontalCentered="1"/>
  <pageMargins left="0.39370078740157483" right="0.39370078740157483" top="0.59055118110236227" bottom="0.59055118110236227" header="0.31496062992125984" footer="0.31496062992125984"/>
  <pageSetup paperSize="9" scale="4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Rekap Inv</vt:lpstr>
      <vt:lpstr>4060 2</vt:lpstr>
      <vt:lpstr>7113</vt:lpstr>
      <vt:lpstr>7116</vt:lpstr>
      <vt:lpstr>'7113'!Print_Area</vt:lpstr>
      <vt:lpstr>'7116'!Print_Area</vt:lpstr>
      <vt:lpstr>'Rekap Inv'!Print_Area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2022 ALFONSUS VEGA HENTYA TANOJO</cp:lastModifiedBy>
  <cp:lastPrinted>2023-10-16T19:53:07Z</cp:lastPrinted>
  <dcterms:created xsi:type="dcterms:W3CDTF">2020-02-26T09:07:03Z</dcterms:created>
  <dcterms:modified xsi:type="dcterms:W3CDTF">2026-02-27T08:36:09Z</dcterms:modified>
</cp:coreProperties>
</file>