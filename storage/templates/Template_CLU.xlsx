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fonsus Vega\Documents\GitHub\sinerco\storage\templates\"/>
    </mc:Choice>
  </mc:AlternateContent>
  <xr:revisionPtr revIDLastSave="0" documentId="13_ncr:1_{B6C8042B-A9B4-489F-BD69-2A66F6D0614F}" xr6:coauthVersionLast="47" xr6:coauthVersionMax="47" xr10:uidLastSave="{00000000-0000-0000-0000-000000000000}"/>
  <bookViews>
    <workbookView xWindow="-110" yWindow="-110" windowWidth="25820" windowHeight="13900" tabRatio="860" activeTab="1" xr2:uid="{00000000-000D-0000-FFFF-FFFF00000000}"/>
  </bookViews>
  <sheets>
    <sheet name="Database" sheetId="16" r:id="rId1"/>
    <sheet name="7101 (C)" sheetId="19" r:id="rId2"/>
  </sheets>
  <definedNames>
    <definedName name="_xlnm.Print_Area" localSheetId="0">Database!$A$1:$E$28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4" i="19" l="1"/>
  <c r="C72" i="19"/>
  <c r="D169" i="19"/>
  <c r="E169" i="19"/>
  <c r="F169" i="19"/>
  <c r="M169" i="19" s="1"/>
  <c r="G169" i="19"/>
  <c r="H169" i="19"/>
  <c r="I169" i="19"/>
  <c r="J169" i="19"/>
  <c r="O169" i="19"/>
  <c r="D170" i="19"/>
  <c r="E170" i="19"/>
  <c r="F170" i="19"/>
  <c r="M170" i="19" s="1"/>
  <c r="G170" i="19"/>
  <c r="H170" i="19"/>
  <c r="I170" i="19"/>
  <c r="J170" i="19"/>
  <c r="O170" i="19"/>
  <c r="D171" i="19"/>
  <c r="E171" i="19"/>
  <c r="F171" i="19"/>
  <c r="M171" i="19" s="1"/>
  <c r="G171" i="19"/>
  <c r="H171" i="19"/>
  <c r="I171" i="19"/>
  <c r="J171" i="19"/>
  <c r="O171" i="19"/>
  <c r="D172" i="19"/>
  <c r="E172" i="19"/>
  <c r="F172" i="19"/>
  <c r="M172" i="19" s="1"/>
  <c r="G172" i="19"/>
  <c r="H172" i="19"/>
  <c r="I172" i="19"/>
  <c r="J172" i="19"/>
  <c r="O172" i="19"/>
  <c r="D173" i="19"/>
  <c r="E173" i="19"/>
  <c r="F173" i="19"/>
  <c r="M173" i="19" s="1"/>
  <c r="G173" i="19"/>
  <c r="H173" i="19"/>
  <c r="I173" i="19"/>
  <c r="J173" i="19"/>
  <c r="O173" i="19"/>
  <c r="D174" i="19"/>
  <c r="E174" i="19"/>
  <c r="F174" i="19"/>
  <c r="M174" i="19" s="1"/>
  <c r="G174" i="19"/>
  <c r="H174" i="19"/>
  <c r="I174" i="19"/>
  <c r="J174" i="19"/>
  <c r="O174" i="19"/>
  <c r="D175" i="19"/>
  <c r="E175" i="19"/>
  <c r="F175" i="19"/>
  <c r="M175" i="19" s="1"/>
  <c r="G175" i="19"/>
  <c r="H175" i="19"/>
  <c r="I175" i="19"/>
  <c r="J175" i="19"/>
  <c r="O175" i="19"/>
  <c r="D176" i="19"/>
  <c r="E176" i="19"/>
  <c r="K176" i="19" s="1"/>
  <c r="L176" i="19" s="1"/>
  <c r="F176" i="19"/>
  <c r="M176" i="19" s="1"/>
  <c r="G176" i="19"/>
  <c r="H176" i="19"/>
  <c r="I176" i="19"/>
  <c r="J176" i="19"/>
  <c r="O176" i="19"/>
  <c r="D177" i="19"/>
  <c r="E177" i="19"/>
  <c r="F177" i="19"/>
  <c r="M177" i="19" s="1"/>
  <c r="G177" i="19"/>
  <c r="H177" i="19"/>
  <c r="I177" i="19"/>
  <c r="J177" i="19"/>
  <c r="O177" i="19"/>
  <c r="D178" i="19"/>
  <c r="E178" i="19"/>
  <c r="F178" i="19"/>
  <c r="M178" i="19" s="1"/>
  <c r="G178" i="19"/>
  <c r="H178" i="19"/>
  <c r="I178" i="19"/>
  <c r="J178" i="19"/>
  <c r="O178" i="19"/>
  <c r="D179" i="19"/>
  <c r="E179" i="19"/>
  <c r="F179" i="19"/>
  <c r="M179" i="19" s="1"/>
  <c r="G179" i="19"/>
  <c r="H179" i="19"/>
  <c r="I179" i="19"/>
  <c r="J179" i="19"/>
  <c r="O179" i="19"/>
  <c r="D180" i="19"/>
  <c r="E180" i="19"/>
  <c r="F180" i="19"/>
  <c r="M180" i="19" s="1"/>
  <c r="G180" i="19"/>
  <c r="H180" i="19"/>
  <c r="I180" i="19"/>
  <c r="J180" i="19"/>
  <c r="O180" i="19"/>
  <c r="D181" i="19"/>
  <c r="E181" i="19"/>
  <c r="F181" i="19"/>
  <c r="M181" i="19" s="1"/>
  <c r="G181" i="19"/>
  <c r="H181" i="19"/>
  <c r="I181" i="19"/>
  <c r="J181" i="19"/>
  <c r="O181" i="19"/>
  <c r="D182" i="19"/>
  <c r="E182" i="19"/>
  <c r="F182" i="19"/>
  <c r="M182" i="19" s="1"/>
  <c r="G182" i="19"/>
  <c r="H182" i="19"/>
  <c r="I182" i="19"/>
  <c r="J182" i="19"/>
  <c r="O182" i="19"/>
  <c r="D183" i="19"/>
  <c r="E183" i="19"/>
  <c r="F183" i="19"/>
  <c r="M183" i="19" s="1"/>
  <c r="G183" i="19"/>
  <c r="H183" i="19"/>
  <c r="I183" i="19"/>
  <c r="J183" i="19"/>
  <c r="O183" i="19"/>
  <c r="D184" i="19"/>
  <c r="E184" i="19"/>
  <c r="F184" i="19"/>
  <c r="M184" i="19" s="1"/>
  <c r="G184" i="19"/>
  <c r="H184" i="19"/>
  <c r="I184" i="19"/>
  <c r="J184" i="19"/>
  <c r="O184" i="19"/>
  <c r="D185" i="19"/>
  <c r="E185" i="19"/>
  <c r="F185" i="19"/>
  <c r="M185" i="19" s="1"/>
  <c r="G185" i="19"/>
  <c r="H185" i="19"/>
  <c r="I185" i="19"/>
  <c r="J185" i="19"/>
  <c r="O185" i="19"/>
  <c r="D186" i="19"/>
  <c r="E186" i="19"/>
  <c r="F186" i="19"/>
  <c r="M186" i="19" s="1"/>
  <c r="G186" i="19"/>
  <c r="H186" i="19"/>
  <c r="I186" i="19"/>
  <c r="J186" i="19"/>
  <c r="O186" i="19"/>
  <c r="D187" i="19"/>
  <c r="E187" i="19"/>
  <c r="F187" i="19"/>
  <c r="M187" i="19" s="1"/>
  <c r="G187" i="19"/>
  <c r="H187" i="19"/>
  <c r="I187" i="19"/>
  <c r="J187" i="19"/>
  <c r="O187" i="19"/>
  <c r="D188" i="19"/>
  <c r="E188" i="19"/>
  <c r="F188" i="19"/>
  <c r="M188" i="19" s="1"/>
  <c r="G188" i="19"/>
  <c r="H188" i="19"/>
  <c r="I188" i="19"/>
  <c r="J188" i="19"/>
  <c r="O188" i="19"/>
  <c r="D189" i="19"/>
  <c r="E189" i="19"/>
  <c r="F189" i="19"/>
  <c r="M189" i="19" s="1"/>
  <c r="G189" i="19"/>
  <c r="H189" i="19"/>
  <c r="I189" i="19"/>
  <c r="J189" i="19"/>
  <c r="O189" i="19"/>
  <c r="D190" i="19"/>
  <c r="E190" i="19"/>
  <c r="F190" i="19"/>
  <c r="M190" i="19" s="1"/>
  <c r="G190" i="19"/>
  <c r="H190" i="19"/>
  <c r="I190" i="19"/>
  <c r="J190" i="19"/>
  <c r="O190" i="19"/>
  <c r="D191" i="19"/>
  <c r="E191" i="19"/>
  <c r="F191" i="19"/>
  <c r="M191" i="19" s="1"/>
  <c r="G191" i="19"/>
  <c r="H191" i="19"/>
  <c r="I191" i="19"/>
  <c r="J191" i="19"/>
  <c r="O191" i="19"/>
  <c r="D192" i="19"/>
  <c r="E192" i="19"/>
  <c r="F192" i="19"/>
  <c r="M192" i="19" s="1"/>
  <c r="G192" i="19"/>
  <c r="H192" i="19"/>
  <c r="I192" i="19"/>
  <c r="J192" i="19"/>
  <c r="O192" i="19"/>
  <c r="D193" i="19"/>
  <c r="E193" i="19"/>
  <c r="F193" i="19"/>
  <c r="M193" i="19" s="1"/>
  <c r="G193" i="19"/>
  <c r="H193" i="19"/>
  <c r="I193" i="19"/>
  <c r="J193" i="19"/>
  <c r="O193" i="19"/>
  <c r="D194" i="19"/>
  <c r="E194" i="19"/>
  <c r="F194" i="19"/>
  <c r="M194" i="19" s="1"/>
  <c r="G194" i="19"/>
  <c r="H194" i="19"/>
  <c r="I194" i="19"/>
  <c r="J194" i="19"/>
  <c r="O194" i="19"/>
  <c r="D195" i="19"/>
  <c r="E195" i="19"/>
  <c r="F195" i="19"/>
  <c r="M195" i="19" s="1"/>
  <c r="G195" i="19"/>
  <c r="H195" i="19"/>
  <c r="I195" i="19"/>
  <c r="J195" i="19"/>
  <c r="O195" i="19"/>
  <c r="D196" i="19"/>
  <c r="E196" i="19"/>
  <c r="F196" i="19"/>
  <c r="M196" i="19" s="1"/>
  <c r="G196" i="19"/>
  <c r="H196" i="19"/>
  <c r="I196" i="19"/>
  <c r="J196" i="19"/>
  <c r="O196" i="19"/>
  <c r="D197" i="19"/>
  <c r="E197" i="19"/>
  <c r="F197" i="19"/>
  <c r="M197" i="19" s="1"/>
  <c r="G197" i="19"/>
  <c r="H197" i="19"/>
  <c r="I197" i="19"/>
  <c r="J197" i="19"/>
  <c r="O197" i="19"/>
  <c r="D198" i="19"/>
  <c r="E198" i="19"/>
  <c r="F198" i="19"/>
  <c r="M198" i="19" s="1"/>
  <c r="G198" i="19"/>
  <c r="H198" i="19"/>
  <c r="I198" i="19"/>
  <c r="J198" i="19"/>
  <c r="O198" i="19"/>
  <c r="K184" i="19" l="1"/>
  <c r="L184" i="19" s="1"/>
  <c r="K192" i="19"/>
  <c r="L192" i="19" s="1"/>
  <c r="K186" i="19"/>
  <c r="K172" i="19"/>
  <c r="L172" i="19" s="1"/>
  <c r="K171" i="19"/>
  <c r="K170" i="19"/>
  <c r="K178" i="19"/>
  <c r="L178" i="19" s="1"/>
  <c r="N178" i="19" s="1"/>
  <c r="K181" i="19"/>
  <c r="K189" i="19"/>
  <c r="K180" i="19"/>
  <c r="L180" i="19" s="1"/>
  <c r="K179" i="19"/>
  <c r="L179" i="19" s="1"/>
  <c r="N179" i="19" s="1"/>
  <c r="K169" i="19"/>
  <c r="L169" i="19" s="1"/>
  <c r="N169" i="19" s="1"/>
  <c r="K188" i="19"/>
  <c r="L188" i="19" s="1"/>
  <c r="K187" i="19"/>
  <c r="K197" i="19"/>
  <c r="L197" i="19" s="1"/>
  <c r="N197" i="19" s="1"/>
  <c r="K196" i="19"/>
  <c r="L196" i="19" s="1"/>
  <c r="K195" i="19"/>
  <c r="K194" i="19"/>
  <c r="L194" i="19" s="1"/>
  <c r="N194" i="19" s="1"/>
  <c r="K173" i="19"/>
  <c r="L173" i="19" s="1"/>
  <c r="N173" i="19" s="1"/>
  <c r="K191" i="19"/>
  <c r="L191" i="19" s="1"/>
  <c r="N191" i="19" s="1"/>
  <c r="K190" i="19"/>
  <c r="L190" i="19" s="1"/>
  <c r="N190" i="19" s="1"/>
  <c r="K185" i="19"/>
  <c r="L185" i="19" s="1"/>
  <c r="K175" i="19"/>
  <c r="L175" i="19" s="1"/>
  <c r="N175" i="19" s="1"/>
  <c r="K174" i="19"/>
  <c r="L174" i="19" s="1"/>
  <c r="N174" i="19" s="1"/>
  <c r="K198" i="19"/>
  <c r="K193" i="19"/>
  <c r="L193" i="19" s="1"/>
  <c r="K183" i="19"/>
  <c r="L183" i="19" s="1"/>
  <c r="N183" i="19" s="1"/>
  <c r="K182" i="19"/>
  <c r="L182" i="19" s="1"/>
  <c r="N182" i="19" s="1"/>
  <c r="K177" i="19"/>
  <c r="L187" i="19"/>
  <c r="N187" i="19" s="1"/>
  <c r="L186" i="19"/>
  <c r="N186" i="19" s="1"/>
  <c r="L181" i="19"/>
  <c r="N181" i="19" s="1"/>
  <c r="L171" i="19"/>
  <c r="N171" i="19" s="1"/>
  <c r="L170" i="19"/>
  <c r="N170" i="19" s="1"/>
  <c r="N185" i="19"/>
  <c r="L189" i="19"/>
  <c r="N189" i="19" s="1"/>
  <c r="L198" i="19"/>
  <c r="N198" i="19" s="1"/>
  <c r="L177" i="19"/>
  <c r="N192" i="19"/>
  <c r="N188" i="19"/>
  <c r="N184" i="19"/>
  <c r="N176" i="19"/>
  <c r="L195" i="19" l="1"/>
  <c r="N195" i="19"/>
  <c r="N177" i="19"/>
  <c r="N196" i="19"/>
  <c r="N172" i="19"/>
  <c r="N180" i="19"/>
  <c r="N193" i="19"/>
  <c r="L168" i="19"/>
  <c r="L136" i="19"/>
  <c r="C6" i="19" l="1"/>
  <c r="C5" i="19"/>
  <c r="O388" i="19" l="1"/>
  <c r="J388" i="19"/>
  <c r="I388" i="19"/>
  <c r="H388" i="19"/>
  <c r="G388" i="19"/>
  <c r="F388" i="19"/>
  <c r="M388" i="19" s="1"/>
  <c r="E388" i="19"/>
  <c r="D388" i="19"/>
  <c r="O387" i="19"/>
  <c r="J387" i="19"/>
  <c r="I387" i="19"/>
  <c r="H387" i="19"/>
  <c r="G387" i="19"/>
  <c r="F387" i="19"/>
  <c r="M387" i="19" s="1"/>
  <c r="E387" i="19"/>
  <c r="D387" i="19"/>
  <c r="O386" i="19"/>
  <c r="J386" i="19"/>
  <c r="I386" i="19"/>
  <c r="H386" i="19"/>
  <c r="G386" i="19"/>
  <c r="F386" i="19"/>
  <c r="M386" i="19" s="1"/>
  <c r="E386" i="19"/>
  <c r="D386" i="19"/>
  <c r="O385" i="19"/>
  <c r="J385" i="19"/>
  <c r="I385" i="19"/>
  <c r="H385" i="19"/>
  <c r="G385" i="19"/>
  <c r="F385" i="19"/>
  <c r="M385" i="19" s="1"/>
  <c r="E385" i="19"/>
  <c r="D385" i="19"/>
  <c r="O384" i="19"/>
  <c r="J384" i="19"/>
  <c r="I384" i="19"/>
  <c r="H384" i="19"/>
  <c r="G384" i="19"/>
  <c r="F384" i="19"/>
  <c r="M384" i="19" s="1"/>
  <c r="E384" i="19"/>
  <c r="D384" i="19"/>
  <c r="O383" i="19"/>
  <c r="J383" i="19"/>
  <c r="I383" i="19"/>
  <c r="H383" i="19"/>
  <c r="G383" i="19"/>
  <c r="F383" i="19"/>
  <c r="M383" i="19" s="1"/>
  <c r="E383" i="19"/>
  <c r="D383" i="19"/>
  <c r="O382" i="19"/>
  <c r="J382" i="19"/>
  <c r="I382" i="19"/>
  <c r="H382" i="19"/>
  <c r="G382" i="19"/>
  <c r="F382" i="19"/>
  <c r="M382" i="19" s="1"/>
  <c r="E382" i="19"/>
  <c r="D382" i="19"/>
  <c r="O381" i="19"/>
  <c r="J381" i="19"/>
  <c r="I381" i="19"/>
  <c r="H381" i="19"/>
  <c r="G381" i="19"/>
  <c r="F381" i="19"/>
  <c r="M381" i="19" s="1"/>
  <c r="E381" i="19"/>
  <c r="D381" i="19"/>
  <c r="O380" i="19"/>
  <c r="J380" i="19"/>
  <c r="I380" i="19"/>
  <c r="H380" i="19"/>
  <c r="G380" i="19"/>
  <c r="F380" i="19"/>
  <c r="M380" i="19" s="1"/>
  <c r="E380" i="19"/>
  <c r="D380" i="19"/>
  <c r="O379" i="19"/>
  <c r="J379" i="19"/>
  <c r="I379" i="19"/>
  <c r="H379" i="19"/>
  <c r="G379" i="19"/>
  <c r="F379" i="19"/>
  <c r="M379" i="19" s="1"/>
  <c r="E379" i="19"/>
  <c r="D379" i="19"/>
  <c r="O378" i="19"/>
  <c r="J378" i="19"/>
  <c r="I378" i="19"/>
  <c r="H378" i="19"/>
  <c r="G378" i="19"/>
  <c r="F378" i="19"/>
  <c r="M378" i="19" s="1"/>
  <c r="E378" i="19"/>
  <c r="D378" i="19"/>
  <c r="O377" i="19"/>
  <c r="J377" i="19"/>
  <c r="I377" i="19"/>
  <c r="H377" i="19"/>
  <c r="G377" i="19"/>
  <c r="F377" i="19"/>
  <c r="M377" i="19" s="1"/>
  <c r="E377" i="19"/>
  <c r="D377" i="19"/>
  <c r="O376" i="19"/>
  <c r="J376" i="19"/>
  <c r="I376" i="19"/>
  <c r="H376" i="19"/>
  <c r="G376" i="19"/>
  <c r="F376" i="19"/>
  <c r="M376" i="19" s="1"/>
  <c r="E376" i="19"/>
  <c r="D376" i="19"/>
  <c r="O375" i="19"/>
  <c r="J375" i="19"/>
  <c r="I375" i="19"/>
  <c r="H375" i="19"/>
  <c r="G375" i="19"/>
  <c r="F375" i="19"/>
  <c r="M375" i="19" s="1"/>
  <c r="E375" i="19"/>
  <c r="D375" i="19"/>
  <c r="O374" i="19"/>
  <c r="J374" i="19"/>
  <c r="I374" i="19"/>
  <c r="H374" i="19"/>
  <c r="G374" i="19"/>
  <c r="F374" i="19"/>
  <c r="M374" i="19" s="1"/>
  <c r="E374" i="19"/>
  <c r="D374" i="19"/>
  <c r="O373" i="19"/>
  <c r="J373" i="19"/>
  <c r="I373" i="19"/>
  <c r="H373" i="19"/>
  <c r="G373" i="19"/>
  <c r="F373" i="19"/>
  <c r="M373" i="19" s="1"/>
  <c r="E373" i="19"/>
  <c r="D373" i="19"/>
  <c r="O372" i="19"/>
  <c r="J372" i="19"/>
  <c r="I372" i="19"/>
  <c r="H372" i="19"/>
  <c r="G372" i="19"/>
  <c r="F372" i="19"/>
  <c r="M372" i="19" s="1"/>
  <c r="E372" i="19"/>
  <c r="D372" i="19"/>
  <c r="O371" i="19"/>
  <c r="J371" i="19"/>
  <c r="I371" i="19"/>
  <c r="H371" i="19"/>
  <c r="G371" i="19"/>
  <c r="F371" i="19"/>
  <c r="M371" i="19" s="1"/>
  <c r="E371" i="19"/>
  <c r="D371" i="19"/>
  <c r="O370" i="19"/>
  <c r="J370" i="19"/>
  <c r="I370" i="19"/>
  <c r="H370" i="19"/>
  <c r="K370" i="19" s="1"/>
  <c r="L370" i="19" s="1"/>
  <c r="G370" i="19"/>
  <c r="F370" i="19"/>
  <c r="M370" i="19" s="1"/>
  <c r="E370" i="19"/>
  <c r="D370" i="19"/>
  <c r="O369" i="19"/>
  <c r="J369" i="19"/>
  <c r="I369" i="19"/>
  <c r="H369" i="19"/>
  <c r="K369" i="19" s="1"/>
  <c r="L369" i="19" s="1"/>
  <c r="G369" i="19"/>
  <c r="F369" i="19"/>
  <c r="M369" i="19" s="1"/>
  <c r="E369" i="19"/>
  <c r="D369" i="19"/>
  <c r="O368" i="19"/>
  <c r="J368" i="19"/>
  <c r="I368" i="19"/>
  <c r="H368" i="19"/>
  <c r="K368" i="19" s="1"/>
  <c r="L368" i="19" s="1"/>
  <c r="G368" i="19"/>
  <c r="F368" i="19"/>
  <c r="M368" i="19" s="1"/>
  <c r="E368" i="19"/>
  <c r="D368" i="19"/>
  <c r="O367" i="19"/>
  <c r="J367" i="19"/>
  <c r="I367" i="19"/>
  <c r="H367" i="19"/>
  <c r="G367" i="19"/>
  <c r="F367" i="19"/>
  <c r="M367" i="19" s="1"/>
  <c r="E367" i="19"/>
  <c r="D367" i="19"/>
  <c r="O366" i="19"/>
  <c r="J366" i="19"/>
  <c r="I366" i="19"/>
  <c r="H366" i="19"/>
  <c r="G366" i="19"/>
  <c r="F366" i="19"/>
  <c r="M366" i="19" s="1"/>
  <c r="E366" i="19"/>
  <c r="D366" i="19"/>
  <c r="O365" i="19"/>
  <c r="J365" i="19"/>
  <c r="I365" i="19"/>
  <c r="H365" i="19"/>
  <c r="K365" i="19" s="1"/>
  <c r="L365" i="19" s="1"/>
  <c r="G365" i="19"/>
  <c r="F365" i="19"/>
  <c r="M365" i="19" s="1"/>
  <c r="E365" i="19"/>
  <c r="D365" i="19"/>
  <c r="O364" i="19"/>
  <c r="J364" i="19"/>
  <c r="I364" i="19"/>
  <c r="H364" i="19"/>
  <c r="K364" i="19" s="1"/>
  <c r="G364" i="19"/>
  <c r="F364" i="19"/>
  <c r="M364" i="19" s="1"/>
  <c r="E364" i="19"/>
  <c r="D364" i="19"/>
  <c r="O363" i="19"/>
  <c r="J363" i="19"/>
  <c r="I363" i="19"/>
  <c r="H363" i="19"/>
  <c r="G363" i="19"/>
  <c r="F363" i="19"/>
  <c r="M363" i="19" s="1"/>
  <c r="E363" i="19"/>
  <c r="D363" i="19"/>
  <c r="O362" i="19"/>
  <c r="J362" i="19"/>
  <c r="I362" i="19"/>
  <c r="H362" i="19"/>
  <c r="G362" i="19"/>
  <c r="F362" i="19"/>
  <c r="M362" i="19" s="1"/>
  <c r="E362" i="19"/>
  <c r="D362" i="19"/>
  <c r="O361" i="19"/>
  <c r="J361" i="19"/>
  <c r="I361" i="19"/>
  <c r="H361" i="19"/>
  <c r="G361" i="19"/>
  <c r="F361" i="19"/>
  <c r="M361" i="19" s="1"/>
  <c r="E361" i="19"/>
  <c r="D361" i="19"/>
  <c r="O360" i="19"/>
  <c r="J360" i="19"/>
  <c r="I360" i="19"/>
  <c r="H360" i="19"/>
  <c r="G360" i="19"/>
  <c r="F360" i="19"/>
  <c r="M360" i="19" s="1"/>
  <c r="E360" i="19"/>
  <c r="D360" i="19"/>
  <c r="O359" i="19"/>
  <c r="J359" i="19"/>
  <c r="I359" i="19"/>
  <c r="H359" i="19"/>
  <c r="G359" i="19"/>
  <c r="F359" i="19"/>
  <c r="M359" i="19" s="1"/>
  <c r="E359" i="19"/>
  <c r="D359" i="19"/>
  <c r="O358" i="19"/>
  <c r="J358" i="19"/>
  <c r="I358" i="19"/>
  <c r="H358" i="19"/>
  <c r="G358" i="19"/>
  <c r="F358" i="19"/>
  <c r="M358" i="19" s="1"/>
  <c r="E358" i="19"/>
  <c r="D358" i="19"/>
  <c r="K357" i="19"/>
  <c r="L357" i="19" s="1"/>
  <c r="O356" i="19"/>
  <c r="J356" i="19"/>
  <c r="I356" i="19"/>
  <c r="H356" i="19"/>
  <c r="G356" i="19"/>
  <c r="F356" i="19"/>
  <c r="M356" i="19" s="1"/>
  <c r="E356" i="19"/>
  <c r="D356" i="19"/>
  <c r="O355" i="19"/>
  <c r="J355" i="19"/>
  <c r="I355" i="19"/>
  <c r="H355" i="19"/>
  <c r="G355" i="19"/>
  <c r="F355" i="19"/>
  <c r="M355" i="19" s="1"/>
  <c r="E355" i="19"/>
  <c r="D355" i="19"/>
  <c r="O354" i="19"/>
  <c r="J354" i="19"/>
  <c r="I354" i="19"/>
  <c r="H354" i="19"/>
  <c r="G354" i="19"/>
  <c r="F354" i="19"/>
  <c r="M354" i="19" s="1"/>
  <c r="E354" i="19"/>
  <c r="D354" i="19"/>
  <c r="O353" i="19"/>
  <c r="J353" i="19"/>
  <c r="I353" i="19"/>
  <c r="H353" i="19"/>
  <c r="G353" i="19"/>
  <c r="F353" i="19"/>
  <c r="M353" i="19" s="1"/>
  <c r="E353" i="19"/>
  <c r="D353" i="19"/>
  <c r="O352" i="19"/>
  <c r="J352" i="19"/>
  <c r="I352" i="19"/>
  <c r="H352" i="19"/>
  <c r="G352" i="19"/>
  <c r="F352" i="19"/>
  <c r="M352" i="19" s="1"/>
  <c r="E352" i="19"/>
  <c r="D352" i="19"/>
  <c r="O351" i="19"/>
  <c r="J351" i="19"/>
  <c r="I351" i="19"/>
  <c r="H351" i="19"/>
  <c r="G351" i="19"/>
  <c r="F351" i="19"/>
  <c r="M351" i="19" s="1"/>
  <c r="E351" i="19"/>
  <c r="D351" i="19"/>
  <c r="O350" i="19"/>
  <c r="J350" i="19"/>
  <c r="I350" i="19"/>
  <c r="H350" i="19"/>
  <c r="G350" i="19"/>
  <c r="F350" i="19"/>
  <c r="M350" i="19" s="1"/>
  <c r="E350" i="19"/>
  <c r="D350" i="19"/>
  <c r="O349" i="19"/>
  <c r="J349" i="19"/>
  <c r="I349" i="19"/>
  <c r="H349" i="19"/>
  <c r="G349" i="19"/>
  <c r="F349" i="19"/>
  <c r="M349" i="19" s="1"/>
  <c r="E349" i="19"/>
  <c r="D349" i="19"/>
  <c r="O348" i="19"/>
  <c r="J348" i="19"/>
  <c r="I348" i="19"/>
  <c r="H348" i="19"/>
  <c r="G348" i="19"/>
  <c r="F348" i="19"/>
  <c r="M348" i="19" s="1"/>
  <c r="E348" i="19"/>
  <c r="D348" i="19"/>
  <c r="O347" i="19"/>
  <c r="J347" i="19"/>
  <c r="I347" i="19"/>
  <c r="H347" i="19"/>
  <c r="G347" i="19"/>
  <c r="F347" i="19"/>
  <c r="M347" i="19" s="1"/>
  <c r="E347" i="19"/>
  <c r="D347" i="19"/>
  <c r="O346" i="19"/>
  <c r="J346" i="19"/>
  <c r="I346" i="19"/>
  <c r="H346" i="19"/>
  <c r="G346" i="19"/>
  <c r="F346" i="19"/>
  <c r="M346" i="19" s="1"/>
  <c r="E346" i="19"/>
  <c r="D346" i="19"/>
  <c r="O345" i="19"/>
  <c r="J345" i="19"/>
  <c r="I345" i="19"/>
  <c r="H345" i="19"/>
  <c r="G345" i="19"/>
  <c r="F345" i="19"/>
  <c r="M345" i="19" s="1"/>
  <c r="E345" i="19"/>
  <c r="D345" i="19"/>
  <c r="O344" i="19"/>
  <c r="J344" i="19"/>
  <c r="I344" i="19"/>
  <c r="H344" i="19"/>
  <c r="G344" i="19"/>
  <c r="F344" i="19"/>
  <c r="M344" i="19" s="1"/>
  <c r="E344" i="19"/>
  <c r="D344" i="19"/>
  <c r="O343" i="19"/>
  <c r="J343" i="19"/>
  <c r="I343" i="19"/>
  <c r="H343" i="19"/>
  <c r="G343" i="19"/>
  <c r="F343" i="19"/>
  <c r="M343" i="19" s="1"/>
  <c r="E343" i="19"/>
  <c r="D343" i="19"/>
  <c r="O342" i="19"/>
  <c r="J342" i="19"/>
  <c r="I342" i="19"/>
  <c r="H342" i="19"/>
  <c r="G342" i="19"/>
  <c r="F342" i="19"/>
  <c r="M342" i="19" s="1"/>
  <c r="E342" i="19"/>
  <c r="D342" i="19"/>
  <c r="O341" i="19"/>
  <c r="J341" i="19"/>
  <c r="I341" i="19"/>
  <c r="H341" i="19"/>
  <c r="G341" i="19"/>
  <c r="F341" i="19"/>
  <c r="M341" i="19" s="1"/>
  <c r="E341" i="19"/>
  <c r="D341" i="19"/>
  <c r="O340" i="19"/>
  <c r="J340" i="19"/>
  <c r="I340" i="19"/>
  <c r="H340" i="19"/>
  <c r="G340" i="19"/>
  <c r="F340" i="19"/>
  <c r="M340" i="19" s="1"/>
  <c r="E340" i="19"/>
  <c r="D340" i="19"/>
  <c r="O339" i="19"/>
  <c r="J339" i="19"/>
  <c r="I339" i="19"/>
  <c r="H339" i="19"/>
  <c r="G339" i="19"/>
  <c r="F339" i="19"/>
  <c r="M339" i="19" s="1"/>
  <c r="E339" i="19"/>
  <c r="D339" i="19"/>
  <c r="O338" i="19"/>
  <c r="J338" i="19"/>
  <c r="I338" i="19"/>
  <c r="H338" i="19"/>
  <c r="G338" i="19"/>
  <c r="F338" i="19"/>
  <c r="M338" i="19" s="1"/>
  <c r="E338" i="19"/>
  <c r="D338" i="19"/>
  <c r="O337" i="19"/>
  <c r="J337" i="19"/>
  <c r="I337" i="19"/>
  <c r="H337" i="19"/>
  <c r="G337" i="19"/>
  <c r="F337" i="19"/>
  <c r="M337" i="19" s="1"/>
  <c r="E337" i="19"/>
  <c r="D337" i="19"/>
  <c r="O336" i="19"/>
  <c r="J336" i="19"/>
  <c r="I336" i="19"/>
  <c r="H336" i="19"/>
  <c r="G336" i="19"/>
  <c r="F336" i="19"/>
  <c r="M336" i="19" s="1"/>
  <c r="E336" i="19"/>
  <c r="D336" i="19"/>
  <c r="O335" i="19"/>
  <c r="J335" i="19"/>
  <c r="I335" i="19"/>
  <c r="H335" i="19"/>
  <c r="G335" i="19"/>
  <c r="F335" i="19"/>
  <c r="M335" i="19" s="1"/>
  <c r="E335" i="19"/>
  <c r="D335" i="19"/>
  <c r="O334" i="19"/>
  <c r="J334" i="19"/>
  <c r="I334" i="19"/>
  <c r="H334" i="19"/>
  <c r="G334" i="19"/>
  <c r="F334" i="19"/>
  <c r="M334" i="19" s="1"/>
  <c r="E334" i="19"/>
  <c r="D334" i="19"/>
  <c r="O333" i="19"/>
  <c r="J333" i="19"/>
  <c r="I333" i="19"/>
  <c r="H333" i="19"/>
  <c r="G333" i="19"/>
  <c r="F333" i="19"/>
  <c r="M333" i="19" s="1"/>
  <c r="E333" i="19"/>
  <c r="D333" i="19"/>
  <c r="O332" i="19"/>
  <c r="J332" i="19"/>
  <c r="I332" i="19"/>
  <c r="H332" i="19"/>
  <c r="G332" i="19"/>
  <c r="F332" i="19"/>
  <c r="M332" i="19" s="1"/>
  <c r="E332" i="19"/>
  <c r="D332" i="19"/>
  <c r="O331" i="19"/>
  <c r="J331" i="19"/>
  <c r="I331" i="19"/>
  <c r="H331" i="19"/>
  <c r="G331" i="19"/>
  <c r="F331" i="19"/>
  <c r="M331" i="19" s="1"/>
  <c r="E331" i="19"/>
  <c r="D331" i="19"/>
  <c r="O330" i="19"/>
  <c r="J330" i="19"/>
  <c r="I330" i="19"/>
  <c r="H330" i="19"/>
  <c r="G330" i="19"/>
  <c r="F330" i="19"/>
  <c r="M330" i="19" s="1"/>
  <c r="E330" i="19"/>
  <c r="D330" i="19"/>
  <c r="O329" i="19"/>
  <c r="J329" i="19"/>
  <c r="I329" i="19"/>
  <c r="H329" i="19"/>
  <c r="G329" i="19"/>
  <c r="F329" i="19"/>
  <c r="M329" i="19" s="1"/>
  <c r="E329" i="19"/>
  <c r="D329" i="19"/>
  <c r="O328" i="19"/>
  <c r="J328" i="19"/>
  <c r="I328" i="19"/>
  <c r="H328" i="19"/>
  <c r="G328" i="19"/>
  <c r="F328" i="19"/>
  <c r="M328" i="19" s="1"/>
  <c r="E328" i="19"/>
  <c r="D328" i="19"/>
  <c r="O327" i="19"/>
  <c r="J327" i="19"/>
  <c r="I327" i="19"/>
  <c r="H327" i="19"/>
  <c r="G327" i="19"/>
  <c r="F327" i="19"/>
  <c r="M327" i="19" s="1"/>
  <c r="E327" i="19"/>
  <c r="D327" i="19"/>
  <c r="K326" i="19"/>
  <c r="L326" i="19" s="1"/>
  <c r="O325" i="19"/>
  <c r="J325" i="19"/>
  <c r="I325" i="19"/>
  <c r="H325" i="19"/>
  <c r="G325" i="19"/>
  <c r="F325" i="19"/>
  <c r="M325" i="19" s="1"/>
  <c r="E325" i="19"/>
  <c r="D325" i="19"/>
  <c r="O324" i="19"/>
  <c r="J324" i="19"/>
  <c r="I324" i="19"/>
  <c r="H324" i="19"/>
  <c r="G324" i="19"/>
  <c r="F324" i="19"/>
  <c r="M324" i="19" s="1"/>
  <c r="E324" i="19"/>
  <c r="D324" i="19"/>
  <c r="O323" i="19"/>
  <c r="J323" i="19"/>
  <c r="I323" i="19"/>
  <c r="H323" i="19"/>
  <c r="G323" i="19"/>
  <c r="F323" i="19"/>
  <c r="M323" i="19" s="1"/>
  <c r="E323" i="19"/>
  <c r="D323" i="19"/>
  <c r="O322" i="19"/>
  <c r="J322" i="19"/>
  <c r="I322" i="19"/>
  <c r="H322" i="19"/>
  <c r="G322" i="19"/>
  <c r="F322" i="19"/>
  <c r="M322" i="19" s="1"/>
  <c r="E322" i="19"/>
  <c r="D322" i="19"/>
  <c r="O321" i="19"/>
  <c r="J321" i="19"/>
  <c r="I321" i="19"/>
  <c r="H321" i="19"/>
  <c r="G321" i="19"/>
  <c r="F321" i="19"/>
  <c r="M321" i="19" s="1"/>
  <c r="E321" i="19"/>
  <c r="D321" i="19"/>
  <c r="O320" i="19"/>
  <c r="J320" i="19"/>
  <c r="I320" i="19"/>
  <c r="H320" i="19"/>
  <c r="G320" i="19"/>
  <c r="F320" i="19"/>
  <c r="M320" i="19" s="1"/>
  <c r="E320" i="19"/>
  <c r="D320" i="19"/>
  <c r="O319" i="19"/>
  <c r="J319" i="19"/>
  <c r="I319" i="19"/>
  <c r="H319" i="19"/>
  <c r="G319" i="19"/>
  <c r="F319" i="19"/>
  <c r="M319" i="19" s="1"/>
  <c r="E319" i="19"/>
  <c r="D319" i="19"/>
  <c r="O318" i="19"/>
  <c r="J318" i="19"/>
  <c r="I318" i="19"/>
  <c r="H318" i="19"/>
  <c r="G318" i="19"/>
  <c r="F318" i="19"/>
  <c r="M318" i="19" s="1"/>
  <c r="E318" i="19"/>
  <c r="D318" i="19"/>
  <c r="O317" i="19"/>
  <c r="J317" i="19"/>
  <c r="I317" i="19"/>
  <c r="H317" i="19"/>
  <c r="G317" i="19"/>
  <c r="F317" i="19"/>
  <c r="M317" i="19" s="1"/>
  <c r="E317" i="19"/>
  <c r="D317" i="19"/>
  <c r="O316" i="19"/>
  <c r="J316" i="19"/>
  <c r="I316" i="19"/>
  <c r="H316" i="19"/>
  <c r="G316" i="19"/>
  <c r="F316" i="19"/>
  <c r="M316" i="19" s="1"/>
  <c r="E316" i="19"/>
  <c r="D316" i="19"/>
  <c r="O315" i="19"/>
  <c r="J315" i="19"/>
  <c r="I315" i="19"/>
  <c r="H315" i="19"/>
  <c r="G315" i="19"/>
  <c r="F315" i="19"/>
  <c r="M315" i="19" s="1"/>
  <c r="E315" i="19"/>
  <c r="D315" i="19"/>
  <c r="O314" i="19"/>
  <c r="J314" i="19"/>
  <c r="I314" i="19"/>
  <c r="H314" i="19"/>
  <c r="G314" i="19"/>
  <c r="F314" i="19"/>
  <c r="M314" i="19" s="1"/>
  <c r="E314" i="19"/>
  <c r="D314" i="19"/>
  <c r="O313" i="19"/>
  <c r="J313" i="19"/>
  <c r="I313" i="19"/>
  <c r="H313" i="19"/>
  <c r="G313" i="19"/>
  <c r="F313" i="19"/>
  <c r="M313" i="19" s="1"/>
  <c r="E313" i="19"/>
  <c r="D313" i="19"/>
  <c r="O312" i="19"/>
  <c r="J312" i="19"/>
  <c r="I312" i="19"/>
  <c r="H312" i="19"/>
  <c r="G312" i="19"/>
  <c r="F312" i="19"/>
  <c r="M312" i="19" s="1"/>
  <c r="E312" i="19"/>
  <c r="D312" i="19"/>
  <c r="O311" i="19"/>
  <c r="J311" i="19"/>
  <c r="I311" i="19"/>
  <c r="H311" i="19"/>
  <c r="G311" i="19"/>
  <c r="F311" i="19"/>
  <c r="M311" i="19" s="1"/>
  <c r="E311" i="19"/>
  <c r="D311" i="19"/>
  <c r="O310" i="19"/>
  <c r="J310" i="19"/>
  <c r="I310" i="19"/>
  <c r="H310" i="19"/>
  <c r="G310" i="19"/>
  <c r="F310" i="19"/>
  <c r="M310" i="19" s="1"/>
  <c r="E310" i="19"/>
  <c r="D310" i="19"/>
  <c r="O309" i="19"/>
  <c r="J309" i="19"/>
  <c r="I309" i="19"/>
  <c r="H309" i="19"/>
  <c r="G309" i="19"/>
  <c r="F309" i="19"/>
  <c r="M309" i="19" s="1"/>
  <c r="E309" i="19"/>
  <c r="D309" i="19"/>
  <c r="O308" i="19"/>
  <c r="J308" i="19"/>
  <c r="I308" i="19"/>
  <c r="H308" i="19"/>
  <c r="G308" i="19"/>
  <c r="F308" i="19"/>
  <c r="M308" i="19" s="1"/>
  <c r="E308" i="19"/>
  <c r="D308" i="19"/>
  <c r="O307" i="19"/>
  <c r="J307" i="19"/>
  <c r="I307" i="19"/>
  <c r="H307" i="19"/>
  <c r="G307" i="19"/>
  <c r="F307" i="19"/>
  <c r="M307" i="19" s="1"/>
  <c r="E307" i="19"/>
  <c r="D307" i="19"/>
  <c r="O306" i="19"/>
  <c r="J306" i="19"/>
  <c r="I306" i="19"/>
  <c r="H306" i="19"/>
  <c r="G306" i="19"/>
  <c r="F306" i="19"/>
  <c r="M306" i="19" s="1"/>
  <c r="E306" i="19"/>
  <c r="D306" i="19"/>
  <c r="O305" i="19"/>
  <c r="J305" i="19"/>
  <c r="I305" i="19"/>
  <c r="H305" i="19"/>
  <c r="G305" i="19"/>
  <c r="F305" i="19"/>
  <c r="M305" i="19" s="1"/>
  <c r="E305" i="19"/>
  <c r="D305" i="19"/>
  <c r="O304" i="19"/>
  <c r="J304" i="19"/>
  <c r="I304" i="19"/>
  <c r="H304" i="19"/>
  <c r="G304" i="19"/>
  <c r="F304" i="19"/>
  <c r="M304" i="19" s="1"/>
  <c r="E304" i="19"/>
  <c r="D304" i="19"/>
  <c r="O303" i="19"/>
  <c r="J303" i="19"/>
  <c r="I303" i="19"/>
  <c r="H303" i="19"/>
  <c r="G303" i="19"/>
  <c r="F303" i="19"/>
  <c r="M303" i="19" s="1"/>
  <c r="E303" i="19"/>
  <c r="D303" i="19"/>
  <c r="O302" i="19"/>
  <c r="J302" i="19"/>
  <c r="I302" i="19"/>
  <c r="H302" i="19"/>
  <c r="G302" i="19"/>
  <c r="F302" i="19"/>
  <c r="M302" i="19" s="1"/>
  <c r="E302" i="19"/>
  <c r="D302" i="19"/>
  <c r="O301" i="19"/>
  <c r="J301" i="19"/>
  <c r="I301" i="19"/>
  <c r="H301" i="19"/>
  <c r="G301" i="19"/>
  <c r="F301" i="19"/>
  <c r="M301" i="19" s="1"/>
  <c r="E301" i="19"/>
  <c r="D301" i="19"/>
  <c r="O300" i="19"/>
  <c r="J300" i="19"/>
  <c r="I300" i="19"/>
  <c r="H300" i="19"/>
  <c r="G300" i="19"/>
  <c r="F300" i="19"/>
  <c r="M300" i="19" s="1"/>
  <c r="E300" i="19"/>
  <c r="D300" i="19"/>
  <c r="O299" i="19"/>
  <c r="J299" i="19"/>
  <c r="I299" i="19"/>
  <c r="H299" i="19"/>
  <c r="G299" i="19"/>
  <c r="F299" i="19"/>
  <c r="M299" i="19" s="1"/>
  <c r="E299" i="19"/>
  <c r="D299" i="19"/>
  <c r="O298" i="19"/>
  <c r="J298" i="19"/>
  <c r="I298" i="19"/>
  <c r="H298" i="19"/>
  <c r="G298" i="19"/>
  <c r="F298" i="19"/>
  <c r="M298" i="19" s="1"/>
  <c r="E298" i="19"/>
  <c r="D298" i="19"/>
  <c r="O297" i="19"/>
  <c r="J297" i="19"/>
  <c r="I297" i="19"/>
  <c r="H297" i="19"/>
  <c r="G297" i="19"/>
  <c r="F297" i="19"/>
  <c r="M297" i="19" s="1"/>
  <c r="E297" i="19"/>
  <c r="D297" i="19"/>
  <c r="O296" i="19"/>
  <c r="J296" i="19"/>
  <c r="I296" i="19"/>
  <c r="H296" i="19"/>
  <c r="G296" i="19"/>
  <c r="F296" i="19"/>
  <c r="M296" i="19" s="1"/>
  <c r="E296" i="19"/>
  <c r="D296" i="19"/>
  <c r="O295" i="19"/>
  <c r="J295" i="19"/>
  <c r="I295" i="19"/>
  <c r="H295" i="19"/>
  <c r="G295" i="19"/>
  <c r="F295" i="19"/>
  <c r="M295" i="19" s="1"/>
  <c r="E295" i="19"/>
  <c r="D295" i="19"/>
  <c r="K294" i="19"/>
  <c r="O293" i="19"/>
  <c r="J293" i="19"/>
  <c r="I293" i="19"/>
  <c r="H293" i="19"/>
  <c r="G293" i="19"/>
  <c r="F293" i="19"/>
  <c r="M293" i="19" s="1"/>
  <c r="E293" i="19"/>
  <c r="D293" i="19"/>
  <c r="O292" i="19"/>
  <c r="J292" i="19"/>
  <c r="I292" i="19"/>
  <c r="H292" i="19"/>
  <c r="G292" i="19"/>
  <c r="F292" i="19"/>
  <c r="M292" i="19" s="1"/>
  <c r="E292" i="19"/>
  <c r="D292" i="19"/>
  <c r="O291" i="19"/>
  <c r="J291" i="19"/>
  <c r="I291" i="19"/>
  <c r="H291" i="19"/>
  <c r="G291" i="19"/>
  <c r="F291" i="19"/>
  <c r="M291" i="19" s="1"/>
  <c r="E291" i="19"/>
  <c r="D291" i="19"/>
  <c r="O290" i="19"/>
  <c r="J290" i="19"/>
  <c r="I290" i="19"/>
  <c r="H290" i="19"/>
  <c r="G290" i="19"/>
  <c r="F290" i="19"/>
  <c r="M290" i="19" s="1"/>
  <c r="E290" i="19"/>
  <c r="D290" i="19"/>
  <c r="O289" i="19"/>
  <c r="J289" i="19"/>
  <c r="I289" i="19"/>
  <c r="H289" i="19"/>
  <c r="G289" i="19"/>
  <c r="F289" i="19"/>
  <c r="M289" i="19" s="1"/>
  <c r="E289" i="19"/>
  <c r="D289" i="19"/>
  <c r="O288" i="19"/>
  <c r="J288" i="19"/>
  <c r="I288" i="19"/>
  <c r="H288" i="19"/>
  <c r="G288" i="19"/>
  <c r="F288" i="19"/>
  <c r="M288" i="19" s="1"/>
  <c r="E288" i="19"/>
  <c r="D288" i="19"/>
  <c r="O287" i="19"/>
  <c r="J287" i="19"/>
  <c r="I287" i="19"/>
  <c r="H287" i="19"/>
  <c r="G287" i="19"/>
  <c r="F287" i="19"/>
  <c r="M287" i="19" s="1"/>
  <c r="E287" i="19"/>
  <c r="D287" i="19"/>
  <c r="O286" i="19"/>
  <c r="J286" i="19"/>
  <c r="I286" i="19"/>
  <c r="H286" i="19"/>
  <c r="G286" i="19"/>
  <c r="F286" i="19"/>
  <c r="M286" i="19" s="1"/>
  <c r="E286" i="19"/>
  <c r="D286" i="19"/>
  <c r="O285" i="19"/>
  <c r="J285" i="19"/>
  <c r="I285" i="19"/>
  <c r="H285" i="19"/>
  <c r="G285" i="19"/>
  <c r="F285" i="19"/>
  <c r="M285" i="19" s="1"/>
  <c r="E285" i="19"/>
  <c r="D285" i="19"/>
  <c r="O284" i="19"/>
  <c r="J284" i="19"/>
  <c r="I284" i="19"/>
  <c r="H284" i="19"/>
  <c r="G284" i="19"/>
  <c r="F284" i="19"/>
  <c r="M284" i="19" s="1"/>
  <c r="E284" i="19"/>
  <c r="D284" i="19"/>
  <c r="O283" i="19"/>
  <c r="J283" i="19"/>
  <c r="I283" i="19"/>
  <c r="H283" i="19"/>
  <c r="G283" i="19"/>
  <c r="F283" i="19"/>
  <c r="M283" i="19" s="1"/>
  <c r="E283" i="19"/>
  <c r="D283" i="19"/>
  <c r="O282" i="19"/>
  <c r="J282" i="19"/>
  <c r="I282" i="19"/>
  <c r="H282" i="19"/>
  <c r="G282" i="19"/>
  <c r="F282" i="19"/>
  <c r="M282" i="19" s="1"/>
  <c r="E282" i="19"/>
  <c r="D282" i="19"/>
  <c r="O281" i="19"/>
  <c r="J281" i="19"/>
  <c r="I281" i="19"/>
  <c r="H281" i="19"/>
  <c r="G281" i="19"/>
  <c r="F281" i="19"/>
  <c r="M281" i="19" s="1"/>
  <c r="E281" i="19"/>
  <c r="D281" i="19"/>
  <c r="O280" i="19"/>
  <c r="J280" i="19"/>
  <c r="I280" i="19"/>
  <c r="H280" i="19"/>
  <c r="G280" i="19"/>
  <c r="F280" i="19"/>
  <c r="M280" i="19" s="1"/>
  <c r="E280" i="19"/>
  <c r="D280" i="19"/>
  <c r="O279" i="19"/>
  <c r="J279" i="19"/>
  <c r="I279" i="19"/>
  <c r="H279" i="19"/>
  <c r="G279" i="19"/>
  <c r="F279" i="19"/>
  <c r="M279" i="19" s="1"/>
  <c r="E279" i="19"/>
  <c r="D279" i="19"/>
  <c r="O278" i="19"/>
  <c r="J278" i="19"/>
  <c r="I278" i="19"/>
  <c r="H278" i="19"/>
  <c r="G278" i="19"/>
  <c r="F278" i="19"/>
  <c r="M278" i="19" s="1"/>
  <c r="E278" i="19"/>
  <c r="D278" i="19"/>
  <c r="O277" i="19"/>
  <c r="J277" i="19"/>
  <c r="I277" i="19"/>
  <c r="H277" i="19"/>
  <c r="G277" i="19"/>
  <c r="F277" i="19"/>
  <c r="M277" i="19" s="1"/>
  <c r="E277" i="19"/>
  <c r="D277" i="19"/>
  <c r="O276" i="19"/>
  <c r="J276" i="19"/>
  <c r="I276" i="19"/>
  <c r="H276" i="19"/>
  <c r="G276" i="19"/>
  <c r="F276" i="19"/>
  <c r="M276" i="19" s="1"/>
  <c r="E276" i="19"/>
  <c r="D276" i="19"/>
  <c r="O275" i="19"/>
  <c r="J275" i="19"/>
  <c r="I275" i="19"/>
  <c r="H275" i="19"/>
  <c r="G275" i="19"/>
  <c r="F275" i="19"/>
  <c r="M275" i="19" s="1"/>
  <c r="E275" i="19"/>
  <c r="D275" i="19"/>
  <c r="O274" i="19"/>
  <c r="J274" i="19"/>
  <c r="I274" i="19"/>
  <c r="H274" i="19"/>
  <c r="G274" i="19"/>
  <c r="F274" i="19"/>
  <c r="M274" i="19" s="1"/>
  <c r="E274" i="19"/>
  <c r="D274" i="19"/>
  <c r="O273" i="19"/>
  <c r="J273" i="19"/>
  <c r="I273" i="19"/>
  <c r="H273" i="19"/>
  <c r="G273" i="19"/>
  <c r="F273" i="19"/>
  <c r="M273" i="19" s="1"/>
  <c r="E273" i="19"/>
  <c r="D273" i="19"/>
  <c r="O272" i="19"/>
  <c r="J272" i="19"/>
  <c r="I272" i="19"/>
  <c r="H272" i="19"/>
  <c r="G272" i="19"/>
  <c r="F272" i="19"/>
  <c r="M272" i="19" s="1"/>
  <c r="E272" i="19"/>
  <c r="D272" i="19"/>
  <c r="O271" i="19"/>
  <c r="J271" i="19"/>
  <c r="I271" i="19"/>
  <c r="H271" i="19"/>
  <c r="G271" i="19"/>
  <c r="F271" i="19"/>
  <c r="M271" i="19" s="1"/>
  <c r="E271" i="19"/>
  <c r="D271" i="19"/>
  <c r="O270" i="19"/>
  <c r="J270" i="19"/>
  <c r="I270" i="19"/>
  <c r="H270" i="19"/>
  <c r="G270" i="19"/>
  <c r="F270" i="19"/>
  <c r="M270" i="19" s="1"/>
  <c r="E270" i="19"/>
  <c r="D270" i="19"/>
  <c r="O269" i="19"/>
  <c r="J269" i="19"/>
  <c r="I269" i="19"/>
  <c r="H269" i="19"/>
  <c r="G269" i="19"/>
  <c r="F269" i="19"/>
  <c r="M269" i="19" s="1"/>
  <c r="E269" i="19"/>
  <c r="D269" i="19"/>
  <c r="O268" i="19"/>
  <c r="J268" i="19"/>
  <c r="I268" i="19"/>
  <c r="H268" i="19"/>
  <c r="G268" i="19"/>
  <c r="F268" i="19"/>
  <c r="M268" i="19" s="1"/>
  <c r="E268" i="19"/>
  <c r="D268" i="19"/>
  <c r="O267" i="19"/>
  <c r="J267" i="19"/>
  <c r="I267" i="19"/>
  <c r="H267" i="19"/>
  <c r="G267" i="19"/>
  <c r="F267" i="19"/>
  <c r="M267" i="19" s="1"/>
  <c r="E267" i="19"/>
  <c r="D267" i="19"/>
  <c r="O266" i="19"/>
  <c r="J266" i="19"/>
  <c r="I266" i="19"/>
  <c r="H266" i="19"/>
  <c r="G266" i="19"/>
  <c r="F266" i="19"/>
  <c r="M266" i="19" s="1"/>
  <c r="E266" i="19"/>
  <c r="D266" i="19"/>
  <c r="O265" i="19"/>
  <c r="J265" i="19"/>
  <c r="I265" i="19"/>
  <c r="H265" i="19"/>
  <c r="G265" i="19"/>
  <c r="F265" i="19"/>
  <c r="M265" i="19" s="1"/>
  <c r="E265" i="19"/>
  <c r="D265" i="19"/>
  <c r="O264" i="19"/>
  <c r="J264" i="19"/>
  <c r="I264" i="19"/>
  <c r="H264" i="19"/>
  <c r="G264" i="19"/>
  <c r="F264" i="19"/>
  <c r="M264" i="19" s="1"/>
  <c r="E264" i="19"/>
  <c r="D264" i="19"/>
  <c r="K263" i="19"/>
  <c r="O262" i="19"/>
  <c r="J262" i="19"/>
  <c r="I262" i="19"/>
  <c r="H262" i="19"/>
  <c r="G262" i="19"/>
  <c r="F262" i="19"/>
  <c r="M262" i="19" s="1"/>
  <c r="E262" i="19"/>
  <c r="D262" i="19"/>
  <c r="O261" i="19"/>
  <c r="J261" i="19"/>
  <c r="I261" i="19"/>
  <c r="H261" i="19"/>
  <c r="G261" i="19"/>
  <c r="F261" i="19"/>
  <c r="M261" i="19" s="1"/>
  <c r="E261" i="19"/>
  <c r="D261" i="19"/>
  <c r="O260" i="19"/>
  <c r="J260" i="19"/>
  <c r="I260" i="19"/>
  <c r="H260" i="19"/>
  <c r="G260" i="19"/>
  <c r="F260" i="19"/>
  <c r="M260" i="19" s="1"/>
  <c r="E260" i="19"/>
  <c r="D260" i="19"/>
  <c r="O259" i="19"/>
  <c r="J259" i="19"/>
  <c r="I259" i="19"/>
  <c r="H259" i="19"/>
  <c r="G259" i="19"/>
  <c r="F259" i="19"/>
  <c r="M259" i="19" s="1"/>
  <c r="E259" i="19"/>
  <c r="D259" i="19"/>
  <c r="O258" i="19"/>
  <c r="J258" i="19"/>
  <c r="I258" i="19"/>
  <c r="H258" i="19"/>
  <c r="G258" i="19"/>
  <c r="F258" i="19"/>
  <c r="M258" i="19" s="1"/>
  <c r="E258" i="19"/>
  <c r="D258" i="19"/>
  <c r="O257" i="19"/>
  <c r="J257" i="19"/>
  <c r="I257" i="19"/>
  <c r="H257" i="19"/>
  <c r="G257" i="19"/>
  <c r="F257" i="19"/>
  <c r="M257" i="19" s="1"/>
  <c r="E257" i="19"/>
  <c r="D257" i="19"/>
  <c r="O256" i="19"/>
  <c r="J256" i="19"/>
  <c r="I256" i="19"/>
  <c r="H256" i="19"/>
  <c r="G256" i="19"/>
  <c r="F256" i="19"/>
  <c r="M256" i="19" s="1"/>
  <c r="E256" i="19"/>
  <c r="D256" i="19"/>
  <c r="O255" i="19"/>
  <c r="J255" i="19"/>
  <c r="I255" i="19"/>
  <c r="H255" i="19"/>
  <c r="G255" i="19"/>
  <c r="F255" i="19"/>
  <c r="M255" i="19" s="1"/>
  <c r="E255" i="19"/>
  <c r="D255" i="19"/>
  <c r="O254" i="19"/>
  <c r="J254" i="19"/>
  <c r="I254" i="19"/>
  <c r="H254" i="19"/>
  <c r="G254" i="19"/>
  <c r="F254" i="19"/>
  <c r="M254" i="19" s="1"/>
  <c r="E254" i="19"/>
  <c r="D254" i="19"/>
  <c r="O253" i="19"/>
  <c r="J253" i="19"/>
  <c r="I253" i="19"/>
  <c r="H253" i="19"/>
  <c r="G253" i="19"/>
  <c r="F253" i="19"/>
  <c r="M253" i="19" s="1"/>
  <c r="E253" i="19"/>
  <c r="D253" i="19"/>
  <c r="O252" i="19"/>
  <c r="J252" i="19"/>
  <c r="I252" i="19"/>
  <c r="H252" i="19"/>
  <c r="G252" i="19"/>
  <c r="F252" i="19"/>
  <c r="M252" i="19" s="1"/>
  <c r="E252" i="19"/>
  <c r="D252" i="19"/>
  <c r="O251" i="19"/>
  <c r="J251" i="19"/>
  <c r="I251" i="19"/>
  <c r="H251" i="19"/>
  <c r="G251" i="19"/>
  <c r="F251" i="19"/>
  <c r="M251" i="19" s="1"/>
  <c r="E251" i="19"/>
  <c r="D251" i="19"/>
  <c r="O250" i="19"/>
  <c r="J250" i="19"/>
  <c r="I250" i="19"/>
  <c r="H250" i="19"/>
  <c r="G250" i="19"/>
  <c r="F250" i="19"/>
  <c r="M250" i="19" s="1"/>
  <c r="E250" i="19"/>
  <c r="D250" i="19"/>
  <c r="O249" i="19"/>
  <c r="J249" i="19"/>
  <c r="I249" i="19"/>
  <c r="H249" i="19"/>
  <c r="G249" i="19"/>
  <c r="F249" i="19"/>
  <c r="M249" i="19" s="1"/>
  <c r="E249" i="19"/>
  <c r="D249" i="19"/>
  <c r="O248" i="19"/>
  <c r="J248" i="19"/>
  <c r="I248" i="19"/>
  <c r="H248" i="19"/>
  <c r="G248" i="19"/>
  <c r="F248" i="19"/>
  <c r="M248" i="19" s="1"/>
  <c r="E248" i="19"/>
  <c r="D248" i="19"/>
  <c r="O247" i="19"/>
  <c r="J247" i="19"/>
  <c r="I247" i="19"/>
  <c r="H247" i="19"/>
  <c r="G247" i="19"/>
  <c r="F247" i="19"/>
  <c r="M247" i="19" s="1"/>
  <c r="E247" i="19"/>
  <c r="D247" i="19"/>
  <c r="O246" i="19"/>
  <c r="J246" i="19"/>
  <c r="I246" i="19"/>
  <c r="H246" i="19"/>
  <c r="G246" i="19"/>
  <c r="F246" i="19"/>
  <c r="M246" i="19" s="1"/>
  <c r="E246" i="19"/>
  <c r="D246" i="19"/>
  <c r="O245" i="19"/>
  <c r="J245" i="19"/>
  <c r="I245" i="19"/>
  <c r="H245" i="19"/>
  <c r="G245" i="19"/>
  <c r="F245" i="19"/>
  <c r="M245" i="19" s="1"/>
  <c r="E245" i="19"/>
  <c r="D245" i="19"/>
  <c r="O244" i="19"/>
  <c r="J244" i="19"/>
  <c r="I244" i="19"/>
  <c r="H244" i="19"/>
  <c r="G244" i="19"/>
  <c r="F244" i="19"/>
  <c r="M244" i="19" s="1"/>
  <c r="E244" i="19"/>
  <c r="D244" i="19"/>
  <c r="O243" i="19"/>
  <c r="J243" i="19"/>
  <c r="I243" i="19"/>
  <c r="H243" i="19"/>
  <c r="G243" i="19"/>
  <c r="F243" i="19"/>
  <c r="M243" i="19" s="1"/>
  <c r="E243" i="19"/>
  <c r="D243" i="19"/>
  <c r="O242" i="19"/>
  <c r="J242" i="19"/>
  <c r="I242" i="19"/>
  <c r="H242" i="19"/>
  <c r="G242" i="19"/>
  <c r="F242" i="19"/>
  <c r="M242" i="19" s="1"/>
  <c r="E242" i="19"/>
  <c r="D242" i="19"/>
  <c r="O241" i="19"/>
  <c r="J241" i="19"/>
  <c r="I241" i="19"/>
  <c r="H241" i="19"/>
  <c r="G241" i="19"/>
  <c r="F241" i="19"/>
  <c r="M241" i="19" s="1"/>
  <c r="E241" i="19"/>
  <c r="D241" i="19"/>
  <c r="O240" i="19"/>
  <c r="J240" i="19"/>
  <c r="I240" i="19"/>
  <c r="H240" i="19"/>
  <c r="G240" i="19"/>
  <c r="F240" i="19"/>
  <c r="M240" i="19" s="1"/>
  <c r="E240" i="19"/>
  <c r="D240" i="19"/>
  <c r="O239" i="19"/>
  <c r="J239" i="19"/>
  <c r="I239" i="19"/>
  <c r="H239" i="19"/>
  <c r="G239" i="19"/>
  <c r="F239" i="19"/>
  <c r="M239" i="19" s="1"/>
  <c r="E239" i="19"/>
  <c r="D239" i="19"/>
  <c r="O238" i="19"/>
  <c r="J238" i="19"/>
  <c r="I238" i="19"/>
  <c r="H238" i="19"/>
  <c r="G238" i="19"/>
  <c r="F238" i="19"/>
  <c r="M238" i="19" s="1"/>
  <c r="E238" i="19"/>
  <c r="D238" i="19"/>
  <c r="O237" i="19"/>
  <c r="J237" i="19"/>
  <c r="I237" i="19"/>
  <c r="H237" i="19"/>
  <c r="G237" i="19"/>
  <c r="F237" i="19"/>
  <c r="M237" i="19" s="1"/>
  <c r="E237" i="19"/>
  <c r="D237" i="19"/>
  <c r="O236" i="19"/>
  <c r="J236" i="19"/>
  <c r="I236" i="19"/>
  <c r="H236" i="19"/>
  <c r="G236" i="19"/>
  <c r="F236" i="19"/>
  <c r="M236" i="19" s="1"/>
  <c r="E236" i="19"/>
  <c r="D236" i="19"/>
  <c r="O235" i="19"/>
  <c r="J235" i="19"/>
  <c r="I235" i="19"/>
  <c r="H235" i="19"/>
  <c r="G235" i="19"/>
  <c r="F235" i="19"/>
  <c r="M235" i="19" s="1"/>
  <c r="E235" i="19"/>
  <c r="D235" i="19"/>
  <c r="O234" i="19"/>
  <c r="J234" i="19"/>
  <c r="I234" i="19"/>
  <c r="H234" i="19"/>
  <c r="G234" i="19"/>
  <c r="F234" i="19"/>
  <c r="M234" i="19" s="1"/>
  <c r="E234" i="19"/>
  <c r="D234" i="19"/>
  <c r="O233" i="19"/>
  <c r="J233" i="19"/>
  <c r="I233" i="19"/>
  <c r="H233" i="19"/>
  <c r="G233" i="19"/>
  <c r="F233" i="19"/>
  <c r="M233" i="19" s="1"/>
  <c r="E233" i="19"/>
  <c r="D233" i="19"/>
  <c r="O232" i="19"/>
  <c r="J232" i="19"/>
  <c r="I232" i="19"/>
  <c r="H232" i="19"/>
  <c r="G232" i="19"/>
  <c r="F232" i="19"/>
  <c r="M232" i="19" s="1"/>
  <c r="E232" i="19"/>
  <c r="D232" i="19"/>
  <c r="K231" i="19"/>
  <c r="O230" i="19"/>
  <c r="J230" i="19"/>
  <c r="I230" i="19"/>
  <c r="H230" i="19"/>
  <c r="G230" i="19"/>
  <c r="F230" i="19"/>
  <c r="M230" i="19" s="1"/>
  <c r="E230" i="19"/>
  <c r="D230" i="19"/>
  <c r="O229" i="19"/>
  <c r="J229" i="19"/>
  <c r="I229" i="19"/>
  <c r="H229" i="19"/>
  <c r="G229" i="19"/>
  <c r="F229" i="19"/>
  <c r="M229" i="19" s="1"/>
  <c r="E229" i="19"/>
  <c r="D229" i="19"/>
  <c r="O228" i="19"/>
  <c r="J228" i="19"/>
  <c r="I228" i="19"/>
  <c r="H228" i="19"/>
  <c r="G228" i="19"/>
  <c r="F228" i="19"/>
  <c r="M228" i="19" s="1"/>
  <c r="E228" i="19"/>
  <c r="D228" i="19"/>
  <c r="O227" i="19"/>
  <c r="J227" i="19"/>
  <c r="I227" i="19"/>
  <c r="H227" i="19"/>
  <c r="G227" i="19"/>
  <c r="F227" i="19"/>
  <c r="M227" i="19" s="1"/>
  <c r="E227" i="19"/>
  <c r="D227" i="19"/>
  <c r="O226" i="19"/>
  <c r="J226" i="19"/>
  <c r="I226" i="19"/>
  <c r="H226" i="19"/>
  <c r="G226" i="19"/>
  <c r="F226" i="19"/>
  <c r="M226" i="19" s="1"/>
  <c r="E226" i="19"/>
  <c r="D226" i="19"/>
  <c r="O225" i="19"/>
  <c r="J225" i="19"/>
  <c r="I225" i="19"/>
  <c r="H225" i="19"/>
  <c r="G225" i="19"/>
  <c r="F225" i="19"/>
  <c r="M225" i="19" s="1"/>
  <c r="E225" i="19"/>
  <c r="D225" i="19"/>
  <c r="O224" i="19"/>
  <c r="J224" i="19"/>
  <c r="I224" i="19"/>
  <c r="H224" i="19"/>
  <c r="G224" i="19"/>
  <c r="F224" i="19"/>
  <c r="M224" i="19" s="1"/>
  <c r="E224" i="19"/>
  <c r="D224" i="19"/>
  <c r="O223" i="19"/>
  <c r="J223" i="19"/>
  <c r="I223" i="19"/>
  <c r="H223" i="19"/>
  <c r="G223" i="19"/>
  <c r="F223" i="19"/>
  <c r="M223" i="19" s="1"/>
  <c r="E223" i="19"/>
  <c r="D223" i="19"/>
  <c r="O222" i="19"/>
  <c r="J222" i="19"/>
  <c r="I222" i="19"/>
  <c r="H222" i="19"/>
  <c r="G222" i="19"/>
  <c r="F222" i="19"/>
  <c r="M222" i="19" s="1"/>
  <c r="E222" i="19"/>
  <c r="D222" i="19"/>
  <c r="O221" i="19"/>
  <c r="J221" i="19"/>
  <c r="I221" i="19"/>
  <c r="H221" i="19"/>
  <c r="G221" i="19"/>
  <c r="F221" i="19"/>
  <c r="M221" i="19" s="1"/>
  <c r="E221" i="19"/>
  <c r="D221" i="19"/>
  <c r="O220" i="19"/>
  <c r="J220" i="19"/>
  <c r="I220" i="19"/>
  <c r="H220" i="19"/>
  <c r="G220" i="19"/>
  <c r="F220" i="19"/>
  <c r="M220" i="19" s="1"/>
  <c r="E220" i="19"/>
  <c r="D220" i="19"/>
  <c r="O219" i="19"/>
  <c r="J219" i="19"/>
  <c r="I219" i="19"/>
  <c r="H219" i="19"/>
  <c r="G219" i="19"/>
  <c r="F219" i="19"/>
  <c r="M219" i="19" s="1"/>
  <c r="E219" i="19"/>
  <c r="D219" i="19"/>
  <c r="O218" i="19"/>
  <c r="J218" i="19"/>
  <c r="I218" i="19"/>
  <c r="H218" i="19"/>
  <c r="G218" i="19"/>
  <c r="F218" i="19"/>
  <c r="M218" i="19" s="1"/>
  <c r="E218" i="19"/>
  <c r="D218" i="19"/>
  <c r="O217" i="19"/>
  <c r="J217" i="19"/>
  <c r="I217" i="19"/>
  <c r="H217" i="19"/>
  <c r="G217" i="19"/>
  <c r="F217" i="19"/>
  <c r="M217" i="19" s="1"/>
  <c r="E217" i="19"/>
  <c r="D217" i="19"/>
  <c r="O216" i="19"/>
  <c r="J216" i="19"/>
  <c r="I216" i="19"/>
  <c r="H216" i="19"/>
  <c r="G216" i="19"/>
  <c r="F216" i="19"/>
  <c r="M216" i="19" s="1"/>
  <c r="E216" i="19"/>
  <c r="D216" i="19"/>
  <c r="O215" i="19"/>
  <c r="J215" i="19"/>
  <c r="I215" i="19"/>
  <c r="H215" i="19"/>
  <c r="G215" i="19"/>
  <c r="F215" i="19"/>
  <c r="M215" i="19" s="1"/>
  <c r="E215" i="19"/>
  <c r="D215" i="19"/>
  <c r="O214" i="19"/>
  <c r="J214" i="19"/>
  <c r="I214" i="19"/>
  <c r="H214" i="19"/>
  <c r="G214" i="19"/>
  <c r="F214" i="19"/>
  <c r="M214" i="19" s="1"/>
  <c r="E214" i="19"/>
  <c r="D214" i="19"/>
  <c r="O213" i="19"/>
  <c r="J213" i="19"/>
  <c r="I213" i="19"/>
  <c r="H213" i="19"/>
  <c r="G213" i="19"/>
  <c r="F213" i="19"/>
  <c r="M213" i="19" s="1"/>
  <c r="E213" i="19"/>
  <c r="D213" i="19"/>
  <c r="O212" i="19"/>
  <c r="J212" i="19"/>
  <c r="I212" i="19"/>
  <c r="H212" i="19"/>
  <c r="G212" i="19"/>
  <c r="F212" i="19"/>
  <c r="M212" i="19" s="1"/>
  <c r="E212" i="19"/>
  <c r="D212" i="19"/>
  <c r="O211" i="19"/>
  <c r="J211" i="19"/>
  <c r="I211" i="19"/>
  <c r="H211" i="19"/>
  <c r="G211" i="19"/>
  <c r="F211" i="19"/>
  <c r="M211" i="19" s="1"/>
  <c r="E211" i="19"/>
  <c r="D211" i="19"/>
  <c r="O210" i="19"/>
  <c r="J210" i="19"/>
  <c r="I210" i="19"/>
  <c r="H210" i="19"/>
  <c r="G210" i="19"/>
  <c r="F210" i="19"/>
  <c r="M210" i="19" s="1"/>
  <c r="E210" i="19"/>
  <c r="D210" i="19"/>
  <c r="O209" i="19"/>
  <c r="J209" i="19"/>
  <c r="I209" i="19"/>
  <c r="H209" i="19"/>
  <c r="G209" i="19"/>
  <c r="F209" i="19"/>
  <c r="M209" i="19" s="1"/>
  <c r="E209" i="19"/>
  <c r="D209" i="19"/>
  <c r="O208" i="19"/>
  <c r="J208" i="19"/>
  <c r="I208" i="19"/>
  <c r="H208" i="19"/>
  <c r="G208" i="19"/>
  <c r="F208" i="19"/>
  <c r="M208" i="19" s="1"/>
  <c r="E208" i="19"/>
  <c r="D208" i="19"/>
  <c r="O207" i="19"/>
  <c r="J207" i="19"/>
  <c r="I207" i="19"/>
  <c r="H207" i="19"/>
  <c r="G207" i="19"/>
  <c r="F207" i="19"/>
  <c r="M207" i="19" s="1"/>
  <c r="E207" i="19"/>
  <c r="D207" i="19"/>
  <c r="O206" i="19"/>
  <c r="J206" i="19"/>
  <c r="I206" i="19"/>
  <c r="H206" i="19"/>
  <c r="G206" i="19"/>
  <c r="F206" i="19"/>
  <c r="M206" i="19" s="1"/>
  <c r="E206" i="19"/>
  <c r="D206" i="19"/>
  <c r="O205" i="19"/>
  <c r="J205" i="19"/>
  <c r="I205" i="19"/>
  <c r="H205" i="19"/>
  <c r="G205" i="19"/>
  <c r="F205" i="19"/>
  <c r="M205" i="19" s="1"/>
  <c r="E205" i="19"/>
  <c r="D205" i="19"/>
  <c r="O204" i="19"/>
  <c r="J204" i="19"/>
  <c r="I204" i="19"/>
  <c r="H204" i="19"/>
  <c r="G204" i="19"/>
  <c r="F204" i="19"/>
  <c r="M204" i="19" s="1"/>
  <c r="E204" i="19"/>
  <c r="D204" i="19"/>
  <c r="O203" i="19"/>
  <c r="J203" i="19"/>
  <c r="I203" i="19"/>
  <c r="H203" i="19"/>
  <c r="G203" i="19"/>
  <c r="F203" i="19"/>
  <c r="M203" i="19" s="1"/>
  <c r="E203" i="19"/>
  <c r="K203" i="19" s="1"/>
  <c r="L203" i="19" s="1"/>
  <c r="D203" i="19"/>
  <c r="O202" i="19"/>
  <c r="J202" i="19"/>
  <c r="I202" i="19"/>
  <c r="H202" i="19"/>
  <c r="G202" i="19"/>
  <c r="F202" i="19"/>
  <c r="M202" i="19" s="1"/>
  <c r="E202" i="19"/>
  <c r="D202" i="19"/>
  <c r="O201" i="19"/>
  <c r="J201" i="19"/>
  <c r="I201" i="19"/>
  <c r="H201" i="19"/>
  <c r="G201" i="19"/>
  <c r="F201" i="19"/>
  <c r="M201" i="19" s="1"/>
  <c r="E201" i="19"/>
  <c r="D201" i="19"/>
  <c r="O200" i="19"/>
  <c r="J200" i="19"/>
  <c r="I200" i="19"/>
  <c r="H200" i="19"/>
  <c r="G200" i="19"/>
  <c r="F200" i="19"/>
  <c r="M200" i="19" s="1"/>
  <c r="E200" i="19"/>
  <c r="D200" i="19"/>
  <c r="K199" i="19"/>
  <c r="L199" i="19" s="1"/>
  <c r="O167" i="19"/>
  <c r="J167" i="19"/>
  <c r="I167" i="19"/>
  <c r="H167" i="19"/>
  <c r="G167" i="19"/>
  <c r="F167" i="19"/>
  <c r="M167" i="19" s="1"/>
  <c r="E167" i="19"/>
  <c r="D167" i="19"/>
  <c r="O166" i="19"/>
  <c r="J166" i="19"/>
  <c r="I166" i="19"/>
  <c r="H166" i="19"/>
  <c r="G166" i="19"/>
  <c r="F166" i="19"/>
  <c r="M166" i="19" s="1"/>
  <c r="E166" i="19"/>
  <c r="D166" i="19"/>
  <c r="O165" i="19"/>
  <c r="J165" i="19"/>
  <c r="I165" i="19"/>
  <c r="H165" i="19"/>
  <c r="G165" i="19"/>
  <c r="F165" i="19"/>
  <c r="M165" i="19" s="1"/>
  <c r="E165" i="19"/>
  <c r="D165" i="19"/>
  <c r="O164" i="19"/>
  <c r="J164" i="19"/>
  <c r="I164" i="19"/>
  <c r="H164" i="19"/>
  <c r="G164" i="19"/>
  <c r="F164" i="19"/>
  <c r="M164" i="19" s="1"/>
  <c r="E164" i="19"/>
  <c r="D164" i="19"/>
  <c r="O163" i="19"/>
  <c r="M163" i="19"/>
  <c r="J163" i="19"/>
  <c r="I163" i="19"/>
  <c r="H163" i="19"/>
  <c r="G163" i="19"/>
  <c r="F163" i="19"/>
  <c r="E163" i="19"/>
  <c r="D163" i="19"/>
  <c r="O162" i="19"/>
  <c r="J162" i="19"/>
  <c r="I162" i="19"/>
  <c r="H162" i="19"/>
  <c r="G162" i="19"/>
  <c r="F162" i="19"/>
  <c r="M162" i="19" s="1"/>
  <c r="E162" i="19"/>
  <c r="D162" i="19"/>
  <c r="O161" i="19"/>
  <c r="J161" i="19"/>
  <c r="I161" i="19"/>
  <c r="H161" i="19"/>
  <c r="G161" i="19"/>
  <c r="F161" i="19"/>
  <c r="M161" i="19" s="1"/>
  <c r="E161" i="19"/>
  <c r="D161" i="19"/>
  <c r="O160" i="19"/>
  <c r="J160" i="19"/>
  <c r="I160" i="19"/>
  <c r="H160" i="19"/>
  <c r="G160" i="19"/>
  <c r="F160" i="19"/>
  <c r="M160" i="19" s="1"/>
  <c r="E160" i="19"/>
  <c r="D160" i="19"/>
  <c r="O159" i="19"/>
  <c r="J159" i="19"/>
  <c r="I159" i="19"/>
  <c r="H159" i="19"/>
  <c r="G159" i="19"/>
  <c r="F159" i="19"/>
  <c r="M159" i="19" s="1"/>
  <c r="E159" i="19"/>
  <c r="D159" i="19"/>
  <c r="O158" i="19"/>
  <c r="J158" i="19"/>
  <c r="I158" i="19"/>
  <c r="H158" i="19"/>
  <c r="G158" i="19"/>
  <c r="F158" i="19"/>
  <c r="M158" i="19" s="1"/>
  <c r="E158" i="19"/>
  <c r="D158" i="19"/>
  <c r="O157" i="19"/>
  <c r="J157" i="19"/>
  <c r="I157" i="19"/>
  <c r="H157" i="19"/>
  <c r="G157" i="19"/>
  <c r="F157" i="19"/>
  <c r="M157" i="19" s="1"/>
  <c r="E157" i="19"/>
  <c r="D157" i="19"/>
  <c r="O156" i="19"/>
  <c r="J156" i="19"/>
  <c r="I156" i="19"/>
  <c r="H156" i="19"/>
  <c r="G156" i="19"/>
  <c r="F156" i="19"/>
  <c r="M156" i="19" s="1"/>
  <c r="E156" i="19"/>
  <c r="D156" i="19"/>
  <c r="O155" i="19"/>
  <c r="J155" i="19"/>
  <c r="I155" i="19"/>
  <c r="H155" i="19"/>
  <c r="G155" i="19"/>
  <c r="F155" i="19"/>
  <c r="M155" i="19" s="1"/>
  <c r="E155" i="19"/>
  <c r="D155" i="19"/>
  <c r="O154" i="19"/>
  <c r="J154" i="19"/>
  <c r="I154" i="19"/>
  <c r="H154" i="19"/>
  <c r="G154" i="19"/>
  <c r="F154" i="19"/>
  <c r="M154" i="19" s="1"/>
  <c r="E154" i="19"/>
  <c r="D154" i="19"/>
  <c r="O153" i="19"/>
  <c r="J153" i="19"/>
  <c r="I153" i="19"/>
  <c r="H153" i="19"/>
  <c r="G153" i="19"/>
  <c r="F153" i="19"/>
  <c r="M153" i="19" s="1"/>
  <c r="E153" i="19"/>
  <c r="D153" i="19"/>
  <c r="O152" i="19"/>
  <c r="J152" i="19"/>
  <c r="I152" i="19"/>
  <c r="H152" i="19"/>
  <c r="K152" i="19" s="1"/>
  <c r="L152" i="19" s="1"/>
  <c r="G152" i="19"/>
  <c r="F152" i="19"/>
  <c r="M152" i="19" s="1"/>
  <c r="E152" i="19"/>
  <c r="D152" i="19"/>
  <c r="O151" i="19"/>
  <c r="J151" i="19"/>
  <c r="I151" i="19"/>
  <c r="H151" i="19"/>
  <c r="G151" i="19"/>
  <c r="F151" i="19"/>
  <c r="M151" i="19" s="1"/>
  <c r="E151" i="19"/>
  <c r="D151" i="19"/>
  <c r="O150" i="19"/>
  <c r="J150" i="19"/>
  <c r="I150" i="19"/>
  <c r="H150" i="19"/>
  <c r="G150" i="19"/>
  <c r="F150" i="19"/>
  <c r="M150" i="19" s="1"/>
  <c r="E150" i="19"/>
  <c r="D150" i="19"/>
  <c r="O149" i="19"/>
  <c r="J149" i="19"/>
  <c r="I149" i="19"/>
  <c r="H149" i="19"/>
  <c r="G149" i="19"/>
  <c r="F149" i="19"/>
  <c r="M149" i="19" s="1"/>
  <c r="E149" i="19"/>
  <c r="D149" i="19"/>
  <c r="O148" i="19"/>
  <c r="J148" i="19"/>
  <c r="I148" i="19"/>
  <c r="H148" i="19"/>
  <c r="G148" i="19"/>
  <c r="F148" i="19"/>
  <c r="M148" i="19" s="1"/>
  <c r="E148" i="19"/>
  <c r="D148" i="19"/>
  <c r="O147" i="19"/>
  <c r="J147" i="19"/>
  <c r="I147" i="19"/>
  <c r="H147" i="19"/>
  <c r="G147" i="19"/>
  <c r="F147" i="19"/>
  <c r="M147" i="19" s="1"/>
  <c r="E147" i="19"/>
  <c r="D147" i="19"/>
  <c r="O146" i="19"/>
  <c r="J146" i="19"/>
  <c r="I146" i="19"/>
  <c r="H146" i="19"/>
  <c r="G146" i="19"/>
  <c r="F146" i="19"/>
  <c r="M146" i="19" s="1"/>
  <c r="E146" i="19"/>
  <c r="D146" i="19"/>
  <c r="O145" i="19"/>
  <c r="J145" i="19"/>
  <c r="I145" i="19"/>
  <c r="H145" i="19"/>
  <c r="G145" i="19"/>
  <c r="F145" i="19"/>
  <c r="M145" i="19" s="1"/>
  <c r="E145" i="19"/>
  <c r="D145" i="19"/>
  <c r="O144" i="19"/>
  <c r="J144" i="19"/>
  <c r="I144" i="19"/>
  <c r="H144" i="19"/>
  <c r="G144" i="19"/>
  <c r="F144" i="19"/>
  <c r="M144" i="19" s="1"/>
  <c r="E144" i="19"/>
  <c r="D144" i="19"/>
  <c r="O143" i="19"/>
  <c r="J143" i="19"/>
  <c r="I143" i="19"/>
  <c r="H143" i="19"/>
  <c r="G143" i="19"/>
  <c r="F143" i="19"/>
  <c r="M143" i="19" s="1"/>
  <c r="E143" i="19"/>
  <c r="D143" i="19"/>
  <c r="O142" i="19"/>
  <c r="J142" i="19"/>
  <c r="I142" i="19"/>
  <c r="H142" i="19"/>
  <c r="G142" i="19"/>
  <c r="F142" i="19"/>
  <c r="M142" i="19" s="1"/>
  <c r="E142" i="19"/>
  <c r="D142" i="19"/>
  <c r="O141" i="19"/>
  <c r="J141" i="19"/>
  <c r="I141" i="19"/>
  <c r="H141" i="19"/>
  <c r="G141" i="19"/>
  <c r="F141" i="19"/>
  <c r="M141" i="19" s="1"/>
  <c r="E141" i="19"/>
  <c r="D141" i="19"/>
  <c r="O140" i="19"/>
  <c r="J140" i="19"/>
  <c r="I140" i="19"/>
  <c r="H140" i="19"/>
  <c r="G140" i="19"/>
  <c r="F140" i="19"/>
  <c r="M140" i="19" s="1"/>
  <c r="E140" i="19"/>
  <c r="D140" i="19"/>
  <c r="O139" i="19"/>
  <c r="J139" i="19"/>
  <c r="I139" i="19"/>
  <c r="H139" i="19"/>
  <c r="G139" i="19"/>
  <c r="F139" i="19"/>
  <c r="M139" i="19" s="1"/>
  <c r="E139" i="19"/>
  <c r="D139" i="19"/>
  <c r="O138" i="19"/>
  <c r="J138" i="19"/>
  <c r="I138" i="19"/>
  <c r="H138" i="19"/>
  <c r="G138" i="19"/>
  <c r="F138" i="19"/>
  <c r="M138" i="19" s="1"/>
  <c r="E138" i="19"/>
  <c r="D138" i="19"/>
  <c r="O137" i="19"/>
  <c r="J137" i="19"/>
  <c r="I137" i="19"/>
  <c r="H137" i="19"/>
  <c r="G137" i="19"/>
  <c r="F137" i="19"/>
  <c r="M137" i="19" s="1"/>
  <c r="E137" i="19"/>
  <c r="D137" i="19"/>
  <c r="O135" i="19"/>
  <c r="J135" i="19"/>
  <c r="I135" i="19"/>
  <c r="H135" i="19"/>
  <c r="G135" i="19"/>
  <c r="F135" i="19"/>
  <c r="M135" i="19" s="1"/>
  <c r="E135" i="19"/>
  <c r="D135" i="19"/>
  <c r="O134" i="19"/>
  <c r="J134" i="19"/>
  <c r="I134" i="19"/>
  <c r="H134" i="19"/>
  <c r="G134" i="19"/>
  <c r="F134" i="19"/>
  <c r="M134" i="19" s="1"/>
  <c r="E134" i="19"/>
  <c r="D134" i="19"/>
  <c r="O133" i="19"/>
  <c r="J133" i="19"/>
  <c r="I133" i="19"/>
  <c r="H133" i="19"/>
  <c r="G133" i="19"/>
  <c r="F133" i="19"/>
  <c r="M133" i="19" s="1"/>
  <c r="E133" i="19"/>
  <c r="D133" i="19"/>
  <c r="O132" i="19"/>
  <c r="J132" i="19"/>
  <c r="I132" i="19"/>
  <c r="H132" i="19"/>
  <c r="G132" i="19"/>
  <c r="F132" i="19"/>
  <c r="M132" i="19" s="1"/>
  <c r="E132" i="19"/>
  <c r="D132" i="19"/>
  <c r="O131" i="19"/>
  <c r="J131" i="19"/>
  <c r="I131" i="19"/>
  <c r="H131" i="19"/>
  <c r="G131" i="19"/>
  <c r="F131" i="19"/>
  <c r="M131" i="19" s="1"/>
  <c r="E131" i="19"/>
  <c r="D131" i="19"/>
  <c r="O130" i="19"/>
  <c r="J130" i="19"/>
  <c r="I130" i="19"/>
  <c r="H130" i="19"/>
  <c r="G130" i="19"/>
  <c r="F130" i="19"/>
  <c r="M130" i="19" s="1"/>
  <c r="E130" i="19"/>
  <c r="D130" i="19"/>
  <c r="O129" i="19"/>
  <c r="J129" i="19"/>
  <c r="I129" i="19"/>
  <c r="H129" i="19"/>
  <c r="G129" i="19"/>
  <c r="F129" i="19"/>
  <c r="M129" i="19" s="1"/>
  <c r="E129" i="19"/>
  <c r="D129" i="19"/>
  <c r="O128" i="19"/>
  <c r="J128" i="19"/>
  <c r="I128" i="19"/>
  <c r="H128" i="19"/>
  <c r="G128" i="19"/>
  <c r="F128" i="19"/>
  <c r="M128" i="19" s="1"/>
  <c r="E128" i="19"/>
  <c r="D128" i="19"/>
  <c r="O127" i="19"/>
  <c r="J127" i="19"/>
  <c r="I127" i="19"/>
  <c r="H127" i="19"/>
  <c r="G127" i="19"/>
  <c r="F127" i="19"/>
  <c r="M127" i="19" s="1"/>
  <c r="E127" i="19"/>
  <c r="D127" i="19"/>
  <c r="O126" i="19"/>
  <c r="J126" i="19"/>
  <c r="I126" i="19"/>
  <c r="H126" i="19"/>
  <c r="G126" i="19"/>
  <c r="F126" i="19"/>
  <c r="M126" i="19" s="1"/>
  <c r="E126" i="19"/>
  <c r="D126" i="19"/>
  <c r="O125" i="19"/>
  <c r="J125" i="19"/>
  <c r="I125" i="19"/>
  <c r="H125" i="19"/>
  <c r="G125" i="19"/>
  <c r="F125" i="19"/>
  <c r="M125" i="19" s="1"/>
  <c r="E125" i="19"/>
  <c r="D125" i="19"/>
  <c r="O124" i="19"/>
  <c r="J124" i="19"/>
  <c r="I124" i="19"/>
  <c r="H124" i="19"/>
  <c r="K124" i="19" s="1"/>
  <c r="L124" i="19" s="1"/>
  <c r="G124" i="19"/>
  <c r="F124" i="19"/>
  <c r="M124" i="19" s="1"/>
  <c r="E124" i="19"/>
  <c r="D124" i="19"/>
  <c r="O123" i="19"/>
  <c r="J123" i="19"/>
  <c r="I123" i="19"/>
  <c r="H123" i="19"/>
  <c r="G123" i="19"/>
  <c r="F123" i="19"/>
  <c r="M123" i="19" s="1"/>
  <c r="E123" i="19"/>
  <c r="D123" i="19"/>
  <c r="O122" i="19"/>
  <c r="J122" i="19"/>
  <c r="I122" i="19"/>
  <c r="H122" i="19"/>
  <c r="G122" i="19"/>
  <c r="F122" i="19"/>
  <c r="M122" i="19" s="1"/>
  <c r="E122" i="19"/>
  <c r="D122" i="19"/>
  <c r="O121" i="19"/>
  <c r="J121" i="19"/>
  <c r="I121" i="19"/>
  <c r="H121" i="19"/>
  <c r="G121" i="19"/>
  <c r="F121" i="19"/>
  <c r="M121" i="19" s="1"/>
  <c r="E121" i="19"/>
  <c r="D121" i="19"/>
  <c r="O120" i="19"/>
  <c r="J120" i="19"/>
  <c r="I120" i="19"/>
  <c r="H120" i="19"/>
  <c r="G120" i="19"/>
  <c r="F120" i="19"/>
  <c r="M120" i="19" s="1"/>
  <c r="E120" i="19"/>
  <c r="D120" i="19"/>
  <c r="O119" i="19"/>
  <c r="J119" i="19"/>
  <c r="I119" i="19"/>
  <c r="H119" i="19"/>
  <c r="G119" i="19"/>
  <c r="F119" i="19"/>
  <c r="M119" i="19" s="1"/>
  <c r="E119" i="19"/>
  <c r="D119" i="19"/>
  <c r="O118" i="19"/>
  <c r="J118" i="19"/>
  <c r="I118" i="19"/>
  <c r="H118" i="19"/>
  <c r="G118" i="19"/>
  <c r="F118" i="19"/>
  <c r="M118" i="19" s="1"/>
  <c r="E118" i="19"/>
  <c r="D118" i="19"/>
  <c r="O117" i="19"/>
  <c r="J117" i="19"/>
  <c r="I117" i="19"/>
  <c r="H117" i="19"/>
  <c r="G117" i="19"/>
  <c r="F117" i="19"/>
  <c r="M117" i="19" s="1"/>
  <c r="E117" i="19"/>
  <c r="D117" i="19"/>
  <c r="O116" i="19"/>
  <c r="J116" i="19"/>
  <c r="I116" i="19"/>
  <c r="H116" i="19"/>
  <c r="G116" i="19"/>
  <c r="F116" i="19"/>
  <c r="M116" i="19" s="1"/>
  <c r="E116" i="19"/>
  <c r="D116" i="19"/>
  <c r="O115" i="19"/>
  <c r="J115" i="19"/>
  <c r="I115" i="19"/>
  <c r="H115" i="19"/>
  <c r="K115" i="19" s="1"/>
  <c r="L115" i="19" s="1"/>
  <c r="G115" i="19"/>
  <c r="F115" i="19"/>
  <c r="M115" i="19" s="1"/>
  <c r="E115" i="19"/>
  <c r="D115" i="19"/>
  <c r="O114" i="19"/>
  <c r="J114" i="19"/>
  <c r="I114" i="19"/>
  <c r="H114" i="19"/>
  <c r="G114" i="19"/>
  <c r="F114" i="19"/>
  <c r="M114" i="19" s="1"/>
  <c r="E114" i="19"/>
  <c r="D114" i="19"/>
  <c r="O113" i="19"/>
  <c r="J113" i="19"/>
  <c r="I113" i="19"/>
  <c r="H113" i="19"/>
  <c r="G113" i="19"/>
  <c r="F113" i="19"/>
  <c r="M113" i="19" s="1"/>
  <c r="E113" i="19"/>
  <c r="D113" i="19"/>
  <c r="O112" i="19"/>
  <c r="J112" i="19"/>
  <c r="I112" i="19"/>
  <c r="H112" i="19"/>
  <c r="G112" i="19"/>
  <c r="F112" i="19"/>
  <c r="M112" i="19" s="1"/>
  <c r="E112" i="19"/>
  <c r="D112" i="19"/>
  <c r="O111" i="19"/>
  <c r="J111" i="19"/>
  <c r="I111" i="19"/>
  <c r="H111" i="19"/>
  <c r="G111" i="19"/>
  <c r="F111" i="19"/>
  <c r="M111" i="19" s="1"/>
  <c r="E111" i="19"/>
  <c r="D111" i="19"/>
  <c r="O110" i="19"/>
  <c r="J110" i="19"/>
  <c r="I110" i="19"/>
  <c r="H110" i="19"/>
  <c r="G110" i="19"/>
  <c r="F110" i="19"/>
  <c r="M110" i="19" s="1"/>
  <c r="E110" i="19"/>
  <c r="D110" i="19"/>
  <c r="O109" i="19"/>
  <c r="J109" i="19"/>
  <c r="I109" i="19"/>
  <c r="H109" i="19"/>
  <c r="G109" i="19"/>
  <c r="F109" i="19"/>
  <c r="M109" i="19" s="1"/>
  <c r="E109" i="19"/>
  <c r="D109" i="19"/>
  <c r="O108" i="19"/>
  <c r="J108" i="19"/>
  <c r="I108" i="19"/>
  <c r="H108" i="19"/>
  <c r="K108" i="19" s="1"/>
  <c r="L108" i="19" s="1"/>
  <c r="G108" i="19"/>
  <c r="F108" i="19"/>
  <c r="M108" i="19" s="1"/>
  <c r="E108" i="19"/>
  <c r="D108" i="19"/>
  <c r="O107" i="19"/>
  <c r="J107" i="19"/>
  <c r="I107" i="19"/>
  <c r="H107" i="19"/>
  <c r="K107" i="19" s="1"/>
  <c r="L107" i="19" s="1"/>
  <c r="G107" i="19"/>
  <c r="F107" i="19"/>
  <c r="M107" i="19" s="1"/>
  <c r="E107" i="19"/>
  <c r="D107" i="19"/>
  <c r="O106" i="19"/>
  <c r="J106" i="19"/>
  <c r="I106" i="19"/>
  <c r="H106" i="19"/>
  <c r="G106" i="19"/>
  <c r="F106" i="19"/>
  <c r="M106" i="19" s="1"/>
  <c r="E106" i="19"/>
  <c r="D106" i="19"/>
  <c r="K105" i="19"/>
  <c r="L105" i="19" s="1"/>
  <c r="O104" i="19"/>
  <c r="J104" i="19"/>
  <c r="I104" i="19"/>
  <c r="H104" i="19"/>
  <c r="G104" i="19"/>
  <c r="F104" i="19"/>
  <c r="M104" i="19" s="1"/>
  <c r="E104" i="19"/>
  <c r="D104" i="19"/>
  <c r="O103" i="19"/>
  <c r="J103" i="19"/>
  <c r="I103" i="19"/>
  <c r="H103" i="19"/>
  <c r="G103" i="19"/>
  <c r="F103" i="19"/>
  <c r="M103" i="19" s="1"/>
  <c r="E103" i="19"/>
  <c r="D103" i="19"/>
  <c r="O102" i="19"/>
  <c r="J102" i="19"/>
  <c r="I102" i="19"/>
  <c r="H102" i="19"/>
  <c r="G102" i="19"/>
  <c r="F102" i="19"/>
  <c r="M102" i="19" s="1"/>
  <c r="E102" i="19"/>
  <c r="D102" i="19"/>
  <c r="O101" i="19"/>
  <c r="J101" i="19"/>
  <c r="I101" i="19"/>
  <c r="H101" i="19"/>
  <c r="G101" i="19"/>
  <c r="F101" i="19"/>
  <c r="M101" i="19" s="1"/>
  <c r="E101" i="19"/>
  <c r="D101" i="19"/>
  <c r="O100" i="19"/>
  <c r="J100" i="19"/>
  <c r="I100" i="19"/>
  <c r="H100" i="19"/>
  <c r="G100" i="19"/>
  <c r="F100" i="19"/>
  <c r="M100" i="19" s="1"/>
  <c r="E100" i="19"/>
  <c r="D100" i="19"/>
  <c r="O99" i="19"/>
  <c r="J99" i="19"/>
  <c r="I99" i="19"/>
  <c r="H99" i="19"/>
  <c r="G99" i="19"/>
  <c r="F99" i="19"/>
  <c r="M99" i="19" s="1"/>
  <c r="E99" i="19"/>
  <c r="D99" i="19"/>
  <c r="O98" i="19"/>
  <c r="J98" i="19"/>
  <c r="I98" i="19"/>
  <c r="H98" i="19"/>
  <c r="G98" i="19"/>
  <c r="F98" i="19"/>
  <c r="M98" i="19" s="1"/>
  <c r="E98" i="19"/>
  <c r="D98" i="19"/>
  <c r="O97" i="19"/>
  <c r="J97" i="19"/>
  <c r="I97" i="19"/>
  <c r="H97" i="19"/>
  <c r="G97" i="19"/>
  <c r="F97" i="19"/>
  <c r="M97" i="19" s="1"/>
  <c r="E97" i="19"/>
  <c r="D97" i="19"/>
  <c r="O96" i="19"/>
  <c r="J96" i="19"/>
  <c r="I96" i="19"/>
  <c r="H96" i="19"/>
  <c r="G96" i="19"/>
  <c r="F96" i="19"/>
  <c r="M96" i="19" s="1"/>
  <c r="E96" i="19"/>
  <c r="D96" i="19"/>
  <c r="O95" i="19"/>
  <c r="J95" i="19"/>
  <c r="I95" i="19"/>
  <c r="H95" i="19"/>
  <c r="G95" i="19"/>
  <c r="F95" i="19"/>
  <c r="M95" i="19" s="1"/>
  <c r="E95" i="19"/>
  <c r="D95" i="19"/>
  <c r="O94" i="19"/>
  <c r="J94" i="19"/>
  <c r="I94" i="19"/>
  <c r="H94" i="19"/>
  <c r="G94" i="19"/>
  <c r="F94" i="19"/>
  <c r="M94" i="19" s="1"/>
  <c r="E94" i="19"/>
  <c r="D94" i="19"/>
  <c r="O93" i="19"/>
  <c r="J93" i="19"/>
  <c r="I93" i="19"/>
  <c r="H93" i="19"/>
  <c r="G93" i="19"/>
  <c r="F93" i="19"/>
  <c r="M93" i="19" s="1"/>
  <c r="E93" i="19"/>
  <c r="D93" i="19"/>
  <c r="O92" i="19"/>
  <c r="J92" i="19"/>
  <c r="I92" i="19"/>
  <c r="H92" i="19"/>
  <c r="G92" i="19"/>
  <c r="F92" i="19"/>
  <c r="M92" i="19" s="1"/>
  <c r="E92" i="19"/>
  <c r="D92" i="19"/>
  <c r="O91" i="19"/>
  <c r="J91" i="19"/>
  <c r="I91" i="19"/>
  <c r="H91" i="19"/>
  <c r="G91" i="19"/>
  <c r="F91" i="19"/>
  <c r="M91" i="19" s="1"/>
  <c r="E91" i="19"/>
  <c r="D91" i="19"/>
  <c r="O90" i="19"/>
  <c r="J90" i="19"/>
  <c r="I90" i="19"/>
  <c r="H90" i="19"/>
  <c r="G90" i="19"/>
  <c r="F90" i="19"/>
  <c r="M90" i="19" s="1"/>
  <c r="E90" i="19"/>
  <c r="D90" i="19"/>
  <c r="O89" i="19"/>
  <c r="J89" i="19"/>
  <c r="I89" i="19"/>
  <c r="H89" i="19"/>
  <c r="G89" i="19"/>
  <c r="F89" i="19"/>
  <c r="M89" i="19" s="1"/>
  <c r="E89" i="19"/>
  <c r="D89" i="19"/>
  <c r="O88" i="19"/>
  <c r="J88" i="19"/>
  <c r="I88" i="19"/>
  <c r="H88" i="19"/>
  <c r="G88" i="19"/>
  <c r="F88" i="19"/>
  <c r="M88" i="19" s="1"/>
  <c r="E88" i="19"/>
  <c r="D88" i="19"/>
  <c r="O87" i="19"/>
  <c r="J87" i="19"/>
  <c r="I87" i="19"/>
  <c r="H87" i="19"/>
  <c r="G87" i="19"/>
  <c r="F87" i="19"/>
  <c r="M87" i="19" s="1"/>
  <c r="E87" i="19"/>
  <c r="D87" i="19"/>
  <c r="O86" i="19"/>
  <c r="J86" i="19"/>
  <c r="I86" i="19"/>
  <c r="H86" i="19"/>
  <c r="G86" i="19"/>
  <c r="F86" i="19"/>
  <c r="M86" i="19" s="1"/>
  <c r="E86" i="19"/>
  <c r="D86" i="19"/>
  <c r="O85" i="19"/>
  <c r="J85" i="19"/>
  <c r="I85" i="19"/>
  <c r="H85" i="19"/>
  <c r="G85" i="19"/>
  <c r="F85" i="19"/>
  <c r="M85" i="19" s="1"/>
  <c r="E85" i="19"/>
  <c r="D85" i="19"/>
  <c r="O84" i="19"/>
  <c r="J84" i="19"/>
  <c r="I84" i="19"/>
  <c r="H84" i="19"/>
  <c r="G84" i="19"/>
  <c r="F84" i="19"/>
  <c r="M84" i="19" s="1"/>
  <c r="E84" i="19"/>
  <c r="D84" i="19"/>
  <c r="O83" i="19"/>
  <c r="J83" i="19"/>
  <c r="I83" i="19"/>
  <c r="H83" i="19"/>
  <c r="G83" i="19"/>
  <c r="F83" i="19"/>
  <c r="M83" i="19" s="1"/>
  <c r="E83" i="19"/>
  <c r="D83" i="19"/>
  <c r="O82" i="19"/>
  <c r="J82" i="19"/>
  <c r="I82" i="19"/>
  <c r="H82" i="19"/>
  <c r="G82" i="19"/>
  <c r="F82" i="19"/>
  <c r="M82" i="19" s="1"/>
  <c r="E82" i="19"/>
  <c r="D82" i="19"/>
  <c r="O81" i="19"/>
  <c r="J81" i="19"/>
  <c r="I81" i="19"/>
  <c r="H81" i="19"/>
  <c r="G81" i="19"/>
  <c r="F81" i="19"/>
  <c r="M81" i="19" s="1"/>
  <c r="E81" i="19"/>
  <c r="D81" i="19"/>
  <c r="O80" i="19"/>
  <c r="J80" i="19"/>
  <c r="I80" i="19"/>
  <c r="H80" i="19"/>
  <c r="G80" i="19"/>
  <c r="F80" i="19"/>
  <c r="M80" i="19" s="1"/>
  <c r="E80" i="19"/>
  <c r="D80" i="19"/>
  <c r="O79" i="19"/>
  <c r="J79" i="19"/>
  <c r="I79" i="19"/>
  <c r="H79" i="19"/>
  <c r="G79" i="19"/>
  <c r="F79" i="19"/>
  <c r="M79" i="19" s="1"/>
  <c r="E79" i="19"/>
  <c r="D79" i="19"/>
  <c r="O78" i="19"/>
  <c r="J78" i="19"/>
  <c r="I78" i="19"/>
  <c r="H78" i="19"/>
  <c r="G78" i="19"/>
  <c r="F78" i="19"/>
  <c r="M78" i="19" s="1"/>
  <c r="E78" i="19"/>
  <c r="D78" i="19"/>
  <c r="O77" i="19"/>
  <c r="J77" i="19"/>
  <c r="I77" i="19"/>
  <c r="H77" i="19"/>
  <c r="G77" i="19"/>
  <c r="F77" i="19"/>
  <c r="M77" i="19" s="1"/>
  <c r="E77" i="19"/>
  <c r="D77" i="19"/>
  <c r="O76" i="19"/>
  <c r="J76" i="19"/>
  <c r="I76" i="19"/>
  <c r="H76" i="19"/>
  <c r="G76" i="19"/>
  <c r="F76" i="19"/>
  <c r="M76" i="19" s="1"/>
  <c r="E76" i="19"/>
  <c r="D76" i="19"/>
  <c r="O75" i="19"/>
  <c r="J75" i="19"/>
  <c r="I75" i="19"/>
  <c r="H75" i="19"/>
  <c r="G75" i="19"/>
  <c r="F75" i="19"/>
  <c r="M75" i="19" s="1"/>
  <c r="E75" i="19"/>
  <c r="D75" i="19"/>
  <c r="O74" i="19"/>
  <c r="J74" i="19"/>
  <c r="I74" i="19"/>
  <c r="H74" i="19"/>
  <c r="G74" i="19"/>
  <c r="F74" i="19"/>
  <c r="M74" i="19" s="1"/>
  <c r="E74" i="19"/>
  <c r="D74" i="19"/>
  <c r="K73" i="19"/>
  <c r="L73" i="19" s="1"/>
  <c r="O72" i="19"/>
  <c r="J72" i="19"/>
  <c r="I72" i="19"/>
  <c r="H72" i="19"/>
  <c r="G72" i="19"/>
  <c r="F72" i="19"/>
  <c r="M72" i="19" s="1"/>
  <c r="E72" i="19"/>
  <c r="D72" i="19"/>
  <c r="O71" i="19"/>
  <c r="J71" i="19"/>
  <c r="I71" i="19"/>
  <c r="H71" i="19"/>
  <c r="G71" i="19"/>
  <c r="F71" i="19"/>
  <c r="M71" i="19" s="1"/>
  <c r="E71" i="19"/>
  <c r="D71" i="19"/>
  <c r="O70" i="19"/>
  <c r="J70" i="19"/>
  <c r="I70" i="19"/>
  <c r="H70" i="19"/>
  <c r="G70" i="19"/>
  <c r="F70" i="19"/>
  <c r="M70" i="19" s="1"/>
  <c r="E70" i="19"/>
  <c r="D70" i="19"/>
  <c r="O69" i="19"/>
  <c r="J69" i="19"/>
  <c r="I69" i="19"/>
  <c r="H69" i="19"/>
  <c r="G69" i="19"/>
  <c r="F69" i="19"/>
  <c r="M69" i="19" s="1"/>
  <c r="E69" i="19"/>
  <c r="D69" i="19"/>
  <c r="O68" i="19"/>
  <c r="J68" i="19"/>
  <c r="I68" i="19"/>
  <c r="H68" i="19"/>
  <c r="G68" i="19"/>
  <c r="F68" i="19"/>
  <c r="M68" i="19" s="1"/>
  <c r="E68" i="19"/>
  <c r="D68" i="19"/>
  <c r="O67" i="19"/>
  <c r="J67" i="19"/>
  <c r="I67" i="19"/>
  <c r="H67" i="19"/>
  <c r="G67" i="19"/>
  <c r="F67" i="19"/>
  <c r="M67" i="19" s="1"/>
  <c r="E67" i="19"/>
  <c r="D67" i="19"/>
  <c r="O66" i="19"/>
  <c r="J66" i="19"/>
  <c r="I66" i="19"/>
  <c r="H66" i="19"/>
  <c r="G66" i="19"/>
  <c r="F66" i="19"/>
  <c r="M66" i="19" s="1"/>
  <c r="E66" i="19"/>
  <c r="D66" i="19"/>
  <c r="O65" i="19"/>
  <c r="J65" i="19"/>
  <c r="I65" i="19"/>
  <c r="H65" i="19"/>
  <c r="G65" i="19"/>
  <c r="F65" i="19"/>
  <c r="M65" i="19" s="1"/>
  <c r="E65" i="19"/>
  <c r="D65" i="19"/>
  <c r="O64" i="19"/>
  <c r="J64" i="19"/>
  <c r="I64" i="19"/>
  <c r="H64" i="19"/>
  <c r="G64" i="19"/>
  <c r="F64" i="19"/>
  <c r="M64" i="19" s="1"/>
  <c r="E64" i="19"/>
  <c r="D64" i="19"/>
  <c r="O63" i="19"/>
  <c r="J63" i="19"/>
  <c r="I63" i="19"/>
  <c r="H63" i="19"/>
  <c r="G63" i="19"/>
  <c r="F63" i="19"/>
  <c r="M63" i="19" s="1"/>
  <c r="E63" i="19"/>
  <c r="D63" i="19"/>
  <c r="O62" i="19"/>
  <c r="J62" i="19"/>
  <c r="I62" i="19"/>
  <c r="H62" i="19"/>
  <c r="G62" i="19"/>
  <c r="F62" i="19"/>
  <c r="M62" i="19" s="1"/>
  <c r="E62" i="19"/>
  <c r="D62" i="19"/>
  <c r="O61" i="19"/>
  <c r="J61" i="19"/>
  <c r="I61" i="19"/>
  <c r="H61" i="19"/>
  <c r="G61" i="19"/>
  <c r="F61" i="19"/>
  <c r="M61" i="19" s="1"/>
  <c r="E61" i="19"/>
  <c r="D61" i="19"/>
  <c r="O60" i="19"/>
  <c r="J60" i="19"/>
  <c r="I60" i="19"/>
  <c r="H60" i="19"/>
  <c r="G60" i="19"/>
  <c r="F60" i="19"/>
  <c r="M60" i="19" s="1"/>
  <c r="E60" i="19"/>
  <c r="D60" i="19"/>
  <c r="O59" i="19"/>
  <c r="J59" i="19"/>
  <c r="I59" i="19"/>
  <c r="H59" i="19"/>
  <c r="G59" i="19"/>
  <c r="F59" i="19"/>
  <c r="M59" i="19" s="1"/>
  <c r="E59" i="19"/>
  <c r="D59" i="19"/>
  <c r="O58" i="19"/>
  <c r="J58" i="19"/>
  <c r="I58" i="19"/>
  <c r="H58" i="19"/>
  <c r="G58" i="19"/>
  <c r="F58" i="19"/>
  <c r="M58" i="19" s="1"/>
  <c r="E58" i="19"/>
  <c r="D58" i="19"/>
  <c r="O57" i="19"/>
  <c r="J57" i="19"/>
  <c r="I57" i="19"/>
  <c r="H57" i="19"/>
  <c r="G57" i="19"/>
  <c r="F57" i="19"/>
  <c r="M57" i="19" s="1"/>
  <c r="E57" i="19"/>
  <c r="D57" i="19"/>
  <c r="O56" i="19"/>
  <c r="J56" i="19"/>
  <c r="I56" i="19"/>
  <c r="H56" i="19"/>
  <c r="G56" i="19"/>
  <c r="F56" i="19"/>
  <c r="M56" i="19" s="1"/>
  <c r="E56" i="19"/>
  <c r="D56" i="19"/>
  <c r="O55" i="19"/>
  <c r="J55" i="19"/>
  <c r="I55" i="19"/>
  <c r="H55" i="19"/>
  <c r="G55" i="19"/>
  <c r="F55" i="19"/>
  <c r="M55" i="19" s="1"/>
  <c r="E55" i="19"/>
  <c r="D55" i="19"/>
  <c r="O54" i="19"/>
  <c r="J54" i="19"/>
  <c r="I54" i="19"/>
  <c r="H54" i="19"/>
  <c r="G54" i="19"/>
  <c r="F54" i="19"/>
  <c r="M54" i="19" s="1"/>
  <c r="E54" i="19"/>
  <c r="D54" i="19"/>
  <c r="O53" i="19"/>
  <c r="J53" i="19"/>
  <c r="I53" i="19"/>
  <c r="H53" i="19"/>
  <c r="G53" i="19"/>
  <c r="F53" i="19"/>
  <c r="M53" i="19" s="1"/>
  <c r="E53" i="19"/>
  <c r="D53" i="19"/>
  <c r="O52" i="19"/>
  <c r="J52" i="19"/>
  <c r="I52" i="19"/>
  <c r="H52" i="19"/>
  <c r="G52" i="19"/>
  <c r="F52" i="19"/>
  <c r="M52" i="19" s="1"/>
  <c r="E52" i="19"/>
  <c r="D52" i="19"/>
  <c r="O51" i="19"/>
  <c r="J51" i="19"/>
  <c r="I51" i="19"/>
  <c r="H51" i="19"/>
  <c r="G51" i="19"/>
  <c r="F51" i="19"/>
  <c r="M51" i="19" s="1"/>
  <c r="E51" i="19"/>
  <c r="D51" i="19"/>
  <c r="O50" i="19"/>
  <c r="J50" i="19"/>
  <c r="I50" i="19"/>
  <c r="H50" i="19"/>
  <c r="G50" i="19"/>
  <c r="F50" i="19"/>
  <c r="M50" i="19" s="1"/>
  <c r="E50" i="19"/>
  <c r="D50" i="19"/>
  <c r="O49" i="19"/>
  <c r="J49" i="19"/>
  <c r="I49" i="19"/>
  <c r="H49" i="19"/>
  <c r="G49" i="19"/>
  <c r="F49" i="19"/>
  <c r="M49" i="19" s="1"/>
  <c r="E49" i="19"/>
  <c r="D49" i="19"/>
  <c r="O48" i="19"/>
  <c r="J48" i="19"/>
  <c r="I48" i="19"/>
  <c r="H48" i="19"/>
  <c r="G48" i="19"/>
  <c r="F48" i="19"/>
  <c r="M48" i="19" s="1"/>
  <c r="E48" i="19"/>
  <c r="D48" i="19"/>
  <c r="O47" i="19"/>
  <c r="J47" i="19"/>
  <c r="I47" i="19"/>
  <c r="H47" i="19"/>
  <c r="G47" i="19"/>
  <c r="F47" i="19"/>
  <c r="M47" i="19" s="1"/>
  <c r="E47" i="19"/>
  <c r="D47" i="19"/>
  <c r="O46" i="19"/>
  <c r="J46" i="19"/>
  <c r="I46" i="19"/>
  <c r="H46" i="19"/>
  <c r="G46" i="19"/>
  <c r="F46" i="19"/>
  <c r="M46" i="19" s="1"/>
  <c r="E46" i="19"/>
  <c r="D46" i="19"/>
  <c r="O45" i="19"/>
  <c r="J45" i="19"/>
  <c r="I45" i="19"/>
  <c r="H45" i="19"/>
  <c r="G45" i="19"/>
  <c r="F45" i="19"/>
  <c r="M45" i="19" s="1"/>
  <c r="E45" i="19"/>
  <c r="D45" i="19"/>
  <c r="O44" i="19"/>
  <c r="J44" i="19"/>
  <c r="I44" i="19"/>
  <c r="H44" i="19"/>
  <c r="G44" i="19"/>
  <c r="F44" i="19"/>
  <c r="M44" i="19" s="1"/>
  <c r="E44" i="19"/>
  <c r="D44" i="19"/>
  <c r="K43" i="19"/>
  <c r="L43" i="19" s="1"/>
  <c r="O42" i="19"/>
  <c r="J42" i="19"/>
  <c r="I42" i="19"/>
  <c r="H42" i="19"/>
  <c r="G42" i="19"/>
  <c r="F42" i="19"/>
  <c r="M42" i="19" s="1"/>
  <c r="E42" i="19"/>
  <c r="D42" i="19"/>
  <c r="O41" i="19"/>
  <c r="J41" i="19"/>
  <c r="I41" i="19"/>
  <c r="H41" i="19"/>
  <c r="G41" i="19"/>
  <c r="F41" i="19"/>
  <c r="M41" i="19" s="1"/>
  <c r="E41" i="19"/>
  <c r="D41" i="19"/>
  <c r="O40" i="19"/>
  <c r="J40" i="19"/>
  <c r="I40" i="19"/>
  <c r="H40" i="19"/>
  <c r="G40" i="19"/>
  <c r="F40" i="19"/>
  <c r="M40" i="19" s="1"/>
  <c r="E40" i="19"/>
  <c r="D40" i="19"/>
  <c r="O39" i="19"/>
  <c r="J39" i="19"/>
  <c r="I39" i="19"/>
  <c r="H39" i="19"/>
  <c r="G39" i="19"/>
  <c r="F39" i="19"/>
  <c r="M39" i="19" s="1"/>
  <c r="E39" i="19"/>
  <c r="D39" i="19"/>
  <c r="O38" i="19"/>
  <c r="J38" i="19"/>
  <c r="I38" i="19"/>
  <c r="H38" i="19"/>
  <c r="G38" i="19"/>
  <c r="F38" i="19"/>
  <c r="M38" i="19" s="1"/>
  <c r="E38" i="19"/>
  <c r="D38" i="19"/>
  <c r="O37" i="19"/>
  <c r="J37" i="19"/>
  <c r="I37" i="19"/>
  <c r="H37" i="19"/>
  <c r="G37" i="19"/>
  <c r="F37" i="19"/>
  <c r="M37" i="19" s="1"/>
  <c r="E37" i="19"/>
  <c r="D37" i="19"/>
  <c r="O36" i="19"/>
  <c r="J36" i="19"/>
  <c r="I36" i="19"/>
  <c r="H36" i="19"/>
  <c r="G36" i="19"/>
  <c r="F36" i="19"/>
  <c r="M36" i="19" s="1"/>
  <c r="E36" i="19"/>
  <c r="D36" i="19"/>
  <c r="O35" i="19"/>
  <c r="J35" i="19"/>
  <c r="I35" i="19"/>
  <c r="H35" i="19"/>
  <c r="G35" i="19"/>
  <c r="F35" i="19"/>
  <c r="M35" i="19" s="1"/>
  <c r="E35" i="19"/>
  <c r="D35" i="19"/>
  <c r="O34" i="19"/>
  <c r="J34" i="19"/>
  <c r="I34" i="19"/>
  <c r="H34" i="19"/>
  <c r="G34" i="19"/>
  <c r="F34" i="19"/>
  <c r="M34" i="19" s="1"/>
  <c r="E34" i="19"/>
  <c r="D34" i="19"/>
  <c r="O33" i="19"/>
  <c r="J33" i="19"/>
  <c r="I33" i="19"/>
  <c r="H33" i="19"/>
  <c r="G33" i="19"/>
  <c r="F33" i="19"/>
  <c r="M33" i="19" s="1"/>
  <c r="E33" i="19"/>
  <c r="D33" i="19"/>
  <c r="O32" i="19"/>
  <c r="J32" i="19"/>
  <c r="I32" i="19"/>
  <c r="H32" i="19"/>
  <c r="G32" i="19"/>
  <c r="F32" i="19"/>
  <c r="M32" i="19" s="1"/>
  <c r="E32" i="19"/>
  <c r="D32" i="19"/>
  <c r="O31" i="19"/>
  <c r="J31" i="19"/>
  <c r="I31" i="19"/>
  <c r="H31" i="19"/>
  <c r="G31" i="19"/>
  <c r="F31" i="19"/>
  <c r="M31" i="19" s="1"/>
  <c r="E31" i="19"/>
  <c r="D31" i="19"/>
  <c r="O30" i="19"/>
  <c r="J30" i="19"/>
  <c r="I30" i="19"/>
  <c r="H30" i="19"/>
  <c r="G30" i="19"/>
  <c r="F30" i="19"/>
  <c r="M30" i="19" s="1"/>
  <c r="E30" i="19"/>
  <c r="D30" i="19"/>
  <c r="O29" i="19"/>
  <c r="J29" i="19"/>
  <c r="I29" i="19"/>
  <c r="H29" i="19"/>
  <c r="G29" i="19"/>
  <c r="F29" i="19"/>
  <c r="M29" i="19" s="1"/>
  <c r="E29" i="19"/>
  <c r="D29" i="19"/>
  <c r="O28" i="19"/>
  <c r="J28" i="19"/>
  <c r="I28" i="19"/>
  <c r="H28" i="19"/>
  <c r="G28" i="19"/>
  <c r="F28" i="19"/>
  <c r="M28" i="19" s="1"/>
  <c r="E28" i="19"/>
  <c r="D28" i="19"/>
  <c r="O27" i="19"/>
  <c r="J27" i="19"/>
  <c r="I27" i="19"/>
  <c r="H27" i="19"/>
  <c r="G27" i="19"/>
  <c r="F27" i="19"/>
  <c r="M27" i="19" s="1"/>
  <c r="E27" i="19"/>
  <c r="D27" i="19"/>
  <c r="O26" i="19"/>
  <c r="J26" i="19"/>
  <c r="I26" i="19"/>
  <c r="H26" i="19"/>
  <c r="G26" i="19"/>
  <c r="F26" i="19"/>
  <c r="M26" i="19" s="1"/>
  <c r="E26" i="19"/>
  <c r="D26" i="19"/>
  <c r="O25" i="19"/>
  <c r="J25" i="19"/>
  <c r="I25" i="19"/>
  <c r="H25" i="19"/>
  <c r="G25" i="19"/>
  <c r="F25" i="19"/>
  <c r="M25" i="19" s="1"/>
  <c r="E25" i="19"/>
  <c r="D25" i="19"/>
  <c r="O24" i="19"/>
  <c r="J24" i="19"/>
  <c r="I24" i="19"/>
  <c r="H24" i="19"/>
  <c r="G24" i="19"/>
  <c r="F24" i="19"/>
  <c r="M24" i="19" s="1"/>
  <c r="E24" i="19"/>
  <c r="D24" i="19"/>
  <c r="O23" i="19"/>
  <c r="J23" i="19"/>
  <c r="I23" i="19"/>
  <c r="H23" i="19"/>
  <c r="G23" i="19"/>
  <c r="F23" i="19"/>
  <c r="M23" i="19" s="1"/>
  <c r="E23" i="19"/>
  <c r="D23" i="19"/>
  <c r="O22" i="19"/>
  <c r="J22" i="19"/>
  <c r="I22" i="19"/>
  <c r="H22" i="19"/>
  <c r="G22" i="19"/>
  <c r="F22" i="19"/>
  <c r="M22" i="19" s="1"/>
  <c r="E22" i="19"/>
  <c r="D22" i="19"/>
  <c r="O21" i="19"/>
  <c r="J21" i="19"/>
  <c r="I21" i="19"/>
  <c r="H21" i="19"/>
  <c r="G21" i="19"/>
  <c r="F21" i="19"/>
  <c r="M21" i="19" s="1"/>
  <c r="E21" i="19"/>
  <c r="D21" i="19"/>
  <c r="O20" i="19"/>
  <c r="J20" i="19"/>
  <c r="I20" i="19"/>
  <c r="H20" i="19"/>
  <c r="G20" i="19"/>
  <c r="F20" i="19"/>
  <c r="M20" i="19" s="1"/>
  <c r="E20" i="19"/>
  <c r="D20" i="19"/>
  <c r="O19" i="19"/>
  <c r="J19" i="19"/>
  <c r="I19" i="19"/>
  <c r="H19" i="19"/>
  <c r="G19" i="19"/>
  <c r="F19" i="19"/>
  <c r="M19" i="19" s="1"/>
  <c r="E19" i="19"/>
  <c r="D19" i="19"/>
  <c r="O18" i="19"/>
  <c r="J18" i="19"/>
  <c r="I18" i="19"/>
  <c r="H18" i="19"/>
  <c r="G18" i="19"/>
  <c r="F18" i="19"/>
  <c r="M18" i="19" s="1"/>
  <c r="E18" i="19"/>
  <c r="D18" i="19"/>
  <c r="O17" i="19"/>
  <c r="J17" i="19"/>
  <c r="I17" i="19"/>
  <c r="H17" i="19"/>
  <c r="G17" i="19"/>
  <c r="F17" i="19"/>
  <c r="M17" i="19" s="1"/>
  <c r="E17" i="19"/>
  <c r="D17" i="19"/>
  <c r="O16" i="19"/>
  <c r="J16" i="19"/>
  <c r="I16" i="19"/>
  <c r="H16" i="19"/>
  <c r="G16" i="19"/>
  <c r="F16" i="19"/>
  <c r="M16" i="19" s="1"/>
  <c r="E16" i="19"/>
  <c r="D16" i="19"/>
  <c r="O15" i="19"/>
  <c r="J15" i="19"/>
  <c r="I15" i="19"/>
  <c r="H15" i="19"/>
  <c r="G15" i="19"/>
  <c r="F15" i="19"/>
  <c r="M15" i="19" s="1"/>
  <c r="E15" i="19"/>
  <c r="D15" i="19"/>
  <c r="O14" i="19"/>
  <c r="J14" i="19"/>
  <c r="I14" i="19"/>
  <c r="H14" i="19"/>
  <c r="G14" i="19"/>
  <c r="F14" i="19"/>
  <c r="M14" i="19" s="1"/>
  <c r="E14" i="19"/>
  <c r="D14" i="19"/>
  <c r="O13" i="19"/>
  <c r="J13" i="19"/>
  <c r="I13" i="19"/>
  <c r="H13" i="19"/>
  <c r="G13" i="19"/>
  <c r="F13" i="19"/>
  <c r="M13" i="19" s="1"/>
  <c r="E13" i="19"/>
  <c r="D13" i="19"/>
  <c r="C13" i="19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27" i="19" s="1"/>
  <c r="C28" i="19" s="1"/>
  <c r="C29" i="19" s="1"/>
  <c r="C30" i="19" s="1"/>
  <c r="C31" i="19" s="1"/>
  <c r="C32" i="19" s="1"/>
  <c r="C33" i="19" s="1"/>
  <c r="C34" i="19" s="1"/>
  <c r="C35" i="19" s="1"/>
  <c r="C36" i="19" s="1"/>
  <c r="C37" i="19" s="1"/>
  <c r="C38" i="19" s="1"/>
  <c r="C39" i="19" s="1"/>
  <c r="C40" i="19" s="1"/>
  <c r="C41" i="19" s="1"/>
  <c r="C42" i="19" s="1"/>
  <c r="C44" i="19" s="1"/>
  <c r="C45" i="19" s="1"/>
  <c r="C46" i="19" s="1"/>
  <c r="C47" i="19" s="1"/>
  <c r="C48" i="19" s="1"/>
  <c r="C49" i="19" s="1"/>
  <c r="C50" i="19" s="1"/>
  <c r="C51" i="19" s="1"/>
  <c r="C52" i="19" s="1"/>
  <c r="C53" i="19" s="1"/>
  <c r="C54" i="19" s="1"/>
  <c r="C55" i="19" s="1"/>
  <c r="C56" i="19" s="1"/>
  <c r="C57" i="19" s="1"/>
  <c r="C58" i="19" s="1"/>
  <c r="C59" i="19" s="1"/>
  <c r="C60" i="19" s="1"/>
  <c r="C61" i="19" s="1"/>
  <c r="C62" i="19" s="1"/>
  <c r="C63" i="19" s="1"/>
  <c r="C64" i="19" s="1"/>
  <c r="C65" i="19" s="1"/>
  <c r="C66" i="19" s="1"/>
  <c r="C67" i="19" s="1"/>
  <c r="C68" i="19" s="1"/>
  <c r="C69" i="19" s="1"/>
  <c r="C70" i="19" s="1"/>
  <c r="C71" i="19" s="1"/>
  <c r="C75" i="19" s="1"/>
  <c r="C76" i="19" s="1"/>
  <c r="C77" i="19" s="1"/>
  <c r="C78" i="19" s="1"/>
  <c r="C79" i="19" s="1"/>
  <c r="C80" i="19" s="1"/>
  <c r="C81" i="19" s="1"/>
  <c r="C82" i="19" s="1"/>
  <c r="C83" i="19" s="1"/>
  <c r="C84" i="19" s="1"/>
  <c r="C85" i="19" s="1"/>
  <c r="C86" i="19" s="1"/>
  <c r="C87" i="19" s="1"/>
  <c r="C88" i="19" s="1"/>
  <c r="C89" i="19" s="1"/>
  <c r="C90" i="19" s="1"/>
  <c r="C91" i="19" s="1"/>
  <c r="C92" i="19" s="1"/>
  <c r="C93" i="19" s="1"/>
  <c r="C94" i="19" s="1"/>
  <c r="C95" i="19" s="1"/>
  <c r="C96" i="19" s="1"/>
  <c r="C97" i="19" s="1"/>
  <c r="C98" i="19" s="1"/>
  <c r="C99" i="19" s="1"/>
  <c r="C100" i="19" s="1"/>
  <c r="C101" i="19" s="1"/>
  <c r="C102" i="19" s="1"/>
  <c r="C103" i="19" s="1"/>
  <c r="C104" i="19" s="1"/>
  <c r="C106" i="19" s="1"/>
  <c r="C107" i="19" s="1"/>
  <c r="C108" i="19" s="1"/>
  <c r="C109" i="19" s="1"/>
  <c r="C110" i="19" s="1"/>
  <c r="C111" i="19" s="1"/>
  <c r="C112" i="19" s="1"/>
  <c r="C113" i="19" s="1"/>
  <c r="C114" i="19" s="1"/>
  <c r="C115" i="19" s="1"/>
  <c r="C116" i="19" s="1"/>
  <c r="C117" i="19" s="1"/>
  <c r="C118" i="19" s="1"/>
  <c r="C119" i="19" s="1"/>
  <c r="C120" i="19" s="1"/>
  <c r="C121" i="19" s="1"/>
  <c r="C122" i="19" s="1"/>
  <c r="C123" i="19" s="1"/>
  <c r="C124" i="19" s="1"/>
  <c r="C125" i="19" s="1"/>
  <c r="C126" i="19" s="1"/>
  <c r="C127" i="19" s="1"/>
  <c r="C128" i="19" s="1"/>
  <c r="C129" i="19" s="1"/>
  <c r="C130" i="19" s="1"/>
  <c r="C131" i="19" s="1"/>
  <c r="C132" i="19" s="1"/>
  <c r="C133" i="19" s="1"/>
  <c r="C134" i="19" s="1"/>
  <c r="C135" i="19" s="1"/>
  <c r="C137" i="19" s="1"/>
  <c r="C138" i="19" s="1"/>
  <c r="C139" i="19" s="1"/>
  <c r="C140" i="19" s="1"/>
  <c r="C141" i="19" s="1"/>
  <c r="C142" i="19" s="1"/>
  <c r="C143" i="19" s="1"/>
  <c r="C144" i="19" s="1"/>
  <c r="C145" i="19" s="1"/>
  <c r="C146" i="19" s="1"/>
  <c r="C147" i="19" s="1"/>
  <c r="C148" i="19" s="1"/>
  <c r="C149" i="19" s="1"/>
  <c r="C150" i="19" s="1"/>
  <c r="C151" i="19" s="1"/>
  <c r="C152" i="19" s="1"/>
  <c r="C153" i="19" s="1"/>
  <c r="C154" i="19" s="1"/>
  <c r="C155" i="19" s="1"/>
  <c r="C156" i="19" s="1"/>
  <c r="C157" i="19" s="1"/>
  <c r="C158" i="19" s="1"/>
  <c r="C159" i="19" s="1"/>
  <c r="C160" i="19" s="1"/>
  <c r="C161" i="19" s="1"/>
  <c r="C162" i="19" s="1"/>
  <c r="C163" i="19" s="1"/>
  <c r="C164" i="19" s="1"/>
  <c r="C165" i="19" s="1"/>
  <c r="C166" i="19" s="1"/>
  <c r="C167" i="19" s="1"/>
  <c r="O12" i="19"/>
  <c r="J12" i="19"/>
  <c r="I12" i="19"/>
  <c r="H12" i="19"/>
  <c r="G12" i="19"/>
  <c r="F12" i="19"/>
  <c r="M12" i="19" s="1"/>
  <c r="E12" i="19"/>
  <c r="D12" i="19"/>
  <c r="Y11" i="19"/>
  <c r="K79" i="19" l="1"/>
  <c r="L79" i="19" s="1"/>
  <c r="K80" i="19"/>
  <c r="K92" i="19"/>
  <c r="L92" i="19" s="1"/>
  <c r="K250" i="19"/>
  <c r="L250" i="19" s="1"/>
  <c r="K77" i="19"/>
  <c r="L77" i="19" s="1"/>
  <c r="K88" i="19"/>
  <c r="L88" i="19" s="1"/>
  <c r="N88" i="19" s="1"/>
  <c r="K310" i="19"/>
  <c r="L310" i="19" s="1"/>
  <c r="K320" i="19"/>
  <c r="K135" i="19"/>
  <c r="L135" i="19" s="1"/>
  <c r="K100" i="19"/>
  <c r="L100" i="19" s="1"/>
  <c r="K104" i="19"/>
  <c r="L104" i="19" s="1"/>
  <c r="N104" i="19" s="1"/>
  <c r="K95" i="19"/>
  <c r="L95" i="19" s="1"/>
  <c r="K99" i="19"/>
  <c r="L99" i="19" s="1"/>
  <c r="K111" i="19"/>
  <c r="L111" i="19" s="1"/>
  <c r="K112" i="19"/>
  <c r="L112" i="19" s="1"/>
  <c r="K127" i="19"/>
  <c r="L127" i="19" s="1"/>
  <c r="K128" i="19"/>
  <c r="K129" i="19"/>
  <c r="L129" i="19" s="1"/>
  <c r="K130" i="19"/>
  <c r="L130" i="19" s="1"/>
  <c r="K132" i="19"/>
  <c r="L132" i="19" s="1"/>
  <c r="K240" i="19"/>
  <c r="L240" i="19" s="1"/>
  <c r="K286" i="19"/>
  <c r="K287" i="19"/>
  <c r="L287" i="19" s="1"/>
  <c r="K18" i="19"/>
  <c r="L18" i="19" s="1"/>
  <c r="K19" i="19"/>
  <c r="L19" i="19" s="1"/>
  <c r="K84" i="19"/>
  <c r="K116" i="19"/>
  <c r="L116" i="19" s="1"/>
  <c r="K119" i="19"/>
  <c r="L119" i="19" s="1"/>
  <c r="K120" i="19"/>
  <c r="K164" i="19"/>
  <c r="L164" i="19" s="1"/>
  <c r="K165" i="19"/>
  <c r="L165" i="19" s="1"/>
  <c r="K204" i="19"/>
  <c r="L204" i="19" s="1"/>
  <c r="N204" i="19" s="1"/>
  <c r="K205" i="19"/>
  <c r="L205" i="19" s="1"/>
  <c r="K213" i="19"/>
  <c r="L213" i="19" s="1"/>
  <c r="K220" i="19"/>
  <c r="L220" i="19" s="1"/>
  <c r="K57" i="19"/>
  <c r="K16" i="19"/>
  <c r="L16" i="19" s="1"/>
  <c r="K17" i="19"/>
  <c r="L17" i="19" s="1"/>
  <c r="K23" i="19"/>
  <c r="L23" i="19" s="1"/>
  <c r="K24" i="19"/>
  <c r="L24" i="19" s="1"/>
  <c r="K25" i="19"/>
  <c r="L25" i="19" s="1"/>
  <c r="K26" i="19"/>
  <c r="L26" i="19" s="1"/>
  <c r="K28" i="19"/>
  <c r="L28" i="19" s="1"/>
  <c r="K36" i="19"/>
  <c r="L36" i="19" s="1"/>
  <c r="K44" i="19"/>
  <c r="L44" i="19" s="1"/>
  <c r="N44" i="19" s="1"/>
  <c r="K59" i="19"/>
  <c r="L59" i="19" s="1"/>
  <c r="K60" i="19"/>
  <c r="L60" i="19" s="1"/>
  <c r="N60" i="19" s="1"/>
  <c r="K373" i="19"/>
  <c r="L373" i="19" s="1"/>
  <c r="K284" i="19"/>
  <c r="L284" i="19" s="1"/>
  <c r="K228" i="19"/>
  <c r="L228" i="19" s="1"/>
  <c r="K292" i="19"/>
  <c r="L292" i="19" s="1"/>
  <c r="K279" i="19"/>
  <c r="L279" i="19" s="1"/>
  <c r="K268" i="19"/>
  <c r="L268" i="19" s="1"/>
  <c r="K330" i="19"/>
  <c r="K331" i="19"/>
  <c r="L331" i="19" s="1"/>
  <c r="K335" i="19"/>
  <c r="L335" i="19" s="1"/>
  <c r="K343" i="19"/>
  <c r="L343" i="19" s="1"/>
  <c r="K385" i="19"/>
  <c r="L385" i="19" s="1"/>
  <c r="K387" i="19"/>
  <c r="L387" i="19" s="1"/>
  <c r="K371" i="19"/>
  <c r="L371" i="19" s="1"/>
  <c r="K361" i="19"/>
  <c r="L361" i="19" s="1"/>
  <c r="K381" i="19"/>
  <c r="L381" i="19" s="1"/>
  <c r="K382" i="19"/>
  <c r="L382" i="19" s="1"/>
  <c r="K327" i="19"/>
  <c r="L327" i="19" s="1"/>
  <c r="K350" i="19"/>
  <c r="L350" i="19" s="1"/>
  <c r="K351" i="19"/>
  <c r="L351" i="19" s="1"/>
  <c r="K339" i="19"/>
  <c r="L339" i="19" s="1"/>
  <c r="K297" i="19"/>
  <c r="L297" i="19" s="1"/>
  <c r="K302" i="19"/>
  <c r="L302" i="19" s="1"/>
  <c r="K304" i="19"/>
  <c r="L304" i="19" s="1"/>
  <c r="K313" i="19"/>
  <c r="L313" i="19" s="1"/>
  <c r="K317" i="19"/>
  <c r="L317" i="19" s="1"/>
  <c r="K271" i="19"/>
  <c r="L271" i="19" s="1"/>
  <c r="K272" i="19"/>
  <c r="L272" i="19" s="1"/>
  <c r="K275" i="19"/>
  <c r="L275" i="19" s="1"/>
  <c r="K255" i="19"/>
  <c r="L255" i="19" s="1"/>
  <c r="K241" i="19"/>
  <c r="L241" i="19" s="1"/>
  <c r="K242" i="19"/>
  <c r="L242" i="19" s="1"/>
  <c r="K243" i="19"/>
  <c r="L243" i="19" s="1"/>
  <c r="K246" i="19"/>
  <c r="L246" i="19" s="1"/>
  <c r="K252" i="19"/>
  <c r="L252" i="19" s="1"/>
  <c r="K261" i="19"/>
  <c r="K262" i="19"/>
  <c r="L262" i="19" s="1"/>
  <c r="K264" i="19"/>
  <c r="L264" i="19" s="1"/>
  <c r="K265" i="19"/>
  <c r="L265" i="19" s="1"/>
  <c r="K278" i="19"/>
  <c r="L278" i="19" s="1"/>
  <c r="K281" i="19"/>
  <c r="L281" i="19" s="1"/>
  <c r="K291" i="19"/>
  <c r="L291" i="19" s="1"/>
  <c r="K312" i="19"/>
  <c r="L312" i="19" s="1"/>
  <c r="K324" i="19"/>
  <c r="K325" i="19"/>
  <c r="L325" i="19" s="1"/>
  <c r="K344" i="19"/>
  <c r="L344" i="19" s="1"/>
  <c r="K358" i="19"/>
  <c r="L358" i="19" s="1"/>
  <c r="K362" i="19"/>
  <c r="L362" i="19" s="1"/>
  <c r="K376" i="19"/>
  <c r="L376" i="19" s="1"/>
  <c r="N376" i="19" s="1"/>
  <c r="K377" i="19"/>
  <c r="L377" i="19" s="1"/>
  <c r="K378" i="19"/>
  <c r="L378" i="19" s="1"/>
  <c r="K388" i="19"/>
  <c r="L388" i="19" s="1"/>
  <c r="K20" i="19"/>
  <c r="L20" i="19" s="1"/>
  <c r="K31" i="19"/>
  <c r="L31" i="19" s="1"/>
  <c r="K32" i="19"/>
  <c r="L32" i="19" s="1"/>
  <c r="K33" i="19"/>
  <c r="L33" i="19" s="1"/>
  <c r="K34" i="19"/>
  <c r="L34" i="19" s="1"/>
  <c r="K39" i="19"/>
  <c r="L39" i="19" s="1"/>
  <c r="K40" i="19"/>
  <c r="L40" i="19" s="1"/>
  <c r="K41" i="19"/>
  <c r="L41" i="19" s="1"/>
  <c r="K42" i="19"/>
  <c r="L42" i="19" s="1"/>
  <c r="K69" i="19"/>
  <c r="L69" i="19" s="1"/>
  <c r="K72" i="19"/>
  <c r="L72" i="19" s="1"/>
  <c r="N72" i="19" s="1"/>
  <c r="K82" i="19"/>
  <c r="L82" i="19" s="1"/>
  <c r="K93" i="19"/>
  <c r="L93" i="19" s="1"/>
  <c r="K103" i="19"/>
  <c r="L103" i="19" s="1"/>
  <c r="K109" i="19"/>
  <c r="L109" i="19" s="1"/>
  <c r="K110" i="19"/>
  <c r="L110" i="19" s="1"/>
  <c r="K125" i="19"/>
  <c r="L125" i="19" s="1"/>
  <c r="K126" i="19"/>
  <c r="K131" i="19"/>
  <c r="L131" i="19" s="1"/>
  <c r="K161" i="19"/>
  <c r="L161" i="19" s="1"/>
  <c r="K206" i="19"/>
  <c r="L206" i="19" s="1"/>
  <c r="K209" i="19"/>
  <c r="L209" i="19" s="1"/>
  <c r="K210" i="19"/>
  <c r="L210" i="19" s="1"/>
  <c r="K234" i="19"/>
  <c r="L234" i="19" s="1"/>
  <c r="K236" i="19"/>
  <c r="L236" i="19" s="1"/>
  <c r="K237" i="19"/>
  <c r="L237" i="19" s="1"/>
  <c r="N237" i="19" s="1"/>
  <c r="K238" i="19"/>
  <c r="L238" i="19" s="1"/>
  <c r="K239" i="19"/>
  <c r="L239" i="19" s="1"/>
  <c r="K253" i="19"/>
  <c r="L253" i="19" s="1"/>
  <c r="N253" i="19" s="1"/>
  <c r="K254" i="19"/>
  <c r="L254" i="19" s="1"/>
  <c r="K269" i="19"/>
  <c r="L269" i="19" s="1"/>
  <c r="K283" i="19"/>
  <c r="L283" i="19" s="1"/>
  <c r="K301" i="19"/>
  <c r="L301" i="19" s="1"/>
  <c r="K346" i="19"/>
  <c r="L346" i="19" s="1"/>
  <c r="N346" i="19" s="1"/>
  <c r="K347" i="19"/>
  <c r="L347" i="19" s="1"/>
  <c r="K12" i="19"/>
  <c r="L12" i="19" s="1"/>
  <c r="C169" i="19"/>
  <c r="C170" i="19" s="1"/>
  <c r="C171" i="19" s="1"/>
  <c r="C172" i="19" s="1"/>
  <c r="C173" i="19" s="1"/>
  <c r="C174" i="19" s="1"/>
  <c r="C175" i="19" s="1"/>
  <c r="C176" i="19" s="1"/>
  <c r="C177" i="19" s="1"/>
  <c r="C178" i="19" s="1"/>
  <c r="C179" i="19" s="1"/>
  <c r="C180" i="19" s="1"/>
  <c r="C181" i="19" s="1"/>
  <c r="C182" i="19" s="1"/>
  <c r="C183" i="19" s="1"/>
  <c r="C184" i="19" s="1"/>
  <c r="C185" i="19" s="1"/>
  <c r="C186" i="19" s="1"/>
  <c r="C187" i="19" s="1"/>
  <c r="C188" i="19" s="1"/>
  <c r="C189" i="19" s="1"/>
  <c r="C190" i="19" s="1"/>
  <c r="C191" i="19" s="1"/>
  <c r="C192" i="19" s="1"/>
  <c r="C193" i="19" s="1"/>
  <c r="C194" i="19" s="1"/>
  <c r="C195" i="19" s="1"/>
  <c r="C196" i="19" s="1"/>
  <c r="C197" i="19" s="1"/>
  <c r="C198" i="19" s="1"/>
  <c r="C200" i="19" s="1"/>
  <c r="C201" i="19" s="1"/>
  <c r="C202" i="19" s="1"/>
  <c r="C203" i="19" s="1"/>
  <c r="C204" i="19" s="1"/>
  <c r="C205" i="19" s="1"/>
  <c r="C206" i="19" s="1"/>
  <c r="C207" i="19" s="1"/>
  <c r="C208" i="19" s="1"/>
  <c r="C209" i="19" s="1"/>
  <c r="C210" i="19" s="1"/>
  <c r="C211" i="19" s="1"/>
  <c r="C212" i="19" s="1"/>
  <c r="C213" i="19" s="1"/>
  <c r="C214" i="19" s="1"/>
  <c r="C215" i="19" s="1"/>
  <c r="C216" i="19" s="1"/>
  <c r="C217" i="19" s="1"/>
  <c r="C218" i="19" s="1"/>
  <c r="C219" i="19" s="1"/>
  <c r="C220" i="19" s="1"/>
  <c r="C221" i="19" s="1"/>
  <c r="C222" i="19" s="1"/>
  <c r="C223" i="19" s="1"/>
  <c r="C224" i="19" s="1"/>
  <c r="C225" i="19" s="1"/>
  <c r="C226" i="19" s="1"/>
  <c r="C227" i="19" s="1"/>
  <c r="C228" i="19" s="1"/>
  <c r="C229" i="19" s="1"/>
  <c r="C230" i="19" s="1"/>
  <c r="C232" i="19" s="1"/>
  <c r="C233" i="19" s="1"/>
  <c r="C234" i="19" s="1"/>
  <c r="C235" i="19" s="1"/>
  <c r="C236" i="19" s="1"/>
  <c r="C237" i="19" s="1"/>
  <c r="C238" i="19" s="1"/>
  <c r="C239" i="19" s="1"/>
  <c r="C240" i="19" s="1"/>
  <c r="C241" i="19" s="1"/>
  <c r="C242" i="19" s="1"/>
  <c r="C243" i="19" s="1"/>
  <c r="C244" i="19" s="1"/>
  <c r="C245" i="19" s="1"/>
  <c r="C246" i="19" s="1"/>
  <c r="C247" i="19" s="1"/>
  <c r="C248" i="19" s="1"/>
  <c r="C249" i="19" s="1"/>
  <c r="C250" i="19" s="1"/>
  <c r="C251" i="19" s="1"/>
  <c r="C252" i="19" s="1"/>
  <c r="C253" i="19" s="1"/>
  <c r="C254" i="19" s="1"/>
  <c r="C255" i="19" s="1"/>
  <c r="C256" i="19" s="1"/>
  <c r="C257" i="19" s="1"/>
  <c r="C258" i="19" s="1"/>
  <c r="C259" i="19" s="1"/>
  <c r="C260" i="19" s="1"/>
  <c r="C261" i="19" s="1"/>
  <c r="C262" i="19" s="1"/>
  <c r="C264" i="19" s="1"/>
  <c r="C265" i="19" s="1"/>
  <c r="C266" i="19" s="1"/>
  <c r="C267" i="19" s="1"/>
  <c r="C268" i="19" s="1"/>
  <c r="C269" i="19" s="1"/>
  <c r="C270" i="19" s="1"/>
  <c r="C271" i="19" s="1"/>
  <c r="C272" i="19" s="1"/>
  <c r="C273" i="19" s="1"/>
  <c r="C274" i="19" s="1"/>
  <c r="C275" i="19" s="1"/>
  <c r="C276" i="19" s="1"/>
  <c r="C277" i="19" s="1"/>
  <c r="C278" i="19" s="1"/>
  <c r="C279" i="19" s="1"/>
  <c r="C280" i="19" s="1"/>
  <c r="C281" i="19" s="1"/>
  <c r="C282" i="19" s="1"/>
  <c r="C283" i="19" s="1"/>
  <c r="C284" i="19" s="1"/>
  <c r="C285" i="19" s="1"/>
  <c r="C286" i="19" s="1"/>
  <c r="C287" i="19" s="1"/>
  <c r="C288" i="19" s="1"/>
  <c r="C289" i="19" s="1"/>
  <c r="C290" i="19" s="1"/>
  <c r="C291" i="19" s="1"/>
  <c r="C292" i="19" s="1"/>
  <c r="C293" i="19" s="1"/>
  <c r="C295" i="19" s="1"/>
  <c r="C296" i="19" s="1"/>
  <c r="C297" i="19" s="1"/>
  <c r="C298" i="19" s="1"/>
  <c r="C299" i="19" s="1"/>
  <c r="C300" i="19" s="1"/>
  <c r="C301" i="19" s="1"/>
  <c r="C302" i="19" s="1"/>
  <c r="C303" i="19" s="1"/>
  <c r="C304" i="19" s="1"/>
  <c r="C305" i="19" s="1"/>
  <c r="C306" i="19" s="1"/>
  <c r="C307" i="19" s="1"/>
  <c r="C308" i="19" s="1"/>
  <c r="C309" i="19" s="1"/>
  <c r="C310" i="19" s="1"/>
  <c r="C311" i="19" s="1"/>
  <c r="C312" i="19" s="1"/>
  <c r="C313" i="19" s="1"/>
  <c r="C314" i="19" s="1"/>
  <c r="C315" i="19" s="1"/>
  <c r="C316" i="19" s="1"/>
  <c r="C317" i="19" s="1"/>
  <c r="C318" i="19" s="1"/>
  <c r="C319" i="19" s="1"/>
  <c r="C320" i="19" s="1"/>
  <c r="C321" i="19" s="1"/>
  <c r="C322" i="19" s="1"/>
  <c r="C323" i="19" s="1"/>
  <c r="C324" i="19" s="1"/>
  <c r="C325" i="19" s="1"/>
  <c r="C327" i="19" s="1"/>
  <c r="C328" i="19" s="1"/>
  <c r="C329" i="19" s="1"/>
  <c r="C330" i="19" s="1"/>
  <c r="C331" i="19" s="1"/>
  <c r="C332" i="19" s="1"/>
  <c r="C333" i="19" s="1"/>
  <c r="C334" i="19" s="1"/>
  <c r="C335" i="19" s="1"/>
  <c r="C336" i="19" s="1"/>
  <c r="C337" i="19" s="1"/>
  <c r="C338" i="19" s="1"/>
  <c r="C339" i="19" s="1"/>
  <c r="C340" i="19" s="1"/>
  <c r="C341" i="19" s="1"/>
  <c r="C342" i="19" s="1"/>
  <c r="C343" i="19" s="1"/>
  <c r="C344" i="19" s="1"/>
  <c r="C345" i="19" s="1"/>
  <c r="C346" i="19" s="1"/>
  <c r="C347" i="19" s="1"/>
  <c r="C348" i="19" s="1"/>
  <c r="C349" i="19" s="1"/>
  <c r="C350" i="19" s="1"/>
  <c r="C351" i="19" s="1"/>
  <c r="C352" i="19" s="1"/>
  <c r="C353" i="19" s="1"/>
  <c r="C354" i="19" s="1"/>
  <c r="C355" i="19" s="1"/>
  <c r="C356" i="19" s="1"/>
  <c r="C358" i="19" s="1"/>
  <c r="C359" i="19" s="1"/>
  <c r="C360" i="19" s="1"/>
  <c r="C361" i="19" s="1"/>
  <c r="C362" i="19" s="1"/>
  <c r="C363" i="19" s="1"/>
  <c r="C364" i="19" s="1"/>
  <c r="C365" i="19" s="1"/>
  <c r="C366" i="19" s="1"/>
  <c r="C367" i="19" s="1"/>
  <c r="C368" i="19" s="1"/>
  <c r="C369" i="19" s="1"/>
  <c r="C370" i="19" s="1"/>
  <c r="C371" i="19" s="1"/>
  <c r="C372" i="19" s="1"/>
  <c r="C373" i="19" s="1"/>
  <c r="C374" i="19" s="1"/>
  <c r="C375" i="19" s="1"/>
  <c r="C376" i="19" s="1"/>
  <c r="C377" i="19" s="1"/>
  <c r="C378" i="19" s="1"/>
  <c r="C379" i="19" s="1"/>
  <c r="C380" i="19" s="1"/>
  <c r="C381" i="19" s="1"/>
  <c r="C382" i="19" s="1"/>
  <c r="C383" i="19" s="1"/>
  <c r="C384" i="19" s="1"/>
  <c r="C385" i="19" s="1"/>
  <c r="C386" i="19" s="1"/>
  <c r="C387" i="19" s="1"/>
  <c r="C388" i="19" s="1"/>
  <c r="K47" i="19"/>
  <c r="L47" i="19" s="1"/>
  <c r="K48" i="19"/>
  <c r="L48" i="19" s="1"/>
  <c r="N48" i="19" s="1"/>
  <c r="K49" i="19"/>
  <c r="L49" i="19" s="1"/>
  <c r="K50" i="19"/>
  <c r="L50" i="19" s="1"/>
  <c r="K52" i="19"/>
  <c r="L52" i="19" s="1"/>
  <c r="N52" i="19" s="1"/>
  <c r="K56" i="19"/>
  <c r="L56" i="19" s="1"/>
  <c r="N56" i="19" s="1"/>
  <c r="K75" i="19"/>
  <c r="L75" i="19" s="1"/>
  <c r="K76" i="19"/>
  <c r="N76" i="19" s="1"/>
  <c r="K85" i="19"/>
  <c r="L85" i="19" s="1"/>
  <c r="K87" i="19"/>
  <c r="L87" i="19" s="1"/>
  <c r="K96" i="19"/>
  <c r="L96" i="19" s="1"/>
  <c r="K97" i="19"/>
  <c r="L97" i="19" s="1"/>
  <c r="K98" i="19"/>
  <c r="L98" i="19" s="1"/>
  <c r="K113" i="19"/>
  <c r="L113" i="19" s="1"/>
  <c r="K114" i="19"/>
  <c r="K123" i="19"/>
  <c r="L123" i="19" s="1"/>
  <c r="K140" i="19"/>
  <c r="L140" i="19" s="1"/>
  <c r="K200" i="19"/>
  <c r="L200" i="19" s="1"/>
  <c r="K202" i="19"/>
  <c r="N202" i="19" s="1"/>
  <c r="K215" i="19"/>
  <c r="L215" i="19" s="1"/>
  <c r="K216" i="19"/>
  <c r="L216" i="19" s="1"/>
  <c r="K218" i="19"/>
  <c r="L218" i="19" s="1"/>
  <c r="K224" i="19"/>
  <c r="L224" i="19" s="1"/>
  <c r="K258" i="19"/>
  <c r="L258" i="19" s="1"/>
  <c r="K260" i="19"/>
  <c r="L260" i="19" s="1"/>
  <c r="K289" i="19"/>
  <c r="L289" i="19" s="1"/>
  <c r="K296" i="19"/>
  <c r="L296" i="19" s="1"/>
  <c r="K305" i="19"/>
  <c r="L305" i="19" s="1"/>
  <c r="K309" i="19"/>
  <c r="L309" i="19" s="1"/>
  <c r="K318" i="19"/>
  <c r="K321" i="19"/>
  <c r="L321" i="19" s="1"/>
  <c r="K336" i="19"/>
  <c r="L336" i="19" s="1"/>
  <c r="K337" i="19"/>
  <c r="L337" i="19" s="1"/>
  <c r="K340" i="19"/>
  <c r="L340" i="19" s="1"/>
  <c r="K341" i="19"/>
  <c r="L341" i="19" s="1"/>
  <c r="K354" i="19"/>
  <c r="L354" i="19" s="1"/>
  <c r="K355" i="19"/>
  <c r="L355" i="19" s="1"/>
  <c r="K384" i="19"/>
  <c r="N210" i="19"/>
  <c r="K214" i="19"/>
  <c r="L214" i="19" s="1"/>
  <c r="K201" i="19"/>
  <c r="L201" i="19" s="1"/>
  <c r="L128" i="19"/>
  <c r="L120" i="19"/>
  <c r="N120" i="19" s="1"/>
  <c r="K74" i="19"/>
  <c r="L74" i="19" s="1"/>
  <c r="K86" i="19"/>
  <c r="L86" i="19" s="1"/>
  <c r="K89" i="19"/>
  <c r="L89" i="19" s="1"/>
  <c r="K91" i="19"/>
  <c r="L91" i="19" s="1"/>
  <c r="K106" i="19"/>
  <c r="L106" i="19" s="1"/>
  <c r="K117" i="19"/>
  <c r="L117" i="19" s="1"/>
  <c r="K118" i="19"/>
  <c r="N118" i="19" s="1"/>
  <c r="L202" i="19"/>
  <c r="K13" i="19"/>
  <c r="L13" i="19" s="1"/>
  <c r="K45" i="19"/>
  <c r="L45" i="19" s="1"/>
  <c r="K46" i="19"/>
  <c r="K62" i="19"/>
  <c r="L62" i="19" s="1"/>
  <c r="K63" i="19"/>
  <c r="L63" i="19" s="1"/>
  <c r="K64" i="19"/>
  <c r="L64" i="19" s="1"/>
  <c r="N64" i="19" s="1"/>
  <c r="K66" i="19"/>
  <c r="L66" i="19" s="1"/>
  <c r="K68" i="19"/>
  <c r="L68" i="19" s="1"/>
  <c r="N68" i="19" s="1"/>
  <c r="K78" i="19"/>
  <c r="L78" i="19" s="1"/>
  <c r="K81" i="19"/>
  <c r="L81" i="19" s="1"/>
  <c r="K83" i="19"/>
  <c r="L83" i="19" s="1"/>
  <c r="K101" i="19"/>
  <c r="L101" i="19" s="1"/>
  <c r="K102" i="19"/>
  <c r="K121" i="19"/>
  <c r="L121" i="19" s="1"/>
  <c r="K122" i="19"/>
  <c r="L122" i="19" s="1"/>
  <c r="K133" i="19"/>
  <c r="L133" i="19" s="1"/>
  <c r="K134" i="19"/>
  <c r="K137" i="19"/>
  <c r="L137" i="19" s="1"/>
  <c r="K138" i="19"/>
  <c r="L138" i="19" s="1"/>
  <c r="K144" i="19"/>
  <c r="L144" i="19" s="1"/>
  <c r="K145" i="19"/>
  <c r="L145" i="19" s="1"/>
  <c r="L263" i="19"/>
  <c r="N263" i="19"/>
  <c r="K148" i="19"/>
  <c r="L148" i="19" s="1"/>
  <c r="K207" i="19"/>
  <c r="L207" i="19" s="1"/>
  <c r="K208" i="19"/>
  <c r="L208" i="19" s="1"/>
  <c r="N208" i="19" s="1"/>
  <c r="K219" i="19"/>
  <c r="K222" i="19"/>
  <c r="L222" i="19" s="1"/>
  <c r="K223" i="19"/>
  <c r="K226" i="19"/>
  <c r="L226" i="19" s="1"/>
  <c r="K227" i="19"/>
  <c r="K230" i="19"/>
  <c r="L230" i="19" s="1"/>
  <c r="K235" i="19"/>
  <c r="L235" i="19" s="1"/>
  <c r="K244" i="19"/>
  <c r="L244" i="19" s="1"/>
  <c r="K245" i="19"/>
  <c r="K248" i="19"/>
  <c r="L248" i="19" s="1"/>
  <c r="K249" i="19"/>
  <c r="L249" i="19" s="1"/>
  <c r="K259" i="19"/>
  <c r="L259" i="19" s="1"/>
  <c r="K266" i="19"/>
  <c r="L266" i="19" s="1"/>
  <c r="K267" i="19"/>
  <c r="K276" i="19"/>
  <c r="L276" i="19" s="1"/>
  <c r="K280" i="19"/>
  <c r="L280" i="19" s="1"/>
  <c r="K282" i="19"/>
  <c r="K293" i="19"/>
  <c r="L293" i="19" s="1"/>
  <c r="K306" i="19"/>
  <c r="L306" i="19" s="1"/>
  <c r="K308" i="19"/>
  <c r="K323" i="19"/>
  <c r="K328" i="19"/>
  <c r="L328" i="19" s="1"/>
  <c r="K334" i="19"/>
  <c r="L334" i="19" s="1"/>
  <c r="K342" i="19"/>
  <c r="K348" i="19"/>
  <c r="L348" i="19" s="1"/>
  <c r="K356" i="19"/>
  <c r="L356" i="19" s="1"/>
  <c r="K383" i="19"/>
  <c r="L383" i="19" s="1"/>
  <c r="K359" i="19"/>
  <c r="L359" i="19" s="1"/>
  <c r="K372" i="19"/>
  <c r="L372" i="19" s="1"/>
  <c r="K379" i="19"/>
  <c r="L379" i="19" s="1"/>
  <c r="K380" i="19"/>
  <c r="K149" i="19"/>
  <c r="L149" i="19" s="1"/>
  <c r="K150" i="19"/>
  <c r="L150" i="19" s="1"/>
  <c r="K157" i="19"/>
  <c r="L157" i="19" s="1"/>
  <c r="K160" i="19"/>
  <c r="L160" i="19" s="1"/>
  <c r="K211" i="19"/>
  <c r="L211" i="19" s="1"/>
  <c r="K212" i="19"/>
  <c r="L212" i="19" s="1"/>
  <c r="K217" i="19"/>
  <c r="N217" i="19" s="1"/>
  <c r="K221" i="19"/>
  <c r="K225" i="19"/>
  <c r="K229" i="19"/>
  <c r="K232" i="19"/>
  <c r="L232" i="19" s="1"/>
  <c r="K233" i="19"/>
  <c r="L233" i="19" s="1"/>
  <c r="K247" i="19"/>
  <c r="K251" i="19"/>
  <c r="L251" i="19" s="1"/>
  <c r="K256" i="19"/>
  <c r="L256" i="19" s="1"/>
  <c r="K257" i="19"/>
  <c r="L257" i="19" s="1"/>
  <c r="K270" i="19"/>
  <c r="K274" i="19"/>
  <c r="L274" i="19" s="1"/>
  <c r="K285" i="19"/>
  <c r="L285" i="19" s="1"/>
  <c r="K288" i="19"/>
  <c r="L288" i="19" s="1"/>
  <c r="K290" i="19"/>
  <c r="L290" i="19" s="1"/>
  <c r="K298" i="19"/>
  <c r="L298" i="19" s="1"/>
  <c r="K300" i="19"/>
  <c r="L300" i="19" s="1"/>
  <c r="N300" i="19" s="1"/>
  <c r="K314" i="19"/>
  <c r="L314" i="19" s="1"/>
  <c r="K316" i="19"/>
  <c r="K332" i="19"/>
  <c r="K338" i="19"/>
  <c r="L338" i="19" s="1"/>
  <c r="N338" i="19" s="1"/>
  <c r="K352" i="19"/>
  <c r="L352" i="19" s="1"/>
  <c r="K353" i="19"/>
  <c r="L353" i="19" s="1"/>
  <c r="K360" i="19"/>
  <c r="K366" i="19"/>
  <c r="L366" i="19" s="1"/>
  <c r="K374" i="19"/>
  <c r="L374" i="19" s="1"/>
  <c r="K375" i="19"/>
  <c r="L375" i="19" s="1"/>
  <c r="K386" i="19"/>
  <c r="L386" i="19" s="1"/>
  <c r="K158" i="19"/>
  <c r="L158" i="19" s="1"/>
  <c r="K141" i="19"/>
  <c r="L141" i="19" s="1"/>
  <c r="K146" i="19"/>
  <c r="L146" i="19" s="1"/>
  <c r="K153" i="19"/>
  <c r="L153" i="19" s="1"/>
  <c r="N153" i="19" s="1"/>
  <c r="K163" i="19"/>
  <c r="L163" i="19" s="1"/>
  <c r="N163" i="19" s="1"/>
  <c r="K139" i="19"/>
  <c r="L139" i="19" s="1"/>
  <c r="N139" i="19" s="1"/>
  <c r="K143" i="19"/>
  <c r="K151" i="19"/>
  <c r="L151" i="19" s="1"/>
  <c r="N151" i="19" s="1"/>
  <c r="K156" i="19"/>
  <c r="L156" i="19" s="1"/>
  <c r="K167" i="19"/>
  <c r="L167" i="19" s="1"/>
  <c r="N167" i="19" s="1"/>
  <c r="K162" i="19"/>
  <c r="L162" i="19" s="1"/>
  <c r="K154" i="19"/>
  <c r="L154" i="19" s="1"/>
  <c r="K155" i="19"/>
  <c r="L155" i="19" s="1"/>
  <c r="K166" i="19"/>
  <c r="L166" i="19" s="1"/>
  <c r="K142" i="19"/>
  <c r="L142" i="19" s="1"/>
  <c r="K147" i="19"/>
  <c r="L147" i="19" s="1"/>
  <c r="N147" i="19" s="1"/>
  <c r="K159" i="19"/>
  <c r="L159" i="19" s="1"/>
  <c r="N159" i="19" s="1"/>
  <c r="K51" i="19"/>
  <c r="K67" i="19"/>
  <c r="L67" i="19" s="1"/>
  <c r="K53" i="19"/>
  <c r="L53" i="19" s="1"/>
  <c r="K54" i="19"/>
  <c r="L54" i="19" s="1"/>
  <c r="K70" i="19"/>
  <c r="L70" i="19" s="1"/>
  <c r="K55" i="19"/>
  <c r="L55" i="19" s="1"/>
  <c r="K61" i="19"/>
  <c r="L61" i="19" s="1"/>
  <c r="K71" i="19"/>
  <c r="L71" i="19" s="1"/>
  <c r="K58" i="19"/>
  <c r="L58" i="19" s="1"/>
  <c r="K65" i="19"/>
  <c r="L65" i="19" s="1"/>
  <c r="N294" i="19"/>
  <c r="L294" i="19"/>
  <c r="N92" i="19"/>
  <c r="N110" i="19"/>
  <c r="L126" i="19"/>
  <c r="N200" i="19"/>
  <c r="L261" i="19"/>
  <c r="N261" i="19" s="1"/>
  <c r="L286" i="19"/>
  <c r="N286" i="19" s="1"/>
  <c r="N310" i="19"/>
  <c r="N326" i="19"/>
  <c r="N372" i="19"/>
  <c r="N388" i="19"/>
  <c r="L84" i="19"/>
  <c r="N84" i="19" s="1"/>
  <c r="N108" i="19"/>
  <c r="N116" i="19"/>
  <c r="N124" i="19"/>
  <c r="N302" i="19"/>
  <c r="L320" i="19"/>
  <c r="N320" i="19" s="1"/>
  <c r="N328" i="19"/>
  <c r="N357" i="19"/>
  <c r="N80" i="19"/>
  <c r="L80" i="19"/>
  <c r="L114" i="19"/>
  <c r="L223" i="19"/>
  <c r="N223" i="19" s="1"/>
  <c r="N231" i="19"/>
  <c r="L231" i="19"/>
  <c r="N348" i="19"/>
  <c r="L364" i="19"/>
  <c r="N364" i="19" s="1"/>
  <c r="N32" i="19"/>
  <c r="K14" i="19"/>
  <c r="L14" i="19" s="1"/>
  <c r="K27" i="19"/>
  <c r="L27" i="19" s="1"/>
  <c r="K35" i="19"/>
  <c r="L35" i="19" s="1"/>
  <c r="K15" i="19"/>
  <c r="L15" i="19" s="1"/>
  <c r="K21" i="19"/>
  <c r="L21" i="19" s="1"/>
  <c r="K22" i="19"/>
  <c r="L22" i="19" s="1"/>
  <c r="K29" i="19"/>
  <c r="L29" i="19" s="1"/>
  <c r="K30" i="19"/>
  <c r="L30" i="19" s="1"/>
  <c r="K37" i="19"/>
  <c r="L37" i="19" s="1"/>
  <c r="K38" i="19"/>
  <c r="L38" i="19" s="1"/>
  <c r="N87" i="19"/>
  <c r="N77" i="19"/>
  <c r="N86" i="19"/>
  <c r="N25" i="19"/>
  <c r="N79" i="19"/>
  <c r="N232" i="19"/>
  <c r="N240" i="19"/>
  <c r="N107" i="19"/>
  <c r="N111" i="19"/>
  <c r="N115" i="19"/>
  <c r="N131" i="19"/>
  <c r="N144" i="19"/>
  <c r="N152" i="19"/>
  <c r="N164" i="19"/>
  <c r="N205" i="19"/>
  <c r="N213" i="19"/>
  <c r="N218" i="19"/>
  <c r="N271" i="19"/>
  <c r="N228" i="19"/>
  <c r="N241" i="19"/>
  <c r="N235" i="19"/>
  <c r="K90" i="19"/>
  <c r="L90" i="19" s="1"/>
  <c r="K94" i="19"/>
  <c r="L94" i="19" s="1"/>
  <c r="N97" i="19"/>
  <c r="N109" i="19"/>
  <c r="N121" i="19"/>
  <c r="N125" i="19"/>
  <c r="N162" i="19"/>
  <c r="N203" i="19"/>
  <c r="N265" i="19"/>
  <c r="N285" i="19"/>
  <c r="N242" i="19"/>
  <c r="N250" i="19"/>
  <c r="N269" i="19"/>
  <c r="N284" i="19"/>
  <c r="N317" i="19"/>
  <c r="N252" i="19"/>
  <c r="N238" i="19"/>
  <c r="N268" i="19"/>
  <c r="N276" i="19"/>
  <c r="K299" i="19"/>
  <c r="L299" i="19" s="1"/>
  <c r="K307" i="19"/>
  <c r="L307" i="19" s="1"/>
  <c r="K315" i="19"/>
  <c r="L315" i="19" s="1"/>
  <c r="N340" i="19"/>
  <c r="N289" i="19"/>
  <c r="N347" i="19"/>
  <c r="N350" i="19"/>
  <c r="N365" i="19"/>
  <c r="N368" i="19"/>
  <c r="K273" i="19"/>
  <c r="L273" i="19" s="1"/>
  <c r="K277" i="19"/>
  <c r="L277" i="19" s="1"/>
  <c r="K295" i="19"/>
  <c r="L295" i="19" s="1"/>
  <c r="K303" i="19"/>
  <c r="L303" i="19" s="1"/>
  <c r="K311" i="19"/>
  <c r="L311" i="19" s="1"/>
  <c r="N381" i="19"/>
  <c r="N369" i="19"/>
  <c r="K329" i="19"/>
  <c r="L329" i="19" s="1"/>
  <c r="K345" i="19"/>
  <c r="L345" i="19" s="1"/>
  <c r="K363" i="19"/>
  <c r="L363" i="19" s="1"/>
  <c r="N370" i="19"/>
  <c r="K319" i="19"/>
  <c r="L319" i="19" s="1"/>
  <c r="K322" i="19"/>
  <c r="L322" i="19" s="1"/>
  <c r="K333" i="19"/>
  <c r="L333" i="19" s="1"/>
  <c r="N343" i="19"/>
  <c r="K349" i="19"/>
  <c r="L349" i="19" s="1"/>
  <c r="K367" i="19"/>
  <c r="L367" i="19" s="1"/>
  <c r="L57" i="19" l="1"/>
  <c r="N57" i="19"/>
  <c r="L46" i="19"/>
  <c r="N46" i="19"/>
  <c r="L51" i="19"/>
  <c r="N51" i="19"/>
  <c r="N40" i="19"/>
  <c r="N16" i="19"/>
  <c r="N15" i="19"/>
  <c r="N382" i="19"/>
  <c r="N377" i="19"/>
  <c r="N373" i="19"/>
  <c r="N371" i="19"/>
  <c r="N355" i="19"/>
  <c r="N337" i="19"/>
  <c r="N330" i="19"/>
  <c r="N327" i="19"/>
  <c r="N335" i="19"/>
  <c r="N336" i="19"/>
  <c r="N354" i="19"/>
  <c r="N344" i="19"/>
  <c r="N140" i="19"/>
  <c r="N138" i="19"/>
  <c r="N39" i="19"/>
  <c r="N36" i="19"/>
  <c r="N24" i="19"/>
  <c r="N165" i="19"/>
  <c r="N133" i="19"/>
  <c r="N101" i="19"/>
  <c r="N127" i="19"/>
  <c r="N95" i="19"/>
  <c r="N17" i="19"/>
  <c r="N31" i="19"/>
  <c r="N69" i="19"/>
  <c r="N20" i="19"/>
  <c r="N132" i="19"/>
  <c r="N100" i="19"/>
  <c r="N112" i="19"/>
  <c r="N298" i="19"/>
  <c r="N309" i="19"/>
  <c r="N297" i="19"/>
  <c r="L267" i="19"/>
  <c r="N267" i="19" s="1"/>
  <c r="N274" i="19"/>
  <c r="N291" i="19"/>
  <c r="N292" i="19"/>
  <c r="N293" i="19"/>
  <c r="N264" i="19"/>
  <c r="N279" i="19"/>
  <c r="N290" i="19"/>
  <c r="N255" i="19"/>
  <c r="N206" i="19"/>
  <c r="N216" i="19"/>
  <c r="N201" i="19"/>
  <c r="N230" i="19"/>
  <c r="N209" i="19"/>
  <c r="N117" i="19"/>
  <c r="L76" i="19"/>
  <c r="N81" i="19"/>
  <c r="N89" i="19"/>
  <c r="N280" i="19"/>
  <c r="N123" i="19"/>
  <c r="N14" i="19"/>
  <c r="N98" i="19"/>
  <c r="N126" i="19"/>
  <c r="N128" i="19"/>
  <c r="N129" i="19"/>
  <c r="N113" i="19"/>
  <c r="N135" i="19"/>
  <c r="N119" i="19"/>
  <c r="N106" i="19"/>
  <c r="N114" i="19"/>
  <c r="N130" i="19"/>
  <c r="N122" i="19"/>
  <c r="N85" i="19"/>
  <c r="N103" i="19"/>
  <c r="N74" i="19"/>
  <c r="N99" i="19"/>
  <c r="N83" i="19"/>
  <c r="N93" i="19"/>
  <c r="N96" i="19"/>
  <c r="N351" i="19"/>
  <c r="N272" i="19"/>
  <c r="N304" i="19"/>
  <c r="N234" i="19"/>
  <c r="N278" i="19"/>
  <c r="N156" i="19"/>
  <c r="N82" i="19"/>
  <c r="N157" i="19"/>
  <c r="L330" i="19"/>
  <c r="L217" i="19"/>
  <c r="N362" i="19"/>
  <c r="N341" i="19"/>
  <c r="N249" i="19"/>
  <c r="N220" i="19"/>
  <c r="N256" i="19"/>
  <c r="N75" i="19"/>
  <c r="L324" i="19"/>
  <c r="N324" i="19" s="1"/>
  <c r="N161" i="19"/>
  <c r="N379" i="19"/>
  <c r="N287" i="19"/>
  <c r="N334" i="19"/>
  <c r="N224" i="19"/>
  <c r="N158" i="19"/>
  <c r="N65" i="19"/>
  <c r="N385" i="19"/>
  <c r="N356" i="19"/>
  <c r="N283" i="19"/>
  <c r="N222" i="19"/>
  <c r="N207" i="19"/>
  <c r="N150" i="19"/>
  <c r="N148" i="19"/>
  <c r="N66" i="19"/>
  <c r="N366" i="19"/>
  <c r="N70" i="19"/>
  <c r="N58" i="19"/>
  <c r="N62" i="19"/>
  <c r="N47" i="19"/>
  <c r="N54" i="19"/>
  <c r="N12" i="19"/>
  <c r="N13" i="19"/>
  <c r="N30" i="19"/>
  <c r="N26" i="19"/>
  <c r="N41" i="19"/>
  <c r="N34" i="19"/>
  <c r="N49" i="19"/>
  <c r="N67" i="19"/>
  <c r="N55" i="19"/>
  <c r="N33" i="19"/>
  <c r="N27" i="19"/>
  <c r="N59" i="19"/>
  <c r="N18" i="19"/>
  <c r="N53" i="19"/>
  <c r="N23" i="19"/>
  <c r="N28" i="19"/>
  <c r="N45" i="19"/>
  <c r="N42" i="19"/>
  <c r="N50" i="19"/>
  <c r="N61" i="19"/>
  <c r="N387" i="19"/>
  <c r="N352" i="19"/>
  <c r="N374" i="19"/>
  <c r="N331" i="19"/>
  <c r="N215" i="19"/>
  <c r="L342" i="19"/>
  <c r="N342" i="19" s="1"/>
  <c r="N288" i="19"/>
  <c r="N244" i="19"/>
  <c r="N160" i="19"/>
  <c r="N137" i="19"/>
  <c r="N383" i="19"/>
  <c r="N281" i="19"/>
  <c r="N339" i="19"/>
  <c r="N275" i="19"/>
  <c r="N226" i="19"/>
  <c r="N214" i="19"/>
  <c r="N141" i="19"/>
  <c r="L380" i="19"/>
  <c r="N380" i="19" s="1"/>
  <c r="L384" i="19"/>
  <c r="N384" i="19" s="1"/>
  <c r="L360" i="19"/>
  <c r="N360" i="19" s="1"/>
  <c r="N358" i="19"/>
  <c r="N361" i="19"/>
  <c r="N378" i="19"/>
  <c r="N386" i="19"/>
  <c r="N314" i="19"/>
  <c r="N313" i="19"/>
  <c r="N301" i="19"/>
  <c r="N306" i="19"/>
  <c r="N305" i="19"/>
  <c r="N321" i="19"/>
  <c r="N312" i="19"/>
  <c r="N296" i="19"/>
  <c r="N325" i="19"/>
  <c r="L308" i="19"/>
  <c r="N308" i="19" s="1"/>
  <c r="N248" i="19"/>
  <c r="N259" i="19"/>
  <c r="N262" i="19"/>
  <c r="N251" i="19"/>
  <c r="N233" i="19"/>
  <c r="N254" i="19"/>
  <c r="N236" i="19"/>
  <c r="N257" i="19"/>
  <c r="N239" i="19"/>
  <c r="N246" i="19"/>
  <c r="N260" i="19"/>
  <c r="N258" i="19"/>
  <c r="N243" i="19"/>
  <c r="N22" i="19"/>
  <c r="N212" i="19"/>
  <c r="L318" i="19"/>
  <c r="N318" i="19" s="1"/>
  <c r="N145" i="19"/>
  <c r="N359" i="19"/>
  <c r="N266" i="19"/>
  <c r="N146" i="19"/>
  <c r="N19" i="19"/>
  <c r="L270" i="19"/>
  <c r="N270" i="19" s="1"/>
  <c r="N149" i="19"/>
  <c r="L134" i="19"/>
  <c r="N134" i="19" s="1"/>
  <c r="L118" i="19"/>
  <c r="L102" i="19"/>
  <c r="N102" i="19" s="1"/>
  <c r="L221" i="19"/>
  <c r="N221" i="19"/>
  <c r="L247" i="19"/>
  <c r="N247" i="19" s="1"/>
  <c r="N91" i="19"/>
  <c r="N63" i="19"/>
  <c r="L316" i="19"/>
  <c r="N316" i="19" s="1"/>
  <c r="L245" i="19"/>
  <c r="N245" i="19" s="1"/>
  <c r="L227" i="19"/>
  <c r="N227" i="19" s="1"/>
  <c r="L219" i="19"/>
  <c r="N219" i="19" s="1"/>
  <c r="L282" i="19"/>
  <c r="N282" i="19" s="1"/>
  <c r="L323" i="19"/>
  <c r="N323" i="19" s="1"/>
  <c r="L225" i="19"/>
  <c r="N225" i="19"/>
  <c r="N375" i="19"/>
  <c r="N353" i="19"/>
  <c r="N211" i="19"/>
  <c r="N154" i="19"/>
  <c r="N78" i="19"/>
  <c r="N29" i="19"/>
  <c r="L332" i="19"/>
  <c r="N332" i="19"/>
  <c r="L229" i="19"/>
  <c r="N229" i="19" s="1"/>
  <c r="L143" i="19"/>
  <c r="N143" i="19" s="1"/>
  <c r="N166" i="19"/>
  <c r="N155" i="19"/>
  <c r="N142" i="19"/>
  <c r="N71" i="19"/>
  <c r="N21" i="19"/>
  <c r="N37" i="19"/>
  <c r="N35" i="19"/>
  <c r="N38" i="19"/>
  <c r="N303" i="19"/>
  <c r="N367" i="19"/>
  <c r="N363" i="19"/>
  <c r="N277" i="19"/>
  <c r="N307" i="19"/>
  <c r="N322" i="19"/>
  <c r="N345" i="19"/>
  <c r="N311" i="19"/>
  <c r="N295" i="19"/>
  <c r="N94" i="19"/>
  <c r="N349" i="19"/>
  <c r="N333" i="19"/>
  <c r="N319" i="19"/>
  <c r="N329" i="19"/>
  <c r="N273" i="19"/>
  <c r="N315" i="19"/>
  <c r="N299" i="19"/>
  <c r="N90" i="19"/>
</calcChain>
</file>

<file path=xl/sharedStrings.xml><?xml version="1.0" encoding="utf-8"?>
<sst xmlns="http://schemas.openxmlformats.org/spreadsheetml/2006/main" count="91" uniqueCount="69">
  <si>
    <t xml:space="preserve">Mini Gas Compressor </t>
  </si>
  <si>
    <t>PROCESSED</t>
  </si>
  <si>
    <t>DATE</t>
  </si>
  <si>
    <t>PRESSUCT</t>
  </si>
  <si>
    <t>(PSI)</t>
  </si>
  <si>
    <t>PRESDISC</t>
  </si>
  <si>
    <t>GASRATE</t>
  </si>
  <si>
    <t>(MSCFD)</t>
  </si>
  <si>
    <t>STREAM</t>
  </si>
  <si>
    <t>STANHOUR</t>
  </si>
  <si>
    <t>RUNHOUR</t>
  </si>
  <si>
    <t>(HOURS)</t>
  </si>
  <si>
    <t>THGT</t>
  </si>
  <si>
    <t>INPUT</t>
  </si>
  <si>
    <t>LPSEP</t>
  </si>
  <si>
    <t>HPSEP</t>
  </si>
  <si>
    <t>DHU</t>
  </si>
  <si>
    <t>CO2REMOV</t>
  </si>
  <si>
    <t>TRUNK</t>
  </si>
  <si>
    <t>OUTLET:</t>
  </si>
  <si>
    <t>SYSTEM - NETWORK:</t>
  </si>
  <si>
    <t>UNIT:</t>
  </si>
  <si>
    <t>PSIG</t>
  </si>
  <si>
    <t>PSIA</t>
  </si>
  <si>
    <t>BAR</t>
  </si>
  <si>
    <t>ATM</t>
  </si>
  <si>
    <t>REMARK</t>
  </si>
  <si>
    <t>DOWNHOUR</t>
  </si>
  <si>
    <t>Tarif</t>
  </si>
  <si>
    <t>IDR/day</t>
  </si>
  <si>
    <t>Data input</t>
  </si>
  <si>
    <t>Date</t>
  </si>
  <si>
    <t>P Source</t>
  </si>
  <si>
    <t>P D.Header</t>
  </si>
  <si>
    <t>P Suct.</t>
  </si>
  <si>
    <t>P Disch.</t>
  </si>
  <si>
    <t>Volume</t>
  </si>
  <si>
    <t>T Disch.</t>
  </si>
  <si>
    <t>Speed</t>
  </si>
  <si>
    <t>Liquid Gain</t>
  </si>
  <si>
    <t>Operating Time (hrs)</t>
  </si>
  <si>
    <t>Availability</t>
  </si>
  <si>
    <t>Run</t>
  </si>
  <si>
    <t>Remarks</t>
  </si>
  <si>
    <t>psig</t>
  </si>
  <si>
    <t>%</t>
  </si>
  <si>
    <t>°F</t>
  </si>
  <si>
    <t>RPM</t>
  </si>
  <si>
    <t>BPD</t>
  </si>
  <si>
    <t>Standby</t>
  </si>
  <si>
    <t>Down</t>
  </si>
  <si>
    <t>Q Target</t>
  </si>
  <si>
    <t>Q Actual</t>
  </si>
  <si>
    <t/>
  </si>
  <si>
    <t>&gt;&gt;&gt;&gt;&gt;</t>
  </si>
  <si>
    <t>Record Data Sheet 2024 (SINERCO)</t>
  </si>
  <si>
    <t>&gt;&gt; SP. CILAMAYA UTARA &lt;&lt;</t>
  </si>
  <si>
    <t>{{suction_press}}</t>
  </si>
  <si>
    <t>{{discharge_press}}</t>
  </si>
  <si>
    <t>{{flowrate}}</t>
  </si>
  <si>
    <t>{{run}}</t>
  </si>
  <si>
    <t>{{stby}}</t>
  </si>
  <si>
    <t>{{down}}</t>
  </si>
  <si>
    <t>{{availability}}</t>
  </si>
  <si>
    <t>{{remarks}}</t>
  </si>
  <si>
    <t>{{bef_cooler}}</t>
  </si>
  <si>
    <t>{{aft_cooler}}</t>
  </si>
  <si>
    <t>{{date}}</t>
  </si>
  <si>
    <t>{{start_date}}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</si>
</sst>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"/>
    <numFmt numFmtId="165" formatCode="[$-409]d\ mmm;@"/>
  </numFmts>
  <fonts count="1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rgb="FF0070C0"/>
      <name val="Arial"/>
      <family val="2"/>
    </font>
    <font>
      <b/>
      <sz val="18"/>
      <color rgb="FF0070C0"/>
      <name val="Arial"/>
      <family val="2"/>
    </font>
    <font>
      <b/>
      <sz val="12"/>
      <color theme="1" tint="0.249977111117893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Arial"/>
      <family val="2"/>
    </font>
    <font>
      <b/>
      <sz val="14"/>
      <color theme="2" tint="-0.749992370372631"/>
      <name val="Arial"/>
      <family val="2"/>
    </font>
    <font>
      <sz val="12"/>
      <color theme="1"/>
      <name val="Arial Black"/>
      <family val="2"/>
    </font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1"/>
      <color theme="1"/>
      <name val="Arial Black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/>
    <xf numFmtId="41" fontId="1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13" fillId="3" borderId="0" xfId="0" applyFont="1" applyFill="1"/>
    <xf numFmtId="0" fontId="1" fillId="0" borderId="0" xfId="0" applyFont="1" applyAlignment="1">
      <alignment horizontal="right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right" vertical="center"/>
    </xf>
    <xf numFmtId="0" fontId="14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164" fontId="14" fillId="0" borderId="0" xfId="0" applyNumberFormat="1" applyFont="1" applyAlignment="1">
      <alignment vertical="top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5" fontId="8" fillId="0" borderId="0" xfId="0" quotePrefix="1" applyNumberFormat="1" applyFont="1" applyAlignment="1" applyProtection="1">
      <alignment horizontal="center" vertical="top"/>
      <protection locked="0"/>
    </xf>
    <xf numFmtId="0" fontId="2" fillId="0" borderId="0" xfId="0" applyFont="1" applyAlignment="1">
      <alignment vertical="center" wrapText="1"/>
    </xf>
    <xf numFmtId="3" fontId="2" fillId="5" borderId="1" xfId="2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 wrapText="1"/>
    </xf>
    <xf numFmtId="164" fontId="14" fillId="0" borderId="0" xfId="1" applyNumberFormat="1" applyFont="1" applyAlignment="1">
      <alignment vertical="top"/>
    </xf>
    <xf numFmtId="0" fontId="15" fillId="2" borderId="1" xfId="0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00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8"/>
  <sheetViews>
    <sheetView showGridLines="0" view="pageBreakPreview" zoomScale="130" zoomScaleNormal="100" zoomScaleSheetLayoutView="130" workbookViewId="0"/>
  </sheetViews>
  <sheetFormatPr defaultColWidth="9.1796875" defaultRowHeight="17" x14ac:dyDescent="0.5"/>
  <cols>
    <col min="1" max="1" width="12.26953125" style="10" customWidth="1"/>
    <col min="2" max="2" width="9.1796875" style="10"/>
    <col min="3" max="3" width="32.26953125" style="10" customWidth="1"/>
    <col min="4" max="4" width="14.453125" style="10" customWidth="1"/>
    <col min="5" max="16384" width="9.1796875" style="10"/>
  </cols>
  <sheetData>
    <row r="1" spans="1:4" ht="18" x14ac:dyDescent="0.5">
      <c r="A1" s="9" t="s">
        <v>19</v>
      </c>
      <c r="C1" s="8" t="s">
        <v>20</v>
      </c>
      <c r="D1" s="10" t="s">
        <v>21</v>
      </c>
    </row>
    <row r="2" spans="1:4" ht="18" x14ac:dyDescent="0.5">
      <c r="A2" s="10" t="s">
        <v>14</v>
      </c>
      <c r="C2" s="8" t="s">
        <v>17</v>
      </c>
      <c r="D2" s="10" t="s">
        <v>22</v>
      </c>
    </row>
    <row r="3" spans="1:4" ht="18" x14ac:dyDescent="0.5">
      <c r="A3" s="10" t="s">
        <v>15</v>
      </c>
      <c r="C3" s="8" t="s">
        <v>16</v>
      </c>
      <c r="D3" s="10" t="s">
        <v>23</v>
      </c>
    </row>
    <row r="4" spans="1:4" x14ac:dyDescent="0.5">
      <c r="C4" s="10" t="s">
        <v>18</v>
      </c>
      <c r="D4" s="10" t="s">
        <v>24</v>
      </c>
    </row>
    <row r="5" spans="1:4" x14ac:dyDescent="0.5">
      <c r="D5" s="10" t="s">
        <v>25</v>
      </c>
    </row>
    <row r="8" spans="1:4" x14ac:dyDescent="0.5">
      <c r="D8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3FDC-AFA3-4075-85D5-17CE705F0E92}">
  <sheetPr>
    <tabColor rgb="FF00FF00"/>
    <pageSetUpPr fitToPage="1"/>
  </sheetPr>
  <dimension ref="A1:AJ403"/>
  <sheetViews>
    <sheetView tabSelected="1" topLeftCell="A52" zoomScale="84" zoomScaleNormal="85" zoomScaleSheetLayoutView="85" workbookViewId="0">
      <selection activeCell="C75" sqref="C75"/>
    </sheetView>
  </sheetViews>
  <sheetFormatPr defaultColWidth="5.7265625" defaultRowHeight="15.5" zeroHeight="1" x14ac:dyDescent="0.35"/>
  <cols>
    <col min="1" max="1" width="5.7265625" style="15" customWidth="1"/>
    <col min="2" max="2" width="5.7265625" style="2" customWidth="1"/>
    <col min="3" max="3" width="26.453125" style="1" bestFit="1" customWidth="1"/>
    <col min="4" max="4" width="14.26953125" style="13" bestFit="1" customWidth="1"/>
    <col min="5" max="5" width="13.453125" style="13" bestFit="1" customWidth="1"/>
    <col min="6" max="6" width="13.1796875" style="13" customWidth="1"/>
    <col min="7" max="7" width="13.453125" style="13" bestFit="1" customWidth="1"/>
    <col min="8" max="8" width="14.453125" style="13" bestFit="1" customWidth="1"/>
    <col min="9" max="9" width="15.453125" style="13" bestFit="1" customWidth="1"/>
    <col min="10" max="10" width="14.453125" style="1" bestFit="1" customWidth="1"/>
    <col min="11" max="11" width="16.1796875" style="1" bestFit="1" customWidth="1"/>
    <col min="12" max="12" width="11.81640625" style="1" bestFit="1" customWidth="1"/>
    <col min="13" max="13" width="10.81640625" style="1" bestFit="1" customWidth="1"/>
    <col min="14" max="14" width="14.7265625" style="1" bestFit="1" customWidth="1"/>
    <col min="15" max="15" width="50.7265625" style="1" customWidth="1"/>
    <col min="16" max="19" width="5.7265625" style="1"/>
    <col min="20" max="20" width="9.7265625" style="1" customWidth="1"/>
    <col min="21" max="22" width="0" style="1" hidden="1" customWidth="1"/>
    <col min="23" max="27" width="5.7265625" style="1"/>
    <col min="28" max="30" width="0" style="1" hidden="1" customWidth="1"/>
    <col min="31" max="34" width="5.7265625" style="1"/>
    <col min="35" max="35" width="0" style="1" hidden="1" customWidth="1"/>
    <col min="36" max="36" width="50.7265625" style="1" customWidth="1"/>
    <col min="37" max="16384" width="5.7265625" style="1"/>
  </cols>
  <sheetData>
    <row r="1" spans="1:36" x14ac:dyDescent="0.35"/>
    <row r="2" spans="1:36" s="3" customFormat="1" ht="30" customHeight="1" x14ac:dyDescent="0.35">
      <c r="A2" s="16"/>
      <c r="B2" s="2"/>
      <c r="D2" s="13"/>
      <c r="E2" s="13"/>
      <c r="F2" s="13"/>
      <c r="G2" s="13"/>
      <c r="H2" s="13"/>
      <c r="I2" s="13"/>
    </row>
    <row r="3" spans="1:36" ht="23" x14ac:dyDescent="0.35">
      <c r="C3" s="5" t="s">
        <v>56</v>
      </c>
    </row>
    <row r="4" spans="1:36" ht="18" x14ac:dyDescent="0.35">
      <c r="C4" s="7" t="s">
        <v>13</v>
      </c>
      <c r="D4" s="1"/>
      <c r="E4" s="1"/>
      <c r="F4" s="1"/>
      <c r="G4" s="1"/>
      <c r="H4" s="1"/>
      <c r="I4" s="1"/>
    </row>
    <row r="5" spans="1:36" x14ac:dyDescent="0.35">
      <c r="C5" s="12" t="str">
        <f>Database!A1</f>
        <v>OUTLET:</v>
      </c>
      <c r="D5" s="18" t="s">
        <v>14</v>
      </c>
      <c r="E5" s="14">
        <v>10</v>
      </c>
      <c r="F5" s="18" t="s">
        <v>22</v>
      </c>
      <c r="G5" s="18"/>
      <c r="H5" s="18" t="s">
        <v>28</v>
      </c>
      <c r="I5" s="19">
        <v>1500000</v>
      </c>
      <c r="J5" s="18" t="s">
        <v>29</v>
      </c>
    </row>
    <row r="6" spans="1:36" x14ac:dyDescent="0.35">
      <c r="C6" s="12" t="str">
        <f>Database!C1</f>
        <v>SYSTEM - NETWORK:</v>
      </c>
      <c r="D6" s="18" t="s">
        <v>17</v>
      </c>
      <c r="E6" s="14">
        <v>70</v>
      </c>
      <c r="F6" s="18" t="s">
        <v>22</v>
      </c>
      <c r="G6" s="18"/>
      <c r="H6" s="1"/>
      <c r="I6" s="1"/>
    </row>
    <row r="7" spans="1:36" x14ac:dyDescent="0.35">
      <c r="D7" s="1"/>
      <c r="E7" s="1"/>
      <c r="F7" s="1"/>
      <c r="G7" s="1"/>
      <c r="H7" s="1"/>
      <c r="I7" s="1"/>
    </row>
    <row r="8" spans="1:36" ht="25" x14ac:dyDescent="0.35">
      <c r="C8" s="4" t="s">
        <v>0</v>
      </c>
      <c r="D8" s="1"/>
      <c r="E8" s="1"/>
      <c r="F8" s="1"/>
      <c r="G8" s="1"/>
      <c r="H8" s="1"/>
      <c r="I8" s="1"/>
    </row>
    <row r="9" spans="1:36" x14ac:dyDescent="0.35">
      <c r="C9" s="6" t="s">
        <v>55</v>
      </c>
      <c r="D9" s="1"/>
      <c r="E9" s="1"/>
      <c r="F9" s="1"/>
      <c r="G9" s="1"/>
      <c r="H9" s="1"/>
      <c r="I9" s="1"/>
      <c r="T9" s="16" t="s">
        <v>30</v>
      </c>
    </row>
    <row r="10" spans="1:36" s="16" customFormat="1" x14ac:dyDescent="0.35">
      <c r="C10" s="32" t="s">
        <v>2</v>
      </c>
      <c r="D10" s="29" t="s">
        <v>3</v>
      </c>
      <c r="E10" s="29" t="s">
        <v>5</v>
      </c>
      <c r="F10" s="29" t="s">
        <v>6</v>
      </c>
      <c r="G10" s="29" t="s">
        <v>10</v>
      </c>
      <c r="H10" s="29" t="s">
        <v>9</v>
      </c>
      <c r="I10" s="29" t="s">
        <v>27</v>
      </c>
      <c r="J10" s="32" t="s">
        <v>8</v>
      </c>
      <c r="K10" s="32" t="s">
        <v>1</v>
      </c>
      <c r="L10" s="32" t="s">
        <v>51</v>
      </c>
      <c r="M10" s="32" t="s">
        <v>52</v>
      </c>
      <c r="N10" s="32" t="s">
        <v>12</v>
      </c>
      <c r="O10" s="32" t="s">
        <v>26</v>
      </c>
      <c r="T10" s="16" t="s">
        <v>31</v>
      </c>
      <c r="U10" s="16" t="s">
        <v>32</v>
      </c>
      <c r="V10" s="16" t="s">
        <v>33</v>
      </c>
      <c r="W10" s="16" t="s">
        <v>34</v>
      </c>
      <c r="X10" s="16" t="s">
        <v>35</v>
      </c>
      <c r="Y10" s="16" t="s">
        <v>36</v>
      </c>
      <c r="AB10" s="16" t="s">
        <v>37</v>
      </c>
      <c r="AC10" s="16" t="s">
        <v>38</v>
      </c>
      <c r="AD10" s="16" t="s">
        <v>39</v>
      </c>
      <c r="AE10" s="16" t="s">
        <v>40</v>
      </c>
      <c r="AH10" s="16" t="s">
        <v>41</v>
      </c>
      <c r="AI10" s="16" t="s">
        <v>42</v>
      </c>
      <c r="AJ10" s="16" t="s">
        <v>43</v>
      </c>
    </row>
    <row r="11" spans="1:36" s="16" customFormat="1" x14ac:dyDescent="0.35">
      <c r="C11" s="32"/>
      <c r="D11" s="29" t="s">
        <v>4</v>
      </c>
      <c r="E11" s="29" t="s">
        <v>4</v>
      </c>
      <c r="F11" s="29" t="s">
        <v>7</v>
      </c>
      <c r="G11" s="29" t="s">
        <v>11</v>
      </c>
      <c r="H11" s="29" t="s">
        <v>11</v>
      </c>
      <c r="I11" s="29" t="s">
        <v>11</v>
      </c>
      <c r="J11" s="32"/>
      <c r="K11" s="32"/>
      <c r="L11" s="32"/>
      <c r="M11" s="32"/>
      <c r="N11" s="32"/>
      <c r="O11" s="32"/>
      <c r="U11" s="16" t="s">
        <v>44</v>
      </c>
      <c r="V11" s="16" t="s">
        <v>44</v>
      </c>
      <c r="W11" s="16" t="s">
        <v>44</v>
      </c>
      <c r="X11" s="16" t="s">
        <v>44</v>
      </c>
      <c r="Y11" s="16" t="str">
        <f>IF(IFERROR(AVERAGE(Y12:Y39),1)&lt;1,"MMSCF","MSCF")</f>
        <v>MSCF</v>
      </c>
      <c r="AB11" s="16" t="s">
        <v>46</v>
      </c>
      <c r="AC11" s="16" t="s">
        <v>47</v>
      </c>
      <c r="AD11" s="16" t="s">
        <v>48</v>
      </c>
      <c r="AE11" s="16" t="s">
        <v>42</v>
      </c>
      <c r="AF11" s="16" t="s">
        <v>49</v>
      </c>
      <c r="AG11" s="16" t="s">
        <v>50</v>
      </c>
      <c r="AH11" s="16" t="s">
        <v>45</v>
      </c>
      <c r="AI11" s="16" t="s">
        <v>45</v>
      </c>
      <c r="AJ11" s="30"/>
    </row>
    <row r="12" spans="1:36" x14ac:dyDescent="0.35">
      <c r="A12" s="17">
        <v>34.1</v>
      </c>
      <c r="C12" s="20" t="s">
        <v>68</v>
      </c>
      <c r="D12" s="25" t="e">
        <f t="shared" ref="D12:D79" si="0">IF(W12="","",ROUND(W12,0))</f>
        <v>#VALUE!</v>
      </c>
      <c r="E12" s="25" t="str">
        <f t="shared" ref="E12:E79" si="1">IF(X12="",0,X12)</f>
        <v>{{discharge_press}}</v>
      </c>
      <c r="F12" s="26" t="str">
        <f t="shared" ref="F12:F79" si="2">Y12</f>
        <v>{{flowrate}}</v>
      </c>
      <c r="G12" s="26" t="e">
        <f t="shared" ref="G12:I79" si="3">AE12*24</f>
        <v>#VALUE!</v>
      </c>
      <c r="H12" s="26" t="e">
        <f t="shared" si="3"/>
        <v>#VALUE!</v>
      </c>
      <c r="I12" s="26" t="e">
        <f t="shared" si="3"/>
        <v>#VALUE!</v>
      </c>
      <c r="J12" s="27" t="str">
        <f t="shared" ref="J12:J79" si="4">$D$6</f>
        <v>CO2REMOV</v>
      </c>
      <c r="K12" s="27" t="e">
        <f t="shared" ref="K12:K91" si="5">IF(H12=24,"PAID",IF(E12&gt;=$E$6,"PAID","UNPAID"))</f>
        <v>#VALUE!</v>
      </c>
      <c r="L12" s="23" t="e">
        <f>IF(K12="PAID",AA12,0)</f>
        <v>#VALUE!</v>
      </c>
      <c r="M12" s="27" t="str">
        <f t="shared" ref="M12:M79" si="6">F12</f>
        <v>{{flowrate}}</v>
      </c>
      <c r="N12" s="22" t="e">
        <f>IF(K12="PAID",IF(H12=24,(0.25*$I$5),IF(((1+H12/G12)*M12/L12*$I$5)&gt;$I$5,$I$5,((1+H12/G12)*M12/L12*$I$5))),0)</f>
        <v>#VALUE!</v>
      </c>
      <c r="O12" s="28" t="str">
        <f t="shared" ref="O12:O79" si="7">AJ12</f>
        <v>{{remarks}}</v>
      </c>
      <c r="T12" s="20" t="s">
        <v>67</v>
      </c>
      <c r="U12" s="1">
        <v>8.1</v>
      </c>
      <c r="V12" s="1">
        <v>80</v>
      </c>
      <c r="W12" s="1" t="s">
        <v>57</v>
      </c>
      <c r="X12" s="1" t="s">
        <v>58</v>
      </c>
      <c r="Y12" s="1" t="s">
        <v>59</v>
      </c>
      <c r="Z12" s="1" t="s">
        <v>65</v>
      </c>
      <c r="AA12" s="1" t="s">
        <v>66</v>
      </c>
      <c r="AB12" s="1">
        <v>95.8</v>
      </c>
      <c r="AC12" s="1">
        <v>1938</v>
      </c>
      <c r="AD12" s="1" t="s">
        <v>53</v>
      </c>
      <c r="AE12" s="1" t="s">
        <v>60</v>
      </c>
      <c r="AF12" s="1" t="s">
        <v>61</v>
      </c>
      <c r="AG12" s="1" t="s">
        <v>62</v>
      </c>
      <c r="AH12" s="1" t="s">
        <v>63</v>
      </c>
      <c r="AI12" s="1">
        <v>1</v>
      </c>
      <c r="AJ12" s="21" t="s">
        <v>64</v>
      </c>
    </row>
    <row r="13" spans="1:36" x14ac:dyDescent="0.35">
      <c r="A13" s="17">
        <v>34.5</v>
      </c>
      <c r="C13" s="24" t="e">
        <f t="shared" ref="C13:C76" si="8">C12+1</f>
        <v>#VALUE!</v>
      </c>
      <c r="D13" s="25" t="str">
        <f t="shared" si="0"/>
        <v/>
      </c>
      <c r="E13" s="25">
        <f t="shared" si="1"/>
        <v>0</v>
      </c>
      <c r="F13" s="26">
        <f t="shared" si="2"/>
        <v>0</v>
      </c>
      <c r="G13" s="26">
        <f t="shared" si="3"/>
        <v>0</v>
      </c>
      <c r="H13" s="26">
        <f t="shared" si="3"/>
        <v>0</v>
      </c>
      <c r="I13" s="26">
        <f t="shared" si="3"/>
        <v>0</v>
      </c>
      <c r="J13" s="27" t="str">
        <f t="shared" si="4"/>
        <v>CO2REMOV</v>
      </c>
      <c r="K13" s="27" t="str">
        <f t="shared" si="5"/>
        <v>UNPAID</v>
      </c>
      <c r="L13" s="23">
        <f t="shared" ref="L13:L76" si="9">IF(K13="PAID",AA13,0)</f>
        <v>0</v>
      </c>
      <c r="M13" s="27">
        <f t="shared" si="6"/>
        <v>0</v>
      </c>
      <c r="N13" s="22">
        <f t="shared" ref="N13:N92" si="10">IF(K13="PAID",IF(H13=24,(0.25*$I$5),IF(((1+H13/G13)*M13/L13*$I$5)&gt;$I$5,$I$5,((1+H13/G13)*M13/L13*$I$5))),0)</f>
        <v>0</v>
      </c>
      <c r="O13" s="28">
        <f t="shared" si="7"/>
        <v>0</v>
      </c>
      <c r="T13" s="20"/>
      <c r="AJ13" s="21"/>
    </row>
    <row r="14" spans="1:36" x14ac:dyDescent="0.35">
      <c r="A14" s="17">
        <v>34.5</v>
      </c>
      <c r="C14" s="24" t="e">
        <f t="shared" si="8"/>
        <v>#VALUE!</v>
      </c>
      <c r="D14" s="25" t="str">
        <f t="shared" si="0"/>
        <v/>
      </c>
      <c r="E14" s="25">
        <f t="shared" si="1"/>
        <v>0</v>
      </c>
      <c r="F14" s="26">
        <f t="shared" si="2"/>
        <v>0</v>
      </c>
      <c r="G14" s="26">
        <f t="shared" si="3"/>
        <v>0</v>
      </c>
      <c r="H14" s="26">
        <f t="shared" si="3"/>
        <v>0</v>
      </c>
      <c r="I14" s="26">
        <f t="shared" si="3"/>
        <v>0</v>
      </c>
      <c r="J14" s="27" t="str">
        <f t="shared" si="4"/>
        <v>CO2REMOV</v>
      </c>
      <c r="K14" s="27" t="str">
        <f t="shared" si="5"/>
        <v>UNPAID</v>
      </c>
      <c r="L14" s="23">
        <f t="shared" si="9"/>
        <v>0</v>
      </c>
      <c r="M14" s="27">
        <f t="shared" si="6"/>
        <v>0</v>
      </c>
      <c r="N14" s="22">
        <f t="shared" si="10"/>
        <v>0</v>
      </c>
      <c r="O14" s="28">
        <f t="shared" si="7"/>
        <v>0</v>
      </c>
      <c r="T14" s="20"/>
      <c r="AJ14" s="21"/>
    </row>
    <row r="15" spans="1:36" x14ac:dyDescent="0.35">
      <c r="A15" s="17">
        <v>34.6</v>
      </c>
      <c r="C15" s="24" t="e">
        <f t="shared" si="8"/>
        <v>#VALUE!</v>
      </c>
      <c r="D15" s="25" t="str">
        <f t="shared" si="0"/>
        <v/>
      </c>
      <c r="E15" s="25">
        <f t="shared" si="1"/>
        <v>0</v>
      </c>
      <c r="F15" s="26">
        <f t="shared" si="2"/>
        <v>0</v>
      </c>
      <c r="G15" s="26">
        <f t="shared" si="3"/>
        <v>0</v>
      </c>
      <c r="H15" s="26">
        <f t="shared" si="3"/>
        <v>0</v>
      </c>
      <c r="I15" s="26">
        <f t="shared" si="3"/>
        <v>0</v>
      </c>
      <c r="J15" s="27" t="str">
        <f t="shared" si="4"/>
        <v>CO2REMOV</v>
      </c>
      <c r="K15" s="27" t="str">
        <f t="shared" si="5"/>
        <v>UNPAID</v>
      </c>
      <c r="L15" s="23">
        <f t="shared" si="9"/>
        <v>0</v>
      </c>
      <c r="M15" s="27">
        <f t="shared" si="6"/>
        <v>0</v>
      </c>
      <c r="N15" s="22">
        <f t="shared" si="10"/>
        <v>0</v>
      </c>
      <c r="O15" s="28">
        <f t="shared" si="7"/>
        <v>0</v>
      </c>
      <c r="T15" s="20"/>
      <c r="AJ15" s="21"/>
    </row>
    <row r="16" spans="1:36" x14ac:dyDescent="0.35">
      <c r="A16" s="17">
        <v>34.1</v>
      </c>
      <c r="C16" s="24" t="e">
        <f t="shared" si="8"/>
        <v>#VALUE!</v>
      </c>
      <c r="D16" s="25" t="str">
        <f t="shared" si="0"/>
        <v/>
      </c>
      <c r="E16" s="25">
        <f t="shared" si="1"/>
        <v>0</v>
      </c>
      <c r="F16" s="26">
        <f t="shared" si="2"/>
        <v>0</v>
      </c>
      <c r="G16" s="26">
        <f t="shared" si="3"/>
        <v>0</v>
      </c>
      <c r="H16" s="26">
        <f t="shared" si="3"/>
        <v>0</v>
      </c>
      <c r="I16" s="26">
        <f t="shared" si="3"/>
        <v>0</v>
      </c>
      <c r="J16" s="27" t="str">
        <f t="shared" si="4"/>
        <v>CO2REMOV</v>
      </c>
      <c r="K16" s="27" t="str">
        <f t="shared" si="5"/>
        <v>UNPAID</v>
      </c>
      <c r="L16" s="23">
        <f t="shared" si="9"/>
        <v>0</v>
      </c>
      <c r="M16" s="27">
        <f t="shared" si="6"/>
        <v>0</v>
      </c>
      <c r="N16" s="22">
        <f t="shared" si="10"/>
        <v>0</v>
      </c>
      <c r="O16" s="28">
        <f t="shared" si="7"/>
        <v>0</v>
      </c>
      <c r="T16" s="20"/>
      <c r="AJ16" s="21"/>
    </row>
    <row r="17" spans="1:36" x14ac:dyDescent="0.35">
      <c r="A17" s="17"/>
      <c r="C17" s="24" t="e">
        <f t="shared" si="8"/>
        <v>#VALUE!</v>
      </c>
      <c r="D17" s="25" t="str">
        <f t="shared" si="0"/>
        <v/>
      </c>
      <c r="E17" s="25">
        <f t="shared" si="1"/>
        <v>0</v>
      </c>
      <c r="F17" s="26">
        <f t="shared" si="2"/>
        <v>0</v>
      </c>
      <c r="G17" s="26">
        <f t="shared" si="3"/>
        <v>0</v>
      </c>
      <c r="H17" s="26">
        <f t="shared" si="3"/>
        <v>0</v>
      </c>
      <c r="I17" s="26">
        <f t="shared" si="3"/>
        <v>0</v>
      </c>
      <c r="J17" s="27" t="str">
        <f t="shared" si="4"/>
        <v>CO2REMOV</v>
      </c>
      <c r="K17" s="27" t="str">
        <f t="shared" si="5"/>
        <v>UNPAID</v>
      </c>
      <c r="L17" s="23">
        <f t="shared" si="9"/>
        <v>0</v>
      </c>
      <c r="M17" s="27">
        <f t="shared" si="6"/>
        <v>0</v>
      </c>
      <c r="N17" s="22">
        <f t="shared" si="10"/>
        <v>0</v>
      </c>
      <c r="O17" s="28">
        <f t="shared" si="7"/>
        <v>0</v>
      </c>
      <c r="T17" s="20"/>
      <c r="AJ17" s="21"/>
    </row>
    <row r="18" spans="1:36" x14ac:dyDescent="0.35">
      <c r="A18" s="17"/>
      <c r="C18" s="24" t="e">
        <f t="shared" si="8"/>
        <v>#VALUE!</v>
      </c>
      <c r="D18" s="25" t="str">
        <f t="shared" si="0"/>
        <v/>
      </c>
      <c r="E18" s="25">
        <f t="shared" si="1"/>
        <v>0</v>
      </c>
      <c r="F18" s="26">
        <f t="shared" si="2"/>
        <v>0</v>
      </c>
      <c r="G18" s="26">
        <f t="shared" si="3"/>
        <v>0</v>
      </c>
      <c r="H18" s="26">
        <f t="shared" si="3"/>
        <v>0</v>
      </c>
      <c r="I18" s="26">
        <f t="shared" si="3"/>
        <v>0</v>
      </c>
      <c r="J18" s="27" t="str">
        <f t="shared" si="4"/>
        <v>CO2REMOV</v>
      </c>
      <c r="K18" s="27" t="str">
        <f>IF(H18=24,"PAID",IF(E18&gt;=$E$6,"PAID","UNPAID"))</f>
        <v>UNPAID</v>
      </c>
      <c r="L18" s="23">
        <f t="shared" si="9"/>
        <v>0</v>
      </c>
      <c r="M18" s="27">
        <f t="shared" si="6"/>
        <v>0</v>
      </c>
      <c r="N18" s="22">
        <f t="shared" si="10"/>
        <v>0</v>
      </c>
      <c r="O18" s="28">
        <f t="shared" si="7"/>
        <v>0</v>
      </c>
      <c r="T18" s="20"/>
      <c r="AJ18" s="21"/>
    </row>
    <row r="19" spans="1:36" x14ac:dyDescent="0.35">
      <c r="A19" s="17"/>
      <c r="C19" s="24" t="e">
        <f t="shared" si="8"/>
        <v>#VALUE!</v>
      </c>
      <c r="D19" s="25" t="str">
        <f t="shared" si="0"/>
        <v/>
      </c>
      <c r="E19" s="25">
        <f t="shared" si="1"/>
        <v>0</v>
      </c>
      <c r="F19" s="26">
        <f t="shared" si="2"/>
        <v>0</v>
      </c>
      <c r="G19" s="26">
        <f t="shared" si="3"/>
        <v>0</v>
      </c>
      <c r="H19" s="26">
        <f t="shared" si="3"/>
        <v>0</v>
      </c>
      <c r="I19" s="26">
        <f t="shared" si="3"/>
        <v>0</v>
      </c>
      <c r="J19" s="27" t="str">
        <f t="shared" si="4"/>
        <v>CO2REMOV</v>
      </c>
      <c r="K19" s="27" t="str">
        <f>IF(H19=24,"PAID",IF(E19&gt;=$E$6,"PAID","UNPAID"))</f>
        <v>UNPAID</v>
      </c>
      <c r="L19" s="23">
        <f>IF(K19="PAID",AA19,0)</f>
        <v>0</v>
      </c>
      <c r="M19" s="27">
        <f>F19</f>
        <v>0</v>
      </c>
      <c r="N19" s="22">
        <f t="shared" si="10"/>
        <v>0</v>
      </c>
      <c r="O19" s="28">
        <f t="shared" si="7"/>
        <v>0</v>
      </c>
      <c r="T19" s="20"/>
      <c r="AJ19" s="21"/>
    </row>
    <row r="20" spans="1:36" x14ac:dyDescent="0.35">
      <c r="A20" s="17"/>
      <c r="C20" s="24" t="e">
        <f t="shared" si="8"/>
        <v>#VALUE!</v>
      </c>
      <c r="D20" s="25" t="str">
        <f t="shared" si="0"/>
        <v/>
      </c>
      <c r="E20" s="25">
        <f t="shared" si="1"/>
        <v>0</v>
      </c>
      <c r="F20" s="26">
        <f t="shared" si="2"/>
        <v>0</v>
      </c>
      <c r="G20" s="26">
        <f t="shared" si="3"/>
        <v>0</v>
      </c>
      <c r="H20" s="26">
        <f t="shared" si="3"/>
        <v>0</v>
      </c>
      <c r="I20" s="26">
        <f t="shared" si="3"/>
        <v>0</v>
      </c>
      <c r="J20" s="27" t="str">
        <f t="shared" si="4"/>
        <v>CO2REMOV</v>
      </c>
      <c r="K20" s="27" t="str">
        <f t="shared" si="5"/>
        <v>UNPAID</v>
      </c>
      <c r="L20" s="23">
        <f t="shared" si="9"/>
        <v>0</v>
      </c>
      <c r="M20" s="27">
        <f t="shared" si="6"/>
        <v>0</v>
      </c>
      <c r="N20" s="22">
        <f t="shared" si="10"/>
        <v>0</v>
      </c>
      <c r="O20" s="28">
        <f t="shared" si="7"/>
        <v>0</v>
      </c>
      <c r="T20" s="20"/>
      <c r="AJ20" s="21"/>
    </row>
    <row r="21" spans="1:36" x14ac:dyDescent="0.35">
      <c r="A21" s="17"/>
      <c r="C21" s="24" t="e">
        <f t="shared" si="8"/>
        <v>#VALUE!</v>
      </c>
      <c r="D21" s="25" t="str">
        <f t="shared" si="0"/>
        <v/>
      </c>
      <c r="E21" s="25">
        <f t="shared" si="1"/>
        <v>0</v>
      </c>
      <c r="F21" s="26">
        <f t="shared" si="2"/>
        <v>0</v>
      </c>
      <c r="G21" s="26">
        <f t="shared" si="3"/>
        <v>0</v>
      </c>
      <c r="H21" s="26">
        <f t="shared" si="3"/>
        <v>0</v>
      </c>
      <c r="I21" s="26">
        <f t="shared" si="3"/>
        <v>0</v>
      </c>
      <c r="J21" s="27" t="str">
        <f t="shared" si="4"/>
        <v>CO2REMOV</v>
      </c>
      <c r="K21" s="27" t="str">
        <f t="shared" si="5"/>
        <v>UNPAID</v>
      </c>
      <c r="L21" s="23">
        <f t="shared" si="9"/>
        <v>0</v>
      </c>
      <c r="M21" s="27">
        <f t="shared" si="6"/>
        <v>0</v>
      </c>
      <c r="N21" s="22">
        <f t="shared" si="10"/>
        <v>0</v>
      </c>
      <c r="O21" s="28">
        <f t="shared" si="7"/>
        <v>0</v>
      </c>
      <c r="T21" s="20"/>
      <c r="AJ21" s="21"/>
    </row>
    <row r="22" spans="1:36" x14ac:dyDescent="0.35">
      <c r="A22" s="17"/>
      <c r="C22" s="24" t="e">
        <f t="shared" si="8"/>
        <v>#VALUE!</v>
      </c>
      <c r="D22" s="25" t="str">
        <f t="shared" si="0"/>
        <v/>
      </c>
      <c r="E22" s="25">
        <f t="shared" si="1"/>
        <v>0</v>
      </c>
      <c r="F22" s="26">
        <f t="shared" si="2"/>
        <v>0</v>
      </c>
      <c r="G22" s="26">
        <f t="shared" si="3"/>
        <v>0</v>
      </c>
      <c r="H22" s="26">
        <f t="shared" si="3"/>
        <v>0</v>
      </c>
      <c r="I22" s="26">
        <f t="shared" si="3"/>
        <v>0</v>
      </c>
      <c r="J22" s="27" t="str">
        <f t="shared" si="4"/>
        <v>CO2REMOV</v>
      </c>
      <c r="K22" s="27" t="str">
        <f t="shared" si="5"/>
        <v>UNPAID</v>
      </c>
      <c r="L22" s="23">
        <f t="shared" si="9"/>
        <v>0</v>
      </c>
      <c r="M22" s="27">
        <f t="shared" si="6"/>
        <v>0</v>
      </c>
      <c r="N22" s="22">
        <f t="shared" si="10"/>
        <v>0</v>
      </c>
      <c r="O22" s="28">
        <f t="shared" si="7"/>
        <v>0</v>
      </c>
      <c r="T22" s="20"/>
      <c r="AJ22" s="21"/>
    </row>
    <row r="23" spans="1:36" x14ac:dyDescent="0.35">
      <c r="A23" s="17"/>
      <c r="C23" s="24" t="e">
        <f t="shared" si="8"/>
        <v>#VALUE!</v>
      </c>
      <c r="D23" s="25" t="str">
        <f t="shared" si="0"/>
        <v/>
      </c>
      <c r="E23" s="25">
        <f t="shared" si="1"/>
        <v>0</v>
      </c>
      <c r="F23" s="26">
        <f t="shared" si="2"/>
        <v>0</v>
      </c>
      <c r="G23" s="26">
        <f t="shared" si="3"/>
        <v>0</v>
      </c>
      <c r="H23" s="26">
        <f t="shared" si="3"/>
        <v>0</v>
      </c>
      <c r="I23" s="26">
        <f t="shared" si="3"/>
        <v>0</v>
      </c>
      <c r="J23" s="27" t="str">
        <f t="shared" si="4"/>
        <v>CO2REMOV</v>
      </c>
      <c r="K23" s="27" t="str">
        <f t="shared" si="5"/>
        <v>UNPAID</v>
      </c>
      <c r="L23" s="23">
        <f t="shared" si="9"/>
        <v>0</v>
      </c>
      <c r="M23" s="27">
        <f t="shared" si="6"/>
        <v>0</v>
      </c>
      <c r="N23" s="22">
        <f t="shared" si="10"/>
        <v>0</v>
      </c>
      <c r="O23" s="28">
        <f t="shared" si="7"/>
        <v>0</v>
      </c>
      <c r="T23" s="20"/>
      <c r="AJ23" s="21"/>
    </row>
    <row r="24" spans="1:36" x14ac:dyDescent="0.35">
      <c r="A24" s="17"/>
      <c r="C24" s="24" t="e">
        <f t="shared" si="8"/>
        <v>#VALUE!</v>
      </c>
      <c r="D24" s="25" t="str">
        <f t="shared" si="0"/>
        <v/>
      </c>
      <c r="E24" s="25">
        <f t="shared" si="1"/>
        <v>0</v>
      </c>
      <c r="F24" s="26">
        <f t="shared" si="2"/>
        <v>0</v>
      </c>
      <c r="G24" s="26">
        <f t="shared" si="3"/>
        <v>0</v>
      </c>
      <c r="H24" s="26">
        <f t="shared" si="3"/>
        <v>0</v>
      </c>
      <c r="I24" s="26">
        <f t="shared" si="3"/>
        <v>0</v>
      </c>
      <c r="J24" s="27" t="str">
        <f t="shared" si="4"/>
        <v>CO2REMOV</v>
      </c>
      <c r="K24" s="27" t="str">
        <f t="shared" si="5"/>
        <v>UNPAID</v>
      </c>
      <c r="L24" s="23">
        <f t="shared" si="9"/>
        <v>0</v>
      </c>
      <c r="M24" s="27">
        <f t="shared" si="6"/>
        <v>0</v>
      </c>
      <c r="N24" s="22">
        <f t="shared" si="10"/>
        <v>0</v>
      </c>
      <c r="O24" s="28">
        <f t="shared" si="7"/>
        <v>0</v>
      </c>
      <c r="T24" s="20"/>
      <c r="AJ24" s="21"/>
    </row>
    <row r="25" spans="1:36" x14ac:dyDescent="0.35">
      <c r="A25" s="17"/>
      <c r="C25" s="24" t="e">
        <f t="shared" si="8"/>
        <v>#VALUE!</v>
      </c>
      <c r="D25" s="25" t="str">
        <f t="shared" si="0"/>
        <v/>
      </c>
      <c r="E25" s="25">
        <f t="shared" si="1"/>
        <v>0</v>
      </c>
      <c r="F25" s="26">
        <f t="shared" si="2"/>
        <v>0</v>
      </c>
      <c r="G25" s="26">
        <f t="shared" si="3"/>
        <v>0</v>
      </c>
      <c r="H25" s="26">
        <f t="shared" si="3"/>
        <v>0</v>
      </c>
      <c r="I25" s="26">
        <f t="shared" si="3"/>
        <v>0</v>
      </c>
      <c r="J25" s="27" t="str">
        <f t="shared" si="4"/>
        <v>CO2REMOV</v>
      </c>
      <c r="K25" s="27" t="str">
        <f t="shared" si="5"/>
        <v>UNPAID</v>
      </c>
      <c r="L25" s="23">
        <f t="shared" si="9"/>
        <v>0</v>
      </c>
      <c r="M25" s="27">
        <f t="shared" si="6"/>
        <v>0</v>
      </c>
      <c r="N25" s="22">
        <f t="shared" si="10"/>
        <v>0</v>
      </c>
      <c r="O25" s="28">
        <f t="shared" si="7"/>
        <v>0</v>
      </c>
      <c r="T25" s="20"/>
      <c r="AJ25" s="21"/>
    </row>
    <row r="26" spans="1:36" x14ac:dyDescent="0.35">
      <c r="A26" s="17"/>
      <c r="C26" s="24" t="e">
        <f t="shared" si="8"/>
        <v>#VALUE!</v>
      </c>
      <c r="D26" s="25" t="str">
        <f t="shared" si="0"/>
        <v/>
      </c>
      <c r="E26" s="25">
        <f t="shared" si="1"/>
        <v>0</v>
      </c>
      <c r="F26" s="26">
        <f t="shared" si="2"/>
        <v>0</v>
      </c>
      <c r="G26" s="26">
        <f t="shared" si="3"/>
        <v>0</v>
      </c>
      <c r="H26" s="26">
        <f t="shared" si="3"/>
        <v>0</v>
      </c>
      <c r="I26" s="26">
        <f t="shared" si="3"/>
        <v>0</v>
      </c>
      <c r="J26" s="27" t="str">
        <f t="shared" si="4"/>
        <v>CO2REMOV</v>
      </c>
      <c r="K26" s="27" t="str">
        <f t="shared" si="5"/>
        <v>UNPAID</v>
      </c>
      <c r="L26" s="23">
        <f t="shared" si="9"/>
        <v>0</v>
      </c>
      <c r="M26" s="27">
        <f t="shared" si="6"/>
        <v>0</v>
      </c>
      <c r="N26" s="22">
        <f t="shared" si="10"/>
        <v>0</v>
      </c>
      <c r="O26" s="28">
        <f t="shared" si="7"/>
        <v>0</v>
      </c>
      <c r="T26" s="20"/>
      <c r="AJ26" s="21"/>
    </row>
    <row r="27" spans="1:36" x14ac:dyDescent="0.35">
      <c r="A27" s="17"/>
      <c r="C27" s="24" t="e">
        <f t="shared" si="8"/>
        <v>#VALUE!</v>
      </c>
      <c r="D27" s="25" t="str">
        <f t="shared" si="0"/>
        <v/>
      </c>
      <c r="E27" s="25">
        <f t="shared" si="1"/>
        <v>0</v>
      </c>
      <c r="F27" s="26">
        <f t="shared" si="2"/>
        <v>0</v>
      </c>
      <c r="G27" s="26">
        <f t="shared" si="3"/>
        <v>0</v>
      </c>
      <c r="H27" s="26">
        <f t="shared" si="3"/>
        <v>0</v>
      </c>
      <c r="I27" s="26">
        <f t="shared" si="3"/>
        <v>0</v>
      </c>
      <c r="J27" s="27" t="str">
        <f t="shared" si="4"/>
        <v>CO2REMOV</v>
      </c>
      <c r="K27" s="27" t="str">
        <f t="shared" si="5"/>
        <v>UNPAID</v>
      </c>
      <c r="L27" s="23">
        <f t="shared" si="9"/>
        <v>0</v>
      </c>
      <c r="M27" s="27">
        <f t="shared" si="6"/>
        <v>0</v>
      </c>
      <c r="N27" s="22">
        <f t="shared" si="10"/>
        <v>0</v>
      </c>
      <c r="O27" s="28">
        <f t="shared" si="7"/>
        <v>0</v>
      </c>
      <c r="T27" s="20"/>
      <c r="AJ27" s="21"/>
    </row>
    <row r="28" spans="1:36" x14ac:dyDescent="0.35">
      <c r="A28" s="17"/>
      <c r="C28" s="24" t="e">
        <f t="shared" si="8"/>
        <v>#VALUE!</v>
      </c>
      <c r="D28" s="25" t="str">
        <f t="shared" si="0"/>
        <v/>
      </c>
      <c r="E28" s="25">
        <f t="shared" si="1"/>
        <v>0</v>
      </c>
      <c r="F28" s="26">
        <f t="shared" si="2"/>
        <v>0</v>
      </c>
      <c r="G28" s="26">
        <f t="shared" si="3"/>
        <v>0</v>
      </c>
      <c r="H28" s="26">
        <f t="shared" si="3"/>
        <v>0</v>
      </c>
      <c r="I28" s="26">
        <f t="shared" si="3"/>
        <v>0</v>
      </c>
      <c r="J28" s="27" t="str">
        <f t="shared" si="4"/>
        <v>CO2REMOV</v>
      </c>
      <c r="K28" s="27" t="str">
        <f t="shared" si="5"/>
        <v>UNPAID</v>
      </c>
      <c r="L28" s="23">
        <f t="shared" si="9"/>
        <v>0</v>
      </c>
      <c r="M28" s="27">
        <f t="shared" si="6"/>
        <v>0</v>
      </c>
      <c r="N28" s="22">
        <f t="shared" si="10"/>
        <v>0</v>
      </c>
      <c r="O28" s="28">
        <f t="shared" si="7"/>
        <v>0</v>
      </c>
      <c r="T28" s="20"/>
      <c r="AJ28" s="21"/>
    </row>
    <row r="29" spans="1:36" x14ac:dyDescent="0.35">
      <c r="A29" s="17"/>
      <c r="C29" s="24" t="e">
        <f t="shared" si="8"/>
        <v>#VALUE!</v>
      </c>
      <c r="D29" s="25" t="str">
        <f t="shared" si="0"/>
        <v/>
      </c>
      <c r="E29" s="25">
        <f t="shared" si="1"/>
        <v>0</v>
      </c>
      <c r="F29" s="26">
        <f t="shared" si="2"/>
        <v>0</v>
      </c>
      <c r="G29" s="26">
        <f t="shared" si="3"/>
        <v>0</v>
      </c>
      <c r="H29" s="26">
        <f t="shared" si="3"/>
        <v>0</v>
      </c>
      <c r="I29" s="26">
        <f t="shared" si="3"/>
        <v>0</v>
      </c>
      <c r="J29" s="27" t="str">
        <f t="shared" si="4"/>
        <v>CO2REMOV</v>
      </c>
      <c r="K29" s="27" t="str">
        <f t="shared" si="5"/>
        <v>UNPAID</v>
      </c>
      <c r="L29" s="23">
        <f t="shared" si="9"/>
        <v>0</v>
      </c>
      <c r="M29" s="27">
        <f t="shared" si="6"/>
        <v>0</v>
      </c>
      <c r="N29" s="22">
        <f t="shared" si="10"/>
        <v>0</v>
      </c>
      <c r="O29" s="28">
        <f t="shared" si="7"/>
        <v>0</v>
      </c>
      <c r="T29" s="20"/>
      <c r="AJ29" s="21"/>
    </row>
    <row r="30" spans="1:36" x14ac:dyDescent="0.35">
      <c r="A30" s="17"/>
      <c r="C30" s="24" t="e">
        <f t="shared" si="8"/>
        <v>#VALUE!</v>
      </c>
      <c r="D30" s="25" t="str">
        <f t="shared" si="0"/>
        <v/>
      </c>
      <c r="E30" s="25">
        <f t="shared" si="1"/>
        <v>0</v>
      </c>
      <c r="F30" s="26">
        <f t="shared" si="2"/>
        <v>0</v>
      </c>
      <c r="G30" s="26">
        <f t="shared" si="3"/>
        <v>0</v>
      </c>
      <c r="H30" s="26">
        <f t="shared" si="3"/>
        <v>0</v>
      </c>
      <c r="I30" s="26">
        <f t="shared" si="3"/>
        <v>0</v>
      </c>
      <c r="J30" s="27" t="str">
        <f t="shared" si="4"/>
        <v>CO2REMOV</v>
      </c>
      <c r="K30" s="27" t="str">
        <f t="shared" si="5"/>
        <v>UNPAID</v>
      </c>
      <c r="L30" s="23">
        <f t="shared" si="9"/>
        <v>0</v>
      </c>
      <c r="M30" s="27">
        <f t="shared" si="6"/>
        <v>0</v>
      </c>
      <c r="N30" s="22">
        <f t="shared" si="10"/>
        <v>0</v>
      </c>
      <c r="O30" s="28">
        <f t="shared" si="7"/>
        <v>0</v>
      </c>
      <c r="T30" s="20"/>
      <c r="AJ30" s="21"/>
    </row>
    <row r="31" spans="1:36" x14ac:dyDescent="0.35">
      <c r="A31" s="17"/>
      <c r="C31" s="24" t="e">
        <f t="shared" si="8"/>
        <v>#VALUE!</v>
      </c>
      <c r="D31" s="25" t="str">
        <f t="shared" si="0"/>
        <v/>
      </c>
      <c r="E31" s="25">
        <f t="shared" si="1"/>
        <v>0</v>
      </c>
      <c r="F31" s="26">
        <f t="shared" si="2"/>
        <v>0</v>
      </c>
      <c r="G31" s="26">
        <f t="shared" si="3"/>
        <v>0</v>
      </c>
      <c r="H31" s="26">
        <f t="shared" si="3"/>
        <v>0</v>
      </c>
      <c r="I31" s="26">
        <f t="shared" si="3"/>
        <v>0</v>
      </c>
      <c r="J31" s="27" t="str">
        <f t="shared" si="4"/>
        <v>CO2REMOV</v>
      </c>
      <c r="K31" s="27" t="str">
        <f t="shared" si="5"/>
        <v>UNPAID</v>
      </c>
      <c r="L31" s="23">
        <f t="shared" si="9"/>
        <v>0</v>
      </c>
      <c r="M31" s="27">
        <f t="shared" si="6"/>
        <v>0</v>
      </c>
      <c r="N31" s="22">
        <f t="shared" si="10"/>
        <v>0</v>
      </c>
      <c r="O31" s="28">
        <f t="shared" si="7"/>
        <v>0</v>
      </c>
      <c r="T31" s="20"/>
      <c r="AJ31" s="21"/>
    </row>
    <row r="32" spans="1:36" x14ac:dyDescent="0.35">
      <c r="A32" s="17">
        <v>35.1</v>
      </c>
      <c r="C32" s="24" t="e">
        <f t="shared" si="8"/>
        <v>#VALUE!</v>
      </c>
      <c r="D32" s="25" t="str">
        <f t="shared" si="0"/>
        <v/>
      </c>
      <c r="E32" s="25">
        <f t="shared" si="1"/>
        <v>0</v>
      </c>
      <c r="F32" s="26">
        <f t="shared" si="2"/>
        <v>0</v>
      </c>
      <c r="G32" s="26">
        <f t="shared" si="3"/>
        <v>0</v>
      </c>
      <c r="H32" s="26">
        <f t="shared" si="3"/>
        <v>0</v>
      </c>
      <c r="I32" s="26">
        <f t="shared" si="3"/>
        <v>0</v>
      </c>
      <c r="J32" s="27" t="str">
        <f t="shared" si="4"/>
        <v>CO2REMOV</v>
      </c>
      <c r="K32" s="27" t="str">
        <f t="shared" si="5"/>
        <v>UNPAID</v>
      </c>
      <c r="L32" s="23">
        <f t="shared" si="9"/>
        <v>0</v>
      </c>
      <c r="M32" s="27">
        <f t="shared" si="6"/>
        <v>0</v>
      </c>
      <c r="N32" s="22">
        <f t="shared" si="10"/>
        <v>0</v>
      </c>
      <c r="O32" s="28">
        <f t="shared" si="7"/>
        <v>0</v>
      </c>
      <c r="T32" s="20"/>
      <c r="AJ32" s="21"/>
    </row>
    <row r="33" spans="1:36" x14ac:dyDescent="0.35">
      <c r="A33" s="17">
        <v>35.799999999999997</v>
      </c>
      <c r="C33" s="24" t="e">
        <f t="shared" si="8"/>
        <v>#VALUE!</v>
      </c>
      <c r="D33" s="25" t="str">
        <f t="shared" si="0"/>
        <v/>
      </c>
      <c r="E33" s="25">
        <f t="shared" si="1"/>
        <v>0</v>
      </c>
      <c r="F33" s="26">
        <f t="shared" si="2"/>
        <v>0</v>
      </c>
      <c r="G33" s="26">
        <f t="shared" si="3"/>
        <v>0</v>
      </c>
      <c r="H33" s="26">
        <f t="shared" si="3"/>
        <v>0</v>
      </c>
      <c r="I33" s="26">
        <f t="shared" si="3"/>
        <v>0</v>
      </c>
      <c r="J33" s="27" t="str">
        <f t="shared" si="4"/>
        <v>CO2REMOV</v>
      </c>
      <c r="K33" s="27" t="str">
        <f t="shared" si="5"/>
        <v>UNPAID</v>
      </c>
      <c r="L33" s="23">
        <f t="shared" si="9"/>
        <v>0</v>
      </c>
      <c r="M33" s="27">
        <f t="shared" si="6"/>
        <v>0</v>
      </c>
      <c r="N33" s="22">
        <f t="shared" si="10"/>
        <v>0</v>
      </c>
      <c r="O33" s="28">
        <f t="shared" si="7"/>
        <v>0</v>
      </c>
      <c r="T33" s="20"/>
      <c r="AJ33" s="21"/>
    </row>
    <row r="34" spans="1:36" x14ac:dyDescent="0.35">
      <c r="A34" s="17">
        <v>35.5</v>
      </c>
      <c r="C34" s="24" t="e">
        <f t="shared" si="8"/>
        <v>#VALUE!</v>
      </c>
      <c r="D34" s="25" t="str">
        <f t="shared" si="0"/>
        <v/>
      </c>
      <c r="E34" s="25">
        <f t="shared" si="1"/>
        <v>0</v>
      </c>
      <c r="F34" s="26">
        <f t="shared" si="2"/>
        <v>0</v>
      </c>
      <c r="G34" s="26">
        <f t="shared" si="3"/>
        <v>0</v>
      </c>
      <c r="H34" s="26">
        <f t="shared" si="3"/>
        <v>0</v>
      </c>
      <c r="I34" s="26">
        <f t="shared" si="3"/>
        <v>0</v>
      </c>
      <c r="J34" s="27" t="str">
        <f t="shared" si="4"/>
        <v>CO2REMOV</v>
      </c>
      <c r="K34" s="27" t="str">
        <f t="shared" si="5"/>
        <v>UNPAID</v>
      </c>
      <c r="L34" s="23">
        <f t="shared" si="9"/>
        <v>0</v>
      </c>
      <c r="M34" s="27">
        <f t="shared" si="6"/>
        <v>0</v>
      </c>
      <c r="N34" s="22">
        <f t="shared" si="10"/>
        <v>0</v>
      </c>
      <c r="O34" s="28">
        <f t="shared" si="7"/>
        <v>0</v>
      </c>
      <c r="T34" s="20"/>
      <c r="AJ34" s="21"/>
    </row>
    <row r="35" spans="1:36" x14ac:dyDescent="0.35">
      <c r="A35" s="17">
        <v>35.5</v>
      </c>
      <c r="C35" s="24" t="e">
        <f t="shared" si="8"/>
        <v>#VALUE!</v>
      </c>
      <c r="D35" s="25" t="str">
        <f t="shared" si="0"/>
        <v/>
      </c>
      <c r="E35" s="25">
        <f t="shared" si="1"/>
        <v>0</v>
      </c>
      <c r="F35" s="26">
        <f t="shared" si="2"/>
        <v>0</v>
      </c>
      <c r="G35" s="26">
        <f t="shared" si="3"/>
        <v>0</v>
      </c>
      <c r="H35" s="26">
        <f t="shared" si="3"/>
        <v>0</v>
      </c>
      <c r="I35" s="26">
        <f t="shared" si="3"/>
        <v>0</v>
      </c>
      <c r="J35" s="27" t="str">
        <f t="shared" si="4"/>
        <v>CO2REMOV</v>
      </c>
      <c r="K35" s="27" t="str">
        <f t="shared" si="5"/>
        <v>UNPAID</v>
      </c>
      <c r="L35" s="23">
        <f t="shared" si="9"/>
        <v>0</v>
      </c>
      <c r="M35" s="27">
        <f t="shared" si="6"/>
        <v>0</v>
      </c>
      <c r="N35" s="22">
        <f t="shared" si="10"/>
        <v>0</v>
      </c>
      <c r="O35" s="28">
        <f t="shared" si="7"/>
        <v>0</v>
      </c>
      <c r="T35" s="20"/>
      <c r="AJ35" s="21"/>
    </row>
    <row r="36" spans="1:36" x14ac:dyDescent="0.35">
      <c r="A36" s="17">
        <v>35.6</v>
      </c>
      <c r="C36" s="24" t="e">
        <f t="shared" si="8"/>
        <v>#VALUE!</v>
      </c>
      <c r="D36" s="25" t="str">
        <f t="shared" si="0"/>
        <v/>
      </c>
      <c r="E36" s="25">
        <f t="shared" si="1"/>
        <v>0</v>
      </c>
      <c r="F36" s="26">
        <f t="shared" si="2"/>
        <v>0</v>
      </c>
      <c r="G36" s="26">
        <f t="shared" si="3"/>
        <v>0</v>
      </c>
      <c r="H36" s="26">
        <f t="shared" si="3"/>
        <v>0</v>
      </c>
      <c r="I36" s="26">
        <f t="shared" si="3"/>
        <v>0</v>
      </c>
      <c r="J36" s="27" t="str">
        <f t="shared" si="4"/>
        <v>CO2REMOV</v>
      </c>
      <c r="K36" s="27" t="str">
        <f t="shared" si="5"/>
        <v>UNPAID</v>
      </c>
      <c r="L36" s="23">
        <f t="shared" si="9"/>
        <v>0</v>
      </c>
      <c r="M36" s="27">
        <f t="shared" si="6"/>
        <v>0</v>
      </c>
      <c r="N36" s="22">
        <f t="shared" si="10"/>
        <v>0</v>
      </c>
      <c r="O36" s="28">
        <f t="shared" si="7"/>
        <v>0</v>
      </c>
      <c r="T36" s="20"/>
      <c r="AJ36" s="21"/>
    </row>
    <row r="37" spans="1:36" x14ac:dyDescent="0.35">
      <c r="A37" s="17">
        <v>35.200000000000003</v>
      </c>
      <c r="C37" s="24" t="e">
        <f t="shared" si="8"/>
        <v>#VALUE!</v>
      </c>
      <c r="D37" s="25" t="str">
        <f t="shared" si="0"/>
        <v/>
      </c>
      <c r="E37" s="25">
        <f t="shared" si="1"/>
        <v>0</v>
      </c>
      <c r="F37" s="26">
        <f t="shared" si="2"/>
        <v>0</v>
      </c>
      <c r="G37" s="26">
        <f t="shared" si="3"/>
        <v>0</v>
      </c>
      <c r="H37" s="26">
        <f t="shared" si="3"/>
        <v>0</v>
      </c>
      <c r="I37" s="26">
        <f t="shared" si="3"/>
        <v>0</v>
      </c>
      <c r="J37" s="27" t="str">
        <f t="shared" si="4"/>
        <v>CO2REMOV</v>
      </c>
      <c r="K37" s="27" t="str">
        <f t="shared" si="5"/>
        <v>UNPAID</v>
      </c>
      <c r="L37" s="23">
        <f t="shared" si="9"/>
        <v>0</v>
      </c>
      <c r="M37" s="27">
        <f t="shared" si="6"/>
        <v>0</v>
      </c>
      <c r="N37" s="22">
        <f t="shared" si="10"/>
        <v>0</v>
      </c>
      <c r="O37" s="28">
        <f t="shared" si="7"/>
        <v>0</v>
      </c>
      <c r="T37" s="20"/>
      <c r="AJ37" s="21"/>
    </row>
    <row r="38" spans="1:36" x14ac:dyDescent="0.35">
      <c r="A38" s="17">
        <v>35.200000000000003</v>
      </c>
      <c r="C38" s="24" t="e">
        <f t="shared" si="8"/>
        <v>#VALUE!</v>
      </c>
      <c r="D38" s="25" t="str">
        <f t="shared" si="0"/>
        <v/>
      </c>
      <c r="E38" s="25">
        <f t="shared" si="1"/>
        <v>0</v>
      </c>
      <c r="F38" s="26">
        <f t="shared" si="2"/>
        <v>0</v>
      </c>
      <c r="G38" s="26">
        <f t="shared" si="3"/>
        <v>0</v>
      </c>
      <c r="H38" s="26">
        <f t="shared" si="3"/>
        <v>0</v>
      </c>
      <c r="I38" s="26">
        <f t="shared" si="3"/>
        <v>0</v>
      </c>
      <c r="J38" s="27" t="str">
        <f t="shared" si="4"/>
        <v>CO2REMOV</v>
      </c>
      <c r="K38" s="27" t="str">
        <f t="shared" si="5"/>
        <v>UNPAID</v>
      </c>
      <c r="L38" s="23">
        <f t="shared" si="9"/>
        <v>0</v>
      </c>
      <c r="M38" s="27">
        <f t="shared" si="6"/>
        <v>0</v>
      </c>
      <c r="N38" s="22">
        <f t="shared" si="10"/>
        <v>0</v>
      </c>
      <c r="O38" s="28">
        <f t="shared" si="7"/>
        <v>0</v>
      </c>
      <c r="T38" s="20"/>
      <c r="AJ38" s="21"/>
    </row>
    <row r="39" spans="1:36" x14ac:dyDescent="0.35">
      <c r="A39" s="17">
        <v>35.200000000000003</v>
      </c>
      <c r="C39" s="24" t="e">
        <f t="shared" si="8"/>
        <v>#VALUE!</v>
      </c>
      <c r="D39" s="25" t="str">
        <f t="shared" si="0"/>
        <v/>
      </c>
      <c r="E39" s="25">
        <f t="shared" si="1"/>
        <v>0</v>
      </c>
      <c r="F39" s="26">
        <f t="shared" si="2"/>
        <v>0</v>
      </c>
      <c r="G39" s="26">
        <f t="shared" si="3"/>
        <v>0</v>
      </c>
      <c r="H39" s="26">
        <f t="shared" si="3"/>
        <v>0</v>
      </c>
      <c r="I39" s="26">
        <f t="shared" si="3"/>
        <v>0</v>
      </c>
      <c r="J39" s="27" t="str">
        <f t="shared" si="4"/>
        <v>CO2REMOV</v>
      </c>
      <c r="K39" s="27" t="str">
        <f t="shared" si="5"/>
        <v>UNPAID</v>
      </c>
      <c r="L39" s="23">
        <f t="shared" si="9"/>
        <v>0</v>
      </c>
      <c r="M39" s="27">
        <f t="shared" si="6"/>
        <v>0</v>
      </c>
      <c r="N39" s="22">
        <f t="shared" si="10"/>
        <v>0</v>
      </c>
      <c r="O39" s="28">
        <f t="shared" si="7"/>
        <v>0</v>
      </c>
      <c r="T39" s="20"/>
      <c r="AJ39" s="21"/>
    </row>
    <row r="40" spans="1:36" x14ac:dyDescent="0.35">
      <c r="A40" s="17">
        <v>35.9</v>
      </c>
      <c r="C40" s="24" t="e">
        <f t="shared" si="8"/>
        <v>#VALUE!</v>
      </c>
      <c r="D40" s="25" t="str">
        <f t="shared" si="0"/>
        <v/>
      </c>
      <c r="E40" s="25">
        <f t="shared" si="1"/>
        <v>0</v>
      </c>
      <c r="F40" s="26">
        <f t="shared" si="2"/>
        <v>0</v>
      </c>
      <c r="G40" s="26">
        <f t="shared" si="3"/>
        <v>0</v>
      </c>
      <c r="H40" s="26">
        <f t="shared" si="3"/>
        <v>0</v>
      </c>
      <c r="I40" s="26">
        <f t="shared" si="3"/>
        <v>0</v>
      </c>
      <c r="J40" s="27" t="str">
        <f t="shared" si="4"/>
        <v>CO2REMOV</v>
      </c>
      <c r="K40" s="27" t="str">
        <f t="shared" si="5"/>
        <v>UNPAID</v>
      </c>
      <c r="L40" s="23">
        <f t="shared" si="9"/>
        <v>0</v>
      </c>
      <c r="M40" s="27">
        <f t="shared" si="6"/>
        <v>0</v>
      </c>
      <c r="N40" s="22">
        <f t="shared" si="10"/>
        <v>0</v>
      </c>
      <c r="O40" s="28">
        <f t="shared" si="7"/>
        <v>0</v>
      </c>
      <c r="T40" s="20"/>
      <c r="AJ40" s="21"/>
    </row>
    <row r="41" spans="1:36" x14ac:dyDescent="0.35">
      <c r="A41" s="17">
        <v>42.6</v>
      </c>
      <c r="C41" s="24" t="e">
        <f t="shared" si="8"/>
        <v>#VALUE!</v>
      </c>
      <c r="D41" s="25" t="str">
        <f t="shared" si="0"/>
        <v/>
      </c>
      <c r="E41" s="25">
        <f t="shared" si="1"/>
        <v>0</v>
      </c>
      <c r="F41" s="26">
        <f t="shared" si="2"/>
        <v>0</v>
      </c>
      <c r="G41" s="26">
        <f t="shared" si="3"/>
        <v>0</v>
      </c>
      <c r="H41" s="26">
        <f t="shared" si="3"/>
        <v>0</v>
      </c>
      <c r="I41" s="26">
        <f t="shared" si="3"/>
        <v>0</v>
      </c>
      <c r="J41" s="27" t="str">
        <f t="shared" si="4"/>
        <v>CO2REMOV</v>
      </c>
      <c r="K41" s="27" t="str">
        <f t="shared" si="5"/>
        <v>UNPAID</v>
      </c>
      <c r="L41" s="23">
        <f t="shared" si="9"/>
        <v>0</v>
      </c>
      <c r="M41" s="27">
        <f t="shared" si="6"/>
        <v>0</v>
      </c>
      <c r="N41" s="22">
        <f t="shared" si="10"/>
        <v>0</v>
      </c>
      <c r="O41" s="28">
        <f t="shared" si="7"/>
        <v>0</v>
      </c>
      <c r="T41" s="20"/>
      <c r="AJ41" s="21"/>
    </row>
    <row r="42" spans="1:36" x14ac:dyDescent="0.35">
      <c r="A42" s="17">
        <v>22.9</v>
      </c>
      <c r="C42" s="24" t="e">
        <f t="shared" si="8"/>
        <v>#VALUE!</v>
      </c>
      <c r="D42" s="25" t="str">
        <f t="shared" si="0"/>
        <v/>
      </c>
      <c r="E42" s="25">
        <f t="shared" si="1"/>
        <v>0</v>
      </c>
      <c r="F42" s="26">
        <f t="shared" si="2"/>
        <v>0</v>
      </c>
      <c r="G42" s="26">
        <f t="shared" si="3"/>
        <v>0</v>
      </c>
      <c r="H42" s="26">
        <f t="shared" si="3"/>
        <v>0</v>
      </c>
      <c r="I42" s="26">
        <f t="shared" si="3"/>
        <v>0</v>
      </c>
      <c r="J42" s="27" t="str">
        <f t="shared" si="4"/>
        <v>CO2REMOV</v>
      </c>
      <c r="K42" s="27" t="str">
        <f t="shared" si="5"/>
        <v>UNPAID</v>
      </c>
      <c r="L42" s="23">
        <f t="shared" si="9"/>
        <v>0</v>
      </c>
      <c r="M42" s="27">
        <f t="shared" si="6"/>
        <v>0</v>
      </c>
      <c r="N42" s="22">
        <f t="shared" si="10"/>
        <v>0</v>
      </c>
      <c r="O42" s="28">
        <f t="shared" si="7"/>
        <v>0</v>
      </c>
      <c r="T42" s="20"/>
      <c r="AJ42" s="21"/>
    </row>
    <row r="43" spans="1:36" x14ac:dyDescent="0.35">
      <c r="A43" s="17"/>
      <c r="C43" s="24" t="s">
        <v>54</v>
      </c>
      <c r="D43" s="25"/>
      <c r="E43" s="25"/>
      <c r="F43" s="26"/>
      <c r="G43" s="26"/>
      <c r="H43" s="26"/>
      <c r="I43" s="26"/>
      <c r="J43" s="27"/>
      <c r="K43" s="27" t="str">
        <f t="shared" si="5"/>
        <v>UNPAID</v>
      </c>
      <c r="L43" s="23">
        <f t="shared" si="9"/>
        <v>0</v>
      </c>
      <c r="M43" s="27"/>
      <c r="N43" s="22"/>
      <c r="O43" s="28"/>
      <c r="T43" s="20"/>
      <c r="AJ43" s="21"/>
    </row>
    <row r="44" spans="1:36" x14ac:dyDescent="0.35">
      <c r="A44" s="17"/>
      <c r="C44" s="24" t="e">
        <f>C42+1</f>
        <v>#VALUE!</v>
      </c>
      <c r="D44" s="25" t="str">
        <f t="shared" si="0"/>
        <v/>
      </c>
      <c r="E44" s="25">
        <f t="shared" si="1"/>
        <v>0</v>
      </c>
      <c r="F44" s="26">
        <f t="shared" si="2"/>
        <v>0</v>
      </c>
      <c r="G44" s="26">
        <f t="shared" si="3"/>
        <v>0</v>
      </c>
      <c r="H44" s="26">
        <f t="shared" si="3"/>
        <v>0</v>
      </c>
      <c r="I44" s="26">
        <f t="shared" si="3"/>
        <v>0</v>
      </c>
      <c r="J44" s="27" t="str">
        <f t="shared" si="4"/>
        <v>CO2REMOV</v>
      </c>
      <c r="K44" s="27" t="str">
        <f t="shared" si="5"/>
        <v>UNPAID</v>
      </c>
      <c r="L44" s="23">
        <f t="shared" si="9"/>
        <v>0</v>
      </c>
      <c r="M44" s="27">
        <f t="shared" si="6"/>
        <v>0</v>
      </c>
      <c r="N44" s="22">
        <f t="shared" si="10"/>
        <v>0</v>
      </c>
      <c r="O44" s="28">
        <f t="shared" si="7"/>
        <v>0</v>
      </c>
      <c r="T44" s="20"/>
      <c r="AJ44" s="21"/>
    </row>
    <row r="45" spans="1:36" x14ac:dyDescent="0.35">
      <c r="A45" s="31">
        <v>27.4</v>
      </c>
      <c r="C45" s="24" t="e">
        <f t="shared" si="8"/>
        <v>#VALUE!</v>
      </c>
      <c r="D45" s="25" t="str">
        <f t="shared" si="0"/>
        <v/>
      </c>
      <c r="E45" s="25">
        <f t="shared" si="1"/>
        <v>0</v>
      </c>
      <c r="F45" s="26">
        <f t="shared" si="2"/>
        <v>0</v>
      </c>
      <c r="G45" s="26">
        <f t="shared" si="3"/>
        <v>0</v>
      </c>
      <c r="H45" s="26">
        <f t="shared" si="3"/>
        <v>0</v>
      </c>
      <c r="I45" s="26">
        <f t="shared" si="3"/>
        <v>0</v>
      </c>
      <c r="J45" s="27" t="str">
        <f t="shared" si="4"/>
        <v>CO2REMOV</v>
      </c>
      <c r="K45" s="27" t="str">
        <f t="shared" si="5"/>
        <v>UNPAID</v>
      </c>
      <c r="L45" s="23">
        <f t="shared" si="9"/>
        <v>0</v>
      </c>
      <c r="M45" s="27">
        <f t="shared" si="6"/>
        <v>0</v>
      </c>
      <c r="N45" s="22">
        <f t="shared" si="10"/>
        <v>0</v>
      </c>
      <c r="O45" s="28">
        <f t="shared" si="7"/>
        <v>0</v>
      </c>
      <c r="T45" s="20"/>
      <c r="AJ45" s="21"/>
    </row>
    <row r="46" spans="1:36" x14ac:dyDescent="0.35">
      <c r="C46" s="24" t="e">
        <f t="shared" si="8"/>
        <v>#VALUE!</v>
      </c>
      <c r="D46" s="25" t="str">
        <f t="shared" si="0"/>
        <v/>
      </c>
      <c r="E46" s="25">
        <f t="shared" si="1"/>
        <v>0</v>
      </c>
      <c r="F46" s="26">
        <f t="shared" si="2"/>
        <v>0</v>
      </c>
      <c r="G46" s="26">
        <f t="shared" si="3"/>
        <v>0</v>
      </c>
      <c r="H46" s="26">
        <f t="shared" si="3"/>
        <v>0</v>
      </c>
      <c r="I46" s="26">
        <f t="shared" si="3"/>
        <v>0</v>
      </c>
      <c r="J46" s="27" t="str">
        <f t="shared" si="4"/>
        <v>CO2REMOV</v>
      </c>
      <c r="K46" s="27" t="str">
        <f t="shared" si="5"/>
        <v>UNPAID</v>
      </c>
      <c r="L46" s="23">
        <f t="shared" si="9"/>
        <v>0</v>
      </c>
      <c r="M46" s="27">
        <f t="shared" si="6"/>
        <v>0</v>
      </c>
      <c r="N46" s="22">
        <f t="shared" si="10"/>
        <v>0</v>
      </c>
      <c r="O46" s="28">
        <f t="shared" si="7"/>
        <v>0</v>
      </c>
      <c r="T46" s="20"/>
      <c r="AJ46" s="21"/>
    </row>
    <row r="47" spans="1:36" x14ac:dyDescent="0.35">
      <c r="C47" s="24" t="e">
        <f t="shared" si="8"/>
        <v>#VALUE!</v>
      </c>
      <c r="D47" s="25" t="str">
        <f t="shared" si="0"/>
        <v/>
      </c>
      <c r="E47" s="25">
        <f t="shared" si="1"/>
        <v>0</v>
      </c>
      <c r="F47" s="26">
        <f t="shared" si="2"/>
        <v>0</v>
      </c>
      <c r="G47" s="26">
        <f t="shared" si="3"/>
        <v>0</v>
      </c>
      <c r="H47" s="26">
        <f t="shared" si="3"/>
        <v>0</v>
      </c>
      <c r="I47" s="26">
        <f t="shared" si="3"/>
        <v>0</v>
      </c>
      <c r="J47" s="27" t="str">
        <f t="shared" si="4"/>
        <v>CO2REMOV</v>
      </c>
      <c r="K47" s="27" t="str">
        <f t="shared" si="5"/>
        <v>UNPAID</v>
      </c>
      <c r="L47" s="23">
        <f t="shared" si="9"/>
        <v>0</v>
      </c>
      <c r="M47" s="27">
        <f t="shared" si="6"/>
        <v>0</v>
      </c>
      <c r="N47" s="22">
        <f t="shared" si="10"/>
        <v>0</v>
      </c>
      <c r="O47" s="28">
        <f t="shared" si="7"/>
        <v>0</v>
      </c>
      <c r="T47" s="20"/>
      <c r="AJ47" s="21"/>
    </row>
    <row r="48" spans="1:36" x14ac:dyDescent="0.35">
      <c r="C48" s="24" t="e">
        <f t="shared" si="8"/>
        <v>#VALUE!</v>
      </c>
      <c r="D48" s="25" t="str">
        <f t="shared" si="0"/>
        <v/>
      </c>
      <c r="E48" s="25">
        <f t="shared" si="1"/>
        <v>0</v>
      </c>
      <c r="F48" s="26">
        <f t="shared" si="2"/>
        <v>0</v>
      </c>
      <c r="G48" s="26">
        <f t="shared" si="3"/>
        <v>0</v>
      </c>
      <c r="H48" s="26">
        <f t="shared" si="3"/>
        <v>0</v>
      </c>
      <c r="I48" s="26">
        <f t="shared" si="3"/>
        <v>0</v>
      </c>
      <c r="J48" s="27" t="str">
        <f t="shared" si="4"/>
        <v>CO2REMOV</v>
      </c>
      <c r="K48" s="27" t="str">
        <f t="shared" si="5"/>
        <v>UNPAID</v>
      </c>
      <c r="L48" s="23">
        <f t="shared" si="9"/>
        <v>0</v>
      </c>
      <c r="M48" s="27">
        <f t="shared" si="6"/>
        <v>0</v>
      </c>
      <c r="N48" s="22">
        <f t="shared" si="10"/>
        <v>0</v>
      </c>
      <c r="O48" s="28">
        <f t="shared" si="7"/>
        <v>0</v>
      </c>
      <c r="T48" s="20"/>
      <c r="AJ48" s="21"/>
    </row>
    <row r="49" spans="3:36" x14ac:dyDescent="0.35">
      <c r="C49" s="24" t="e">
        <f t="shared" si="8"/>
        <v>#VALUE!</v>
      </c>
      <c r="D49" s="25" t="str">
        <f t="shared" si="0"/>
        <v/>
      </c>
      <c r="E49" s="25">
        <f t="shared" si="1"/>
        <v>0</v>
      </c>
      <c r="F49" s="26">
        <f t="shared" si="2"/>
        <v>0</v>
      </c>
      <c r="G49" s="26">
        <f t="shared" si="3"/>
        <v>0</v>
      </c>
      <c r="H49" s="26">
        <f t="shared" si="3"/>
        <v>0</v>
      </c>
      <c r="I49" s="26">
        <f t="shared" si="3"/>
        <v>0</v>
      </c>
      <c r="J49" s="27" t="str">
        <f t="shared" si="4"/>
        <v>CO2REMOV</v>
      </c>
      <c r="K49" s="27" t="str">
        <f t="shared" si="5"/>
        <v>UNPAID</v>
      </c>
      <c r="L49" s="23">
        <f t="shared" si="9"/>
        <v>0</v>
      </c>
      <c r="M49" s="27">
        <f t="shared" si="6"/>
        <v>0</v>
      </c>
      <c r="N49" s="22">
        <f t="shared" si="10"/>
        <v>0</v>
      </c>
      <c r="O49" s="28">
        <f t="shared" si="7"/>
        <v>0</v>
      </c>
      <c r="T49" s="20"/>
      <c r="AJ49" s="21"/>
    </row>
    <row r="50" spans="3:36" x14ac:dyDescent="0.35">
      <c r="C50" s="24" t="e">
        <f t="shared" si="8"/>
        <v>#VALUE!</v>
      </c>
      <c r="D50" s="25" t="str">
        <f t="shared" si="0"/>
        <v/>
      </c>
      <c r="E50" s="25">
        <f t="shared" si="1"/>
        <v>0</v>
      </c>
      <c r="F50" s="26">
        <f t="shared" si="2"/>
        <v>0</v>
      </c>
      <c r="G50" s="26">
        <f t="shared" si="3"/>
        <v>0</v>
      </c>
      <c r="H50" s="26">
        <f t="shared" si="3"/>
        <v>0</v>
      </c>
      <c r="I50" s="26">
        <f t="shared" si="3"/>
        <v>0</v>
      </c>
      <c r="J50" s="27" t="str">
        <f t="shared" si="4"/>
        <v>CO2REMOV</v>
      </c>
      <c r="K50" s="27" t="str">
        <f t="shared" si="5"/>
        <v>UNPAID</v>
      </c>
      <c r="L50" s="23">
        <f t="shared" si="9"/>
        <v>0</v>
      </c>
      <c r="M50" s="27">
        <f t="shared" si="6"/>
        <v>0</v>
      </c>
      <c r="N50" s="22">
        <f t="shared" si="10"/>
        <v>0</v>
      </c>
      <c r="O50" s="28">
        <f t="shared" si="7"/>
        <v>0</v>
      </c>
      <c r="T50" s="20"/>
      <c r="AJ50" s="21"/>
    </row>
    <row r="51" spans="3:36" x14ac:dyDescent="0.35">
      <c r="C51" s="24" t="e">
        <f t="shared" si="8"/>
        <v>#VALUE!</v>
      </c>
      <c r="D51" s="25" t="str">
        <f t="shared" si="0"/>
        <v/>
      </c>
      <c r="E51" s="25">
        <f t="shared" si="1"/>
        <v>0</v>
      </c>
      <c r="F51" s="26">
        <f t="shared" si="2"/>
        <v>0</v>
      </c>
      <c r="G51" s="26">
        <f t="shared" si="3"/>
        <v>0</v>
      </c>
      <c r="H51" s="26">
        <f t="shared" si="3"/>
        <v>0</v>
      </c>
      <c r="I51" s="26">
        <f t="shared" si="3"/>
        <v>0</v>
      </c>
      <c r="J51" s="27" t="str">
        <f t="shared" si="4"/>
        <v>CO2REMOV</v>
      </c>
      <c r="K51" s="27" t="str">
        <f t="shared" si="5"/>
        <v>UNPAID</v>
      </c>
      <c r="L51" s="23">
        <f t="shared" si="9"/>
        <v>0</v>
      </c>
      <c r="M51" s="27">
        <f t="shared" si="6"/>
        <v>0</v>
      </c>
      <c r="N51" s="22">
        <f t="shared" si="10"/>
        <v>0</v>
      </c>
      <c r="O51" s="28">
        <f t="shared" si="7"/>
        <v>0</v>
      </c>
      <c r="T51" s="20"/>
      <c r="AJ51" s="21"/>
    </row>
    <row r="52" spans="3:36" x14ac:dyDescent="0.35">
      <c r="C52" s="24" t="e">
        <f t="shared" si="8"/>
        <v>#VALUE!</v>
      </c>
      <c r="D52" s="25" t="str">
        <f t="shared" si="0"/>
        <v/>
      </c>
      <c r="E52" s="25">
        <f t="shared" si="1"/>
        <v>0</v>
      </c>
      <c r="F52" s="26">
        <f t="shared" si="2"/>
        <v>0</v>
      </c>
      <c r="G52" s="26">
        <f t="shared" si="3"/>
        <v>0</v>
      </c>
      <c r="H52" s="26">
        <f t="shared" si="3"/>
        <v>0</v>
      </c>
      <c r="I52" s="26">
        <f t="shared" si="3"/>
        <v>0</v>
      </c>
      <c r="J52" s="27" t="str">
        <f t="shared" si="4"/>
        <v>CO2REMOV</v>
      </c>
      <c r="K52" s="27" t="str">
        <f t="shared" si="5"/>
        <v>UNPAID</v>
      </c>
      <c r="L52" s="23">
        <f t="shared" si="9"/>
        <v>0</v>
      </c>
      <c r="M52" s="27">
        <f t="shared" si="6"/>
        <v>0</v>
      </c>
      <c r="N52" s="22">
        <f t="shared" si="10"/>
        <v>0</v>
      </c>
      <c r="O52" s="28">
        <f t="shared" si="7"/>
        <v>0</v>
      </c>
      <c r="T52" s="20"/>
      <c r="AJ52" s="21"/>
    </row>
    <row r="53" spans="3:36" x14ac:dyDescent="0.35">
      <c r="C53" s="24" t="e">
        <f t="shared" si="8"/>
        <v>#VALUE!</v>
      </c>
      <c r="D53" s="25" t="str">
        <f t="shared" si="0"/>
        <v/>
      </c>
      <c r="E53" s="25">
        <f t="shared" si="1"/>
        <v>0</v>
      </c>
      <c r="F53" s="26">
        <f t="shared" si="2"/>
        <v>0</v>
      </c>
      <c r="G53" s="26">
        <f t="shared" si="3"/>
        <v>0</v>
      </c>
      <c r="H53" s="26">
        <f t="shared" si="3"/>
        <v>0</v>
      </c>
      <c r="I53" s="26">
        <f t="shared" si="3"/>
        <v>0</v>
      </c>
      <c r="J53" s="27" t="str">
        <f t="shared" si="4"/>
        <v>CO2REMOV</v>
      </c>
      <c r="K53" s="27" t="str">
        <f t="shared" si="5"/>
        <v>UNPAID</v>
      </c>
      <c r="L53" s="23">
        <f t="shared" si="9"/>
        <v>0</v>
      </c>
      <c r="M53" s="27">
        <f t="shared" si="6"/>
        <v>0</v>
      </c>
      <c r="N53" s="22">
        <f t="shared" si="10"/>
        <v>0</v>
      </c>
      <c r="O53" s="28">
        <f t="shared" si="7"/>
        <v>0</v>
      </c>
      <c r="T53" s="20"/>
      <c r="AJ53" s="21"/>
    </row>
    <row r="54" spans="3:36" x14ac:dyDescent="0.35">
      <c r="C54" s="24" t="e">
        <f t="shared" si="8"/>
        <v>#VALUE!</v>
      </c>
      <c r="D54" s="25" t="str">
        <f t="shared" si="0"/>
        <v/>
      </c>
      <c r="E54" s="25">
        <f t="shared" si="1"/>
        <v>0</v>
      </c>
      <c r="F54" s="26">
        <f t="shared" si="2"/>
        <v>0</v>
      </c>
      <c r="G54" s="26">
        <f t="shared" si="3"/>
        <v>0</v>
      </c>
      <c r="H54" s="26">
        <f t="shared" si="3"/>
        <v>0</v>
      </c>
      <c r="I54" s="26">
        <f t="shared" si="3"/>
        <v>0</v>
      </c>
      <c r="J54" s="27" t="str">
        <f t="shared" si="4"/>
        <v>CO2REMOV</v>
      </c>
      <c r="K54" s="27" t="str">
        <f t="shared" si="5"/>
        <v>UNPAID</v>
      </c>
      <c r="L54" s="23">
        <f t="shared" si="9"/>
        <v>0</v>
      </c>
      <c r="M54" s="27">
        <f t="shared" si="6"/>
        <v>0</v>
      </c>
      <c r="N54" s="22">
        <f t="shared" si="10"/>
        <v>0</v>
      </c>
      <c r="O54" s="28">
        <f t="shared" si="7"/>
        <v>0</v>
      </c>
      <c r="T54" s="20"/>
      <c r="AJ54" s="21"/>
    </row>
    <row r="55" spans="3:36" x14ac:dyDescent="0.35">
      <c r="C55" s="24" t="e">
        <f t="shared" si="8"/>
        <v>#VALUE!</v>
      </c>
      <c r="D55" s="25" t="str">
        <f t="shared" si="0"/>
        <v/>
      </c>
      <c r="E55" s="25">
        <f t="shared" si="1"/>
        <v>0</v>
      </c>
      <c r="F55" s="26">
        <f t="shared" si="2"/>
        <v>0</v>
      </c>
      <c r="G55" s="26">
        <f t="shared" si="3"/>
        <v>0</v>
      </c>
      <c r="H55" s="26">
        <f t="shared" si="3"/>
        <v>0</v>
      </c>
      <c r="I55" s="26">
        <f t="shared" si="3"/>
        <v>0</v>
      </c>
      <c r="J55" s="27" t="str">
        <f t="shared" si="4"/>
        <v>CO2REMOV</v>
      </c>
      <c r="K55" s="27" t="str">
        <f t="shared" si="5"/>
        <v>UNPAID</v>
      </c>
      <c r="L55" s="23">
        <f t="shared" si="9"/>
        <v>0</v>
      </c>
      <c r="M55" s="27">
        <f t="shared" si="6"/>
        <v>0</v>
      </c>
      <c r="N55" s="22">
        <f t="shared" si="10"/>
        <v>0</v>
      </c>
      <c r="O55" s="28">
        <f t="shared" si="7"/>
        <v>0</v>
      </c>
      <c r="T55" s="20"/>
      <c r="AJ55" s="21"/>
    </row>
    <row r="56" spans="3:36" x14ac:dyDescent="0.35">
      <c r="C56" s="24" t="e">
        <f t="shared" si="8"/>
        <v>#VALUE!</v>
      </c>
      <c r="D56" s="25" t="str">
        <f t="shared" si="0"/>
        <v/>
      </c>
      <c r="E56" s="25">
        <f t="shared" si="1"/>
        <v>0</v>
      </c>
      <c r="F56" s="26">
        <f t="shared" si="2"/>
        <v>0</v>
      </c>
      <c r="G56" s="26">
        <f t="shared" si="3"/>
        <v>0</v>
      </c>
      <c r="H56" s="26">
        <f t="shared" si="3"/>
        <v>0</v>
      </c>
      <c r="I56" s="26">
        <f t="shared" si="3"/>
        <v>0</v>
      </c>
      <c r="J56" s="27" t="str">
        <f t="shared" si="4"/>
        <v>CO2REMOV</v>
      </c>
      <c r="K56" s="27" t="str">
        <f t="shared" si="5"/>
        <v>UNPAID</v>
      </c>
      <c r="L56" s="23">
        <f t="shared" si="9"/>
        <v>0</v>
      </c>
      <c r="M56" s="27">
        <f t="shared" si="6"/>
        <v>0</v>
      </c>
      <c r="N56" s="22">
        <f t="shared" si="10"/>
        <v>0</v>
      </c>
      <c r="O56" s="28">
        <f t="shared" si="7"/>
        <v>0</v>
      </c>
      <c r="T56" s="20"/>
      <c r="AJ56" s="21"/>
    </row>
    <row r="57" spans="3:36" x14ac:dyDescent="0.35">
      <c r="C57" s="24" t="e">
        <f t="shared" si="8"/>
        <v>#VALUE!</v>
      </c>
      <c r="D57" s="25" t="str">
        <f t="shared" si="0"/>
        <v/>
      </c>
      <c r="E57" s="25">
        <f t="shared" si="1"/>
        <v>0</v>
      </c>
      <c r="F57" s="26">
        <f t="shared" si="2"/>
        <v>0</v>
      </c>
      <c r="G57" s="26">
        <f t="shared" si="3"/>
        <v>0</v>
      </c>
      <c r="H57" s="26">
        <f t="shared" si="3"/>
        <v>0</v>
      </c>
      <c r="I57" s="26">
        <f t="shared" si="3"/>
        <v>0</v>
      </c>
      <c r="J57" s="27" t="str">
        <f t="shared" si="4"/>
        <v>CO2REMOV</v>
      </c>
      <c r="K57" s="27" t="str">
        <f t="shared" si="5"/>
        <v>UNPAID</v>
      </c>
      <c r="L57" s="23">
        <f t="shared" si="9"/>
        <v>0</v>
      </c>
      <c r="M57" s="27">
        <f t="shared" si="6"/>
        <v>0</v>
      </c>
      <c r="N57" s="22">
        <f t="shared" si="10"/>
        <v>0</v>
      </c>
      <c r="O57" s="28">
        <f t="shared" si="7"/>
        <v>0</v>
      </c>
      <c r="T57" s="20"/>
      <c r="AJ57" s="21"/>
    </row>
    <row r="58" spans="3:36" x14ac:dyDescent="0.35">
      <c r="C58" s="24" t="e">
        <f t="shared" si="8"/>
        <v>#VALUE!</v>
      </c>
      <c r="D58" s="25" t="str">
        <f t="shared" si="0"/>
        <v/>
      </c>
      <c r="E58" s="25">
        <f t="shared" si="1"/>
        <v>0</v>
      </c>
      <c r="F58" s="26">
        <f t="shared" si="2"/>
        <v>0</v>
      </c>
      <c r="G58" s="26">
        <f t="shared" si="3"/>
        <v>0</v>
      </c>
      <c r="H58" s="26">
        <f t="shared" si="3"/>
        <v>0</v>
      </c>
      <c r="I58" s="26">
        <f t="shared" si="3"/>
        <v>0</v>
      </c>
      <c r="J58" s="27" t="str">
        <f t="shared" si="4"/>
        <v>CO2REMOV</v>
      </c>
      <c r="K58" s="27" t="str">
        <f t="shared" si="5"/>
        <v>UNPAID</v>
      </c>
      <c r="L58" s="23">
        <f t="shared" si="9"/>
        <v>0</v>
      </c>
      <c r="M58" s="27">
        <f t="shared" si="6"/>
        <v>0</v>
      </c>
      <c r="N58" s="22">
        <f t="shared" si="10"/>
        <v>0</v>
      </c>
      <c r="O58" s="28">
        <f t="shared" si="7"/>
        <v>0</v>
      </c>
      <c r="T58" s="20"/>
      <c r="AJ58" s="21"/>
    </row>
    <row r="59" spans="3:36" x14ac:dyDescent="0.35">
      <c r="C59" s="24" t="e">
        <f t="shared" si="8"/>
        <v>#VALUE!</v>
      </c>
      <c r="D59" s="25" t="str">
        <f t="shared" si="0"/>
        <v/>
      </c>
      <c r="E59" s="25">
        <f t="shared" si="1"/>
        <v>0</v>
      </c>
      <c r="F59" s="26">
        <f t="shared" si="2"/>
        <v>0</v>
      </c>
      <c r="G59" s="26">
        <f t="shared" si="3"/>
        <v>0</v>
      </c>
      <c r="H59" s="26">
        <f t="shared" si="3"/>
        <v>0</v>
      </c>
      <c r="I59" s="26">
        <f t="shared" si="3"/>
        <v>0</v>
      </c>
      <c r="J59" s="27" t="str">
        <f t="shared" si="4"/>
        <v>CO2REMOV</v>
      </c>
      <c r="K59" s="27" t="str">
        <f t="shared" si="5"/>
        <v>UNPAID</v>
      </c>
      <c r="L59" s="23">
        <f t="shared" si="9"/>
        <v>0</v>
      </c>
      <c r="M59" s="27">
        <f t="shared" si="6"/>
        <v>0</v>
      </c>
      <c r="N59" s="22">
        <f t="shared" si="10"/>
        <v>0</v>
      </c>
      <c r="O59" s="28">
        <f t="shared" si="7"/>
        <v>0</v>
      </c>
      <c r="T59" s="20"/>
      <c r="AJ59" s="21"/>
    </row>
    <row r="60" spans="3:36" x14ac:dyDescent="0.35">
      <c r="C60" s="24" t="e">
        <f t="shared" si="8"/>
        <v>#VALUE!</v>
      </c>
      <c r="D60" s="25" t="str">
        <f t="shared" si="0"/>
        <v/>
      </c>
      <c r="E60" s="25">
        <f t="shared" si="1"/>
        <v>0</v>
      </c>
      <c r="F60" s="26">
        <f t="shared" si="2"/>
        <v>0</v>
      </c>
      <c r="G60" s="26">
        <f t="shared" si="3"/>
        <v>0</v>
      </c>
      <c r="H60" s="26">
        <f t="shared" si="3"/>
        <v>0</v>
      </c>
      <c r="I60" s="26">
        <f t="shared" si="3"/>
        <v>0</v>
      </c>
      <c r="J60" s="27" t="str">
        <f t="shared" si="4"/>
        <v>CO2REMOV</v>
      </c>
      <c r="K60" s="27" t="str">
        <f t="shared" si="5"/>
        <v>UNPAID</v>
      </c>
      <c r="L60" s="23">
        <f t="shared" si="9"/>
        <v>0</v>
      </c>
      <c r="M60" s="27">
        <f t="shared" si="6"/>
        <v>0</v>
      </c>
      <c r="N60" s="22">
        <f t="shared" si="10"/>
        <v>0</v>
      </c>
      <c r="O60" s="28">
        <f t="shared" si="7"/>
        <v>0</v>
      </c>
      <c r="T60" s="20"/>
      <c r="AJ60" s="21"/>
    </row>
    <row r="61" spans="3:36" x14ac:dyDescent="0.35">
      <c r="C61" s="24" t="e">
        <f t="shared" si="8"/>
        <v>#VALUE!</v>
      </c>
      <c r="D61" s="25" t="str">
        <f t="shared" si="0"/>
        <v/>
      </c>
      <c r="E61" s="25">
        <f t="shared" si="1"/>
        <v>0</v>
      </c>
      <c r="F61" s="26">
        <f t="shared" si="2"/>
        <v>0</v>
      </c>
      <c r="G61" s="26">
        <f t="shared" si="3"/>
        <v>0</v>
      </c>
      <c r="H61" s="26">
        <f t="shared" si="3"/>
        <v>0</v>
      </c>
      <c r="I61" s="26">
        <f t="shared" si="3"/>
        <v>0</v>
      </c>
      <c r="J61" s="27" t="str">
        <f t="shared" si="4"/>
        <v>CO2REMOV</v>
      </c>
      <c r="K61" s="27" t="str">
        <f t="shared" si="5"/>
        <v>UNPAID</v>
      </c>
      <c r="L61" s="23">
        <f t="shared" si="9"/>
        <v>0</v>
      </c>
      <c r="M61" s="27">
        <f t="shared" si="6"/>
        <v>0</v>
      </c>
      <c r="N61" s="22">
        <f t="shared" si="10"/>
        <v>0</v>
      </c>
      <c r="O61" s="28">
        <f t="shared" si="7"/>
        <v>0</v>
      </c>
      <c r="T61" s="20"/>
      <c r="AJ61" s="21"/>
    </row>
    <row r="62" spans="3:36" x14ac:dyDescent="0.35">
      <c r="C62" s="24" t="e">
        <f t="shared" si="8"/>
        <v>#VALUE!</v>
      </c>
      <c r="D62" s="25" t="str">
        <f t="shared" si="0"/>
        <v/>
      </c>
      <c r="E62" s="25">
        <f t="shared" si="1"/>
        <v>0</v>
      </c>
      <c r="F62" s="26">
        <f t="shared" si="2"/>
        <v>0</v>
      </c>
      <c r="G62" s="26">
        <f t="shared" si="3"/>
        <v>0</v>
      </c>
      <c r="H62" s="26">
        <f t="shared" si="3"/>
        <v>0</v>
      </c>
      <c r="I62" s="26">
        <f t="shared" si="3"/>
        <v>0</v>
      </c>
      <c r="J62" s="27" t="str">
        <f t="shared" si="4"/>
        <v>CO2REMOV</v>
      </c>
      <c r="K62" s="27" t="str">
        <f t="shared" si="5"/>
        <v>UNPAID</v>
      </c>
      <c r="L62" s="23">
        <f t="shared" si="9"/>
        <v>0</v>
      </c>
      <c r="M62" s="27">
        <f t="shared" si="6"/>
        <v>0</v>
      </c>
      <c r="N62" s="22">
        <f t="shared" si="10"/>
        <v>0</v>
      </c>
      <c r="O62" s="28">
        <f t="shared" si="7"/>
        <v>0</v>
      </c>
      <c r="T62" s="20"/>
      <c r="AJ62" s="21"/>
    </row>
    <row r="63" spans="3:36" x14ac:dyDescent="0.35">
      <c r="C63" s="24" t="e">
        <f t="shared" si="8"/>
        <v>#VALUE!</v>
      </c>
      <c r="D63" s="25" t="str">
        <f t="shared" si="0"/>
        <v/>
      </c>
      <c r="E63" s="25">
        <f t="shared" si="1"/>
        <v>0</v>
      </c>
      <c r="F63" s="26">
        <f t="shared" si="2"/>
        <v>0</v>
      </c>
      <c r="G63" s="26">
        <f t="shared" si="3"/>
        <v>0</v>
      </c>
      <c r="H63" s="26">
        <f t="shared" si="3"/>
        <v>0</v>
      </c>
      <c r="I63" s="26">
        <f t="shared" si="3"/>
        <v>0</v>
      </c>
      <c r="J63" s="27" t="str">
        <f t="shared" si="4"/>
        <v>CO2REMOV</v>
      </c>
      <c r="K63" s="27" t="str">
        <f t="shared" si="5"/>
        <v>UNPAID</v>
      </c>
      <c r="L63" s="23">
        <f t="shared" si="9"/>
        <v>0</v>
      </c>
      <c r="M63" s="27">
        <f t="shared" si="6"/>
        <v>0</v>
      </c>
      <c r="N63" s="22">
        <f t="shared" si="10"/>
        <v>0</v>
      </c>
      <c r="O63" s="28">
        <f t="shared" si="7"/>
        <v>0</v>
      </c>
      <c r="T63" s="20"/>
      <c r="AJ63" s="21"/>
    </row>
    <row r="64" spans="3:36" x14ac:dyDescent="0.35">
      <c r="C64" s="24" t="e">
        <f t="shared" si="8"/>
        <v>#VALUE!</v>
      </c>
      <c r="D64" s="25" t="str">
        <f t="shared" si="0"/>
        <v/>
      </c>
      <c r="E64" s="25">
        <f t="shared" si="1"/>
        <v>0</v>
      </c>
      <c r="F64" s="26">
        <f t="shared" si="2"/>
        <v>0</v>
      </c>
      <c r="G64" s="26">
        <f t="shared" si="3"/>
        <v>0</v>
      </c>
      <c r="H64" s="26">
        <f t="shared" si="3"/>
        <v>0</v>
      </c>
      <c r="I64" s="26">
        <f t="shared" si="3"/>
        <v>0</v>
      </c>
      <c r="J64" s="27" t="str">
        <f t="shared" si="4"/>
        <v>CO2REMOV</v>
      </c>
      <c r="K64" s="27" t="str">
        <f t="shared" si="5"/>
        <v>UNPAID</v>
      </c>
      <c r="L64" s="23">
        <f t="shared" si="9"/>
        <v>0</v>
      </c>
      <c r="M64" s="27">
        <f t="shared" si="6"/>
        <v>0</v>
      </c>
      <c r="N64" s="22">
        <f t="shared" si="10"/>
        <v>0</v>
      </c>
      <c r="O64" s="28">
        <f t="shared" si="7"/>
        <v>0</v>
      </c>
      <c r="T64" s="20"/>
      <c r="AJ64" s="21"/>
    </row>
    <row r="65" spans="3:36" x14ac:dyDescent="0.35">
      <c r="C65" s="24" t="e">
        <f t="shared" si="8"/>
        <v>#VALUE!</v>
      </c>
      <c r="D65" s="25" t="str">
        <f t="shared" si="0"/>
        <v/>
      </c>
      <c r="E65" s="25">
        <f t="shared" si="1"/>
        <v>0</v>
      </c>
      <c r="F65" s="26">
        <f t="shared" si="2"/>
        <v>0</v>
      </c>
      <c r="G65" s="26">
        <f t="shared" si="3"/>
        <v>0</v>
      </c>
      <c r="H65" s="26">
        <f t="shared" si="3"/>
        <v>0</v>
      </c>
      <c r="I65" s="26">
        <f t="shared" si="3"/>
        <v>0</v>
      </c>
      <c r="J65" s="27" t="str">
        <f t="shared" si="4"/>
        <v>CO2REMOV</v>
      </c>
      <c r="K65" s="27" t="str">
        <f t="shared" si="5"/>
        <v>UNPAID</v>
      </c>
      <c r="L65" s="23">
        <f t="shared" si="9"/>
        <v>0</v>
      </c>
      <c r="M65" s="27">
        <f t="shared" si="6"/>
        <v>0</v>
      </c>
      <c r="N65" s="22">
        <f t="shared" si="10"/>
        <v>0</v>
      </c>
      <c r="O65" s="28">
        <f t="shared" si="7"/>
        <v>0</v>
      </c>
      <c r="T65" s="20"/>
      <c r="AJ65" s="21"/>
    </row>
    <row r="66" spans="3:36" x14ac:dyDescent="0.35">
      <c r="C66" s="24" t="e">
        <f t="shared" si="8"/>
        <v>#VALUE!</v>
      </c>
      <c r="D66" s="25" t="str">
        <f t="shared" si="0"/>
        <v/>
      </c>
      <c r="E66" s="25">
        <f t="shared" si="1"/>
        <v>0</v>
      </c>
      <c r="F66" s="26">
        <f t="shared" si="2"/>
        <v>0</v>
      </c>
      <c r="G66" s="26">
        <f t="shared" si="3"/>
        <v>0</v>
      </c>
      <c r="H66" s="26">
        <f t="shared" si="3"/>
        <v>0</v>
      </c>
      <c r="I66" s="26">
        <f t="shared" si="3"/>
        <v>0</v>
      </c>
      <c r="J66" s="27" t="str">
        <f t="shared" si="4"/>
        <v>CO2REMOV</v>
      </c>
      <c r="K66" s="27" t="str">
        <f t="shared" si="5"/>
        <v>UNPAID</v>
      </c>
      <c r="L66" s="23">
        <f t="shared" si="9"/>
        <v>0</v>
      </c>
      <c r="M66" s="27">
        <f t="shared" si="6"/>
        <v>0</v>
      </c>
      <c r="N66" s="22">
        <f t="shared" si="10"/>
        <v>0</v>
      </c>
      <c r="O66" s="28">
        <f t="shared" si="7"/>
        <v>0</v>
      </c>
      <c r="T66" s="20"/>
      <c r="AJ66" s="21"/>
    </row>
    <row r="67" spans="3:36" x14ac:dyDescent="0.35">
      <c r="C67" s="24" t="e">
        <f t="shared" si="8"/>
        <v>#VALUE!</v>
      </c>
      <c r="D67" s="25" t="str">
        <f t="shared" si="0"/>
        <v/>
      </c>
      <c r="E67" s="25">
        <f t="shared" si="1"/>
        <v>0</v>
      </c>
      <c r="F67" s="26">
        <f t="shared" si="2"/>
        <v>0</v>
      </c>
      <c r="G67" s="26">
        <f t="shared" si="3"/>
        <v>0</v>
      </c>
      <c r="H67" s="26">
        <f t="shared" si="3"/>
        <v>0</v>
      </c>
      <c r="I67" s="26">
        <f t="shared" si="3"/>
        <v>0</v>
      </c>
      <c r="J67" s="27" t="str">
        <f t="shared" si="4"/>
        <v>CO2REMOV</v>
      </c>
      <c r="K67" s="27" t="str">
        <f t="shared" si="5"/>
        <v>UNPAID</v>
      </c>
      <c r="L67" s="23">
        <f t="shared" si="9"/>
        <v>0</v>
      </c>
      <c r="M67" s="27">
        <f t="shared" si="6"/>
        <v>0</v>
      </c>
      <c r="N67" s="22">
        <f t="shared" si="10"/>
        <v>0</v>
      </c>
      <c r="O67" s="28">
        <f t="shared" si="7"/>
        <v>0</v>
      </c>
      <c r="T67" s="20"/>
      <c r="AJ67" s="21"/>
    </row>
    <row r="68" spans="3:36" x14ac:dyDescent="0.35">
      <c r="C68" s="24" t="e">
        <f t="shared" si="8"/>
        <v>#VALUE!</v>
      </c>
      <c r="D68" s="25" t="str">
        <f t="shared" si="0"/>
        <v/>
      </c>
      <c r="E68" s="25">
        <f t="shared" si="1"/>
        <v>0</v>
      </c>
      <c r="F68" s="26">
        <f t="shared" si="2"/>
        <v>0</v>
      </c>
      <c r="G68" s="26">
        <f t="shared" si="3"/>
        <v>0</v>
      </c>
      <c r="H68" s="26">
        <f t="shared" si="3"/>
        <v>0</v>
      </c>
      <c r="I68" s="26">
        <f t="shared" si="3"/>
        <v>0</v>
      </c>
      <c r="J68" s="27" t="str">
        <f t="shared" si="4"/>
        <v>CO2REMOV</v>
      </c>
      <c r="K68" s="27" t="str">
        <f t="shared" si="5"/>
        <v>UNPAID</v>
      </c>
      <c r="L68" s="23">
        <f t="shared" si="9"/>
        <v>0</v>
      </c>
      <c r="M68" s="27">
        <f t="shared" si="6"/>
        <v>0</v>
      </c>
      <c r="N68" s="22">
        <f t="shared" si="10"/>
        <v>0</v>
      </c>
      <c r="O68" s="28">
        <f t="shared" si="7"/>
        <v>0</v>
      </c>
      <c r="T68" s="20"/>
      <c r="AJ68" s="21"/>
    </row>
    <row r="69" spans="3:36" x14ac:dyDescent="0.35">
      <c r="C69" s="24" t="e">
        <f t="shared" si="8"/>
        <v>#VALUE!</v>
      </c>
      <c r="D69" s="25" t="str">
        <f t="shared" si="0"/>
        <v/>
      </c>
      <c r="E69" s="25">
        <f t="shared" si="1"/>
        <v>0</v>
      </c>
      <c r="F69" s="26">
        <f t="shared" si="2"/>
        <v>0</v>
      </c>
      <c r="G69" s="26">
        <f t="shared" si="3"/>
        <v>0</v>
      </c>
      <c r="H69" s="26">
        <f t="shared" si="3"/>
        <v>0</v>
      </c>
      <c r="I69" s="26">
        <f t="shared" si="3"/>
        <v>0</v>
      </c>
      <c r="J69" s="27" t="str">
        <f t="shared" si="4"/>
        <v>CO2REMOV</v>
      </c>
      <c r="K69" s="27" t="str">
        <f t="shared" si="5"/>
        <v>UNPAID</v>
      </c>
      <c r="L69" s="23">
        <f t="shared" si="9"/>
        <v>0</v>
      </c>
      <c r="M69" s="27">
        <f t="shared" si="6"/>
        <v>0</v>
      </c>
      <c r="N69" s="22">
        <f t="shared" si="10"/>
        <v>0</v>
      </c>
      <c r="O69" s="28">
        <f t="shared" si="7"/>
        <v>0</v>
      </c>
      <c r="T69" s="20"/>
      <c r="AJ69" s="21"/>
    </row>
    <row r="70" spans="3:36" x14ac:dyDescent="0.35">
      <c r="C70" s="24" t="e">
        <f t="shared" si="8"/>
        <v>#VALUE!</v>
      </c>
      <c r="D70" s="25" t="str">
        <f t="shared" si="0"/>
        <v/>
      </c>
      <c r="E70" s="25">
        <f t="shared" si="1"/>
        <v>0</v>
      </c>
      <c r="F70" s="26">
        <f t="shared" si="2"/>
        <v>0</v>
      </c>
      <c r="G70" s="26">
        <f t="shared" si="3"/>
        <v>0</v>
      </c>
      <c r="H70" s="26">
        <f t="shared" si="3"/>
        <v>0</v>
      </c>
      <c r="I70" s="26">
        <f t="shared" si="3"/>
        <v>0</v>
      </c>
      <c r="J70" s="27" t="str">
        <f t="shared" si="4"/>
        <v>CO2REMOV</v>
      </c>
      <c r="K70" s="27" t="str">
        <f t="shared" si="5"/>
        <v>UNPAID</v>
      </c>
      <c r="L70" s="23">
        <f t="shared" si="9"/>
        <v>0</v>
      </c>
      <c r="M70" s="27">
        <f t="shared" si="6"/>
        <v>0</v>
      </c>
      <c r="N70" s="22">
        <f t="shared" si="10"/>
        <v>0</v>
      </c>
      <c r="O70" s="28">
        <f t="shared" si="7"/>
        <v>0</v>
      </c>
      <c r="T70" s="20"/>
      <c r="AJ70" s="21"/>
    </row>
    <row r="71" spans="3:36" x14ac:dyDescent="0.35">
      <c r="C71" s="24" t="e">
        <f t="shared" si="8"/>
        <v>#VALUE!</v>
      </c>
      <c r="D71" s="25" t="str">
        <f t="shared" si="0"/>
        <v/>
      </c>
      <c r="E71" s="25">
        <f t="shared" si="1"/>
        <v>0</v>
      </c>
      <c r="F71" s="26">
        <f t="shared" si="2"/>
        <v>0</v>
      </c>
      <c r="G71" s="26">
        <f t="shared" si="3"/>
        <v>0</v>
      </c>
      <c r="H71" s="26">
        <f t="shared" si="3"/>
        <v>0</v>
      </c>
      <c r="I71" s="26">
        <f t="shared" si="3"/>
        <v>0</v>
      </c>
      <c r="J71" s="27" t="str">
        <f t="shared" si="4"/>
        <v>CO2REMOV</v>
      </c>
      <c r="K71" s="27" t="str">
        <f t="shared" si="5"/>
        <v>UNPAID</v>
      </c>
      <c r="L71" s="23">
        <f t="shared" si="9"/>
        <v>0</v>
      </c>
      <c r="M71" s="27">
        <f t="shared" si="6"/>
        <v>0</v>
      </c>
      <c r="N71" s="22">
        <f t="shared" si="10"/>
        <v>0</v>
      </c>
      <c r="O71" s="28">
        <f t="shared" si="7"/>
        <v>0</v>
      </c>
      <c r="T71" s="20"/>
      <c r="AJ71" s="21"/>
    </row>
    <row r="72" spans="3:36" x14ac:dyDescent="0.35">
      <c r="C72" s="24" t="e">
        <f>IF(DAY(C71)=DAY(EOMONTH(C71,0)), "", C71+1)</f>
        <v>#VALUE!</v>
      </c>
      <c r="D72" s="25" t="str">
        <f t="shared" si="0"/>
        <v/>
      </c>
      <c r="E72" s="25">
        <f t="shared" si="1"/>
        <v>0</v>
      </c>
      <c r="F72" s="26">
        <f t="shared" si="2"/>
        <v>0</v>
      </c>
      <c r="G72" s="26">
        <f t="shared" si="3"/>
        <v>0</v>
      </c>
      <c r="H72" s="26">
        <f t="shared" si="3"/>
        <v>0</v>
      </c>
      <c r="I72" s="26">
        <f t="shared" si="3"/>
        <v>0</v>
      </c>
      <c r="J72" s="27" t="str">
        <f t="shared" si="4"/>
        <v>CO2REMOV</v>
      </c>
      <c r="K72" s="27" t="str">
        <f t="shared" si="5"/>
        <v>UNPAID</v>
      </c>
      <c r="L72" s="23">
        <f t="shared" si="9"/>
        <v>0</v>
      </c>
      <c r="M72" s="27">
        <f t="shared" si="6"/>
        <v>0</v>
      </c>
      <c r="N72" s="22">
        <f t="shared" si="10"/>
        <v>0</v>
      </c>
      <c r="O72" s="28">
        <f t="shared" si="7"/>
        <v>0</v>
      </c>
      <c r="T72" s="20"/>
      <c r="AJ72" s="21"/>
    </row>
    <row r="73" spans="3:36" x14ac:dyDescent="0.35">
      <c r="C73" s="24" t="s">
        <v>54</v>
      </c>
      <c r="D73" s="25"/>
      <c r="E73" s="25"/>
      <c r="F73" s="26"/>
      <c r="G73" s="26"/>
      <c r="H73" s="26"/>
      <c r="I73" s="26"/>
      <c r="J73" s="27"/>
      <c r="K73" s="27" t="str">
        <f t="shared" si="5"/>
        <v>UNPAID</v>
      </c>
      <c r="L73" s="23">
        <f t="shared" si="9"/>
        <v>0</v>
      </c>
      <c r="M73" s="27"/>
      <c r="N73" s="22"/>
      <c r="O73" s="28"/>
      <c r="T73" s="20"/>
      <c r="AJ73" s="21"/>
    </row>
    <row r="74" spans="3:36" x14ac:dyDescent="0.35">
      <c r="C74" s="24" t="e">
        <f>IF(NOT(ISBLANK(C72)), C71+1, C71)</f>
        <v>#VALUE!</v>
      </c>
      <c r="D74" s="25" t="str">
        <f t="shared" si="0"/>
        <v/>
      </c>
      <c r="E74" s="25">
        <f t="shared" si="1"/>
        <v>0</v>
      </c>
      <c r="F74" s="26">
        <f t="shared" si="2"/>
        <v>0</v>
      </c>
      <c r="G74" s="26">
        <f t="shared" si="3"/>
        <v>0</v>
      </c>
      <c r="H74" s="26">
        <f t="shared" si="3"/>
        <v>0</v>
      </c>
      <c r="I74" s="26">
        <f t="shared" si="3"/>
        <v>0</v>
      </c>
      <c r="J74" s="27" t="str">
        <f t="shared" si="4"/>
        <v>CO2REMOV</v>
      </c>
      <c r="K74" s="27" t="str">
        <f t="shared" si="5"/>
        <v>UNPAID</v>
      </c>
      <c r="L74" s="23">
        <f t="shared" si="9"/>
        <v>0</v>
      </c>
      <c r="M74" s="27">
        <f t="shared" si="6"/>
        <v>0</v>
      </c>
      <c r="N74" s="22">
        <f t="shared" si="10"/>
        <v>0</v>
      </c>
      <c r="O74" s="28">
        <f t="shared" si="7"/>
        <v>0</v>
      </c>
      <c r="T74" s="20"/>
      <c r="AJ74" s="21"/>
    </row>
    <row r="75" spans="3:36" x14ac:dyDescent="0.35">
      <c r="C75" s="24" t="e">
        <f t="shared" si="8"/>
        <v>#VALUE!</v>
      </c>
      <c r="D75" s="25" t="str">
        <f t="shared" si="0"/>
        <v/>
      </c>
      <c r="E75" s="25">
        <f t="shared" si="1"/>
        <v>0</v>
      </c>
      <c r="F75" s="26">
        <f t="shared" si="2"/>
        <v>0</v>
      </c>
      <c r="G75" s="26">
        <f t="shared" si="3"/>
        <v>0</v>
      </c>
      <c r="H75" s="26">
        <f t="shared" si="3"/>
        <v>0</v>
      </c>
      <c r="I75" s="26">
        <f t="shared" si="3"/>
        <v>0</v>
      </c>
      <c r="J75" s="27" t="str">
        <f t="shared" si="4"/>
        <v>CO2REMOV</v>
      </c>
      <c r="K75" s="27" t="str">
        <f t="shared" si="5"/>
        <v>UNPAID</v>
      </c>
      <c r="L75" s="23">
        <f t="shared" si="9"/>
        <v>0</v>
      </c>
      <c r="M75" s="27">
        <f t="shared" si="6"/>
        <v>0</v>
      </c>
      <c r="N75" s="22">
        <f t="shared" si="10"/>
        <v>0</v>
      </c>
      <c r="O75" s="28">
        <f t="shared" si="7"/>
        <v>0</v>
      </c>
      <c r="T75" s="20"/>
      <c r="AJ75" s="21"/>
    </row>
    <row r="76" spans="3:36" x14ac:dyDescent="0.35">
      <c r="C76" s="24" t="e">
        <f t="shared" si="8"/>
        <v>#VALUE!</v>
      </c>
      <c r="D76" s="25" t="str">
        <f t="shared" si="0"/>
        <v/>
      </c>
      <c r="E76" s="25">
        <f t="shared" si="1"/>
        <v>0</v>
      </c>
      <c r="F76" s="26">
        <f t="shared" si="2"/>
        <v>0</v>
      </c>
      <c r="G76" s="26">
        <f t="shared" si="3"/>
        <v>0</v>
      </c>
      <c r="H76" s="26">
        <f t="shared" si="3"/>
        <v>0</v>
      </c>
      <c r="I76" s="26">
        <f t="shared" si="3"/>
        <v>0</v>
      </c>
      <c r="J76" s="27" t="str">
        <f t="shared" si="4"/>
        <v>CO2REMOV</v>
      </c>
      <c r="K76" s="27" t="str">
        <f t="shared" si="5"/>
        <v>UNPAID</v>
      </c>
      <c r="L76" s="23">
        <f t="shared" si="9"/>
        <v>0</v>
      </c>
      <c r="M76" s="27">
        <f t="shared" si="6"/>
        <v>0</v>
      </c>
      <c r="N76" s="22">
        <f t="shared" si="10"/>
        <v>0</v>
      </c>
      <c r="O76" s="28">
        <f t="shared" si="7"/>
        <v>0</v>
      </c>
      <c r="T76" s="20"/>
      <c r="AJ76" s="21"/>
    </row>
    <row r="77" spans="3:36" x14ac:dyDescent="0.35">
      <c r="C77" s="24" t="e">
        <f t="shared" ref="C77:C140" si="11">C76+1</f>
        <v>#VALUE!</v>
      </c>
      <c r="D77" s="25" t="str">
        <f t="shared" si="0"/>
        <v/>
      </c>
      <c r="E77" s="25">
        <f t="shared" si="1"/>
        <v>0</v>
      </c>
      <c r="F77" s="26">
        <f t="shared" si="2"/>
        <v>0</v>
      </c>
      <c r="G77" s="26">
        <f t="shared" si="3"/>
        <v>0</v>
      </c>
      <c r="H77" s="26">
        <f t="shared" si="3"/>
        <v>0</v>
      </c>
      <c r="I77" s="26">
        <f t="shared" si="3"/>
        <v>0</v>
      </c>
      <c r="J77" s="27" t="str">
        <f t="shared" si="4"/>
        <v>CO2REMOV</v>
      </c>
      <c r="K77" s="27" t="str">
        <f t="shared" si="5"/>
        <v>UNPAID</v>
      </c>
      <c r="L77" s="23">
        <f t="shared" ref="L77:L140" si="12">IF(K77="PAID",AA77,0)</f>
        <v>0</v>
      </c>
      <c r="M77" s="27">
        <f t="shared" si="6"/>
        <v>0</v>
      </c>
      <c r="N77" s="22">
        <f t="shared" si="10"/>
        <v>0</v>
      </c>
      <c r="O77" s="28">
        <f t="shared" si="7"/>
        <v>0</v>
      </c>
      <c r="T77" s="20"/>
      <c r="AJ77" s="21"/>
    </row>
    <row r="78" spans="3:36" x14ac:dyDescent="0.35">
      <c r="C78" s="24" t="e">
        <f t="shared" si="11"/>
        <v>#VALUE!</v>
      </c>
      <c r="D78" s="25" t="str">
        <f t="shared" si="0"/>
        <v/>
      </c>
      <c r="E78" s="25">
        <f t="shared" si="1"/>
        <v>0</v>
      </c>
      <c r="F78" s="26">
        <f t="shared" si="2"/>
        <v>0</v>
      </c>
      <c r="G78" s="26">
        <f t="shared" si="3"/>
        <v>0</v>
      </c>
      <c r="H78" s="26">
        <f t="shared" si="3"/>
        <v>0</v>
      </c>
      <c r="I78" s="26">
        <f t="shared" si="3"/>
        <v>0</v>
      </c>
      <c r="J78" s="27" t="str">
        <f t="shared" si="4"/>
        <v>CO2REMOV</v>
      </c>
      <c r="K78" s="27" t="str">
        <f t="shared" si="5"/>
        <v>UNPAID</v>
      </c>
      <c r="L78" s="23">
        <f t="shared" si="12"/>
        <v>0</v>
      </c>
      <c r="M78" s="27">
        <f t="shared" si="6"/>
        <v>0</v>
      </c>
      <c r="N78" s="22">
        <f t="shared" si="10"/>
        <v>0</v>
      </c>
      <c r="O78" s="28">
        <f t="shared" si="7"/>
        <v>0</v>
      </c>
      <c r="T78" s="20"/>
      <c r="AJ78" s="21"/>
    </row>
    <row r="79" spans="3:36" x14ac:dyDescent="0.35">
      <c r="C79" s="24" t="e">
        <f t="shared" si="11"/>
        <v>#VALUE!</v>
      </c>
      <c r="D79" s="25" t="str">
        <f t="shared" si="0"/>
        <v/>
      </c>
      <c r="E79" s="25">
        <f t="shared" si="1"/>
        <v>0</v>
      </c>
      <c r="F79" s="26">
        <f t="shared" si="2"/>
        <v>0</v>
      </c>
      <c r="G79" s="26">
        <f t="shared" si="3"/>
        <v>0</v>
      </c>
      <c r="H79" s="26">
        <f t="shared" si="3"/>
        <v>0</v>
      </c>
      <c r="I79" s="26">
        <f t="shared" si="3"/>
        <v>0</v>
      </c>
      <c r="J79" s="27" t="str">
        <f t="shared" si="4"/>
        <v>CO2REMOV</v>
      </c>
      <c r="K79" s="27" t="str">
        <f t="shared" si="5"/>
        <v>UNPAID</v>
      </c>
      <c r="L79" s="23">
        <f t="shared" si="12"/>
        <v>0</v>
      </c>
      <c r="M79" s="27">
        <f t="shared" si="6"/>
        <v>0</v>
      </c>
      <c r="N79" s="22">
        <f t="shared" si="10"/>
        <v>0</v>
      </c>
      <c r="O79" s="28">
        <f t="shared" si="7"/>
        <v>0</v>
      </c>
      <c r="T79" s="20"/>
      <c r="AJ79" s="21"/>
    </row>
    <row r="80" spans="3:36" x14ac:dyDescent="0.35">
      <c r="C80" s="24" t="e">
        <f t="shared" si="11"/>
        <v>#VALUE!</v>
      </c>
      <c r="D80" s="25" t="str">
        <f t="shared" ref="D80:D145" si="13">IF(W80="","",ROUND(W80,0))</f>
        <v/>
      </c>
      <c r="E80" s="25">
        <f t="shared" ref="E80:E145" si="14">IF(X80="",0,X80)</f>
        <v>0</v>
      </c>
      <c r="F80" s="26">
        <f t="shared" ref="F80:F145" si="15">Y80</f>
        <v>0</v>
      </c>
      <c r="G80" s="26">
        <f t="shared" ref="G80:I145" si="16">AE80*24</f>
        <v>0</v>
      </c>
      <c r="H80" s="26">
        <f t="shared" si="16"/>
        <v>0</v>
      </c>
      <c r="I80" s="26">
        <f t="shared" si="16"/>
        <v>0</v>
      </c>
      <c r="J80" s="27" t="str">
        <f t="shared" ref="J80:J145" si="17">$D$6</f>
        <v>CO2REMOV</v>
      </c>
      <c r="K80" s="27" t="str">
        <f t="shared" si="5"/>
        <v>UNPAID</v>
      </c>
      <c r="L80" s="23">
        <f t="shared" si="12"/>
        <v>0</v>
      </c>
      <c r="M80" s="27">
        <f t="shared" ref="M80:M145" si="18">F80</f>
        <v>0</v>
      </c>
      <c r="N80" s="22">
        <f t="shared" si="10"/>
        <v>0</v>
      </c>
      <c r="O80" s="28">
        <f t="shared" ref="O80:O145" si="19">AJ80</f>
        <v>0</v>
      </c>
      <c r="T80" s="20"/>
      <c r="AJ80" s="21"/>
    </row>
    <row r="81" spans="3:36" x14ac:dyDescent="0.35">
      <c r="C81" s="24" t="e">
        <f t="shared" si="11"/>
        <v>#VALUE!</v>
      </c>
      <c r="D81" s="25" t="str">
        <f t="shared" si="13"/>
        <v/>
      </c>
      <c r="E81" s="25">
        <f t="shared" si="14"/>
        <v>0</v>
      </c>
      <c r="F81" s="26">
        <f t="shared" si="15"/>
        <v>0</v>
      </c>
      <c r="G81" s="26">
        <f t="shared" si="16"/>
        <v>0</v>
      </c>
      <c r="H81" s="26">
        <f t="shared" si="16"/>
        <v>0</v>
      </c>
      <c r="I81" s="26">
        <f t="shared" si="16"/>
        <v>0</v>
      </c>
      <c r="J81" s="27" t="str">
        <f t="shared" si="17"/>
        <v>CO2REMOV</v>
      </c>
      <c r="K81" s="27" t="str">
        <f t="shared" si="5"/>
        <v>UNPAID</v>
      </c>
      <c r="L81" s="23">
        <f t="shared" si="12"/>
        <v>0</v>
      </c>
      <c r="M81" s="27">
        <f t="shared" si="18"/>
        <v>0</v>
      </c>
      <c r="N81" s="22">
        <f t="shared" si="10"/>
        <v>0</v>
      </c>
      <c r="O81" s="28">
        <f t="shared" si="19"/>
        <v>0</v>
      </c>
      <c r="T81" s="20"/>
      <c r="AJ81" s="21"/>
    </row>
    <row r="82" spans="3:36" x14ac:dyDescent="0.35">
      <c r="C82" s="24" t="e">
        <f t="shared" si="11"/>
        <v>#VALUE!</v>
      </c>
      <c r="D82" s="25" t="str">
        <f t="shared" si="13"/>
        <v/>
      </c>
      <c r="E82" s="25">
        <f t="shared" si="14"/>
        <v>0</v>
      </c>
      <c r="F82" s="26">
        <f t="shared" si="15"/>
        <v>0</v>
      </c>
      <c r="G82" s="26">
        <f t="shared" si="16"/>
        <v>0</v>
      </c>
      <c r="H82" s="26">
        <f t="shared" si="16"/>
        <v>0</v>
      </c>
      <c r="I82" s="26">
        <f t="shared" si="16"/>
        <v>0</v>
      </c>
      <c r="J82" s="27" t="str">
        <f t="shared" si="17"/>
        <v>CO2REMOV</v>
      </c>
      <c r="K82" s="27" t="str">
        <f t="shared" si="5"/>
        <v>UNPAID</v>
      </c>
      <c r="L82" s="23">
        <f t="shared" si="12"/>
        <v>0</v>
      </c>
      <c r="M82" s="27">
        <f t="shared" si="18"/>
        <v>0</v>
      </c>
      <c r="N82" s="22">
        <f t="shared" si="10"/>
        <v>0</v>
      </c>
      <c r="O82" s="28">
        <f t="shared" si="19"/>
        <v>0</v>
      </c>
      <c r="T82" s="20"/>
      <c r="AJ82" s="21"/>
    </row>
    <row r="83" spans="3:36" x14ac:dyDescent="0.35">
      <c r="C83" s="24" t="e">
        <f t="shared" si="11"/>
        <v>#VALUE!</v>
      </c>
      <c r="D83" s="25" t="str">
        <f t="shared" si="13"/>
        <v/>
      </c>
      <c r="E83" s="25">
        <f t="shared" si="14"/>
        <v>0</v>
      </c>
      <c r="F83" s="26">
        <f t="shared" si="15"/>
        <v>0</v>
      </c>
      <c r="G83" s="26">
        <f t="shared" si="16"/>
        <v>0</v>
      </c>
      <c r="H83" s="26">
        <f t="shared" si="16"/>
        <v>0</v>
      </c>
      <c r="I83" s="26">
        <f t="shared" si="16"/>
        <v>0</v>
      </c>
      <c r="J83" s="27" t="str">
        <f t="shared" si="17"/>
        <v>CO2REMOV</v>
      </c>
      <c r="K83" s="27" t="str">
        <f t="shared" si="5"/>
        <v>UNPAID</v>
      </c>
      <c r="L83" s="23">
        <f t="shared" si="12"/>
        <v>0</v>
      </c>
      <c r="M83" s="27">
        <f t="shared" si="18"/>
        <v>0</v>
      </c>
      <c r="N83" s="22">
        <f t="shared" si="10"/>
        <v>0</v>
      </c>
      <c r="O83" s="28">
        <f t="shared" si="19"/>
        <v>0</v>
      </c>
      <c r="T83" s="20"/>
      <c r="AJ83" s="21"/>
    </row>
    <row r="84" spans="3:36" x14ac:dyDescent="0.35">
      <c r="C84" s="24" t="e">
        <f t="shared" si="11"/>
        <v>#VALUE!</v>
      </c>
      <c r="D84" s="25" t="str">
        <f t="shared" si="13"/>
        <v/>
      </c>
      <c r="E84" s="25">
        <f t="shared" si="14"/>
        <v>0</v>
      </c>
      <c r="F84" s="26">
        <f t="shared" si="15"/>
        <v>0</v>
      </c>
      <c r="G84" s="26">
        <f t="shared" si="16"/>
        <v>0</v>
      </c>
      <c r="H84" s="26">
        <f t="shared" si="16"/>
        <v>0</v>
      </c>
      <c r="I84" s="26">
        <f t="shared" si="16"/>
        <v>0</v>
      </c>
      <c r="J84" s="27" t="str">
        <f t="shared" si="17"/>
        <v>CO2REMOV</v>
      </c>
      <c r="K84" s="27" t="str">
        <f t="shared" si="5"/>
        <v>UNPAID</v>
      </c>
      <c r="L84" s="23">
        <f t="shared" si="12"/>
        <v>0</v>
      </c>
      <c r="M84" s="27">
        <f t="shared" si="18"/>
        <v>0</v>
      </c>
      <c r="N84" s="22">
        <f t="shared" si="10"/>
        <v>0</v>
      </c>
      <c r="O84" s="28">
        <f t="shared" si="19"/>
        <v>0</v>
      </c>
      <c r="T84" s="20"/>
      <c r="AJ84" s="21"/>
    </row>
    <row r="85" spans="3:36" x14ac:dyDescent="0.35">
      <c r="C85" s="24" t="e">
        <f t="shared" si="11"/>
        <v>#VALUE!</v>
      </c>
      <c r="D85" s="25" t="str">
        <f t="shared" si="13"/>
        <v/>
      </c>
      <c r="E85" s="25">
        <f t="shared" si="14"/>
        <v>0</v>
      </c>
      <c r="F85" s="26">
        <f t="shared" si="15"/>
        <v>0</v>
      </c>
      <c r="G85" s="26">
        <f t="shared" si="16"/>
        <v>0</v>
      </c>
      <c r="H85" s="26">
        <f t="shared" si="16"/>
        <v>0</v>
      </c>
      <c r="I85" s="26">
        <f t="shared" si="16"/>
        <v>0</v>
      </c>
      <c r="J85" s="27" t="str">
        <f t="shared" si="17"/>
        <v>CO2REMOV</v>
      </c>
      <c r="K85" s="27" t="str">
        <f t="shared" si="5"/>
        <v>UNPAID</v>
      </c>
      <c r="L85" s="23">
        <f t="shared" si="12"/>
        <v>0</v>
      </c>
      <c r="M85" s="27">
        <f t="shared" si="18"/>
        <v>0</v>
      </c>
      <c r="N85" s="22">
        <f t="shared" si="10"/>
        <v>0</v>
      </c>
      <c r="O85" s="28">
        <f t="shared" si="19"/>
        <v>0</v>
      </c>
      <c r="T85" s="20"/>
      <c r="AJ85" s="21"/>
    </row>
    <row r="86" spans="3:36" x14ac:dyDescent="0.35">
      <c r="C86" s="24" t="e">
        <f t="shared" si="11"/>
        <v>#VALUE!</v>
      </c>
      <c r="D86" s="25" t="str">
        <f t="shared" si="13"/>
        <v/>
      </c>
      <c r="E86" s="25">
        <f t="shared" si="14"/>
        <v>0</v>
      </c>
      <c r="F86" s="26">
        <f t="shared" si="15"/>
        <v>0</v>
      </c>
      <c r="G86" s="26">
        <f t="shared" si="16"/>
        <v>0</v>
      </c>
      <c r="H86" s="26">
        <f t="shared" si="16"/>
        <v>0</v>
      </c>
      <c r="I86" s="26">
        <f t="shared" si="16"/>
        <v>0</v>
      </c>
      <c r="J86" s="27" t="str">
        <f t="shared" si="17"/>
        <v>CO2REMOV</v>
      </c>
      <c r="K86" s="27" t="str">
        <f t="shared" si="5"/>
        <v>UNPAID</v>
      </c>
      <c r="L86" s="23">
        <f t="shared" si="12"/>
        <v>0</v>
      </c>
      <c r="M86" s="27">
        <f t="shared" si="18"/>
        <v>0</v>
      </c>
      <c r="N86" s="22">
        <f t="shared" si="10"/>
        <v>0</v>
      </c>
      <c r="O86" s="28">
        <f t="shared" si="19"/>
        <v>0</v>
      </c>
      <c r="T86" s="20"/>
      <c r="AJ86" s="21"/>
    </row>
    <row r="87" spans="3:36" x14ac:dyDescent="0.35">
      <c r="C87" s="24" t="e">
        <f t="shared" si="11"/>
        <v>#VALUE!</v>
      </c>
      <c r="D87" s="25" t="str">
        <f t="shared" si="13"/>
        <v/>
      </c>
      <c r="E87" s="25">
        <f t="shared" si="14"/>
        <v>0</v>
      </c>
      <c r="F87" s="26">
        <f t="shared" si="15"/>
        <v>0</v>
      </c>
      <c r="G87" s="26">
        <f t="shared" si="16"/>
        <v>0</v>
      </c>
      <c r="H87" s="26">
        <f t="shared" si="16"/>
        <v>0</v>
      </c>
      <c r="I87" s="26">
        <f t="shared" si="16"/>
        <v>0</v>
      </c>
      <c r="J87" s="27" t="str">
        <f t="shared" si="17"/>
        <v>CO2REMOV</v>
      </c>
      <c r="K87" s="27" t="str">
        <f t="shared" si="5"/>
        <v>UNPAID</v>
      </c>
      <c r="L87" s="23">
        <f t="shared" si="12"/>
        <v>0</v>
      </c>
      <c r="M87" s="27">
        <f t="shared" si="18"/>
        <v>0</v>
      </c>
      <c r="N87" s="22">
        <f t="shared" si="10"/>
        <v>0</v>
      </c>
      <c r="O87" s="28">
        <f t="shared" si="19"/>
        <v>0</v>
      </c>
      <c r="T87" s="20"/>
      <c r="AJ87" s="21"/>
    </row>
    <row r="88" spans="3:36" x14ac:dyDescent="0.35">
      <c r="C88" s="24" t="e">
        <f t="shared" si="11"/>
        <v>#VALUE!</v>
      </c>
      <c r="D88" s="25" t="str">
        <f t="shared" si="13"/>
        <v/>
      </c>
      <c r="E88" s="25">
        <f t="shared" si="14"/>
        <v>0</v>
      </c>
      <c r="F88" s="26">
        <f t="shared" si="15"/>
        <v>0</v>
      </c>
      <c r="G88" s="26">
        <f t="shared" si="16"/>
        <v>0</v>
      </c>
      <c r="H88" s="26">
        <f t="shared" si="16"/>
        <v>0</v>
      </c>
      <c r="I88" s="26">
        <f t="shared" si="16"/>
        <v>0</v>
      </c>
      <c r="J88" s="27" t="str">
        <f t="shared" si="17"/>
        <v>CO2REMOV</v>
      </c>
      <c r="K88" s="27" t="str">
        <f t="shared" si="5"/>
        <v>UNPAID</v>
      </c>
      <c r="L88" s="23">
        <f t="shared" si="12"/>
        <v>0</v>
      </c>
      <c r="M88" s="27">
        <f t="shared" si="18"/>
        <v>0</v>
      </c>
      <c r="N88" s="22">
        <f t="shared" si="10"/>
        <v>0</v>
      </c>
      <c r="O88" s="28">
        <f t="shared" si="19"/>
        <v>0</v>
      </c>
      <c r="T88" s="20"/>
      <c r="AJ88" s="21"/>
    </row>
    <row r="89" spans="3:36" x14ac:dyDescent="0.35">
      <c r="C89" s="24" t="e">
        <f t="shared" si="11"/>
        <v>#VALUE!</v>
      </c>
      <c r="D89" s="25" t="str">
        <f t="shared" si="13"/>
        <v/>
      </c>
      <c r="E89" s="25">
        <f t="shared" si="14"/>
        <v>0</v>
      </c>
      <c r="F89" s="26">
        <f t="shared" si="15"/>
        <v>0</v>
      </c>
      <c r="G89" s="26">
        <f t="shared" si="16"/>
        <v>0</v>
      </c>
      <c r="H89" s="26">
        <f t="shared" si="16"/>
        <v>0</v>
      </c>
      <c r="I89" s="26">
        <f t="shared" si="16"/>
        <v>0</v>
      </c>
      <c r="J89" s="27" t="str">
        <f t="shared" si="17"/>
        <v>CO2REMOV</v>
      </c>
      <c r="K89" s="27" t="str">
        <f t="shared" si="5"/>
        <v>UNPAID</v>
      </c>
      <c r="L89" s="23">
        <f t="shared" si="12"/>
        <v>0</v>
      </c>
      <c r="M89" s="27">
        <f t="shared" si="18"/>
        <v>0</v>
      </c>
      <c r="N89" s="22">
        <f t="shared" si="10"/>
        <v>0</v>
      </c>
      <c r="O89" s="28">
        <f t="shared" si="19"/>
        <v>0</v>
      </c>
      <c r="T89" s="20"/>
      <c r="AJ89" s="21"/>
    </row>
    <row r="90" spans="3:36" x14ac:dyDescent="0.35">
      <c r="C90" s="24" t="e">
        <f t="shared" si="11"/>
        <v>#VALUE!</v>
      </c>
      <c r="D90" s="25" t="str">
        <f t="shared" si="13"/>
        <v/>
      </c>
      <c r="E90" s="25">
        <f t="shared" si="14"/>
        <v>0</v>
      </c>
      <c r="F90" s="26">
        <f t="shared" si="15"/>
        <v>0</v>
      </c>
      <c r="G90" s="26">
        <f t="shared" si="16"/>
        <v>0</v>
      </c>
      <c r="H90" s="26">
        <f t="shared" si="16"/>
        <v>0</v>
      </c>
      <c r="I90" s="26">
        <f t="shared" si="16"/>
        <v>0</v>
      </c>
      <c r="J90" s="27" t="str">
        <f t="shared" si="17"/>
        <v>CO2REMOV</v>
      </c>
      <c r="K90" s="27" t="str">
        <f t="shared" si="5"/>
        <v>UNPAID</v>
      </c>
      <c r="L90" s="23">
        <f t="shared" si="12"/>
        <v>0</v>
      </c>
      <c r="M90" s="27">
        <f t="shared" si="18"/>
        <v>0</v>
      </c>
      <c r="N90" s="22">
        <f t="shared" si="10"/>
        <v>0</v>
      </c>
      <c r="O90" s="28">
        <f t="shared" si="19"/>
        <v>0</v>
      </c>
      <c r="T90" s="20"/>
      <c r="AJ90" s="21"/>
    </row>
    <row r="91" spans="3:36" x14ac:dyDescent="0.35">
      <c r="C91" s="24" t="e">
        <f t="shared" si="11"/>
        <v>#VALUE!</v>
      </c>
      <c r="D91" s="25" t="str">
        <f t="shared" si="13"/>
        <v/>
      </c>
      <c r="E91" s="25">
        <f t="shared" si="14"/>
        <v>0</v>
      </c>
      <c r="F91" s="26">
        <f t="shared" si="15"/>
        <v>0</v>
      </c>
      <c r="G91" s="26">
        <f t="shared" si="16"/>
        <v>0</v>
      </c>
      <c r="H91" s="26">
        <f t="shared" si="16"/>
        <v>0</v>
      </c>
      <c r="I91" s="26">
        <f t="shared" si="16"/>
        <v>0</v>
      </c>
      <c r="J91" s="27" t="str">
        <f t="shared" si="17"/>
        <v>CO2REMOV</v>
      </c>
      <c r="K91" s="27" t="str">
        <f t="shared" si="5"/>
        <v>UNPAID</v>
      </c>
      <c r="L91" s="23">
        <f t="shared" si="12"/>
        <v>0</v>
      </c>
      <c r="M91" s="27">
        <f t="shared" si="18"/>
        <v>0</v>
      </c>
      <c r="N91" s="22">
        <f t="shared" si="10"/>
        <v>0</v>
      </c>
      <c r="O91" s="28">
        <f t="shared" si="19"/>
        <v>0</v>
      </c>
      <c r="T91" s="20"/>
      <c r="AJ91" s="21"/>
    </row>
    <row r="92" spans="3:36" x14ac:dyDescent="0.35">
      <c r="C92" s="24" t="e">
        <f t="shared" si="11"/>
        <v>#VALUE!</v>
      </c>
      <c r="D92" s="25" t="str">
        <f t="shared" si="13"/>
        <v/>
      </c>
      <c r="E92" s="25">
        <f t="shared" si="14"/>
        <v>0</v>
      </c>
      <c r="F92" s="26">
        <f t="shared" si="15"/>
        <v>0</v>
      </c>
      <c r="G92" s="26">
        <f t="shared" si="16"/>
        <v>0</v>
      </c>
      <c r="H92" s="26">
        <f t="shared" si="16"/>
        <v>0</v>
      </c>
      <c r="I92" s="26">
        <f t="shared" si="16"/>
        <v>0</v>
      </c>
      <c r="J92" s="27" t="str">
        <f t="shared" si="17"/>
        <v>CO2REMOV</v>
      </c>
      <c r="K92" s="27" t="str">
        <f t="shared" ref="K92:K155" si="20">IF(H92=24,"PAID",IF(E92&gt;=$E$6,"PAID","UNPAID"))</f>
        <v>UNPAID</v>
      </c>
      <c r="L92" s="23">
        <f t="shared" si="12"/>
        <v>0</v>
      </c>
      <c r="M92" s="27">
        <f t="shared" si="18"/>
        <v>0</v>
      </c>
      <c r="N92" s="22">
        <f t="shared" si="10"/>
        <v>0</v>
      </c>
      <c r="O92" s="28">
        <f t="shared" si="19"/>
        <v>0</v>
      </c>
      <c r="T92" s="20"/>
      <c r="AJ92" s="21"/>
    </row>
    <row r="93" spans="3:36" x14ac:dyDescent="0.35">
      <c r="C93" s="24" t="e">
        <f t="shared" si="11"/>
        <v>#VALUE!</v>
      </c>
      <c r="D93" s="25" t="str">
        <f t="shared" si="13"/>
        <v/>
      </c>
      <c r="E93" s="25">
        <f t="shared" si="14"/>
        <v>0</v>
      </c>
      <c r="F93" s="26">
        <f t="shared" si="15"/>
        <v>0</v>
      </c>
      <c r="G93" s="26">
        <f t="shared" si="16"/>
        <v>0</v>
      </c>
      <c r="H93" s="26">
        <f t="shared" si="16"/>
        <v>0</v>
      </c>
      <c r="I93" s="26">
        <f t="shared" si="16"/>
        <v>0</v>
      </c>
      <c r="J93" s="27" t="str">
        <f t="shared" si="17"/>
        <v>CO2REMOV</v>
      </c>
      <c r="K93" s="27" t="str">
        <f t="shared" si="20"/>
        <v>UNPAID</v>
      </c>
      <c r="L93" s="23">
        <f t="shared" si="12"/>
        <v>0</v>
      </c>
      <c r="M93" s="27">
        <f t="shared" si="18"/>
        <v>0</v>
      </c>
      <c r="N93" s="22">
        <f t="shared" ref="N93:N156" si="21">IF(K93="PAID",IF(H93=24,(0.25*$I$5),IF(((1+H93/G93)*M93/L93*$I$5)&gt;$I$5,$I$5,((1+H93/G93)*M93/L93*$I$5))),0)</f>
        <v>0</v>
      </c>
      <c r="O93" s="28">
        <f t="shared" si="19"/>
        <v>0</v>
      </c>
      <c r="T93" s="20"/>
      <c r="AJ93" s="21"/>
    </row>
    <row r="94" spans="3:36" x14ac:dyDescent="0.35">
      <c r="C94" s="24" t="e">
        <f t="shared" si="11"/>
        <v>#VALUE!</v>
      </c>
      <c r="D94" s="25" t="str">
        <f t="shared" si="13"/>
        <v/>
      </c>
      <c r="E94" s="25">
        <f t="shared" si="14"/>
        <v>0</v>
      </c>
      <c r="F94" s="26">
        <f t="shared" si="15"/>
        <v>0</v>
      </c>
      <c r="G94" s="26">
        <f t="shared" si="16"/>
        <v>0</v>
      </c>
      <c r="H94" s="26">
        <f t="shared" si="16"/>
        <v>0</v>
      </c>
      <c r="I94" s="26">
        <f t="shared" si="16"/>
        <v>0</v>
      </c>
      <c r="J94" s="27" t="str">
        <f t="shared" si="17"/>
        <v>CO2REMOV</v>
      </c>
      <c r="K94" s="27" t="str">
        <f t="shared" si="20"/>
        <v>UNPAID</v>
      </c>
      <c r="L94" s="23">
        <f t="shared" si="12"/>
        <v>0</v>
      </c>
      <c r="M94" s="27">
        <f t="shared" si="18"/>
        <v>0</v>
      </c>
      <c r="N94" s="22">
        <f t="shared" si="21"/>
        <v>0</v>
      </c>
      <c r="O94" s="28">
        <f t="shared" si="19"/>
        <v>0</v>
      </c>
      <c r="T94" s="20"/>
      <c r="AJ94" s="21"/>
    </row>
    <row r="95" spans="3:36" x14ac:dyDescent="0.35">
      <c r="C95" s="24" t="e">
        <f t="shared" si="11"/>
        <v>#VALUE!</v>
      </c>
      <c r="D95" s="25" t="str">
        <f t="shared" si="13"/>
        <v/>
      </c>
      <c r="E95" s="25">
        <f t="shared" si="14"/>
        <v>0</v>
      </c>
      <c r="F95" s="26">
        <f t="shared" si="15"/>
        <v>0</v>
      </c>
      <c r="G95" s="26">
        <f t="shared" si="16"/>
        <v>0</v>
      </c>
      <c r="H95" s="26">
        <f t="shared" si="16"/>
        <v>0</v>
      </c>
      <c r="I95" s="26">
        <f t="shared" si="16"/>
        <v>0</v>
      </c>
      <c r="J95" s="27" t="str">
        <f t="shared" si="17"/>
        <v>CO2REMOV</v>
      </c>
      <c r="K95" s="27" t="str">
        <f t="shared" si="20"/>
        <v>UNPAID</v>
      </c>
      <c r="L95" s="23">
        <f t="shared" si="12"/>
        <v>0</v>
      </c>
      <c r="M95" s="27">
        <f t="shared" si="18"/>
        <v>0</v>
      </c>
      <c r="N95" s="22">
        <f t="shared" si="21"/>
        <v>0</v>
      </c>
      <c r="O95" s="28">
        <f t="shared" si="19"/>
        <v>0</v>
      </c>
      <c r="T95" s="20"/>
      <c r="AJ95" s="21"/>
    </row>
    <row r="96" spans="3:36" x14ac:dyDescent="0.35">
      <c r="C96" s="24" t="e">
        <f t="shared" si="11"/>
        <v>#VALUE!</v>
      </c>
      <c r="D96" s="25" t="str">
        <f t="shared" si="13"/>
        <v/>
      </c>
      <c r="E96" s="25">
        <f t="shared" si="14"/>
        <v>0</v>
      </c>
      <c r="F96" s="26">
        <f t="shared" si="15"/>
        <v>0</v>
      </c>
      <c r="G96" s="26">
        <f t="shared" si="16"/>
        <v>0</v>
      </c>
      <c r="H96" s="26">
        <f t="shared" si="16"/>
        <v>0</v>
      </c>
      <c r="I96" s="26">
        <f t="shared" si="16"/>
        <v>0</v>
      </c>
      <c r="J96" s="27" t="str">
        <f t="shared" si="17"/>
        <v>CO2REMOV</v>
      </c>
      <c r="K96" s="27" t="str">
        <f t="shared" si="20"/>
        <v>UNPAID</v>
      </c>
      <c r="L96" s="23">
        <f t="shared" si="12"/>
        <v>0</v>
      </c>
      <c r="M96" s="27">
        <f t="shared" si="18"/>
        <v>0</v>
      </c>
      <c r="N96" s="22">
        <f t="shared" si="21"/>
        <v>0</v>
      </c>
      <c r="O96" s="28">
        <f t="shared" si="19"/>
        <v>0</v>
      </c>
      <c r="T96" s="20"/>
      <c r="AJ96" s="21"/>
    </row>
    <row r="97" spans="3:36" x14ac:dyDescent="0.35">
      <c r="C97" s="24" t="e">
        <f t="shared" si="11"/>
        <v>#VALUE!</v>
      </c>
      <c r="D97" s="25" t="str">
        <f t="shared" si="13"/>
        <v/>
      </c>
      <c r="E97" s="25">
        <f t="shared" si="14"/>
        <v>0</v>
      </c>
      <c r="F97" s="26">
        <f t="shared" si="15"/>
        <v>0</v>
      </c>
      <c r="G97" s="26">
        <f t="shared" si="16"/>
        <v>0</v>
      </c>
      <c r="H97" s="26">
        <f t="shared" si="16"/>
        <v>0</v>
      </c>
      <c r="I97" s="26">
        <f t="shared" si="16"/>
        <v>0</v>
      </c>
      <c r="J97" s="27" t="str">
        <f t="shared" si="17"/>
        <v>CO2REMOV</v>
      </c>
      <c r="K97" s="27" t="str">
        <f t="shared" si="20"/>
        <v>UNPAID</v>
      </c>
      <c r="L97" s="23">
        <f t="shared" si="12"/>
        <v>0</v>
      </c>
      <c r="M97" s="27">
        <f t="shared" si="18"/>
        <v>0</v>
      </c>
      <c r="N97" s="22">
        <f t="shared" si="21"/>
        <v>0</v>
      </c>
      <c r="O97" s="28">
        <f t="shared" si="19"/>
        <v>0</v>
      </c>
      <c r="T97" s="20"/>
      <c r="AJ97" s="21"/>
    </row>
    <row r="98" spans="3:36" x14ac:dyDescent="0.35">
      <c r="C98" s="24" t="e">
        <f t="shared" si="11"/>
        <v>#VALUE!</v>
      </c>
      <c r="D98" s="25" t="str">
        <f t="shared" si="13"/>
        <v/>
      </c>
      <c r="E98" s="25">
        <f t="shared" si="14"/>
        <v>0</v>
      </c>
      <c r="F98" s="26">
        <f t="shared" si="15"/>
        <v>0</v>
      </c>
      <c r="G98" s="26">
        <f t="shared" si="16"/>
        <v>0</v>
      </c>
      <c r="H98" s="26">
        <f t="shared" si="16"/>
        <v>0</v>
      </c>
      <c r="I98" s="26">
        <f t="shared" si="16"/>
        <v>0</v>
      </c>
      <c r="J98" s="27" t="str">
        <f t="shared" si="17"/>
        <v>CO2REMOV</v>
      </c>
      <c r="K98" s="27" t="str">
        <f t="shared" si="20"/>
        <v>UNPAID</v>
      </c>
      <c r="L98" s="23">
        <f t="shared" si="12"/>
        <v>0</v>
      </c>
      <c r="M98" s="27">
        <f t="shared" si="18"/>
        <v>0</v>
      </c>
      <c r="N98" s="22">
        <f t="shared" si="21"/>
        <v>0</v>
      </c>
      <c r="O98" s="28">
        <f t="shared" si="19"/>
        <v>0</v>
      </c>
      <c r="T98" s="20"/>
      <c r="AJ98" s="21"/>
    </row>
    <row r="99" spans="3:36" x14ac:dyDescent="0.35">
      <c r="C99" s="24" t="e">
        <f t="shared" si="11"/>
        <v>#VALUE!</v>
      </c>
      <c r="D99" s="25" t="str">
        <f t="shared" si="13"/>
        <v/>
      </c>
      <c r="E99" s="25">
        <f t="shared" si="14"/>
        <v>0</v>
      </c>
      <c r="F99" s="26">
        <f t="shared" si="15"/>
        <v>0</v>
      </c>
      <c r="G99" s="26">
        <f t="shared" si="16"/>
        <v>0</v>
      </c>
      <c r="H99" s="26">
        <f t="shared" si="16"/>
        <v>0</v>
      </c>
      <c r="I99" s="26">
        <f t="shared" si="16"/>
        <v>0</v>
      </c>
      <c r="J99" s="27" t="str">
        <f t="shared" si="17"/>
        <v>CO2REMOV</v>
      </c>
      <c r="K99" s="27" t="str">
        <f t="shared" si="20"/>
        <v>UNPAID</v>
      </c>
      <c r="L99" s="23">
        <f t="shared" si="12"/>
        <v>0</v>
      </c>
      <c r="M99" s="27">
        <f t="shared" si="18"/>
        <v>0</v>
      </c>
      <c r="N99" s="22">
        <f t="shared" si="21"/>
        <v>0</v>
      </c>
      <c r="O99" s="28">
        <f t="shared" si="19"/>
        <v>0</v>
      </c>
      <c r="T99" s="20"/>
      <c r="AJ99" s="21"/>
    </row>
    <row r="100" spans="3:36" x14ac:dyDescent="0.35">
      <c r="C100" s="24" t="e">
        <f t="shared" si="11"/>
        <v>#VALUE!</v>
      </c>
      <c r="D100" s="25" t="str">
        <f t="shared" si="13"/>
        <v/>
      </c>
      <c r="E100" s="25">
        <f t="shared" si="14"/>
        <v>0</v>
      </c>
      <c r="F100" s="26">
        <f t="shared" si="15"/>
        <v>0</v>
      </c>
      <c r="G100" s="26">
        <f t="shared" si="16"/>
        <v>0</v>
      </c>
      <c r="H100" s="26">
        <f t="shared" si="16"/>
        <v>0</v>
      </c>
      <c r="I100" s="26">
        <f t="shared" si="16"/>
        <v>0</v>
      </c>
      <c r="J100" s="27" t="str">
        <f t="shared" si="17"/>
        <v>CO2REMOV</v>
      </c>
      <c r="K100" s="27" t="str">
        <f t="shared" si="20"/>
        <v>UNPAID</v>
      </c>
      <c r="L100" s="23">
        <f t="shared" si="12"/>
        <v>0</v>
      </c>
      <c r="M100" s="27">
        <f t="shared" si="18"/>
        <v>0</v>
      </c>
      <c r="N100" s="22">
        <f t="shared" si="21"/>
        <v>0</v>
      </c>
      <c r="O100" s="28">
        <f t="shared" si="19"/>
        <v>0</v>
      </c>
      <c r="T100" s="20"/>
      <c r="AJ100" s="21"/>
    </row>
    <row r="101" spans="3:36" x14ac:dyDescent="0.35">
      <c r="C101" s="24" t="e">
        <f t="shared" si="11"/>
        <v>#VALUE!</v>
      </c>
      <c r="D101" s="25" t="str">
        <f t="shared" si="13"/>
        <v/>
      </c>
      <c r="E101" s="25">
        <f t="shared" si="14"/>
        <v>0</v>
      </c>
      <c r="F101" s="26">
        <f t="shared" si="15"/>
        <v>0</v>
      </c>
      <c r="G101" s="26">
        <f t="shared" si="16"/>
        <v>0</v>
      </c>
      <c r="H101" s="26">
        <f t="shared" si="16"/>
        <v>0</v>
      </c>
      <c r="I101" s="26">
        <f t="shared" si="16"/>
        <v>0</v>
      </c>
      <c r="J101" s="27" t="str">
        <f t="shared" si="17"/>
        <v>CO2REMOV</v>
      </c>
      <c r="K101" s="27" t="str">
        <f t="shared" si="20"/>
        <v>UNPAID</v>
      </c>
      <c r="L101" s="23">
        <f t="shared" si="12"/>
        <v>0</v>
      </c>
      <c r="M101" s="27">
        <f t="shared" si="18"/>
        <v>0</v>
      </c>
      <c r="N101" s="22">
        <f t="shared" si="21"/>
        <v>0</v>
      </c>
      <c r="O101" s="28">
        <f t="shared" si="19"/>
        <v>0</v>
      </c>
      <c r="T101" s="20"/>
      <c r="AJ101" s="21"/>
    </row>
    <row r="102" spans="3:36" x14ac:dyDescent="0.35">
      <c r="C102" s="24" t="e">
        <f t="shared" si="11"/>
        <v>#VALUE!</v>
      </c>
      <c r="D102" s="25" t="str">
        <f t="shared" si="13"/>
        <v/>
      </c>
      <c r="E102" s="25">
        <f t="shared" si="14"/>
        <v>0</v>
      </c>
      <c r="F102" s="26">
        <f t="shared" si="15"/>
        <v>0</v>
      </c>
      <c r="G102" s="26">
        <f t="shared" si="16"/>
        <v>0</v>
      </c>
      <c r="H102" s="26">
        <f t="shared" si="16"/>
        <v>0</v>
      </c>
      <c r="I102" s="26">
        <f t="shared" si="16"/>
        <v>0</v>
      </c>
      <c r="J102" s="27" t="str">
        <f t="shared" si="17"/>
        <v>CO2REMOV</v>
      </c>
      <c r="K102" s="27" t="str">
        <f t="shared" si="20"/>
        <v>UNPAID</v>
      </c>
      <c r="L102" s="23">
        <f t="shared" si="12"/>
        <v>0</v>
      </c>
      <c r="M102" s="27">
        <f t="shared" si="18"/>
        <v>0</v>
      </c>
      <c r="N102" s="22">
        <f t="shared" si="21"/>
        <v>0</v>
      </c>
      <c r="O102" s="28">
        <f t="shared" si="19"/>
        <v>0</v>
      </c>
      <c r="T102" s="20"/>
      <c r="AJ102" s="21"/>
    </row>
    <row r="103" spans="3:36" x14ac:dyDescent="0.35">
      <c r="C103" s="24" t="e">
        <f t="shared" si="11"/>
        <v>#VALUE!</v>
      </c>
      <c r="D103" s="25" t="str">
        <f t="shared" si="13"/>
        <v/>
      </c>
      <c r="E103" s="25">
        <f t="shared" si="14"/>
        <v>0</v>
      </c>
      <c r="F103" s="26">
        <f t="shared" si="15"/>
        <v>0</v>
      </c>
      <c r="G103" s="26">
        <f t="shared" si="16"/>
        <v>0</v>
      </c>
      <c r="H103" s="26">
        <f t="shared" si="16"/>
        <v>0</v>
      </c>
      <c r="I103" s="26">
        <f t="shared" si="16"/>
        <v>0</v>
      </c>
      <c r="J103" s="27" t="str">
        <f t="shared" si="17"/>
        <v>CO2REMOV</v>
      </c>
      <c r="K103" s="27" t="str">
        <f t="shared" si="20"/>
        <v>UNPAID</v>
      </c>
      <c r="L103" s="23">
        <f t="shared" si="12"/>
        <v>0</v>
      </c>
      <c r="M103" s="27">
        <f t="shared" si="18"/>
        <v>0</v>
      </c>
      <c r="N103" s="22">
        <f t="shared" si="21"/>
        <v>0</v>
      </c>
      <c r="O103" s="28">
        <f t="shared" si="19"/>
        <v>0</v>
      </c>
      <c r="T103" s="20"/>
      <c r="AJ103" s="21"/>
    </row>
    <row r="104" spans="3:36" x14ac:dyDescent="0.35">
      <c r="C104" s="24" t="e">
        <f t="shared" si="11"/>
        <v>#VALUE!</v>
      </c>
      <c r="D104" s="25" t="str">
        <f t="shared" si="13"/>
        <v/>
      </c>
      <c r="E104" s="25">
        <f t="shared" si="14"/>
        <v>0</v>
      </c>
      <c r="F104" s="26">
        <f t="shared" si="15"/>
        <v>0</v>
      </c>
      <c r="G104" s="26">
        <f t="shared" si="16"/>
        <v>0</v>
      </c>
      <c r="H104" s="26">
        <f t="shared" si="16"/>
        <v>0</v>
      </c>
      <c r="I104" s="26">
        <f t="shared" si="16"/>
        <v>0</v>
      </c>
      <c r="J104" s="27" t="str">
        <f t="shared" si="17"/>
        <v>CO2REMOV</v>
      </c>
      <c r="K104" s="27" t="str">
        <f t="shared" si="20"/>
        <v>UNPAID</v>
      </c>
      <c r="L104" s="23">
        <f t="shared" si="12"/>
        <v>0</v>
      </c>
      <c r="M104" s="27">
        <f t="shared" si="18"/>
        <v>0</v>
      </c>
      <c r="N104" s="22">
        <f t="shared" si="21"/>
        <v>0</v>
      </c>
      <c r="O104" s="28">
        <f t="shared" si="19"/>
        <v>0</v>
      </c>
      <c r="T104" s="20"/>
      <c r="AJ104" s="21"/>
    </row>
    <row r="105" spans="3:36" x14ac:dyDescent="0.35">
      <c r="C105" s="24" t="s">
        <v>54</v>
      </c>
      <c r="D105" s="25"/>
      <c r="E105" s="25"/>
      <c r="F105" s="26"/>
      <c r="G105" s="26"/>
      <c r="H105" s="26"/>
      <c r="I105" s="26"/>
      <c r="J105" s="27"/>
      <c r="K105" s="27" t="str">
        <f t="shared" si="20"/>
        <v>UNPAID</v>
      </c>
      <c r="L105" s="23">
        <f t="shared" si="12"/>
        <v>0</v>
      </c>
      <c r="M105" s="27"/>
      <c r="N105" s="22"/>
      <c r="O105" s="28"/>
      <c r="T105" s="20"/>
    </row>
    <row r="106" spans="3:36" x14ac:dyDescent="0.35">
      <c r="C106" s="24" t="e">
        <f>C104+1</f>
        <v>#VALUE!</v>
      </c>
      <c r="D106" s="25" t="str">
        <f t="shared" si="13"/>
        <v/>
      </c>
      <c r="E106" s="25">
        <f t="shared" si="14"/>
        <v>0</v>
      </c>
      <c r="F106" s="26">
        <f t="shared" si="15"/>
        <v>0</v>
      </c>
      <c r="G106" s="26">
        <f t="shared" si="16"/>
        <v>0</v>
      </c>
      <c r="H106" s="26">
        <f t="shared" si="16"/>
        <v>0</v>
      </c>
      <c r="I106" s="26">
        <f t="shared" si="16"/>
        <v>0</v>
      </c>
      <c r="J106" s="27" t="str">
        <f t="shared" si="17"/>
        <v>CO2REMOV</v>
      </c>
      <c r="K106" s="27" t="str">
        <f t="shared" si="20"/>
        <v>UNPAID</v>
      </c>
      <c r="L106" s="23">
        <f t="shared" si="12"/>
        <v>0</v>
      </c>
      <c r="M106" s="27">
        <f t="shared" si="18"/>
        <v>0</v>
      </c>
      <c r="N106" s="22">
        <f t="shared" si="21"/>
        <v>0</v>
      </c>
      <c r="O106" s="28">
        <f t="shared" si="19"/>
        <v>0</v>
      </c>
      <c r="T106" s="20"/>
    </row>
    <row r="107" spans="3:36" x14ac:dyDescent="0.35">
      <c r="C107" s="24" t="e">
        <f t="shared" si="11"/>
        <v>#VALUE!</v>
      </c>
      <c r="D107" s="25" t="str">
        <f t="shared" si="13"/>
        <v/>
      </c>
      <c r="E107" s="25">
        <f t="shared" si="14"/>
        <v>0</v>
      </c>
      <c r="F107" s="26">
        <f t="shared" si="15"/>
        <v>0</v>
      </c>
      <c r="G107" s="26">
        <f t="shared" si="16"/>
        <v>0</v>
      </c>
      <c r="H107" s="26">
        <f t="shared" si="16"/>
        <v>0</v>
      </c>
      <c r="I107" s="26">
        <f t="shared" si="16"/>
        <v>0</v>
      </c>
      <c r="J107" s="27" t="str">
        <f t="shared" si="17"/>
        <v>CO2REMOV</v>
      </c>
      <c r="K107" s="27" t="str">
        <f t="shared" si="20"/>
        <v>UNPAID</v>
      </c>
      <c r="L107" s="23">
        <f t="shared" si="12"/>
        <v>0</v>
      </c>
      <c r="M107" s="27">
        <f t="shared" si="18"/>
        <v>0</v>
      </c>
      <c r="N107" s="22">
        <f t="shared" si="21"/>
        <v>0</v>
      </c>
      <c r="O107" s="28">
        <f t="shared" si="19"/>
        <v>0</v>
      </c>
      <c r="T107" s="20"/>
    </row>
    <row r="108" spans="3:36" x14ac:dyDescent="0.35">
      <c r="C108" s="24" t="e">
        <f t="shared" si="11"/>
        <v>#VALUE!</v>
      </c>
      <c r="D108" s="25" t="str">
        <f t="shared" si="13"/>
        <v/>
      </c>
      <c r="E108" s="25">
        <f t="shared" si="14"/>
        <v>0</v>
      </c>
      <c r="F108" s="26">
        <f t="shared" si="15"/>
        <v>0</v>
      </c>
      <c r="G108" s="26">
        <f t="shared" si="16"/>
        <v>0</v>
      </c>
      <c r="H108" s="26">
        <f t="shared" si="16"/>
        <v>0</v>
      </c>
      <c r="I108" s="26">
        <f t="shared" si="16"/>
        <v>0</v>
      </c>
      <c r="J108" s="27" t="str">
        <f t="shared" si="17"/>
        <v>CO2REMOV</v>
      </c>
      <c r="K108" s="27" t="str">
        <f t="shared" si="20"/>
        <v>UNPAID</v>
      </c>
      <c r="L108" s="23">
        <f t="shared" si="12"/>
        <v>0</v>
      </c>
      <c r="M108" s="27">
        <f t="shared" si="18"/>
        <v>0</v>
      </c>
      <c r="N108" s="22">
        <f t="shared" si="21"/>
        <v>0</v>
      </c>
      <c r="O108" s="28">
        <f t="shared" si="19"/>
        <v>0</v>
      </c>
      <c r="T108" s="20"/>
    </row>
    <row r="109" spans="3:36" x14ac:dyDescent="0.35">
      <c r="C109" s="24" t="e">
        <f t="shared" si="11"/>
        <v>#VALUE!</v>
      </c>
      <c r="D109" s="25" t="str">
        <f t="shared" si="13"/>
        <v/>
      </c>
      <c r="E109" s="25">
        <f t="shared" si="14"/>
        <v>0</v>
      </c>
      <c r="F109" s="26">
        <f t="shared" si="15"/>
        <v>0</v>
      </c>
      <c r="G109" s="26">
        <f t="shared" si="16"/>
        <v>0</v>
      </c>
      <c r="H109" s="26">
        <f t="shared" si="16"/>
        <v>0</v>
      </c>
      <c r="I109" s="26">
        <f t="shared" si="16"/>
        <v>0</v>
      </c>
      <c r="J109" s="27" t="str">
        <f t="shared" si="17"/>
        <v>CO2REMOV</v>
      </c>
      <c r="K109" s="27" t="str">
        <f t="shared" si="20"/>
        <v>UNPAID</v>
      </c>
      <c r="L109" s="23">
        <f t="shared" si="12"/>
        <v>0</v>
      </c>
      <c r="M109" s="27">
        <f t="shared" si="18"/>
        <v>0</v>
      </c>
      <c r="N109" s="22">
        <f t="shared" si="21"/>
        <v>0</v>
      </c>
      <c r="O109" s="28">
        <f t="shared" si="19"/>
        <v>0</v>
      </c>
      <c r="T109" s="20"/>
    </row>
    <row r="110" spans="3:36" x14ac:dyDescent="0.35">
      <c r="C110" s="24" t="e">
        <f t="shared" si="11"/>
        <v>#VALUE!</v>
      </c>
      <c r="D110" s="25" t="str">
        <f t="shared" si="13"/>
        <v/>
      </c>
      <c r="E110" s="25">
        <f t="shared" si="14"/>
        <v>0</v>
      </c>
      <c r="F110" s="26">
        <f t="shared" si="15"/>
        <v>0</v>
      </c>
      <c r="G110" s="26">
        <f t="shared" si="16"/>
        <v>0</v>
      </c>
      <c r="H110" s="26">
        <f t="shared" si="16"/>
        <v>0</v>
      </c>
      <c r="I110" s="26">
        <f t="shared" si="16"/>
        <v>0</v>
      </c>
      <c r="J110" s="27" t="str">
        <f t="shared" si="17"/>
        <v>CO2REMOV</v>
      </c>
      <c r="K110" s="27" t="str">
        <f t="shared" si="20"/>
        <v>UNPAID</v>
      </c>
      <c r="L110" s="23">
        <f t="shared" si="12"/>
        <v>0</v>
      </c>
      <c r="M110" s="27">
        <f t="shared" si="18"/>
        <v>0</v>
      </c>
      <c r="N110" s="22">
        <f t="shared" si="21"/>
        <v>0</v>
      </c>
      <c r="O110" s="28">
        <f t="shared" si="19"/>
        <v>0</v>
      </c>
      <c r="T110" s="20"/>
    </row>
    <row r="111" spans="3:36" x14ac:dyDescent="0.35">
      <c r="C111" s="24" t="e">
        <f t="shared" si="11"/>
        <v>#VALUE!</v>
      </c>
      <c r="D111" s="25" t="str">
        <f t="shared" si="13"/>
        <v/>
      </c>
      <c r="E111" s="25">
        <f t="shared" si="14"/>
        <v>0</v>
      </c>
      <c r="F111" s="26">
        <f t="shared" si="15"/>
        <v>0</v>
      </c>
      <c r="G111" s="26">
        <f t="shared" si="16"/>
        <v>0</v>
      </c>
      <c r="H111" s="26">
        <f t="shared" si="16"/>
        <v>0</v>
      </c>
      <c r="I111" s="26">
        <f t="shared" si="16"/>
        <v>0</v>
      </c>
      <c r="J111" s="27" t="str">
        <f t="shared" si="17"/>
        <v>CO2REMOV</v>
      </c>
      <c r="K111" s="27" t="str">
        <f t="shared" si="20"/>
        <v>UNPAID</v>
      </c>
      <c r="L111" s="23">
        <f t="shared" si="12"/>
        <v>0</v>
      </c>
      <c r="M111" s="27">
        <f t="shared" si="18"/>
        <v>0</v>
      </c>
      <c r="N111" s="22">
        <f t="shared" si="21"/>
        <v>0</v>
      </c>
      <c r="O111" s="28">
        <f t="shared" si="19"/>
        <v>0</v>
      </c>
      <c r="T111" s="20"/>
    </row>
    <row r="112" spans="3:36" x14ac:dyDescent="0.35">
      <c r="C112" s="24" t="e">
        <f t="shared" si="11"/>
        <v>#VALUE!</v>
      </c>
      <c r="D112" s="25" t="str">
        <f t="shared" si="13"/>
        <v/>
      </c>
      <c r="E112" s="25">
        <f t="shared" si="14"/>
        <v>0</v>
      </c>
      <c r="F112" s="26">
        <f t="shared" si="15"/>
        <v>0</v>
      </c>
      <c r="G112" s="26">
        <f t="shared" si="16"/>
        <v>0</v>
      </c>
      <c r="H112" s="26">
        <f t="shared" si="16"/>
        <v>0</v>
      </c>
      <c r="I112" s="26">
        <f t="shared" si="16"/>
        <v>0</v>
      </c>
      <c r="J112" s="27" t="str">
        <f t="shared" si="17"/>
        <v>CO2REMOV</v>
      </c>
      <c r="K112" s="27" t="str">
        <f t="shared" si="20"/>
        <v>UNPAID</v>
      </c>
      <c r="L112" s="23">
        <f t="shared" si="12"/>
        <v>0</v>
      </c>
      <c r="M112" s="27">
        <f t="shared" si="18"/>
        <v>0</v>
      </c>
      <c r="N112" s="22">
        <f t="shared" si="21"/>
        <v>0</v>
      </c>
      <c r="O112" s="28">
        <f t="shared" si="19"/>
        <v>0</v>
      </c>
      <c r="T112" s="20"/>
    </row>
    <row r="113" spans="3:20" x14ac:dyDescent="0.35">
      <c r="C113" s="24" t="e">
        <f t="shared" si="11"/>
        <v>#VALUE!</v>
      </c>
      <c r="D113" s="25" t="str">
        <f t="shared" si="13"/>
        <v/>
      </c>
      <c r="E113" s="25">
        <f t="shared" si="14"/>
        <v>0</v>
      </c>
      <c r="F113" s="26">
        <f t="shared" si="15"/>
        <v>0</v>
      </c>
      <c r="G113" s="26">
        <f t="shared" si="16"/>
        <v>0</v>
      </c>
      <c r="H113" s="26">
        <f t="shared" si="16"/>
        <v>0</v>
      </c>
      <c r="I113" s="26">
        <f t="shared" si="16"/>
        <v>0</v>
      </c>
      <c r="J113" s="27" t="str">
        <f t="shared" si="17"/>
        <v>CO2REMOV</v>
      </c>
      <c r="K113" s="27" t="str">
        <f t="shared" si="20"/>
        <v>UNPAID</v>
      </c>
      <c r="L113" s="23">
        <f t="shared" si="12"/>
        <v>0</v>
      </c>
      <c r="M113" s="27">
        <f t="shared" si="18"/>
        <v>0</v>
      </c>
      <c r="N113" s="22">
        <f t="shared" si="21"/>
        <v>0</v>
      </c>
      <c r="O113" s="28">
        <f t="shared" si="19"/>
        <v>0</v>
      </c>
      <c r="T113" s="20"/>
    </row>
    <row r="114" spans="3:20" x14ac:dyDescent="0.35">
      <c r="C114" s="24" t="e">
        <f t="shared" si="11"/>
        <v>#VALUE!</v>
      </c>
      <c r="D114" s="25" t="str">
        <f t="shared" si="13"/>
        <v/>
      </c>
      <c r="E114" s="25">
        <f t="shared" si="14"/>
        <v>0</v>
      </c>
      <c r="F114" s="26">
        <f t="shared" si="15"/>
        <v>0</v>
      </c>
      <c r="G114" s="26">
        <f t="shared" si="16"/>
        <v>0</v>
      </c>
      <c r="H114" s="26">
        <f t="shared" si="16"/>
        <v>0</v>
      </c>
      <c r="I114" s="26">
        <f t="shared" si="16"/>
        <v>0</v>
      </c>
      <c r="J114" s="27" t="str">
        <f t="shared" si="17"/>
        <v>CO2REMOV</v>
      </c>
      <c r="K114" s="27" t="str">
        <f t="shared" si="20"/>
        <v>UNPAID</v>
      </c>
      <c r="L114" s="23">
        <f t="shared" si="12"/>
        <v>0</v>
      </c>
      <c r="M114" s="27">
        <f t="shared" si="18"/>
        <v>0</v>
      </c>
      <c r="N114" s="22">
        <f t="shared" si="21"/>
        <v>0</v>
      </c>
      <c r="O114" s="28">
        <f t="shared" si="19"/>
        <v>0</v>
      </c>
      <c r="T114" s="20"/>
    </row>
    <row r="115" spans="3:20" x14ac:dyDescent="0.35">
      <c r="C115" s="24" t="e">
        <f t="shared" si="11"/>
        <v>#VALUE!</v>
      </c>
      <c r="D115" s="25" t="str">
        <f t="shared" si="13"/>
        <v/>
      </c>
      <c r="E115" s="25">
        <f t="shared" si="14"/>
        <v>0</v>
      </c>
      <c r="F115" s="26">
        <f t="shared" si="15"/>
        <v>0</v>
      </c>
      <c r="G115" s="26">
        <f t="shared" si="16"/>
        <v>0</v>
      </c>
      <c r="H115" s="26">
        <f t="shared" si="16"/>
        <v>0</v>
      </c>
      <c r="I115" s="26">
        <f t="shared" si="16"/>
        <v>0</v>
      </c>
      <c r="J115" s="27" t="str">
        <f t="shared" si="17"/>
        <v>CO2REMOV</v>
      </c>
      <c r="K115" s="27" t="str">
        <f t="shared" si="20"/>
        <v>UNPAID</v>
      </c>
      <c r="L115" s="23">
        <f t="shared" si="12"/>
        <v>0</v>
      </c>
      <c r="M115" s="27">
        <f t="shared" si="18"/>
        <v>0</v>
      </c>
      <c r="N115" s="22">
        <f t="shared" si="21"/>
        <v>0</v>
      </c>
      <c r="O115" s="28">
        <f t="shared" si="19"/>
        <v>0</v>
      </c>
      <c r="T115" s="20"/>
    </row>
    <row r="116" spans="3:20" x14ac:dyDescent="0.35">
      <c r="C116" s="24" t="e">
        <f t="shared" si="11"/>
        <v>#VALUE!</v>
      </c>
      <c r="D116" s="25" t="str">
        <f t="shared" si="13"/>
        <v/>
      </c>
      <c r="E116" s="25">
        <f t="shared" si="14"/>
        <v>0</v>
      </c>
      <c r="F116" s="26">
        <f t="shared" si="15"/>
        <v>0</v>
      </c>
      <c r="G116" s="26">
        <f t="shared" si="16"/>
        <v>0</v>
      </c>
      <c r="H116" s="26">
        <f t="shared" si="16"/>
        <v>0</v>
      </c>
      <c r="I116" s="26">
        <f t="shared" si="16"/>
        <v>0</v>
      </c>
      <c r="J116" s="27" t="str">
        <f t="shared" si="17"/>
        <v>CO2REMOV</v>
      </c>
      <c r="K116" s="27" t="str">
        <f t="shared" si="20"/>
        <v>UNPAID</v>
      </c>
      <c r="L116" s="23">
        <f t="shared" si="12"/>
        <v>0</v>
      </c>
      <c r="M116" s="27">
        <f t="shared" si="18"/>
        <v>0</v>
      </c>
      <c r="N116" s="22">
        <f t="shared" si="21"/>
        <v>0</v>
      </c>
      <c r="O116" s="28">
        <f t="shared" si="19"/>
        <v>0</v>
      </c>
      <c r="T116" s="20"/>
    </row>
    <row r="117" spans="3:20" x14ac:dyDescent="0.35">
      <c r="C117" s="24" t="e">
        <f t="shared" si="11"/>
        <v>#VALUE!</v>
      </c>
      <c r="D117" s="25" t="str">
        <f t="shared" si="13"/>
        <v/>
      </c>
      <c r="E117" s="25">
        <f t="shared" si="14"/>
        <v>0</v>
      </c>
      <c r="F117" s="26">
        <f t="shared" si="15"/>
        <v>0</v>
      </c>
      <c r="G117" s="26">
        <f t="shared" si="16"/>
        <v>0</v>
      </c>
      <c r="H117" s="26">
        <f t="shared" si="16"/>
        <v>0</v>
      </c>
      <c r="I117" s="26">
        <f t="shared" si="16"/>
        <v>0</v>
      </c>
      <c r="J117" s="27" t="str">
        <f t="shared" si="17"/>
        <v>CO2REMOV</v>
      </c>
      <c r="K117" s="27" t="str">
        <f t="shared" si="20"/>
        <v>UNPAID</v>
      </c>
      <c r="L117" s="23">
        <f t="shared" si="12"/>
        <v>0</v>
      </c>
      <c r="M117" s="27">
        <f t="shared" si="18"/>
        <v>0</v>
      </c>
      <c r="N117" s="22">
        <f t="shared" si="21"/>
        <v>0</v>
      </c>
      <c r="O117" s="28">
        <f t="shared" si="19"/>
        <v>0</v>
      </c>
      <c r="T117" s="20"/>
    </row>
    <row r="118" spans="3:20" x14ac:dyDescent="0.35">
      <c r="C118" s="24" t="e">
        <f t="shared" si="11"/>
        <v>#VALUE!</v>
      </c>
      <c r="D118" s="25" t="str">
        <f t="shared" si="13"/>
        <v/>
      </c>
      <c r="E118" s="25">
        <f t="shared" si="14"/>
        <v>0</v>
      </c>
      <c r="F118" s="26">
        <f t="shared" si="15"/>
        <v>0</v>
      </c>
      <c r="G118" s="26">
        <f t="shared" si="16"/>
        <v>0</v>
      </c>
      <c r="H118" s="26">
        <f t="shared" si="16"/>
        <v>0</v>
      </c>
      <c r="I118" s="26">
        <f t="shared" si="16"/>
        <v>0</v>
      </c>
      <c r="J118" s="27" t="str">
        <f t="shared" si="17"/>
        <v>CO2REMOV</v>
      </c>
      <c r="K118" s="27" t="str">
        <f t="shared" si="20"/>
        <v>UNPAID</v>
      </c>
      <c r="L118" s="23">
        <f t="shared" si="12"/>
        <v>0</v>
      </c>
      <c r="M118" s="27">
        <f t="shared" si="18"/>
        <v>0</v>
      </c>
      <c r="N118" s="22">
        <f t="shared" si="21"/>
        <v>0</v>
      </c>
      <c r="O118" s="28">
        <f t="shared" si="19"/>
        <v>0</v>
      </c>
      <c r="T118" s="20"/>
    </row>
    <row r="119" spans="3:20" x14ac:dyDescent="0.35">
      <c r="C119" s="24" t="e">
        <f t="shared" si="11"/>
        <v>#VALUE!</v>
      </c>
      <c r="D119" s="25" t="str">
        <f t="shared" si="13"/>
        <v/>
      </c>
      <c r="E119" s="25">
        <f t="shared" si="14"/>
        <v>0</v>
      </c>
      <c r="F119" s="26">
        <f t="shared" si="15"/>
        <v>0</v>
      </c>
      <c r="G119" s="26">
        <f t="shared" si="16"/>
        <v>0</v>
      </c>
      <c r="H119" s="26">
        <f t="shared" si="16"/>
        <v>0</v>
      </c>
      <c r="I119" s="26">
        <f t="shared" si="16"/>
        <v>0</v>
      </c>
      <c r="J119" s="27" t="str">
        <f t="shared" si="17"/>
        <v>CO2REMOV</v>
      </c>
      <c r="K119" s="27" t="str">
        <f t="shared" si="20"/>
        <v>UNPAID</v>
      </c>
      <c r="L119" s="23">
        <f t="shared" si="12"/>
        <v>0</v>
      </c>
      <c r="M119" s="27">
        <f t="shared" si="18"/>
        <v>0</v>
      </c>
      <c r="N119" s="22">
        <f t="shared" si="21"/>
        <v>0</v>
      </c>
      <c r="O119" s="28">
        <f t="shared" si="19"/>
        <v>0</v>
      </c>
      <c r="T119" s="20"/>
    </row>
    <row r="120" spans="3:20" x14ac:dyDescent="0.35">
      <c r="C120" s="24" t="e">
        <f t="shared" si="11"/>
        <v>#VALUE!</v>
      </c>
      <c r="D120" s="25" t="str">
        <f t="shared" si="13"/>
        <v/>
      </c>
      <c r="E120" s="25">
        <f t="shared" si="14"/>
        <v>0</v>
      </c>
      <c r="F120" s="26">
        <f t="shared" si="15"/>
        <v>0</v>
      </c>
      <c r="G120" s="26">
        <f t="shared" si="16"/>
        <v>0</v>
      </c>
      <c r="H120" s="26">
        <f t="shared" si="16"/>
        <v>0</v>
      </c>
      <c r="I120" s="26">
        <f t="shared" si="16"/>
        <v>0</v>
      </c>
      <c r="J120" s="27" t="str">
        <f t="shared" si="17"/>
        <v>CO2REMOV</v>
      </c>
      <c r="K120" s="27" t="str">
        <f t="shared" si="20"/>
        <v>UNPAID</v>
      </c>
      <c r="L120" s="23">
        <f t="shared" si="12"/>
        <v>0</v>
      </c>
      <c r="M120" s="27">
        <f t="shared" si="18"/>
        <v>0</v>
      </c>
      <c r="N120" s="22">
        <f t="shared" si="21"/>
        <v>0</v>
      </c>
      <c r="O120" s="28">
        <f t="shared" si="19"/>
        <v>0</v>
      </c>
      <c r="T120" s="20"/>
    </row>
    <row r="121" spans="3:20" x14ac:dyDescent="0.35">
      <c r="C121" s="24" t="e">
        <f t="shared" si="11"/>
        <v>#VALUE!</v>
      </c>
      <c r="D121" s="25" t="str">
        <f t="shared" si="13"/>
        <v/>
      </c>
      <c r="E121" s="25">
        <f t="shared" si="14"/>
        <v>0</v>
      </c>
      <c r="F121" s="26">
        <f t="shared" si="15"/>
        <v>0</v>
      </c>
      <c r="G121" s="26">
        <f t="shared" si="16"/>
        <v>0</v>
      </c>
      <c r="H121" s="26">
        <f t="shared" si="16"/>
        <v>0</v>
      </c>
      <c r="I121" s="26">
        <f t="shared" si="16"/>
        <v>0</v>
      </c>
      <c r="J121" s="27" t="str">
        <f t="shared" si="17"/>
        <v>CO2REMOV</v>
      </c>
      <c r="K121" s="27" t="str">
        <f t="shared" si="20"/>
        <v>UNPAID</v>
      </c>
      <c r="L121" s="23">
        <f t="shared" si="12"/>
        <v>0</v>
      </c>
      <c r="M121" s="27">
        <f t="shared" si="18"/>
        <v>0</v>
      </c>
      <c r="N121" s="22">
        <f t="shared" si="21"/>
        <v>0</v>
      </c>
      <c r="O121" s="28">
        <f t="shared" si="19"/>
        <v>0</v>
      </c>
      <c r="T121" s="20"/>
    </row>
    <row r="122" spans="3:20" x14ac:dyDescent="0.35">
      <c r="C122" s="24" t="e">
        <f t="shared" si="11"/>
        <v>#VALUE!</v>
      </c>
      <c r="D122" s="25" t="str">
        <f t="shared" si="13"/>
        <v/>
      </c>
      <c r="E122" s="25">
        <f t="shared" si="14"/>
        <v>0</v>
      </c>
      <c r="F122" s="26">
        <f t="shared" si="15"/>
        <v>0</v>
      </c>
      <c r="G122" s="26">
        <f t="shared" si="16"/>
        <v>0</v>
      </c>
      <c r="H122" s="26">
        <f t="shared" si="16"/>
        <v>0</v>
      </c>
      <c r="I122" s="26">
        <f t="shared" si="16"/>
        <v>0</v>
      </c>
      <c r="J122" s="27" t="str">
        <f t="shared" si="17"/>
        <v>CO2REMOV</v>
      </c>
      <c r="K122" s="27" t="str">
        <f t="shared" si="20"/>
        <v>UNPAID</v>
      </c>
      <c r="L122" s="23">
        <f t="shared" si="12"/>
        <v>0</v>
      </c>
      <c r="M122" s="27">
        <f t="shared" si="18"/>
        <v>0</v>
      </c>
      <c r="N122" s="22">
        <f t="shared" si="21"/>
        <v>0</v>
      </c>
      <c r="O122" s="28">
        <f t="shared" si="19"/>
        <v>0</v>
      </c>
      <c r="T122" s="20"/>
    </row>
    <row r="123" spans="3:20" x14ac:dyDescent="0.35">
      <c r="C123" s="24" t="e">
        <f t="shared" si="11"/>
        <v>#VALUE!</v>
      </c>
      <c r="D123" s="25" t="str">
        <f t="shared" si="13"/>
        <v/>
      </c>
      <c r="E123" s="25">
        <f t="shared" si="14"/>
        <v>0</v>
      </c>
      <c r="F123" s="26">
        <f t="shared" si="15"/>
        <v>0</v>
      </c>
      <c r="G123" s="26">
        <f t="shared" si="16"/>
        <v>0</v>
      </c>
      <c r="H123" s="26">
        <f t="shared" si="16"/>
        <v>0</v>
      </c>
      <c r="I123" s="26">
        <f t="shared" si="16"/>
        <v>0</v>
      </c>
      <c r="J123" s="27" t="str">
        <f t="shared" si="17"/>
        <v>CO2REMOV</v>
      </c>
      <c r="K123" s="27" t="str">
        <f t="shared" si="20"/>
        <v>UNPAID</v>
      </c>
      <c r="L123" s="23">
        <f t="shared" si="12"/>
        <v>0</v>
      </c>
      <c r="M123" s="27">
        <f t="shared" si="18"/>
        <v>0</v>
      </c>
      <c r="N123" s="22">
        <f t="shared" si="21"/>
        <v>0</v>
      </c>
      <c r="O123" s="28">
        <f t="shared" si="19"/>
        <v>0</v>
      </c>
      <c r="T123" s="20"/>
    </row>
    <row r="124" spans="3:20" x14ac:dyDescent="0.35">
      <c r="C124" s="24" t="e">
        <f t="shared" si="11"/>
        <v>#VALUE!</v>
      </c>
      <c r="D124" s="25" t="str">
        <f t="shared" si="13"/>
        <v/>
      </c>
      <c r="E124" s="25">
        <f t="shared" si="14"/>
        <v>0</v>
      </c>
      <c r="F124" s="26">
        <f t="shared" si="15"/>
        <v>0</v>
      </c>
      <c r="G124" s="26">
        <f t="shared" si="16"/>
        <v>0</v>
      </c>
      <c r="H124" s="26">
        <f t="shared" si="16"/>
        <v>0</v>
      </c>
      <c r="I124" s="26">
        <f t="shared" si="16"/>
        <v>0</v>
      </c>
      <c r="J124" s="27" t="str">
        <f t="shared" si="17"/>
        <v>CO2REMOV</v>
      </c>
      <c r="K124" s="27" t="str">
        <f t="shared" si="20"/>
        <v>UNPAID</v>
      </c>
      <c r="L124" s="23">
        <f t="shared" si="12"/>
        <v>0</v>
      </c>
      <c r="M124" s="27">
        <f t="shared" si="18"/>
        <v>0</v>
      </c>
      <c r="N124" s="22">
        <f t="shared" si="21"/>
        <v>0</v>
      </c>
      <c r="O124" s="28">
        <f t="shared" si="19"/>
        <v>0</v>
      </c>
      <c r="T124" s="20"/>
    </row>
    <row r="125" spans="3:20" x14ac:dyDescent="0.35">
      <c r="C125" s="24" t="e">
        <f t="shared" si="11"/>
        <v>#VALUE!</v>
      </c>
      <c r="D125" s="25" t="str">
        <f t="shared" si="13"/>
        <v/>
      </c>
      <c r="E125" s="25">
        <f t="shared" si="14"/>
        <v>0</v>
      </c>
      <c r="F125" s="26">
        <f t="shared" si="15"/>
        <v>0</v>
      </c>
      <c r="G125" s="26">
        <f t="shared" si="16"/>
        <v>0</v>
      </c>
      <c r="H125" s="26">
        <f t="shared" si="16"/>
        <v>0</v>
      </c>
      <c r="I125" s="26">
        <f t="shared" si="16"/>
        <v>0</v>
      </c>
      <c r="J125" s="27" t="str">
        <f t="shared" si="17"/>
        <v>CO2REMOV</v>
      </c>
      <c r="K125" s="27" t="str">
        <f t="shared" si="20"/>
        <v>UNPAID</v>
      </c>
      <c r="L125" s="23">
        <f t="shared" si="12"/>
        <v>0</v>
      </c>
      <c r="M125" s="27">
        <f t="shared" si="18"/>
        <v>0</v>
      </c>
      <c r="N125" s="22">
        <f t="shared" si="21"/>
        <v>0</v>
      </c>
      <c r="O125" s="28">
        <f t="shared" si="19"/>
        <v>0</v>
      </c>
      <c r="T125" s="20"/>
    </row>
    <row r="126" spans="3:20" x14ac:dyDescent="0.35">
      <c r="C126" s="24" t="e">
        <f t="shared" si="11"/>
        <v>#VALUE!</v>
      </c>
      <c r="D126" s="25" t="str">
        <f t="shared" si="13"/>
        <v/>
      </c>
      <c r="E126" s="25">
        <f t="shared" si="14"/>
        <v>0</v>
      </c>
      <c r="F126" s="26">
        <f t="shared" si="15"/>
        <v>0</v>
      </c>
      <c r="G126" s="26">
        <f t="shared" si="16"/>
        <v>0</v>
      </c>
      <c r="H126" s="26">
        <f t="shared" si="16"/>
        <v>0</v>
      </c>
      <c r="I126" s="26">
        <f t="shared" si="16"/>
        <v>0</v>
      </c>
      <c r="J126" s="27" t="str">
        <f t="shared" si="17"/>
        <v>CO2REMOV</v>
      </c>
      <c r="K126" s="27" t="str">
        <f t="shared" si="20"/>
        <v>UNPAID</v>
      </c>
      <c r="L126" s="23">
        <f t="shared" si="12"/>
        <v>0</v>
      </c>
      <c r="M126" s="27">
        <f t="shared" si="18"/>
        <v>0</v>
      </c>
      <c r="N126" s="22">
        <f t="shared" si="21"/>
        <v>0</v>
      </c>
      <c r="O126" s="28">
        <f t="shared" si="19"/>
        <v>0</v>
      </c>
      <c r="T126" s="20"/>
    </row>
    <row r="127" spans="3:20" x14ac:dyDescent="0.35">
      <c r="C127" s="24" t="e">
        <f t="shared" si="11"/>
        <v>#VALUE!</v>
      </c>
      <c r="D127" s="25" t="str">
        <f t="shared" si="13"/>
        <v/>
      </c>
      <c r="E127" s="25">
        <f t="shared" si="14"/>
        <v>0</v>
      </c>
      <c r="F127" s="26">
        <f t="shared" si="15"/>
        <v>0</v>
      </c>
      <c r="G127" s="26">
        <f t="shared" si="16"/>
        <v>0</v>
      </c>
      <c r="H127" s="26">
        <f t="shared" si="16"/>
        <v>0</v>
      </c>
      <c r="I127" s="26">
        <f t="shared" si="16"/>
        <v>0</v>
      </c>
      <c r="J127" s="27" t="str">
        <f t="shared" si="17"/>
        <v>CO2REMOV</v>
      </c>
      <c r="K127" s="27" t="str">
        <f t="shared" si="20"/>
        <v>UNPAID</v>
      </c>
      <c r="L127" s="23">
        <f t="shared" si="12"/>
        <v>0</v>
      </c>
      <c r="M127" s="27">
        <f t="shared" si="18"/>
        <v>0</v>
      </c>
      <c r="N127" s="22">
        <f t="shared" si="21"/>
        <v>0</v>
      </c>
      <c r="O127" s="28">
        <f t="shared" si="19"/>
        <v>0</v>
      </c>
      <c r="T127" s="20"/>
    </row>
    <row r="128" spans="3:20" x14ac:dyDescent="0.35">
      <c r="C128" s="24" t="e">
        <f t="shared" si="11"/>
        <v>#VALUE!</v>
      </c>
      <c r="D128" s="25" t="str">
        <f t="shared" si="13"/>
        <v/>
      </c>
      <c r="E128" s="25">
        <f t="shared" si="14"/>
        <v>0</v>
      </c>
      <c r="F128" s="26">
        <f t="shared" si="15"/>
        <v>0</v>
      </c>
      <c r="G128" s="26">
        <f t="shared" si="16"/>
        <v>0</v>
      </c>
      <c r="H128" s="26">
        <f t="shared" si="16"/>
        <v>0</v>
      </c>
      <c r="I128" s="26">
        <f t="shared" si="16"/>
        <v>0</v>
      </c>
      <c r="J128" s="27" t="str">
        <f t="shared" si="17"/>
        <v>CO2REMOV</v>
      </c>
      <c r="K128" s="27" t="str">
        <f t="shared" si="20"/>
        <v>UNPAID</v>
      </c>
      <c r="L128" s="23">
        <f t="shared" si="12"/>
        <v>0</v>
      </c>
      <c r="M128" s="27">
        <f t="shared" si="18"/>
        <v>0</v>
      </c>
      <c r="N128" s="22">
        <f t="shared" si="21"/>
        <v>0</v>
      </c>
      <c r="O128" s="28">
        <f t="shared" si="19"/>
        <v>0</v>
      </c>
      <c r="T128" s="20"/>
    </row>
    <row r="129" spans="3:20" x14ac:dyDescent="0.35">
      <c r="C129" s="24" t="e">
        <f t="shared" si="11"/>
        <v>#VALUE!</v>
      </c>
      <c r="D129" s="25" t="str">
        <f t="shared" si="13"/>
        <v/>
      </c>
      <c r="E129" s="25">
        <f t="shared" si="14"/>
        <v>0</v>
      </c>
      <c r="F129" s="26">
        <f t="shared" si="15"/>
        <v>0</v>
      </c>
      <c r="G129" s="26">
        <f t="shared" si="16"/>
        <v>0</v>
      </c>
      <c r="H129" s="26">
        <f t="shared" si="16"/>
        <v>0</v>
      </c>
      <c r="I129" s="26">
        <f t="shared" si="16"/>
        <v>0</v>
      </c>
      <c r="J129" s="27" t="str">
        <f t="shared" si="17"/>
        <v>CO2REMOV</v>
      </c>
      <c r="K129" s="27" t="str">
        <f t="shared" si="20"/>
        <v>UNPAID</v>
      </c>
      <c r="L129" s="23">
        <f t="shared" si="12"/>
        <v>0</v>
      </c>
      <c r="M129" s="27">
        <f t="shared" si="18"/>
        <v>0</v>
      </c>
      <c r="N129" s="22">
        <f t="shared" si="21"/>
        <v>0</v>
      </c>
      <c r="O129" s="28">
        <f t="shared" si="19"/>
        <v>0</v>
      </c>
      <c r="T129" s="20"/>
    </row>
    <row r="130" spans="3:20" x14ac:dyDescent="0.35">
      <c r="C130" s="24" t="e">
        <f t="shared" si="11"/>
        <v>#VALUE!</v>
      </c>
      <c r="D130" s="25" t="str">
        <f t="shared" si="13"/>
        <v/>
      </c>
      <c r="E130" s="25">
        <f t="shared" si="14"/>
        <v>0</v>
      </c>
      <c r="F130" s="26">
        <f t="shared" si="15"/>
        <v>0</v>
      </c>
      <c r="G130" s="26">
        <f t="shared" si="16"/>
        <v>0</v>
      </c>
      <c r="H130" s="26">
        <f t="shared" si="16"/>
        <v>0</v>
      </c>
      <c r="I130" s="26">
        <f t="shared" si="16"/>
        <v>0</v>
      </c>
      <c r="J130" s="27" t="str">
        <f t="shared" si="17"/>
        <v>CO2REMOV</v>
      </c>
      <c r="K130" s="27" t="str">
        <f t="shared" si="20"/>
        <v>UNPAID</v>
      </c>
      <c r="L130" s="23">
        <f t="shared" si="12"/>
        <v>0</v>
      </c>
      <c r="M130" s="27">
        <f t="shared" si="18"/>
        <v>0</v>
      </c>
      <c r="N130" s="22">
        <f t="shared" si="21"/>
        <v>0</v>
      </c>
      <c r="O130" s="28">
        <f t="shared" si="19"/>
        <v>0</v>
      </c>
      <c r="T130" s="20"/>
    </row>
    <row r="131" spans="3:20" x14ac:dyDescent="0.35">
      <c r="C131" s="24" t="e">
        <f t="shared" si="11"/>
        <v>#VALUE!</v>
      </c>
      <c r="D131" s="25" t="str">
        <f t="shared" si="13"/>
        <v/>
      </c>
      <c r="E131" s="25">
        <f t="shared" si="14"/>
        <v>0</v>
      </c>
      <c r="F131" s="26">
        <f t="shared" si="15"/>
        <v>0</v>
      </c>
      <c r="G131" s="26">
        <f t="shared" si="16"/>
        <v>0</v>
      </c>
      <c r="H131" s="26">
        <f t="shared" si="16"/>
        <v>0</v>
      </c>
      <c r="I131" s="26">
        <f t="shared" si="16"/>
        <v>0</v>
      </c>
      <c r="J131" s="27" t="str">
        <f t="shared" si="17"/>
        <v>CO2REMOV</v>
      </c>
      <c r="K131" s="27" t="str">
        <f t="shared" si="20"/>
        <v>UNPAID</v>
      </c>
      <c r="L131" s="23">
        <f t="shared" si="12"/>
        <v>0</v>
      </c>
      <c r="M131" s="27">
        <f t="shared" si="18"/>
        <v>0</v>
      </c>
      <c r="N131" s="22">
        <f t="shared" si="21"/>
        <v>0</v>
      </c>
      <c r="O131" s="28">
        <f t="shared" si="19"/>
        <v>0</v>
      </c>
      <c r="T131" s="20"/>
    </row>
    <row r="132" spans="3:20" x14ac:dyDescent="0.35">
      <c r="C132" s="24" t="e">
        <f t="shared" si="11"/>
        <v>#VALUE!</v>
      </c>
      <c r="D132" s="25" t="str">
        <f t="shared" si="13"/>
        <v/>
      </c>
      <c r="E132" s="25">
        <f t="shared" si="14"/>
        <v>0</v>
      </c>
      <c r="F132" s="26">
        <f t="shared" si="15"/>
        <v>0</v>
      </c>
      <c r="G132" s="26">
        <f t="shared" si="16"/>
        <v>0</v>
      </c>
      <c r="H132" s="26">
        <f t="shared" si="16"/>
        <v>0</v>
      </c>
      <c r="I132" s="26">
        <f t="shared" si="16"/>
        <v>0</v>
      </c>
      <c r="J132" s="27" t="str">
        <f t="shared" si="17"/>
        <v>CO2REMOV</v>
      </c>
      <c r="K132" s="27" t="str">
        <f t="shared" si="20"/>
        <v>UNPAID</v>
      </c>
      <c r="L132" s="23">
        <f t="shared" si="12"/>
        <v>0</v>
      </c>
      <c r="M132" s="27">
        <f t="shared" si="18"/>
        <v>0</v>
      </c>
      <c r="N132" s="22">
        <f t="shared" si="21"/>
        <v>0</v>
      </c>
      <c r="O132" s="28">
        <f t="shared" si="19"/>
        <v>0</v>
      </c>
      <c r="T132" s="20"/>
    </row>
    <row r="133" spans="3:20" x14ac:dyDescent="0.35">
      <c r="C133" s="24" t="e">
        <f t="shared" si="11"/>
        <v>#VALUE!</v>
      </c>
      <c r="D133" s="25" t="str">
        <f t="shared" si="13"/>
        <v/>
      </c>
      <c r="E133" s="25">
        <f t="shared" si="14"/>
        <v>0</v>
      </c>
      <c r="F133" s="26">
        <f t="shared" si="15"/>
        <v>0</v>
      </c>
      <c r="G133" s="26">
        <f t="shared" si="16"/>
        <v>0</v>
      </c>
      <c r="H133" s="26">
        <f t="shared" si="16"/>
        <v>0</v>
      </c>
      <c r="I133" s="26">
        <f t="shared" si="16"/>
        <v>0</v>
      </c>
      <c r="J133" s="27" t="str">
        <f t="shared" si="17"/>
        <v>CO2REMOV</v>
      </c>
      <c r="K133" s="27" t="str">
        <f t="shared" si="20"/>
        <v>UNPAID</v>
      </c>
      <c r="L133" s="23">
        <f t="shared" si="12"/>
        <v>0</v>
      </c>
      <c r="M133" s="27">
        <f t="shared" si="18"/>
        <v>0</v>
      </c>
      <c r="N133" s="22">
        <f t="shared" si="21"/>
        <v>0</v>
      </c>
      <c r="O133" s="28">
        <f t="shared" si="19"/>
        <v>0</v>
      </c>
      <c r="T133" s="20"/>
    </row>
    <row r="134" spans="3:20" x14ac:dyDescent="0.35">
      <c r="C134" s="24" t="e">
        <f t="shared" si="11"/>
        <v>#VALUE!</v>
      </c>
      <c r="D134" s="25" t="str">
        <f t="shared" si="13"/>
        <v/>
      </c>
      <c r="E134" s="25">
        <f t="shared" si="14"/>
        <v>0</v>
      </c>
      <c r="F134" s="26">
        <f t="shared" si="15"/>
        <v>0</v>
      </c>
      <c r="G134" s="26">
        <f t="shared" si="16"/>
        <v>0</v>
      </c>
      <c r="H134" s="26">
        <f t="shared" si="16"/>
        <v>0</v>
      </c>
      <c r="I134" s="26">
        <f t="shared" si="16"/>
        <v>0</v>
      </c>
      <c r="J134" s="27" t="str">
        <f t="shared" si="17"/>
        <v>CO2REMOV</v>
      </c>
      <c r="K134" s="27" t="str">
        <f t="shared" si="20"/>
        <v>UNPAID</v>
      </c>
      <c r="L134" s="23">
        <f t="shared" si="12"/>
        <v>0</v>
      </c>
      <c r="M134" s="27">
        <f t="shared" si="18"/>
        <v>0</v>
      </c>
      <c r="N134" s="22">
        <f t="shared" si="21"/>
        <v>0</v>
      </c>
      <c r="O134" s="28">
        <f t="shared" si="19"/>
        <v>0</v>
      </c>
      <c r="T134" s="20"/>
    </row>
    <row r="135" spans="3:20" x14ac:dyDescent="0.35">
      <c r="C135" s="24" t="e">
        <f t="shared" si="11"/>
        <v>#VALUE!</v>
      </c>
      <c r="D135" s="25" t="str">
        <f t="shared" si="13"/>
        <v/>
      </c>
      <c r="E135" s="25">
        <f t="shared" si="14"/>
        <v>0</v>
      </c>
      <c r="F135" s="26">
        <f t="shared" si="15"/>
        <v>0</v>
      </c>
      <c r="G135" s="26">
        <f t="shared" si="16"/>
        <v>0</v>
      </c>
      <c r="H135" s="26">
        <f t="shared" si="16"/>
        <v>0</v>
      </c>
      <c r="I135" s="26">
        <f t="shared" si="16"/>
        <v>0</v>
      </c>
      <c r="J135" s="27" t="str">
        <f t="shared" si="17"/>
        <v>CO2REMOV</v>
      </c>
      <c r="K135" s="27" t="str">
        <f t="shared" si="20"/>
        <v>UNPAID</v>
      </c>
      <c r="L135" s="23">
        <f t="shared" si="12"/>
        <v>0</v>
      </c>
      <c r="M135" s="27">
        <f t="shared" si="18"/>
        <v>0</v>
      </c>
      <c r="N135" s="22">
        <f t="shared" si="21"/>
        <v>0</v>
      </c>
      <c r="O135" s="28">
        <f t="shared" si="19"/>
        <v>0</v>
      </c>
      <c r="T135" s="20"/>
    </row>
    <row r="136" spans="3:20" x14ac:dyDescent="0.35">
      <c r="C136" s="24" t="s">
        <v>54</v>
      </c>
      <c r="D136" s="25"/>
      <c r="E136" s="25"/>
      <c r="F136" s="26"/>
      <c r="G136" s="26"/>
      <c r="H136" s="26"/>
      <c r="I136" s="26"/>
      <c r="J136" s="27"/>
      <c r="K136" s="27"/>
      <c r="L136" s="23">
        <f t="shared" si="12"/>
        <v>0</v>
      </c>
      <c r="M136" s="27"/>
      <c r="N136" s="22"/>
      <c r="O136" s="28"/>
      <c r="T136" s="20"/>
    </row>
    <row r="137" spans="3:20" x14ac:dyDescent="0.35">
      <c r="C137" s="24" t="e">
        <f>C135+1</f>
        <v>#VALUE!</v>
      </c>
      <c r="D137" s="25" t="str">
        <f t="shared" si="13"/>
        <v/>
      </c>
      <c r="E137" s="25">
        <f t="shared" si="14"/>
        <v>0</v>
      </c>
      <c r="F137" s="26">
        <f t="shared" si="15"/>
        <v>0</v>
      </c>
      <c r="G137" s="26">
        <f t="shared" si="16"/>
        <v>0</v>
      </c>
      <c r="H137" s="26">
        <f t="shared" si="16"/>
        <v>0</v>
      </c>
      <c r="I137" s="26">
        <f t="shared" si="16"/>
        <v>0</v>
      </c>
      <c r="J137" s="27" t="str">
        <f t="shared" si="17"/>
        <v>CO2REMOV</v>
      </c>
      <c r="K137" s="27" t="str">
        <f t="shared" si="20"/>
        <v>UNPAID</v>
      </c>
      <c r="L137" s="23">
        <f t="shared" si="12"/>
        <v>0</v>
      </c>
      <c r="M137" s="27">
        <f t="shared" si="18"/>
        <v>0</v>
      </c>
      <c r="N137" s="22">
        <f t="shared" si="21"/>
        <v>0</v>
      </c>
      <c r="O137" s="28">
        <f t="shared" si="19"/>
        <v>0</v>
      </c>
      <c r="T137" s="20"/>
    </row>
    <row r="138" spans="3:20" x14ac:dyDescent="0.35">
      <c r="C138" s="24" t="e">
        <f t="shared" si="11"/>
        <v>#VALUE!</v>
      </c>
      <c r="D138" s="25" t="str">
        <f t="shared" si="13"/>
        <v/>
      </c>
      <c r="E138" s="25">
        <f t="shared" si="14"/>
        <v>0</v>
      </c>
      <c r="F138" s="26">
        <f t="shared" si="15"/>
        <v>0</v>
      </c>
      <c r="G138" s="26">
        <f t="shared" si="16"/>
        <v>0</v>
      </c>
      <c r="H138" s="26">
        <f t="shared" si="16"/>
        <v>0</v>
      </c>
      <c r="I138" s="26">
        <f t="shared" si="16"/>
        <v>0</v>
      </c>
      <c r="J138" s="27" t="str">
        <f t="shared" si="17"/>
        <v>CO2REMOV</v>
      </c>
      <c r="K138" s="27" t="str">
        <f t="shared" si="20"/>
        <v>UNPAID</v>
      </c>
      <c r="L138" s="23">
        <f t="shared" si="12"/>
        <v>0</v>
      </c>
      <c r="M138" s="27">
        <f t="shared" si="18"/>
        <v>0</v>
      </c>
      <c r="N138" s="22">
        <f t="shared" si="21"/>
        <v>0</v>
      </c>
      <c r="O138" s="28">
        <f t="shared" si="19"/>
        <v>0</v>
      </c>
      <c r="T138" s="20"/>
    </row>
    <row r="139" spans="3:20" x14ac:dyDescent="0.35">
      <c r="C139" s="24" t="e">
        <f t="shared" si="11"/>
        <v>#VALUE!</v>
      </c>
      <c r="D139" s="25" t="str">
        <f t="shared" si="13"/>
        <v/>
      </c>
      <c r="E139" s="25">
        <f t="shared" si="14"/>
        <v>0</v>
      </c>
      <c r="F139" s="26">
        <f t="shared" si="15"/>
        <v>0</v>
      </c>
      <c r="G139" s="26">
        <f t="shared" si="16"/>
        <v>0</v>
      </c>
      <c r="H139" s="26">
        <f t="shared" si="16"/>
        <v>0</v>
      </c>
      <c r="I139" s="26">
        <f t="shared" si="16"/>
        <v>0</v>
      </c>
      <c r="J139" s="27" t="str">
        <f t="shared" si="17"/>
        <v>CO2REMOV</v>
      </c>
      <c r="K139" s="27" t="str">
        <f t="shared" si="20"/>
        <v>UNPAID</v>
      </c>
      <c r="L139" s="23">
        <f t="shared" si="12"/>
        <v>0</v>
      </c>
      <c r="M139" s="27">
        <f t="shared" si="18"/>
        <v>0</v>
      </c>
      <c r="N139" s="22">
        <f t="shared" si="21"/>
        <v>0</v>
      </c>
      <c r="O139" s="28">
        <f t="shared" si="19"/>
        <v>0</v>
      </c>
      <c r="T139" s="20"/>
    </row>
    <row r="140" spans="3:20" x14ac:dyDescent="0.35">
      <c r="C140" s="24" t="e">
        <f t="shared" si="11"/>
        <v>#VALUE!</v>
      </c>
      <c r="D140" s="25" t="str">
        <f t="shared" si="13"/>
        <v/>
      </c>
      <c r="E140" s="25">
        <f t="shared" si="14"/>
        <v>0</v>
      </c>
      <c r="F140" s="26">
        <f t="shared" si="15"/>
        <v>0</v>
      </c>
      <c r="G140" s="26">
        <f t="shared" si="16"/>
        <v>0</v>
      </c>
      <c r="H140" s="26">
        <f t="shared" si="16"/>
        <v>0</v>
      </c>
      <c r="I140" s="26">
        <f t="shared" si="16"/>
        <v>0</v>
      </c>
      <c r="J140" s="27" t="str">
        <f t="shared" si="17"/>
        <v>CO2REMOV</v>
      </c>
      <c r="K140" s="27" t="str">
        <f t="shared" si="20"/>
        <v>UNPAID</v>
      </c>
      <c r="L140" s="23">
        <f t="shared" si="12"/>
        <v>0</v>
      </c>
      <c r="M140" s="27">
        <f t="shared" si="18"/>
        <v>0</v>
      </c>
      <c r="N140" s="22">
        <f t="shared" si="21"/>
        <v>0</v>
      </c>
      <c r="O140" s="28">
        <f t="shared" si="19"/>
        <v>0</v>
      </c>
      <c r="T140" s="20"/>
    </row>
    <row r="141" spans="3:20" x14ac:dyDescent="0.35">
      <c r="C141" s="24" t="e">
        <f t="shared" ref="C141:C204" si="22">C140+1</f>
        <v>#VALUE!</v>
      </c>
      <c r="D141" s="25" t="str">
        <f t="shared" si="13"/>
        <v/>
      </c>
      <c r="E141" s="25">
        <f t="shared" si="14"/>
        <v>0</v>
      </c>
      <c r="F141" s="26">
        <f t="shared" si="15"/>
        <v>0</v>
      </c>
      <c r="G141" s="26">
        <f t="shared" si="16"/>
        <v>0</v>
      </c>
      <c r="H141" s="26">
        <f t="shared" si="16"/>
        <v>0</v>
      </c>
      <c r="I141" s="26">
        <f t="shared" si="16"/>
        <v>0</v>
      </c>
      <c r="J141" s="27" t="str">
        <f t="shared" si="17"/>
        <v>CO2REMOV</v>
      </c>
      <c r="K141" s="27" t="str">
        <f t="shared" si="20"/>
        <v>UNPAID</v>
      </c>
      <c r="L141" s="23">
        <f t="shared" ref="L141:L204" si="23">IF(K141="PAID",AA141,0)</f>
        <v>0</v>
      </c>
      <c r="M141" s="27">
        <f t="shared" si="18"/>
        <v>0</v>
      </c>
      <c r="N141" s="22">
        <f t="shared" si="21"/>
        <v>0</v>
      </c>
      <c r="O141" s="28">
        <f t="shared" si="19"/>
        <v>0</v>
      </c>
      <c r="T141" s="20"/>
    </row>
    <row r="142" spans="3:20" x14ac:dyDescent="0.35">
      <c r="C142" s="24" t="e">
        <f t="shared" si="22"/>
        <v>#VALUE!</v>
      </c>
      <c r="D142" s="25" t="str">
        <f t="shared" si="13"/>
        <v/>
      </c>
      <c r="E142" s="25">
        <f t="shared" si="14"/>
        <v>0</v>
      </c>
      <c r="F142" s="26">
        <f t="shared" si="15"/>
        <v>0</v>
      </c>
      <c r="G142" s="26">
        <f t="shared" si="16"/>
        <v>0</v>
      </c>
      <c r="H142" s="26">
        <f t="shared" si="16"/>
        <v>0</v>
      </c>
      <c r="I142" s="26">
        <f t="shared" si="16"/>
        <v>0</v>
      </c>
      <c r="J142" s="27" t="str">
        <f t="shared" si="17"/>
        <v>CO2REMOV</v>
      </c>
      <c r="K142" s="27" t="str">
        <f t="shared" si="20"/>
        <v>UNPAID</v>
      </c>
      <c r="L142" s="23">
        <f t="shared" si="23"/>
        <v>0</v>
      </c>
      <c r="M142" s="27">
        <f t="shared" si="18"/>
        <v>0</v>
      </c>
      <c r="N142" s="22">
        <f t="shared" si="21"/>
        <v>0</v>
      </c>
      <c r="O142" s="28">
        <f t="shared" si="19"/>
        <v>0</v>
      </c>
      <c r="T142" s="20"/>
    </row>
    <row r="143" spans="3:20" x14ac:dyDescent="0.35">
      <c r="C143" s="24" t="e">
        <f t="shared" si="22"/>
        <v>#VALUE!</v>
      </c>
      <c r="D143" s="25" t="str">
        <f t="shared" si="13"/>
        <v/>
      </c>
      <c r="E143" s="25">
        <f t="shared" si="14"/>
        <v>0</v>
      </c>
      <c r="F143" s="26">
        <f t="shared" si="15"/>
        <v>0</v>
      </c>
      <c r="G143" s="26">
        <f t="shared" si="16"/>
        <v>0</v>
      </c>
      <c r="H143" s="26">
        <f t="shared" si="16"/>
        <v>0</v>
      </c>
      <c r="I143" s="26">
        <f t="shared" si="16"/>
        <v>0</v>
      </c>
      <c r="J143" s="27" t="str">
        <f t="shared" si="17"/>
        <v>CO2REMOV</v>
      </c>
      <c r="K143" s="27" t="str">
        <f t="shared" si="20"/>
        <v>UNPAID</v>
      </c>
      <c r="L143" s="23">
        <f t="shared" si="23"/>
        <v>0</v>
      </c>
      <c r="M143" s="27">
        <f t="shared" si="18"/>
        <v>0</v>
      </c>
      <c r="N143" s="22">
        <f t="shared" si="21"/>
        <v>0</v>
      </c>
      <c r="O143" s="28">
        <f t="shared" si="19"/>
        <v>0</v>
      </c>
      <c r="T143" s="20"/>
    </row>
    <row r="144" spans="3:20" x14ac:dyDescent="0.35">
      <c r="C144" s="24" t="e">
        <f t="shared" si="22"/>
        <v>#VALUE!</v>
      </c>
      <c r="D144" s="25" t="str">
        <f t="shared" si="13"/>
        <v/>
      </c>
      <c r="E144" s="25">
        <f t="shared" si="14"/>
        <v>0</v>
      </c>
      <c r="F144" s="26">
        <f t="shared" si="15"/>
        <v>0</v>
      </c>
      <c r="G144" s="26">
        <f t="shared" si="16"/>
        <v>0</v>
      </c>
      <c r="H144" s="26">
        <f t="shared" si="16"/>
        <v>0</v>
      </c>
      <c r="I144" s="26">
        <f t="shared" si="16"/>
        <v>0</v>
      </c>
      <c r="J144" s="27" t="str">
        <f t="shared" si="17"/>
        <v>CO2REMOV</v>
      </c>
      <c r="K144" s="27" t="str">
        <f t="shared" si="20"/>
        <v>UNPAID</v>
      </c>
      <c r="L144" s="23">
        <f t="shared" si="23"/>
        <v>0</v>
      </c>
      <c r="M144" s="27">
        <f t="shared" si="18"/>
        <v>0</v>
      </c>
      <c r="N144" s="22">
        <f t="shared" si="21"/>
        <v>0</v>
      </c>
      <c r="O144" s="28">
        <f t="shared" si="19"/>
        <v>0</v>
      </c>
      <c r="T144" s="20"/>
    </row>
    <row r="145" spans="3:20" x14ac:dyDescent="0.35">
      <c r="C145" s="24" t="e">
        <f t="shared" si="22"/>
        <v>#VALUE!</v>
      </c>
      <c r="D145" s="25" t="str">
        <f t="shared" si="13"/>
        <v/>
      </c>
      <c r="E145" s="25">
        <f t="shared" si="14"/>
        <v>0</v>
      </c>
      <c r="F145" s="26">
        <f t="shared" si="15"/>
        <v>0</v>
      </c>
      <c r="G145" s="26">
        <f t="shared" si="16"/>
        <v>0</v>
      </c>
      <c r="H145" s="26">
        <f t="shared" si="16"/>
        <v>0</v>
      </c>
      <c r="I145" s="26">
        <f t="shared" si="16"/>
        <v>0</v>
      </c>
      <c r="J145" s="27" t="str">
        <f t="shared" si="17"/>
        <v>CO2REMOV</v>
      </c>
      <c r="K145" s="27" t="str">
        <f t="shared" si="20"/>
        <v>UNPAID</v>
      </c>
      <c r="L145" s="23">
        <f t="shared" si="23"/>
        <v>0</v>
      </c>
      <c r="M145" s="27">
        <f t="shared" si="18"/>
        <v>0</v>
      </c>
      <c r="N145" s="22">
        <f t="shared" si="21"/>
        <v>0</v>
      </c>
      <c r="O145" s="28">
        <f t="shared" si="19"/>
        <v>0</v>
      </c>
      <c r="T145" s="20"/>
    </row>
    <row r="146" spans="3:20" x14ac:dyDescent="0.35">
      <c r="C146" s="24" t="e">
        <f t="shared" si="22"/>
        <v>#VALUE!</v>
      </c>
      <c r="D146" s="25" t="str">
        <f t="shared" ref="D146:D211" si="24">IF(W146="","",ROUND(W146,0))</f>
        <v/>
      </c>
      <c r="E146" s="25">
        <f t="shared" ref="E146:E211" si="25">IF(X146="",0,X146)</f>
        <v>0</v>
      </c>
      <c r="F146" s="26">
        <f t="shared" ref="F146:F211" si="26">Y146</f>
        <v>0</v>
      </c>
      <c r="G146" s="26">
        <f t="shared" ref="G146:I211" si="27">AE146*24</f>
        <v>0</v>
      </c>
      <c r="H146" s="26">
        <f t="shared" si="27"/>
        <v>0</v>
      </c>
      <c r="I146" s="26">
        <f t="shared" si="27"/>
        <v>0</v>
      </c>
      <c r="J146" s="27" t="str">
        <f t="shared" ref="J146:J211" si="28">$D$6</f>
        <v>CO2REMOV</v>
      </c>
      <c r="K146" s="27" t="str">
        <f t="shared" si="20"/>
        <v>UNPAID</v>
      </c>
      <c r="L146" s="23">
        <f t="shared" si="23"/>
        <v>0</v>
      </c>
      <c r="M146" s="27">
        <f t="shared" ref="M146:M211" si="29">F146</f>
        <v>0</v>
      </c>
      <c r="N146" s="22">
        <f t="shared" si="21"/>
        <v>0</v>
      </c>
      <c r="O146" s="28">
        <f t="shared" ref="O146:O211" si="30">AJ146</f>
        <v>0</v>
      </c>
      <c r="T146" s="20"/>
    </row>
    <row r="147" spans="3:20" x14ac:dyDescent="0.35">
      <c r="C147" s="24" t="e">
        <f t="shared" si="22"/>
        <v>#VALUE!</v>
      </c>
      <c r="D147" s="25" t="str">
        <f t="shared" si="24"/>
        <v/>
      </c>
      <c r="E147" s="25">
        <f t="shared" si="25"/>
        <v>0</v>
      </c>
      <c r="F147" s="26">
        <f t="shared" si="26"/>
        <v>0</v>
      </c>
      <c r="G147" s="26">
        <f t="shared" si="27"/>
        <v>0</v>
      </c>
      <c r="H147" s="26">
        <f t="shared" si="27"/>
        <v>0</v>
      </c>
      <c r="I147" s="26">
        <f t="shared" si="27"/>
        <v>0</v>
      </c>
      <c r="J147" s="27" t="str">
        <f t="shared" si="28"/>
        <v>CO2REMOV</v>
      </c>
      <c r="K147" s="27" t="str">
        <f t="shared" si="20"/>
        <v>UNPAID</v>
      </c>
      <c r="L147" s="23">
        <f t="shared" si="23"/>
        <v>0</v>
      </c>
      <c r="M147" s="27">
        <f t="shared" si="29"/>
        <v>0</v>
      </c>
      <c r="N147" s="22">
        <f t="shared" si="21"/>
        <v>0</v>
      </c>
      <c r="O147" s="28">
        <f t="shared" si="30"/>
        <v>0</v>
      </c>
      <c r="T147" s="20"/>
    </row>
    <row r="148" spans="3:20" x14ac:dyDescent="0.35">
      <c r="C148" s="24" t="e">
        <f t="shared" si="22"/>
        <v>#VALUE!</v>
      </c>
      <c r="D148" s="25" t="str">
        <f t="shared" si="24"/>
        <v/>
      </c>
      <c r="E148" s="25">
        <f t="shared" si="25"/>
        <v>0</v>
      </c>
      <c r="F148" s="26">
        <f t="shared" si="26"/>
        <v>0</v>
      </c>
      <c r="G148" s="26">
        <f t="shared" si="27"/>
        <v>0</v>
      </c>
      <c r="H148" s="26">
        <f t="shared" si="27"/>
        <v>0</v>
      </c>
      <c r="I148" s="26">
        <f t="shared" si="27"/>
        <v>0</v>
      </c>
      <c r="J148" s="27" t="str">
        <f t="shared" si="28"/>
        <v>CO2REMOV</v>
      </c>
      <c r="K148" s="27" t="str">
        <f t="shared" si="20"/>
        <v>UNPAID</v>
      </c>
      <c r="L148" s="23">
        <f t="shared" si="23"/>
        <v>0</v>
      </c>
      <c r="M148" s="27">
        <f t="shared" si="29"/>
        <v>0</v>
      </c>
      <c r="N148" s="22">
        <f t="shared" si="21"/>
        <v>0</v>
      </c>
      <c r="O148" s="28">
        <f t="shared" si="30"/>
        <v>0</v>
      </c>
      <c r="T148" s="20"/>
    </row>
    <row r="149" spans="3:20" x14ac:dyDescent="0.35">
      <c r="C149" s="24" t="e">
        <f t="shared" si="22"/>
        <v>#VALUE!</v>
      </c>
      <c r="D149" s="25" t="str">
        <f t="shared" si="24"/>
        <v/>
      </c>
      <c r="E149" s="25">
        <f t="shared" si="25"/>
        <v>0</v>
      </c>
      <c r="F149" s="26">
        <f t="shared" si="26"/>
        <v>0</v>
      </c>
      <c r="G149" s="26">
        <f t="shared" si="27"/>
        <v>0</v>
      </c>
      <c r="H149" s="26">
        <f t="shared" si="27"/>
        <v>0</v>
      </c>
      <c r="I149" s="26">
        <f t="shared" si="27"/>
        <v>0</v>
      </c>
      <c r="J149" s="27" t="str">
        <f t="shared" si="28"/>
        <v>CO2REMOV</v>
      </c>
      <c r="K149" s="27" t="str">
        <f t="shared" si="20"/>
        <v>UNPAID</v>
      </c>
      <c r="L149" s="23">
        <f t="shared" si="23"/>
        <v>0</v>
      </c>
      <c r="M149" s="27">
        <f t="shared" si="29"/>
        <v>0</v>
      </c>
      <c r="N149" s="22">
        <f t="shared" si="21"/>
        <v>0</v>
      </c>
      <c r="O149" s="28">
        <f t="shared" si="30"/>
        <v>0</v>
      </c>
      <c r="T149" s="20"/>
    </row>
    <row r="150" spans="3:20" x14ac:dyDescent="0.35">
      <c r="C150" s="24" t="e">
        <f t="shared" si="22"/>
        <v>#VALUE!</v>
      </c>
      <c r="D150" s="25" t="str">
        <f t="shared" si="24"/>
        <v/>
      </c>
      <c r="E150" s="25">
        <f t="shared" si="25"/>
        <v>0</v>
      </c>
      <c r="F150" s="26">
        <f t="shared" si="26"/>
        <v>0</v>
      </c>
      <c r="G150" s="26">
        <f t="shared" si="27"/>
        <v>0</v>
      </c>
      <c r="H150" s="26">
        <f t="shared" si="27"/>
        <v>0</v>
      </c>
      <c r="I150" s="26">
        <f t="shared" si="27"/>
        <v>0</v>
      </c>
      <c r="J150" s="27" t="str">
        <f t="shared" si="28"/>
        <v>CO2REMOV</v>
      </c>
      <c r="K150" s="27" t="str">
        <f t="shared" si="20"/>
        <v>UNPAID</v>
      </c>
      <c r="L150" s="23">
        <f t="shared" si="23"/>
        <v>0</v>
      </c>
      <c r="M150" s="27">
        <f t="shared" si="29"/>
        <v>0</v>
      </c>
      <c r="N150" s="22">
        <f t="shared" si="21"/>
        <v>0</v>
      </c>
      <c r="O150" s="28">
        <f t="shared" si="30"/>
        <v>0</v>
      </c>
      <c r="T150" s="20"/>
    </row>
    <row r="151" spans="3:20" x14ac:dyDescent="0.35">
      <c r="C151" s="24" t="e">
        <f t="shared" si="22"/>
        <v>#VALUE!</v>
      </c>
      <c r="D151" s="25" t="str">
        <f t="shared" si="24"/>
        <v/>
      </c>
      <c r="E151" s="25">
        <f t="shared" si="25"/>
        <v>0</v>
      </c>
      <c r="F151" s="26">
        <f t="shared" si="26"/>
        <v>0</v>
      </c>
      <c r="G151" s="26">
        <f t="shared" si="27"/>
        <v>0</v>
      </c>
      <c r="H151" s="26">
        <f t="shared" si="27"/>
        <v>0</v>
      </c>
      <c r="I151" s="26">
        <f t="shared" si="27"/>
        <v>0</v>
      </c>
      <c r="J151" s="27" t="str">
        <f t="shared" si="28"/>
        <v>CO2REMOV</v>
      </c>
      <c r="K151" s="27" t="str">
        <f t="shared" si="20"/>
        <v>UNPAID</v>
      </c>
      <c r="L151" s="23">
        <f t="shared" si="23"/>
        <v>0</v>
      </c>
      <c r="M151" s="27">
        <f t="shared" si="29"/>
        <v>0</v>
      </c>
      <c r="N151" s="22">
        <f t="shared" si="21"/>
        <v>0</v>
      </c>
      <c r="O151" s="28">
        <f t="shared" si="30"/>
        <v>0</v>
      </c>
      <c r="T151" s="20"/>
    </row>
    <row r="152" spans="3:20" x14ac:dyDescent="0.35">
      <c r="C152" s="24" t="e">
        <f t="shared" si="22"/>
        <v>#VALUE!</v>
      </c>
      <c r="D152" s="25" t="str">
        <f t="shared" si="24"/>
        <v/>
      </c>
      <c r="E152" s="25">
        <f t="shared" si="25"/>
        <v>0</v>
      </c>
      <c r="F152" s="26">
        <f t="shared" si="26"/>
        <v>0</v>
      </c>
      <c r="G152" s="26">
        <f t="shared" si="27"/>
        <v>0</v>
      </c>
      <c r="H152" s="26">
        <f t="shared" si="27"/>
        <v>0</v>
      </c>
      <c r="I152" s="26">
        <f t="shared" si="27"/>
        <v>0</v>
      </c>
      <c r="J152" s="27" t="str">
        <f t="shared" si="28"/>
        <v>CO2REMOV</v>
      </c>
      <c r="K152" s="27" t="str">
        <f t="shared" si="20"/>
        <v>UNPAID</v>
      </c>
      <c r="L152" s="23">
        <f t="shared" si="23"/>
        <v>0</v>
      </c>
      <c r="M152" s="27">
        <f t="shared" si="29"/>
        <v>0</v>
      </c>
      <c r="N152" s="22">
        <f t="shared" si="21"/>
        <v>0</v>
      </c>
      <c r="O152" s="28">
        <f t="shared" si="30"/>
        <v>0</v>
      </c>
      <c r="T152" s="20"/>
    </row>
    <row r="153" spans="3:20" x14ac:dyDescent="0.35">
      <c r="C153" s="24" t="e">
        <f t="shared" si="22"/>
        <v>#VALUE!</v>
      </c>
      <c r="D153" s="25" t="str">
        <f t="shared" si="24"/>
        <v/>
      </c>
      <c r="E153" s="25">
        <f t="shared" si="25"/>
        <v>0</v>
      </c>
      <c r="F153" s="26">
        <f t="shared" si="26"/>
        <v>0</v>
      </c>
      <c r="G153" s="26">
        <f t="shared" si="27"/>
        <v>0</v>
      </c>
      <c r="H153" s="26">
        <f t="shared" si="27"/>
        <v>0</v>
      </c>
      <c r="I153" s="26">
        <f t="shared" si="27"/>
        <v>0</v>
      </c>
      <c r="J153" s="27" t="str">
        <f t="shared" si="28"/>
        <v>CO2REMOV</v>
      </c>
      <c r="K153" s="27" t="str">
        <f t="shared" si="20"/>
        <v>UNPAID</v>
      </c>
      <c r="L153" s="23">
        <f t="shared" si="23"/>
        <v>0</v>
      </c>
      <c r="M153" s="27">
        <f t="shared" si="29"/>
        <v>0</v>
      </c>
      <c r="N153" s="22">
        <f t="shared" si="21"/>
        <v>0</v>
      </c>
      <c r="O153" s="28">
        <f t="shared" si="30"/>
        <v>0</v>
      </c>
      <c r="T153" s="20"/>
    </row>
    <row r="154" spans="3:20" x14ac:dyDescent="0.35">
      <c r="C154" s="24" t="e">
        <f t="shared" si="22"/>
        <v>#VALUE!</v>
      </c>
      <c r="D154" s="25" t="str">
        <f t="shared" si="24"/>
        <v/>
      </c>
      <c r="E154" s="25">
        <f t="shared" si="25"/>
        <v>0</v>
      </c>
      <c r="F154" s="26">
        <f t="shared" si="26"/>
        <v>0</v>
      </c>
      <c r="G154" s="26">
        <f t="shared" si="27"/>
        <v>0</v>
      </c>
      <c r="H154" s="26">
        <f t="shared" si="27"/>
        <v>0</v>
      </c>
      <c r="I154" s="26">
        <f t="shared" si="27"/>
        <v>0</v>
      </c>
      <c r="J154" s="27" t="str">
        <f t="shared" si="28"/>
        <v>CO2REMOV</v>
      </c>
      <c r="K154" s="27" t="str">
        <f t="shared" si="20"/>
        <v>UNPAID</v>
      </c>
      <c r="L154" s="23">
        <f t="shared" si="23"/>
        <v>0</v>
      </c>
      <c r="M154" s="27">
        <f t="shared" si="29"/>
        <v>0</v>
      </c>
      <c r="N154" s="22">
        <f t="shared" si="21"/>
        <v>0</v>
      </c>
      <c r="O154" s="28">
        <f t="shared" si="30"/>
        <v>0</v>
      </c>
      <c r="T154" s="20"/>
    </row>
    <row r="155" spans="3:20" x14ac:dyDescent="0.35">
      <c r="C155" s="24" t="e">
        <f t="shared" si="22"/>
        <v>#VALUE!</v>
      </c>
      <c r="D155" s="25" t="str">
        <f t="shared" si="24"/>
        <v/>
      </c>
      <c r="E155" s="25">
        <f t="shared" si="25"/>
        <v>0</v>
      </c>
      <c r="F155" s="26">
        <f t="shared" si="26"/>
        <v>0</v>
      </c>
      <c r="G155" s="26">
        <f t="shared" si="27"/>
        <v>0</v>
      </c>
      <c r="H155" s="26">
        <f t="shared" si="27"/>
        <v>0</v>
      </c>
      <c r="I155" s="26">
        <f t="shared" si="27"/>
        <v>0</v>
      </c>
      <c r="J155" s="27" t="str">
        <f t="shared" si="28"/>
        <v>CO2REMOV</v>
      </c>
      <c r="K155" s="27" t="str">
        <f t="shared" si="20"/>
        <v>UNPAID</v>
      </c>
      <c r="L155" s="23">
        <f t="shared" si="23"/>
        <v>0</v>
      </c>
      <c r="M155" s="27">
        <f t="shared" si="29"/>
        <v>0</v>
      </c>
      <c r="N155" s="22">
        <f t="shared" si="21"/>
        <v>0</v>
      </c>
      <c r="O155" s="28">
        <f t="shared" si="30"/>
        <v>0</v>
      </c>
      <c r="T155" s="20"/>
    </row>
    <row r="156" spans="3:20" x14ac:dyDescent="0.35">
      <c r="C156" s="24" t="e">
        <f t="shared" si="22"/>
        <v>#VALUE!</v>
      </c>
      <c r="D156" s="25" t="str">
        <f t="shared" si="24"/>
        <v/>
      </c>
      <c r="E156" s="25">
        <f t="shared" si="25"/>
        <v>0</v>
      </c>
      <c r="F156" s="26">
        <f t="shared" si="26"/>
        <v>0</v>
      </c>
      <c r="G156" s="26">
        <f t="shared" si="27"/>
        <v>0</v>
      </c>
      <c r="H156" s="26">
        <f t="shared" si="27"/>
        <v>0</v>
      </c>
      <c r="I156" s="26">
        <f t="shared" si="27"/>
        <v>0</v>
      </c>
      <c r="J156" s="27" t="str">
        <f t="shared" si="28"/>
        <v>CO2REMOV</v>
      </c>
      <c r="K156" s="27" t="str">
        <f t="shared" ref="K156:K219" si="31">IF(H156=24,"PAID",IF(E156&gt;=$E$6,"PAID","UNPAID"))</f>
        <v>UNPAID</v>
      </c>
      <c r="L156" s="23">
        <f t="shared" si="23"/>
        <v>0</v>
      </c>
      <c r="M156" s="27">
        <f t="shared" si="29"/>
        <v>0</v>
      </c>
      <c r="N156" s="22">
        <f t="shared" si="21"/>
        <v>0</v>
      </c>
      <c r="O156" s="28">
        <f t="shared" si="30"/>
        <v>0</v>
      </c>
      <c r="T156" s="20"/>
    </row>
    <row r="157" spans="3:20" x14ac:dyDescent="0.35">
      <c r="C157" s="24" t="e">
        <f t="shared" si="22"/>
        <v>#VALUE!</v>
      </c>
      <c r="D157" s="25" t="str">
        <f t="shared" si="24"/>
        <v/>
      </c>
      <c r="E157" s="25">
        <f t="shared" si="25"/>
        <v>0</v>
      </c>
      <c r="F157" s="26">
        <f t="shared" si="26"/>
        <v>0</v>
      </c>
      <c r="G157" s="26">
        <f t="shared" si="27"/>
        <v>0</v>
      </c>
      <c r="H157" s="26">
        <f t="shared" si="27"/>
        <v>0</v>
      </c>
      <c r="I157" s="26">
        <f t="shared" si="27"/>
        <v>0</v>
      </c>
      <c r="J157" s="27" t="str">
        <f t="shared" si="28"/>
        <v>CO2REMOV</v>
      </c>
      <c r="K157" s="27" t="str">
        <f t="shared" si="31"/>
        <v>UNPAID</v>
      </c>
      <c r="L157" s="23">
        <f t="shared" si="23"/>
        <v>0</v>
      </c>
      <c r="M157" s="27">
        <f t="shared" si="29"/>
        <v>0</v>
      </c>
      <c r="N157" s="22">
        <f t="shared" ref="N157:N220" si="32">IF(K157="PAID",IF(H157=24,(0.25*$I$5),IF(((1+H157/G157)*M157/L157*$I$5)&gt;$I$5,$I$5,((1+H157/G157)*M157/L157*$I$5))),0)</f>
        <v>0</v>
      </c>
      <c r="O157" s="28">
        <f t="shared" si="30"/>
        <v>0</v>
      </c>
      <c r="T157" s="20"/>
    </row>
    <row r="158" spans="3:20" x14ac:dyDescent="0.35">
      <c r="C158" s="24" t="e">
        <f t="shared" si="22"/>
        <v>#VALUE!</v>
      </c>
      <c r="D158" s="25" t="str">
        <f t="shared" si="24"/>
        <v/>
      </c>
      <c r="E158" s="25">
        <f t="shared" si="25"/>
        <v>0</v>
      </c>
      <c r="F158" s="26">
        <f t="shared" si="26"/>
        <v>0</v>
      </c>
      <c r="G158" s="26">
        <f t="shared" si="27"/>
        <v>0</v>
      </c>
      <c r="H158" s="26">
        <f t="shared" si="27"/>
        <v>0</v>
      </c>
      <c r="I158" s="26">
        <f t="shared" si="27"/>
        <v>0</v>
      </c>
      <c r="J158" s="27" t="str">
        <f t="shared" si="28"/>
        <v>CO2REMOV</v>
      </c>
      <c r="K158" s="27" t="str">
        <f t="shared" si="31"/>
        <v>UNPAID</v>
      </c>
      <c r="L158" s="23">
        <f t="shared" si="23"/>
        <v>0</v>
      </c>
      <c r="M158" s="27">
        <f t="shared" si="29"/>
        <v>0</v>
      </c>
      <c r="N158" s="22">
        <f t="shared" si="32"/>
        <v>0</v>
      </c>
      <c r="O158" s="28">
        <f t="shared" si="30"/>
        <v>0</v>
      </c>
      <c r="T158" s="20"/>
    </row>
    <row r="159" spans="3:20" x14ac:dyDescent="0.35">
      <c r="C159" s="24" t="e">
        <f t="shared" si="22"/>
        <v>#VALUE!</v>
      </c>
      <c r="D159" s="25" t="str">
        <f t="shared" si="24"/>
        <v/>
      </c>
      <c r="E159" s="25">
        <f t="shared" si="25"/>
        <v>0</v>
      </c>
      <c r="F159" s="26">
        <f t="shared" si="26"/>
        <v>0</v>
      </c>
      <c r="G159" s="26">
        <f t="shared" si="27"/>
        <v>0</v>
      </c>
      <c r="H159" s="26">
        <f t="shared" si="27"/>
        <v>0</v>
      </c>
      <c r="I159" s="26">
        <f t="shared" si="27"/>
        <v>0</v>
      </c>
      <c r="J159" s="27" t="str">
        <f t="shared" si="28"/>
        <v>CO2REMOV</v>
      </c>
      <c r="K159" s="27" t="str">
        <f t="shared" si="31"/>
        <v>UNPAID</v>
      </c>
      <c r="L159" s="23">
        <f t="shared" si="23"/>
        <v>0</v>
      </c>
      <c r="M159" s="27">
        <f t="shared" si="29"/>
        <v>0</v>
      </c>
      <c r="N159" s="22">
        <f t="shared" si="32"/>
        <v>0</v>
      </c>
      <c r="O159" s="28">
        <f t="shared" si="30"/>
        <v>0</v>
      </c>
      <c r="T159" s="20"/>
    </row>
    <row r="160" spans="3:20" x14ac:dyDescent="0.35">
      <c r="C160" s="24" t="e">
        <f t="shared" si="22"/>
        <v>#VALUE!</v>
      </c>
      <c r="D160" s="25" t="str">
        <f t="shared" si="24"/>
        <v/>
      </c>
      <c r="E160" s="25">
        <f t="shared" si="25"/>
        <v>0</v>
      </c>
      <c r="F160" s="26">
        <f t="shared" si="26"/>
        <v>0</v>
      </c>
      <c r="G160" s="26">
        <f t="shared" si="27"/>
        <v>0</v>
      </c>
      <c r="H160" s="26">
        <f t="shared" si="27"/>
        <v>0</v>
      </c>
      <c r="I160" s="26">
        <f t="shared" si="27"/>
        <v>0</v>
      </c>
      <c r="J160" s="27" t="str">
        <f t="shared" si="28"/>
        <v>CO2REMOV</v>
      </c>
      <c r="K160" s="27" t="str">
        <f t="shared" si="31"/>
        <v>UNPAID</v>
      </c>
      <c r="L160" s="23">
        <f t="shared" si="23"/>
        <v>0</v>
      </c>
      <c r="M160" s="27">
        <f t="shared" si="29"/>
        <v>0</v>
      </c>
      <c r="N160" s="22">
        <f t="shared" si="32"/>
        <v>0</v>
      </c>
      <c r="O160" s="28">
        <f t="shared" si="30"/>
        <v>0</v>
      </c>
      <c r="T160" s="20"/>
    </row>
    <row r="161" spans="3:20" x14ac:dyDescent="0.35">
      <c r="C161" s="24" t="e">
        <f t="shared" si="22"/>
        <v>#VALUE!</v>
      </c>
      <c r="D161" s="25" t="str">
        <f t="shared" si="24"/>
        <v/>
      </c>
      <c r="E161" s="25">
        <f t="shared" si="25"/>
        <v>0</v>
      </c>
      <c r="F161" s="26">
        <f t="shared" si="26"/>
        <v>0</v>
      </c>
      <c r="G161" s="26">
        <f t="shared" si="27"/>
        <v>0</v>
      </c>
      <c r="H161" s="26">
        <f t="shared" si="27"/>
        <v>0</v>
      </c>
      <c r="I161" s="26">
        <f t="shared" si="27"/>
        <v>0</v>
      </c>
      <c r="J161" s="27" t="str">
        <f t="shared" si="28"/>
        <v>CO2REMOV</v>
      </c>
      <c r="K161" s="27" t="str">
        <f t="shared" si="31"/>
        <v>UNPAID</v>
      </c>
      <c r="L161" s="23">
        <f t="shared" si="23"/>
        <v>0</v>
      </c>
      <c r="M161" s="27">
        <f t="shared" si="29"/>
        <v>0</v>
      </c>
      <c r="N161" s="22">
        <f t="shared" si="32"/>
        <v>0</v>
      </c>
      <c r="O161" s="28">
        <f t="shared" si="30"/>
        <v>0</v>
      </c>
      <c r="T161" s="20"/>
    </row>
    <row r="162" spans="3:20" x14ac:dyDescent="0.35">
      <c r="C162" s="24" t="e">
        <f t="shared" si="22"/>
        <v>#VALUE!</v>
      </c>
      <c r="D162" s="25" t="str">
        <f t="shared" si="24"/>
        <v/>
      </c>
      <c r="E162" s="25">
        <f t="shared" si="25"/>
        <v>0</v>
      </c>
      <c r="F162" s="26">
        <f t="shared" si="26"/>
        <v>0</v>
      </c>
      <c r="G162" s="26">
        <f t="shared" si="27"/>
        <v>0</v>
      </c>
      <c r="H162" s="26">
        <f t="shared" si="27"/>
        <v>0</v>
      </c>
      <c r="I162" s="26">
        <f t="shared" si="27"/>
        <v>0</v>
      </c>
      <c r="J162" s="27" t="str">
        <f t="shared" si="28"/>
        <v>CO2REMOV</v>
      </c>
      <c r="K162" s="27" t="str">
        <f t="shared" si="31"/>
        <v>UNPAID</v>
      </c>
      <c r="L162" s="23">
        <f t="shared" si="23"/>
        <v>0</v>
      </c>
      <c r="M162" s="27">
        <f t="shared" si="29"/>
        <v>0</v>
      </c>
      <c r="N162" s="22">
        <f t="shared" si="32"/>
        <v>0</v>
      </c>
      <c r="O162" s="28">
        <f t="shared" si="30"/>
        <v>0</v>
      </c>
      <c r="T162" s="20"/>
    </row>
    <row r="163" spans="3:20" x14ac:dyDescent="0.35">
      <c r="C163" s="24" t="e">
        <f t="shared" si="22"/>
        <v>#VALUE!</v>
      </c>
      <c r="D163" s="25" t="str">
        <f t="shared" si="24"/>
        <v/>
      </c>
      <c r="E163" s="25">
        <f t="shared" si="25"/>
        <v>0</v>
      </c>
      <c r="F163" s="26">
        <f t="shared" si="26"/>
        <v>0</v>
      </c>
      <c r="G163" s="26">
        <f t="shared" si="27"/>
        <v>0</v>
      </c>
      <c r="H163" s="26">
        <f t="shared" si="27"/>
        <v>0</v>
      </c>
      <c r="I163" s="26">
        <f t="shared" si="27"/>
        <v>0</v>
      </c>
      <c r="J163" s="27" t="str">
        <f t="shared" si="28"/>
        <v>CO2REMOV</v>
      </c>
      <c r="K163" s="27" t="str">
        <f t="shared" si="31"/>
        <v>UNPAID</v>
      </c>
      <c r="L163" s="23">
        <f t="shared" si="23"/>
        <v>0</v>
      </c>
      <c r="M163" s="27">
        <f t="shared" si="29"/>
        <v>0</v>
      </c>
      <c r="N163" s="22">
        <f t="shared" si="32"/>
        <v>0</v>
      </c>
      <c r="O163" s="28">
        <f t="shared" si="30"/>
        <v>0</v>
      </c>
      <c r="T163" s="20"/>
    </row>
    <row r="164" spans="3:20" x14ac:dyDescent="0.35">
      <c r="C164" s="24" t="e">
        <f t="shared" si="22"/>
        <v>#VALUE!</v>
      </c>
      <c r="D164" s="25" t="str">
        <f t="shared" si="24"/>
        <v/>
      </c>
      <c r="E164" s="25">
        <f t="shared" si="25"/>
        <v>0</v>
      </c>
      <c r="F164" s="26">
        <f t="shared" si="26"/>
        <v>0</v>
      </c>
      <c r="G164" s="26">
        <f t="shared" si="27"/>
        <v>0</v>
      </c>
      <c r="H164" s="26">
        <f t="shared" si="27"/>
        <v>0</v>
      </c>
      <c r="I164" s="26">
        <f t="shared" si="27"/>
        <v>0</v>
      </c>
      <c r="J164" s="27" t="str">
        <f t="shared" si="28"/>
        <v>CO2REMOV</v>
      </c>
      <c r="K164" s="27" t="str">
        <f t="shared" si="31"/>
        <v>UNPAID</v>
      </c>
      <c r="L164" s="23">
        <f t="shared" si="23"/>
        <v>0</v>
      </c>
      <c r="M164" s="27">
        <f t="shared" si="29"/>
        <v>0</v>
      </c>
      <c r="N164" s="22">
        <f t="shared" si="32"/>
        <v>0</v>
      </c>
      <c r="O164" s="28">
        <f t="shared" si="30"/>
        <v>0</v>
      </c>
      <c r="T164" s="20"/>
    </row>
    <row r="165" spans="3:20" x14ac:dyDescent="0.35">
      <c r="C165" s="24" t="e">
        <f t="shared" si="22"/>
        <v>#VALUE!</v>
      </c>
      <c r="D165" s="25" t="str">
        <f t="shared" si="24"/>
        <v/>
      </c>
      <c r="E165" s="25">
        <f t="shared" si="25"/>
        <v>0</v>
      </c>
      <c r="F165" s="26">
        <f t="shared" si="26"/>
        <v>0</v>
      </c>
      <c r="G165" s="26">
        <f t="shared" si="27"/>
        <v>0</v>
      </c>
      <c r="H165" s="26">
        <f t="shared" si="27"/>
        <v>0</v>
      </c>
      <c r="I165" s="26">
        <f t="shared" si="27"/>
        <v>0</v>
      </c>
      <c r="J165" s="27" t="str">
        <f t="shared" si="28"/>
        <v>CO2REMOV</v>
      </c>
      <c r="K165" s="27" t="str">
        <f t="shared" si="31"/>
        <v>UNPAID</v>
      </c>
      <c r="L165" s="23">
        <f t="shared" si="23"/>
        <v>0</v>
      </c>
      <c r="M165" s="27">
        <f t="shared" si="29"/>
        <v>0</v>
      </c>
      <c r="N165" s="22">
        <f t="shared" si="32"/>
        <v>0</v>
      </c>
      <c r="O165" s="28">
        <f t="shared" si="30"/>
        <v>0</v>
      </c>
      <c r="T165" s="20"/>
    </row>
    <row r="166" spans="3:20" x14ac:dyDescent="0.35">
      <c r="C166" s="24" t="e">
        <f t="shared" si="22"/>
        <v>#VALUE!</v>
      </c>
      <c r="D166" s="25" t="str">
        <f t="shared" si="24"/>
        <v/>
      </c>
      <c r="E166" s="25">
        <f t="shared" si="25"/>
        <v>0</v>
      </c>
      <c r="F166" s="26">
        <f t="shared" si="26"/>
        <v>0</v>
      </c>
      <c r="G166" s="26">
        <f t="shared" si="27"/>
        <v>0</v>
      </c>
      <c r="H166" s="26">
        <f t="shared" si="27"/>
        <v>0</v>
      </c>
      <c r="I166" s="26">
        <f t="shared" si="27"/>
        <v>0</v>
      </c>
      <c r="J166" s="27" t="str">
        <f t="shared" si="28"/>
        <v>CO2REMOV</v>
      </c>
      <c r="K166" s="27" t="str">
        <f t="shared" si="31"/>
        <v>UNPAID</v>
      </c>
      <c r="L166" s="23">
        <f t="shared" si="23"/>
        <v>0</v>
      </c>
      <c r="M166" s="27">
        <f t="shared" si="29"/>
        <v>0</v>
      </c>
      <c r="N166" s="22">
        <f t="shared" si="32"/>
        <v>0</v>
      </c>
      <c r="O166" s="28">
        <f t="shared" si="30"/>
        <v>0</v>
      </c>
      <c r="T166" s="20"/>
    </row>
    <row r="167" spans="3:20" x14ac:dyDescent="0.35">
      <c r="C167" s="24" t="e">
        <f t="shared" si="22"/>
        <v>#VALUE!</v>
      </c>
      <c r="D167" s="25" t="str">
        <f t="shared" si="24"/>
        <v/>
      </c>
      <c r="E167" s="25">
        <f t="shared" si="25"/>
        <v>0</v>
      </c>
      <c r="F167" s="26">
        <f t="shared" si="26"/>
        <v>0</v>
      </c>
      <c r="G167" s="26">
        <f t="shared" si="27"/>
        <v>0</v>
      </c>
      <c r="H167" s="26">
        <f t="shared" si="27"/>
        <v>0</v>
      </c>
      <c r="I167" s="26">
        <f t="shared" si="27"/>
        <v>0</v>
      </c>
      <c r="J167" s="27" t="str">
        <f t="shared" si="28"/>
        <v>CO2REMOV</v>
      </c>
      <c r="K167" s="27" t="str">
        <f t="shared" si="31"/>
        <v>UNPAID</v>
      </c>
      <c r="L167" s="23">
        <f t="shared" si="23"/>
        <v>0</v>
      </c>
      <c r="M167" s="27">
        <f t="shared" si="29"/>
        <v>0</v>
      </c>
      <c r="N167" s="22">
        <f t="shared" si="32"/>
        <v>0</v>
      </c>
      <c r="O167" s="28">
        <f t="shared" si="30"/>
        <v>0</v>
      </c>
      <c r="T167" s="20"/>
    </row>
    <row r="168" spans="3:20" x14ac:dyDescent="0.35">
      <c r="C168" s="24" t="s">
        <v>54</v>
      </c>
      <c r="D168" s="25"/>
      <c r="E168" s="25"/>
      <c r="F168" s="26"/>
      <c r="G168" s="26"/>
      <c r="H168" s="26"/>
      <c r="I168" s="26"/>
      <c r="J168" s="27"/>
      <c r="K168" s="27"/>
      <c r="L168" s="23">
        <f t="shared" si="23"/>
        <v>0</v>
      </c>
      <c r="M168" s="27"/>
      <c r="N168" s="22"/>
      <c r="O168" s="28"/>
      <c r="T168" s="20"/>
    </row>
    <row r="169" spans="3:20" x14ac:dyDescent="0.35">
      <c r="C169" s="24" t="e">
        <f>C167+1</f>
        <v>#VALUE!</v>
      </c>
      <c r="D169" s="25" t="str">
        <f t="shared" si="24"/>
        <v/>
      </c>
      <c r="E169" s="25">
        <f t="shared" si="25"/>
        <v>0</v>
      </c>
      <c r="F169" s="26">
        <f t="shared" si="26"/>
        <v>0</v>
      </c>
      <c r="G169" s="26">
        <f t="shared" si="27"/>
        <v>0</v>
      </c>
      <c r="H169" s="26">
        <f t="shared" si="27"/>
        <v>0</v>
      </c>
      <c r="I169" s="26">
        <f t="shared" si="27"/>
        <v>0</v>
      </c>
      <c r="J169" s="27" t="str">
        <f t="shared" si="28"/>
        <v>CO2REMOV</v>
      </c>
      <c r="K169" s="27" t="str">
        <f t="shared" si="31"/>
        <v>UNPAID</v>
      </c>
      <c r="L169" s="23">
        <f t="shared" si="23"/>
        <v>0</v>
      </c>
      <c r="M169" s="27">
        <f t="shared" si="29"/>
        <v>0</v>
      </c>
      <c r="N169" s="22">
        <f t="shared" si="32"/>
        <v>0</v>
      </c>
      <c r="O169" s="28">
        <f t="shared" si="30"/>
        <v>0</v>
      </c>
      <c r="T169" s="20"/>
    </row>
    <row r="170" spans="3:20" x14ac:dyDescent="0.35">
      <c r="C170" s="24" t="e">
        <f t="shared" si="22"/>
        <v>#VALUE!</v>
      </c>
      <c r="D170" s="25" t="str">
        <f t="shared" si="24"/>
        <v/>
      </c>
      <c r="E170" s="25">
        <f t="shared" si="25"/>
        <v>0</v>
      </c>
      <c r="F170" s="26">
        <f t="shared" si="26"/>
        <v>0</v>
      </c>
      <c r="G170" s="26">
        <f t="shared" si="27"/>
        <v>0</v>
      </c>
      <c r="H170" s="26">
        <f t="shared" si="27"/>
        <v>0</v>
      </c>
      <c r="I170" s="26">
        <f t="shared" si="27"/>
        <v>0</v>
      </c>
      <c r="J170" s="27" t="str">
        <f t="shared" si="28"/>
        <v>CO2REMOV</v>
      </c>
      <c r="K170" s="27" t="str">
        <f t="shared" si="31"/>
        <v>UNPAID</v>
      </c>
      <c r="L170" s="23">
        <f t="shared" si="23"/>
        <v>0</v>
      </c>
      <c r="M170" s="27">
        <f t="shared" si="29"/>
        <v>0</v>
      </c>
      <c r="N170" s="22">
        <f t="shared" si="32"/>
        <v>0</v>
      </c>
      <c r="O170" s="28">
        <f t="shared" si="30"/>
        <v>0</v>
      </c>
      <c r="T170" s="20"/>
    </row>
    <row r="171" spans="3:20" x14ac:dyDescent="0.35">
      <c r="C171" s="24" t="e">
        <f t="shared" si="22"/>
        <v>#VALUE!</v>
      </c>
      <c r="D171" s="25" t="str">
        <f t="shared" si="24"/>
        <v/>
      </c>
      <c r="E171" s="25">
        <f t="shared" si="25"/>
        <v>0</v>
      </c>
      <c r="F171" s="26">
        <f t="shared" si="26"/>
        <v>0</v>
      </c>
      <c r="G171" s="26">
        <f t="shared" si="27"/>
        <v>0</v>
      </c>
      <c r="H171" s="26">
        <f t="shared" si="27"/>
        <v>0</v>
      </c>
      <c r="I171" s="26">
        <f t="shared" si="27"/>
        <v>0</v>
      </c>
      <c r="J171" s="27" t="str">
        <f t="shared" si="28"/>
        <v>CO2REMOV</v>
      </c>
      <c r="K171" s="27" t="str">
        <f t="shared" si="31"/>
        <v>UNPAID</v>
      </c>
      <c r="L171" s="23">
        <f t="shared" si="23"/>
        <v>0</v>
      </c>
      <c r="M171" s="27">
        <f t="shared" si="29"/>
        <v>0</v>
      </c>
      <c r="N171" s="22">
        <f t="shared" si="32"/>
        <v>0</v>
      </c>
      <c r="O171" s="28">
        <f t="shared" si="30"/>
        <v>0</v>
      </c>
      <c r="T171" s="20"/>
    </row>
    <row r="172" spans="3:20" x14ac:dyDescent="0.35">
      <c r="C172" s="24" t="e">
        <f t="shared" si="22"/>
        <v>#VALUE!</v>
      </c>
      <c r="D172" s="25" t="str">
        <f t="shared" si="24"/>
        <v/>
      </c>
      <c r="E172" s="25">
        <f t="shared" si="25"/>
        <v>0</v>
      </c>
      <c r="F172" s="26">
        <f t="shared" si="26"/>
        <v>0</v>
      </c>
      <c r="G172" s="26">
        <f t="shared" si="27"/>
        <v>0</v>
      </c>
      <c r="H172" s="26">
        <f t="shared" si="27"/>
        <v>0</v>
      </c>
      <c r="I172" s="26">
        <f t="shared" si="27"/>
        <v>0</v>
      </c>
      <c r="J172" s="27" t="str">
        <f t="shared" si="28"/>
        <v>CO2REMOV</v>
      </c>
      <c r="K172" s="27" t="str">
        <f t="shared" si="31"/>
        <v>UNPAID</v>
      </c>
      <c r="L172" s="23">
        <f t="shared" si="23"/>
        <v>0</v>
      </c>
      <c r="M172" s="27">
        <f t="shared" si="29"/>
        <v>0</v>
      </c>
      <c r="N172" s="22">
        <f t="shared" si="32"/>
        <v>0</v>
      </c>
      <c r="O172" s="28">
        <f t="shared" si="30"/>
        <v>0</v>
      </c>
      <c r="T172" s="20"/>
    </row>
    <row r="173" spans="3:20" x14ac:dyDescent="0.35">
      <c r="C173" s="24" t="e">
        <f t="shared" si="22"/>
        <v>#VALUE!</v>
      </c>
      <c r="D173" s="25" t="str">
        <f t="shared" si="24"/>
        <v/>
      </c>
      <c r="E173" s="25">
        <f t="shared" si="25"/>
        <v>0</v>
      </c>
      <c r="F173" s="26">
        <f t="shared" si="26"/>
        <v>0</v>
      </c>
      <c r="G173" s="26">
        <f t="shared" si="27"/>
        <v>0</v>
      </c>
      <c r="H173" s="26">
        <f t="shared" si="27"/>
        <v>0</v>
      </c>
      <c r="I173" s="26">
        <f t="shared" si="27"/>
        <v>0</v>
      </c>
      <c r="J173" s="27" t="str">
        <f t="shared" si="28"/>
        <v>CO2REMOV</v>
      </c>
      <c r="K173" s="27" t="str">
        <f t="shared" si="31"/>
        <v>UNPAID</v>
      </c>
      <c r="L173" s="23">
        <f t="shared" si="23"/>
        <v>0</v>
      </c>
      <c r="M173" s="27">
        <f t="shared" si="29"/>
        <v>0</v>
      </c>
      <c r="N173" s="22">
        <f t="shared" si="32"/>
        <v>0</v>
      </c>
      <c r="O173" s="28">
        <f t="shared" si="30"/>
        <v>0</v>
      </c>
      <c r="T173" s="20"/>
    </row>
    <row r="174" spans="3:20" x14ac:dyDescent="0.35">
      <c r="C174" s="24" t="e">
        <f t="shared" si="22"/>
        <v>#VALUE!</v>
      </c>
      <c r="D174" s="25" t="str">
        <f t="shared" si="24"/>
        <v/>
      </c>
      <c r="E174" s="25">
        <f t="shared" si="25"/>
        <v>0</v>
      </c>
      <c r="F174" s="26">
        <f t="shared" si="26"/>
        <v>0</v>
      </c>
      <c r="G174" s="26">
        <f t="shared" si="27"/>
        <v>0</v>
      </c>
      <c r="H174" s="26">
        <f t="shared" si="27"/>
        <v>0</v>
      </c>
      <c r="I174" s="26">
        <f t="shared" si="27"/>
        <v>0</v>
      </c>
      <c r="J174" s="27" t="str">
        <f t="shared" si="28"/>
        <v>CO2REMOV</v>
      </c>
      <c r="K174" s="27" t="str">
        <f t="shared" si="31"/>
        <v>UNPAID</v>
      </c>
      <c r="L174" s="23">
        <f t="shared" si="23"/>
        <v>0</v>
      </c>
      <c r="M174" s="27">
        <f t="shared" si="29"/>
        <v>0</v>
      </c>
      <c r="N174" s="22">
        <f t="shared" si="32"/>
        <v>0</v>
      </c>
      <c r="O174" s="28">
        <f t="shared" si="30"/>
        <v>0</v>
      </c>
      <c r="T174" s="20"/>
    </row>
    <row r="175" spans="3:20" x14ac:dyDescent="0.35">
      <c r="C175" s="24" t="e">
        <f t="shared" si="22"/>
        <v>#VALUE!</v>
      </c>
      <c r="D175" s="25" t="str">
        <f t="shared" si="24"/>
        <v/>
      </c>
      <c r="E175" s="25">
        <f t="shared" si="25"/>
        <v>0</v>
      </c>
      <c r="F175" s="26">
        <f t="shared" si="26"/>
        <v>0</v>
      </c>
      <c r="G175" s="26">
        <f t="shared" si="27"/>
        <v>0</v>
      </c>
      <c r="H175" s="26">
        <f t="shared" si="27"/>
        <v>0</v>
      </c>
      <c r="I175" s="26">
        <f t="shared" si="27"/>
        <v>0</v>
      </c>
      <c r="J175" s="27" t="str">
        <f t="shared" si="28"/>
        <v>CO2REMOV</v>
      </c>
      <c r="K175" s="27" t="str">
        <f t="shared" si="31"/>
        <v>UNPAID</v>
      </c>
      <c r="L175" s="23">
        <f t="shared" si="23"/>
        <v>0</v>
      </c>
      <c r="M175" s="27">
        <f t="shared" si="29"/>
        <v>0</v>
      </c>
      <c r="N175" s="22">
        <f t="shared" si="32"/>
        <v>0</v>
      </c>
      <c r="O175" s="28">
        <f t="shared" si="30"/>
        <v>0</v>
      </c>
      <c r="T175" s="20"/>
    </row>
    <row r="176" spans="3:20" x14ac:dyDescent="0.35">
      <c r="C176" s="24" t="e">
        <f t="shared" si="22"/>
        <v>#VALUE!</v>
      </c>
      <c r="D176" s="25" t="str">
        <f t="shared" si="24"/>
        <v/>
      </c>
      <c r="E176" s="25">
        <f t="shared" si="25"/>
        <v>0</v>
      </c>
      <c r="F176" s="26">
        <f t="shared" si="26"/>
        <v>0</v>
      </c>
      <c r="G176" s="26">
        <f t="shared" si="27"/>
        <v>0</v>
      </c>
      <c r="H176" s="26">
        <f t="shared" si="27"/>
        <v>0</v>
      </c>
      <c r="I176" s="26">
        <f t="shared" si="27"/>
        <v>0</v>
      </c>
      <c r="J176" s="27" t="str">
        <f t="shared" si="28"/>
        <v>CO2REMOV</v>
      </c>
      <c r="K176" s="27" t="str">
        <f t="shared" si="31"/>
        <v>UNPAID</v>
      </c>
      <c r="L176" s="23">
        <f t="shared" si="23"/>
        <v>0</v>
      </c>
      <c r="M176" s="27">
        <f t="shared" si="29"/>
        <v>0</v>
      </c>
      <c r="N176" s="22">
        <f t="shared" si="32"/>
        <v>0</v>
      </c>
      <c r="O176" s="28">
        <f t="shared" si="30"/>
        <v>0</v>
      </c>
      <c r="T176" s="20"/>
    </row>
    <row r="177" spans="3:20" x14ac:dyDescent="0.35">
      <c r="C177" s="24" t="e">
        <f t="shared" si="22"/>
        <v>#VALUE!</v>
      </c>
      <c r="D177" s="25" t="str">
        <f t="shared" si="24"/>
        <v/>
      </c>
      <c r="E177" s="25">
        <f t="shared" si="25"/>
        <v>0</v>
      </c>
      <c r="F177" s="26">
        <f t="shared" si="26"/>
        <v>0</v>
      </c>
      <c r="G177" s="26">
        <f t="shared" si="27"/>
        <v>0</v>
      </c>
      <c r="H177" s="26">
        <f t="shared" si="27"/>
        <v>0</v>
      </c>
      <c r="I177" s="26">
        <f t="shared" si="27"/>
        <v>0</v>
      </c>
      <c r="J177" s="27" t="str">
        <f t="shared" si="28"/>
        <v>CO2REMOV</v>
      </c>
      <c r="K177" s="27" t="str">
        <f t="shared" si="31"/>
        <v>UNPAID</v>
      </c>
      <c r="L177" s="23">
        <f t="shared" si="23"/>
        <v>0</v>
      </c>
      <c r="M177" s="27">
        <f t="shared" si="29"/>
        <v>0</v>
      </c>
      <c r="N177" s="22">
        <f t="shared" si="32"/>
        <v>0</v>
      </c>
      <c r="O177" s="28">
        <f t="shared" si="30"/>
        <v>0</v>
      </c>
      <c r="T177" s="20"/>
    </row>
    <row r="178" spans="3:20" x14ac:dyDescent="0.35">
      <c r="C178" s="24" t="e">
        <f t="shared" si="22"/>
        <v>#VALUE!</v>
      </c>
      <c r="D178" s="25" t="str">
        <f t="shared" si="24"/>
        <v/>
      </c>
      <c r="E178" s="25">
        <f t="shared" si="25"/>
        <v>0</v>
      </c>
      <c r="F178" s="26">
        <f t="shared" si="26"/>
        <v>0</v>
      </c>
      <c r="G178" s="26">
        <f t="shared" si="27"/>
        <v>0</v>
      </c>
      <c r="H178" s="26">
        <f t="shared" si="27"/>
        <v>0</v>
      </c>
      <c r="I178" s="26">
        <f t="shared" si="27"/>
        <v>0</v>
      </c>
      <c r="J178" s="27" t="str">
        <f t="shared" si="28"/>
        <v>CO2REMOV</v>
      </c>
      <c r="K178" s="27" t="str">
        <f t="shared" si="31"/>
        <v>UNPAID</v>
      </c>
      <c r="L178" s="23">
        <f t="shared" si="23"/>
        <v>0</v>
      </c>
      <c r="M178" s="27">
        <f t="shared" si="29"/>
        <v>0</v>
      </c>
      <c r="N178" s="22">
        <f t="shared" si="32"/>
        <v>0</v>
      </c>
      <c r="O178" s="28">
        <f t="shared" si="30"/>
        <v>0</v>
      </c>
      <c r="T178" s="20"/>
    </row>
    <row r="179" spans="3:20" x14ac:dyDescent="0.35">
      <c r="C179" s="24" t="e">
        <f t="shared" si="22"/>
        <v>#VALUE!</v>
      </c>
      <c r="D179" s="25" t="str">
        <f t="shared" si="24"/>
        <v/>
      </c>
      <c r="E179" s="25">
        <f t="shared" si="25"/>
        <v>0</v>
      </c>
      <c r="F179" s="26">
        <f t="shared" si="26"/>
        <v>0</v>
      </c>
      <c r="G179" s="26">
        <f t="shared" si="27"/>
        <v>0</v>
      </c>
      <c r="H179" s="26">
        <f t="shared" si="27"/>
        <v>0</v>
      </c>
      <c r="I179" s="26">
        <f t="shared" si="27"/>
        <v>0</v>
      </c>
      <c r="J179" s="27" t="str">
        <f t="shared" si="28"/>
        <v>CO2REMOV</v>
      </c>
      <c r="K179" s="27" t="str">
        <f t="shared" si="31"/>
        <v>UNPAID</v>
      </c>
      <c r="L179" s="23">
        <f t="shared" si="23"/>
        <v>0</v>
      </c>
      <c r="M179" s="27">
        <f t="shared" si="29"/>
        <v>0</v>
      </c>
      <c r="N179" s="22">
        <f t="shared" si="32"/>
        <v>0</v>
      </c>
      <c r="O179" s="28">
        <f t="shared" si="30"/>
        <v>0</v>
      </c>
      <c r="T179" s="20"/>
    </row>
    <row r="180" spans="3:20" x14ac:dyDescent="0.35">
      <c r="C180" s="24" t="e">
        <f t="shared" si="22"/>
        <v>#VALUE!</v>
      </c>
      <c r="D180" s="25" t="str">
        <f t="shared" si="24"/>
        <v/>
      </c>
      <c r="E180" s="25">
        <f t="shared" si="25"/>
        <v>0</v>
      </c>
      <c r="F180" s="26">
        <f t="shared" si="26"/>
        <v>0</v>
      </c>
      <c r="G180" s="26">
        <f t="shared" si="27"/>
        <v>0</v>
      </c>
      <c r="H180" s="26">
        <f t="shared" si="27"/>
        <v>0</v>
      </c>
      <c r="I180" s="26">
        <f t="shared" si="27"/>
        <v>0</v>
      </c>
      <c r="J180" s="27" t="str">
        <f t="shared" si="28"/>
        <v>CO2REMOV</v>
      </c>
      <c r="K180" s="27" t="str">
        <f t="shared" si="31"/>
        <v>UNPAID</v>
      </c>
      <c r="L180" s="23">
        <f t="shared" si="23"/>
        <v>0</v>
      </c>
      <c r="M180" s="27">
        <f t="shared" si="29"/>
        <v>0</v>
      </c>
      <c r="N180" s="22">
        <f t="shared" si="32"/>
        <v>0</v>
      </c>
      <c r="O180" s="28">
        <f t="shared" si="30"/>
        <v>0</v>
      </c>
      <c r="T180" s="20"/>
    </row>
    <row r="181" spans="3:20" x14ac:dyDescent="0.35">
      <c r="C181" s="24" t="e">
        <f t="shared" si="22"/>
        <v>#VALUE!</v>
      </c>
      <c r="D181" s="25" t="str">
        <f t="shared" si="24"/>
        <v/>
      </c>
      <c r="E181" s="25">
        <f t="shared" si="25"/>
        <v>0</v>
      </c>
      <c r="F181" s="26">
        <f t="shared" si="26"/>
        <v>0</v>
      </c>
      <c r="G181" s="26">
        <f t="shared" si="27"/>
        <v>0</v>
      </c>
      <c r="H181" s="26">
        <f t="shared" si="27"/>
        <v>0</v>
      </c>
      <c r="I181" s="26">
        <f t="shared" si="27"/>
        <v>0</v>
      </c>
      <c r="J181" s="27" t="str">
        <f t="shared" si="28"/>
        <v>CO2REMOV</v>
      </c>
      <c r="K181" s="27" t="str">
        <f t="shared" si="31"/>
        <v>UNPAID</v>
      </c>
      <c r="L181" s="23">
        <f t="shared" si="23"/>
        <v>0</v>
      </c>
      <c r="M181" s="27">
        <f t="shared" si="29"/>
        <v>0</v>
      </c>
      <c r="N181" s="22">
        <f t="shared" si="32"/>
        <v>0</v>
      </c>
      <c r="O181" s="28">
        <f t="shared" si="30"/>
        <v>0</v>
      </c>
      <c r="T181" s="20"/>
    </row>
    <row r="182" spans="3:20" x14ac:dyDescent="0.35">
      <c r="C182" s="24" t="e">
        <f t="shared" si="22"/>
        <v>#VALUE!</v>
      </c>
      <c r="D182" s="25" t="str">
        <f t="shared" si="24"/>
        <v/>
      </c>
      <c r="E182" s="25">
        <f t="shared" si="25"/>
        <v>0</v>
      </c>
      <c r="F182" s="26">
        <f t="shared" si="26"/>
        <v>0</v>
      </c>
      <c r="G182" s="26">
        <f t="shared" si="27"/>
        <v>0</v>
      </c>
      <c r="H182" s="26">
        <f t="shared" si="27"/>
        <v>0</v>
      </c>
      <c r="I182" s="26">
        <f t="shared" si="27"/>
        <v>0</v>
      </c>
      <c r="J182" s="27" t="str">
        <f t="shared" si="28"/>
        <v>CO2REMOV</v>
      </c>
      <c r="K182" s="27" t="str">
        <f t="shared" si="31"/>
        <v>UNPAID</v>
      </c>
      <c r="L182" s="23">
        <f t="shared" si="23"/>
        <v>0</v>
      </c>
      <c r="M182" s="27">
        <f t="shared" si="29"/>
        <v>0</v>
      </c>
      <c r="N182" s="22">
        <f t="shared" si="32"/>
        <v>0</v>
      </c>
      <c r="O182" s="28">
        <f t="shared" si="30"/>
        <v>0</v>
      </c>
      <c r="T182" s="20"/>
    </row>
    <row r="183" spans="3:20" x14ac:dyDescent="0.35">
      <c r="C183" s="24" t="e">
        <f t="shared" si="22"/>
        <v>#VALUE!</v>
      </c>
      <c r="D183" s="25" t="str">
        <f t="shared" si="24"/>
        <v/>
      </c>
      <c r="E183" s="25">
        <f t="shared" si="25"/>
        <v>0</v>
      </c>
      <c r="F183" s="26">
        <f t="shared" si="26"/>
        <v>0</v>
      </c>
      <c r="G183" s="26">
        <f t="shared" si="27"/>
        <v>0</v>
      </c>
      <c r="H183" s="26">
        <f t="shared" si="27"/>
        <v>0</v>
      </c>
      <c r="I183" s="26">
        <f t="shared" si="27"/>
        <v>0</v>
      </c>
      <c r="J183" s="27" t="str">
        <f t="shared" si="28"/>
        <v>CO2REMOV</v>
      </c>
      <c r="K183" s="27" t="str">
        <f t="shared" si="31"/>
        <v>UNPAID</v>
      </c>
      <c r="L183" s="23">
        <f t="shared" si="23"/>
        <v>0</v>
      </c>
      <c r="M183" s="27">
        <f t="shared" si="29"/>
        <v>0</v>
      </c>
      <c r="N183" s="22">
        <f t="shared" si="32"/>
        <v>0</v>
      </c>
      <c r="O183" s="28">
        <f t="shared" si="30"/>
        <v>0</v>
      </c>
      <c r="T183" s="20"/>
    </row>
    <row r="184" spans="3:20" x14ac:dyDescent="0.35">
      <c r="C184" s="24" t="e">
        <f t="shared" si="22"/>
        <v>#VALUE!</v>
      </c>
      <c r="D184" s="25" t="str">
        <f t="shared" si="24"/>
        <v/>
      </c>
      <c r="E184" s="25">
        <f t="shared" si="25"/>
        <v>0</v>
      </c>
      <c r="F184" s="26">
        <f t="shared" si="26"/>
        <v>0</v>
      </c>
      <c r="G184" s="26">
        <f t="shared" si="27"/>
        <v>0</v>
      </c>
      <c r="H184" s="26">
        <f t="shared" si="27"/>
        <v>0</v>
      </c>
      <c r="I184" s="26">
        <f t="shared" si="27"/>
        <v>0</v>
      </c>
      <c r="J184" s="27" t="str">
        <f t="shared" si="28"/>
        <v>CO2REMOV</v>
      </c>
      <c r="K184" s="27" t="str">
        <f t="shared" si="31"/>
        <v>UNPAID</v>
      </c>
      <c r="L184" s="23">
        <f t="shared" si="23"/>
        <v>0</v>
      </c>
      <c r="M184" s="27">
        <f t="shared" si="29"/>
        <v>0</v>
      </c>
      <c r="N184" s="22">
        <f t="shared" si="32"/>
        <v>0</v>
      </c>
      <c r="O184" s="28">
        <f t="shared" si="30"/>
        <v>0</v>
      </c>
      <c r="T184" s="20"/>
    </row>
    <row r="185" spans="3:20" x14ac:dyDescent="0.35">
      <c r="C185" s="24" t="e">
        <f t="shared" si="22"/>
        <v>#VALUE!</v>
      </c>
      <c r="D185" s="25" t="str">
        <f t="shared" si="24"/>
        <v/>
      </c>
      <c r="E185" s="25">
        <f t="shared" si="25"/>
        <v>0</v>
      </c>
      <c r="F185" s="26">
        <f t="shared" si="26"/>
        <v>0</v>
      </c>
      <c r="G185" s="26">
        <f t="shared" si="27"/>
        <v>0</v>
      </c>
      <c r="H185" s="26">
        <f t="shared" si="27"/>
        <v>0</v>
      </c>
      <c r="I185" s="26">
        <f t="shared" si="27"/>
        <v>0</v>
      </c>
      <c r="J185" s="27" t="str">
        <f t="shared" si="28"/>
        <v>CO2REMOV</v>
      </c>
      <c r="K185" s="27" t="str">
        <f t="shared" si="31"/>
        <v>UNPAID</v>
      </c>
      <c r="L185" s="23">
        <f t="shared" si="23"/>
        <v>0</v>
      </c>
      <c r="M185" s="27">
        <f t="shared" si="29"/>
        <v>0</v>
      </c>
      <c r="N185" s="22">
        <f t="shared" si="32"/>
        <v>0</v>
      </c>
      <c r="O185" s="28">
        <f t="shared" si="30"/>
        <v>0</v>
      </c>
      <c r="T185" s="20"/>
    </row>
    <row r="186" spans="3:20" x14ac:dyDescent="0.35">
      <c r="C186" s="24" t="e">
        <f t="shared" si="22"/>
        <v>#VALUE!</v>
      </c>
      <c r="D186" s="25" t="str">
        <f t="shared" si="24"/>
        <v/>
      </c>
      <c r="E186" s="25">
        <f t="shared" si="25"/>
        <v>0</v>
      </c>
      <c r="F186" s="26">
        <f t="shared" si="26"/>
        <v>0</v>
      </c>
      <c r="G186" s="26">
        <f t="shared" si="27"/>
        <v>0</v>
      </c>
      <c r="H186" s="26">
        <f t="shared" si="27"/>
        <v>0</v>
      </c>
      <c r="I186" s="26">
        <f t="shared" si="27"/>
        <v>0</v>
      </c>
      <c r="J186" s="27" t="str">
        <f t="shared" si="28"/>
        <v>CO2REMOV</v>
      </c>
      <c r="K186" s="27" t="str">
        <f t="shared" si="31"/>
        <v>UNPAID</v>
      </c>
      <c r="L186" s="23">
        <f t="shared" si="23"/>
        <v>0</v>
      </c>
      <c r="M186" s="27">
        <f t="shared" si="29"/>
        <v>0</v>
      </c>
      <c r="N186" s="22">
        <f t="shared" si="32"/>
        <v>0</v>
      </c>
      <c r="O186" s="28">
        <f t="shared" si="30"/>
        <v>0</v>
      </c>
      <c r="T186" s="20"/>
    </row>
    <row r="187" spans="3:20" x14ac:dyDescent="0.35">
      <c r="C187" s="24" t="e">
        <f t="shared" si="22"/>
        <v>#VALUE!</v>
      </c>
      <c r="D187" s="25" t="str">
        <f t="shared" si="24"/>
        <v/>
      </c>
      <c r="E187" s="25">
        <f t="shared" si="25"/>
        <v>0</v>
      </c>
      <c r="F187" s="26">
        <f t="shared" si="26"/>
        <v>0</v>
      </c>
      <c r="G187" s="26">
        <f t="shared" si="27"/>
        <v>0</v>
      </c>
      <c r="H187" s="26">
        <f t="shared" si="27"/>
        <v>0</v>
      </c>
      <c r="I187" s="26">
        <f t="shared" si="27"/>
        <v>0</v>
      </c>
      <c r="J187" s="27" t="str">
        <f t="shared" si="28"/>
        <v>CO2REMOV</v>
      </c>
      <c r="K187" s="27" t="str">
        <f t="shared" si="31"/>
        <v>UNPAID</v>
      </c>
      <c r="L187" s="23">
        <f t="shared" si="23"/>
        <v>0</v>
      </c>
      <c r="M187" s="27">
        <f t="shared" si="29"/>
        <v>0</v>
      </c>
      <c r="N187" s="22">
        <f t="shared" si="32"/>
        <v>0</v>
      </c>
      <c r="O187" s="28">
        <f t="shared" si="30"/>
        <v>0</v>
      </c>
      <c r="T187" s="20"/>
    </row>
    <row r="188" spans="3:20" x14ac:dyDescent="0.35">
      <c r="C188" s="24" t="e">
        <f t="shared" si="22"/>
        <v>#VALUE!</v>
      </c>
      <c r="D188" s="25" t="str">
        <f t="shared" si="24"/>
        <v/>
      </c>
      <c r="E188" s="25">
        <f t="shared" si="25"/>
        <v>0</v>
      </c>
      <c r="F188" s="26">
        <f t="shared" si="26"/>
        <v>0</v>
      </c>
      <c r="G188" s="26">
        <f t="shared" si="27"/>
        <v>0</v>
      </c>
      <c r="H188" s="26">
        <f t="shared" si="27"/>
        <v>0</v>
      </c>
      <c r="I188" s="26">
        <f t="shared" si="27"/>
        <v>0</v>
      </c>
      <c r="J188" s="27" t="str">
        <f t="shared" si="28"/>
        <v>CO2REMOV</v>
      </c>
      <c r="K188" s="27" t="str">
        <f t="shared" si="31"/>
        <v>UNPAID</v>
      </c>
      <c r="L188" s="23">
        <f t="shared" si="23"/>
        <v>0</v>
      </c>
      <c r="M188" s="27">
        <f t="shared" si="29"/>
        <v>0</v>
      </c>
      <c r="N188" s="22">
        <f t="shared" si="32"/>
        <v>0</v>
      </c>
      <c r="O188" s="28">
        <f t="shared" si="30"/>
        <v>0</v>
      </c>
      <c r="T188" s="20"/>
    </row>
    <row r="189" spans="3:20" x14ac:dyDescent="0.35">
      <c r="C189" s="24" t="e">
        <f t="shared" si="22"/>
        <v>#VALUE!</v>
      </c>
      <c r="D189" s="25" t="str">
        <f t="shared" si="24"/>
        <v/>
      </c>
      <c r="E189" s="25">
        <f t="shared" si="25"/>
        <v>0</v>
      </c>
      <c r="F189" s="26">
        <f t="shared" si="26"/>
        <v>0</v>
      </c>
      <c r="G189" s="26">
        <f t="shared" si="27"/>
        <v>0</v>
      </c>
      <c r="H189" s="26">
        <f t="shared" si="27"/>
        <v>0</v>
      </c>
      <c r="I189" s="26">
        <f t="shared" si="27"/>
        <v>0</v>
      </c>
      <c r="J189" s="27" t="str">
        <f t="shared" si="28"/>
        <v>CO2REMOV</v>
      </c>
      <c r="K189" s="27" t="str">
        <f t="shared" si="31"/>
        <v>UNPAID</v>
      </c>
      <c r="L189" s="23">
        <f t="shared" si="23"/>
        <v>0</v>
      </c>
      <c r="M189" s="27">
        <f t="shared" si="29"/>
        <v>0</v>
      </c>
      <c r="N189" s="22">
        <f t="shared" si="32"/>
        <v>0</v>
      </c>
      <c r="O189" s="28">
        <f t="shared" si="30"/>
        <v>0</v>
      </c>
      <c r="T189" s="20"/>
    </row>
    <row r="190" spans="3:20" x14ac:dyDescent="0.35">
      <c r="C190" s="24" t="e">
        <f t="shared" si="22"/>
        <v>#VALUE!</v>
      </c>
      <c r="D190" s="25" t="str">
        <f t="shared" si="24"/>
        <v/>
      </c>
      <c r="E190" s="25">
        <f t="shared" si="25"/>
        <v>0</v>
      </c>
      <c r="F190" s="26">
        <f t="shared" si="26"/>
        <v>0</v>
      </c>
      <c r="G190" s="26">
        <f t="shared" si="27"/>
        <v>0</v>
      </c>
      <c r="H190" s="26">
        <f t="shared" si="27"/>
        <v>0</v>
      </c>
      <c r="I190" s="26">
        <f t="shared" si="27"/>
        <v>0</v>
      </c>
      <c r="J190" s="27" t="str">
        <f t="shared" si="28"/>
        <v>CO2REMOV</v>
      </c>
      <c r="K190" s="27" t="str">
        <f t="shared" si="31"/>
        <v>UNPAID</v>
      </c>
      <c r="L190" s="23">
        <f t="shared" si="23"/>
        <v>0</v>
      </c>
      <c r="M190" s="27">
        <f t="shared" si="29"/>
        <v>0</v>
      </c>
      <c r="N190" s="22">
        <f t="shared" si="32"/>
        <v>0</v>
      </c>
      <c r="O190" s="28">
        <f t="shared" si="30"/>
        <v>0</v>
      </c>
      <c r="T190" s="20"/>
    </row>
    <row r="191" spans="3:20" x14ac:dyDescent="0.35">
      <c r="C191" s="24" t="e">
        <f t="shared" si="22"/>
        <v>#VALUE!</v>
      </c>
      <c r="D191" s="25" t="str">
        <f t="shared" si="24"/>
        <v/>
      </c>
      <c r="E191" s="25">
        <f t="shared" si="25"/>
        <v>0</v>
      </c>
      <c r="F191" s="26">
        <f t="shared" si="26"/>
        <v>0</v>
      </c>
      <c r="G191" s="26">
        <f t="shared" si="27"/>
        <v>0</v>
      </c>
      <c r="H191" s="26">
        <f t="shared" si="27"/>
        <v>0</v>
      </c>
      <c r="I191" s="26">
        <f t="shared" si="27"/>
        <v>0</v>
      </c>
      <c r="J191" s="27" t="str">
        <f t="shared" si="28"/>
        <v>CO2REMOV</v>
      </c>
      <c r="K191" s="27" t="str">
        <f t="shared" si="31"/>
        <v>UNPAID</v>
      </c>
      <c r="L191" s="23">
        <f t="shared" si="23"/>
        <v>0</v>
      </c>
      <c r="M191" s="27">
        <f t="shared" si="29"/>
        <v>0</v>
      </c>
      <c r="N191" s="22">
        <f t="shared" si="32"/>
        <v>0</v>
      </c>
      <c r="O191" s="28">
        <f t="shared" si="30"/>
        <v>0</v>
      </c>
      <c r="T191" s="20"/>
    </row>
    <row r="192" spans="3:20" x14ac:dyDescent="0.35">
      <c r="C192" s="24" t="e">
        <f t="shared" si="22"/>
        <v>#VALUE!</v>
      </c>
      <c r="D192" s="25" t="str">
        <f t="shared" si="24"/>
        <v/>
      </c>
      <c r="E192" s="25">
        <f t="shared" si="25"/>
        <v>0</v>
      </c>
      <c r="F192" s="26">
        <f t="shared" si="26"/>
        <v>0</v>
      </c>
      <c r="G192" s="26">
        <f t="shared" si="27"/>
        <v>0</v>
      </c>
      <c r="H192" s="26">
        <f t="shared" si="27"/>
        <v>0</v>
      </c>
      <c r="I192" s="26">
        <f t="shared" si="27"/>
        <v>0</v>
      </c>
      <c r="J192" s="27" t="str">
        <f t="shared" si="28"/>
        <v>CO2REMOV</v>
      </c>
      <c r="K192" s="27" t="str">
        <f t="shared" si="31"/>
        <v>UNPAID</v>
      </c>
      <c r="L192" s="23">
        <f t="shared" si="23"/>
        <v>0</v>
      </c>
      <c r="M192" s="27">
        <f t="shared" si="29"/>
        <v>0</v>
      </c>
      <c r="N192" s="22">
        <f t="shared" si="32"/>
        <v>0</v>
      </c>
      <c r="O192" s="28">
        <f t="shared" si="30"/>
        <v>0</v>
      </c>
      <c r="T192" s="20"/>
    </row>
    <row r="193" spans="3:20" x14ac:dyDescent="0.35">
      <c r="C193" s="24" t="e">
        <f t="shared" si="22"/>
        <v>#VALUE!</v>
      </c>
      <c r="D193" s="25" t="str">
        <f t="shared" si="24"/>
        <v/>
      </c>
      <c r="E193" s="25">
        <f t="shared" si="25"/>
        <v>0</v>
      </c>
      <c r="F193" s="26">
        <f t="shared" si="26"/>
        <v>0</v>
      </c>
      <c r="G193" s="26">
        <f t="shared" si="27"/>
        <v>0</v>
      </c>
      <c r="H193" s="26">
        <f t="shared" si="27"/>
        <v>0</v>
      </c>
      <c r="I193" s="26">
        <f t="shared" si="27"/>
        <v>0</v>
      </c>
      <c r="J193" s="27" t="str">
        <f t="shared" si="28"/>
        <v>CO2REMOV</v>
      </c>
      <c r="K193" s="27" t="str">
        <f t="shared" si="31"/>
        <v>UNPAID</v>
      </c>
      <c r="L193" s="23">
        <f t="shared" si="23"/>
        <v>0</v>
      </c>
      <c r="M193" s="27">
        <f t="shared" si="29"/>
        <v>0</v>
      </c>
      <c r="N193" s="22">
        <f t="shared" si="32"/>
        <v>0</v>
      </c>
      <c r="O193" s="28">
        <f t="shared" si="30"/>
        <v>0</v>
      </c>
      <c r="T193" s="20"/>
    </row>
    <row r="194" spans="3:20" x14ac:dyDescent="0.35">
      <c r="C194" s="24" t="e">
        <f t="shared" si="22"/>
        <v>#VALUE!</v>
      </c>
      <c r="D194" s="25" t="str">
        <f t="shared" si="24"/>
        <v/>
      </c>
      <c r="E194" s="25">
        <f t="shared" si="25"/>
        <v>0</v>
      </c>
      <c r="F194" s="26">
        <f t="shared" si="26"/>
        <v>0</v>
      </c>
      <c r="G194" s="26">
        <f t="shared" si="27"/>
        <v>0</v>
      </c>
      <c r="H194" s="26">
        <f t="shared" si="27"/>
        <v>0</v>
      </c>
      <c r="I194" s="26">
        <f t="shared" si="27"/>
        <v>0</v>
      </c>
      <c r="J194" s="27" t="str">
        <f t="shared" si="28"/>
        <v>CO2REMOV</v>
      </c>
      <c r="K194" s="27" t="str">
        <f t="shared" si="31"/>
        <v>UNPAID</v>
      </c>
      <c r="L194" s="23">
        <f t="shared" si="23"/>
        <v>0</v>
      </c>
      <c r="M194" s="27">
        <f t="shared" si="29"/>
        <v>0</v>
      </c>
      <c r="N194" s="22">
        <f t="shared" si="32"/>
        <v>0</v>
      </c>
      <c r="O194" s="28">
        <f t="shared" si="30"/>
        <v>0</v>
      </c>
      <c r="T194" s="20"/>
    </row>
    <row r="195" spans="3:20" x14ac:dyDescent="0.35">
      <c r="C195" s="24" t="e">
        <f t="shared" si="22"/>
        <v>#VALUE!</v>
      </c>
      <c r="D195" s="25" t="str">
        <f t="shared" si="24"/>
        <v/>
      </c>
      <c r="E195" s="25">
        <f t="shared" si="25"/>
        <v>0</v>
      </c>
      <c r="F195" s="26">
        <f t="shared" si="26"/>
        <v>0</v>
      </c>
      <c r="G195" s="26">
        <f t="shared" si="27"/>
        <v>0</v>
      </c>
      <c r="H195" s="26">
        <f t="shared" si="27"/>
        <v>0</v>
      </c>
      <c r="I195" s="26">
        <f t="shared" si="27"/>
        <v>0</v>
      </c>
      <c r="J195" s="27" t="str">
        <f t="shared" si="28"/>
        <v>CO2REMOV</v>
      </c>
      <c r="K195" s="27" t="str">
        <f t="shared" si="31"/>
        <v>UNPAID</v>
      </c>
      <c r="L195" s="23">
        <f t="shared" si="23"/>
        <v>0</v>
      </c>
      <c r="M195" s="27">
        <f t="shared" si="29"/>
        <v>0</v>
      </c>
      <c r="N195" s="22">
        <f t="shared" si="32"/>
        <v>0</v>
      </c>
      <c r="O195" s="28">
        <f t="shared" si="30"/>
        <v>0</v>
      </c>
      <c r="T195" s="20"/>
    </row>
    <row r="196" spans="3:20" x14ac:dyDescent="0.35">
      <c r="C196" s="24" t="e">
        <f t="shared" si="22"/>
        <v>#VALUE!</v>
      </c>
      <c r="D196" s="25" t="str">
        <f t="shared" si="24"/>
        <v/>
      </c>
      <c r="E196" s="25">
        <f t="shared" si="25"/>
        <v>0</v>
      </c>
      <c r="F196" s="26">
        <f t="shared" si="26"/>
        <v>0</v>
      </c>
      <c r="G196" s="26">
        <f t="shared" si="27"/>
        <v>0</v>
      </c>
      <c r="H196" s="26">
        <f t="shared" si="27"/>
        <v>0</v>
      </c>
      <c r="I196" s="26">
        <f t="shared" si="27"/>
        <v>0</v>
      </c>
      <c r="J196" s="27" t="str">
        <f t="shared" si="28"/>
        <v>CO2REMOV</v>
      </c>
      <c r="K196" s="27" t="str">
        <f t="shared" si="31"/>
        <v>UNPAID</v>
      </c>
      <c r="L196" s="23">
        <f t="shared" si="23"/>
        <v>0</v>
      </c>
      <c r="M196" s="27">
        <f t="shared" si="29"/>
        <v>0</v>
      </c>
      <c r="N196" s="22">
        <f t="shared" si="32"/>
        <v>0</v>
      </c>
      <c r="O196" s="28">
        <f t="shared" si="30"/>
        <v>0</v>
      </c>
      <c r="T196" s="20"/>
    </row>
    <row r="197" spans="3:20" x14ac:dyDescent="0.35">
      <c r="C197" s="24" t="e">
        <f t="shared" si="22"/>
        <v>#VALUE!</v>
      </c>
      <c r="D197" s="25" t="str">
        <f t="shared" si="24"/>
        <v/>
      </c>
      <c r="E197" s="25">
        <f t="shared" si="25"/>
        <v>0</v>
      </c>
      <c r="F197" s="26">
        <f t="shared" si="26"/>
        <v>0</v>
      </c>
      <c r="G197" s="26">
        <f t="shared" si="27"/>
        <v>0</v>
      </c>
      <c r="H197" s="26">
        <f t="shared" si="27"/>
        <v>0</v>
      </c>
      <c r="I197" s="26">
        <f t="shared" si="27"/>
        <v>0</v>
      </c>
      <c r="J197" s="27" t="str">
        <f t="shared" si="28"/>
        <v>CO2REMOV</v>
      </c>
      <c r="K197" s="27" t="str">
        <f t="shared" si="31"/>
        <v>UNPAID</v>
      </c>
      <c r="L197" s="23">
        <f t="shared" si="23"/>
        <v>0</v>
      </c>
      <c r="M197" s="27">
        <f t="shared" si="29"/>
        <v>0</v>
      </c>
      <c r="N197" s="22">
        <f t="shared" si="32"/>
        <v>0</v>
      </c>
      <c r="O197" s="28">
        <f t="shared" si="30"/>
        <v>0</v>
      </c>
      <c r="T197" s="20"/>
    </row>
    <row r="198" spans="3:20" x14ac:dyDescent="0.35">
      <c r="C198" s="24" t="e">
        <f t="shared" si="22"/>
        <v>#VALUE!</v>
      </c>
      <c r="D198" s="25" t="str">
        <f t="shared" si="24"/>
        <v/>
      </c>
      <c r="E198" s="25">
        <f t="shared" si="25"/>
        <v>0</v>
      </c>
      <c r="F198" s="26">
        <f t="shared" si="26"/>
        <v>0</v>
      </c>
      <c r="G198" s="26">
        <f t="shared" si="27"/>
        <v>0</v>
      </c>
      <c r="H198" s="26">
        <f t="shared" si="27"/>
        <v>0</v>
      </c>
      <c r="I198" s="26">
        <f t="shared" si="27"/>
        <v>0</v>
      </c>
      <c r="J198" s="27" t="str">
        <f t="shared" si="28"/>
        <v>CO2REMOV</v>
      </c>
      <c r="K198" s="27" t="str">
        <f t="shared" si="31"/>
        <v>UNPAID</v>
      </c>
      <c r="L198" s="23">
        <f t="shared" si="23"/>
        <v>0</v>
      </c>
      <c r="M198" s="27">
        <f t="shared" si="29"/>
        <v>0</v>
      </c>
      <c r="N198" s="22">
        <f t="shared" si="32"/>
        <v>0</v>
      </c>
      <c r="O198" s="28">
        <f t="shared" si="30"/>
        <v>0</v>
      </c>
      <c r="T198" s="20"/>
    </row>
    <row r="199" spans="3:20" x14ac:dyDescent="0.35">
      <c r="C199" s="24" t="s">
        <v>54</v>
      </c>
      <c r="D199" s="25"/>
      <c r="E199" s="25"/>
      <c r="F199" s="26"/>
      <c r="G199" s="26"/>
      <c r="H199" s="26"/>
      <c r="I199" s="26"/>
      <c r="J199" s="27"/>
      <c r="K199" s="27" t="str">
        <f t="shared" si="31"/>
        <v>UNPAID</v>
      </c>
      <c r="L199" s="23">
        <f t="shared" si="23"/>
        <v>0</v>
      </c>
      <c r="M199" s="27"/>
      <c r="N199" s="22"/>
      <c r="O199" s="28"/>
      <c r="T199" s="20"/>
    </row>
    <row r="200" spans="3:20" x14ac:dyDescent="0.35">
      <c r="C200" s="24" t="e">
        <f>C198+1</f>
        <v>#VALUE!</v>
      </c>
      <c r="D200" s="25" t="str">
        <f t="shared" si="24"/>
        <v/>
      </c>
      <c r="E200" s="25">
        <f t="shared" si="25"/>
        <v>0</v>
      </c>
      <c r="F200" s="26">
        <f t="shared" si="26"/>
        <v>0</v>
      </c>
      <c r="G200" s="26">
        <f t="shared" si="27"/>
        <v>0</v>
      </c>
      <c r="H200" s="26">
        <f t="shared" si="27"/>
        <v>0</v>
      </c>
      <c r="I200" s="26">
        <f t="shared" si="27"/>
        <v>0</v>
      </c>
      <c r="J200" s="27" t="str">
        <f t="shared" si="28"/>
        <v>CO2REMOV</v>
      </c>
      <c r="K200" s="27" t="str">
        <f t="shared" si="31"/>
        <v>UNPAID</v>
      </c>
      <c r="L200" s="23">
        <f t="shared" si="23"/>
        <v>0</v>
      </c>
      <c r="M200" s="27">
        <f t="shared" si="29"/>
        <v>0</v>
      </c>
      <c r="N200" s="22">
        <f t="shared" si="32"/>
        <v>0</v>
      </c>
      <c r="O200" s="28">
        <f t="shared" si="30"/>
        <v>0</v>
      </c>
      <c r="T200" s="20"/>
    </row>
    <row r="201" spans="3:20" x14ac:dyDescent="0.35">
      <c r="C201" s="24" t="e">
        <f t="shared" si="22"/>
        <v>#VALUE!</v>
      </c>
      <c r="D201" s="25" t="str">
        <f t="shared" si="24"/>
        <v/>
      </c>
      <c r="E201" s="25">
        <f t="shared" si="25"/>
        <v>0</v>
      </c>
      <c r="F201" s="26">
        <f t="shared" si="26"/>
        <v>0</v>
      </c>
      <c r="G201" s="26">
        <f t="shared" si="27"/>
        <v>0</v>
      </c>
      <c r="H201" s="26">
        <f t="shared" si="27"/>
        <v>0</v>
      </c>
      <c r="I201" s="26">
        <f t="shared" si="27"/>
        <v>0</v>
      </c>
      <c r="J201" s="27" t="str">
        <f t="shared" si="28"/>
        <v>CO2REMOV</v>
      </c>
      <c r="K201" s="27" t="str">
        <f t="shared" si="31"/>
        <v>UNPAID</v>
      </c>
      <c r="L201" s="23">
        <f t="shared" si="23"/>
        <v>0</v>
      </c>
      <c r="M201" s="27">
        <f t="shared" si="29"/>
        <v>0</v>
      </c>
      <c r="N201" s="22">
        <f t="shared" si="32"/>
        <v>0</v>
      </c>
      <c r="O201" s="28">
        <f t="shared" si="30"/>
        <v>0</v>
      </c>
      <c r="T201" s="20"/>
    </row>
    <row r="202" spans="3:20" x14ac:dyDescent="0.35">
      <c r="C202" s="24" t="e">
        <f t="shared" si="22"/>
        <v>#VALUE!</v>
      </c>
      <c r="D202" s="25" t="str">
        <f t="shared" si="24"/>
        <v/>
      </c>
      <c r="E202" s="25">
        <f t="shared" si="25"/>
        <v>0</v>
      </c>
      <c r="F202" s="26">
        <f t="shared" si="26"/>
        <v>0</v>
      </c>
      <c r="G202" s="26">
        <f t="shared" si="27"/>
        <v>0</v>
      </c>
      <c r="H202" s="26">
        <f t="shared" si="27"/>
        <v>0</v>
      </c>
      <c r="I202" s="26">
        <f t="shared" si="27"/>
        <v>0</v>
      </c>
      <c r="J202" s="27" t="str">
        <f t="shared" si="28"/>
        <v>CO2REMOV</v>
      </c>
      <c r="K202" s="27" t="str">
        <f t="shared" si="31"/>
        <v>UNPAID</v>
      </c>
      <c r="L202" s="23">
        <f t="shared" si="23"/>
        <v>0</v>
      </c>
      <c r="M202" s="27">
        <f t="shared" si="29"/>
        <v>0</v>
      </c>
      <c r="N202" s="22">
        <f t="shared" si="32"/>
        <v>0</v>
      </c>
      <c r="O202" s="28">
        <f t="shared" si="30"/>
        <v>0</v>
      </c>
      <c r="T202" s="20"/>
    </row>
    <row r="203" spans="3:20" x14ac:dyDescent="0.35">
      <c r="C203" s="24" t="e">
        <f t="shared" si="22"/>
        <v>#VALUE!</v>
      </c>
      <c r="D203" s="25" t="str">
        <f t="shared" si="24"/>
        <v/>
      </c>
      <c r="E203" s="25">
        <f t="shared" si="25"/>
        <v>0</v>
      </c>
      <c r="F203" s="26">
        <f t="shared" si="26"/>
        <v>0</v>
      </c>
      <c r="G203" s="26">
        <f t="shared" si="27"/>
        <v>0</v>
      </c>
      <c r="H203" s="26">
        <f t="shared" si="27"/>
        <v>0</v>
      </c>
      <c r="I203" s="26">
        <f t="shared" si="27"/>
        <v>0</v>
      </c>
      <c r="J203" s="27" t="str">
        <f t="shared" si="28"/>
        <v>CO2REMOV</v>
      </c>
      <c r="K203" s="27" t="str">
        <f t="shared" si="31"/>
        <v>UNPAID</v>
      </c>
      <c r="L203" s="23">
        <f t="shared" si="23"/>
        <v>0</v>
      </c>
      <c r="M203" s="27">
        <f t="shared" si="29"/>
        <v>0</v>
      </c>
      <c r="N203" s="22">
        <f t="shared" si="32"/>
        <v>0</v>
      </c>
      <c r="O203" s="28">
        <f t="shared" si="30"/>
        <v>0</v>
      </c>
      <c r="T203" s="20"/>
    </row>
    <row r="204" spans="3:20" x14ac:dyDescent="0.35">
      <c r="C204" s="24" t="e">
        <f t="shared" si="22"/>
        <v>#VALUE!</v>
      </c>
      <c r="D204" s="25" t="str">
        <f t="shared" si="24"/>
        <v/>
      </c>
      <c r="E204" s="25">
        <f t="shared" si="25"/>
        <v>0</v>
      </c>
      <c r="F204" s="26">
        <f t="shared" si="26"/>
        <v>0</v>
      </c>
      <c r="G204" s="26">
        <f t="shared" si="27"/>
        <v>0</v>
      </c>
      <c r="H204" s="26">
        <f t="shared" si="27"/>
        <v>0</v>
      </c>
      <c r="I204" s="26">
        <f t="shared" si="27"/>
        <v>0</v>
      </c>
      <c r="J204" s="27" t="str">
        <f t="shared" si="28"/>
        <v>CO2REMOV</v>
      </c>
      <c r="K204" s="27" t="str">
        <f t="shared" si="31"/>
        <v>UNPAID</v>
      </c>
      <c r="L204" s="23">
        <f t="shared" si="23"/>
        <v>0</v>
      </c>
      <c r="M204" s="27">
        <f t="shared" si="29"/>
        <v>0</v>
      </c>
      <c r="N204" s="22">
        <f t="shared" si="32"/>
        <v>0</v>
      </c>
      <c r="O204" s="28">
        <f t="shared" si="30"/>
        <v>0</v>
      </c>
      <c r="T204" s="20"/>
    </row>
    <row r="205" spans="3:20" x14ac:dyDescent="0.35">
      <c r="C205" s="24" t="e">
        <f t="shared" ref="C205:C268" si="33">C204+1</f>
        <v>#VALUE!</v>
      </c>
      <c r="D205" s="25" t="str">
        <f t="shared" si="24"/>
        <v/>
      </c>
      <c r="E205" s="25">
        <f t="shared" si="25"/>
        <v>0</v>
      </c>
      <c r="F205" s="26">
        <f t="shared" si="26"/>
        <v>0</v>
      </c>
      <c r="G205" s="26">
        <f t="shared" si="27"/>
        <v>0</v>
      </c>
      <c r="H205" s="26">
        <f t="shared" si="27"/>
        <v>0</v>
      </c>
      <c r="I205" s="26">
        <f t="shared" si="27"/>
        <v>0</v>
      </c>
      <c r="J205" s="27" t="str">
        <f t="shared" si="28"/>
        <v>CO2REMOV</v>
      </c>
      <c r="K205" s="27" t="str">
        <f t="shared" si="31"/>
        <v>UNPAID</v>
      </c>
      <c r="L205" s="23">
        <f t="shared" ref="L205:L268" si="34">IF(K205="PAID",AA205,0)</f>
        <v>0</v>
      </c>
      <c r="M205" s="27">
        <f t="shared" si="29"/>
        <v>0</v>
      </c>
      <c r="N205" s="22">
        <f t="shared" si="32"/>
        <v>0</v>
      </c>
      <c r="O205" s="28">
        <f t="shared" si="30"/>
        <v>0</v>
      </c>
      <c r="T205" s="20"/>
    </row>
    <row r="206" spans="3:20" x14ac:dyDescent="0.35">
      <c r="C206" s="24" t="e">
        <f t="shared" si="33"/>
        <v>#VALUE!</v>
      </c>
      <c r="D206" s="25" t="str">
        <f t="shared" si="24"/>
        <v/>
      </c>
      <c r="E206" s="25">
        <f t="shared" si="25"/>
        <v>0</v>
      </c>
      <c r="F206" s="26">
        <f t="shared" si="26"/>
        <v>0</v>
      </c>
      <c r="G206" s="26">
        <f t="shared" si="27"/>
        <v>0</v>
      </c>
      <c r="H206" s="26">
        <f t="shared" si="27"/>
        <v>0</v>
      </c>
      <c r="I206" s="26">
        <f t="shared" si="27"/>
        <v>0</v>
      </c>
      <c r="J206" s="27" t="str">
        <f t="shared" si="28"/>
        <v>CO2REMOV</v>
      </c>
      <c r="K206" s="27" t="str">
        <f t="shared" si="31"/>
        <v>UNPAID</v>
      </c>
      <c r="L206" s="23">
        <f t="shared" si="34"/>
        <v>0</v>
      </c>
      <c r="M206" s="27">
        <f t="shared" si="29"/>
        <v>0</v>
      </c>
      <c r="N206" s="22">
        <f t="shared" si="32"/>
        <v>0</v>
      </c>
      <c r="O206" s="28">
        <f t="shared" si="30"/>
        <v>0</v>
      </c>
      <c r="T206" s="20"/>
    </row>
    <row r="207" spans="3:20" x14ac:dyDescent="0.35">
      <c r="C207" s="24" t="e">
        <f t="shared" si="33"/>
        <v>#VALUE!</v>
      </c>
      <c r="D207" s="25" t="str">
        <f t="shared" si="24"/>
        <v/>
      </c>
      <c r="E207" s="25">
        <f t="shared" si="25"/>
        <v>0</v>
      </c>
      <c r="F207" s="26">
        <f t="shared" si="26"/>
        <v>0</v>
      </c>
      <c r="G207" s="26">
        <f t="shared" si="27"/>
        <v>0</v>
      </c>
      <c r="H207" s="26">
        <f t="shared" si="27"/>
        <v>0</v>
      </c>
      <c r="I207" s="26">
        <f t="shared" si="27"/>
        <v>0</v>
      </c>
      <c r="J207" s="27" t="str">
        <f t="shared" si="28"/>
        <v>CO2REMOV</v>
      </c>
      <c r="K207" s="27" t="str">
        <f t="shared" si="31"/>
        <v>UNPAID</v>
      </c>
      <c r="L207" s="23">
        <f t="shared" si="34"/>
        <v>0</v>
      </c>
      <c r="M207" s="27">
        <f t="shared" si="29"/>
        <v>0</v>
      </c>
      <c r="N207" s="22">
        <f t="shared" si="32"/>
        <v>0</v>
      </c>
      <c r="O207" s="28">
        <f t="shared" si="30"/>
        <v>0</v>
      </c>
      <c r="T207" s="20"/>
    </row>
    <row r="208" spans="3:20" x14ac:dyDescent="0.35">
      <c r="C208" s="24" t="e">
        <f t="shared" si="33"/>
        <v>#VALUE!</v>
      </c>
      <c r="D208" s="25" t="str">
        <f t="shared" si="24"/>
        <v/>
      </c>
      <c r="E208" s="25">
        <f t="shared" si="25"/>
        <v>0</v>
      </c>
      <c r="F208" s="26">
        <f t="shared" si="26"/>
        <v>0</v>
      </c>
      <c r="G208" s="26">
        <f t="shared" si="27"/>
        <v>0</v>
      </c>
      <c r="H208" s="26">
        <f t="shared" si="27"/>
        <v>0</v>
      </c>
      <c r="I208" s="26">
        <f t="shared" si="27"/>
        <v>0</v>
      </c>
      <c r="J208" s="27" t="str">
        <f t="shared" si="28"/>
        <v>CO2REMOV</v>
      </c>
      <c r="K208" s="27" t="str">
        <f t="shared" si="31"/>
        <v>UNPAID</v>
      </c>
      <c r="L208" s="23">
        <f t="shared" si="34"/>
        <v>0</v>
      </c>
      <c r="M208" s="27">
        <f t="shared" si="29"/>
        <v>0</v>
      </c>
      <c r="N208" s="22">
        <f t="shared" si="32"/>
        <v>0</v>
      </c>
      <c r="O208" s="28">
        <f t="shared" si="30"/>
        <v>0</v>
      </c>
      <c r="T208" s="20"/>
    </row>
    <row r="209" spans="3:20" x14ac:dyDescent="0.35">
      <c r="C209" s="24" t="e">
        <f t="shared" si="33"/>
        <v>#VALUE!</v>
      </c>
      <c r="D209" s="25" t="str">
        <f t="shared" si="24"/>
        <v/>
      </c>
      <c r="E209" s="25">
        <f t="shared" si="25"/>
        <v>0</v>
      </c>
      <c r="F209" s="26">
        <f t="shared" si="26"/>
        <v>0</v>
      </c>
      <c r="G209" s="26">
        <f t="shared" si="27"/>
        <v>0</v>
      </c>
      <c r="H209" s="26">
        <f t="shared" si="27"/>
        <v>0</v>
      </c>
      <c r="I209" s="26">
        <f t="shared" si="27"/>
        <v>0</v>
      </c>
      <c r="J209" s="27" t="str">
        <f t="shared" si="28"/>
        <v>CO2REMOV</v>
      </c>
      <c r="K209" s="27" t="str">
        <f t="shared" si="31"/>
        <v>UNPAID</v>
      </c>
      <c r="L209" s="23">
        <f t="shared" si="34"/>
        <v>0</v>
      </c>
      <c r="M209" s="27">
        <f t="shared" si="29"/>
        <v>0</v>
      </c>
      <c r="N209" s="22">
        <f t="shared" si="32"/>
        <v>0</v>
      </c>
      <c r="O209" s="28">
        <f t="shared" si="30"/>
        <v>0</v>
      </c>
      <c r="T209" s="20"/>
    </row>
    <row r="210" spans="3:20" x14ac:dyDescent="0.35">
      <c r="C210" s="24" t="e">
        <f t="shared" si="33"/>
        <v>#VALUE!</v>
      </c>
      <c r="D210" s="25" t="str">
        <f t="shared" si="24"/>
        <v/>
      </c>
      <c r="E210" s="25">
        <f t="shared" si="25"/>
        <v>0</v>
      </c>
      <c r="F210" s="26">
        <f t="shared" si="26"/>
        <v>0</v>
      </c>
      <c r="G210" s="26">
        <f t="shared" si="27"/>
        <v>0</v>
      </c>
      <c r="H210" s="26">
        <f t="shared" si="27"/>
        <v>0</v>
      </c>
      <c r="I210" s="26">
        <f t="shared" si="27"/>
        <v>0</v>
      </c>
      <c r="J210" s="27" t="str">
        <f t="shared" si="28"/>
        <v>CO2REMOV</v>
      </c>
      <c r="K210" s="27" t="str">
        <f t="shared" si="31"/>
        <v>UNPAID</v>
      </c>
      <c r="L210" s="23">
        <f t="shared" si="34"/>
        <v>0</v>
      </c>
      <c r="M210" s="27">
        <f t="shared" si="29"/>
        <v>0</v>
      </c>
      <c r="N210" s="22">
        <f t="shared" si="32"/>
        <v>0</v>
      </c>
      <c r="O210" s="28">
        <f t="shared" si="30"/>
        <v>0</v>
      </c>
      <c r="T210" s="20"/>
    </row>
    <row r="211" spans="3:20" x14ac:dyDescent="0.35">
      <c r="C211" s="24" t="e">
        <f t="shared" si="33"/>
        <v>#VALUE!</v>
      </c>
      <c r="D211" s="25" t="str">
        <f t="shared" si="24"/>
        <v/>
      </c>
      <c r="E211" s="25">
        <f t="shared" si="25"/>
        <v>0</v>
      </c>
      <c r="F211" s="26">
        <f t="shared" si="26"/>
        <v>0</v>
      </c>
      <c r="G211" s="26">
        <f t="shared" si="27"/>
        <v>0</v>
      </c>
      <c r="H211" s="26">
        <f t="shared" si="27"/>
        <v>0</v>
      </c>
      <c r="I211" s="26">
        <f t="shared" si="27"/>
        <v>0</v>
      </c>
      <c r="J211" s="27" t="str">
        <f t="shared" si="28"/>
        <v>CO2REMOV</v>
      </c>
      <c r="K211" s="27" t="str">
        <f t="shared" si="31"/>
        <v>UNPAID</v>
      </c>
      <c r="L211" s="23">
        <f t="shared" si="34"/>
        <v>0</v>
      </c>
      <c r="M211" s="27">
        <f t="shared" si="29"/>
        <v>0</v>
      </c>
      <c r="N211" s="22">
        <f t="shared" si="32"/>
        <v>0</v>
      </c>
      <c r="O211" s="28">
        <f t="shared" si="30"/>
        <v>0</v>
      </c>
      <c r="T211" s="20"/>
    </row>
    <row r="212" spans="3:20" x14ac:dyDescent="0.35">
      <c r="C212" s="24" t="e">
        <f t="shared" si="33"/>
        <v>#VALUE!</v>
      </c>
      <c r="D212" s="25" t="str">
        <f t="shared" ref="D212:D277" si="35">IF(W212="","",ROUND(W212,0))</f>
        <v/>
      </c>
      <c r="E212" s="25">
        <f t="shared" ref="E212:E277" si="36">IF(X212="",0,X212)</f>
        <v>0</v>
      </c>
      <c r="F212" s="26">
        <f t="shared" ref="F212:F277" si="37">Y212</f>
        <v>0</v>
      </c>
      <c r="G212" s="26">
        <f t="shared" ref="G212:I277" si="38">AE212*24</f>
        <v>0</v>
      </c>
      <c r="H212" s="26">
        <f t="shared" si="38"/>
        <v>0</v>
      </c>
      <c r="I212" s="26">
        <f t="shared" si="38"/>
        <v>0</v>
      </c>
      <c r="J212" s="27" t="str">
        <f t="shared" ref="J212:J277" si="39">$D$6</f>
        <v>CO2REMOV</v>
      </c>
      <c r="K212" s="27" t="str">
        <f t="shared" si="31"/>
        <v>UNPAID</v>
      </c>
      <c r="L212" s="23">
        <f t="shared" si="34"/>
        <v>0</v>
      </c>
      <c r="M212" s="27">
        <f t="shared" ref="M212:M277" si="40">F212</f>
        <v>0</v>
      </c>
      <c r="N212" s="22">
        <f t="shared" si="32"/>
        <v>0</v>
      </c>
      <c r="O212" s="28">
        <f t="shared" ref="O212:O277" si="41">AJ212</f>
        <v>0</v>
      </c>
      <c r="T212" s="20"/>
    </row>
    <row r="213" spans="3:20" x14ac:dyDescent="0.35">
      <c r="C213" s="24" t="e">
        <f t="shared" si="33"/>
        <v>#VALUE!</v>
      </c>
      <c r="D213" s="25" t="str">
        <f t="shared" si="35"/>
        <v/>
      </c>
      <c r="E213" s="25">
        <f t="shared" si="36"/>
        <v>0</v>
      </c>
      <c r="F213" s="26">
        <f t="shared" si="37"/>
        <v>0</v>
      </c>
      <c r="G213" s="26">
        <f t="shared" si="38"/>
        <v>0</v>
      </c>
      <c r="H213" s="26">
        <f t="shared" si="38"/>
        <v>0</v>
      </c>
      <c r="I213" s="26">
        <f t="shared" si="38"/>
        <v>0</v>
      </c>
      <c r="J213" s="27" t="str">
        <f t="shared" si="39"/>
        <v>CO2REMOV</v>
      </c>
      <c r="K213" s="27" t="str">
        <f t="shared" si="31"/>
        <v>UNPAID</v>
      </c>
      <c r="L213" s="23">
        <f t="shared" si="34"/>
        <v>0</v>
      </c>
      <c r="M213" s="27">
        <f t="shared" si="40"/>
        <v>0</v>
      </c>
      <c r="N213" s="22">
        <f t="shared" si="32"/>
        <v>0</v>
      </c>
      <c r="O213" s="28">
        <f t="shared" si="41"/>
        <v>0</v>
      </c>
      <c r="T213" s="20"/>
    </row>
    <row r="214" spans="3:20" x14ac:dyDescent="0.35">
      <c r="C214" s="24" t="e">
        <f t="shared" si="33"/>
        <v>#VALUE!</v>
      </c>
      <c r="D214" s="25" t="str">
        <f t="shared" si="35"/>
        <v/>
      </c>
      <c r="E214" s="25">
        <f t="shared" si="36"/>
        <v>0</v>
      </c>
      <c r="F214" s="26">
        <f t="shared" si="37"/>
        <v>0</v>
      </c>
      <c r="G214" s="26">
        <f t="shared" si="38"/>
        <v>0</v>
      </c>
      <c r="H214" s="26">
        <f t="shared" si="38"/>
        <v>0</v>
      </c>
      <c r="I214" s="26">
        <f t="shared" si="38"/>
        <v>0</v>
      </c>
      <c r="J214" s="27" t="str">
        <f t="shared" si="39"/>
        <v>CO2REMOV</v>
      </c>
      <c r="K214" s="27" t="str">
        <f t="shared" si="31"/>
        <v>UNPAID</v>
      </c>
      <c r="L214" s="23">
        <f t="shared" si="34"/>
        <v>0</v>
      </c>
      <c r="M214" s="27">
        <f t="shared" si="40"/>
        <v>0</v>
      </c>
      <c r="N214" s="22">
        <f t="shared" si="32"/>
        <v>0</v>
      </c>
      <c r="O214" s="28">
        <f t="shared" si="41"/>
        <v>0</v>
      </c>
      <c r="T214" s="20"/>
    </row>
    <row r="215" spans="3:20" x14ac:dyDescent="0.35">
      <c r="C215" s="24" t="e">
        <f t="shared" si="33"/>
        <v>#VALUE!</v>
      </c>
      <c r="D215" s="25" t="str">
        <f t="shared" si="35"/>
        <v/>
      </c>
      <c r="E215" s="25">
        <f t="shared" si="36"/>
        <v>0</v>
      </c>
      <c r="F215" s="26">
        <f t="shared" si="37"/>
        <v>0</v>
      </c>
      <c r="G215" s="26">
        <f t="shared" si="38"/>
        <v>0</v>
      </c>
      <c r="H215" s="26">
        <f t="shared" si="38"/>
        <v>0</v>
      </c>
      <c r="I215" s="26">
        <f t="shared" si="38"/>
        <v>0</v>
      </c>
      <c r="J215" s="27" t="str">
        <f t="shared" si="39"/>
        <v>CO2REMOV</v>
      </c>
      <c r="K215" s="27" t="str">
        <f t="shared" si="31"/>
        <v>UNPAID</v>
      </c>
      <c r="L215" s="23">
        <f t="shared" si="34"/>
        <v>0</v>
      </c>
      <c r="M215" s="27">
        <f t="shared" si="40"/>
        <v>0</v>
      </c>
      <c r="N215" s="22">
        <f t="shared" si="32"/>
        <v>0</v>
      </c>
      <c r="O215" s="28">
        <f t="shared" si="41"/>
        <v>0</v>
      </c>
      <c r="T215" s="20"/>
    </row>
    <row r="216" spans="3:20" x14ac:dyDescent="0.35">
      <c r="C216" s="24" t="e">
        <f t="shared" si="33"/>
        <v>#VALUE!</v>
      </c>
      <c r="D216" s="25" t="str">
        <f t="shared" si="35"/>
        <v/>
      </c>
      <c r="E216" s="25">
        <f t="shared" si="36"/>
        <v>0</v>
      </c>
      <c r="F216" s="26">
        <f t="shared" si="37"/>
        <v>0</v>
      </c>
      <c r="G216" s="26">
        <f t="shared" si="38"/>
        <v>0</v>
      </c>
      <c r="H216" s="26">
        <f t="shared" si="38"/>
        <v>0</v>
      </c>
      <c r="I216" s="26">
        <f t="shared" si="38"/>
        <v>0</v>
      </c>
      <c r="J216" s="27" t="str">
        <f t="shared" si="39"/>
        <v>CO2REMOV</v>
      </c>
      <c r="K216" s="27" t="str">
        <f t="shared" si="31"/>
        <v>UNPAID</v>
      </c>
      <c r="L216" s="23">
        <f t="shared" si="34"/>
        <v>0</v>
      </c>
      <c r="M216" s="27">
        <f t="shared" si="40"/>
        <v>0</v>
      </c>
      <c r="N216" s="22">
        <f t="shared" si="32"/>
        <v>0</v>
      </c>
      <c r="O216" s="28">
        <f t="shared" si="41"/>
        <v>0</v>
      </c>
      <c r="T216" s="20"/>
    </row>
    <row r="217" spans="3:20" x14ac:dyDescent="0.35">
      <c r="C217" s="24" t="e">
        <f t="shared" si="33"/>
        <v>#VALUE!</v>
      </c>
      <c r="D217" s="25" t="str">
        <f t="shared" si="35"/>
        <v/>
      </c>
      <c r="E217" s="25">
        <f t="shared" si="36"/>
        <v>0</v>
      </c>
      <c r="F217" s="26">
        <f t="shared" si="37"/>
        <v>0</v>
      </c>
      <c r="G217" s="26">
        <f t="shared" si="38"/>
        <v>0</v>
      </c>
      <c r="H217" s="26">
        <f t="shared" si="38"/>
        <v>0</v>
      </c>
      <c r="I217" s="26">
        <f t="shared" si="38"/>
        <v>0</v>
      </c>
      <c r="J217" s="27" t="str">
        <f t="shared" si="39"/>
        <v>CO2REMOV</v>
      </c>
      <c r="K217" s="27" t="str">
        <f t="shared" si="31"/>
        <v>UNPAID</v>
      </c>
      <c r="L217" s="23">
        <f t="shared" si="34"/>
        <v>0</v>
      </c>
      <c r="M217" s="27">
        <f t="shared" si="40"/>
        <v>0</v>
      </c>
      <c r="N217" s="22">
        <f t="shared" si="32"/>
        <v>0</v>
      </c>
      <c r="O217" s="28">
        <f t="shared" si="41"/>
        <v>0</v>
      </c>
      <c r="T217" s="20"/>
    </row>
    <row r="218" spans="3:20" x14ac:dyDescent="0.35">
      <c r="C218" s="24" t="e">
        <f t="shared" si="33"/>
        <v>#VALUE!</v>
      </c>
      <c r="D218" s="25" t="str">
        <f t="shared" si="35"/>
        <v/>
      </c>
      <c r="E218" s="25">
        <f t="shared" si="36"/>
        <v>0</v>
      </c>
      <c r="F218" s="26">
        <f t="shared" si="37"/>
        <v>0</v>
      </c>
      <c r="G218" s="26">
        <f t="shared" si="38"/>
        <v>0</v>
      </c>
      <c r="H218" s="26">
        <f t="shared" si="38"/>
        <v>0</v>
      </c>
      <c r="I218" s="26">
        <f t="shared" si="38"/>
        <v>0</v>
      </c>
      <c r="J218" s="27" t="str">
        <f t="shared" si="39"/>
        <v>CO2REMOV</v>
      </c>
      <c r="K218" s="27" t="str">
        <f t="shared" si="31"/>
        <v>UNPAID</v>
      </c>
      <c r="L218" s="23">
        <f t="shared" si="34"/>
        <v>0</v>
      </c>
      <c r="M218" s="27">
        <f t="shared" si="40"/>
        <v>0</v>
      </c>
      <c r="N218" s="22">
        <f t="shared" si="32"/>
        <v>0</v>
      </c>
      <c r="O218" s="28">
        <f t="shared" si="41"/>
        <v>0</v>
      </c>
      <c r="T218" s="20"/>
    </row>
    <row r="219" spans="3:20" x14ac:dyDescent="0.35">
      <c r="C219" s="24" t="e">
        <f t="shared" si="33"/>
        <v>#VALUE!</v>
      </c>
      <c r="D219" s="25" t="str">
        <f t="shared" si="35"/>
        <v/>
      </c>
      <c r="E219" s="25">
        <f t="shared" si="36"/>
        <v>0</v>
      </c>
      <c r="F219" s="26">
        <f t="shared" si="37"/>
        <v>0</v>
      </c>
      <c r="G219" s="26">
        <f t="shared" si="38"/>
        <v>0</v>
      </c>
      <c r="H219" s="26">
        <f t="shared" si="38"/>
        <v>0</v>
      </c>
      <c r="I219" s="26">
        <f t="shared" si="38"/>
        <v>0</v>
      </c>
      <c r="J219" s="27" t="str">
        <f t="shared" si="39"/>
        <v>CO2REMOV</v>
      </c>
      <c r="K219" s="27" t="str">
        <f t="shared" si="31"/>
        <v>UNPAID</v>
      </c>
      <c r="L219" s="23">
        <f t="shared" si="34"/>
        <v>0</v>
      </c>
      <c r="M219" s="27">
        <f t="shared" si="40"/>
        <v>0</v>
      </c>
      <c r="N219" s="22">
        <f t="shared" si="32"/>
        <v>0</v>
      </c>
      <c r="O219" s="28">
        <f t="shared" si="41"/>
        <v>0</v>
      </c>
      <c r="T219" s="20"/>
    </row>
    <row r="220" spans="3:20" x14ac:dyDescent="0.35">
      <c r="C220" s="24" t="e">
        <f t="shared" si="33"/>
        <v>#VALUE!</v>
      </c>
      <c r="D220" s="25" t="str">
        <f t="shared" si="35"/>
        <v/>
      </c>
      <c r="E220" s="25">
        <f t="shared" si="36"/>
        <v>0</v>
      </c>
      <c r="F220" s="26">
        <f t="shared" si="37"/>
        <v>0</v>
      </c>
      <c r="G220" s="26">
        <f t="shared" si="38"/>
        <v>0</v>
      </c>
      <c r="H220" s="26">
        <f t="shared" si="38"/>
        <v>0</v>
      </c>
      <c r="I220" s="26">
        <f t="shared" si="38"/>
        <v>0</v>
      </c>
      <c r="J220" s="27" t="str">
        <f t="shared" si="39"/>
        <v>CO2REMOV</v>
      </c>
      <c r="K220" s="27" t="str">
        <f t="shared" ref="K220:K283" si="42">IF(H220=24,"PAID",IF(E220&gt;=$E$6,"PAID","UNPAID"))</f>
        <v>UNPAID</v>
      </c>
      <c r="L220" s="23">
        <f t="shared" si="34"/>
        <v>0</v>
      </c>
      <c r="M220" s="27">
        <f t="shared" si="40"/>
        <v>0</v>
      </c>
      <c r="N220" s="22">
        <f t="shared" si="32"/>
        <v>0</v>
      </c>
      <c r="O220" s="28">
        <f t="shared" si="41"/>
        <v>0</v>
      </c>
      <c r="T220" s="20"/>
    </row>
    <row r="221" spans="3:20" x14ac:dyDescent="0.35">
      <c r="C221" s="24" t="e">
        <f t="shared" si="33"/>
        <v>#VALUE!</v>
      </c>
      <c r="D221" s="25" t="str">
        <f t="shared" si="35"/>
        <v/>
      </c>
      <c r="E221" s="25">
        <f t="shared" si="36"/>
        <v>0</v>
      </c>
      <c r="F221" s="26">
        <f t="shared" si="37"/>
        <v>0</v>
      </c>
      <c r="G221" s="26">
        <f t="shared" si="38"/>
        <v>0</v>
      </c>
      <c r="H221" s="26">
        <f t="shared" si="38"/>
        <v>0</v>
      </c>
      <c r="I221" s="26">
        <f t="shared" si="38"/>
        <v>0</v>
      </c>
      <c r="J221" s="27" t="str">
        <f t="shared" si="39"/>
        <v>CO2REMOV</v>
      </c>
      <c r="K221" s="27" t="str">
        <f t="shared" si="42"/>
        <v>UNPAID</v>
      </c>
      <c r="L221" s="23">
        <f t="shared" si="34"/>
        <v>0</v>
      </c>
      <c r="M221" s="27">
        <f t="shared" si="40"/>
        <v>0</v>
      </c>
      <c r="N221" s="22">
        <f t="shared" ref="N221:N284" si="43">IF(K221="PAID",IF(H221=24,(0.25*$I$5),IF(((1+H221/G221)*M221/L221*$I$5)&gt;$I$5,$I$5,((1+H221/G221)*M221/L221*$I$5))),0)</f>
        <v>0</v>
      </c>
      <c r="O221" s="28">
        <f t="shared" si="41"/>
        <v>0</v>
      </c>
      <c r="T221" s="20"/>
    </row>
    <row r="222" spans="3:20" x14ac:dyDescent="0.35">
      <c r="C222" s="24" t="e">
        <f t="shared" si="33"/>
        <v>#VALUE!</v>
      </c>
      <c r="D222" s="25" t="str">
        <f t="shared" si="35"/>
        <v/>
      </c>
      <c r="E222" s="25">
        <f t="shared" si="36"/>
        <v>0</v>
      </c>
      <c r="F222" s="26">
        <f t="shared" si="37"/>
        <v>0</v>
      </c>
      <c r="G222" s="26">
        <f t="shared" si="38"/>
        <v>0</v>
      </c>
      <c r="H222" s="26">
        <f t="shared" si="38"/>
        <v>0</v>
      </c>
      <c r="I222" s="26">
        <f t="shared" si="38"/>
        <v>0</v>
      </c>
      <c r="J222" s="27" t="str">
        <f t="shared" si="39"/>
        <v>CO2REMOV</v>
      </c>
      <c r="K222" s="27" t="str">
        <f t="shared" si="42"/>
        <v>UNPAID</v>
      </c>
      <c r="L222" s="23">
        <f t="shared" si="34"/>
        <v>0</v>
      </c>
      <c r="M222" s="27">
        <f t="shared" si="40"/>
        <v>0</v>
      </c>
      <c r="N222" s="22">
        <f t="shared" si="43"/>
        <v>0</v>
      </c>
      <c r="O222" s="28">
        <f t="shared" si="41"/>
        <v>0</v>
      </c>
      <c r="T222" s="20"/>
    </row>
    <row r="223" spans="3:20" x14ac:dyDescent="0.35">
      <c r="C223" s="24" t="e">
        <f t="shared" si="33"/>
        <v>#VALUE!</v>
      </c>
      <c r="D223" s="25" t="str">
        <f t="shared" si="35"/>
        <v/>
      </c>
      <c r="E223" s="25">
        <f t="shared" si="36"/>
        <v>0</v>
      </c>
      <c r="F223" s="26">
        <f t="shared" si="37"/>
        <v>0</v>
      </c>
      <c r="G223" s="26">
        <f t="shared" si="38"/>
        <v>0</v>
      </c>
      <c r="H223" s="26">
        <f t="shared" si="38"/>
        <v>0</v>
      </c>
      <c r="I223" s="26">
        <f t="shared" si="38"/>
        <v>0</v>
      </c>
      <c r="J223" s="27" t="str">
        <f t="shared" si="39"/>
        <v>CO2REMOV</v>
      </c>
      <c r="K223" s="27" t="str">
        <f t="shared" si="42"/>
        <v>UNPAID</v>
      </c>
      <c r="L223" s="23">
        <f t="shared" si="34"/>
        <v>0</v>
      </c>
      <c r="M223" s="27">
        <f t="shared" si="40"/>
        <v>0</v>
      </c>
      <c r="N223" s="22">
        <f t="shared" si="43"/>
        <v>0</v>
      </c>
      <c r="O223" s="28">
        <f t="shared" si="41"/>
        <v>0</v>
      </c>
      <c r="T223" s="20"/>
    </row>
    <row r="224" spans="3:20" x14ac:dyDescent="0.35">
      <c r="C224" s="24" t="e">
        <f t="shared" si="33"/>
        <v>#VALUE!</v>
      </c>
      <c r="D224" s="25" t="str">
        <f t="shared" si="35"/>
        <v/>
      </c>
      <c r="E224" s="25">
        <f t="shared" si="36"/>
        <v>0</v>
      </c>
      <c r="F224" s="26">
        <f t="shared" si="37"/>
        <v>0</v>
      </c>
      <c r="G224" s="26">
        <f t="shared" si="38"/>
        <v>0</v>
      </c>
      <c r="H224" s="26">
        <f t="shared" si="38"/>
        <v>0</v>
      </c>
      <c r="I224" s="26">
        <f t="shared" si="38"/>
        <v>0</v>
      </c>
      <c r="J224" s="27" t="str">
        <f t="shared" si="39"/>
        <v>CO2REMOV</v>
      </c>
      <c r="K224" s="27" t="str">
        <f t="shared" si="42"/>
        <v>UNPAID</v>
      </c>
      <c r="L224" s="23">
        <f t="shared" si="34"/>
        <v>0</v>
      </c>
      <c r="M224" s="27">
        <f t="shared" si="40"/>
        <v>0</v>
      </c>
      <c r="N224" s="22">
        <f t="shared" si="43"/>
        <v>0</v>
      </c>
      <c r="O224" s="28">
        <f t="shared" si="41"/>
        <v>0</v>
      </c>
      <c r="T224" s="20"/>
    </row>
    <row r="225" spans="3:20" x14ac:dyDescent="0.35">
      <c r="C225" s="24" t="e">
        <f t="shared" si="33"/>
        <v>#VALUE!</v>
      </c>
      <c r="D225" s="25" t="str">
        <f t="shared" si="35"/>
        <v/>
      </c>
      <c r="E225" s="25">
        <f t="shared" si="36"/>
        <v>0</v>
      </c>
      <c r="F225" s="26">
        <f t="shared" si="37"/>
        <v>0</v>
      </c>
      <c r="G225" s="26">
        <f t="shared" si="38"/>
        <v>0</v>
      </c>
      <c r="H225" s="26">
        <f t="shared" si="38"/>
        <v>0</v>
      </c>
      <c r="I225" s="26">
        <f t="shared" si="38"/>
        <v>0</v>
      </c>
      <c r="J225" s="27" t="str">
        <f t="shared" si="39"/>
        <v>CO2REMOV</v>
      </c>
      <c r="K225" s="27" t="str">
        <f t="shared" si="42"/>
        <v>UNPAID</v>
      </c>
      <c r="L225" s="23">
        <f t="shared" si="34"/>
        <v>0</v>
      </c>
      <c r="M225" s="27">
        <f t="shared" si="40"/>
        <v>0</v>
      </c>
      <c r="N225" s="22">
        <f t="shared" si="43"/>
        <v>0</v>
      </c>
      <c r="O225" s="28">
        <f t="shared" si="41"/>
        <v>0</v>
      </c>
      <c r="T225" s="20"/>
    </row>
    <row r="226" spans="3:20" x14ac:dyDescent="0.35">
      <c r="C226" s="24" t="e">
        <f t="shared" si="33"/>
        <v>#VALUE!</v>
      </c>
      <c r="D226" s="25" t="str">
        <f t="shared" si="35"/>
        <v/>
      </c>
      <c r="E226" s="25">
        <f t="shared" si="36"/>
        <v>0</v>
      </c>
      <c r="F226" s="26">
        <f t="shared" si="37"/>
        <v>0</v>
      </c>
      <c r="G226" s="26">
        <f t="shared" si="38"/>
        <v>0</v>
      </c>
      <c r="H226" s="26">
        <f t="shared" si="38"/>
        <v>0</v>
      </c>
      <c r="I226" s="26">
        <f t="shared" si="38"/>
        <v>0</v>
      </c>
      <c r="J226" s="27" t="str">
        <f t="shared" si="39"/>
        <v>CO2REMOV</v>
      </c>
      <c r="K226" s="27" t="str">
        <f t="shared" si="42"/>
        <v>UNPAID</v>
      </c>
      <c r="L226" s="23">
        <f t="shared" si="34"/>
        <v>0</v>
      </c>
      <c r="M226" s="27">
        <f t="shared" si="40"/>
        <v>0</v>
      </c>
      <c r="N226" s="22">
        <f t="shared" si="43"/>
        <v>0</v>
      </c>
      <c r="O226" s="28">
        <f t="shared" si="41"/>
        <v>0</v>
      </c>
      <c r="T226" s="20"/>
    </row>
    <row r="227" spans="3:20" x14ac:dyDescent="0.35">
      <c r="C227" s="24" t="e">
        <f t="shared" si="33"/>
        <v>#VALUE!</v>
      </c>
      <c r="D227" s="25" t="str">
        <f t="shared" si="35"/>
        <v/>
      </c>
      <c r="E227" s="25">
        <f t="shared" si="36"/>
        <v>0</v>
      </c>
      <c r="F227" s="26">
        <f t="shared" si="37"/>
        <v>0</v>
      </c>
      <c r="G227" s="26">
        <f t="shared" si="38"/>
        <v>0</v>
      </c>
      <c r="H227" s="26">
        <f t="shared" si="38"/>
        <v>0</v>
      </c>
      <c r="I227" s="26">
        <f t="shared" si="38"/>
        <v>0</v>
      </c>
      <c r="J227" s="27" t="str">
        <f t="shared" si="39"/>
        <v>CO2REMOV</v>
      </c>
      <c r="K227" s="27" t="str">
        <f t="shared" si="42"/>
        <v>UNPAID</v>
      </c>
      <c r="L227" s="23">
        <f t="shared" si="34"/>
        <v>0</v>
      </c>
      <c r="M227" s="27">
        <f t="shared" si="40"/>
        <v>0</v>
      </c>
      <c r="N227" s="22">
        <f t="shared" si="43"/>
        <v>0</v>
      </c>
      <c r="O227" s="28">
        <f t="shared" si="41"/>
        <v>0</v>
      </c>
      <c r="T227" s="20"/>
    </row>
    <row r="228" spans="3:20" x14ac:dyDescent="0.35">
      <c r="C228" s="24" t="e">
        <f t="shared" si="33"/>
        <v>#VALUE!</v>
      </c>
      <c r="D228" s="25" t="str">
        <f t="shared" si="35"/>
        <v/>
      </c>
      <c r="E228" s="25">
        <f t="shared" si="36"/>
        <v>0</v>
      </c>
      <c r="F228" s="26">
        <f t="shared" si="37"/>
        <v>0</v>
      </c>
      <c r="G228" s="26">
        <f t="shared" si="38"/>
        <v>0</v>
      </c>
      <c r="H228" s="26">
        <f t="shared" si="38"/>
        <v>0</v>
      </c>
      <c r="I228" s="26">
        <f t="shared" si="38"/>
        <v>0</v>
      </c>
      <c r="J228" s="27" t="str">
        <f t="shared" si="39"/>
        <v>CO2REMOV</v>
      </c>
      <c r="K228" s="27" t="str">
        <f t="shared" si="42"/>
        <v>UNPAID</v>
      </c>
      <c r="L228" s="23">
        <f t="shared" si="34"/>
        <v>0</v>
      </c>
      <c r="M228" s="27">
        <f t="shared" si="40"/>
        <v>0</v>
      </c>
      <c r="N228" s="22">
        <f t="shared" si="43"/>
        <v>0</v>
      </c>
      <c r="O228" s="28">
        <f t="shared" si="41"/>
        <v>0</v>
      </c>
      <c r="T228" s="20"/>
    </row>
    <row r="229" spans="3:20" x14ac:dyDescent="0.35">
      <c r="C229" s="24" t="e">
        <f t="shared" si="33"/>
        <v>#VALUE!</v>
      </c>
      <c r="D229" s="25" t="str">
        <f t="shared" si="35"/>
        <v/>
      </c>
      <c r="E229" s="25">
        <f t="shared" si="36"/>
        <v>0</v>
      </c>
      <c r="F229" s="26">
        <f t="shared" si="37"/>
        <v>0</v>
      </c>
      <c r="G229" s="26">
        <f t="shared" si="38"/>
        <v>0</v>
      </c>
      <c r="H229" s="26">
        <f t="shared" si="38"/>
        <v>0</v>
      </c>
      <c r="I229" s="26">
        <f t="shared" si="38"/>
        <v>0</v>
      </c>
      <c r="J229" s="27" t="str">
        <f t="shared" si="39"/>
        <v>CO2REMOV</v>
      </c>
      <c r="K229" s="27" t="str">
        <f t="shared" si="42"/>
        <v>UNPAID</v>
      </c>
      <c r="L229" s="23">
        <f t="shared" si="34"/>
        <v>0</v>
      </c>
      <c r="M229" s="27">
        <f t="shared" si="40"/>
        <v>0</v>
      </c>
      <c r="N229" s="22">
        <f t="shared" si="43"/>
        <v>0</v>
      </c>
      <c r="O229" s="28">
        <f t="shared" si="41"/>
        <v>0</v>
      </c>
      <c r="T229" s="20"/>
    </row>
    <row r="230" spans="3:20" x14ac:dyDescent="0.35">
      <c r="C230" s="24" t="e">
        <f t="shared" si="33"/>
        <v>#VALUE!</v>
      </c>
      <c r="D230" s="25" t="str">
        <f t="shared" si="35"/>
        <v/>
      </c>
      <c r="E230" s="25">
        <f t="shared" si="36"/>
        <v>0</v>
      </c>
      <c r="F230" s="26">
        <f t="shared" si="37"/>
        <v>0</v>
      </c>
      <c r="G230" s="26">
        <f t="shared" si="38"/>
        <v>0</v>
      </c>
      <c r="H230" s="26">
        <f t="shared" si="38"/>
        <v>0</v>
      </c>
      <c r="I230" s="26">
        <f t="shared" si="38"/>
        <v>0</v>
      </c>
      <c r="J230" s="27" t="str">
        <f t="shared" si="39"/>
        <v>CO2REMOV</v>
      </c>
      <c r="K230" s="27" t="str">
        <f t="shared" si="42"/>
        <v>UNPAID</v>
      </c>
      <c r="L230" s="23">
        <f t="shared" si="34"/>
        <v>0</v>
      </c>
      <c r="M230" s="27">
        <f t="shared" si="40"/>
        <v>0</v>
      </c>
      <c r="N230" s="22">
        <f t="shared" si="43"/>
        <v>0</v>
      </c>
      <c r="O230" s="28">
        <f t="shared" si="41"/>
        <v>0</v>
      </c>
      <c r="T230" s="20"/>
    </row>
    <row r="231" spans="3:20" x14ac:dyDescent="0.35">
      <c r="C231" s="24" t="s">
        <v>54</v>
      </c>
      <c r="D231" s="25"/>
      <c r="E231" s="25"/>
      <c r="F231" s="26"/>
      <c r="G231" s="26"/>
      <c r="H231" s="26"/>
      <c r="I231" s="26"/>
      <c r="J231" s="27"/>
      <c r="K231" s="27" t="str">
        <f t="shared" si="42"/>
        <v>UNPAID</v>
      </c>
      <c r="L231" s="23">
        <f t="shared" si="34"/>
        <v>0</v>
      </c>
      <c r="M231" s="27"/>
      <c r="N231" s="22">
        <f t="shared" si="43"/>
        <v>0</v>
      </c>
      <c r="O231" s="28"/>
      <c r="T231" s="20"/>
    </row>
    <row r="232" spans="3:20" x14ac:dyDescent="0.35">
      <c r="C232" s="24" t="e">
        <f>C230+1</f>
        <v>#VALUE!</v>
      </c>
      <c r="D232" s="25" t="str">
        <f t="shared" si="35"/>
        <v/>
      </c>
      <c r="E232" s="25">
        <f t="shared" si="36"/>
        <v>0</v>
      </c>
      <c r="F232" s="26">
        <f t="shared" si="37"/>
        <v>0</v>
      </c>
      <c r="G232" s="26">
        <f t="shared" si="38"/>
        <v>0</v>
      </c>
      <c r="H232" s="26">
        <f t="shared" si="38"/>
        <v>0</v>
      </c>
      <c r="I232" s="26">
        <f t="shared" si="38"/>
        <v>0</v>
      </c>
      <c r="J232" s="27" t="str">
        <f t="shared" si="39"/>
        <v>CO2REMOV</v>
      </c>
      <c r="K232" s="27" t="str">
        <f t="shared" si="42"/>
        <v>UNPAID</v>
      </c>
      <c r="L232" s="23">
        <f t="shared" si="34"/>
        <v>0</v>
      </c>
      <c r="M232" s="27">
        <f t="shared" si="40"/>
        <v>0</v>
      </c>
      <c r="N232" s="22">
        <f t="shared" si="43"/>
        <v>0</v>
      </c>
      <c r="O232" s="28">
        <f t="shared" si="41"/>
        <v>0</v>
      </c>
      <c r="T232" s="20"/>
    </row>
    <row r="233" spans="3:20" x14ac:dyDescent="0.35">
      <c r="C233" s="24" t="e">
        <f t="shared" si="33"/>
        <v>#VALUE!</v>
      </c>
      <c r="D233" s="25" t="str">
        <f t="shared" si="35"/>
        <v/>
      </c>
      <c r="E233" s="25">
        <f t="shared" si="36"/>
        <v>0</v>
      </c>
      <c r="F233" s="26">
        <f t="shared" si="37"/>
        <v>0</v>
      </c>
      <c r="G233" s="26">
        <f t="shared" si="38"/>
        <v>0</v>
      </c>
      <c r="H233" s="26">
        <f t="shared" si="38"/>
        <v>0</v>
      </c>
      <c r="I233" s="26">
        <f t="shared" si="38"/>
        <v>0</v>
      </c>
      <c r="J233" s="27" t="str">
        <f t="shared" si="39"/>
        <v>CO2REMOV</v>
      </c>
      <c r="K233" s="27" t="str">
        <f t="shared" si="42"/>
        <v>UNPAID</v>
      </c>
      <c r="L233" s="23">
        <f t="shared" si="34"/>
        <v>0</v>
      </c>
      <c r="M233" s="27">
        <f t="shared" si="40"/>
        <v>0</v>
      </c>
      <c r="N233" s="22">
        <f t="shared" si="43"/>
        <v>0</v>
      </c>
      <c r="O233" s="28">
        <f t="shared" si="41"/>
        <v>0</v>
      </c>
      <c r="T233" s="20"/>
    </row>
    <row r="234" spans="3:20" x14ac:dyDescent="0.35">
      <c r="C234" s="24" t="e">
        <f t="shared" si="33"/>
        <v>#VALUE!</v>
      </c>
      <c r="D234" s="25" t="str">
        <f t="shared" si="35"/>
        <v/>
      </c>
      <c r="E234" s="25">
        <f t="shared" si="36"/>
        <v>0</v>
      </c>
      <c r="F234" s="26">
        <f t="shared" si="37"/>
        <v>0</v>
      </c>
      <c r="G234" s="26">
        <f t="shared" si="38"/>
        <v>0</v>
      </c>
      <c r="H234" s="26">
        <f t="shared" si="38"/>
        <v>0</v>
      </c>
      <c r="I234" s="26">
        <f t="shared" si="38"/>
        <v>0</v>
      </c>
      <c r="J234" s="27" t="str">
        <f t="shared" si="39"/>
        <v>CO2REMOV</v>
      </c>
      <c r="K234" s="27" t="str">
        <f t="shared" si="42"/>
        <v>UNPAID</v>
      </c>
      <c r="L234" s="23">
        <f t="shared" si="34"/>
        <v>0</v>
      </c>
      <c r="M234" s="27">
        <f t="shared" si="40"/>
        <v>0</v>
      </c>
      <c r="N234" s="22">
        <f t="shared" si="43"/>
        <v>0</v>
      </c>
      <c r="O234" s="28">
        <f t="shared" si="41"/>
        <v>0</v>
      </c>
      <c r="T234" s="20"/>
    </row>
    <row r="235" spans="3:20" x14ac:dyDescent="0.35">
      <c r="C235" s="24" t="e">
        <f t="shared" si="33"/>
        <v>#VALUE!</v>
      </c>
      <c r="D235" s="25" t="str">
        <f t="shared" si="35"/>
        <v/>
      </c>
      <c r="E235" s="25">
        <f t="shared" si="36"/>
        <v>0</v>
      </c>
      <c r="F235" s="26">
        <f t="shared" si="37"/>
        <v>0</v>
      </c>
      <c r="G235" s="26">
        <f t="shared" si="38"/>
        <v>0</v>
      </c>
      <c r="H235" s="26">
        <f t="shared" si="38"/>
        <v>0</v>
      </c>
      <c r="I235" s="26">
        <f t="shared" si="38"/>
        <v>0</v>
      </c>
      <c r="J235" s="27" t="str">
        <f t="shared" si="39"/>
        <v>CO2REMOV</v>
      </c>
      <c r="K235" s="27" t="str">
        <f t="shared" si="42"/>
        <v>UNPAID</v>
      </c>
      <c r="L235" s="23">
        <f t="shared" si="34"/>
        <v>0</v>
      </c>
      <c r="M235" s="27">
        <f t="shared" si="40"/>
        <v>0</v>
      </c>
      <c r="N235" s="22">
        <f t="shared" si="43"/>
        <v>0</v>
      </c>
      <c r="O235" s="28">
        <f t="shared" si="41"/>
        <v>0</v>
      </c>
      <c r="T235" s="20"/>
    </row>
    <row r="236" spans="3:20" x14ac:dyDescent="0.35">
      <c r="C236" s="24" t="e">
        <f t="shared" si="33"/>
        <v>#VALUE!</v>
      </c>
      <c r="D236" s="25" t="str">
        <f t="shared" si="35"/>
        <v/>
      </c>
      <c r="E236" s="25">
        <f t="shared" si="36"/>
        <v>0</v>
      </c>
      <c r="F236" s="26">
        <f t="shared" si="37"/>
        <v>0</v>
      </c>
      <c r="G236" s="26">
        <f t="shared" si="38"/>
        <v>0</v>
      </c>
      <c r="H236" s="26">
        <f t="shared" si="38"/>
        <v>0</v>
      </c>
      <c r="I236" s="26">
        <f t="shared" si="38"/>
        <v>0</v>
      </c>
      <c r="J236" s="27" t="str">
        <f t="shared" si="39"/>
        <v>CO2REMOV</v>
      </c>
      <c r="K236" s="27" t="str">
        <f t="shared" si="42"/>
        <v>UNPAID</v>
      </c>
      <c r="L236" s="23">
        <f t="shared" si="34"/>
        <v>0</v>
      </c>
      <c r="M236" s="27">
        <f t="shared" si="40"/>
        <v>0</v>
      </c>
      <c r="N236" s="22">
        <f t="shared" si="43"/>
        <v>0</v>
      </c>
      <c r="O236" s="28">
        <f t="shared" si="41"/>
        <v>0</v>
      </c>
      <c r="T236" s="20"/>
    </row>
    <row r="237" spans="3:20" x14ac:dyDescent="0.35">
      <c r="C237" s="24" t="e">
        <f t="shared" si="33"/>
        <v>#VALUE!</v>
      </c>
      <c r="D237" s="25" t="str">
        <f t="shared" si="35"/>
        <v/>
      </c>
      <c r="E237" s="25">
        <f t="shared" si="36"/>
        <v>0</v>
      </c>
      <c r="F237" s="26">
        <f t="shared" si="37"/>
        <v>0</v>
      </c>
      <c r="G237" s="26">
        <f t="shared" si="38"/>
        <v>0</v>
      </c>
      <c r="H237" s="26">
        <f t="shared" si="38"/>
        <v>0</v>
      </c>
      <c r="I237" s="26">
        <f t="shared" si="38"/>
        <v>0</v>
      </c>
      <c r="J237" s="27" t="str">
        <f t="shared" si="39"/>
        <v>CO2REMOV</v>
      </c>
      <c r="K237" s="27" t="str">
        <f t="shared" si="42"/>
        <v>UNPAID</v>
      </c>
      <c r="L237" s="23">
        <f t="shared" si="34"/>
        <v>0</v>
      </c>
      <c r="M237" s="27">
        <f t="shared" si="40"/>
        <v>0</v>
      </c>
      <c r="N237" s="22">
        <f t="shared" si="43"/>
        <v>0</v>
      </c>
      <c r="O237" s="28">
        <f t="shared" si="41"/>
        <v>0</v>
      </c>
      <c r="T237" s="20"/>
    </row>
    <row r="238" spans="3:20" x14ac:dyDescent="0.35">
      <c r="C238" s="24" t="e">
        <f t="shared" si="33"/>
        <v>#VALUE!</v>
      </c>
      <c r="D238" s="25" t="str">
        <f t="shared" si="35"/>
        <v/>
      </c>
      <c r="E238" s="25">
        <f t="shared" si="36"/>
        <v>0</v>
      </c>
      <c r="F238" s="26">
        <f t="shared" si="37"/>
        <v>0</v>
      </c>
      <c r="G238" s="26">
        <f t="shared" si="38"/>
        <v>0</v>
      </c>
      <c r="H238" s="26">
        <f t="shared" si="38"/>
        <v>0</v>
      </c>
      <c r="I238" s="26">
        <f t="shared" si="38"/>
        <v>0</v>
      </c>
      <c r="J238" s="27" t="str">
        <f t="shared" si="39"/>
        <v>CO2REMOV</v>
      </c>
      <c r="K238" s="27" t="str">
        <f t="shared" si="42"/>
        <v>UNPAID</v>
      </c>
      <c r="L238" s="23">
        <f t="shared" si="34"/>
        <v>0</v>
      </c>
      <c r="M238" s="27">
        <f t="shared" si="40"/>
        <v>0</v>
      </c>
      <c r="N238" s="22">
        <f t="shared" si="43"/>
        <v>0</v>
      </c>
      <c r="O238" s="28">
        <f t="shared" si="41"/>
        <v>0</v>
      </c>
      <c r="T238" s="20"/>
    </row>
    <row r="239" spans="3:20" x14ac:dyDescent="0.35">
      <c r="C239" s="24" t="e">
        <f t="shared" si="33"/>
        <v>#VALUE!</v>
      </c>
      <c r="D239" s="25" t="str">
        <f t="shared" si="35"/>
        <v/>
      </c>
      <c r="E239" s="25">
        <f t="shared" si="36"/>
        <v>0</v>
      </c>
      <c r="F239" s="26">
        <f t="shared" si="37"/>
        <v>0</v>
      </c>
      <c r="G239" s="26">
        <f t="shared" si="38"/>
        <v>0</v>
      </c>
      <c r="H239" s="26">
        <f t="shared" si="38"/>
        <v>0</v>
      </c>
      <c r="I239" s="26">
        <f t="shared" si="38"/>
        <v>0</v>
      </c>
      <c r="J239" s="27" t="str">
        <f t="shared" si="39"/>
        <v>CO2REMOV</v>
      </c>
      <c r="K239" s="27" t="str">
        <f t="shared" si="42"/>
        <v>UNPAID</v>
      </c>
      <c r="L239" s="23">
        <f t="shared" si="34"/>
        <v>0</v>
      </c>
      <c r="M239" s="27">
        <f t="shared" si="40"/>
        <v>0</v>
      </c>
      <c r="N239" s="22">
        <f t="shared" si="43"/>
        <v>0</v>
      </c>
      <c r="O239" s="28">
        <f t="shared" si="41"/>
        <v>0</v>
      </c>
      <c r="T239" s="20"/>
    </row>
    <row r="240" spans="3:20" x14ac:dyDescent="0.35">
      <c r="C240" s="24" t="e">
        <f t="shared" si="33"/>
        <v>#VALUE!</v>
      </c>
      <c r="D240" s="25" t="str">
        <f t="shared" si="35"/>
        <v/>
      </c>
      <c r="E240" s="25">
        <f t="shared" si="36"/>
        <v>0</v>
      </c>
      <c r="F240" s="26">
        <f t="shared" si="37"/>
        <v>0</v>
      </c>
      <c r="G240" s="26">
        <f t="shared" si="38"/>
        <v>0</v>
      </c>
      <c r="H240" s="26">
        <f t="shared" si="38"/>
        <v>0</v>
      </c>
      <c r="I240" s="26">
        <f t="shared" si="38"/>
        <v>0</v>
      </c>
      <c r="J240" s="27" t="str">
        <f t="shared" si="39"/>
        <v>CO2REMOV</v>
      </c>
      <c r="K240" s="27" t="str">
        <f t="shared" si="42"/>
        <v>UNPAID</v>
      </c>
      <c r="L240" s="23">
        <f t="shared" si="34"/>
        <v>0</v>
      </c>
      <c r="M240" s="27">
        <f t="shared" si="40"/>
        <v>0</v>
      </c>
      <c r="N240" s="22">
        <f t="shared" si="43"/>
        <v>0</v>
      </c>
      <c r="O240" s="28">
        <f t="shared" si="41"/>
        <v>0</v>
      </c>
      <c r="T240" s="20"/>
    </row>
    <row r="241" spans="3:20" x14ac:dyDescent="0.35">
      <c r="C241" s="24" t="e">
        <f t="shared" si="33"/>
        <v>#VALUE!</v>
      </c>
      <c r="D241" s="25" t="str">
        <f t="shared" si="35"/>
        <v/>
      </c>
      <c r="E241" s="25">
        <f t="shared" si="36"/>
        <v>0</v>
      </c>
      <c r="F241" s="26">
        <f t="shared" si="37"/>
        <v>0</v>
      </c>
      <c r="G241" s="26">
        <f t="shared" si="38"/>
        <v>0</v>
      </c>
      <c r="H241" s="26">
        <f t="shared" si="38"/>
        <v>0</v>
      </c>
      <c r="I241" s="26">
        <f t="shared" si="38"/>
        <v>0</v>
      </c>
      <c r="J241" s="27" t="str">
        <f t="shared" si="39"/>
        <v>CO2REMOV</v>
      </c>
      <c r="K241" s="27" t="str">
        <f t="shared" si="42"/>
        <v>UNPAID</v>
      </c>
      <c r="L241" s="23">
        <f t="shared" si="34"/>
        <v>0</v>
      </c>
      <c r="M241" s="27">
        <f t="shared" si="40"/>
        <v>0</v>
      </c>
      <c r="N241" s="22">
        <f t="shared" si="43"/>
        <v>0</v>
      </c>
      <c r="O241" s="28">
        <f t="shared" si="41"/>
        <v>0</v>
      </c>
      <c r="T241" s="20"/>
    </row>
    <row r="242" spans="3:20" x14ac:dyDescent="0.35">
      <c r="C242" s="24" t="e">
        <f t="shared" si="33"/>
        <v>#VALUE!</v>
      </c>
      <c r="D242" s="25" t="str">
        <f t="shared" si="35"/>
        <v/>
      </c>
      <c r="E242" s="25">
        <f t="shared" si="36"/>
        <v>0</v>
      </c>
      <c r="F242" s="26">
        <f t="shared" si="37"/>
        <v>0</v>
      </c>
      <c r="G242" s="26">
        <f t="shared" si="38"/>
        <v>0</v>
      </c>
      <c r="H242" s="26">
        <f t="shared" si="38"/>
        <v>0</v>
      </c>
      <c r="I242" s="26">
        <f t="shared" si="38"/>
        <v>0</v>
      </c>
      <c r="J242" s="27" t="str">
        <f t="shared" si="39"/>
        <v>CO2REMOV</v>
      </c>
      <c r="K242" s="27" t="str">
        <f t="shared" si="42"/>
        <v>UNPAID</v>
      </c>
      <c r="L242" s="23">
        <f t="shared" si="34"/>
        <v>0</v>
      </c>
      <c r="M242" s="27">
        <f t="shared" si="40"/>
        <v>0</v>
      </c>
      <c r="N242" s="22">
        <f t="shared" si="43"/>
        <v>0</v>
      </c>
      <c r="O242" s="28">
        <f t="shared" si="41"/>
        <v>0</v>
      </c>
      <c r="T242" s="20"/>
    </row>
    <row r="243" spans="3:20" x14ac:dyDescent="0.35">
      <c r="C243" s="24" t="e">
        <f t="shared" si="33"/>
        <v>#VALUE!</v>
      </c>
      <c r="D243" s="25" t="str">
        <f t="shared" si="35"/>
        <v/>
      </c>
      <c r="E243" s="25">
        <f t="shared" si="36"/>
        <v>0</v>
      </c>
      <c r="F243" s="26">
        <f t="shared" si="37"/>
        <v>0</v>
      </c>
      <c r="G243" s="26">
        <f t="shared" si="38"/>
        <v>0</v>
      </c>
      <c r="H243" s="26">
        <f t="shared" si="38"/>
        <v>0</v>
      </c>
      <c r="I243" s="26">
        <f t="shared" si="38"/>
        <v>0</v>
      </c>
      <c r="J243" s="27" t="str">
        <f t="shared" si="39"/>
        <v>CO2REMOV</v>
      </c>
      <c r="K243" s="27" t="str">
        <f t="shared" si="42"/>
        <v>UNPAID</v>
      </c>
      <c r="L243" s="23">
        <f t="shared" si="34"/>
        <v>0</v>
      </c>
      <c r="M243" s="27">
        <f t="shared" si="40"/>
        <v>0</v>
      </c>
      <c r="N243" s="22">
        <f t="shared" si="43"/>
        <v>0</v>
      </c>
      <c r="O243" s="28">
        <f t="shared" si="41"/>
        <v>0</v>
      </c>
      <c r="T243" s="20"/>
    </row>
    <row r="244" spans="3:20" x14ac:dyDescent="0.35">
      <c r="C244" s="24" t="e">
        <f t="shared" si="33"/>
        <v>#VALUE!</v>
      </c>
      <c r="D244" s="25" t="str">
        <f t="shared" si="35"/>
        <v/>
      </c>
      <c r="E244" s="25">
        <f t="shared" si="36"/>
        <v>0</v>
      </c>
      <c r="F244" s="26">
        <f t="shared" si="37"/>
        <v>0</v>
      </c>
      <c r="G244" s="26">
        <f t="shared" si="38"/>
        <v>0</v>
      </c>
      <c r="H244" s="26">
        <f t="shared" si="38"/>
        <v>0</v>
      </c>
      <c r="I244" s="26">
        <f t="shared" si="38"/>
        <v>0</v>
      </c>
      <c r="J244" s="27" t="str">
        <f t="shared" si="39"/>
        <v>CO2REMOV</v>
      </c>
      <c r="K244" s="27" t="str">
        <f t="shared" si="42"/>
        <v>UNPAID</v>
      </c>
      <c r="L244" s="23">
        <f t="shared" si="34"/>
        <v>0</v>
      </c>
      <c r="M244" s="27">
        <f t="shared" si="40"/>
        <v>0</v>
      </c>
      <c r="N244" s="22">
        <f t="shared" si="43"/>
        <v>0</v>
      </c>
      <c r="O244" s="28">
        <f t="shared" si="41"/>
        <v>0</v>
      </c>
      <c r="T244" s="20"/>
    </row>
    <row r="245" spans="3:20" x14ac:dyDescent="0.35">
      <c r="C245" s="24" t="e">
        <f t="shared" si="33"/>
        <v>#VALUE!</v>
      </c>
      <c r="D245" s="25" t="str">
        <f t="shared" si="35"/>
        <v/>
      </c>
      <c r="E245" s="25">
        <f t="shared" si="36"/>
        <v>0</v>
      </c>
      <c r="F245" s="26">
        <f t="shared" si="37"/>
        <v>0</v>
      </c>
      <c r="G245" s="26">
        <f t="shared" si="38"/>
        <v>0</v>
      </c>
      <c r="H245" s="26">
        <f t="shared" si="38"/>
        <v>0</v>
      </c>
      <c r="I245" s="26">
        <f t="shared" si="38"/>
        <v>0</v>
      </c>
      <c r="J245" s="27" t="str">
        <f t="shared" si="39"/>
        <v>CO2REMOV</v>
      </c>
      <c r="K245" s="27" t="str">
        <f t="shared" si="42"/>
        <v>UNPAID</v>
      </c>
      <c r="L245" s="23">
        <f t="shared" si="34"/>
        <v>0</v>
      </c>
      <c r="M245" s="27">
        <f t="shared" si="40"/>
        <v>0</v>
      </c>
      <c r="N245" s="22">
        <f t="shared" si="43"/>
        <v>0</v>
      </c>
      <c r="O245" s="28">
        <f t="shared" si="41"/>
        <v>0</v>
      </c>
      <c r="T245" s="20"/>
    </row>
    <row r="246" spans="3:20" x14ac:dyDescent="0.35">
      <c r="C246" s="24" t="e">
        <f t="shared" si="33"/>
        <v>#VALUE!</v>
      </c>
      <c r="D246" s="25" t="str">
        <f t="shared" si="35"/>
        <v/>
      </c>
      <c r="E246" s="25">
        <f t="shared" si="36"/>
        <v>0</v>
      </c>
      <c r="F246" s="26">
        <f t="shared" si="37"/>
        <v>0</v>
      </c>
      <c r="G246" s="26">
        <f t="shared" si="38"/>
        <v>0</v>
      </c>
      <c r="H246" s="26">
        <f t="shared" si="38"/>
        <v>0</v>
      </c>
      <c r="I246" s="26">
        <f t="shared" si="38"/>
        <v>0</v>
      </c>
      <c r="J246" s="27" t="str">
        <f t="shared" si="39"/>
        <v>CO2REMOV</v>
      </c>
      <c r="K246" s="27" t="str">
        <f t="shared" si="42"/>
        <v>UNPAID</v>
      </c>
      <c r="L246" s="23">
        <f t="shared" si="34"/>
        <v>0</v>
      </c>
      <c r="M246" s="27">
        <f t="shared" si="40"/>
        <v>0</v>
      </c>
      <c r="N246" s="22">
        <f t="shared" si="43"/>
        <v>0</v>
      </c>
      <c r="O246" s="28">
        <f t="shared" si="41"/>
        <v>0</v>
      </c>
      <c r="T246" s="20"/>
    </row>
    <row r="247" spans="3:20" x14ac:dyDescent="0.35">
      <c r="C247" s="24" t="e">
        <f t="shared" si="33"/>
        <v>#VALUE!</v>
      </c>
      <c r="D247" s="25" t="str">
        <f t="shared" si="35"/>
        <v/>
      </c>
      <c r="E247" s="25">
        <f t="shared" si="36"/>
        <v>0</v>
      </c>
      <c r="F247" s="26">
        <f t="shared" si="37"/>
        <v>0</v>
      </c>
      <c r="G247" s="26">
        <f t="shared" si="38"/>
        <v>0</v>
      </c>
      <c r="H247" s="26">
        <f t="shared" si="38"/>
        <v>0</v>
      </c>
      <c r="I247" s="26">
        <f t="shared" si="38"/>
        <v>0</v>
      </c>
      <c r="J247" s="27" t="str">
        <f t="shared" si="39"/>
        <v>CO2REMOV</v>
      </c>
      <c r="K247" s="27" t="str">
        <f t="shared" si="42"/>
        <v>UNPAID</v>
      </c>
      <c r="L247" s="23">
        <f t="shared" si="34"/>
        <v>0</v>
      </c>
      <c r="M247" s="27">
        <f t="shared" si="40"/>
        <v>0</v>
      </c>
      <c r="N247" s="22">
        <f t="shared" si="43"/>
        <v>0</v>
      </c>
      <c r="O247" s="28">
        <f t="shared" si="41"/>
        <v>0</v>
      </c>
      <c r="T247" s="20"/>
    </row>
    <row r="248" spans="3:20" x14ac:dyDescent="0.35">
      <c r="C248" s="24" t="e">
        <f t="shared" si="33"/>
        <v>#VALUE!</v>
      </c>
      <c r="D248" s="25" t="str">
        <f t="shared" si="35"/>
        <v/>
      </c>
      <c r="E248" s="25">
        <f t="shared" si="36"/>
        <v>0</v>
      </c>
      <c r="F248" s="26">
        <f t="shared" si="37"/>
        <v>0</v>
      </c>
      <c r="G248" s="26">
        <f t="shared" si="38"/>
        <v>0</v>
      </c>
      <c r="H248" s="26">
        <f t="shared" si="38"/>
        <v>0</v>
      </c>
      <c r="I248" s="26">
        <f t="shared" si="38"/>
        <v>0</v>
      </c>
      <c r="J248" s="27" t="str">
        <f t="shared" si="39"/>
        <v>CO2REMOV</v>
      </c>
      <c r="K248" s="27" t="str">
        <f t="shared" si="42"/>
        <v>UNPAID</v>
      </c>
      <c r="L248" s="23">
        <f t="shared" si="34"/>
        <v>0</v>
      </c>
      <c r="M248" s="27">
        <f t="shared" si="40"/>
        <v>0</v>
      </c>
      <c r="N248" s="22">
        <f t="shared" si="43"/>
        <v>0</v>
      </c>
      <c r="O248" s="28">
        <f t="shared" si="41"/>
        <v>0</v>
      </c>
      <c r="T248" s="20"/>
    </row>
    <row r="249" spans="3:20" x14ac:dyDescent="0.35">
      <c r="C249" s="24" t="e">
        <f t="shared" si="33"/>
        <v>#VALUE!</v>
      </c>
      <c r="D249" s="25" t="str">
        <f t="shared" si="35"/>
        <v/>
      </c>
      <c r="E249" s="25">
        <f t="shared" si="36"/>
        <v>0</v>
      </c>
      <c r="F249" s="26">
        <f t="shared" si="37"/>
        <v>0</v>
      </c>
      <c r="G249" s="26">
        <f t="shared" si="38"/>
        <v>0</v>
      </c>
      <c r="H249" s="26">
        <f t="shared" si="38"/>
        <v>0</v>
      </c>
      <c r="I249" s="26">
        <f t="shared" si="38"/>
        <v>0</v>
      </c>
      <c r="J249" s="27" t="str">
        <f t="shared" si="39"/>
        <v>CO2REMOV</v>
      </c>
      <c r="K249" s="27" t="str">
        <f t="shared" si="42"/>
        <v>UNPAID</v>
      </c>
      <c r="L249" s="23">
        <f t="shared" si="34"/>
        <v>0</v>
      </c>
      <c r="M249" s="27">
        <f t="shared" si="40"/>
        <v>0</v>
      </c>
      <c r="N249" s="22">
        <f t="shared" si="43"/>
        <v>0</v>
      </c>
      <c r="O249" s="28">
        <f t="shared" si="41"/>
        <v>0</v>
      </c>
      <c r="T249" s="20"/>
    </row>
    <row r="250" spans="3:20" x14ac:dyDescent="0.35">
      <c r="C250" s="24" t="e">
        <f t="shared" si="33"/>
        <v>#VALUE!</v>
      </c>
      <c r="D250" s="25" t="str">
        <f t="shared" si="35"/>
        <v/>
      </c>
      <c r="E250" s="25">
        <f t="shared" si="36"/>
        <v>0</v>
      </c>
      <c r="F250" s="26">
        <f t="shared" si="37"/>
        <v>0</v>
      </c>
      <c r="G250" s="26">
        <f t="shared" si="38"/>
        <v>0</v>
      </c>
      <c r="H250" s="26">
        <f t="shared" si="38"/>
        <v>0</v>
      </c>
      <c r="I250" s="26">
        <f t="shared" si="38"/>
        <v>0</v>
      </c>
      <c r="J250" s="27" t="str">
        <f t="shared" si="39"/>
        <v>CO2REMOV</v>
      </c>
      <c r="K250" s="27" t="str">
        <f t="shared" si="42"/>
        <v>UNPAID</v>
      </c>
      <c r="L250" s="23">
        <f t="shared" si="34"/>
        <v>0</v>
      </c>
      <c r="M250" s="27">
        <f t="shared" si="40"/>
        <v>0</v>
      </c>
      <c r="N250" s="22">
        <f t="shared" si="43"/>
        <v>0</v>
      </c>
      <c r="O250" s="28">
        <f t="shared" si="41"/>
        <v>0</v>
      </c>
      <c r="T250" s="20"/>
    </row>
    <row r="251" spans="3:20" x14ac:dyDescent="0.35">
      <c r="C251" s="24" t="e">
        <f t="shared" si="33"/>
        <v>#VALUE!</v>
      </c>
      <c r="D251" s="25" t="str">
        <f t="shared" si="35"/>
        <v/>
      </c>
      <c r="E251" s="25">
        <f t="shared" si="36"/>
        <v>0</v>
      </c>
      <c r="F251" s="26">
        <f t="shared" si="37"/>
        <v>0</v>
      </c>
      <c r="G251" s="26">
        <f t="shared" si="38"/>
        <v>0</v>
      </c>
      <c r="H251" s="26">
        <f t="shared" si="38"/>
        <v>0</v>
      </c>
      <c r="I251" s="26">
        <f t="shared" si="38"/>
        <v>0</v>
      </c>
      <c r="J251" s="27" t="str">
        <f t="shared" si="39"/>
        <v>CO2REMOV</v>
      </c>
      <c r="K251" s="27" t="str">
        <f t="shared" si="42"/>
        <v>UNPAID</v>
      </c>
      <c r="L251" s="23">
        <f t="shared" si="34"/>
        <v>0</v>
      </c>
      <c r="M251" s="27">
        <f t="shared" si="40"/>
        <v>0</v>
      </c>
      <c r="N251" s="22">
        <f t="shared" si="43"/>
        <v>0</v>
      </c>
      <c r="O251" s="28">
        <f t="shared" si="41"/>
        <v>0</v>
      </c>
      <c r="T251" s="20"/>
    </row>
    <row r="252" spans="3:20" x14ac:dyDescent="0.35">
      <c r="C252" s="24" t="e">
        <f t="shared" si="33"/>
        <v>#VALUE!</v>
      </c>
      <c r="D252" s="25" t="str">
        <f t="shared" si="35"/>
        <v/>
      </c>
      <c r="E252" s="25">
        <f t="shared" si="36"/>
        <v>0</v>
      </c>
      <c r="F252" s="26">
        <f t="shared" si="37"/>
        <v>0</v>
      </c>
      <c r="G252" s="26">
        <f t="shared" si="38"/>
        <v>0</v>
      </c>
      <c r="H252" s="26">
        <f t="shared" si="38"/>
        <v>0</v>
      </c>
      <c r="I252" s="26">
        <f t="shared" si="38"/>
        <v>0</v>
      </c>
      <c r="J252" s="27" t="str">
        <f t="shared" si="39"/>
        <v>CO2REMOV</v>
      </c>
      <c r="K252" s="27" t="str">
        <f t="shared" si="42"/>
        <v>UNPAID</v>
      </c>
      <c r="L252" s="23">
        <f t="shared" si="34"/>
        <v>0</v>
      </c>
      <c r="M252" s="27">
        <f t="shared" si="40"/>
        <v>0</v>
      </c>
      <c r="N252" s="22">
        <f t="shared" si="43"/>
        <v>0</v>
      </c>
      <c r="O252" s="28">
        <f t="shared" si="41"/>
        <v>0</v>
      </c>
      <c r="T252" s="20"/>
    </row>
    <row r="253" spans="3:20" x14ac:dyDescent="0.35">
      <c r="C253" s="24" t="e">
        <f t="shared" si="33"/>
        <v>#VALUE!</v>
      </c>
      <c r="D253" s="25" t="str">
        <f t="shared" si="35"/>
        <v/>
      </c>
      <c r="E253" s="25">
        <f t="shared" si="36"/>
        <v>0</v>
      </c>
      <c r="F253" s="26">
        <f t="shared" si="37"/>
        <v>0</v>
      </c>
      <c r="G253" s="26">
        <f t="shared" si="38"/>
        <v>0</v>
      </c>
      <c r="H253" s="26">
        <f t="shared" si="38"/>
        <v>0</v>
      </c>
      <c r="I253" s="26">
        <f t="shared" si="38"/>
        <v>0</v>
      </c>
      <c r="J253" s="27" t="str">
        <f t="shared" si="39"/>
        <v>CO2REMOV</v>
      </c>
      <c r="K253" s="27" t="str">
        <f t="shared" si="42"/>
        <v>UNPAID</v>
      </c>
      <c r="L253" s="23">
        <f t="shared" si="34"/>
        <v>0</v>
      </c>
      <c r="M253" s="27">
        <f t="shared" si="40"/>
        <v>0</v>
      </c>
      <c r="N253" s="22">
        <f t="shared" si="43"/>
        <v>0</v>
      </c>
      <c r="O253" s="28">
        <f t="shared" si="41"/>
        <v>0</v>
      </c>
      <c r="T253" s="20"/>
    </row>
    <row r="254" spans="3:20" x14ac:dyDescent="0.35">
      <c r="C254" s="24" t="e">
        <f t="shared" si="33"/>
        <v>#VALUE!</v>
      </c>
      <c r="D254" s="25" t="str">
        <f t="shared" si="35"/>
        <v/>
      </c>
      <c r="E254" s="25">
        <f t="shared" si="36"/>
        <v>0</v>
      </c>
      <c r="F254" s="26">
        <f t="shared" si="37"/>
        <v>0</v>
      </c>
      <c r="G254" s="26">
        <f t="shared" si="38"/>
        <v>0</v>
      </c>
      <c r="H254" s="26">
        <f t="shared" si="38"/>
        <v>0</v>
      </c>
      <c r="I254" s="26">
        <f t="shared" si="38"/>
        <v>0</v>
      </c>
      <c r="J254" s="27" t="str">
        <f t="shared" si="39"/>
        <v>CO2REMOV</v>
      </c>
      <c r="K254" s="27" t="str">
        <f t="shared" si="42"/>
        <v>UNPAID</v>
      </c>
      <c r="L254" s="23">
        <f t="shared" si="34"/>
        <v>0</v>
      </c>
      <c r="M254" s="27">
        <f t="shared" si="40"/>
        <v>0</v>
      </c>
      <c r="N254" s="22">
        <f t="shared" si="43"/>
        <v>0</v>
      </c>
      <c r="O254" s="28">
        <f t="shared" si="41"/>
        <v>0</v>
      </c>
      <c r="T254" s="20"/>
    </row>
    <row r="255" spans="3:20" x14ac:dyDescent="0.35">
      <c r="C255" s="24" t="e">
        <f t="shared" si="33"/>
        <v>#VALUE!</v>
      </c>
      <c r="D255" s="25" t="str">
        <f t="shared" si="35"/>
        <v/>
      </c>
      <c r="E255" s="25">
        <f t="shared" si="36"/>
        <v>0</v>
      </c>
      <c r="F255" s="26">
        <f t="shared" si="37"/>
        <v>0</v>
      </c>
      <c r="G255" s="26">
        <f t="shared" si="38"/>
        <v>0</v>
      </c>
      <c r="H255" s="26">
        <f t="shared" si="38"/>
        <v>0</v>
      </c>
      <c r="I255" s="26">
        <f t="shared" si="38"/>
        <v>0</v>
      </c>
      <c r="J255" s="27" t="str">
        <f t="shared" si="39"/>
        <v>CO2REMOV</v>
      </c>
      <c r="K255" s="27" t="str">
        <f t="shared" si="42"/>
        <v>UNPAID</v>
      </c>
      <c r="L255" s="23">
        <f t="shared" si="34"/>
        <v>0</v>
      </c>
      <c r="M255" s="27">
        <f t="shared" si="40"/>
        <v>0</v>
      </c>
      <c r="N255" s="22">
        <f t="shared" si="43"/>
        <v>0</v>
      </c>
      <c r="O255" s="28">
        <f t="shared" si="41"/>
        <v>0</v>
      </c>
      <c r="T255" s="20"/>
    </row>
    <row r="256" spans="3:20" x14ac:dyDescent="0.35">
      <c r="C256" s="24" t="e">
        <f t="shared" si="33"/>
        <v>#VALUE!</v>
      </c>
      <c r="D256" s="25" t="str">
        <f t="shared" si="35"/>
        <v/>
      </c>
      <c r="E256" s="25">
        <f t="shared" si="36"/>
        <v>0</v>
      </c>
      <c r="F256" s="26">
        <f t="shared" si="37"/>
        <v>0</v>
      </c>
      <c r="G256" s="26">
        <f t="shared" si="38"/>
        <v>0</v>
      </c>
      <c r="H256" s="26">
        <f t="shared" si="38"/>
        <v>0</v>
      </c>
      <c r="I256" s="26">
        <f t="shared" si="38"/>
        <v>0</v>
      </c>
      <c r="J256" s="27" t="str">
        <f t="shared" si="39"/>
        <v>CO2REMOV</v>
      </c>
      <c r="K256" s="27" t="str">
        <f t="shared" si="42"/>
        <v>UNPAID</v>
      </c>
      <c r="L256" s="23">
        <f t="shared" si="34"/>
        <v>0</v>
      </c>
      <c r="M256" s="27">
        <f t="shared" si="40"/>
        <v>0</v>
      </c>
      <c r="N256" s="22">
        <f t="shared" si="43"/>
        <v>0</v>
      </c>
      <c r="O256" s="28">
        <f t="shared" si="41"/>
        <v>0</v>
      </c>
      <c r="T256" s="20"/>
    </row>
    <row r="257" spans="3:20" x14ac:dyDescent="0.35">
      <c r="C257" s="24" t="e">
        <f t="shared" si="33"/>
        <v>#VALUE!</v>
      </c>
      <c r="D257" s="25" t="str">
        <f t="shared" si="35"/>
        <v/>
      </c>
      <c r="E257" s="25">
        <f t="shared" si="36"/>
        <v>0</v>
      </c>
      <c r="F257" s="26">
        <f t="shared" si="37"/>
        <v>0</v>
      </c>
      <c r="G257" s="26">
        <f t="shared" si="38"/>
        <v>0</v>
      </c>
      <c r="H257" s="26">
        <f t="shared" si="38"/>
        <v>0</v>
      </c>
      <c r="I257" s="26">
        <f t="shared" si="38"/>
        <v>0</v>
      </c>
      <c r="J257" s="27" t="str">
        <f t="shared" si="39"/>
        <v>CO2REMOV</v>
      </c>
      <c r="K257" s="27" t="str">
        <f t="shared" si="42"/>
        <v>UNPAID</v>
      </c>
      <c r="L257" s="23">
        <f t="shared" si="34"/>
        <v>0</v>
      </c>
      <c r="M257" s="27">
        <f t="shared" si="40"/>
        <v>0</v>
      </c>
      <c r="N257" s="22">
        <f t="shared" si="43"/>
        <v>0</v>
      </c>
      <c r="O257" s="28">
        <f t="shared" si="41"/>
        <v>0</v>
      </c>
      <c r="T257" s="20"/>
    </row>
    <row r="258" spans="3:20" x14ac:dyDescent="0.35">
      <c r="C258" s="24" t="e">
        <f t="shared" si="33"/>
        <v>#VALUE!</v>
      </c>
      <c r="D258" s="25" t="str">
        <f t="shared" si="35"/>
        <v/>
      </c>
      <c r="E258" s="25">
        <f t="shared" si="36"/>
        <v>0</v>
      </c>
      <c r="F258" s="26">
        <f t="shared" si="37"/>
        <v>0</v>
      </c>
      <c r="G258" s="26">
        <f t="shared" si="38"/>
        <v>0</v>
      </c>
      <c r="H258" s="26">
        <f t="shared" si="38"/>
        <v>0</v>
      </c>
      <c r="I258" s="26">
        <f t="shared" si="38"/>
        <v>0</v>
      </c>
      <c r="J258" s="27" t="str">
        <f t="shared" si="39"/>
        <v>CO2REMOV</v>
      </c>
      <c r="K258" s="27" t="str">
        <f t="shared" si="42"/>
        <v>UNPAID</v>
      </c>
      <c r="L258" s="23">
        <f t="shared" si="34"/>
        <v>0</v>
      </c>
      <c r="M258" s="27">
        <f t="shared" si="40"/>
        <v>0</v>
      </c>
      <c r="N258" s="22">
        <f t="shared" si="43"/>
        <v>0</v>
      </c>
      <c r="O258" s="28">
        <f t="shared" si="41"/>
        <v>0</v>
      </c>
      <c r="T258" s="20"/>
    </row>
    <row r="259" spans="3:20" x14ac:dyDescent="0.35">
      <c r="C259" s="24" t="e">
        <f t="shared" si="33"/>
        <v>#VALUE!</v>
      </c>
      <c r="D259" s="25" t="str">
        <f t="shared" si="35"/>
        <v/>
      </c>
      <c r="E259" s="25">
        <f t="shared" si="36"/>
        <v>0</v>
      </c>
      <c r="F259" s="26">
        <f t="shared" si="37"/>
        <v>0</v>
      </c>
      <c r="G259" s="26">
        <f t="shared" si="38"/>
        <v>0</v>
      </c>
      <c r="H259" s="26">
        <f t="shared" si="38"/>
        <v>0</v>
      </c>
      <c r="I259" s="26">
        <f t="shared" si="38"/>
        <v>0</v>
      </c>
      <c r="J259" s="27" t="str">
        <f t="shared" si="39"/>
        <v>CO2REMOV</v>
      </c>
      <c r="K259" s="27" t="str">
        <f t="shared" si="42"/>
        <v>UNPAID</v>
      </c>
      <c r="L259" s="23">
        <f t="shared" si="34"/>
        <v>0</v>
      </c>
      <c r="M259" s="27">
        <f t="shared" si="40"/>
        <v>0</v>
      </c>
      <c r="N259" s="22">
        <f t="shared" si="43"/>
        <v>0</v>
      </c>
      <c r="O259" s="28">
        <f t="shared" si="41"/>
        <v>0</v>
      </c>
      <c r="T259" s="20"/>
    </row>
    <row r="260" spans="3:20" x14ac:dyDescent="0.35">
      <c r="C260" s="24" t="e">
        <f t="shared" si="33"/>
        <v>#VALUE!</v>
      </c>
      <c r="D260" s="25" t="str">
        <f t="shared" si="35"/>
        <v/>
      </c>
      <c r="E260" s="25">
        <f t="shared" si="36"/>
        <v>0</v>
      </c>
      <c r="F260" s="26">
        <f t="shared" si="37"/>
        <v>0</v>
      </c>
      <c r="G260" s="26">
        <f t="shared" si="38"/>
        <v>0</v>
      </c>
      <c r="H260" s="26">
        <f t="shared" si="38"/>
        <v>0</v>
      </c>
      <c r="I260" s="26">
        <f t="shared" si="38"/>
        <v>0</v>
      </c>
      <c r="J260" s="27" t="str">
        <f t="shared" si="39"/>
        <v>CO2REMOV</v>
      </c>
      <c r="K260" s="27" t="str">
        <f t="shared" si="42"/>
        <v>UNPAID</v>
      </c>
      <c r="L260" s="23">
        <f t="shared" si="34"/>
        <v>0</v>
      </c>
      <c r="M260" s="27">
        <f t="shared" si="40"/>
        <v>0</v>
      </c>
      <c r="N260" s="22">
        <f t="shared" si="43"/>
        <v>0</v>
      </c>
      <c r="O260" s="28">
        <f t="shared" si="41"/>
        <v>0</v>
      </c>
      <c r="T260" s="20"/>
    </row>
    <row r="261" spans="3:20" x14ac:dyDescent="0.35">
      <c r="C261" s="24" t="e">
        <f t="shared" si="33"/>
        <v>#VALUE!</v>
      </c>
      <c r="D261" s="25" t="str">
        <f t="shared" si="35"/>
        <v/>
      </c>
      <c r="E261" s="25">
        <f t="shared" si="36"/>
        <v>0</v>
      </c>
      <c r="F261" s="26">
        <f t="shared" si="37"/>
        <v>0</v>
      </c>
      <c r="G261" s="26">
        <f t="shared" si="38"/>
        <v>0</v>
      </c>
      <c r="H261" s="26">
        <f t="shared" si="38"/>
        <v>0</v>
      </c>
      <c r="I261" s="26">
        <f t="shared" si="38"/>
        <v>0</v>
      </c>
      <c r="J261" s="27" t="str">
        <f t="shared" si="39"/>
        <v>CO2REMOV</v>
      </c>
      <c r="K261" s="27" t="str">
        <f t="shared" si="42"/>
        <v>UNPAID</v>
      </c>
      <c r="L261" s="23">
        <f t="shared" si="34"/>
        <v>0</v>
      </c>
      <c r="M261" s="27">
        <f t="shared" si="40"/>
        <v>0</v>
      </c>
      <c r="N261" s="22">
        <f t="shared" si="43"/>
        <v>0</v>
      </c>
      <c r="O261" s="28">
        <f t="shared" si="41"/>
        <v>0</v>
      </c>
      <c r="T261" s="20"/>
    </row>
    <row r="262" spans="3:20" x14ac:dyDescent="0.35">
      <c r="C262" s="24" t="e">
        <f t="shared" si="33"/>
        <v>#VALUE!</v>
      </c>
      <c r="D262" s="25" t="str">
        <f t="shared" si="35"/>
        <v/>
      </c>
      <c r="E262" s="25">
        <f t="shared" si="36"/>
        <v>0</v>
      </c>
      <c r="F262" s="26">
        <f t="shared" si="37"/>
        <v>0</v>
      </c>
      <c r="G262" s="26">
        <f t="shared" si="38"/>
        <v>0</v>
      </c>
      <c r="H262" s="26">
        <f t="shared" si="38"/>
        <v>0</v>
      </c>
      <c r="I262" s="26">
        <f t="shared" si="38"/>
        <v>0</v>
      </c>
      <c r="J262" s="27" t="str">
        <f t="shared" si="39"/>
        <v>CO2REMOV</v>
      </c>
      <c r="K262" s="27" t="str">
        <f t="shared" si="42"/>
        <v>UNPAID</v>
      </c>
      <c r="L262" s="23">
        <f t="shared" si="34"/>
        <v>0</v>
      </c>
      <c r="M262" s="27">
        <f t="shared" si="40"/>
        <v>0</v>
      </c>
      <c r="N262" s="22">
        <f t="shared" si="43"/>
        <v>0</v>
      </c>
      <c r="O262" s="28">
        <f t="shared" si="41"/>
        <v>0</v>
      </c>
      <c r="T262" s="20"/>
    </row>
    <row r="263" spans="3:20" x14ac:dyDescent="0.35">
      <c r="C263" s="24" t="s">
        <v>54</v>
      </c>
      <c r="D263" s="25"/>
      <c r="E263" s="25"/>
      <c r="F263" s="26"/>
      <c r="G263" s="26"/>
      <c r="H263" s="26"/>
      <c r="I263" s="26"/>
      <c r="J263" s="27"/>
      <c r="K263" s="27" t="str">
        <f t="shared" si="42"/>
        <v>UNPAID</v>
      </c>
      <c r="L263" s="23">
        <f t="shared" si="34"/>
        <v>0</v>
      </c>
      <c r="M263" s="27"/>
      <c r="N263" s="22">
        <f t="shared" si="43"/>
        <v>0</v>
      </c>
      <c r="O263" s="28"/>
      <c r="T263" s="20"/>
    </row>
    <row r="264" spans="3:20" x14ac:dyDescent="0.35">
      <c r="C264" s="24" t="e">
        <f>C262+1</f>
        <v>#VALUE!</v>
      </c>
      <c r="D264" s="25" t="str">
        <f t="shared" si="35"/>
        <v/>
      </c>
      <c r="E264" s="25">
        <f t="shared" si="36"/>
        <v>0</v>
      </c>
      <c r="F264" s="26">
        <f t="shared" si="37"/>
        <v>0</v>
      </c>
      <c r="G264" s="26">
        <f t="shared" si="38"/>
        <v>0</v>
      </c>
      <c r="H264" s="26">
        <f t="shared" si="38"/>
        <v>0</v>
      </c>
      <c r="I264" s="26">
        <f t="shared" si="38"/>
        <v>0</v>
      </c>
      <c r="J264" s="27" t="str">
        <f t="shared" si="39"/>
        <v>CO2REMOV</v>
      </c>
      <c r="K264" s="27" t="str">
        <f t="shared" si="42"/>
        <v>UNPAID</v>
      </c>
      <c r="L264" s="23">
        <f t="shared" si="34"/>
        <v>0</v>
      </c>
      <c r="M264" s="27">
        <f t="shared" si="40"/>
        <v>0</v>
      </c>
      <c r="N264" s="22">
        <f t="shared" si="43"/>
        <v>0</v>
      </c>
      <c r="O264" s="28">
        <f t="shared" si="41"/>
        <v>0</v>
      </c>
      <c r="T264" s="20"/>
    </row>
    <row r="265" spans="3:20" x14ac:dyDescent="0.35">
      <c r="C265" s="24" t="e">
        <f t="shared" si="33"/>
        <v>#VALUE!</v>
      </c>
      <c r="D265" s="25" t="str">
        <f t="shared" si="35"/>
        <v/>
      </c>
      <c r="E265" s="25">
        <f t="shared" si="36"/>
        <v>0</v>
      </c>
      <c r="F265" s="26">
        <f t="shared" si="37"/>
        <v>0</v>
      </c>
      <c r="G265" s="26">
        <f t="shared" si="38"/>
        <v>0</v>
      </c>
      <c r="H265" s="26">
        <f t="shared" si="38"/>
        <v>0</v>
      </c>
      <c r="I265" s="26">
        <f t="shared" si="38"/>
        <v>0</v>
      </c>
      <c r="J265" s="27" t="str">
        <f t="shared" si="39"/>
        <v>CO2REMOV</v>
      </c>
      <c r="K265" s="27" t="str">
        <f t="shared" si="42"/>
        <v>UNPAID</v>
      </c>
      <c r="L265" s="23">
        <f t="shared" si="34"/>
        <v>0</v>
      </c>
      <c r="M265" s="27">
        <f t="shared" si="40"/>
        <v>0</v>
      </c>
      <c r="N265" s="22">
        <f t="shared" si="43"/>
        <v>0</v>
      </c>
      <c r="O265" s="28">
        <f t="shared" si="41"/>
        <v>0</v>
      </c>
      <c r="T265" s="20"/>
    </row>
    <row r="266" spans="3:20" x14ac:dyDescent="0.35">
      <c r="C266" s="24" t="e">
        <f t="shared" si="33"/>
        <v>#VALUE!</v>
      </c>
      <c r="D266" s="25" t="str">
        <f t="shared" si="35"/>
        <v/>
      </c>
      <c r="E266" s="25">
        <f t="shared" si="36"/>
        <v>0</v>
      </c>
      <c r="F266" s="26">
        <f t="shared" si="37"/>
        <v>0</v>
      </c>
      <c r="G266" s="26">
        <f t="shared" si="38"/>
        <v>0</v>
      </c>
      <c r="H266" s="26">
        <f t="shared" si="38"/>
        <v>0</v>
      </c>
      <c r="I266" s="26">
        <f t="shared" si="38"/>
        <v>0</v>
      </c>
      <c r="J266" s="27" t="str">
        <f t="shared" si="39"/>
        <v>CO2REMOV</v>
      </c>
      <c r="K266" s="27" t="str">
        <f t="shared" si="42"/>
        <v>UNPAID</v>
      </c>
      <c r="L266" s="23">
        <f t="shared" si="34"/>
        <v>0</v>
      </c>
      <c r="M266" s="27">
        <f t="shared" si="40"/>
        <v>0</v>
      </c>
      <c r="N266" s="22">
        <f t="shared" si="43"/>
        <v>0</v>
      </c>
      <c r="O266" s="28">
        <f t="shared" si="41"/>
        <v>0</v>
      </c>
      <c r="T266" s="20"/>
    </row>
    <row r="267" spans="3:20" x14ac:dyDescent="0.35">
      <c r="C267" s="24" t="e">
        <f t="shared" si="33"/>
        <v>#VALUE!</v>
      </c>
      <c r="D267" s="25" t="str">
        <f t="shared" si="35"/>
        <v/>
      </c>
      <c r="E267" s="25">
        <f t="shared" si="36"/>
        <v>0</v>
      </c>
      <c r="F267" s="26">
        <f t="shared" si="37"/>
        <v>0</v>
      </c>
      <c r="G267" s="26">
        <f t="shared" si="38"/>
        <v>0</v>
      </c>
      <c r="H267" s="26">
        <f t="shared" si="38"/>
        <v>0</v>
      </c>
      <c r="I267" s="26">
        <f t="shared" si="38"/>
        <v>0</v>
      </c>
      <c r="J267" s="27" t="str">
        <f t="shared" si="39"/>
        <v>CO2REMOV</v>
      </c>
      <c r="K267" s="27" t="str">
        <f t="shared" si="42"/>
        <v>UNPAID</v>
      </c>
      <c r="L267" s="23">
        <f t="shared" si="34"/>
        <v>0</v>
      </c>
      <c r="M267" s="27">
        <f t="shared" si="40"/>
        <v>0</v>
      </c>
      <c r="N267" s="22">
        <f t="shared" si="43"/>
        <v>0</v>
      </c>
      <c r="O267" s="28">
        <f t="shared" si="41"/>
        <v>0</v>
      </c>
      <c r="T267" s="20"/>
    </row>
    <row r="268" spans="3:20" x14ac:dyDescent="0.35">
      <c r="C268" s="24" t="e">
        <f t="shared" si="33"/>
        <v>#VALUE!</v>
      </c>
      <c r="D268" s="25" t="str">
        <f t="shared" si="35"/>
        <v/>
      </c>
      <c r="E268" s="25">
        <f t="shared" si="36"/>
        <v>0</v>
      </c>
      <c r="F268" s="26">
        <f t="shared" si="37"/>
        <v>0</v>
      </c>
      <c r="G268" s="26">
        <f t="shared" si="38"/>
        <v>0</v>
      </c>
      <c r="H268" s="26">
        <f t="shared" si="38"/>
        <v>0</v>
      </c>
      <c r="I268" s="26">
        <f t="shared" si="38"/>
        <v>0</v>
      </c>
      <c r="J268" s="27" t="str">
        <f t="shared" si="39"/>
        <v>CO2REMOV</v>
      </c>
      <c r="K268" s="27" t="str">
        <f t="shared" si="42"/>
        <v>UNPAID</v>
      </c>
      <c r="L268" s="23">
        <f t="shared" si="34"/>
        <v>0</v>
      </c>
      <c r="M268" s="27">
        <f t="shared" si="40"/>
        <v>0</v>
      </c>
      <c r="N268" s="22">
        <f t="shared" si="43"/>
        <v>0</v>
      </c>
      <c r="O268" s="28">
        <f t="shared" si="41"/>
        <v>0</v>
      </c>
      <c r="T268" s="20"/>
    </row>
    <row r="269" spans="3:20" x14ac:dyDescent="0.35">
      <c r="C269" s="24" t="e">
        <f t="shared" ref="C269:C332" si="44">C268+1</f>
        <v>#VALUE!</v>
      </c>
      <c r="D269" s="25" t="str">
        <f t="shared" si="35"/>
        <v/>
      </c>
      <c r="E269" s="25">
        <f t="shared" si="36"/>
        <v>0</v>
      </c>
      <c r="F269" s="26">
        <f t="shared" si="37"/>
        <v>0</v>
      </c>
      <c r="G269" s="26">
        <f t="shared" si="38"/>
        <v>0</v>
      </c>
      <c r="H269" s="26">
        <f t="shared" si="38"/>
        <v>0</v>
      </c>
      <c r="I269" s="26">
        <f t="shared" si="38"/>
        <v>0</v>
      </c>
      <c r="J269" s="27" t="str">
        <f t="shared" si="39"/>
        <v>CO2REMOV</v>
      </c>
      <c r="K269" s="27" t="str">
        <f t="shared" si="42"/>
        <v>UNPAID</v>
      </c>
      <c r="L269" s="23">
        <f t="shared" ref="L269:L332" si="45">IF(K269="PAID",AA269,0)</f>
        <v>0</v>
      </c>
      <c r="M269" s="27">
        <f t="shared" si="40"/>
        <v>0</v>
      </c>
      <c r="N269" s="22">
        <f t="shared" si="43"/>
        <v>0</v>
      </c>
      <c r="O269" s="28">
        <f t="shared" si="41"/>
        <v>0</v>
      </c>
      <c r="T269" s="20"/>
    </row>
    <row r="270" spans="3:20" x14ac:dyDescent="0.35">
      <c r="C270" s="24" t="e">
        <f t="shared" si="44"/>
        <v>#VALUE!</v>
      </c>
      <c r="D270" s="25" t="str">
        <f t="shared" si="35"/>
        <v/>
      </c>
      <c r="E270" s="25">
        <f t="shared" si="36"/>
        <v>0</v>
      </c>
      <c r="F270" s="26">
        <f t="shared" si="37"/>
        <v>0</v>
      </c>
      <c r="G270" s="26">
        <f t="shared" si="38"/>
        <v>0</v>
      </c>
      <c r="H270" s="26">
        <f t="shared" si="38"/>
        <v>0</v>
      </c>
      <c r="I270" s="26">
        <f t="shared" si="38"/>
        <v>0</v>
      </c>
      <c r="J270" s="27" t="str">
        <f t="shared" si="39"/>
        <v>CO2REMOV</v>
      </c>
      <c r="K270" s="27" t="str">
        <f t="shared" si="42"/>
        <v>UNPAID</v>
      </c>
      <c r="L270" s="23">
        <f t="shared" si="45"/>
        <v>0</v>
      </c>
      <c r="M270" s="27">
        <f t="shared" si="40"/>
        <v>0</v>
      </c>
      <c r="N270" s="22">
        <f t="shared" si="43"/>
        <v>0</v>
      </c>
      <c r="O270" s="28">
        <f t="shared" si="41"/>
        <v>0</v>
      </c>
      <c r="T270" s="20"/>
    </row>
    <row r="271" spans="3:20" x14ac:dyDescent="0.35">
      <c r="C271" s="24" t="e">
        <f t="shared" si="44"/>
        <v>#VALUE!</v>
      </c>
      <c r="D271" s="25" t="str">
        <f t="shared" si="35"/>
        <v/>
      </c>
      <c r="E271" s="25">
        <f t="shared" si="36"/>
        <v>0</v>
      </c>
      <c r="F271" s="26">
        <f t="shared" si="37"/>
        <v>0</v>
      </c>
      <c r="G271" s="26">
        <f t="shared" si="38"/>
        <v>0</v>
      </c>
      <c r="H271" s="26">
        <f t="shared" si="38"/>
        <v>0</v>
      </c>
      <c r="I271" s="26">
        <f t="shared" si="38"/>
        <v>0</v>
      </c>
      <c r="J271" s="27" t="str">
        <f t="shared" si="39"/>
        <v>CO2REMOV</v>
      </c>
      <c r="K271" s="27" t="str">
        <f t="shared" si="42"/>
        <v>UNPAID</v>
      </c>
      <c r="L271" s="23">
        <f t="shared" si="45"/>
        <v>0</v>
      </c>
      <c r="M271" s="27">
        <f t="shared" si="40"/>
        <v>0</v>
      </c>
      <c r="N271" s="22">
        <f t="shared" si="43"/>
        <v>0</v>
      </c>
      <c r="O271" s="28">
        <f t="shared" si="41"/>
        <v>0</v>
      </c>
      <c r="T271" s="20"/>
    </row>
    <row r="272" spans="3:20" x14ac:dyDescent="0.35">
      <c r="C272" s="24" t="e">
        <f t="shared" si="44"/>
        <v>#VALUE!</v>
      </c>
      <c r="D272" s="25" t="str">
        <f t="shared" si="35"/>
        <v/>
      </c>
      <c r="E272" s="25">
        <f t="shared" si="36"/>
        <v>0</v>
      </c>
      <c r="F272" s="26">
        <f t="shared" si="37"/>
        <v>0</v>
      </c>
      <c r="G272" s="26">
        <f t="shared" si="38"/>
        <v>0</v>
      </c>
      <c r="H272" s="26">
        <f t="shared" si="38"/>
        <v>0</v>
      </c>
      <c r="I272" s="26">
        <f t="shared" si="38"/>
        <v>0</v>
      </c>
      <c r="J272" s="27" t="str">
        <f t="shared" si="39"/>
        <v>CO2REMOV</v>
      </c>
      <c r="K272" s="27" t="str">
        <f t="shared" si="42"/>
        <v>UNPAID</v>
      </c>
      <c r="L272" s="23">
        <f t="shared" si="45"/>
        <v>0</v>
      </c>
      <c r="M272" s="27">
        <f t="shared" si="40"/>
        <v>0</v>
      </c>
      <c r="N272" s="22">
        <f t="shared" si="43"/>
        <v>0</v>
      </c>
      <c r="O272" s="28">
        <f t="shared" si="41"/>
        <v>0</v>
      </c>
      <c r="T272" s="20"/>
    </row>
    <row r="273" spans="3:20" x14ac:dyDescent="0.35">
      <c r="C273" s="24" t="e">
        <f t="shared" si="44"/>
        <v>#VALUE!</v>
      </c>
      <c r="D273" s="25" t="str">
        <f t="shared" si="35"/>
        <v/>
      </c>
      <c r="E273" s="25">
        <f t="shared" si="36"/>
        <v>0</v>
      </c>
      <c r="F273" s="26">
        <f t="shared" si="37"/>
        <v>0</v>
      </c>
      <c r="G273" s="26">
        <f t="shared" si="38"/>
        <v>0</v>
      </c>
      <c r="H273" s="26">
        <f t="shared" si="38"/>
        <v>0</v>
      </c>
      <c r="I273" s="26">
        <f t="shared" si="38"/>
        <v>0</v>
      </c>
      <c r="J273" s="27" t="str">
        <f t="shared" si="39"/>
        <v>CO2REMOV</v>
      </c>
      <c r="K273" s="27" t="str">
        <f t="shared" si="42"/>
        <v>UNPAID</v>
      </c>
      <c r="L273" s="23">
        <f t="shared" si="45"/>
        <v>0</v>
      </c>
      <c r="M273" s="27">
        <f t="shared" si="40"/>
        <v>0</v>
      </c>
      <c r="N273" s="22">
        <f t="shared" si="43"/>
        <v>0</v>
      </c>
      <c r="O273" s="28">
        <f t="shared" si="41"/>
        <v>0</v>
      </c>
      <c r="T273" s="20"/>
    </row>
    <row r="274" spans="3:20" x14ac:dyDescent="0.35">
      <c r="C274" s="24" t="e">
        <f t="shared" si="44"/>
        <v>#VALUE!</v>
      </c>
      <c r="D274" s="25" t="str">
        <f t="shared" si="35"/>
        <v/>
      </c>
      <c r="E274" s="25">
        <f t="shared" si="36"/>
        <v>0</v>
      </c>
      <c r="F274" s="26">
        <f t="shared" si="37"/>
        <v>0</v>
      </c>
      <c r="G274" s="26">
        <f t="shared" si="38"/>
        <v>0</v>
      </c>
      <c r="H274" s="26">
        <f t="shared" si="38"/>
        <v>0</v>
      </c>
      <c r="I274" s="26">
        <f t="shared" si="38"/>
        <v>0</v>
      </c>
      <c r="J274" s="27" t="str">
        <f t="shared" si="39"/>
        <v>CO2REMOV</v>
      </c>
      <c r="K274" s="27" t="str">
        <f t="shared" si="42"/>
        <v>UNPAID</v>
      </c>
      <c r="L274" s="23">
        <f t="shared" si="45"/>
        <v>0</v>
      </c>
      <c r="M274" s="27">
        <f t="shared" si="40"/>
        <v>0</v>
      </c>
      <c r="N274" s="22">
        <f t="shared" si="43"/>
        <v>0</v>
      </c>
      <c r="O274" s="28">
        <f t="shared" si="41"/>
        <v>0</v>
      </c>
      <c r="T274" s="20"/>
    </row>
    <row r="275" spans="3:20" x14ac:dyDescent="0.35">
      <c r="C275" s="24" t="e">
        <f t="shared" si="44"/>
        <v>#VALUE!</v>
      </c>
      <c r="D275" s="25" t="str">
        <f t="shared" si="35"/>
        <v/>
      </c>
      <c r="E275" s="25">
        <f t="shared" si="36"/>
        <v>0</v>
      </c>
      <c r="F275" s="26">
        <f t="shared" si="37"/>
        <v>0</v>
      </c>
      <c r="G275" s="26">
        <f t="shared" si="38"/>
        <v>0</v>
      </c>
      <c r="H275" s="26">
        <f t="shared" si="38"/>
        <v>0</v>
      </c>
      <c r="I275" s="26">
        <f t="shared" si="38"/>
        <v>0</v>
      </c>
      <c r="J275" s="27" t="str">
        <f t="shared" si="39"/>
        <v>CO2REMOV</v>
      </c>
      <c r="K275" s="27" t="str">
        <f t="shared" si="42"/>
        <v>UNPAID</v>
      </c>
      <c r="L275" s="23">
        <f t="shared" si="45"/>
        <v>0</v>
      </c>
      <c r="M275" s="27">
        <f t="shared" si="40"/>
        <v>0</v>
      </c>
      <c r="N275" s="22">
        <f t="shared" si="43"/>
        <v>0</v>
      </c>
      <c r="O275" s="28">
        <f t="shared" si="41"/>
        <v>0</v>
      </c>
      <c r="T275" s="20"/>
    </row>
    <row r="276" spans="3:20" x14ac:dyDescent="0.35">
      <c r="C276" s="24" t="e">
        <f t="shared" si="44"/>
        <v>#VALUE!</v>
      </c>
      <c r="D276" s="25" t="str">
        <f t="shared" si="35"/>
        <v/>
      </c>
      <c r="E276" s="25">
        <f t="shared" si="36"/>
        <v>0</v>
      </c>
      <c r="F276" s="26">
        <f t="shared" si="37"/>
        <v>0</v>
      </c>
      <c r="G276" s="26">
        <f t="shared" si="38"/>
        <v>0</v>
      </c>
      <c r="H276" s="26">
        <f t="shared" si="38"/>
        <v>0</v>
      </c>
      <c r="I276" s="26">
        <f t="shared" si="38"/>
        <v>0</v>
      </c>
      <c r="J276" s="27" t="str">
        <f t="shared" si="39"/>
        <v>CO2REMOV</v>
      </c>
      <c r="K276" s="27" t="str">
        <f t="shared" si="42"/>
        <v>UNPAID</v>
      </c>
      <c r="L276" s="23">
        <f t="shared" si="45"/>
        <v>0</v>
      </c>
      <c r="M276" s="27">
        <f t="shared" si="40"/>
        <v>0</v>
      </c>
      <c r="N276" s="22">
        <f t="shared" si="43"/>
        <v>0</v>
      </c>
      <c r="O276" s="28">
        <f t="shared" si="41"/>
        <v>0</v>
      </c>
      <c r="T276" s="20"/>
    </row>
    <row r="277" spans="3:20" x14ac:dyDescent="0.35">
      <c r="C277" s="24" t="e">
        <f t="shared" si="44"/>
        <v>#VALUE!</v>
      </c>
      <c r="D277" s="25" t="str">
        <f t="shared" si="35"/>
        <v/>
      </c>
      <c r="E277" s="25">
        <f t="shared" si="36"/>
        <v>0</v>
      </c>
      <c r="F277" s="26">
        <f t="shared" si="37"/>
        <v>0</v>
      </c>
      <c r="G277" s="26">
        <f t="shared" si="38"/>
        <v>0</v>
      </c>
      <c r="H277" s="26">
        <f t="shared" si="38"/>
        <v>0</v>
      </c>
      <c r="I277" s="26">
        <f t="shared" si="38"/>
        <v>0</v>
      </c>
      <c r="J277" s="27" t="str">
        <f t="shared" si="39"/>
        <v>CO2REMOV</v>
      </c>
      <c r="K277" s="27" t="str">
        <f t="shared" si="42"/>
        <v>UNPAID</v>
      </c>
      <c r="L277" s="23">
        <f t="shared" si="45"/>
        <v>0</v>
      </c>
      <c r="M277" s="27">
        <f t="shared" si="40"/>
        <v>0</v>
      </c>
      <c r="N277" s="22">
        <f t="shared" si="43"/>
        <v>0</v>
      </c>
      <c r="O277" s="28">
        <f t="shared" si="41"/>
        <v>0</v>
      </c>
      <c r="T277" s="20"/>
    </row>
    <row r="278" spans="3:20" x14ac:dyDescent="0.35">
      <c r="C278" s="24" t="e">
        <f t="shared" si="44"/>
        <v>#VALUE!</v>
      </c>
      <c r="D278" s="25" t="str">
        <f t="shared" ref="D278:D343" si="46">IF(W278="","",ROUND(W278,0))</f>
        <v/>
      </c>
      <c r="E278" s="25">
        <f t="shared" ref="E278:E343" si="47">IF(X278="",0,X278)</f>
        <v>0</v>
      </c>
      <c r="F278" s="26">
        <f t="shared" ref="F278:F343" si="48">Y278</f>
        <v>0</v>
      </c>
      <c r="G278" s="26">
        <f t="shared" ref="G278:I343" si="49">AE278*24</f>
        <v>0</v>
      </c>
      <c r="H278" s="26">
        <f t="shared" si="49"/>
        <v>0</v>
      </c>
      <c r="I278" s="26">
        <f t="shared" si="49"/>
        <v>0</v>
      </c>
      <c r="J278" s="27" t="str">
        <f t="shared" ref="J278:J343" si="50">$D$6</f>
        <v>CO2REMOV</v>
      </c>
      <c r="K278" s="27" t="str">
        <f t="shared" si="42"/>
        <v>UNPAID</v>
      </c>
      <c r="L278" s="23">
        <f t="shared" si="45"/>
        <v>0</v>
      </c>
      <c r="M278" s="27">
        <f t="shared" ref="M278:M343" si="51">F278</f>
        <v>0</v>
      </c>
      <c r="N278" s="22">
        <f t="shared" si="43"/>
        <v>0</v>
      </c>
      <c r="O278" s="28">
        <f t="shared" ref="O278:O343" si="52">AJ278</f>
        <v>0</v>
      </c>
      <c r="T278" s="20"/>
    </row>
    <row r="279" spans="3:20" x14ac:dyDescent="0.35">
      <c r="C279" s="24" t="e">
        <f t="shared" si="44"/>
        <v>#VALUE!</v>
      </c>
      <c r="D279" s="25" t="str">
        <f t="shared" si="46"/>
        <v/>
      </c>
      <c r="E279" s="25">
        <f t="shared" si="47"/>
        <v>0</v>
      </c>
      <c r="F279" s="26">
        <f t="shared" si="48"/>
        <v>0</v>
      </c>
      <c r="G279" s="26">
        <f t="shared" si="49"/>
        <v>0</v>
      </c>
      <c r="H279" s="26">
        <f t="shared" si="49"/>
        <v>0</v>
      </c>
      <c r="I279" s="26">
        <f t="shared" si="49"/>
        <v>0</v>
      </c>
      <c r="J279" s="27" t="str">
        <f t="shared" si="50"/>
        <v>CO2REMOV</v>
      </c>
      <c r="K279" s="27" t="str">
        <f t="shared" si="42"/>
        <v>UNPAID</v>
      </c>
      <c r="L279" s="23">
        <f t="shared" si="45"/>
        <v>0</v>
      </c>
      <c r="M279" s="27">
        <f t="shared" si="51"/>
        <v>0</v>
      </c>
      <c r="N279" s="22">
        <f t="shared" si="43"/>
        <v>0</v>
      </c>
      <c r="O279" s="28">
        <f t="shared" si="52"/>
        <v>0</v>
      </c>
      <c r="T279" s="20"/>
    </row>
    <row r="280" spans="3:20" x14ac:dyDescent="0.35">
      <c r="C280" s="24" t="e">
        <f t="shared" si="44"/>
        <v>#VALUE!</v>
      </c>
      <c r="D280" s="25" t="str">
        <f t="shared" si="46"/>
        <v/>
      </c>
      <c r="E280" s="25">
        <f t="shared" si="47"/>
        <v>0</v>
      </c>
      <c r="F280" s="26">
        <f t="shared" si="48"/>
        <v>0</v>
      </c>
      <c r="G280" s="26">
        <f t="shared" si="49"/>
        <v>0</v>
      </c>
      <c r="H280" s="26">
        <f t="shared" si="49"/>
        <v>0</v>
      </c>
      <c r="I280" s="26">
        <f t="shared" si="49"/>
        <v>0</v>
      </c>
      <c r="J280" s="27" t="str">
        <f t="shared" si="50"/>
        <v>CO2REMOV</v>
      </c>
      <c r="K280" s="27" t="str">
        <f t="shared" si="42"/>
        <v>UNPAID</v>
      </c>
      <c r="L280" s="23">
        <f t="shared" si="45"/>
        <v>0</v>
      </c>
      <c r="M280" s="27">
        <f t="shared" si="51"/>
        <v>0</v>
      </c>
      <c r="N280" s="22">
        <f t="shared" si="43"/>
        <v>0</v>
      </c>
      <c r="O280" s="28">
        <f t="shared" si="52"/>
        <v>0</v>
      </c>
      <c r="T280" s="20"/>
    </row>
    <row r="281" spans="3:20" x14ac:dyDescent="0.35">
      <c r="C281" s="24" t="e">
        <f t="shared" si="44"/>
        <v>#VALUE!</v>
      </c>
      <c r="D281" s="25" t="str">
        <f t="shared" si="46"/>
        <v/>
      </c>
      <c r="E281" s="25">
        <f t="shared" si="47"/>
        <v>0</v>
      </c>
      <c r="F281" s="26">
        <f t="shared" si="48"/>
        <v>0</v>
      </c>
      <c r="G281" s="26">
        <f t="shared" si="49"/>
        <v>0</v>
      </c>
      <c r="H281" s="26">
        <f t="shared" si="49"/>
        <v>0</v>
      </c>
      <c r="I281" s="26">
        <f t="shared" si="49"/>
        <v>0</v>
      </c>
      <c r="J281" s="27" t="str">
        <f t="shared" si="50"/>
        <v>CO2REMOV</v>
      </c>
      <c r="K281" s="27" t="str">
        <f t="shared" si="42"/>
        <v>UNPAID</v>
      </c>
      <c r="L281" s="23">
        <f t="shared" si="45"/>
        <v>0</v>
      </c>
      <c r="M281" s="27">
        <f t="shared" si="51"/>
        <v>0</v>
      </c>
      <c r="N281" s="22">
        <f t="shared" si="43"/>
        <v>0</v>
      </c>
      <c r="O281" s="28">
        <f t="shared" si="52"/>
        <v>0</v>
      </c>
      <c r="T281" s="20"/>
    </row>
    <row r="282" spans="3:20" x14ac:dyDescent="0.35">
      <c r="C282" s="24" t="e">
        <f t="shared" si="44"/>
        <v>#VALUE!</v>
      </c>
      <c r="D282" s="25" t="str">
        <f t="shared" si="46"/>
        <v/>
      </c>
      <c r="E282" s="25">
        <f t="shared" si="47"/>
        <v>0</v>
      </c>
      <c r="F282" s="26">
        <f t="shared" si="48"/>
        <v>0</v>
      </c>
      <c r="G282" s="26">
        <f t="shared" si="49"/>
        <v>0</v>
      </c>
      <c r="H282" s="26">
        <f t="shared" si="49"/>
        <v>0</v>
      </c>
      <c r="I282" s="26">
        <f t="shared" si="49"/>
        <v>0</v>
      </c>
      <c r="J282" s="27" t="str">
        <f t="shared" si="50"/>
        <v>CO2REMOV</v>
      </c>
      <c r="K282" s="27" t="str">
        <f t="shared" si="42"/>
        <v>UNPAID</v>
      </c>
      <c r="L282" s="23">
        <f t="shared" si="45"/>
        <v>0</v>
      </c>
      <c r="M282" s="27">
        <f t="shared" si="51"/>
        <v>0</v>
      </c>
      <c r="N282" s="22">
        <f t="shared" si="43"/>
        <v>0</v>
      </c>
      <c r="O282" s="28">
        <f t="shared" si="52"/>
        <v>0</v>
      </c>
      <c r="T282" s="20"/>
    </row>
    <row r="283" spans="3:20" x14ac:dyDescent="0.35">
      <c r="C283" s="24" t="e">
        <f t="shared" si="44"/>
        <v>#VALUE!</v>
      </c>
      <c r="D283" s="25" t="str">
        <f t="shared" si="46"/>
        <v/>
      </c>
      <c r="E283" s="25">
        <f t="shared" si="47"/>
        <v>0</v>
      </c>
      <c r="F283" s="26">
        <f t="shared" si="48"/>
        <v>0</v>
      </c>
      <c r="G283" s="26">
        <f t="shared" si="49"/>
        <v>0</v>
      </c>
      <c r="H283" s="26">
        <f t="shared" si="49"/>
        <v>0</v>
      </c>
      <c r="I283" s="26">
        <f t="shared" si="49"/>
        <v>0</v>
      </c>
      <c r="J283" s="27" t="str">
        <f t="shared" si="50"/>
        <v>CO2REMOV</v>
      </c>
      <c r="K283" s="27" t="str">
        <f t="shared" si="42"/>
        <v>UNPAID</v>
      </c>
      <c r="L283" s="23">
        <f t="shared" si="45"/>
        <v>0</v>
      </c>
      <c r="M283" s="27">
        <f t="shared" si="51"/>
        <v>0</v>
      </c>
      <c r="N283" s="22">
        <f t="shared" si="43"/>
        <v>0</v>
      </c>
      <c r="O283" s="28">
        <f t="shared" si="52"/>
        <v>0</v>
      </c>
      <c r="T283" s="20"/>
    </row>
    <row r="284" spans="3:20" x14ac:dyDescent="0.35">
      <c r="C284" s="24" t="e">
        <f t="shared" si="44"/>
        <v>#VALUE!</v>
      </c>
      <c r="D284" s="25" t="str">
        <f t="shared" si="46"/>
        <v/>
      </c>
      <c r="E284" s="25">
        <f t="shared" si="47"/>
        <v>0</v>
      </c>
      <c r="F284" s="26">
        <f t="shared" si="48"/>
        <v>0</v>
      </c>
      <c r="G284" s="26">
        <f t="shared" si="49"/>
        <v>0</v>
      </c>
      <c r="H284" s="26">
        <f t="shared" si="49"/>
        <v>0</v>
      </c>
      <c r="I284" s="26">
        <f t="shared" si="49"/>
        <v>0</v>
      </c>
      <c r="J284" s="27" t="str">
        <f t="shared" si="50"/>
        <v>CO2REMOV</v>
      </c>
      <c r="K284" s="27" t="str">
        <f t="shared" ref="K284:K347" si="53">IF(H284=24,"PAID",IF(E284&gt;=$E$6,"PAID","UNPAID"))</f>
        <v>UNPAID</v>
      </c>
      <c r="L284" s="23">
        <f t="shared" si="45"/>
        <v>0</v>
      </c>
      <c r="M284" s="27">
        <f t="shared" si="51"/>
        <v>0</v>
      </c>
      <c r="N284" s="22">
        <f t="shared" si="43"/>
        <v>0</v>
      </c>
      <c r="O284" s="28">
        <f t="shared" si="52"/>
        <v>0</v>
      </c>
      <c r="T284" s="20"/>
    </row>
    <row r="285" spans="3:20" x14ac:dyDescent="0.35">
      <c r="C285" s="24" t="e">
        <f t="shared" si="44"/>
        <v>#VALUE!</v>
      </c>
      <c r="D285" s="25" t="str">
        <f t="shared" si="46"/>
        <v/>
      </c>
      <c r="E285" s="25">
        <f t="shared" si="47"/>
        <v>0</v>
      </c>
      <c r="F285" s="26">
        <f t="shared" si="48"/>
        <v>0</v>
      </c>
      <c r="G285" s="26">
        <f t="shared" si="49"/>
        <v>0</v>
      </c>
      <c r="H285" s="26">
        <f t="shared" si="49"/>
        <v>0</v>
      </c>
      <c r="I285" s="26">
        <f t="shared" si="49"/>
        <v>0</v>
      </c>
      <c r="J285" s="27" t="str">
        <f t="shared" si="50"/>
        <v>CO2REMOV</v>
      </c>
      <c r="K285" s="27" t="str">
        <f t="shared" si="53"/>
        <v>UNPAID</v>
      </c>
      <c r="L285" s="23">
        <f t="shared" si="45"/>
        <v>0</v>
      </c>
      <c r="M285" s="27">
        <f t="shared" si="51"/>
        <v>0</v>
      </c>
      <c r="N285" s="22">
        <f t="shared" ref="N285:N348" si="54">IF(K285="PAID",IF(H285=24,(0.25*$I$5),IF(((1+H285/G285)*M285/L285*$I$5)&gt;$I$5,$I$5,((1+H285/G285)*M285/L285*$I$5))),0)</f>
        <v>0</v>
      </c>
      <c r="O285" s="28">
        <f t="shared" si="52"/>
        <v>0</v>
      </c>
      <c r="T285" s="20"/>
    </row>
    <row r="286" spans="3:20" x14ac:dyDescent="0.35">
      <c r="C286" s="24" t="e">
        <f t="shared" si="44"/>
        <v>#VALUE!</v>
      </c>
      <c r="D286" s="25" t="str">
        <f t="shared" si="46"/>
        <v/>
      </c>
      <c r="E286" s="25">
        <f t="shared" si="47"/>
        <v>0</v>
      </c>
      <c r="F286" s="26">
        <f t="shared" si="48"/>
        <v>0</v>
      </c>
      <c r="G286" s="26">
        <f t="shared" si="49"/>
        <v>0</v>
      </c>
      <c r="H286" s="26">
        <f t="shared" si="49"/>
        <v>0</v>
      </c>
      <c r="I286" s="26">
        <f t="shared" si="49"/>
        <v>0</v>
      </c>
      <c r="J286" s="27" t="str">
        <f t="shared" si="50"/>
        <v>CO2REMOV</v>
      </c>
      <c r="K286" s="27" t="str">
        <f t="shared" si="53"/>
        <v>UNPAID</v>
      </c>
      <c r="L286" s="23">
        <f t="shared" si="45"/>
        <v>0</v>
      </c>
      <c r="M286" s="27">
        <f t="shared" si="51"/>
        <v>0</v>
      </c>
      <c r="N286" s="22">
        <f t="shared" si="54"/>
        <v>0</v>
      </c>
      <c r="O286" s="28">
        <f t="shared" si="52"/>
        <v>0</v>
      </c>
      <c r="T286" s="20"/>
    </row>
    <row r="287" spans="3:20" x14ac:dyDescent="0.35">
      <c r="C287" s="24" t="e">
        <f t="shared" si="44"/>
        <v>#VALUE!</v>
      </c>
      <c r="D287" s="25" t="str">
        <f t="shared" si="46"/>
        <v/>
      </c>
      <c r="E287" s="25">
        <f t="shared" si="47"/>
        <v>0</v>
      </c>
      <c r="F287" s="26">
        <f t="shared" si="48"/>
        <v>0</v>
      </c>
      <c r="G287" s="26">
        <f t="shared" si="49"/>
        <v>0</v>
      </c>
      <c r="H287" s="26">
        <f t="shared" si="49"/>
        <v>0</v>
      </c>
      <c r="I287" s="26">
        <f t="shared" si="49"/>
        <v>0</v>
      </c>
      <c r="J287" s="27" t="str">
        <f t="shared" si="50"/>
        <v>CO2REMOV</v>
      </c>
      <c r="K287" s="27" t="str">
        <f t="shared" si="53"/>
        <v>UNPAID</v>
      </c>
      <c r="L287" s="23">
        <f t="shared" si="45"/>
        <v>0</v>
      </c>
      <c r="M287" s="27">
        <f t="shared" si="51"/>
        <v>0</v>
      </c>
      <c r="N287" s="22">
        <f t="shared" si="54"/>
        <v>0</v>
      </c>
      <c r="O287" s="28">
        <f t="shared" si="52"/>
        <v>0</v>
      </c>
      <c r="T287" s="20"/>
    </row>
    <row r="288" spans="3:20" x14ac:dyDescent="0.35">
      <c r="C288" s="24" t="e">
        <f t="shared" si="44"/>
        <v>#VALUE!</v>
      </c>
      <c r="D288" s="25" t="str">
        <f t="shared" si="46"/>
        <v/>
      </c>
      <c r="E288" s="25">
        <f t="shared" si="47"/>
        <v>0</v>
      </c>
      <c r="F288" s="26">
        <f t="shared" si="48"/>
        <v>0</v>
      </c>
      <c r="G288" s="26">
        <f t="shared" si="49"/>
        <v>0</v>
      </c>
      <c r="H288" s="26">
        <f t="shared" si="49"/>
        <v>0</v>
      </c>
      <c r="I288" s="26">
        <f t="shared" si="49"/>
        <v>0</v>
      </c>
      <c r="J288" s="27" t="str">
        <f t="shared" si="50"/>
        <v>CO2REMOV</v>
      </c>
      <c r="K288" s="27" t="str">
        <f t="shared" si="53"/>
        <v>UNPAID</v>
      </c>
      <c r="L288" s="23">
        <f t="shared" si="45"/>
        <v>0</v>
      </c>
      <c r="M288" s="27">
        <f t="shared" si="51"/>
        <v>0</v>
      </c>
      <c r="N288" s="22">
        <f t="shared" si="54"/>
        <v>0</v>
      </c>
      <c r="O288" s="28">
        <f t="shared" si="52"/>
        <v>0</v>
      </c>
      <c r="T288" s="20"/>
    </row>
    <row r="289" spans="3:20" x14ac:dyDescent="0.35">
      <c r="C289" s="24" t="e">
        <f t="shared" si="44"/>
        <v>#VALUE!</v>
      </c>
      <c r="D289" s="25" t="str">
        <f t="shared" si="46"/>
        <v/>
      </c>
      <c r="E289" s="25">
        <f t="shared" si="47"/>
        <v>0</v>
      </c>
      <c r="F289" s="26">
        <f t="shared" si="48"/>
        <v>0</v>
      </c>
      <c r="G289" s="26">
        <f t="shared" si="49"/>
        <v>0</v>
      </c>
      <c r="H289" s="26">
        <f t="shared" si="49"/>
        <v>0</v>
      </c>
      <c r="I289" s="26">
        <f t="shared" si="49"/>
        <v>0</v>
      </c>
      <c r="J289" s="27" t="str">
        <f t="shared" si="50"/>
        <v>CO2REMOV</v>
      </c>
      <c r="K289" s="27" t="str">
        <f t="shared" si="53"/>
        <v>UNPAID</v>
      </c>
      <c r="L289" s="23">
        <f t="shared" si="45"/>
        <v>0</v>
      </c>
      <c r="M289" s="27">
        <f t="shared" si="51"/>
        <v>0</v>
      </c>
      <c r="N289" s="22">
        <f t="shared" si="54"/>
        <v>0</v>
      </c>
      <c r="O289" s="28">
        <f t="shared" si="52"/>
        <v>0</v>
      </c>
      <c r="T289" s="20"/>
    </row>
    <row r="290" spans="3:20" x14ac:dyDescent="0.35">
      <c r="C290" s="24" t="e">
        <f t="shared" si="44"/>
        <v>#VALUE!</v>
      </c>
      <c r="D290" s="25" t="str">
        <f t="shared" si="46"/>
        <v/>
      </c>
      <c r="E290" s="25">
        <f t="shared" si="47"/>
        <v>0</v>
      </c>
      <c r="F290" s="26">
        <f t="shared" si="48"/>
        <v>0</v>
      </c>
      <c r="G290" s="26">
        <f t="shared" si="49"/>
        <v>0</v>
      </c>
      <c r="H290" s="26">
        <f t="shared" si="49"/>
        <v>0</v>
      </c>
      <c r="I290" s="26">
        <f t="shared" si="49"/>
        <v>0</v>
      </c>
      <c r="J290" s="27" t="str">
        <f t="shared" si="50"/>
        <v>CO2REMOV</v>
      </c>
      <c r="K290" s="27" t="str">
        <f t="shared" si="53"/>
        <v>UNPAID</v>
      </c>
      <c r="L290" s="23">
        <f t="shared" si="45"/>
        <v>0</v>
      </c>
      <c r="M290" s="27">
        <f t="shared" si="51"/>
        <v>0</v>
      </c>
      <c r="N290" s="22">
        <f t="shared" si="54"/>
        <v>0</v>
      </c>
      <c r="O290" s="28">
        <f t="shared" si="52"/>
        <v>0</v>
      </c>
      <c r="T290" s="20"/>
    </row>
    <row r="291" spans="3:20" x14ac:dyDescent="0.35">
      <c r="C291" s="24" t="e">
        <f t="shared" si="44"/>
        <v>#VALUE!</v>
      </c>
      <c r="D291" s="25" t="str">
        <f t="shared" si="46"/>
        <v/>
      </c>
      <c r="E291" s="25">
        <f t="shared" si="47"/>
        <v>0</v>
      </c>
      <c r="F291" s="26">
        <f t="shared" si="48"/>
        <v>0</v>
      </c>
      <c r="G291" s="26">
        <f t="shared" si="49"/>
        <v>0</v>
      </c>
      <c r="H291" s="26">
        <f t="shared" si="49"/>
        <v>0</v>
      </c>
      <c r="I291" s="26">
        <f t="shared" si="49"/>
        <v>0</v>
      </c>
      <c r="J291" s="27" t="str">
        <f t="shared" si="50"/>
        <v>CO2REMOV</v>
      </c>
      <c r="K291" s="27" t="str">
        <f t="shared" si="53"/>
        <v>UNPAID</v>
      </c>
      <c r="L291" s="23">
        <f t="shared" si="45"/>
        <v>0</v>
      </c>
      <c r="M291" s="27">
        <f t="shared" si="51"/>
        <v>0</v>
      </c>
      <c r="N291" s="22">
        <f t="shared" si="54"/>
        <v>0</v>
      </c>
      <c r="O291" s="28">
        <f t="shared" si="52"/>
        <v>0</v>
      </c>
      <c r="T291" s="20"/>
    </row>
    <row r="292" spans="3:20" x14ac:dyDescent="0.35">
      <c r="C292" s="24" t="e">
        <f t="shared" si="44"/>
        <v>#VALUE!</v>
      </c>
      <c r="D292" s="25" t="str">
        <f t="shared" si="46"/>
        <v/>
      </c>
      <c r="E292" s="25">
        <f t="shared" si="47"/>
        <v>0</v>
      </c>
      <c r="F292" s="26">
        <f t="shared" si="48"/>
        <v>0</v>
      </c>
      <c r="G292" s="26">
        <f t="shared" si="49"/>
        <v>0</v>
      </c>
      <c r="H292" s="26">
        <f t="shared" si="49"/>
        <v>0</v>
      </c>
      <c r="I292" s="26">
        <f t="shared" si="49"/>
        <v>0</v>
      </c>
      <c r="J292" s="27" t="str">
        <f t="shared" si="50"/>
        <v>CO2REMOV</v>
      </c>
      <c r="K292" s="27" t="str">
        <f t="shared" si="53"/>
        <v>UNPAID</v>
      </c>
      <c r="L292" s="23">
        <f t="shared" si="45"/>
        <v>0</v>
      </c>
      <c r="M292" s="27">
        <f t="shared" si="51"/>
        <v>0</v>
      </c>
      <c r="N292" s="22">
        <f t="shared" si="54"/>
        <v>0</v>
      </c>
      <c r="O292" s="28">
        <f t="shared" si="52"/>
        <v>0</v>
      </c>
      <c r="T292" s="20"/>
    </row>
    <row r="293" spans="3:20" x14ac:dyDescent="0.35">
      <c r="C293" s="24" t="e">
        <f t="shared" si="44"/>
        <v>#VALUE!</v>
      </c>
      <c r="D293" s="25" t="str">
        <f t="shared" si="46"/>
        <v/>
      </c>
      <c r="E293" s="25">
        <f t="shared" si="47"/>
        <v>0</v>
      </c>
      <c r="F293" s="26">
        <f t="shared" si="48"/>
        <v>0</v>
      </c>
      <c r="G293" s="26">
        <f t="shared" si="49"/>
        <v>0</v>
      </c>
      <c r="H293" s="26">
        <f t="shared" si="49"/>
        <v>0</v>
      </c>
      <c r="I293" s="26">
        <f t="shared" si="49"/>
        <v>0</v>
      </c>
      <c r="J293" s="27" t="str">
        <f t="shared" si="50"/>
        <v>CO2REMOV</v>
      </c>
      <c r="K293" s="27" t="str">
        <f t="shared" si="53"/>
        <v>UNPAID</v>
      </c>
      <c r="L293" s="23">
        <f t="shared" si="45"/>
        <v>0</v>
      </c>
      <c r="M293" s="27">
        <f t="shared" si="51"/>
        <v>0</v>
      </c>
      <c r="N293" s="22">
        <f t="shared" si="54"/>
        <v>0</v>
      </c>
      <c r="O293" s="28">
        <f t="shared" si="52"/>
        <v>0</v>
      </c>
      <c r="T293" s="20"/>
    </row>
    <row r="294" spans="3:20" x14ac:dyDescent="0.35">
      <c r="C294" s="24" t="s">
        <v>54</v>
      </c>
      <c r="D294" s="25"/>
      <c r="E294" s="25"/>
      <c r="F294" s="26"/>
      <c r="G294" s="26"/>
      <c r="H294" s="26"/>
      <c r="I294" s="26"/>
      <c r="J294" s="27"/>
      <c r="K294" s="27" t="str">
        <f t="shared" si="53"/>
        <v>UNPAID</v>
      </c>
      <c r="L294" s="23">
        <f t="shared" si="45"/>
        <v>0</v>
      </c>
      <c r="M294" s="27"/>
      <c r="N294" s="22">
        <f t="shared" si="54"/>
        <v>0</v>
      </c>
      <c r="O294" s="28"/>
      <c r="T294" s="20"/>
    </row>
    <row r="295" spans="3:20" x14ac:dyDescent="0.35">
      <c r="C295" s="24" t="e">
        <f>C293+1</f>
        <v>#VALUE!</v>
      </c>
      <c r="D295" s="25" t="str">
        <f t="shared" si="46"/>
        <v/>
      </c>
      <c r="E295" s="25">
        <f t="shared" si="47"/>
        <v>0</v>
      </c>
      <c r="F295" s="26">
        <f t="shared" si="48"/>
        <v>0</v>
      </c>
      <c r="G295" s="26">
        <f t="shared" si="49"/>
        <v>0</v>
      </c>
      <c r="H295" s="26">
        <f t="shared" si="49"/>
        <v>0</v>
      </c>
      <c r="I295" s="26">
        <f t="shared" si="49"/>
        <v>0</v>
      </c>
      <c r="J295" s="27" t="str">
        <f t="shared" si="50"/>
        <v>CO2REMOV</v>
      </c>
      <c r="K295" s="27" t="str">
        <f t="shared" si="53"/>
        <v>UNPAID</v>
      </c>
      <c r="L295" s="23">
        <f t="shared" si="45"/>
        <v>0</v>
      </c>
      <c r="M295" s="27">
        <f t="shared" si="51"/>
        <v>0</v>
      </c>
      <c r="N295" s="22">
        <f t="shared" si="54"/>
        <v>0</v>
      </c>
      <c r="O295" s="28">
        <f t="shared" si="52"/>
        <v>0</v>
      </c>
      <c r="T295" s="20"/>
    </row>
    <row r="296" spans="3:20" x14ac:dyDescent="0.35">
      <c r="C296" s="24" t="e">
        <f t="shared" si="44"/>
        <v>#VALUE!</v>
      </c>
      <c r="D296" s="25" t="str">
        <f t="shared" si="46"/>
        <v/>
      </c>
      <c r="E296" s="25">
        <f t="shared" si="47"/>
        <v>0</v>
      </c>
      <c r="F296" s="26">
        <f t="shared" si="48"/>
        <v>0</v>
      </c>
      <c r="G296" s="26">
        <f t="shared" si="49"/>
        <v>0</v>
      </c>
      <c r="H296" s="26">
        <f t="shared" si="49"/>
        <v>0</v>
      </c>
      <c r="I296" s="26">
        <f t="shared" si="49"/>
        <v>0</v>
      </c>
      <c r="J296" s="27" t="str">
        <f t="shared" si="50"/>
        <v>CO2REMOV</v>
      </c>
      <c r="K296" s="27" t="str">
        <f t="shared" si="53"/>
        <v>UNPAID</v>
      </c>
      <c r="L296" s="23">
        <f t="shared" si="45"/>
        <v>0</v>
      </c>
      <c r="M296" s="27">
        <f t="shared" si="51"/>
        <v>0</v>
      </c>
      <c r="N296" s="22">
        <f t="shared" si="54"/>
        <v>0</v>
      </c>
      <c r="O296" s="28">
        <f t="shared" si="52"/>
        <v>0</v>
      </c>
      <c r="T296" s="20"/>
    </row>
    <row r="297" spans="3:20" x14ac:dyDescent="0.35">
      <c r="C297" s="24" t="e">
        <f t="shared" si="44"/>
        <v>#VALUE!</v>
      </c>
      <c r="D297" s="25" t="str">
        <f t="shared" si="46"/>
        <v/>
      </c>
      <c r="E297" s="25">
        <f t="shared" si="47"/>
        <v>0</v>
      </c>
      <c r="F297" s="26">
        <f t="shared" si="48"/>
        <v>0</v>
      </c>
      <c r="G297" s="26">
        <f t="shared" si="49"/>
        <v>0</v>
      </c>
      <c r="H297" s="26">
        <f t="shared" si="49"/>
        <v>0</v>
      </c>
      <c r="I297" s="26">
        <f t="shared" si="49"/>
        <v>0</v>
      </c>
      <c r="J297" s="27" t="str">
        <f t="shared" si="50"/>
        <v>CO2REMOV</v>
      </c>
      <c r="K297" s="27" t="str">
        <f t="shared" si="53"/>
        <v>UNPAID</v>
      </c>
      <c r="L297" s="23">
        <f t="shared" si="45"/>
        <v>0</v>
      </c>
      <c r="M297" s="27">
        <f t="shared" si="51"/>
        <v>0</v>
      </c>
      <c r="N297" s="22">
        <f t="shared" si="54"/>
        <v>0</v>
      </c>
      <c r="O297" s="28">
        <f t="shared" si="52"/>
        <v>0</v>
      </c>
      <c r="T297" s="20"/>
    </row>
    <row r="298" spans="3:20" x14ac:dyDescent="0.35">
      <c r="C298" s="24" t="e">
        <f t="shared" si="44"/>
        <v>#VALUE!</v>
      </c>
      <c r="D298" s="25" t="str">
        <f t="shared" si="46"/>
        <v/>
      </c>
      <c r="E298" s="25">
        <f t="shared" si="47"/>
        <v>0</v>
      </c>
      <c r="F298" s="26">
        <f t="shared" si="48"/>
        <v>0</v>
      </c>
      <c r="G298" s="26">
        <f t="shared" si="49"/>
        <v>0</v>
      </c>
      <c r="H298" s="26">
        <f t="shared" si="49"/>
        <v>0</v>
      </c>
      <c r="I298" s="26">
        <f t="shared" si="49"/>
        <v>0</v>
      </c>
      <c r="J298" s="27" t="str">
        <f t="shared" si="50"/>
        <v>CO2REMOV</v>
      </c>
      <c r="K298" s="27" t="str">
        <f t="shared" si="53"/>
        <v>UNPAID</v>
      </c>
      <c r="L298" s="23">
        <f t="shared" si="45"/>
        <v>0</v>
      </c>
      <c r="M298" s="27">
        <f t="shared" si="51"/>
        <v>0</v>
      </c>
      <c r="N298" s="22">
        <f t="shared" si="54"/>
        <v>0</v>
      </c>
      <c r="O298" s="28">
        <f t="shared" si="52"/>
        <v>0</v>
      </c>
      <c r="T298" s="20"/>
    </row>
    <row r="299" spans="3:20" x14ac:dyDescent="0.35">
      <c r="C299" s="24" t="e">
        <f t="shared" si="44"/>
        <v>#VALUE!</v>
      </c>
      <c r="D299" s="25" t="str">
        <f t="shared" si="46"/>
        <v/>
      </c>
      <c r="E299" s="25">
        <f t="shared" si="47"/>
        <v>0</v>
      </c>
      <c r="F299" s="26">
        <f t="shared" si="48"/>
        <v>0</v>
      </c>
      <c r="G299" s="26">
        <f t="shared" si="49"/>
        <v>0</v>
      </c>
      <c r="H299" s="26">
        <f t="shared" si="49"/>
        <v>0</v>
      </c>
      <c r="I299" s="26">
        <f t="shared" si="49"/>
        <v>0</v>
      </c>
      <c r="J299" s="27" t="str">
        <f t="shared" si="50"/>
        <v>CO2REMOV</v>
      </c>
      <c r="K299" s="27" t="str">
        <f t="shared" si="53"/>
        <v>UNPAID</v>
      </c>
      <c r="L299" s="23">
        <f t="shared" si="45"/>
        <v>0</v>
      </c>
      <c r="M299" s="27">
        <f t="shared" si="51"/>
        <v>0</v>
      </c>
      <c r="N299" s="22">
        <f t="shared" si="54"/>
        <v>0</v>
      </c>
      <c r="O299" s="28">
        <f t="shared" si="52"/>
        <v>0</v>
      </c>
      <c r="T299" s="20"/>
    </row>
    <row r="300" spans="3:20" x14ac:dyDescent="0.35">
      <c r="C300" s="24" t="e">
        <f t="shared" si="44"/>
        <v>#VALUE!</v>
      </c>
      <c r="D300" s="25" t="str">
        <f t="shared" si="46"/>
        <v/>
      </c>
      <c r="E300" s="25">
        <f t="shared" si="47"/>
        <v>0</v>
      </c>
      <c r="F300" s="26">
        <f t="shared" si="48"/>
        <v>0</v>
      </c>
      <c r="G300" s="26">
        <f t="shared" si="49"/>
        <v>0</v>
      </c>
      <c r="H300" s="26">
        <f t="shared" si="49"/>
        <v>0</v>
      </c>
      <c r="I300" s="26">
        <f t="shared" si="49"/>
        <v>0</v>
      </c>
      <c r="J300" s="27" t="str">
        <f t="shared" si="50"/>
        <v>CO2REMOV</v>
      </c>
      <c r="K300" s="27" t="str">
        <f t="shared" si="53"/>
        <v>UNPAID</v>
      </c>
      <c r="L300" s="23">
        <f t="shared" si="45"/>
        <v>0</v>
      </c>
      <c r="M300" s="27">
        <f t="shared" si="51"/>
        <v>0</v>
      </c>
      <c r="N300" s="22">
        <f t="shared" si="54"/>
        <v>0</v>
      </c>
      <c r="O300" s="28">
        <f t="shared" si="52"/>
        <v>0</v>
      </c>
      <c r="T300" s="20"/>
    </row>
    <row r="301" spans="3:20" x14ac:dyDescent="0.35">
      <c r="C301" s="24" t="e">
        <f t="shared" si="44"/>
        <v>#VALUE!</v>
      </c>
      <c r="D301" s="25" t="str">
        <f t="shared" si="46"/>
        <v/>
      </c>
      <c r="E301" s="25">
        <f t="shared" si="47"/>
        <v>0</v>
      </c>
      <c r="F301" s="26">
        <f t="shared" si="48"/>
        <v>0</v>
      </c>
      <c r="G301" s="26">
        <f t="shared" si="49"/>
        <v>0</v>
      </c>
      <c r="H301" s="26">
        <f t="shared" si="49"/>
        <v>0</v>
      </c>
      <c r="I301" s="26">
        <f t="shared" si="49"/>
        <v>0</v>
      </c>
      <c r="J301" s="27" t="str">
        <f t="shared" si="50"/>
        <v>CO2REMOV</v>
      </c>
      <c r="K301" s="27" t="str">
        <f t="shared" si="53"/>
        <v>UNPAID</v>
      </c>
      <c r="L301" s="23">
        <f t="shared" si="45"/>
        <v>0</v>
      </c>
      <c r="M301" s="27">
        <f t="shared" si="51"/>
        <v>0</v>
      </c>
      <c r="N301" s="22">
        <f t="shared" si="54"/>
        <v>0</v>
      </c>
      <c r="O301" s="28">
        <f t="shared" si="52"/>
        <v>0</v>
      </c>
      <c r="T301" s="20"/>
    </row>
    <row r="302" spans="3:20" x14ac:dyDescent="0.35">
      <c r="C302" s="24" t="e">
        <f t="shared" si="44"/>
        <v>#VALUE!</v>
      </c>
      <c r="D302" s="25" t="str">
        <f t="shared" si="46"/>
        <v/>
      </c>
      <c r="E302" s="25">
        <f t="shared" si="47"/>
        <v>0</v>
      </c>
      <c r="F302" s="26">
        <f t="shared" si="48"/>
        <v>0</v>
      </c>
      <c r="G302" s="26">
        <f t="shared" si="49"/>
        <v>0</v>
      </c>
      <c r="H302" s="26">
        <f t="shared" si="49"/>
        <v>0</v>
      </c>
      <c r="I302" s="26">
        <f t="shared" si="49"/>
        <v>0</v>
      </c>
      <c r="J302" s="27" t="str">
        <f t="shared" si="50"/>
        <v>CO2REMOV</v>
      </c>
      <c r="K302" s="27" t="str">
        <f t="shared" si="53"/>
        <v>UNPAID</v>
      </c>
      <c r="L302" s="23">
        <f t="shared" si="45"/>
        <v>0</v>
      </c>
      <c r="M302" s="27">
        <f t="shared" si="51"/>
        <v>0</v>
      </c>
      <c r="N302" s="22">
        <f t="shared" si="54"/>
        <v>0</v>
      </c>
      <c r="O302" s="28">
        <f t="shared" si="52"/>
        <v>0</v>
      </c>
      <c r="T302" s="20"/>
    </row>
    <row r="303" spans="3:20" x14ac:dyDescent="0.35">
      <c r="C303" s="24" t="e">
        <f t="shared" si="44"/>
        <v>#VALUE!</v>
      </c>
      <c r="D303" s="25" t="str">
        <f t="shared" si="46"/>
        <v/>
      </c>
      <c r="E303" s="25">
        <f t="shared" si="47"/>
        <v>0</v>
      </c>
      <c r="F303" s="26">
        <f t="shared" si="48"/>
        <v>0</v>
      </c>
      <c r="G303" s="26">
        <f t="shared" si="49"/>
        <v>0</v>
      </c>
      <c r="H303" s="26">
        <f t="shared" si="49"/>
        <v>0</v>
      </c>
      <c r="I303" s="26">
        <f t="shared" si="49"/>
        <v>0</v>
      </c>
      <c r="J303" s="27" t="str">
        <f t="shared" si="50"/>
        <v>CO2REMOV</v>
      </c>
      <c r="K303" s="27" t="str">
        <f t="shared" si="53"/>
        <v>UNPAID</v>
      </c>
      <c r="L303" s="23">
        <f t="shared" si="45"/>
        <v>0</v>
      </c>
      <c r="M303" s="27">
        <f t="shared" si="51"/>
        <v>0</v>
      </c>
      <c r="N303" s="22">
        <f t="shared" si="54"/>
        <v>0</v>
      </c>
      <c r="O303" s="28">
        <f t="shared" si="52"/>
        <v>0</v>
      </c>
      <c r="T303" s="20"/>
    </row>
    <row r="304" spans="3:20" x14ac:dyDescent="0.35">
      <c r="C304" s="24" t="e">
        <f t="shared" si="44"/>
        <v>#VALUE!</v>
      </c>
      <c r="D304" s="25" t="str">
        <f t="shared" si="46"/>
        <v/>
      </c>
      <c r="E304" s="25">
        <f t="shared" si="47"/>
        <v>0</v>
      </c>
      <c r="F304" s="26">
        <f t="shared" si="48"/>
        <v>0</v>
      </c>
      <c r="G304" s="26">
        <f t="shared" si="49"/>
        <v>0</v>
      </c>
      <c r="H304" s="26">
        <f t="shared" si="49"/>
        <v>0</v>
      </c>
      <c r="I304" s="26">
        <f t="shared" si="49"/>
        <v>0</v>
      </c>
      <c r="J304" s="27" t="str">
        <f t="shared" si="50"/>
        <v>CO2REMOV</v>
      </c>
      <c r="K304" s="27" t="str">
        <f t="shared" si="53"/>
        <v>UNPAID</v>
      </c>
      <c r="L304" s="23">
        <f t="shared" si="45"/>
        <v>0</v>
      </c>
      <c r="M304" s="27">
        <f t="shared" si="51"/>
        <v>0</v>
      </c>
      <c r="N304" s="22">
        <f t="shared" si="54"/>
        <v>0</v>
      </c>
      <c r="O304" s="28">
        <f t="shared" si="52"/>
        <v>0</v>
      </c>
      <c r="T304" s="20"/>
    </row>
    <row r="305" spans="3:20" x14ac:dyDescent="0.35">
      <c r="C305" s="24" t="e">
        <f t="shared" si="44"/>
        <v>#VALUE!</v>
      </c>
      <c r="D305" s="25" t="str">
        <f t="shared" si="46"/>
        <v/>
      </c>
      <c r="E305" s="25">
        <f t="shared" si="47"/>
        <v>0</v>
      </c>
      <c r="F305" s="26">
        <f t="shared" si="48"/>
        <v>0</v>
      </c>
      <c r="G305" s="26">
        <f t="shared" si="49"/>
        <v>0</v>
      </c>
      <c r="H305" s="26">
        <f t="shared" si="49"/>
        <v>0</v>
      </c>
      <c r="I305" s="26">
        <f t="shared" si="49"/>
        <v>0</v>
      </c>
      <c r="J305" s="27" t="str">
        <f t="shared" si="50"/>
        <v>CO2REMOV</v>
      </c>
      <c r="K305" s="27" t="str">
        <f t="shared" si="53"/>
        <v>UNPAID</v>
      </c>
      <c r="L305" s="23">
        <f t="shared" si="45"/>
        <v>0</v>
      </c>
      <c r="M305" s="27">
        <f t="shared" si="51"/>
        <v>0</v>
      </c>
      <c r="N305" s="22">
        <f t="shared" si="54"/>
        <v>0</v>
      </c>
      <c r="O305" s="28">
        <f t="shared" si="52"/>
        <v>0</v>
      </c>
      <c r="T305" s="20"/>
    </row>
    <row r="306" spans="3:20" x14ac:dyDescent="0.35">
      <c r="C306" s="24" t="e">
        <f t="shared" si="44"/>
        <v>#VALUE!</v>
      </c>
      <c r="D306" s="25" t="str">
        <f t="shared" si="46"/>
        <v/>
      </c>
      <c r="E306" s="25">
        <f t="shared" si="47"/>
        <v>0</v>
      </c>
      <c r="F306" s="26">
        <f t="shared" si="48"/>
        <v>0</v>
      </c>
      <c r="G306" s="26">
        <f t="shared" si="49"/>
        <v>0</v>
      </c>
      <c r="H306" s="26">
        <f t="shared" si="49"/>
        <v>0</v>
      </c>
      <c r="I306" s="26">
        <f t="shared" si="49"/>
        <v>0</v>
      </c>
      <c r="J306" s="27" t="str">
        <f t="shared" si="50"/>
        <v>CO2REMOV</v>
      </c>
      <c r="K306" s="27" t="str">
        <f t="shared" si="53"/>
        <v>UNPAID</v>
      </c>
      <c r="L306" s="23">
        <f t="shared" si="45"/>
        <v>0</v>
      </c>
      <c r="M306" s="27">
        <f t="shared" si="51"/>
        <v>0</v>
      </c>
      <c r="N306" s="22">
        <f t="shared" si="54"/>
        <v>0</v>
      </c>
      <c r="O306" s="28">
        <f t="shared" si="52"/>
        <v>0</v>
      </c>
      <c r="T306" s="20"/>
    </row>
    <row r="307" spans="3:20" x14ac:dyDescent="0.35">
      <c r="C307" s="24" t="e">
        <f t="shared" si="44"/>
        <v>#VALUE!</v>
      </c>
      <c r="D307" s="25" t="str">
        <f t="shared" si="46"/>
        <v/>
      </c>
      <c r="E307" s="25">
        <f t="shared" si="47"/>
        <v>0</v>
      </c>
      <c r="F307" s="26">
        <f t="shared" si="48"/>
        <v>0</v>
      </c>
      <c r="G307" s="26">
        <f t="shared" si="49"/>
        <v>0</v>
      </c>
      <c r="H307" s="26">
        <f t="shared" si="49"/>
        <v>0</v>
      </c>
      <c r="I307" s="26">
        <f t="shared" si="49"/>
        <v>0</v>
      </c>
      <c r="J307" s="27" t="str">
        <f t="shared" si="50"/>
        <v>CO2REMOV</v>
      </c>
      <c r="K307" s="27" t="str">
        <f t="shared" si="53"/>
        <v>UNPAID</v>
      </c>
      <c r="L307" s="23">
        <f t="shared" si="45"/>
        <v>0</v>
      </c>
      <c r="M307" s="27">
        <f t="shared" si="51"/>
        <v>0</v>
      </c>
      <c r="N307" s="22">
        <f t="shared" si="54"/>
        <v>0</v>
      </c>
      <c r="O307" s="28">
        <f t="shared" si="52"/>
        <v>0</v>
      </c>
      <c r="T307" s="20"/>
    </row>
    <row r="308" spans="3:20" x14ac:dyDescent="0.35">
      <c r="C308" s="24" t="e">
        <f t="shared" si="44"/>
        <v>#VALUE!</v>
      </c>
      <c r="D308" s="25" t="str">
        <f t="shared" si="46"/>
        <v/>
      </c>
      <c r="E308" s="25">
        <f t="shared" si="47"/>
        <v>0</v>
      </c>
      <c r="F308" s="26">
        <f t="shared" si="48"/>
        <v>0</v>
      </c>
      <c r="G308" s="26">
        <f t="shared" si="49"/>
        <v>0</v>
      </c>
      <c r="H308" s="26">
        <f t="shared" si="49"/>
        <v>0</v>
      </c>
      <c r="I308" s="26">
        <f t="shared" si="49"/>
        <v>0</v>
      </c>
      <c r="J308" s="27" t="str">
        <f t="shared" si="50"/>
        <v>CO2REMOV</v>
      </c>
      <c r="K308" s="27" t="str">
        <f t="shared" si="53"/>
        <v>UNPAID</v>
      </c>
      <c r="L308" s="23">
        <f t="shared" si="45"/>
        <v>0</v>
      </c>
      <c r="M308" s="27">
        <f t="shared" si="51"/>
        <v>0</v>
      </c>
      <c r="N308" s="22">
        <f t="shared" si="54"/>
        <v>0</v>
      </c>
      <c r="O308" s="28">
        <f t="shared" si="52"/>
        <v>0</v>
      </c>
      <c r="T308" s="20"/>
    </row>
    <row r="309" spans="3:20" x14ac:dyDescent="0.35">
      <c r="C309" s="24" t="e">
        <f t="shared" si="44"/>
        <v>#VALUE!</v>
      </c>
      <c r="D309" s="25" t="str">
        <f t="shared" si="46"/>
        <v/>
      </c>
      <c r="E309" s="25">
        <f t="shared" si="47"/>
        <v>0</v>
      </c>
      <c r="F309" s="26">
        <f t="shared" si="48"/>
        <v>0</v>
      </c>
      <c r="G309" s="26">
        <f t="shared" si="49"/>
        <v>0</v>
      </c>
      <c r="H309" s="26">
        <f t="shared" si="49"/>
        <v>0</v>
      </c>
      <c r="I309" s="26">
        <f t="shared" si="49"/>
        <v>0</v>
      </c>
      <c r="J309" s="27" t="str">
        <f t="shared" si="50"/>
        <v>CO2REMOV</v>
      </c>
      <c r="K309" s="27" t="str">
        <f t="shared" si="53"/>
        <v>UNPAID</v>
      </c>
      <c r="L309" s="23">
        <f t="shared" si="45"/>
        <v>0</v>
      </c>
      <c r="M309" s="27">
        <f t="shared" si="51"/>
        <v>0</v>
      </c>
      <c r="N309" s="22">
        <f t="shared" si="54"/>
        <v>0</v>
      </c>
      <c r="O309" s="28">
        <f t="shared" si="52"/>
        <v>0</v>
      </c>
      <c r="T309" s="20"/>
    </row>
    <row r="310" spans="3:20" x14ac:dyDescent="0.35">
      <c r="C310" s="24" t="e">
        <f t="shared" si="44"/>
        <v>#VALUE!</v>
      </c>
      <c r="D310" s="25" t="str">
        <f t="shared" si="46"/>
        <v/>
      </c>
      <c r="E310" s="25">
        <f t="shared" si="47"/>
        <v>0</v>
      </c>
      <c r="F310" s="26">
        <f t="shared" si="48"/>
        <v>0</v>
      </c>
      <c r="G310" s="26">
        <f t="shared" si="49"/>
        <v>0</v>
      </c>
      <c r="H310" s="26">
        <f t="shared" si="49"/>
        <v>0</v>
      </c>
      <c r="I310" s="26">
        <f t="shared" si="49"/>
        <v>0</v>
      </c>
      <c r="J310" s="27" t="str">
        <f t="shared" si="50"/>
        <v>CO2REMOV</v>
      </c>
      <c r="K310" s="27" t="str">
        <f t="shared" si="53"/>
        <v>UNPAID</v>
      </c>
      <c r="L310" s="23">
        <f t="shared" si="45"/>
        <v>0</v>
      </c>
      <c r="M310" s="27">
        <f t="shared" si="51"/>
        <v>0</v>
      </c>
      <c r="N310" s="22">
        <f t="shared" si="54"/>
        <v>0</v>
      </c>
      <c r="O310" s="28">
        <f t="shared" si="52"/>
        <v>0</v>
      </c>
      <c r="T310" s="20"/>
    </row>
    <row r="311" spans="3:20" x14ac:dyDescent="0.35">
      <c r="C311" s="24" t="e">
        <f t="shared" si="44"/>
        <v>#VALUE!</v>
      </c>
      <c r="D311" s="25" t="str">
        <f t="shared" si="46"/>
        <v/>
      </c>
      <c r="E311" s="25">
        <f t="shared" si="47"/>
        <v>0</v>
      </c>
      <c r="F311" s="26">
        <f t="shared" si="48"/>
        <v>0</v>
      </c>
      <c r="G311" s="26">
        <f t="shared" si="49"/>
        <v>0</v>
      </c>
      <c r="H311" s="26">
        <f t="shared" si="49"/>
        <v>0</v>
      </c>
      <c r="I311" s="26">
        <f t="shared" si="49"/>
        <v>0</v>
      </c>
      <c r="J311" s="27" t="str">
        <f t="shared" si="50"/>
        <v>CO2REMOV</v>
      </c>
      <c r="K311" s="27" t="str">
        <f t="shared" si="53"/>
        <v>UNPAID</v>
      </c>
      <c r="L311" s="23">
        <f t="shared" si="45"/>
        <v>0</v>
      </c>
      <c r="M311" s="27">
        <f t="shared" si="51"/>
        <v>0</v>
      </c>
      <c r="N311" s="22">
        <f t="shared" si="54"/>
        <v>0</v>
      </c>
      <c r="O311" s="28">
        <f t="shared" si="52"/>
        <v>0</v>
      </c>
      <c r="T311" s="20"/>
    </row>
    <row r="312" spans="3:20" x14ac:dyDescent="0.35">
      <c r="C312" s="24" t="e">
        <f t="shared" si="44"/>
        <v>#VALUE!</v>
      </c>
      <c r="D312" s="25" t="str">
        <f t="shared" si="46"/>
        <v/>
      </c>
      <c r="E312" s="25">
        <f t="shared" si="47"/>
        <v>0</v>
      </c>
      <c r="F312" s="26">
        <f t="shared" si="48"/>
        <v>0</v>
      </c>
      <c r="G312" s="26">
        <f t="shared" si="49"/>
        <v>0</v>
      </c>
      <c r="H312" s="26">
        <f t="shared" si="49"/>
        <v>0</v>
      </c>
      <c r="I312" s="26">
        <f t="shared" si="49"/>
        <v>0</v>
      </c>
      <c r="J312" s="27" t="str">
        <f t="shared" si="50"/>
        <v>CO2REMOV</v>
      </c>
      <c r="K312" s="27" t="str">
        <f t="shared" si="53"/>
        <v>UNPAID</v>
      </c>
      <c r="L312" s="23">
        <f t="shared" si="45"/>
        <v>0</v>
      </c>
      <c r="M312" s="27">
        <f t="shared" si="51"/>
        <v>0</v>
      </c>
      <c r="N312" s="22">
        <f t="shared" si="54"/>
        <v>0</v>
      </c>
      <c r="O312" s="28">
        <f t="shared" si="52"/>
        <v>0</v>
      </c>
      <c r="T312" s="20"/>
    </row>
    <row r="313" spans="3:20" x14ac:dyDescent="0.35">
      <c r="C313" s="24" t="e">
        <f t="shared" si="44"/>
        <v>#VALUE!</v>
      </c>
      <c r="D313" s="25" t="str">
        <f t="shared" si="46"/>
        <v/>
      </c>
      <c r="E313" s="25">
        <f t="shared" si="47"/>
        <v>0</v>
      </c>
      <c r="F313" s="26">
        <f t="shared" si="48"/>
        <v>0</v>
      </c>
      <c r="G313" s="26">
        <f t="shared" si="49"/>
        <v>0</v>
      </c>
      <c r="H313" s="26">
        <f t="shared" si="49"/>
        <v>0</v>
      </c>
      <c r="I313" s="26">
        <f t="shared" si="49"/>
        <v>0</v>
      </c>
      <c r="J313" s="27" t="str">
        <f t="shared" si="50"/>
        <v>CO2REMOV</v>
      </c>
      <c r="K313" s="27" t="str">
        <f t="shared" si="53"/>
        <v>UNPAID</v>
      </c>
      <c r="L313" s="23">
        <f t="shared" si="45"/>
        <v>0</v>
      </c>
      <c r="M313" s="27">
        <f t="shared" si="51"/>
        <v>0</v>
      </c>
      <c r="N313" s="22">
        <f t="shared" si="54"/>
        <v>0</v>
      </c>
      <c r="O313" s="28">
        <f t="shared" si="52"/>
        <v>0</v>
      </c>
      <c r="T313" s="20"/>
    </row>
    <row r="314" spans="3:20" x14ac:dyDescent="0.35">
      <c r="C314" s="24" t="e">
        <f t="shared" si="44"/>
        <v>#VALUE!</v>
      </c>
      <c r="D314" s="25" t="str">
        <f t="shared" si="46"/>
        <v/>
      </c>
      <c r="E314" s="25">
        <f t="shared" si="47"/>
        <v>0</v>
      </c>
      <c r="F314" s="26">
        <f t="shared" si="48"/>
        <v>0</v>
      </c>
      <c r="G314" s="26">
        <f t="shared" si="49"/>
        <v>0</v>
      </c>
      <c r="H314" s="26">
        <f t="shared" si="49"/>
        <v>0</v>
      </c>
      <c r="I314" s="26">
        <f t="shared" si="49"/>
        <v>0</v>
      </c>
      <c r="J314" s="27" t="str">
        <f t="shared" si="50"/>
        <v>CO2REMOV</v>
      </c>
      <c r="K314" s="27" t="str">
        <f t="shared" si="53"/>
        <v>UNPAID</v>
      </c>
      <c r="L314" s="23">
        <f t="shared" si="45"/>
        <v>0</v>
      </c>
      <c r="M314" s="27">
        <f t="shared" si="51"/>
        <v>0</v>
      </c>
      <c r="N314" s="22">
        <f t="shared" si="54"/>
        <v>0</v>
      </c>
      <c r="O314" s="28">
        <f t="shared" si="52"/>
        <v>0</v>
      </c>
      <c r="T314" s="20"/>
    </row>
    <row r="315" spans="3:20" x14ac:dyDescent="0.35">
      <c r="C315" s="24" t="e">
        <f t="shared" si="44"/>
        <v>#VALUE!</v>
      </c>
      <c r="D315" s="25" t="str">
        <f t="shared" si="46"/>
        <v/>
      </c>
      <c r="E315" s="25">
        <f t="shared" si="47"/>
        <v>0</v>
      </c>
      <c r="F315" s="26">
        <f t="shared" si="48"/>
        <v>0</v>
      </c>
      <c r="G315" s="26">
        <f t="shared" si="49"/>
        <v>0</v>
      </c>
      <c r="H315" s="26">
        <f t="shared" si="49"/>
        <v>0</v>
      </c>
      <c r="I315" s="26">
        <f t="shared" si="49"/>
        <v>0</v>
      </c>
      <c r="J315" s="27" t="str">
        <f t="shared" si="50"/>
        <v>CO2REMOV</v>
      </c>
      <c r="K315" s="27" t="str">
        <f t="shared" si="53"/>
        <v>UNPAID</v>
      </c>
      <c r="L315" s="23">
        <f t="shared" si="45"/>
        <v>0</v>
      </c>
      <c r="M315" s="27">
        <f t="shared" si="51"/>
        <v>0</v>
      </c>
      <c r="N315" s="22">
        <f t="shared" si="54"/>
        <v>0</v>
      </c>
      <c r="O315" s="28">
        <f t="shared" si="52"/>
        <v>0</v>
      </c>
      <c r="T315" s="20"/>
    </row>
    <row r="316" spans="3:20" x14ac:dyDescent="0.35">
      <c r="C316" s="24" t="e">
        <f t="shared" si="44"/>
        <v>#VALUE!</v>
      </c>
      <c r="D316" s="25" t="str">
        <f t="shared" si="46"/>
        <v/>
      </c>
      <c r="E316" s="25">
        <f t="shared" si="47"/>
        <v>0</v>
      </c>
      <c r="F316" s="26">
        <f t="shared" si="48"/>
        <v>0</v>
      </c>
      <c r="G316" s="26">
        <f t="shared" si="49"/>
        <v>0</v>
      </c>
      <c r="H316" s="26">
        <f t="shared" si="49"/>
        <v>0</v>
      </c>
      <c r="I316" s="26">
        <f t="shared" si="49"/>
        <v>0</v>
      </c>
      <c r="J316" s="27" t="str">
        <f t="shared" si="50"/>
        <v>CO2REMOV</v>
      </c>
      <c r="K316" s="27" t="str">
        <f t="shared" si="53"/>
        <v>UNPAID</v>
      </c>
      <c r="L316" s="23">
        <f t="shared" si="45"/>
        <v>0</v>
      </c>
      <c r="M316" s="27">
        <f t="shared" si="51"/>
        <v>0</v>
      </c>
      <c r="N316" s="22">
        <f t="shared" si="54"/>
        <v>0</v>
      </c>
      <c r="O316" s="28">
        <f t="shared" si="52"/>
        <v>0</v>
      </c>
      <c r="T316" s="20"/>
    </row>
    <row r="317" spans="3:20" x14ac:dyDescent="0.35">
      <c r="C317" s="24" t="e">
        <f t="shared" si="44"/>
        <v>#VALUE!</v>
      </c>
      <c r="D317" s="25" t="str">
        <f t="shared" si="46"/>
        <v/>
      </c>
      <c r="E317" s="25">
        <f t="shared" si="47"/>
        <v>0</v>
      </c>
      <c r="F317" s="26">
        <f t="shared" si="48"/>
        <v>0</v>
      </c>
      <c r="G317" s="26">
        <f t="shared" si="49"/>
        <v>0</v>
      </c>
      <c r="H317" s="26">
        <f t="shared" si="49"/>
        <v>0</v>
      </c>
      <c r="I317" s="26">
        <f t="shared" si="49"/>
        <v>0</v>
      </c>
      <c r="J317" s="27" t="str">
        <f t="shared" si="50"/>
        <v>CO2REMOV</v>
      </c>
      <c r="K317" s="27" t="str">
        <f t="shared" si="53"/>
        <v>UNPAID</v>
      </c>
      <c r="L317" s="23">
        <f t="shared" si="45"/>
        <v>0</v>
      </c>
      <c r="M317" s="27">
        <f t="shared" si="51"/>
        <v>0</v>
      </c>
      <c r="N317" s="22">
        <f t="shared" si="54"/>
        <v>0</v>
      </c>
      <c r="O317" s="28">
        <f t="shared" si="52"/>
        <v>0</v>
      </c>
      <c r="T317" s="20"/>
    </row>
    <row r="318" spans="3:20" x14ac:dyDescent="0.35">
      <c r="C318" s="24" t="e">
        <f t="shared" si="44"/>
        <v>#VALUE!</v>
      </c>
      <c r="D318" s="25" t="str">
        <f t="shared" si="46"/>
        <v/>
      </c>
      <c r="E318" s="25">
        <f t="shared" si="47"/>
        <v>0</v>
      </c>
      <c r="F318" s="26">
        <f t="shared" si="48"/>
        <v>0</v>
      </c>
      <c r="G318" s="26">
        <f t="shared" si="49"/>
        <v>0</v>
      </c>
      <c r="H318" s="26">
        <f t="shared" si="49"/>
        <v>0</v>
      </c>
      <c r="I318" s="26">
        <f t="shared" si="49"/>
        <v>0</v>
      </c>
      <c r="J318" s="27" t="str">
        <f t="shared" si="50"/>
        <v>CO2REMOV</v>
      </c>
      <c r="K318" s="27" t="str">
        <f t="shared" si="53"/>
        <v>UNPAID</v>
      </c>
      <c r="L318" s="23">
        <f t="shared" si="45"/>
        <v>0</v>
      </c>
      <c r="M318" s="27">
        <f t="shared" si="51"/>
        <v>0</v>
      </c>
      <c r="N318" s="22">
        <f t="shared" si="54"/>
        <v>0</v>
      </c>
      <c r="O318" s="28">
        <f t="shared" si="52"/>
        <v>0</v>
      </c>
      <c r="T318" s="20"/>
    </row>
    <row r="319" spans="3:20" x14ac:dyDescent="0.35">
      <c r="C319" s="24" t="e">
        <f t="shared" si="44"/>
        <v>#VALUE!</v>
      </c>
      <c r="D319" s="25" t="str">
        <f t="shared" si="46"/>
        <v/>
      </c>
      <c r="E319" s="25">
        <f t="shared" si="47"/>
        <v>0</v>
      </c>
      <c r="F319" s="26">
        <f t="shared" si="48"/>
        <v>0</v>
      </c>
      <c r="G319" s="26">
        <f t="shared" si="49"/>
        <v>0</v>
      </c>
      <c r="H319" s="26">
        <f t="shared" si="49"/>
        <v>0</v>
      </c>
      <c r="I319" s="26">
        <f t="shared" si="49"/>
        <v>0</v>
      </c>
      <c r="J319" s="27" t="str">
        <f t="shared" si="50"/>
        <v>CO2REMOV</v>
      </c>
      <c r="K319" s="27" t="str">
        <f t="shared" si="53"/>
        <v>UNPAID</v>
      </c>
      <c r="L319" s="23">
        <f t="shared" si="45"/>
        <v>0</v>
      </c>
      <c r="M319" s="27">
        <f t="shared" si="51"/>
        <v>0</v>
      </c>
      <c r="N319" s="22">
        <f t="shared" si="54"/>
        <v>0</v>
      </c>
      <c r="O319" s="28">
        <f t="shared" si="52"/>
        <v>0</v>
      </c>
      <c r="T319" s="20"/>
    </row>
    <row r="320" spans="3:20" x14ac:dyDescent="0.35">
      <c r="C320" s="24" t="e">
        <f t="shared" si="44"/>
        <v>#VALUE!</v>
      </c>
      <c r="D320" s="25" t="str">
        <f t="shared" si="46"/>
        <v/>
      </c>
      <c r="E320" s="25">
        <f t="shared" si="47"/>
        <v>0</v>
      </c>
      <c r="F320" s="26">
        <f t="shared" si="48"/>
        <v>0</v>
      </c>
      <c r="G320" s="26">
        <f t="shared" si="49"/>
        <v>0</v>
      </c>
      <c r="H320" s="26">
        <f t="shared" si="49"/>
        <v>0</v>
      </c>
      <c r="I320" s="26">
        <f t="shared" si="49"/>
        <v>0</v>
      </c>
      <c r="J320" s="27" t="str">
        <f t="shared" si="50"/>
        <v>CO2REMOV</v>
      </c>
      <c r="K320" s="27" t="str">
        <f t="shared" si="53"/>
        <v>UNPAID</v>
      </c>
      <c r="L320" s="23">
        <f t="shared" si="45"/>
        <v>0</v>
      </c>
      <c r="M320" s="27">
        <f t="shared" si="51"/>
        <v>0</v>
      </c>
      <c r="N320" s="22">
        <f t="shared" si="54"/>
        <v>0</v>
      </c>
      <c r="O320" s="28">
        <f t="shared" si="52"/>
        <v>0</v>
      </c>
      <c r="T320" s="20"/>
    </row>
    <row r="321" spans="3:20" x14ac:dyDescent="0.35">
      <c r="C321" s="24" t="e">
        <f t="shared" si="44"/>
        <v>#VALUE!</v>
      </c>
      <c r="D321" s="25" t="str">
        <f t="shared" si="46"/>
        <v/>
      </c>
      <c r="E321" s="25">
        <f t="shared" si="47"/>
        <v>0</v>
      </c>
      <c r="F321" s="26">
        <f t="shared" si="48"/>
        <v>0</v>
      </c>
      <c r="G321" s="26">
        <f t="shared" si="49"/>
        <v>0</v>
      </c>
      <c r="H321" s="26">
        <f t="shared" si="49"/>
        <v>0</v>
      </c>
      <c r="I321" s="26">
        <f t="shared" si="49"/>
        <v>0</v>
      </c>
      <c r="J321" s="27" t="str">
        <f t="shared" si="50"/>
        <v>CO2REMOV</v>
      </c>
      <c r="K321" s="27" t="str">
        <f t="shared" si="53"/>
        <v>UNPAID</v>
      </c>
      <c r="L321" s="23">
        <f t="shared" si="45"/>
        <v>0</v>
      </c>
      <c r="M321" s="27">
        <f t="shared" si="51"/>
        <v>0</v>
      </c>
      <c r="N321" s="22">
        <f t="shared" si="54"/>
        <v>0</v>
      </c>
      <c r="O321" s="28">
        <f t="shared" si="52"/>
        <v>0</v>
      </c>
      <c r="T321" s="20"/>
    </row>
    <row r="322" spans="3:20" x14ac:dyDescent="0.35">
      <c r="C322" s="24" t="e">
        <f t="shared" si="44"/>
        <v>#VALUE!</v>
      </c>
      <c r="D322" s="25" t="str">
        <f t="shared" si="46"/>
        <v/>
      </c>
      <c r="E322" s="25">
        <f t="shared" si="47"/>
        <v>0</v>
      </c>
      <c r="F322" s="26">
        <f t="shared" si="48"/>
        <v>0</v>
      </c>
      <c r="G322" s="26">
        <f t="shared" si="49"/>
        <v>0</v>
      </c>
      <c r="H322" s="26">
        <f t="shared" si="49"/>
        <v>0</v>
      </c>
      <c r="I322" s="26">
        <f t="shared" si="49"/>
        <v>0</v>
      </c>
      <c r="J322" s="27" t="str">
        <f t="shared" si="50"/>
        <v>CO2REMOV</v>
      </c>
      <c r="K322" s="27" t="str">
        <f t="shared" si="53"/>
        <v>UNPAID</v>
      </c>
      <c r="L322" s="23">
        <f t="shared" si="45"/>
        <v>0</v>
      </c>
      <c r="M322" s="27">
        <f t="shared" si="51"/>
        <v>0</v>
      </c>
      <c r="N322" s="22">
        <f t="shared" si="54"/>
        <v>0</v>
      </c>
      <c r="O322" s="28">
        <f t="shared" si="52"/>
        <v>0</v>
      </c>
      <c r="T322" s="20"/>
    </row>
    <row r="323" spans="3:20" x14ac:dyDescent="0.35">
      <c r="C323" s="24" t="e">
        <f t="shared" si="44"/>
        <v>#VALUE!</v>
      </c>
      <c r="D323" s="25" t="str">
        <f t="shared" si="46"/>
        <v/>
      </c>
      <c r="E323" s="25">
        <f t="shared" si="47"/>
        <v>0</v>
      </c>
      <c r="F323" s="26">
        <f t="shared" si="48"/>
        <v>0</v>
      </c>
      <c r="G323" s="26">
        <f t="shared" si="49"/>
        <v>0</v>
      </c>
      <c r="H323" s="26">
        <f t="shared" si="49"/>
        <v>0</v>
      </c>
      <c r="I323" s="26">
        <f t="shared" si="49"/>
        <v>0</v>
      </c>
      <c r="J323" s="27" t="str">
        <f t="shared" si="50"/>
        <v>CO2REMOV</v>
      </c>
      <c r="K323" s="27" t="str">
        <f t="shared" si="53"/>
        <v>UNPAID</v>
      </c>
      <c r="L323" s="23">
        <f t="shared" si="45"/>
        <v>0</v>
      </c>
      <c r="M323" s="27">
        <f t="shared" si="51"/>
        <v>0</v>
      </c>
      <c r="N323" s="22">
        <f t="shared" si="54"/>
        <v>0</v>
      </c>
      <c r="O323" s="28">
        <f t="shared" si="52"/>
        <v>0</v>
      </c>
      <c r="T323" s="20"/>
    </row>
    <row r="324" spans="3:20" x14ac:dyDescent="0.35">
      <c r="C324" s="24" t="e">
        <f t="shared" si="44"/>
        <v>#VALUE!</v>
      </c>
      <c r="D324" s="25" t="str">
        <f t="shared" si="46"/>
        <v/>
      </c>
      <c r="E324" s="25">
        <f t="shared" si="47"/>
        <v>0</v>
      </c>
      <c r="F324" s="26">
        <f t="shared" si="48"/>
        <v>0</v>
      </c>
      <c r="G324" s="26">
        <f t="shared" si="49"/>
        <v>0</v>
      </c>
      <c r="H324" s="26">
        <f t="shared" si="49"/>
        <v>0</v>
      </c>
      <c r="I324" s="26">
        <f t="shared" si="49"/>
        <v>0</v>
      </c>
      <c r="J324" s="27" t="str">
        <f t="shared" si="50"/>
        <v>CO2REMOV</v>
      </c>
      <c r="K324" s="27" t="str">
        <f t="shared" si="53"/>
        <v>UNPAID</v>
      </c>
      <c r="L324" s="23">
        <f t="shared" si="45"/>
        <v>0</v>
      </c>
      <c r="M324" s="27">
        <f t="shared" si="51"/>
        <v>0</v>
      </c>
      <c r="N324" s="22">
        <f t="shared" si="54"/>
        <v>0</v>
      </c>
      <c r="O324" s="28">
        <f t="shared" si="52"/>
        <v>0</v>
      </c>
      <c r="T324" s="20"/>
    </row>
    <row r="325" spans="3:20" x14ac:dyDescent="0.35">
      <c r="C325" s="24" t="e">
        <f t="shared" si="44"/>
        <v>#VALUE!</v>
      </c>
      <c r="D325" s="25" t="str">
        <f t="shared" si="46"/>
        <v/>
      </c>
      <c r="E325" s="25">
        <f t="shared" si="47"/>
        <v>0</v>
      </c>
      <c r="F325" s="26">
        <f t="shared" si="48"/>
        <v>0</v>
      </c>
      <c r="G325" s="26">
        <f t="shared" si="49"/>
        <v>0</v>
      </c>
      <c r="H325" s="26">
        <f t="shared" si="49"/>
        <v>0</v>
      </c>
      <c r="I325" s="26">
        <f t="shared" si="49"/>
        <v>0</v>
      </c>
      <c r="J325" s="27" t="str">
        <f t="shared" si="50"/>
        <v>CO2REMOV</v>
      </c>
      <c r="K325" s="27" t="str">
        <f t="shared" si="53"/>
        <v>UNPAID</v>
      </c>
      <c r="L325" s="23">
        <f t="shared" si="45"/>
        <v>0</v>
      </c>
      <c r="M325" s="27">
        <f t="shared" si="51"/>
        <v>0</v>
      </c>
      <c r="N325" s="22">
        <f t="shared" si="54"/>
        <v>0</v>
      </c>
      <c r="O325" s="28">
        <f t="shared" si="52"/>
        <v>0</v>
      </c>
      <c r="T325" s="20"/>
    </row>
    <row r="326" spans="3:20" x14ac:dyDescent="0.35">
      <c r="C326" s="24" t="s">
        <v>54</v>
      </c>
      <c r="D326" s="25"/>
      <c r="E326" s="25"/>
      <c r="F326" s="26"/>
      <c r="G326" s="26"/>
      <c r="H326" s="26"/>
      <c r="I326" s="26"/>
      <c r="J326" s="27"/>
      <c r="K326" s="27" t="str">
        <f t="shared" si="53"/>
        <v>UNPAID</v>
      </c>
      <c r="L326" s="23">
        <f t="shared" si="45"/>
        <v>0</v>
      </c>
      <c r="M326" s="27"/>
      <c r="N326" s="22">
        <f t="shared" si="54"/>
        <v>0</v>
      </c>
      <c r="O326" s="28"/>
      <c r="T326" s="20"/>
    </row>
    <row r="327" spans="3:20" x14ac:dyDescent="0.35">
      <c r="C327" s="24" t="e">
        <f>C325+1</f>
        <v>#VALUE!</v>
      </c>
      <c r="D327" s="25" t="str">
        <f t="shared" si="46"/>
        <v/>
      </c>
      <c r="E327" s="25">
        <f t="shared" si="47"/>
        <v>0</v>
      </c>
      <c r="F327" s="26">
        <f t="shared" si="48"/>
        <v>0</v>
      </c>
      <c r="G327" s="26">
        <f t="shared" si="49"/>
        <v>0</v>
      </c>
      <c r="H327" s="26">
        <f t="shared" si="49"/>
        <v>0</v>
      </c>
      <c r="I327" s="26">
        <f t="shared" si="49"/>
        <v>0</v>
      </c>
      <c r="J327" s="27" t="str">
        <f t="shared" si="50"/>
        <v>CO2REMOV</v>
      </c>
      <c r="K327" s="27" t="str">
        <f t="shared" si="53"/>
        <v>UNPAID</v>
      </c>
      <c r="L327" s="23">
        <f t="shared" si="45"/>
        <v>0</v>
      </c>
      <c r="M327" s="27">
        <f t="shared" si="51"/>
        <v>0</v>
      </c>
      <c r="N327" s="22">
        <f t="shared" si="54"/>
        <v>0</v>
      </c>
      <c r="O327" s="28">
        <f t="shared" si="52"/>
        <v>0</v>
      </c>
      <c r="T327" s="20"/>
    </row>
    <row r="328" spans="3:20" x14ac:dyDescent="0.35">
      <c r="C328" s="24" t="e">
        <f t="shared" si="44"/>
        <v>#VALUE!</v>
      </c>
      <c r="D328" s="25" t="str">
        <f t="shared" si="46"/>
        <v/>
      </c>
      <c r="E328" s="25">
        <f t="shared" si="47"/>
        <v>0</v>
      </c>
      <c r="F328" s="26">
        <f t="shared" si="48"/>
        <v>0</v>
      </c>
      <c r="G328" s="26">
        <f t="shared" si="49"/>
        <v>0</v>
      </c>
      <c r="H328" s="26">
        <f t="shared" si="49"/>
        <v>0</v>
      </c>
      <c r="I328" s="26">
        <f t="shared" si="49"/>
        <v>0</v>
      </c>
      <c r="J328" s="27" t="str">
        <f t="shared" si="50"/>
        <v>CO2REMOV</v>
      </c>
      <c r="K328" s="27" t="str">
        <f t="shared" si="53"/>
        <v>UNPAID</v>
      </c>
      <c r="L328" s="23">
        <f t="shared" si="45"/>
        <v>0</v>
      </c>
      <c r="M328" s="27">
        <f t="shared" si="51"/>
        <v>0</v>
      </c>
      <c r="N328" s="22">
        <f t="shared" si="54"/>
        <v>0</v>
      </c>
      <c r="O328" s="28">
        <f t="shared" si="52"/>
        <v>0</v>
      </c>
      <c r="T328" s="20"/>
    </row>
    <row r="329" spans="3:20" x14ac:dyDescent="0.35">
      <c r="C329" s="24" t="e">
        <f t="shared" si="44"/>
        <v>#VALUE!</v>
      </c>
      <c r="D329" s="25" t="str">
        <f t="shared" si="46"/>
        <v/>
      </c>
      <c r="E329" s="25">
        <f t="shared" si="47"/>
        <v>0</v>
      </c>
      <c r="F329" s="26">
        <f t="shared" si="48"/>
        <v>0</v>
      </c>
      <c r="G329" s="26">
        <f t="shared" si="49"/>
        <v>0</v>
      </c>
      <c r="H329" s="26">
        <f t="shared" si="49"/>
        <v>0</v>
      </c>
      <c r="I329" s="26">
        <f t="shared" si="49"/>
        <v>0</v>
      </c>
      <c r="J329" s="27" t="str">
        <f t="shared" si="50"/>
        <v>CO2REMOV</v>
      </c>
      <c r="K329" s="27" t="str">
        <f t="shared" si="53"/>
        <v>UNPAID</v>
      </c>
      <c r="L329" s="23">
        <f t="shared" si="45"/>
        <v>0</v>
      </c>
      <c r="M329" s="27">
        <f t="shared" si="51"/>
        <v>0</v>
      </c>
      <c r="N329" s="22">
        <f t="shared" si="54"/>
        <v>0</v>
      </c>
      <c r="O329" s="28">
        <f t="shared" si="52"/>
        <v>0</v>
      </c>
      <c r="T329" s="20"/>
    </row>
    <row r="330" spans="3:20" x14ac:dyDescent="0.35">
      <c r="C330" s="24" t="e">
        <f t="shared" si="44"/>
        <v>#VALUE!</v>
      </c>
      <c r="D330" s="25" t="str">
        <f t="shared" si="46"/>
        <v/>
      </c>
      <c r="E330" s="25">
        <f t="shared" si="47"/>
        <v>0</v>
      </c>
      <c r="F330" s="26">
        <f t="shared" si="48"/>
        <v>0</v>
      </c>
      <c r="G330" s="26">
        <f t="shared" si="49"/>
        <v>0</v>
      </c>
      <c r="H330" s="26">
        <f t="shared" si="49"/>
        <v>0</v>
      </c>
      <c r="I330" s="26">
        <f t="shared" si="49"/>
        <v>0</v>
      </c>
      <c r="J330" s="27" t="str">
        <f t="shared" si="50"/>
        <v>CO2REMOV</v>
      </c>
      <c r="K330" s="27" t="str">
        <f t="shared" si="53"/>
        <v>UNPAID</v>
      </c>
      <c r="L330" s="23">
        <f t="shared" si="45"/>
        <v>0</v>
      </c>
      <c r="M330" s="27">
        <f t="shared" si="51"/>
        <v>0</v>
      </c>
      <c r="N330" s="22">
        <f t="shared" si="54"/>
        <v>0</v>
      </c>
      <c r="O330" s="28">
        <f t="shared" si="52"/>
        <v>0</v>
      </c>
      <c r="T330" s="20"/>
    </row>
    <row r="331" spans="3:20" x14ac:dyDescent="0.35">
      <c r="C331" s="24" t="e">
        <f t="shared" si="44"/>
        <v>#VALUE!</v>
      </c>
      <c r="D331" s="25" t="str">
        <f t="shared" si="46"/>
        <v/>
      </c>
      <c r="E331" s="25">
        <f t="shared" si="47"/>
        <v>0</v>
      </c>
      <c r="F331" s="26">
        <f t="shared" si="48"/>
        <v>0</v>
      </c>
      <c r="G331" s="26">
        <f t="shared" si="49"/>
        <v>0</v>
      </c>
      <c r="H331" s="26">
        <f t="shared" si="49"/>
        <v>0</v>
      </c>
      <c r="I331" s="26">
        <f t="shared" si="49"/>
        <v>0</v>
      </c>
      <c r="J331" s="27" t="str">
        <f t="shared" si="50"/>
        <v>CO2REMOV</v>
      </c>
      <c r="K331" s="27" t="str">
        <f t="shared" si="53"/>
        <v>UNPAID</v>
      </c>
      <c r="L331" s="23">
        <f t="shared" si="45"/>
        <v>0</v>
      </c>
      <c r="M331" s="27">
        <f t="shared" si="51"/>
        <v>0</v>
      </c>
      <c r="N331" s="22">
        <f t="shared" si="54"/>
        <v>0</v>
      </c>
      <c r="O331" s="28">
        <f t="shared" si="52"/>
        <v>0</v>
      </c>
      <c r="T331" s="20"/>
    </row>
    <row r="332" spans="3:20" x14ac:dyDescent="0.35">
      <c r="C332" s="24" t="e">
        <f t="shared" si="44"/>
        <v>#VALUE!</v>
      </c>
      <c r="D332" s="25" t="str">
        <f t="shared" si="46"/>
        <v/>
      </c>
      <c r="E332" s="25">
        <f t="shared" si="47"/>
        <v>0</v>
      </c>
      <c r="F332" s="26">
        <f t="shared" si="48"/>
        <v>0</v>
      </c>
      <c r="G332" s="26">
        <f t="shared" si="49"/>
        <v>0</v>
      </c>
      <c r="H332" s="26">
        <f t="shared" si="49"/>
        <v>0</v>
      </c>
      <c r="I332" s="26">
        <f t="shared" si="49"/>
        <v>0</v>
      </c>
      <c r="J332" s="27" t="str">
        <f t="shared" si="50"/>
        <v>CO2REMOV</v>
      </c>
      <c r="K332" s="27" t="str">
        <f t="shared" si="53"/>
        <v>UNPAID</v>
      </c>
      <c r="L332" s="23">
        <f t="shared" si="45"/>
        <v>0</v>
      </c>
      <c r="M332" s="27">
        <f t="shared" si="51"/>
        <v>0</v>
      </c>
      <c r="N332" s="22">
        <f t="shared" si="54"/>
        <v>0</v>
      </c>
      <c r="O332" s="28">
        <f t="shared" si="52"/>
        <v>0</v>
      </c>
      <c r="T332" s="20"/>
    </row>
    <row r="333" spans="3:20" x14ac:dyDescent="0.35">
      <c r="C333" s="24" t="e">
        <f t="shared" ref="C333:C388" si="55">C332+1</f>
        <v>#VALUE!</v>
      </c>
      <c r="D333" s="25" t="str">
        <f t="shared" si="46"/>
        <v/>
      </c>
      <c r="E333" s="25">
        <f t="shared" si="47"/>
        <v>0</v>
      </c>
      <c r="F333" s="26">
        <f t="shared" si="48"/>
        <v>0</v>
      </c>
      <c r="G333" s="26">
        <f t="shared" si="49"/>
        <v>0</v>
      </c>
      <c r="H333" s="26">
        <f t="shared" si="49"/>
        <v>0</v>
      </c>
      <c r="I333" s="26">
        <f t="shared" si="49"/>
        <v>0</v>
      </c>
      <c r="J333" s="27" t="str">
        <f t="shared" si="50"/>
        <v>CO2REMOV</v>
      </c>
      <c r="K333" s="27" t="str">
        <f t="shared" si="53"/>
        <v>UNPAID</v>
      </c>
      <c r="L333" s="23">
        <f t="shared" ref="L333:L388" si="56">IF(K333="PAID",AA333,0)</f>
        <v>0</v>
      </c>
      <c r="M333" s="27">
        <f t="shared" si="51"/>
        <v>0</v>
      </c>
      <c r="N333" s="22">
        <f t="shared" si="54"/>
        <v>0</v>
      </c>
      <c r="O333" s="28">
        <f t="shared" si="52"/>
        <v>0</v>
      </c>
      <c r="T333" s="20"/>
    </row>
    <row r="334" spans="3:20" x14ac:dyDescent="0.35">
      <c r="C334" s="24" t="e">
        <f t="shared" si="55"/>
        <v>#VALUE!</v>
      </c>
      <c r="D334" s="25" t="str">
        <f t="shared" si="46"/>
        <v/>
      </c>
      <c r="E334" s="25">
        <f t="shared" si="47"/>
        <v>0</v>
      </c>
      <c r="F334" s="26">
        <f t="shared" si="48"/>
        <v>0</v>
      </c>
      <c r="G334" s="26">
        <f t="shared" si="49"/>
        <v>0</v>
      </c>
      <c r="H334" s="26">
        <f t="shared" si="49"/>
        <v>0</v>
      </c>
      <c r="I334" s="26">
        <f t="shared" si="49"/>
        <v>0</v>
      </c>
      <c r="J334" s="27" t="str">
        <f t="shared" si="50"/>
        <v>CO2REMOV</v>
      </c>
      <c r="K334" s="27" t="str">
        <f t="shared" si="53"/>
        <v>UNPAID</v>
      </c>
      <c r="L334" s="23">
        <f t="shared" si="56"/>
        <v>0</v>
      </c>
      <c r="M334" s="27">
        <f t="shared" si="51"/>
        <v>0</v>
      </c>
      <c r="N334" s="22">
        <f t="shared" si="54"/>
        <v>0</v>
      </c>
      <c r="O334" s="28">
        <f t="shared" si="52"/>
        <v>0</v>
      </c>
      <c r="T334" s="20"/>
    </row>
    <row r="335" spans="3:20" x14ac:dyDescent="0.35">
      <c r="C335" s="24" t="e">
        <f t="shared" si="55"/>
        <v>#VALUE!</v>
      </c>
      <c r="D335" s="25" t="str">
        <f t="shared" si="46"/>
        <v/>
      </c>
      <c r="E335" s="25">
        <f t="shared" si="47"/>
        <v>0</v>
      </c>
      <c r="F335" s="26">
        <f t="shared" si="48"/>
        <v>0</v>
      </c>
      <c r="G335" s="26">
        <f t="shared" si="49"/>
        <v>0</v>
      </c>
      <c r="H335" s="26">
        <f t="shared" si="49"/>
        <v>0</v>
      </c>
      <c r="I335" s="26">
        <f t="shared" si="49"/>
        <v>0</v>
      </c>
      <c r="J335" s="27" t="str">
        <f t="shared" si="50"/>
        <v>CO2REMOV</v>
      </c>
      <c r="K335" s="27" t="str">
        <f t="shared" si="53"/>
        <v>UNPAID</v>
      </c>
      <c r="L335" s="23">
        <f t="shared" si="56"/>
        <v>0</v>
      </c>
      <c r="M335" s="27">
        <f t="shared" si="51"/>
        <v>0</v>
      </c>
      <c r="N335" s="22">
        <f t="shared" si="54"/>
        <v>0</v>
      </c>
      <c r="O335" s="28">
        <f t="shared" si="52"/>
        <v>0</v>
      </c>
      <c r="T335" s="20"/>
    </row>
    <row r="336" spans="3:20" x14ac:dyDescent="0.35">
      <c r="C336" s="24" t="e">
        <f t="shared" si="55"/>
        <v>#VALUE!</v>
      </c>
      <c r="D336" s="25" t="str">
        <f t="shared" si="46"/>
        <v/>
      </c>
      <c r="E336" s="25">
        <f t="shared" si="47"/>
        <v>0</v>
      </c>
      <c r="F336" s="26">
        <f t="shared" si="48"/>
        <v>0</v>
      </c>
      <c r="G336" s="26">
        <f t="shared" si="49"/>
        <v>0</v>
      </c>
      <c r="H336" s="26">
        <f t="shared" si="49"/>
        <v>0</v>
      </c>
      <c r="I336" s="26">
        <f t="shared" si="49"/>
        <v>0</v>
      </c>
      <c r="J336" s="27" t="str">
        <f t="shared" si="50"/>
        <v>CO2REMOV</v>
      </c>
      <c r="K336" s="27" t="str">
        <f t="shared" si="53"/>
        <v>UNPAID</v>
      </c>
      <c r="L336" s="23">
        <f t="shared" si="56"/>
        <v>0</v>
      </c>
      <c r="M336" s="27">
        <f t="shared" si="51"/>
        <v>0</v>
      </c>
      <c r="N336" s="22">
        <f t="shared" si="54"/>
        <v>0</v>
      </c>
      <c r="O336" s="28">
        <f t="shared" si="52"/>
        <v>0</v>
      </c>
      <c r="T336" s="20"/>
    </row>
    <row r="337" spans="3:20" x14ac:dyDescent="0.35">
      <c r="C337" s="24" t="e">
        <f t="shared" si="55"/>
        <v>#VALUE!</v>
      </c>
      <c r="D337" s="25" t="str">
        <f t="shared" si="46"/>
        <v/>
      </c>
      <c r="E337" s="25">
        <f t="shared" si="47"/>
        <v>0</v>
      </c>
      <c r="F337" s="26">
        <f t="shared" si="48"/>
        <v>0</v>
      </c>
      <c r="G337" s="26">
        <f t="shared" si="49"/>
        <v>0</v>
      </c>
      <c r="H337" s="26">
        <f t="shared" si="49"/>
        <v>0</v>
      </c>
      <c r="I337" s="26">
        <f t="shared" si="49"/>
        <v>0</v>
      </c>
      <c r="J337" s="27" t="str">
        <f t="shared" si="50"/>
        <v>CO2REMOV</v>
      </c>
      <c r="K337" s="27" t="str">
        <f t="shared" si="53"/>
        <v>UNPAID</v>
      </c>
      <c r="L337" s="23">
        <f t="shared" si="56"/>
        <v>0</v>
      </c>
      <c r="M337" s="27">
        <f t="shared" si="51"/>
        <v>0</v>
      </c>
      <c r="N337" s="22">
        <f t="shared" si="54"/>
        <v>0</v>
      </c>
      <c r="O337" s="28">
        <f t="shared" si="52"/>
        <v>0</v>
      </c>
      <c r="T337" s="20"/>
    </row>
    <row r="338" spans="3:20" x14ac:dyDescent="0.35">
      <c r="C338" s="24" t="e">
        <f t="shared" si="55"/>
        <v>#VALUE!</v>
      </c>
      <c r="D338" s="25" t="str">
        <f t="shared" si="46"/>
        <v/>
      </c>
      <c r="E338" s="25">
        <f t="shared" si="47"/>
        <v>0</v>
      </c>
      <c r="F338" s="26">
        <f t="shared" si="48"/>
        <v>0</v>
      </c>
      <c r="G338" s="26">
        <f t="shared" si="49"/>
        <v>0</v>
      </c>
      <c r="H338" s="26">
        <f t="shared" si="49"/>
        <v>0</v>
      </c>
      <c r="I338" s="26">
        <f t="shared" si="49"/>
        <v>0</v>
      </c>
      <c r="J338" s="27" t="str">
        <f t="shared" si="50"/>
        <v>CO2REMOV</v>
      </c>
      <c r="K338" s="27" t="str">
        <f t="shared" si="53"/>
        <v>UNPAID</v>
      </c>
      <c r="L338" s="23">
        <f t="shared" si="56"/>
        <v>0</v>
      </c>
      <c r="M338" s="27">
        <f t="shared" si="51"/>
        <v>0</v>
      </c>
      <c r="N338" s="22">
        <f t="shared" si="54"/>
        <v>0</v>
      </c>
      <c r="O338" s="28">
        <f t="shared" si="52"/>
        <v>0</v>
      </c>
      <c r="T338" s="20"/>
    </row>
    <row r="339" spans="3:20" x14ac:dyDescent="0.35">
      <c r="C339" s="24" t="e">
        <f t="shared" si="55"/>
        <v>#VALUE!</v>
      </c>
      <c r="D339" s="25" t="str">
        <f t="shared" si="46"/>
        <v/>
      </c>
      <c r="E339" s="25">
        <f t="shared" si="47"/>
        <v>0</v>
      </c>
      <c r="F339" s="26">
        <f t="shared" si="48"/>
        <v>0</v>
      </c>
      <c r="G339" s="26">
        <f t="shared" si="49"/>
        <v>0</v>
      </c>
      <c r="H339" s="26">
        <f t="shared" si="49"/>
        <v>0</v>
      </c>
      <c r="I339" s="26">
        <f t="shared" si="49"/>
        <v>0</v>
      </c>
      <c r="J339" s="27" t="str">
        <f t="shared" si="50"/>
        <v>CO2REMOV</v>
      </c>
      <c r="K339" s="27" t="str">
        <f t="shared" si="53"/>
        <v>UNPAID</v>
      </c>
      <c r="L339" s="23">
        <f t="shared" si="56"/>
        <v>0</v>
      </c>
      <c r="M339" s="27">
        <f t="shared" si="51"/>
        <v>0</v>
      </c>
      <c r="N339" s="22">
        <f t="shared" si="54"/>
        <v>0</v>
      </c>
      <c r="O339" s="28">
        <f t="shared" si="52"/>
        <v>0</v>
      </c>
      <c r="T339" s="20"/>
    </row>
    <row r="340" spans="3:20" x14ac:dyDescent="0.35">
      <c r="C340" s="24" t="e">
        <f t="shared" si="55"/>
        <v>#VALUE!</v>
      </c>
      <c r="D340" s="25" t="str">
        <f t="shared" si="46"/>
        <v/>
      </c>
      <c r="E340" s="25">
        <f t="shared" si="47"/>
        <v>0</v>
      </c>
      <c r="F340" s="26">
        <f t="shared" si="48"/>
        <v>0</v>
      </c>
      <c r="G340" s="26">
        <f t="shared" si="49"/>
        <v>0</v>
      </c>
      <c r="H340" s="26">
        <f t="shared" si="49"/>
        <v>0</v>
      </c>
      <c r="I340" s="26">
        <f t="shared" si="49"/>
        <v>0</v>
      </c>
      <c r="J340" s="27" t="str">
        <f t="shared" si="50"/>
        <v>CO2REMOV</v>
      </c>
      <c r="K340" s="27" t="str">
        <f t="shared" si="53"/>
        <v>UNPAID</v>
      </c>
      <c r="L340" s="23">
        <f t="shared" si="56"/>
        <v>0</v>
      </c>
      <c r="M340" s="27">
        <f t="shared" si="51"/>
        <v>0</v>
      </c>
      <c r="N340" s="22">
        <f t="shared" si="54"/>
        <v>0</v>
      </c>
      <c r="O340" s="28">
        <f t="shared" si="52"/>
        <v>0</v>
      </c>
      <c r="T340" s="20"/>
    </row>
    <row r="341" spans="3:20" x14ac:dyDescent="0.35">
      <c r="C341" s="24" t="e">
        <f t="shared" si="55"/>
        <v>#VALUE!</v>
      </c>
      <c r="D341" s="25" t="str">
        <f t="shared" si="46"/>
        <v/>
      </c>
      <c r="E341" s="25">
        <f t="shared" si="47"/>
        <v>0</v>
      </c>
      <c r="F341" s="26">
        <f t="shared" si="48"/>
        <v>0</v>
      </c>
      <c r="G341" s="26">
        <f t="shared" si="49"/>
        <v>0</v>
      </c>
      <c r="H341" s="26">
        <f t="shared" si="49"/>
        <v>0</v>
      </c>
      <c r="I341" s="26">
        <f t="shared" si="49"/>
        <v>0</v>
      </c>
      <c r="J341" s="27" t="str">
        <f t="shared" si="50"/>
        <v>CO2REMOV</v>
      </c>
      <c r="K341" s="27" t="str">
        <f t="shared" si="53"/>
        <v>UNPAID</v>
      </c>
      <c r="L341" s="23">
        <f t="shared" si="56"/>
        <v>0</v>
      </c>
      <c r="M341" s="27">
        <f t="shared" si="51"/>
        <v>0</v>
      </c>
      <c r="N341" s="22">
        <f t="shared" si="54"/>
        <v>0</v>
      </c>
      <c r="O341" s="28">
        <f t="shared" si="52"/>
        <v>0</v>
      </c>
      <c r="T341" s="20"/>
    </row>
    <row r="342" spans="3:20" x14ac:dyDescent="0.35">
      <c r="C342" s="24" t="e">
        <f t="shared" si="55"/>
        <v>#VALUE!</v>
      </c>
      <c r="D342" s="25" t="str">
        <f t="shared" si="46"/>
        <v/>
      </c>
      <c r="E342" s="25">
        <f t="shared" si="47"/>
        <v>0</v>
      </c>
      <c r="F342" s="26">
        <f t="shared" si="48"/>
        <v>0</v>
      </c>
      <c r="G342" s="26">
        <f t="shared" si="49"/>
        <v>0</v>
      </c>
      <c r="H342" s="26">
        <f t="shared" si="49"/>
        <v>0</v>
      </c>
      <c r="I342" s="26">
        <f t="shared" si="49"/>
        <v>0</v>
      </c>
      <c r="J342" s="27" t="str">
        <f t="shared" si="50"/>
        <v>CO2REMOV</v>
      </c>
      <c r="K342" s="27" t="str">
        <f t="shared" si="53"/>
        <v>UNPAID</v>
      </c>
      <c r="L342" s="23">
        <f t="shared" si="56"/>
        <v>0</v>
      </c>
      <c r="M342" s="27">
        <f t="shared" si="51"/>
        <v>0</v>
      </c>
      <c r="N342" s="22">
        <f t="shared" si="54"/>
        <v>0</v>
      </c>
      <c r="O342" s="28">
        <f t="shared" si="52"/>
        <v>0</v>
      </c>
      <c r="T342" s="20"/>
    </row>
    <row r="343" spans="3:20" x14ac:dyDescent="0.35">
      <c r="C343" s="24" t="e">
        <f t="shared" si="55"/>
        <v>#VALUE!</v>
      </c>
      <c r="D343" s="25" t="str">
        <f t="shared" si="46"/>
        <v/>
      </c>
      <c r="E343" s="25">
        <f t="shared" si="47"/>
        <v>0</v>
      </c>
      <c r="F343" s="26">
        <f t="shared" si="48"/>
        <v>0</v>
      </c>
      <c r="G343" s="26">
        <f t="shared" si="49"/>
        <v>0</v>
      </c>
      <c r="H343" s="26">
        <f t="shared" si="49"/>
        <v>0</v>
      </c>
      <c r="I343" s="26">
        <f t="shared" si="49"/>
        <v>0</v>
      </c>
      <c r="J343" s="27" t="str">
        <f t="shared" si="50"/>
        <v>CO2REMOV</v>
      </c>
      <c r="K343" s="27" t="str">
        <f t="shared" si="53"/>
        <v>UNPAID</v>
      </c>
      <c r="L343" s="23">
        <f t="shared" si="56"/>
        <v>0</v>
      </c>
      <c r="M343" s="27">
        <f t="shared" si="51"/>
        <v>0</v>
      </c>
      <c r="N343" s="22">
        <f t="shared" si="54"/>
        <v>0</v>
      </c>
      <c r="O343" s="28">
        <f t="shared" si="52"/>
        <v>0</v>
      </c>
      <c r="T343" s="20"/>
    </row>
    <row r="344" spans="3:20" x14ac:dyDescent="0.35">
      <c r="C344" s="24" t="e">
        <f t="shared" si="55"/>
        <v>#VALUE!</v>
      </c>
      <c r="D344" s="25" t="str">
        <f t="shared" ref="D344:D388" si="57">IF(W344="","",ROUND(W344,0))</f>
        <v/>
      </c>
      <c r="E344" s="25">
        <f t="shared" ref="E344:E388" si="58">IF(X344="",0,X344)</f>
        <v>0</v>
      </c>
      <c r="F344" s="26">
        <f t="shared" ref="F344:F388" si="59">Y344</f>
        <v>0</v>
      </c>
      <c r="G344" s="26">
        <f t="shared" ref="G344:I388" si="60">AE344*24</f>
        <v>0</v>
      </c>
      <c r="H344" s="26">
        <f t="shared" si="60"/>
        <v>0</v>
      </c>
      <c r="I344" s="26">
        <f t="shared" si="60"/>
        <v>0</v>
      </c>
      <c r="J344" s="27" t="str">
        <f t="shared" ref="J344:J388" si="61">$D$6</f>
        <v>CO2REMOV</v>
      </c>
      <c r="K344" s="27" t="str">
        <f t="shared" si="53"/>
        <v>UNPAID</v>
      </c>
      <c r="L344" s="23">
        <f t="shared" si="56"/>
        <v>0</v>
      </c>
      <c r="M344" s="27">
        <f t="shared" ref="M344:M388" si="62">F344</f>
        <v>0</v>
      </c>
      <c r="N344" s="22">
        <f t="shared" si="54"/>
        <v>0</v>
      </c>
      <c r="O344" s="28">
        <f t="shared" ref="O344:O388" si="63">AJ344</f>
        <v>0</v>
      </c>
      <c r="T344" s="20"/>
    </row>
    <row r="345" spans="3:20" x14ac:dyDescent="0.35">
      <c r="C345" s="24" t="e">
        <f t="shared" si="55"/>
        <v>#VALUE!</v>
      </c>
      <c r="D345" s="25" t="str">
        <f t="shared" si="57"/>
        <v/>
      </c>
      <c r="E345" s="25">
        <f t="shared" si="58"/>
        <v>0</v>
      </c>
      <c r="F345" s="26">
        <f t="shared" si="59"/>
        <v>0</v>
      </c>
      <c r="G345" s="26">
        <f t="shared" si="60"/>
        <v>0</v>
      </c>
      <c r="H345" s="26">
        <f t="shared" si="60"/>
        <v>0</v>
      </c>
      <c r="I345" s="26">
        <f t="shared" si="60"/>
        <v>0</v>
      </c>
      <c r="J345" s="27" t="str">
        <f t="shared" si="61"/>
        <v>CO2REMOV</v>
      </c>
      <c r="K345" s="27" t="str">
        <f t="shared" si="53"/>
        <v>UNPAID</v>
      </c>
      <c r="L345" s="23">
        <f t="shared" si="56"/>
        <v>0</v>
      </c>
      <c r="M345" s="27">
        <f t="shared" si="62"/>
        <v>0</v>
      </c>
      <c r="N345" s="22">
        <f t="shared" si="54"/>
        <v>0</v>
      </c>
      <c r="O345" s="28">
        <f t="shared" si="63"/>
        <v>0</v>
      </c>
      <c r="T345" s="20"/>
    </row>
    <row r="346" spans="3:20" x14ac:dyDescent="0.35">
      <c r="C346" s="24" t="e">
        <f t="shared" si="55"/>
        <v>#VALUE!</v>
      </c>
      <c r="D346" s="25" t="str">
        <f t="shared" si="57"/>
        <v/>
      </c>
      <c r="E346" s="25">
        <f t="shared" si="58"/>
        <v>0</v>
      </c>
      <c r="F346" s="26">
        <f t="shared" si="59"/>
        <v>0</v>
      </c>
      <c r="G346" s="26">
        <f t="shared" si="60"/>
        <v>0</v>
      </c>
      <c r="H346" s="26">
        <f t="shared" si="60"/>
        <v>0</v>
      </c>
      <c r="I346" s="26">
        <f t="shared" si="60"/>
        <v>0</v>
      </c>
      <c r="J346" s="27" t="str">
        <f t="shared" si="61"/>
        <v>CO2REMOV</v>
      </c>
      <c r="K346" s="27" t="str">
        <f t="shared" si="53"/>
        <v>UNPAID</v>
      </c>
      <c r="L346" s="23">
        <f t="shared" si="56"/>
        <v>0</v>
      </c>
      <c r="M346" s="27">
        <f t="shared" si="62"/>
        <v>0</v>
      </c>
      <c r="N346" s="22">
        <f t="shared" si="54"/>
        <v>0</v>
      </c>
      <c r="O346" s="28">
        <f t="shared" si="63"/>
        <v>0</v>
      </c>
      <c r="T346" s="20"/>
    </row>
    <row r="347" spans="3:20" x14ac:dyDescent="0.35">
      <c r="C347" s="24" t="e">
        <f t="shared" si="55"/>
        <v>#VALUE!</v>
      </c>
      <c r="D347" s="25" t="str">
        <f t="shared" si="57"/>
        <v/>
      </c>
      <c r="E347" s="25">
        <f t="shared" si="58"/>
        <v>0</v>
      </c>
      <c r="F347" s="26">
        <f t="shared" si="59"/>
        <v>0</v>
      </c>
      <c r="G347" s="26">
        <f t="shared" si="60"/>
        <v>0</v>
      </c>
      <c r="H347" s="26">
        <f t="shared" si="60"/>
        <v>0</v>
      </c>
      <c r="I347" s="26">
        <f t="shared" si="60"/>
        <v>0</v>
      </c>
      <c r="J347" s="27" t="str">
        <f t="shared" si="61"/>
        <v>CO2REMOV</v>
      </c>
      <c r="K347" s="27" t="str">
        <f t="shared" si="53"/>
        <v>UNPAID</v>
      </c>
      <c r="L347" s="23">
        <f t="shared" si="56"/>
        <v>0</v>
      </c>
      <c r="M347" s="27">
        <f t="shared" si="62"/>
        <v>0</v>
      </c>
      <c r="N347" s="22">
        <f t="shared" si="54"/>
        <v>0</v>
      </c>
      <c r="O347" s="28">
        <f t="shared" si="63"/>
        <v>0</v>
      </c>
      <c r="T347" s="20"/>
    </row>
    <row r="348" spans="3:20" x14ac:dyDescent="0.35">
      <c r="C348" s="24" t="e">
        <f t="shared" si="55"/>
        <v>#VALUE!</v>
      </c>
      <c r="D348" s="25" t="str">
        <f t="shared" si="57"/>
        <v/>
      </c>
      <c r="E348" s="25">
        <f t="shared" si="58"/>
        <v>0</v>
      </c>
      <c r="F348" s="26">
        <f t="shared" si="59"/>
        <v>0</v>
      </c>
      <c r="G348" s="26">
        <f t="shared" si="60"/>
        <v>0</v>
      </c>
      <c r="H348" s="26">
        <f t="shared" si="60"/>
        <v>0</v>
      </c>
      <c r="I348" s="26">
        <f t="shared" si="60"/>
        <v>0</v>
      </c>
      <c r="J348" s="27" t="str">
        <f t="shared" si="61"/>
        <v>CO2REMOV</v>
      </c>
      <c r="K348" s="27" t="str">
        <f t="shared" ref="K348:K388" si="64">IF(H348=24,"PAID",IF(E348&gt;=$E$6,"PAID","UNPAID"))</f>
        <v>UNPAID</v>
      </c>
      <c r="L348" s="23">
        <f t="shared" si="56"/>
        <v>0</v>
      </c>
      <c r="M348" s="27">
        <f t="shared" si="62"/>
        <v>0</v>
      </c>
      <c r="N348" s="22">
        <f t="shared" si="54"/>
        <v>0</v>
      </c>
      <c r="O348" s="28">
        <f t="shared" si="63"/>
        <v>0</v>
      </c>
      <c r="T348" s="20"/>
    </row>
    <row r="349" spans="3:20" x14ac:dyDescent="0.35">
      <c r="C349" s="24" t="e">
        <f t="shared" si="55"/>
        <v>#VALUE!</v>
      </c>
      <c r="D349" s="25" t="str">
        <f t="shared" si="57"/>
        <v/>
      </c>
      <c r="E349" s="25">
        <f t="shared" si="58"/>
        <v>0</v>
      </c>
      <c r="F349" s="26">
        <f t="shared" si="59"/>
        <v>0</v>
      </c>
      <c r="G349" s="26">
        <f t="shared" si="60"/>
        <v>0</v>
      </c>
      <c r="H349" s="26">
        <f t="shared" si="60"/>
        <v>0</v>
      </c>
      <c r="I349" s="26">
        <f t="shared" si="60"/>
        <v>0</v>
      </c>
      <c r="J349" s="27" t="str">
        <f t="shared" si="61"/>
        <v>CO2REMOV</v>
      </c>
      <c r="K349" s="27" t="str">
        <f t="shared" si="64"/>
        <v>UNPAID</v>
      </c>
      <c r="L349" s="23">
        <f t="shared" si="56"/>
        <v>0</v>
      </c>
      <c r="M349" s="27">
        <f t="shared" si="62"/>
        <v>0</v>
      </c>
      <c r="N349" s="22">
        <f t="shared" ref="N349:N388" si="65">IF(K349="PAID",IF(H349=24,(0.25*$I$5),IF(((1+H349/G349)*M349/L349*$I$5)&gt;$I$5,$I$5,((1+H349/G349)*M349/L349*$I$5))),0)</f>
        <v>0</v>
      </c>
      <c r="O349" s="28">
        <f t="shared" si="63"/>
        <v>0</v>
      </c>
      <c r="T349" s="20"/>
    </row>
    <row r="350" spans="3:20" x14ac:dyDescent="0.35">
      <c r="C350" s="24" t="e">
        <f t="shared" si="55"/>
        <v>#VALUE!</v>
      </c>
      <c r="D350" s="25" t="str">
        <f t="shared" si="57"/>
        <v/>
      </c>
      <c r="E350" s="25">
        <f t="shared" si="58"/>
        <v>0</v>
      </c>
      <c r="F350" s="26">
        <f t="shared" si="59"/>
        <v>0</v>
      </c>
      <c r="G350" s="26">
        <f t="shared" si="60"/>
        <v>0</v>
      </c>
      <c r="H350" s="26">
        <f t="shared" si="60"/>
        <v>0</v>
      </c>
      <c r="I350" s="26">
        <f t="shared" si="60"/>
        <v>0</v>
      </c>
      <c r="J350" s="27" t="str">
        <f t="shared" si="61"/>
        <v>CO2REMOV</v>
      </c>
      <c r="K350" s="27" t="str">
        <f t="shared" si="64"/>
        <v>UNPAID</v>
      </c>
      <c r="L350" s="23">
        <f t="shared" si="56"/>
        <v>0</v>
      </c>
      <c r="M350" s="27">
        <f t="shared" si="62"/>
        <v>0</v>
      </c>
      <c r="N350" s="22">
        <f t="shared" si="65"/>
        <v>0</v>
      </c>
      <c r="O350" s="28">
        <f t="shared" si="63"/>
        <v>0</v>
      </c>
      <c r="T350" s="20"/>
    </row>
    <row r="351" spans="3:20" x14ac:dyDescent="0.35">
      <c r="C351" s="24" t="e">
        <f t="shared" si="55"/>
        <v>#VALUE!</v>
      </c>
      <c r="D351" s="25" t="str">
        <f t="shared" si="57"/>
        <v/>
      </c>
      <c r="E351" s="25">
        <f t="shared" si="58"/>
        <v>0</v>
      </c>
      <c r="F351" s="26">
        <f t="shared" si="59"/>
        <v>0</v>
      </c>
      <c r="G351" s="26">
        <f t="shared" si="60"/>
        <v>0</v>
      </c>
      <c r="H351" s="26">
        <f t="shared" si="60"/>
        <v>0</v>
      </c>
      <c r="I351" s="26">
        <f t="shared" si="60"/>
        <v>0</v>
      </c>
      <c r="J351" s="27" t="str">
        <f t="shared" si="61"/>
        <v>CO2REMOV</v>
      </c>
      <c r="K351" s="27" t="str">
        <f t="shared" si="64"/>
        <v>UNPAID</v>
      </c>
      <c r="L351" s="23">
        <f t="shared" si="56"/>
        <v>0</v>
      </c>
      <c r="M351" s="27">
        <f t="shared" si="62"/>
        <v>0</v>
      </c>
      <c r="N351" s="22">
        <f t="shared" si="65"/>
        <v>0</v>
      </c>
      <c r="O351" s="28">
        <f t="shared" si="63"/>
        <v>0</v>
      </c>
      <c r="T351" s="20"/>
    </row>
    <row r="352" spans="3:20" x14ac:dyDescent="0.35">
      <c r="C352" s="24" t="e">
        <f t="shared" si="55"/>
        <v>#VALUE!</v>
      </c>
      <c r="D352" s="25" t="str">
        <f t="shared" si="57"/>
        <v/>
      </c>
      <c r="E352" s="25">
        <f t="shared" si="58"/>
        <v>0</v>
      </c>
      <c r="F352" s="26">
        <f t="shared" si="59"/>
        <v>0</v>
      </c>
      <c r="G352" s="26">
        <f t="shared" si="60"/>
        <v>0</v>
      </c>
      <c r="H352" s="26">
        <f t="shared" si="60"/>
        <v>0</v>
      </c>
      <c r="I352" s="26">
        <f t="shared" si="60"/>
        <v>0</v>
      </c>
      <c r="J352" s="27" t="str">
        <f t="shared" si="61"/>
        <v>CO2REMOV</v>
      </c>
      <c r="K352" s="27" t="str">
        <f t="shared" si="64"/>
        <v>UNPAID</v>
      </c>
      <c r="L352" s="23">
        <f t="shared" si="56"/>
        <v>0</v>
      </c>
      <c r="M352" s="27">
        <f t="shared" si="62"/>
        <v>0</v>
      </c>
      <c r="N352" s="22">
        <f t="shared" si="65"/>
        <v>0</v>
      </c>
      <c r="O352" s="28">
        <f t="shared" si="63"/>
        <v>0</v>
      </c>
      <c r="T352" s="20"/>
    </row>
    <row r="353" spans="3:20" x14ac:dyDescent="0.35">
      <c r="C353" s="24" t="e">
        <f t="shared" si="55"/>
        <v>#VALUE!</v>
      </c>
      <c r="D353" s="25" t="str">
        <f t="shared" si="57"/>
        <v/>
      </c>
      <c r="E353" s="25">
        <f t="shared" si="58"/>
        <v>0</v>
      </c>
      <c r="F353" s="26">
        <f t="shared" si="59"/>
        <v>0</v>
      </c>
      <c r="G353" s="26">
        <f t="shared" si="60"/>
        <v>0</v>
      </c>
      <c r="H353" s="26">
        <f t="shared" si="60"/>
        <v>0</v>
      </c>
      <c r="I353" s="26">
        <f t="shared" si="60"/>
        <v>0</v>
      </c>
      <c r="J353" s="27" t="str">
        <f t="shared" si="61"/>
        <v>CO2REMOV</v>
      </c>
      <c r="K353" s="27" t="str">
        <f t="shared" si="64"/>
        <v>UNPAID</v>
      </c>
      <c r="L353" s="23">
        <f t="shared" si="56"/>
        <v>0</v>
      </c>
      <c r="M353" s="27">
        <f t="shared" si="62"/>
        <v>0</v>
      </c>
      <c r="N353" s="22">
        <f t="shared" si="65"/>
        <v>0</v>
      </c>
      <c r="O353" s="28">
        <f t="shared" si="63"/>
        <v>0</v>
      </c>
      <c r="T353" s="20"/>
    </row>
    <row r="354" spans="3:20" x14ac:dyDescent="0.35">
      <c r="C354" s="24" t="e">
        <f t="shared" si="55"/>
        <v>#VALUE!</v>
      </c>
      <c r="D354" s="25" t="str">
        <f t="shared" si="57"/>
        <v/>
      </c>
      <c r="E354" s="25">
        <f t="shared" si="58"/>
        <v>0</v>
      </c>
      <c r="F354" s="26">
        <f t="shared" si="59"/>
        <v>0</v>
      </c>
      <c r="G354" s="26">
        <f t="shared" si="60"/>
        <v>0</v>
      </c>
      <c r="H354" s="26">
        <f t="shared" si="60"/>
        <v>0</v>
      </c>
      <c r="I354" s="26">
        <f t="shared" si="60"/>
        <v>0</v>
      </c>
      <c r="J354" s="27" t="str">
        <f t="shared" si="61"/>
        <v>CO2REMOV</v>
      </c>
      <c r="K354" s="27" t="str">
        <f t="shared" si="64"/>
        <v>UNPAID</v>
      </c>
      <c r="L354" s="23">
        <f t="shared" si="56"/>
        <v>0</v>
      </c>
      <c r="M354" s="27">
        <f t="shared" si="62"/>
        <v>0</v>
      </c>
      <c r="N354" s="22">
        <f t="shared" si="65"/>
        <v>0</v>
      </c>
      <c r="O354" s="28">
        <f t="shared" si="63"/>
        <v>0</v>
      </c>
      <c r="T354" s="20"/>
    </row>
    <row r="355" spans="3:20" x14ac:dyDescent="0.35">
      <c r="C355" s="24" t="e">
        <f t="shared" si="55"/>
        <v>#VALUE!</v>
      </c>
      <c r="D355" s="25" t="str">
        <f t="shared" si="57"/>
        <v/>
      </c>
      <c r="E355" s="25">
        <f t="shared" si="58"/>
        <v>0</v>
      </c>
      <c r="F355" s="26">
        <f t="shared" si="59"/>
        <v>0</v>
      </c>
      <c r="G355" s="26">
        <f t="shared" si="60"/>
        <v>0</v>
      </c>
      <c r="H355" s="26">
        <f t="shared" si="60"/>
        <v>0</v>
      </c>
      <c r="I355" s="26">
        <f t="shared" si="60"/>
        <v>0</v>
      </c>
      <c r="J355" s="27" t="str">
        <f t="shared" si="61"/>
        <v>CO2REMOV</v>
      </c>
      <c r="K355" s="27" t="str">
        <f t="shared" si="64"/>
        <v>UNPAID</v>
      </c>
      <c r="L355" s="23">
        <f t="shared" si="56"/>
        <v>0</v>
      </c>
      <c r="M355" s="27">
        <f t="shared" si="62"/>
        <v>0</v>
      </c>
      <c r="N355" s="22">
        <f t="shared" si="65"/>
        <v>0</v>
      </c>
      <c r="O355" s="28">
        <f t="shared" si="63"/>
        <v>0</v>
      </c>
      <c r="T355" s="20"/>
    </row>
    <row r="356" spans="3:20" x14ac:dyDescent="0.35">
      <c r="C356" s="24" t="e">
        <f t="shared" si="55"/>
        <v>#VALUE!</v>
      </c>
      <c r="D356" s="25" t="str">
        <f t="shared" si="57"/>
        <v/>
      </c>
      <c r="E356" s="25">
        <f t="shared" si="58"/>
        <v>0</v>
      </c>
      <c r="F356" s="26">
        <f t="shared" si="59"/>
        <v>0</v>
      </c>
      <c r="G356" s="26">
        <f t="shared" si="60"/>
        <v>0</v>
      </c>
      <c r="H356" s="26">
        <f t="shared" si="60"/>
        <v>0</v>
      </c>
      <c r="I356" s="26">
        <f t="shared" si="60"/>
        <v>0</v>
      </c>
      <c r="J356" s="27" t="str">
        <f t="shared" si="61"/>
        <v>CO2REMOV</v>
      </c>
      <c r="K356" s="27" t="str">
        <f t="shared" si="64"/>
        <v>UNPAID</v>
      </c>
      <c r="L356" s="23">
        <f t="shared" si="56"/>
        <v>0</v>
      </c>
      <c r="M356" s="27">
        <f t="shared" si="62"/>
        <v>0</v>
      </c>
      <c r="N356" s="22">
        <f t="shared" si="65"/>
        <v>0</v>
      </c>
      <c r="O356" s="28">
        <f t="shared" si="63"/>
        <v>0</v>
      </c>
      <c r="T356" s="20"/>
    </row>
    <row r="357" spans="3:20" x14ac:dyDescent="0.35">
      <c r="C357" s="24" t="s">
        <v>54</v>
      </c>
      <c r="D357" s="25"/>
      <c r="E357" s="25"/>
      <c r="F357" s="26"/>
      <c r="G357" s="26"/>
      <c r="H357" s="26"/>
      <c r="I357" s="26"/>
      <c r="J357" s="27"/>
      <c r="K357" s="27" t="str">
        <f t="shared" si="64"/>
        <v>UNPAID</v>
      </c>
      <c r="L357" s="23">
        <f t="shared" si="56"/>
        <v>0</v>
      </c>
      <c r="M357" s="27"/>
      <c r="N357" s="22">
        <f t="shared" si="65"/>
        <v>0</v>
      </c>
      <c r="O357" s="28"/>
      <c r="T357" s="20"/>
    </row>
    <row r="358" spans="3:20" x14ac:dyDescent="0.35">
      <c r="C358" s="24" t="e">
        <f>C356+1</f>
        <v>#VALUE!</v>
      </c>
      <c r="D358" s="25" t="str">
        <f t="shared" si="57"/>
        <v/>
      </c>
      <c r="E358" s="25">
        <f t="shared" si="58"/>
        <v>0</v>
      </c>
      <c r="F358" s="26">
        <f t="shared" si="59"/>
        <v>0</v>
      </c>
      <c r="G358" s="26">
        <f t="shared" si="60"/>
        <v>0</v>
      </c>
      <c r="H358" s="26">
        <f t="shared" si="60"/>
        <v>0</v>
      </c>
      <c r="I358" s="26">
        <f t="shared" si="60"/>
        <v>0</v>
      </c>
      <c r="J358" s="27" t="str">
        <f t="shared" si="61"/>
        <v>CO2REMOV</v>
      </c>
      <c r="K358" s="27" t="str">
        <f t="shared" si="64"/>
        <v>UNPAID</v>
      </c>
      <c r="L358" s="23">
        <f t="shared" si="56"/>
        <v>0</v>
      </c>
      <c r="M358" s="27">
        <f t="shared" si="62"/>
        <v>0</v>
      </c>
      <c r="N358" s="22">
        <f t="shared" si="65"/>
        <v>0</v>
      </c>
      <c r="O358" s="28">
        <f t="shared" si="63"/>
        <v>0</v>
      </c>
      <c r="T358" s="20"/>
    </row>
    <row r="359" spans="3:20" x14ac:dyDescent="0.35">
      <c r="C359" s="24" t="e">
        <f t="shared" si="55"/>
        <v>#VALUE!</v>
      </c>
      <c r="D359" s="25" t="str">
        <f t="shared" si="57"/>
        <v/>
      </c>
      <c r="E359" s="25">
        <f t="shared" si="58"/>
        <v>0</v>
      </c>
      <c r="F359" s="26">
        <f t="shared" si="59"/>
        <v>0</v>
      </c>
      <c r="G359" s="26">
        <f t="shared" si="60"/>
        <v>0</v>
      </c>
      <c r="H359" s="26">
        <f t="shared" si="60"/>
        <v>0</v>
      </c>
      <c r="I359" s="26">
        <f t="shared" si="60"/>
        <v>0</v>
      </c>
      <c r="J359" s="27" t="str">
        <f t="shared" si="61"/>
        <v>CO2REMOV</v>
      </c>
      <c r="K359" s="27" t="str">
        <f t="shared" si="64"/>
        <v>UNPAID</v>
      </c>
      <c r="L359" s="23">
        <f t="shared" si="56"/>
        <v>0</v>
      </c>
      <c r="M359" s="27">
        <f t="shared" si="62"/>
        <v>0</v>
      </c>
      <c r="N359" s="22">
        <f t="shared" si="65"/>
        <v>0</v>
      </c>
      <c r="O359" s="28">
        <f t="shared" si="63"/>
        <v>0</v>
      </c>
      <c r="T359" s="20"/>
    </row>
    <row r="360" spans="3:20" x14ac:dyDescent="0.35">
      <c r="C360" s="24" t="e">
        <f t="shared" si="55"/>
        <v>#VALUE!</v>
      </c>
      <c r="D360" s="25" t="str">
        <f t="shared" si="57"/>
        <v/>
      </c>
      <c r="E360" s="25">
        <f t="shared" si="58"/>
        <v>0</v>
      </c>
      <c r="F360" s="26">
        <f t="shared" si="59"/>
        <v>0</v>
      </c>
      <c r="G360" s="26">
        <f t="shared" si="60"/>
        <v>0</v>
      </c>
      <c r="H360" s="26">
        <f t="shared" si="60"/>
        <v>0</v>
      </c>
      <c r="I360" s="26">
        <f t="shared" si="60"/>
        <v>0</v>
      </c>
      <c r="J360" s="27" t="str">
        <f t="shared" si="61"/>
        <v>CO2REMOV</v>
      </c>
      <c r="K360" s="27" t="str">
        <f t="shared" si="64"/>
        <v>UNPAID</v>
      </c>
      <c r="L360" s="23">
        <f t="shared" si="56"/>
        <v>0</v>
      </c>
      <c r="M360" s="27">
        <f t="shared" si="62"/>
        <v>0</v>
      </c>
      <c r="N360" s="22">
        <f t="shared" si="65"/>
        <v>0</v>
      </c>
      <c r="O360" s="28">
        <f t="shared" si="63"/>
        <v>0</v>
      </c>
      <c r="T360" s="20"/>
    </row>
    <row r="361" spans="3:20" x14ac:dyDescent="0.35">
      <c r="C361" s="24" t="e">
        <f t="shared" si="55"/>
        <v>#VALUE!</v>
      </c>
      <c r="D361" s="25" t="str">
        <f t="shared" si="57"/>
        <v/>
      </c>
      <c r="E361" s="25">
        <f t="shared" si="58"/>
        <v>0</v>
      </c>
      <c r="F361" s="26">
        <f t="shared" si="59"/>
        <v>0</v>
      </c>
      <c r="G361" s="26">
        <f t="shared" si="60"/>
        <v>0</v>
      </c>
      <c r="H361" s="26">
        <f t="shared" si="60"/>
        <v>0</v>
      </c>
      <c r="I361" s="26">
        <f t="shared" si="60"/>
        <v>0</v>
      </c>
      <c r="J361" s="27" t="str">
        <f t="shared" si="61"/>
        <v>CO2REMOV</v>
      </c>
      <c r="K361" s="27" t="str">
        <f t="shared" si="64"/>
        <v>UNPAID</v>
      </c>
      <c r="L361" s="23">
        <f t="shared" si="56"/>
        <v>0</v>
      </c>
      <c r="M361" s="27">
        <f t="shared" si="62"/>
        <v>0</v>
      </c>
      <c r="N361" s="22">
        <f t="shared" si="65"/>
        <v>0</v>
      </c>
      <c r="O361" s="28">
        <f t="shared" si="63"/>
        <v>0</v>
      </c>
      <c r="T361" s="20"/>
    </row>
    <row r="362" spans="3:20" x14ac:dyDescent="0.35">
      <c r="C362" s="24" t="e">
        <f t="shared" si="55"/>
        <v>#VALUE!</v>
      </c>
      <c r="D362" s="25" t="str">
        <f t="shared" si="57"/>
        <v/>
      </c>
      <c r="E362" s="25">
        <f t="shared" si="58"/>
        <v>0</v>
      </c>
      <c r="F362" s="26">
        <f t="shared" si="59"/>
        <v>0</v>
      </c>
      <c r="G362" s="26">
        <f t="shared" si="60"/>
        <v>0</v>
      </c>
      <c r="H362" s="26">
        <f t="shared" si="60"/>
        <v>0</v>
      </c>
      <c r="I362" s="26">
        <f t="shared" si="60"/>
        <v>0</v>
      </c>
      <c r="J362" s="27" t="str">
        <f t="shared" si="61"/>
        <v>CO2REMOV</v>
      </c>
      <c r="K362" s="27" t="str">
        <f t="shared" si="64"/>
        <v>UNPAID</v>
      </c>
      <c r="L362" s="23">
        <f t="shared" si="56"/>
        <v>0</v>
      </c>
      <c r="M362" s="27">
        <f t="shared" si="62"/>
        <v>0</v>
      </c>
      <c r="N362" s="22">
        <f t="shared" si="65"/>
        <v>0</v>
      </c>
      <c r="O362" s="28">
        <f t="shared" si="63"/>
        <v>0</v>
      </c>
      <c r="T362" s="20"/>
    </row>
    <row r="363" spans="3:20" x14ac:dyDescent="0.35">
      <c r="C363" s="24" t="e">
        <f t="shared" si="55"/>
        <v>#VALUE!</v>
      </c>
      <c r="D363" s="25" t="str">
        <f t="shared" si="57"/>
        <v/>
      </c>
      <c r="E363" s="25">
        <f t="shared" si="58"/>
        <v>0</v>
      </c>
      <c r="F363" s="26">
        <f t="shared" si="59"/>
        <v>0</v>
      </c>
      <c r="G363" s="26">
        <f t="shared" si="60"/>
        <v>0</v>
      </c>
      <c r="H363" s="26">
        <f t="shared" si="60"/>
        <v>0</v>
      </c>
      <c r="I363" s="26">
        <f t="shared" si="60"/>
        <v>0</v>
      </c>
      <c r="J363" s="27" t="str">
        <f t="shared" si="61"/>
        <v>CO2REMOV</v>
      </c>
      <c r="K363" s="27" t="str">
        <f t="shared" si="64"/>
        <v>UNPAID</v>
      </c>
      <c r="L363" s="23">
        <f t="shared" si="56"/>
        <v>0</v>
      </c>
      <c r="M363" s="27">
        <f t="shared" si="62"/>
        <v>0</v>
      </c>
      <c r="N363" s="22">
        <f t="shared" si="65"/>
        <v>0</v>
      </c>
      <c r="O363" s="28">
        <f t="shared" si="63"/>
        <v>0</v>
      </c>
      <c r="T363" s="20"/>
    </row>
    <row r="364" spans="3:20" x14ac:dyDescent="0.35">
      <c r="C364" s="24" t="e">
        <f t="shared" si="55"/>
        <v>#VALUE!</v>
      </c>
      <c r="D364" s="25" t="str">
        <f t="shared" si="57"/>
        <v/>
      </c>
      <c r="E364" s="25">
        <f t="shared" si="58"/>
        <v>0</v>
      </c>
      <c r="F364" s="26">
        <f t="shared" si="59"/>
        <v>0</v>
      </c>
      <c r="G364" s="26">
        <f t="shared" si="60"/>
        <v>0</v>
      </c>
      <c r="H364" s="26">
        <f t="shared" si="60"/>
        <v>0</v>
      </c>
      <c r="I364" s="26">
        <f t="shared" si="60"/>
        <v>0</v>
      </c>
      <c r="J364" s="27" t="str">
        <f t="shared" si="61"/>
        <v>CO2REMOV</v>
      </c>
      <c r="K364" s="27" t="str">
        <f t="shared" si="64"/>
        <v>UNPAID</v>
      </c>
      <c r="L364" s="23">
        <f t="shared" si="56"/>
        <v>0</v>
      </c>
      <c r="M364" s="27">
        <f t="shared" si="62"/>
        <v>0</v>
      </c>
      <c r="N364" s="22">
        <f t="shared" si="65"/>
        <v>0</v>
      </c>
      <c r="O364" s="28">
        <f t="shared" si="63"/>
        <v>0</v>
      </c>
      <c r="T364" s="20"/>
    </row>
    <row r="365" spans="3:20" x14ac:dyDescent="0.35">
      <c r="C365" s="24" t="e">
        <f t="shared" si="55"/>
        <v>#VALUE!</v>
      </c>
      <c r="D365" s="25" t="str">
        <f t="shared" si="57"/>
        <v/>
      </c>
      <c r="E365" s="25">
        <f t="shared" si="58"/>
        <v>0</v>
      </c>
      <c r="F365" s="26">
        <f t="shared" si="59"/>
        <v>0</v>
      </c>
      <c r="G365" s="26">
        <f t="shared" si="60"/>
        <v>0</v>
      </c>
      <c r="H365" s="26">
        <f t="shared" si="60"/>
        <v>0</v>
      </c>
      <c r="I365" s="26">
        <f t="shared" si="60"/>
        <v>0</v>
      </c>
      <c r="J365" s="27" t="str">
        <f t="shared" si="61"/>
        <v>CO2REMOV</v>
      </c>
      <c r="K365" s="27" t="str">
        <f t="shared" si="64"/>
        <v>UNPAID</v>
      </c>
      <c r="L365" s="23">
        <f t="shared" si="56"/>
        <v>0</v>
      </c>
      <c r="M365" s="27">
        <f t="shared" si="62"/>
        <v>0</v>
      </c>
      <c r="N365" s="22">
        <f t="shared" si="65"/>
        <v>0</v>
      </c>
      <c r="O365" s="28">
        <f t="shared" si="63"/>
        <v>0</v>
      </c>
      <c r="T365" s="20"/>
    </row>
    <row r="366" spans="3:20" x14ac:dyDescent="0.35">
      <c r="C366" s="24" t="e">
        <f t="shared" si="55"/>
        <v>#VALUE!</v>
      </c>
      <c r="D366" s="25" t="str">
        <f t="shared" si="57"/>
        <v/>
      </c>
      <c r="E366" s="25">
        <f t="shared" si="58"/>
        <v>0</v>
      </c>
      <c r="F366" s="26">
        <f t="shared" si="59"/>
        <v>0</v>
      </c>
      <c r="G366" s="26">
        <f t="shared" si="60"/>
        <v>0</v>
      </c>
      <c r="H366" s="26">
        <f t="shared" si="60"/>
        <v>0</v>
      </c>
      <c r="I366" s="26">
        <f t="shared" si="60"/>
        <v>0</v>
      </c>
      <c r="J366" s="27" t="str">
        <f t="shared" si="61"/>
        <v>CO2REMOV</v>
      </c>
      <c r="K366" s="27" t="str">
        <f t="shared" si="64"/>
        <v>UNPAID</v>
      </c>
      <c r="L366" s="23">
        <f t="shared" si="56"/>
        <v>0</v>
      </c>
      <c r="M366" s="27">
        <f t="shared" si="62"/>
        <v>0</v>
      </c>
      <c r="N366" s="22">
        <f t="shared" si="65"/>
        <v>0</v>
      </c>
      <c r="O366" s="28">
        <f t="shared" si="63"/>
        <v>0</v>
      </c>
      <c r="T366" s="20"/>
    </row>
    <row r="367" spans="3:20" x14ac:dyDescent="0.35">
      <c r="C367" s="24" t="e">
        <f t="shared" si="55"/>
        <v>#VALUE!</v>
      </c>
      <c r="D367" s="25" t="str">
        <f t="shared" si="57"/>
        <v/>
      </c>
      <c r="E367" s="25">
        <f t="shared" si="58"/>
        <v>0</v>
      </c>
      <c r="F367" s="26">
        <f t="shared" si="59"/>
        <v>0</v>
      </c>
      <c r="G367" s="26">
        <f t="shared" si="60"/>
        <v>0</v>
      </c>
      <c r="H367" s="26">
        <f t="shared" si="60"/>
        <v>0</v>
      </c>
      <c r="I367" s="26">
        <f t="shared" si="60"/>
        <v>0</v>
      </c>
      <c r="J367" s="27" t="str">
        <f t="shared" si="61"/>
        <v>CO2REMOV</v>
      </c>
      <c r="K367" s="27" t="str">
        <f t="shared" si="64"/>
        <v>UNPAID</v>
      </c>
      <c r="L367" s="23">
        <f t="shared" si="56"/>
        <v>0</v>
      </c>
      <c r="M367" s="27">
        <f t="shared" si="62"/>
        <v>0</v>
      </c>
      <c r="N367" s="22">
        <f t="shared" si="65"/>
        <v>0</v>
      </c>
      <c r="O367" s="28">
        <f t="shared" si="63"/>
        <v>0</v>
      </c>
      <c r="T367" s="20"/>
    </row>
    <row r="368" spans="3:20" x14ac:dyDescent="0.35">
      <c r="C368" s="24" t="e">
        <f t="shared" si="55"/>
        <v>#VALUE!</v>
      </c>
      <c r="D368" s="25" t="str">
        <f t="shared" si="57"/>
        <v/>
      </c>
      <c r="E368" s="25">
        <f t="shared" si="58"/>
        <v>0</v>
      </c>
      <c r="F368" s="26">
        <f t="shared" si="59"/>
        <v>0</v>
      </c>
      <c r="G368" s="26">
        <f t="shared" si="60"/>
        <v>0</v>
      </c>
      <c r="H368" s="26">
        <f t="shared" si="60"/>
        <v>0</v>
      </c>
      <c r="I368" s="26">
        <f t="shared" si="60"/>
        <v>0</v>
      </c>
      <c r="J368" s="27" t="str">
        <f t="shared" si="61"/>
        <v>CO2REMOV</v>
      </c>
      <c r="K368" s="27" t="str">
        <f t="shared" si="64"/>
        <v>UNPAID</v>
      </c>
      <c r="L368" s="23">
        <f t="shared" si="56"/>
        <v>0</v>
      </c>
      <c r="M368" s="27">
        <f t="shared" si="62"/>
        <v>0</v>
      </c>
      <c r="N368" s="22">
        <f t="shared" si="65"/>
        <v>0</v>
      </c>
      <c r="O368" s="28">
        <f t="shared" si="63"/>
        <v>0</v>
      </c>
      <c r="T368" s="20"/>
    </row>
    <row r="369" spans="3:20" x14ac:dyDescent="0.35">
      <c r="C369" s="24" t="e">
        <f t="shared" si="55"/>
        <v>#VALUE!</v>
      </c>
      <c r="D369" s="25" t="str">
        <f t="shared" si="57"/>
        <v/>
      </c>
      <c r="E369" s="25">
        <f t="shared" si="58"/>
        <v>0</v>
      </c>
      <c r="F369" s="26">
        <f t="shared" si="59"/>
        <v>0</v>
      </c>
      <c r="G369" s="26">
        <f t="shared" si="60"/>
        <v>0</v>
      </c>
      <c r="H369" s="26">
        <f t="shared" si="60"/>
        <v>0</v>
      </c>
      <c r="I369" s="26">
        <f t="shared" si="60"/>
        <v>0</v>
      </c>
      <c r="J369" s="27" t="str">
        <f t="shared" si="61"/>
        <v>CO2REMOV</v>
      </c>
      <c r="K369" s="27" t="str">
        <f t="shared" si="64"/>
        <v>UNPAID</v>
      </c>
      <c r="L369" s="23">
        <f t="shared" si="56"/>
        <v>0</v>
      </c>
      <c r="M369" s="27">
        <f t="shared" si="62"/>
        <v>0</v>
      </c>
      <c r="N369" s="22">
        <f t="shared" si="65"/>
        <v>0</v>
      </c>
      <c r="O369" s="28">
        <f t="shared" si="63"/>
        <v>0</v>
      </c>
      <c r="T369" s="20"/>
    </row>
    <row r="370" spans="3:20" x14ac:dyDescent="0.35">
      <c r="C370" s="24" t="e">
        <f t="shared" si="55"/>
        <v>#VALUE!</v>
      </c>
      <c r="D370" s="25" t="str">
        <f t="shared" si="57"/>
        <v/>
      </c>
      <c r="E370" s="25">
        <f t="shared" si="58"/>
        <v>0</v>
      </c>
      <c r="F370" s="26">
        <f t="shared" si="59"/>
        <v>0</v>
      </c>
      <c r="G370" s="26">
        <f t="shared" si="60"/>
        <v>0</v>
      </c>
      <c r="H370" s="26">
        <f t="shared" si="60"/>
        <v>0</v>
      </c>
      <c r="I370" s="26">
        <f t="shared" si="60"/>
        <v>0</v>
      </c>
      <c r="J370" s="27" t="str">
        <f t="shared" si="61"/>
        <v>CO2REMOV</v>
      </c>
      <c r="K370" s="27" t="str">
        <f t="shared" si="64"/>
        <v>UNPAID</v>
      </c>
      <c r="L370" s="23">
        <f t="shared" si="56"/>
        <v>0</v>
      </c>
      <c r="M370" s="27">
        <f t="shared" si="62"/>
        <v>0</v>
      </c>
      <c r="N370" s="22">
        <f t="shared" si="65"/>
        <v>0</v>
      </c>
      <c r="O370" s="28">
        <f t="shared" si="63"/>
        <v>0</v>
      </c>
      <c r="T370" s="20"/>
    </row>
    <row r="371" spans="3:20" x14ac:dyDescent="0.35">
      <c r="C371" s="24" t="e">
        <f t="shared" si="55"/>
        <v>#VALUE!</v>
      </c>
      <c r="D371" s="25" t="str">
        <f t="shared" si="57"/>
        <v/>
      </c>
      <c r="E371" s="25">
        <f t="shared" si="58"/>
        <v>0</v>
      </c>
      <c r="F371" s="26">
        <f t="shared" si="59"/>
        <v>0</v>
      </c>
      <c r="G371" s="26">
        <f t="shared" si="60"/>
        <v>0</v>
      </c>
      <c r="H371" s="26">
        <f t="shared" si="60"/>
        <v>0</v>
      </c>
      <c r="I371" s="26">
        <f t="shared" si="60"/>
        <v>0</v>
      </c>
      <c r="J371" s="27" t="str">
        <f t="shared" si="61"/>
        <v>CO2REMOV</v>
      </c>
      <c r="K371" s="27" t="str">
        <f t="shared" si="64"/>
        <v>UNPAID</v>
      </c>
      <c r="L371" s="23">
        <f t="shared" si="56"/>
        <v>0</v>
      </c>
      <c r="M371" s="27">
        <f t="shared" si="62"/>
        <v>0</v>
      </c>
      <c r="N371" s="22">
        <f t="shared" si="65"/>
        <v>0</v>
      </c>
      <c r="O371" s="28">
        <f t="shared" si="63"/>
        <v>0</v>
      </c>
      <c r="T371" s="20"/>
    </row>
    <row r="372" spans="3:20" x14ac:dyDescent="0.35">
      <c r="C372" s="24" t="e">
        <f t="shared" si="55"/>
        <v>#VALUE!</v>
      </c>
      <c r="D372" s="25" t="str">
        <f t="shared" si="57"/>
        <v/>
      </c>
      <c r="E372" s="25">
        <f t="shared" si="58"/>
        <v>0</v>
      </c>
      <c r="F372" s="26">
        <f t="shared" si="59"/>
        <v>0</v>
      </c>
      <c r="G372" s="26">
        <f t="shared" si="60"/>
        <v>0</v>
      </c>
      <c r="H372" s="26">
        <f t="shared" si="60"/>
        <v>0</v>
      </c>
      <c r="I372" s="26">
        <f t="shared" si="60"/>
        <v>0</v>
      </c>
      <c r="J372" s="27" t="str">
        <f t="shared" si="61"/>
        <v>CO2REMOV</v>
      </c>
      <c r="K372" s="27" t="str">
        <f t="shared" si="64"/>
        <v>UNPAID</v>
      </c>
      <c r="L372" s="23">
        <f t="shared" si="56"/>
        <v>0</v>
      </c>
      <c r="M372" s="27">
        <f t="shared" si="62"/>
        <v>0</v>
      </c>
      <c r="N372" s="22">
        <f t="shared" si="65"/>
        <v>0</v>
      </c>
      <c r="O372" s="28">
        <f t="shared" si="63"/>
        <v>0</v>
      </c>
      <c r="T372" s="20"/>
    </row>
    <row r="373" spans="3:20" x14ac:dyDescent="0.35">
      <c r="C373" s="24" t="e">
        <f t="shared" si="55"/>
        <v>#VALUE!</v>
      </c>
      <c r="D373" s="25" t="str">
        <f t="shared" si="57"/>
        <v/>
      </c>
      <c r="E373" s="25">
        <f t="shared" si="58"/>
        <v>0</v>
      </c>
      <c r="F373" s="26">
        <f t="shared" si="59"/>
        <v>0</v>
      </c>
      <c r="G373" s="26">
        <f t="shared" si="60"/>
        <v>0</v>
      </c>
      <c r="H373" s="26">
        <f t="shared" si="60"/>
        <v>0</v>
      </c>
      <c r="I373" s="26">
        <f t="shared" si="60"/>
        <v>0</v>
      </c>
      <c r="J373" s="27" t="str">
        <f t="shared" si="61"/>
        <v>CO2REMOV</v>
      </c>
      <c r="K373" s="27" t="str">
        <f t="shared" si="64"/>
        <v>UNPAID</v>
      </c>
      <c r="L373" s="23">
        <f t="shared" si="56"/>
        <v>0</v>
      </c>
      <c r="M373" s="27">
        <f t="shared" si="62"/>
        <v>0</v>
      </c>
      <c r="N373" s="22">
        <f t="shared" si="65"/>
        <v>0</v>
      </c>
      <c r="O373" s="28">
        <f t="shared" si="63"/>
        <v>0</v>
      </c>
      <c r="T373" s="20"/>
    </row>
    <row r="374" spans="3:20" x14ac:dyDescent="0.35">
      <c r="C374" s="24" t="e">
        <f t="shared" si="55"/>
        <v>#VALUE!</v>
      </c>
      <c r="D374" s="25" t="str">
        <f t="shared" si="57"/>
        <v/>
      </c>
      <c r="E374" s="25">
        <f t="shared" si="58"/>
        <v>0</v>
      </c>
      <c r="F374" s="26">
        <f t="shared" si="59"/>
        <v>0</v>
      </c>
      <c r="G374" s="26">
        <f t="shared" si="60"/>
        <v>0</v>
      </c>
      <c r="H374" s="26">
        <f t="shared" si="60"/>
        <v>0</v>
      </c>
      <c r="I374" s="26">
        <f t="shared" si="60"/>
        <v>0</v>
      </c>
      <c r="J374" s="27" t="str">
        <f t="shared" si="61"/>
        <v>CO2REMOV</v>
      </c>
      <c r="K374" s="27" t="str">
        <f t="shared" si="64"/>
        <v>UNPAID</v>
      </c>
      <c r="L374" s="23">
        <f t="shared" si="56"/>
        <v>0</v>
      </c>
      <c r="M374" s="27">
        <f t="shared" si="62"/>
        <v>0</v>
      </c>
      <c r="N374" s="22">
        <f t="shared" si="65"/>
        <v>0</v>
      </c>
      <c r="O374" s="28">
        <f t="shared" si="63"/>
        <v>0</v>
      </c>
      <c r="T374" s="20"/>
    </row>
    <row r="375" spans="3:20" x14ac:dyDescent="0.35">
      <c r="C375" s="24" t="e">
        <f t="shared" si="55"/>
        <v>#VALUE!</v>
      </c>
      <c r="D375" s="25" t="str">
        <f t="shared" si="57"/>
        <v/>
      </c>
      <c r="E375" s="25">
        <f t="shared" si="58"/>
        <v>0</v>
      </c>
      <c r="F375" s="26">
        <f t="shared" si="59"/>
        <v>0</v>
      </c>
      <c r="G375" s="26">
        <f t="shared" si="60"/>
        <v>0</v>
      </c>
      <c r="H375" s="26">
        <f t="shared" si="60"/>
        <v>0</v>
      </c>
      <c r="I375" s="26">
        <f t="shared" si="60"/>
        <v>0</v>
      </c>
      <c r="J375" s="27" t="str">
        <f t="shared" si="61"/>
        <v>CO2REMOV</v>
      </c>
      <c r="K375" s="27" t="str">
        <f t="shared" si="64"/>
        <v>UNPAID</v>
      </c>
      <c r="L375" s="23">
        <f t="shared" si="56"/>
        <v>0</v>
      </c>
      <c r="M375" s="27">
        <f t="shared" si="62"/>
        <v>0</v>
      </c>
      <c r="N375" s="22">
        <f t="shared" si="65"/>
        <v>0</v>
      </c>
      <c r="O375" s="28">
        <f t="shared" si="63"/>
        <v>0</v>
      </c>
      <c r="T375" s="20"/>
    </row>
    <row r="376" spans="3:20" x14ac:dyDescent="0.35">
      <c r="C376" s="24" t="e">
        <f t="shared" si="55"/>
        <v>#VALUE!</v>
      </c>
      <c r="D376" s="25" t="str">
        <f t="shared" si="57"/>
        <v/>
      </c>
      <c r="E376" s="25">
        <f t="shared" si="58"/>
        <v>0</v>
      </c>
      <c r="F376" s="26">
        <f t="shared" si="59"/>
        <v>0</v>
      </c>
      <c r="G376" s="26">
        <f t="shared" si="60"/>
        <v>0</v>
      </c>
      <c r="H376" s="26">
        <f t="shared" si="60"/>
        <v>0</v>
      </c>
      <c r="I376" s="26">
        <f t="shared" si="60"/>
        <v>0</v>
      </c>
      <c r="J376" s="27" t="str">
        <f t="shared" si="61"/>
        <v>CO2REMOV</v>
      </c>
      <c r="K376" s="27" t="str">
        <f t="shared" si="64"/>
        <v>UNPAID</v>
      </c>
      <c r="L376" s="23">
        <f t="shared" si="56"/>
        <v>0</v>
      </c>
      <c r="M376" s="27">
        <f t="shared" si="62"/>
        <v>0</v>
      </c>
      <c r="N376" s="22">
        <f t="shared" si="65"/>
        <v>0</v>
      </c>
      <c r="O376" s="28">
        <f t="shared" si="63"/>
        <v>0</v>
      </c>
      <c r="T376" s="20"/>
    </row>
    <row r="377" spans="3:20" x14ac:dyDescent="0.35">
      <c r="C377" s="24" t="e">
        <f t="shared" si="55"/>
        <v>#VALUE!</v>
      </c>
      <c r="D377" s="25" t="str">
        <f t="shared" si="57"/>
        <v/>
      </c>
      <c r="E377" s="25">
        <f t="shared" si="58"/>
        <v>0</v>
      </c>
      <c r="F377" s="26">
        <f t="shared" si="59"/>
        <v>0</v>
      </c>
      <c r="G377" s="26">
        <f t="shared" si="60"/>
        <v>0</v>
      </c>
      <c r="H377" s="26">
        <f t="shared" si="60"/>
        <v>0</v>
      </c>
      <c r="I377" s="26">
        <f t="shared" si="60"/>
        <v>0</v>
      </c>
      <c r="J377" s="27" t="str">
        <f t="shared" si="61"/>
        <v>CO2REMOV</v>
      </c>
      <c r="K377" s="27" t="str">
        <f t="shared" si="64"/>
        <v>UNPAID</v>
      </c>
      <c r="L377" s="23">
        <f t="shared" si="56"/>
        <v>0</v>
      </c>
      <c r="M377" s="27">
        <f t="shared" si="62"/>
        <v>0</v>
      </c>
      <c r="N377" s="22">
        <f t="shared" si="65"/>
        <v>0</v>
      </c>
      <c r="O377" s="28">
        <f t="shared" si="63"/>
        <v>0</v>
      </c>
      <c r="T377" s="20"/>
    </row>
    <row r="378" spans="3:20" x14ac:dyDescent="0.35">
      <c r="C378" s="24" t="e">
        <f t="shared" si="55"/>
        <v>#VALUE!</v>
      </c>
      <c r="D378" s="25" t="str">
        <f t="shared" si="57"/>
        <v/>
      </c>
      <c r="E378" s="25">
        <f t="shared" si="58"/>
        <v>0</v>
      </c>
      <c r="F378" s="26">
        <f t="shared" si="59"/>
        <v>0</v>
      </c>
      <c r="G378" s="26">
        <f t="shared" si="60"/>
        <v>0</v>
      </c>
      <c r="H378" s="26">
        <f t="shared" si="60"/>
        <v>0</v>
      </c>
      <c r="I378" s="26">
        <f t="shared" si="60"/>
        <v>0</v>
      </c>
      <c r="J378" s="27" t="str">
        <f t="shared" si="61"/>
        <v>CO2REMOV</v>
      </c>
      <c r="K378" s="27" t="str">
        <f t="shared" si="64"/>
        <v>UNPAID</v>
      </c>
      <c r="L378" s="23">
        <f t="shared" si="56"/>
        <v>0</v>
      </c>
      <c r="M378" s="27">
        <f t="shared" si="62"/>
        <v>0</v>
      </c>
      <c r="N378" s="22">
        <f t="shared" si="65"/>
        <v>0</v>
      </c>
      <c r="O378" s="28">
        <f t="shared" si="63"/>
        <v>0</v>
      </c>
      <c r="T378" s="20"/>
    </row>
    <row r="379" spans="3:20" x14ac:dyDescent="0.35">
      <c r="C379" s="24" t="e">
        <f t="shared" si="55"/>
        <v>#VALUE!</v>
      </c>
      <c r="D379" s="25" t="str">
        <f t="shared" si="57"/>
        <v/>
      </c>
      <c r="E379" s="25">
        <f t="shared" si="58"/>
        <v>0</v>
      </c>
      <c r="F379" s="26">
        <f t="shared" si="59"/>
        <v>0</v>
      </c>
      <c r="G379" s="26">
        <f t="shared" si="60"/>
        <v>0</v>
      </c>
      <c r="H379" s="26">
        <f t="shared" si="60"/>
        <v>0</v>
      </c>
      <c r="I379" s="26">
        <f t="shared" si="60"/>
        <v>0</v>
      </c>
      <c r="J379" s="27" t="str">
        <f t="shared" si="61"/>
        <v>CO2REMOV</v>
      </c>
      <c r="K379" s="27" t="str">
        <f t="shared" si="64"/>
        <v>UNPAID</v>
      </c>
      <c r="L379" s="23">
        <f t="shared" si="56"/>
        <v>0</v>
      </c>
      <c r="M379" s="27">
        <f t="shared" si="62"/>
        <v>0</v>
      </c>
      <c r="N379" s="22">
        <f t="shared" si="65"/>
        <v>0</v>
      </c>
      <c r="O379" s="28">
        <f t="shared" si="63"/>
        <v>0</v>
      </c>
      <c r="T379" s="20"/>
    </row>
    <row r="380" spans="3:20" x14ac:dyDescent="0.35">
      <c r="C380" s="24" t="e">
        <f t="shared" si="55"/>
        <v>#VALUE!</v>
      </c>
      <c r="D380" s="25" t="str">
        <f t="shared" si="57"/>
        <v/>
      </c>
      <c r="E380" s="25">
        <f t="shared" si="58"/>
        <v>0</v>
      </c>
      <c r="F380" s="26">
        <f t="shared" si="59"/>
        <v>0</v>
      </c>
      <c r="G380" s="26">
        <f t="shared" si="60"/>
        <v>0</v>
      </c>
      <c r="H380" s="26">
        <f t="shared" si="60"/>
        <v>0</v>
      </c>
      <c r="I380" s="26">
        <f t="shared" si="60"/>
        <v>0</v>
      </c>
      <c r="J380" s="27" t="str">
        <f t="shared" si="61"/>
        <v>CO2REMOV</v>
      </c>
      <c r="K380" s="27" t="str">
        <f t="shared" si="64"/>
        <v>UNPAID</v>
      </c>
      <c r="L380" s="23">
        <f t="shared" si="56"/>
        <v>0</v>
      </c>
      <c r="M380" s="27">
        <f t="shared" si="62"/>
        <v>0</v>
      </c>
      <c r="N380" s="22">
        <f t="shared" si="65"/>
        <v>0</v>
      </c>
      <c r="O380" s="28">
        <f t="shared" si="63"/>
        <v>0</v>
      </c>
      <c r="T380" s="20"/>
    </row>
    <row r="381" spans="3:20" x14ac:dyDescent="0.35">
      <c r="C381" s="24" t="e">
        <f t="shared" si="55"/>
        <v>#VALUE!</v>
      </c>
      <c r="D381" s="25" t="str">
        <f t="shared" si="57"/>
        <v/>
      </c>
      <c r="E381" s="25">
        <f t="shared" si="58"/>
        <v>0</v>
      </c>
      <c r="F381" s="26">
        <f t="shared" si="59"/>
        <v>0</v>
      </c>
      <c r="G381" s="26">
        <f t="shared" si="60"/>
        <v>0</v>
      </c>
      <c r="H381" s="26">
        <f t="shared" si="60"/>
        <v>0</v>
      </c>
      <c r="I381" s="26">
        <f t="shared" si="60"/>
        <v>0</v>
      </c>
      <c r="J381" s="27" t="str">
        <f t="shared" si="61"/>
        <v>CO2REMOV</v>
      </c>
      <c r="K381" s="27" t="str">
        <f t="shared" si="64"/>
        <v>UNPAID</v>
      </c>
      <c r="L381" s="23">
        <f t="shared" si="56"/>
        <v>0</v>
      </c>
      <c r="M381" s="27">
        <f t="shared" si="62"/>
        <v>0</v>
      </c>
      <c r="N381" s="22">
        <f t="shared" si="65"/>
        <v>0</v>
      </c>
      <c r="O381" s="28">
        <f t="shared" si="63"/>
        <v>0</v>
      </c>
      <c r="T381" s="20"/>
    </row>
    <row r="382" spans="3:20" x14ac:dyDescent="0.35">
      <c r="C382" s="24" t="e">
        <f t="shared" si="55"/>
        <v>#VALUE!</v>
      </c>
      <c r="D382" s="25" t="str">
        <f t="shared" si="57"/>
        <v/>
      </c>
      <c r="E382" s="25">
        <f t="shared" si="58"/>
        <v>0</v>
      </c>
      <c r="F382" s="26">
        <f t="shared" si="59"/>
        <v>0</v>
      </c>
      <c r="G382" s="26">
        <f t="shared" si="60"/>
        <v>0</v>
      </c>
      <c r="H382" s="26">
        <f t="shared" si="60"/>
        <v>0</v>
      </c>
      <c r="I382" s="26">
        <f t="shared" si="60"/>
        <v>0</v>
      </c>
      <c r="J382" s="27" t="str">
        <f t="shared" si="61"/>
        <v>CO2REMOV</v>
      </c>
      <c r="K382" s="27" t="str">
        <f t="shared" si="64"/>
        <v>UNPAID</v>
      </c>
      <c r="L382" s="23">
        <f t="shared" si="56"/>
        <v>0</v>
      </c>
      <c r="M382" s="27">
        <f t="shared" si="62"/>
        <v>0</v>
      </c>
      <c r="N382" s="22">
        <f t="shared" si="65"/>
        <v>0</v>
      </c>
      <c r="O382" s="28">
        <f t="shared" si="63"/>
        <v>0</v>
      </c>
      <c r="T382" s="20"/>
    </row>
    <row r="383" spans="3:20" x14ac:dyDescent="0.35">
      <c r="C383" s="24" t="e">
        <f t="shared" si="55"/>
        <v>#VALUE!</v>
      </c>
      <c r="D383" s="25" t="str">
        <f t="shared" si="57"/>
        <v/>
      </c>
      <c r="E383" s="25">
        <f t="shared" si="58"/>
        <v>0</v>
      </c>
      <c r="F383" s="26">
        <f t="shared" si="59"/>
        <v>0</v>
      </c>
      <c r="G383" s="26">
        <f t="shared" si="60"/>
        <v>0</v>
      </c>
      <c r="H383" s="26">
        <f t="shared" si="60"/>
        <v>0</v>
      </c>
      <c r="I383" s="26">
        <f t="shared" si="60"/>
        <v>0</v>
      </c>
      <c r="J383" s="27" t="str">
        <f t="shared" si="61"/>
        <v>CO2REMOV</v>
      </c>
      <c r="K383" s="27" t="str">
        <f t="shared" si="64"/>
        <v>UNPAID</v>
      </c>
      <c r="L383" s="23">
        <f t="shared" si="56"/>
        <v>0</v>
      </c>
      <c r="M383" s="27">
        <f t="shared" si="62"/>
        <v>0</v>
      </c>
      <c r="N383" s="22">
        <f t="shared" si="65"/>
        <v>0</v>
      </c>
      <c r="O383" s="28">
        <f t="shared" si="63"/>
        <v>0</v>
      </c>
      <c r="T383" s="20"/>
    </row>
    <row r="384" spans="3:20" x14ac:dyDescent="0.35">
      <c r="C384" s="24" t="e">
        <f t="shared" si="55"/>
        <v>#VALUE!</v>
      </c>
      <c r="D384" s="25" t="str">
        <f t="shared" si="57"/>
        <v/>
      </c>
      <c r="E384" s="25">
        <f t="shared" si="58"/>
        <v>0</v>
      </c>
      <c r="F384" s="26">
        <f t="shared" si="59"/>
        <v>0</v>
      </c>
      <c r="G384" s="26">
        <f t="shared" si="60"/>
        <v>0</v>
      </c>
      <c r="H384" s="26">
        <f t="shared" si="60"/>
        <v>0</v>
      </c>
      <c r="I384" s="26">
        <f t="shared" si="60"/>
        <v>0</v>
      </c>
      <c r="J384" s="27" t="str">
        <f t="shared" si="61"/>
        <v>CO2REMOV</v>
      </c>
      <c r="K384" s="27" t="str">
        <f t="shared" si="64"/>
        <v>UNPAID</v>
      </c>
      <c r="L384" s="23">
        <f t="shared" si="56"/>
        <v>0</v>
      </c>
      <c r="M384" s="27">
        <f t="shared" si="62"/>
        <v>0</v>
      </c>
      <c r="N384" s="22">
        <f t="shared" si="65"/>
        <v>0</v>
      </c>
      <c r="O384" s="28">
        <f t="shared" si="63"/>
        <v>0</v>
      </c>
      <c r="T384" s="20"/>
    </row>
    <row r="385" spans="3:20" x14ac:dyDescent="0.35">
      <c r="C385" s="24" t="e">
        <f t="shared" si="55"/>
        <v>#VALUE!</v>
      </c>
      <c r="D385" s="25" t="str">
        <f t="shared" si="57"/>
        <v/>
      </c>
      <c r="E385" s="25">
        <f t="shared" si="58"/>
        <v>0</v>
      </c>
      <c r="F385" s="26">
        <f t="shared" si="59"/>
        <v>0</v>
      </c>
      <c r="G385" s="26">
        <f t="shared" si="60"/>
        <v>0</v>
      </c>
      <c r="H385" s="26">
        <f t="shared" si="60"/>
        <v>0</v>
      </c>
      <c r="I385" s="26">
        <f t="shared" si="60"/>
        <v>0</v>
      </c>
      <c r="J385" s="27" t="str">
        <f t="shared" si="61"/>
        <v>CO2REMOV</v>
      </c>
      <c r="K385" s="27" t="str">
        <f t="shared" si="64"/>
        <v>UNPAID</v>
      </c>
      <c r="L385" s="23">
        <f t="shared" si="56"/>
        <v>0</v>
      </c>
      <c r="M385" s="27">
        <f t="shared" si="62"/>
        <v>0</v>
      </c>
      <c r="N385" s="22">
        <f t="shared" si="65"/>
        <v>0</v>
      </c>
      <c r="O385" s="28">
        <f t="shared" si="63"/>
        <v>0</v>
      </c>
      <c r="T385" s="20"/>
    </row>
    <row r="386" spans="3:20" x14ac:dyDescent="0.35">
      <c r="C386" s="24" t="e">
        <f t="shared" si="55"/>
        <v>#VALUE!</v>
      </c>
      <c r="D386" s="25" t="str">
        <f t="shared" si="57"/>
        <v/>
      </c>
      <c r="E386" s="25">
        <f t="shared" si="58"/>
        <v>0</v>
      </c>
      <c r="F386" s="26">
        <f t="shared" si="59"/>
        <v>0</v>
      </c>
      <c r="G386" s="26">
        <f t="shared" si="60"/>
        <v>0</v>
      </c>
      <c r="H386" s="26">
        <f t="shared" si="60"/>
        <v>0</v>
      </c>
      <c r="I386" s="26">
        <f t="shared" si="60"/>
        <v>0</v>
      </c>
      <c r="J386" s="27" t="str">
        <f t="shared" si="61"/>
        <v>CO2REMOV</v>
      </c>
      <c r="K386" s="27" t="str">
        <f t="shared" si="64"/>
        <v>UNPAID</v>
      </c>
      <c r="L386" s="23">
        <f t="shared" si="56"/>
        <v>0</v>
      </c>
      <c r="M386" s="27">
        <f t="shared" si="62"/>
        <v>0</v>
      </c>
      <c r="N386" s="22">
        <f t="shared" si="65"/>
        <v>0</v>
      </c>
      <c r="O386" s="28">
        <f t="shared" si="63"/>
        <v>0</v>
      </c>
      <c r="T386" s="20"/>
    </row>
    <row r="387" spans="3:20" x14ac:dyDescent="0.35">
      <c r="C387" s="24" t="e">
        <f t="shared" si="55"/>
        <v>#VALUE!</v>
      </c>
      <c r="D387" s="25" t="str">
        <f t="shared" si="57"/>
        <v/>
      </c>
      <c r="E387" s="25">
        <f t="shared" si="58"/>
        <v>0</v>
      </c>
      <c r="F387" s="26">
        <f t="shared" si="59"/>
        <v>0</v>
      </c>
      <c r="G387" s="26">
        <f t="shared" si="60"/>
        <v>0</v>
      </c>
      <c r="H387" s="26">
        <f t="shared" si="60"/>
        <v>0</v>
      </c>
      <c r="I387" s="26">
        <f t="shared" si="60"/>
        <v>0</v>
      </c>
      <c r="J387" s="27" t="str">
        <f t="shared" si="61"/>
        <v>CO2REMOV</v>
      </c>
      <c r="K387" s="27" t="str">
        <f t="shared" si="64"/>
        <v>UNPAID</v>
      </c>
      <c r="L387" s="23">
        <f t="shared" si="56"/>
        <v>0</v>
      </c>
      <c r="M387" s="27">
        <f t="shared" si="62"/>
        <v>0</v>
      </c>
      <c r="N387" s="22">
        <f t="shared" si="65"/>
        <v>0</v>
      </c>
      <c r="O387" s="28">
        <f t="shared" si="63"/>
        <v>0</v>
      </c>
      <c r="T387" s="20"/>
    </row>
    <row r="388" spans="3:20" x14ac:dyDescent="0.35">
      <c r="C388" s="24" t="e">
        <f t="shared" si="55"/>
        <v>#VALUE!</v>
      </c>
      <c r="D388" s="25" t="str">
        <f t="shared" si="57"/>
        <v/>
      </c>
      <c r="E388" s="25">
        <f t="shared" si="58"/>
        <v>0</v>
      </c>
      <c r="F388" s="26">
        <f t="shared" si="59"/>
        <v>0</v>
      </c>
      <c r="G388" s="26">
        <f t="shared" si="60"/>
        <v>0</v>
      </c>
      <c r="H388" s="26">
        <f t="shared" si="60"/>
        <v>0</v>
      </c>
      <c r="I388" s="26">
        <f t="shared" si="60"/>
        <v>0</v>
      </c>
      <c r="J388" s="27" t="str">
        <f t="shared" si="61"/>
        <v>CO2REMOV</v>
      </c>
      <c r="K388" s="27" t="str">
        <f t="shared" si="64"/>
        <v>UNPAID</v>
      </c>
      <c r="L388" s="23">
        <f t="shared" si="56"/>
        <v>0</v>
      </c>
      <c r="M388" s="27">
        <f t="shared" si="62"/>
        <v>0</v>
      </c>
      <c r="N388" s="22">
        <f t="shared" si="65"/>
        <v>0</v>
      </c>
      <c r="O388" s="28">
        <f t="shared" si="63"/>
        <v>0</v>
      </c>
      <c r="T388" s="20"/>
    </row>
    <row r="389" spans="3:20" x14ac:dyDescent="0.35"/>
    <row r="390" spans="3:20" x14ac:dyDescent="0.35"/>
    <row r="391" spans="3:20" x14ac:dyDescent="0.35"/>
    <row r="392" spans="3:20" x14ac:dyDescent="0.35"/>
    <row r="393" spans="3:20" x14ac:dyDescent="0.35"/>
    <row r="394" spans="3:20" x14ac:dyDescent="0.35"/>
    <row r="395" spans="3:20" x14ac:dyDescent="0.35"/>
    <row r="396" spans="3:20" x14ac:dyDescent="0.35"/>
    <row r="397" spans="3:20" x14ac:dyDescent="0.35"/>
    <row r="398" spans="3:20" x14ac:dyDescent="0.35"/>
    <row r="399" spans="3:20" x14ac:dyDescent="0.35"/>
    <row r="400" spans="3:20" x14ac:dyDescent="0.35"/>
    <row r="401" x14ac:dyDescent="0.35"/>
    <row r="402" x14ac:dyDescent="0.35"/>
    <row r="403" x14ac:dyDescent="0.35"/>
  </sheetData>
  <mergeCells count="7">
    <mergeCell ref="O10:O11"/>
    <mergeCell ref="C10:C11"/>
    <mergeCell ref="J10:J11"/>
    <mergeCell ref="K10:K11"/>
    <mergeCell ref="L10:L11"/>
    <mergeCell ref="M10:M11"/>
    <mergeCell ref="N10:N11"/>
  </mergeCells>
  <pageMargins left="0.7" right="0.7" top="0.75" bottom="0.75" header="0.3" footer="0.3"/>
  <pageSetup paperSize="9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Database</vt:lpstr>
      <vt:lpstr>7101 (C)</vt:lpstr>
      <vt:lpstr>Database!Print_Area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 ardianto</dc:creator>
  <cp:lastModifiedBy>2022 ALFONSUS VEGA HENTYA TANOJO</cp:lastModifiedBy>
  <cp:lastPrinted>2023-04-13T02:04:15Z</cp:lastPrinted>
  <dcterms:created xsi:type="dcterms:W3CDTF">2022-03-03T14:39:31Z</dcterms:created>
  <dcterms:modified xsi:type="dcterms:W3CDTF">2026-04-06T07:40:31Z</dcterms:modified>
</cp:coreProperties>
</file>