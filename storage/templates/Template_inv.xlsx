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Inv" sheetId="1" r:id="rId4"/>
    <sheet name="7116" sheetId="2" r:id="rId5"/>
  </sheets>
  <definedNames>
    <definedName name="_xlnm.Print_Area" localSheetId="0">'Rekap Inv'!$A$1:$E$16</definedName>
    <definedName name="_xlnm.Print_Area" localSheetId="1">'7116'!$A$1:$T$37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<sst xmlns="http://schemas.openxmlformats.org/spreadsheetml/2006/main" uniqueCount="60">
  <si>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Tanggal awal tagihan</t>
  </si>
  <si>
    <t>{{start_date}}</t>
  </si>
  <si>
    <t>HSPHK</t>
  </si>
  <si>
    <t>Standby rate / day</t>
  </si>
  <si>
    <t>Total invoice</t>
  </si>
  <si>
    <t>IDR</t>
  </si>
  <si>
    <t>{{unit_sn}}</t>
  </si>
  <si>
    <t>{{price_unit_sn}}</t>
  </si>
  <si>
    <t>Total</t>
  </si>
  <si>
    <t>{{total_price}}</t>
  </si>
  <si>
    <t>Pihak kesatu</t>
  </si>
  <si>
    <t>Pihak Kedua</t>
  </si>
  <si>
    <t>Nama</t>
  </si>
  <si>
    <t>Departemen</t>
  </si>
  <si>
    <t>MONTHLY GAS COMPRESSION REPORT</t>
  </si>
  <si>
    <t>GasJack Compressor</t>
  </si>
  <si>
    <t>HSPHK :</t>
  </si>
  <si>
    <t>Unit S/N</t>
  </si>
  <si>
    <t>Standby rate / day :</t>
  </si>
  <si>
    <t>Date</t>
  </si>
  <si>
    <t>P Source</t>
  </si>
  <si>
    <t>P Suct.</t>
  </si>
  <si>
    <t>P Disch.</t>
  </si>
  <si>
    <t>Volume</t>
  </si>
  <si>
    <t>Perf.</t>
  </si>
  <si>
    <t>Curve</t>
  </si>
  <si>
    <t>T Disch.</t>
  </si>
  <si>
    <t>Speed</t>
  </si>
  <si>
    <t>Liquid Gain</t>
  </si>
  <si>
    <t>Operating Time</t>
  </si>
  <si>
    <t>Run</t>
  </si>
  <si>
    <t>Availability</t>
  </si>
  <si>
    <t>Operating Time (hrs)</t>
  </si>
  <si>
    <t>Nilai</t>
  </si>
  <si>
    <t>Remarks</t>
  </si>
  <si>
    <t>Standby berturut-turut bulan sebelumnya :</t>
  </si>
  <si>
    <t>hari</t>
  </si>
  <si>
    <t>psig</t>
  </si>
  <si>
    <t>{{suction_press_unit}}</t>
  </si>
  <si>
    <t>{{disharge_press_unit}}</t>
  </si>
  <si>
    <t>MSCF</t>
  </si>
  <si>
    <t>%</t>
  </si>
  <si>
    <t>MSCFD</t>
  </si>
  <si>
    <t>°F</t>
  </si>
  <si>
    <t>RPM</t>
  </si>
  <si>
    <t>BPD</t>
  </si>
  <si>
    <t>Standby</t>
  </si>
  <si>
    <t>Down</t>
  </si>
  <si>
    <t>HSPHA</t>
  </si>
  <si>
    <t>Curve / BA</t>
  </si>
  <si>
    <t>{{date}}</t>
  </si>
  <si>
    <t>{{suction_press}}</t>
  </si>
  <si>
    <t>{{discharge_press}}</t>
  </si>
  <si>
    <t>{{flowrate}}</t>
  </si>
  <si>
    <t>{{run}}</t>
  </si>
  <si>
    <t>{{stby}}</t>
  </si>
  <si>
    <t>{{down}}</t>
  </si>
  <si>
    <t>{{remarks}}</t>
  </si>
  <si>
    <t>BA</t>
  </si>
  <si>
    <t>TOTAL</t>
  </si>
</sst>
</file>

<file path=xl/styles.xml><?xml version="1.0" encoding="utf-8"?>
<styleSheet xmlns="http://schemas.openxmlformats.org/spreadsheetml/2006/main">
  <numFmts count="10">
    <numFmt numFmtId="164" formatCode="\:\ @"/>
    <numFmt numFmtId="165" formatCode="_(&quot;Rp&quot;* #,##0_);_(&quot;Rp&quot;* \(#,##0\);_(&quot;Rp&quot;* &quot;-&quot;_);_(@_)"/>
    <numFmt numFmtId="166" formatCode="#,##0.0000"/>
    <numFmt numFmtId="167" formatCode="[hh]:mm"/>
    <numFmt numFmtId="168" formatCode="[$-409]d\ mmm;@"/>
    <numFmt numFmtId="169" formatCode="[$Rp-3809]#,##0.0"/>
    <numFmt numFmtId="170" formatCode="_(* #,##0.00_);_(* \(#,##0.00\);_(* &quot;-&quot;??_);_(@_)"/>
    <numFmt numFmtId="171" formatCode="[$-421]d\ mmm\ yyyy;@"/>
    <numFmt numFmtId="172" formatCode="&quot;Biaya&quot;\ [$-421]\ mmmm\ yyyy"/>
    <numFmt numFmtId="173" formatCode="_(* #,##0_);_(* \(#,##0\);_(* &quot;-&quot;??_);_(@_)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0"/>
      <i val="0"/>
      <strike val="0"/>
      <u val="none"/>
      <sz val="11"/>
      <color rgb="FFFF0000"/>
      <name val="Arial"/>
    </font>
    <font>
      <b val="0"/>
      <i val="0"/>
      <strike val="0"/>
      <u val="single"/>
      <sz val="11"/>
      <color rgb="FF000000"/>
      <name val="Arial"/>
    </font>
    <font>
      <b val="1"/>
      <i val="0"/>
      <strike val="0"/>
      <u val="none"/>
      <sz val="11"/>
      <color rgb="FF006600"/>
      <name val="Arial"/>
    </font>
    <font>
      <b val="1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FF0000"/>
      <name val="Arial"/>
    </font>
    <font>
      <b val="0"/>
      <i val="0"/>
      <strike val="0"/>
      <u val="none"/>
      <sz val="11"/>
      <color rgb="FF00B050"/>
      <name val="Arial"/>
    </font>
    <font>
      <b val="1"/>
      <i val="0"/>
      <strike val="0"/>
      <u val="none"/>
      <sz val="11"/>
      <color rgb="FF00B050"/>
      <name val="Arial"/>
    </font>
    <font>
      <b val="0"/>
      <i val="0"/>
      <strike val="0"/>
      <u val="none"/>
      <sz val="11"/>
      <color rgb="FF006600"/>
      <name val="Arial"/>
    </font>
    <font>
      <b val="0"/>
      <i val="0"/>
      <strike val="0"/>
      <u val="singl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true" diagonalDown="false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 applyProtection="true">
      <alignment vertical="center" textRotation="0" wrapText="false" shrinkToFit="false"/>
      <protection locked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4" fillId="0" borderId="3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166" fillId="0" borderId="3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3" fillId="0" borderId="3" applyFont="1" applyNumberFormat="1" applyFill="0" applyBorder="1" applyAlignment="1" applyProtection="true">
      <alignment vertical="top" textRotation="0" wrapText="false" shrinkToFit="false"/>
      <protection locked="false"/>
    </xf>
    <xf xfId="0" fontId="3" numFmtId="167" fillId="0" borderId="5" applyFont="1" applyNumberFormat="1" applyFill="0" applyBorder="1" applyAlignment="1" applyProtection="true">
      <alignment horizontal="right" vertical="top" textRotation="0" wrapText="false" shrinkToFit="false"/>
      <protection locked="false"/>
    </xf>
    <xf xfId="0" fontId="1" numFmtId="4" fillId="0" borderId="5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166" fillId="0" borderId="5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4" fillId="0" borderId="5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3" fillId="0" borderId="5" applyFont="1" applyNumberFormat="1" applyFill="0" applyBorder="1" applyAlignment="1" applyProtection="true">
      <alignment vertical="top" textRotation="0" wrapText="false" shrinkToFit="false"/>
      <protection locked="false"/>
    </xf>
    <xf xfId="0" fontId="3" numFmtId="167" fillId="0" borderId="3" applyFont="1" applyNumberFormat="1" applyFill="0" applyBorder="1" applyAlignment="1" applyProtection="true">
      <alignment horizontal="right" vertical="top" textRotation="0" wrapText="false" shrinkToFit="false"/>
      <protection locked="false"/>
    </xf>
    <xf xfId="0" fontId="1" quotePrefix="1" numFmtId="168" fillId="0" borderId="5" applyFont="1" applyNumberFormat="1" applyFill="0" applyBorder="1" applyAlignment="1">
      <alignment horizontal="center" vertical="top" textRotation="0" wrapText="false" shrinkToFit="false"/>
    </xf>
    <xf xfId="0" fontId="4" numFmtId="10" fillId="3" borderId="3" applyFont="1" applyNumberFormat="1" applyFill="1" applyBorder="1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" numFmtId="2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1" numFmtId="169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1" numFmtId="165" fillId="0" borderId="3" applyFont="1" applyNumberFormat="1" applyFill="0" applyBorder="1" applyAlignment="1">
      <alignment vertical="top" textRotation="0" wrapText="false" shrinkToFit="false"/>
    </xf>
    <xf xfId="0" fontId="5" numFmtId="0" fillId="0" borderId="0" applyFont="1" applyNumberFormat="0" applyFill="0" applyBorder="0" applyAlignment="0" applyProtection="true">
      <protection locked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170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3" fillId="0" borderId="0" applyFont="1" applyNumberFormat="1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 applyProtection="true">
      <protection locked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1" quotePrefix="1" numFmtId="168" fillId="0" borderId="9" applyFont="1" applyNumberFormat="1" applyFill="0" applyBorder="1" applyAlignment="1">
      <alignment horizontal="center" vertical="top" textRotation="0" wrapText="false" shrinkToFit="false"/>
    </xf>
    <xf xfId="0" fontId="1" numFmtId="4" fillId="0" borderId="9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4" fillId="0" borderId="9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166" fillId="0" borderId="9" applyFont="1" applyNumberFormat="1" applyFill="0" applyBorder="1" applyAlignment="1" applyProtection="true">
      <alignment vertical="top" textRotation="0" wrapText="false" shrinkToFit="false"/>
      <protection locked="false"/>
    </xf>
    <xf xfId="0" fontId="1" numFmtId="3" fillId="0" borderId="9" applyFont="1" applyNumberFormat="1" applyFill="0" applyBorder="1" applyAlignment="1" applyProtection="true">
      <alignment vertical="top" textRotation="0" wrapText="false" shrinkToFit="false"/>
      <protection locked="false"/>
    </xf>
    <xf xfId="0" fontId="3" numFmtId="167" fillId="0" borderId="9" applyFont="1" applyNumberFormat="1" applyFill="0" applyBorder="1" applyAlignment="1" applyProtection="true">
      <alignment horizontal="right" vertical="top" textRotation="0" wrapText="false" shrinkToFit="false"/>
      <protection locked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4" fillId="0" borderId="11" applyFont="1" applyNumberFormat="1" applyFill="0" applyBorder="1" applyAlignment="1">
      <alignment vertical="center" textRotation="0" wrapText="false" shrinkToFit="false"/>
    </xf>
    <xf xfId="0" fontId="2" numFmtId="166" fillId="0" borderId="10" applyFont="1" applyNumberFormat="1" applyFill="0" applyBorder="1" applyAlignment="1">
      <alignment vertical="center" textRotation="0" wrapText="false" shrinkToFit="false"/>
    </xf>
    <xf xfId="0" fontId="6" numFmtId="10" fillId="0" borderId="11" applyFont="1" applyNumberFormat="1" applyFill="0" applyBorder="1" applyAlignment="1">
      <alignment vertical="center" textRotation="0" wrapText="false" shrinkToFit="false"/>
    </xf>
    <xf xfId="0" fontId="2" numFmtId="166" fillId="0" borderId="11" applyFont="1" applyNumberFormat="1" applyFill="0" applyBorder="1" applyAlignment="1">
      <alignment vertical="center" textRotation="0" wrapText="false" shrinkToFit="false"/>
    </xf>
    <xf xfId="0" fontId="2" numFmtId="3" fillId="0" borderId="11" applyFont="1" applyNumberFormat="1" applyFill="0" applyBorder="1" applyAlignment="1">
      <alignment vertical="center" textRotation="0" wrapText="false" shrinkToFit="false"/>
    </xf>
    <xf xfId="0" fontId="2" numFmtId="4" fillId="0" borderId="10" applyFont="1" applyNumberFormat="1" applyFill="0" applyBorder="1" applyAlignment="1">
      <alignment vertical="center" textRotation="0" wrapText="false" shrinkToFit="false"/>
    </xf>
    <xf xfId="0" fontId="7" numFmtId="167" fillId="0" borderId="10" applyFont="1" applyNumberFormat="1" applyFill="0" applyBorder="1" applyAlignment="1">
      <alignment horizontal="right" vertical="center" textRotation="0" wrapText="false" shrinkToFit="false"/>
    </xf>
    <xf xfId="0" fontId="8" numFmtId="10" fillId="0" borderId="11" applyFont="1" applyNumberFormat="1" applyFill="0" applyBorder="1" applyAlignment="1">
      <alignment vertical="center" textRotation="0" wrapText="false" shrinkToFit="false"/>
    </xf>
    <xf xfId="0" fontId="8" numFmtId="10" fillId="0" borderId="11" applyFont="1" applyNumberFormat="1" applyFill="0" applyBorder="1" applyAlignment="1">
      <alignment horizontal="right"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1" numFmtId="9" fillId="0" borderId="0" applyFont="1" applyNumberFormat="1" applyFill="0" applyBorder="0" applyAlignment="1">
      <alignment vertical="center" textRotation="0" wrapText="false" shrinkToFit="false"/>
    </xf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quotePrefix="1" numFmtId="168" fillId="0" borderId="3" applyFont="1" applyNumberFormat="1" applyFill="0" applyBorder="1" applyAlignment="1">
      <alignment horizontal="center" vertical="top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1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 applyProtection="true">
      <alignment vertical="top" textRotation="0" wrapText="true" shrinkToFit="false"/>
      <protection locked="false"/>
    </xf>
    <xf xfId="0" fontId="3" numFmtId="0" fillId="0" borderId="5" applyFont="1" applyNumberFormat="0" applyFill="0" applyBorder="1" applyAlignment="1" applyProtection="true">
      <alignment vertical="top" textRotation="0" wrapText="true" shrinkToFit="false"/>
      <protection locked="false"/>
    </xf>
    <xf xfId="0" fontId="3" numFmtId="0" fillId="0" borderId="5" applyFont="1" applyNumberFormat="0" applyFill="0" applyBorder="1" applyAlignment="1" applyProtection="true">
      <alignment vertical="top" textRotation="0" wrapText="true" shrinkToFit="false"/>
      <protection locked="false"/>
    </xf>
    <xf xfId="0" fontId="3" numFmtId="0" fillId="0" borderId="9" applyFont="1" applyNumberFormat="0" applyFill="0" applyBorder="1" applyAlignment="1" applyProtection="true">
      <alignment vertical="top" textRotation="0" wrapText="true" shrinkToFit="false"/>
      <protection locked="false"/>
    </xf>
    <xf xfId="0" fontId="2" numFmtId="165" fillId="0" borderId="10" applyFont="1" applyNumberFormat="1" applyFill="0" applyBorder="1" applyAlignment="1">
      <alignment horizontal="right" vertical="center" textRotation="0" wrapText="false" shrinkToFit="false"/>
    </xf>
    <xf xfId="0" fontId="1" quotePrefix="1" numFmtId="171" fillId="0" borderId="12" applyFont="1" applyNumberFormat="1" applyFill="0" applyBorder="1" applyAlignment="1" applyProtection="true">
      <alignment vertical="center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vertical="center" textRotation="0" wrapText="false" shrinkToFit="false"/>
      <protection locked="false"/>
    </xf>
    <xf xfId="0" fontId="1" numFmtId="9" fillId="0" borderId="12" applyFont="1" applyNumberFormat="1" applyFill="0" applyBorder="1" applyAlignment="1" applyProtection="true">
      <alignment vertical="center" textRotation="0" wrapText="false" shrinkToFit="false"/>
      <protection locked="false"/>
    </xf>
    <xf xfId="0" fontId="9" numFmtId="166" fillId="0" borderId="3" applyFont="1" applyNumberFormat="1" applyFill="0" applyBorder="1" applyAlignment="1">
      <alignment horizontal="right" vertical="top" textRotation="0" wrapText="false" shrinkToFit="false"/>
    </xf>
    <xf xfId="0" fontId="4" numFmtId="10" fillId="0" borderId="3" applyFont="1" applyNumberFormat="1" applyFill="0" applyBorder="1" applyAlignment="1">
      <alignment horizontal="right" vertical="top" textRotation="0" wrapText="false" shrinkToFit="false"/>
    </xf>
    <xf xfId="0" fontId="4" numFmtId="10" fillId="0" borderId="5" applyFont="1" applyNumberFormat="1" applyFill="0" applyBorder="1" applyAlignment="1">
      <alignment horizontal="right" vertical="top" textRotation="0" wrapText="false" shrinkToFit="false"/>
    </xf>
    <xf xfId="0" fontId="4" numFmtId="10" fillId="2" borderId="5" applyFont="1" applyNumberFormat="1" applyFill="1" applyBorder="1" applyAlignment="1">
      <alignment horizontal="right" vertical="top" textRotation="0" wrapText="false" shrinkToFit="false"/>
    </xf>
    <xf xfId="0" fontId="4" numFmtId="10" fillId="2" borderId="9" applyFont="1" applyNumberFormat="1" applyFill="1" applyBorder="1" applyAlignment="1">
      <alignment horizontal="right" vertical="top" textRotation="0" wrapText="false" shrinkToFit="false"/>
    </xf>
    <xf xfId="0" fontId="10" numFmtId="166" fillId="0" borderId="10" applyFont="1" applyNumberFormat="1" applyFill="0" applyBorder="1" applyAlignment="1">
      <alignment horizontal="righ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center" vertical="top" textRotation="0" wrapText="false" shrinkToFit="false"/>
      <protection locked="false"/>
    </xf>
    <xf xfId="0" fontId="4" numFmtId="3" fillId="0" borderId="0" applyFont="1" applyNumberFormat="1" applyFill="0" applyBorder="0" applyAlignment="1" applyProtection="true">
      <alignment horizontal="right" vertical="center" textRotation="0" wrapText="tru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1" numFmtId="10" fillId="0" borderId="3" applyFont="1" applyNumberFormat="1" applyFill="0" applyBorder="1" applyAlignment="1">
      <alignment vertical="top" textRotation="0" wrapText="false" shrinkToFit="false"/>
    </xf>
    <xf xfId="0" fontId="1" numFmtId="166" fillId="0" borderId="3" applyFont="1" applyNumberFormat="1" applyFill="0" applyBorder="1" applyAlignment="1">
      <alignment horizontal="center" vertical="top" textRotation="0" wrapText="false" shrinkToFit="false"/>
    </xf>
    <xf xfId="0" fontId="12" numFmtId="0" fillId="2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16" applyFont="1" applyNumberFormat="0" applyFill="1" applyBorder="1" applyAlignment="1">
      <alignment horizontal="center" vertical="center" textRotation="0" wrapText="false" shrinkToFit="false"/>
    </xf>
    <xf xfId="0" fontId="12" numFmtId="0" fillId="2" borderId="17" applyFont="1" applyNumberFormat="0" applyFill="1" applyBorder="1" applyAlignment="1">
      <alignment horizontal="center" vertical="center" textRotation="0" wrapText="false" shrinkToFit="false"/>
    </xf>
    <xf xfId="0" fontId="13" numFmtId="0" fillId="2" borderId="18" applyFont="1" applyNumberFormat="0" applyFill="1" applyBorder="1" applyAlignment="1">
      <alignment horizontal="center" vertical="center" textRotation="0" wrapText="false" shrinkToFit="false"/>
    </xf>
    <xf xfId="0" fontId="13" numFmtId="0" fillId="2" borderId="19" applyFont="1" applyNumberFormat="0" applyFill="1" applyBorder="1" applyAlignment="1">
      <alignment horizontal="center" vertical="center" textRotation="0" wrapText="false" shrinkToFit="false"/>
    </xf>
    <xf xfId="0" fontId="13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14" numFmtId="172" fillId="0" borderId="0" applyFont="1" applyNumberFormat="1" applyFill="0" applyBorder="0" applyAlignment="1">
      <alignment horizontal="left" vertical="center" textRotation="0" wrapText="false" shrinkToFit="false"/>
    </xf>
    <xf xfId="0" fontId="2" numFmtId="173" fillId="0" borderId="22" applyFont="1" applyNumberFormat="1" applyFill="0" applyBorder="1" applyAlignment="1">
      <alignment horizontal="center" vertical="center" textRotation="0" wrapText="false" shrinkToFit="false"/>
    </xf>
    <xf xfId="0" fontId="2" numFmtId="173" fillId="0" borderId="23" applyFont="1" applyNumberFormat="1" applyFill="0" applyBorder="1" applyAlignment="1">
      <alignment horizontal="center" vertical="center" textRotation="0" wrapText="false" shrinkToFit="false"/>
    </xf>
    <xf xfId="0" fontId="2" numFmtId="0" fillId="4" borderId="22" applyFont="1" applyNumberFormat="0" applyFill="1" applyBorder="1" applyAlignment="1">
      <alignment horizontal="center" vertical="center" textRotation="0" wrapText="false" shrinkToFit="false"/>
    </xf>
    <xf xfId="0" fontId="2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4" borderId="24" applyFont="1" applyNumberFormat="0" applyFill="1" applyBorder="1" applyAlignment="1">
      <alignment horizontal="center" vertical="center" textRotation="0" wrapText="false" shrinkToFit="false"/>
    </xf>
    <xf xfId="0" fontId="1" numFmtId="173" fillId="0" borderId="22" applyFont="1" applyNumberFormat="1" applyFill="0" applyBorder="1" applyAlignment="1">
      <alignment horizontal="center" vertical="center" textRotation="0" wrapText="false" shrinkToFit="false"/>
    </xf>
    <xf xfId="0" fontId="1" numFmtId="173" fillId="0" borderId="2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1" summaryRight="1"/>
    <pageSetUpPr fitToPage="1"/>
  </sheetPr>
  <dimension ref="A1:J16"/>
  <sheetViews>
    <sheetView tabSelected="1" workbookViewId="0" showGridLines="true" showRowColHeaders="1" topLeftCell="A3">
      <selection activeCell="E17" sqref="E17"/>
    </sheetView>
  </sheetViews>
  <sheetFormatPr customHeight="true" defaultRowHeight="20.15" defaultColWidth="10.7265625" outlineLevelRow="0" outlineLevelCol="0"/>
  <cols>
    <col min="1" max="1" width="12.7265625" customWidth="true" style="28"/>
    <col min="2" max="2" width="12.7265625" customWidth="true" style="28"/>
    <col min="3" max="3" width="12.7265625" customWidth="true" style="28"/>
    <col min="4" max="4" width="6.7265625" customWidth="true" style="28"/>
    <col min="5" max="5" width="16.7265625" customWidth="true" style="28"/>
    <col min="6" max="6" width="10.7265625" style="28"/>
    <col min="7" max="7" width="10.7265625" style="28"/>
    <col min="8" max="8" width="22.7265625" customWidth="true" style="28"/>
    <col min="9" max="9" width="14.7265625" customWidth="true" style="28"/>
    <col min="10" max="10" width="10.7265625" style="28"/>
  </cols>
  <sheetData>
    <row r="1" spans="1:10" customHeight="1" ht="20.15">
      <c r="A1" s="90" t="e">
        <f>"Biaya "&amp;DAY($I$1)&amp;" - "&amp;TEXT(EOMONTH($I$1,0),"[$-id-ID]d mmmm yyyy;@")</f>
        <v>#VALUE!</v>
      </c>
      <c r="B1" s="90"/>
      <c r="C1" s="90"/>
      <c r="D1" s="90"/>
      <c r="E1" s="90"/>
      <c r="H1" s="54" t="s">
        <v>0</v>
      </c>
      <c r="I1" s="63" t="s">
        <v>1</v>
      </c>
    </row>
    <row r="2" spans="1:10" customHeight="1" ht="20.15">
      <c r="H2" s="54" t="s">
        <v>2</v>
      </c>
      <c r="I2" s="64">
        <v>1500000</v>
      </c>
    </row>
    <row r="3" spans="1:10" customHeight="1" ht="20.15">
      <c r="A3" s="29"/>
      <c r="B3" s="29"/>
      <c r="C3" s="29"/>
      <c r="D3" s="29"/>
      <c r="E3" s="29"/>
      <c r="H3" s="54" t="s">
        <v>3</v>
      </c>
      <c r="I3" s="65">
        <v>0.25</v>
      </c>
    </row>
    <row r="4" spans="1:10" customHeight="1" ht="20.15">
      <c r="A4" s="97" t="s">
        <v>4</v>
      </c>
      <c r="B4" s="93"/>
      <c r="C4" s="93"/>
      <c r="D4" s="93" t="s">
        <v>5</v>
      </c>
      <c r="E4" s="94"/>
    </row>
    <row r="5" spans="1:10" customHeight="1" ht="20.15">
      <c r="A5" s="30" t="s">
        <v>6</v>
      </c>
      <c r="B5" s="31"/>
      <c r="C5" s="32"/>
      <c r="D5" s="98" t="s">
        <v>7</v>
      </c>
      <c r="E5" s="99"/>
    </row>
    <row r="6" spans="1:10" customHeight="1" ht="20.15">
      <c r="A6" s="95" t="s">
        <v>8</v>
      </c>
      <c r="B6" s="96"/>
      <c r="C6" s="96"/>
      <c r="D6" s="91" t="s">
        <v>9</v>
      </c>
      <c r="E6" s="92"/>
    </row>
    <row r="9" spans="1:10" customHeight="1" ht="20.15">
      <c r="A9" s="28" t="s">
        <v>10</v>
      </c>
      <c r="E9" s="28" t="s">
        <v>11</v>
      </c>
    </row>
    <row r="15" spans="1:10" customHeight="1" ht="20.15">
      <c r="A15" s="26" t="s">
        <v>12</v>
      </c>
      <c r="B15" s="34"/>
      <c r="C15" s="34"/>
      <c r="D15" s="26"/>
      <c r="E15" s="26" t="s">
        <v>12</v>
      </c>
    </row>
    <row r="16" spans="1:10" customHeight="1" ht="20.15">
      <c r="A16" s="27" t="s">
        <v>13</v>
      </c>
      <c r="B16" s="35"/>
      <c r="C16" s="35"/>
      <c r="D16" s="35"/>
      <c r="E16" s="27" t="s">
        <v>13</v>
      </c>
    </row>
  </sheetData>
  <sheetProtection formatColumns="0" formatRows="0" insertColumns="0" insertRows="0" sort="0" autoFilter="0" pivotTables="0"/>
  <mergeCells>
    <mergeCell ref="A1:E1"/>
    <mergeCell ref="D6:E6"/>
    <mergeCell ref="D4:E4"/>
    <mergeCell ref="A6:C6"/>
    <mergeCell ref="A4:C4"/>
    <mergeCell ref="D5:E5"/>
  </mergeCells>
  <printOptions gridLines="false" gridLinesSet="true" horizontalCentered="true"/>
  <pageMargins left="0.39370078740157" right="0.39370078740157" top="0.59055118110236" bottom="0.59055118110236" header="0.31496062992126" footer="0.31496062992126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X37"/>
  <sheetViews>
    <sheetView tabSelected="0" workbookViewId="0" zoomScale="66" zoomScaleNormal="85" showGridLines="true" showRowColHeaders="1" topLeftCell="A19">
      <selection activeCell="O37" sqref="O37"/>
    </sheetView>
  </sheetViews>
  <sheetFormatPr customHeight="true" defaultRowHeight="20.15" defaultColWidth="12.7265625" outlineLevelRow="0" outlineLevelCol="0"/>
  <cols>
    <col min="1" max="1" width="11.7265625" customWidth="true" style="22"/>
    <col min="2" max="2" width="10.7265625" hidden="true" customWidth="true" style="22"/>
    <col min="3" max="3" width="10.7265625" customWidth="true" style="22"/>
    <col min="4" max="4" width="10.7265625" customWidth="true" style="22"/>
    <col min="5" max="5" width="12.7265625" style="22"/>
    <col min="6" max="6" width="10.7265625" customWidth="true" style="22"/>
    <col min="7" max="7" width="12.7265625" style="22"/>
    <col min="8" max="8" width="10.7265625" hidden="true" customWidth="true" style="22"/>
    <col min="9" max="9" width="10.7265625" hidden="true" customWidth="true" style="22"/>
    <col min="10" max="10" width="12.7265625" hidden="true" style="22"/>
    <col min="11" max="11" width="9.7265625" customWidth="true" style="22"/>
    <col min="12" max="12" width="9.7265625" customWidth="true" style="22"/>
    <col min="13" max="13" width="9.7265625" customWidth="true" style="22"/>
    <col min="14" max="14" width="10.7265625" hidden="true" customWidth="true" style="22"/>
    <col min="15" max="15" width="12.7265625" style="22"/>
    <col min="16" max="16" width="10.7265625" customWidth="true" style="22"/>
    <col min="17" max="17" width="10.7265625" customWidth="true" style="22"/>
    <col min="18" max="18" width="10.7265625" customWidth="true" style="22"/>
    <col min="19" max="19" width="18.453125" customWidth="true" style="22"/>
    <col min="20" max="20" width="56.7265625" customWidth="true" style="22"/>
    <col min="21" max="21" width="15.26953125" customWidth="true" style="22"/>
    <col min="22" max="22" width="30.7265625" customWidth="true" style="22"/>
    <col min="23" max="23" width="12.7265625" style="22"/>
  </cols>
  <sheetData>
    <row r="1" spans="1:24" customHeight="1" ht="20.15">
      <c r="A1" s="79" t="s">
        <v>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  <c r="U1" s="9"/>
      <c r="V1" s="9"/>
      <c r="W1" s="8"/>
      <c r="X1" s="9"/>
    </row>
    <row r="2" spans="1:24" customHeight="1" ht="20.15">
      <c r="A2" s="82" t="s">
        <v>15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4"/>
      <c r="U2" s="9"/>
      <c r="V2" s="72" t="s">
        <v>16</v>
      </c>
      <c r="W2" s="33">
        <f>'Rekap Inv'!I2</f>
        <v>1500000</v>
      </c>
      <c r="X2" s="9"/>
    </row>
    <row r="3" spans="1:24" customHeight="1" ht="20.15">
      <c r="A3" s="1"/>
      <c r="B3" s="2"/>
      <c r="C3" s="3" t="s">
        <v>17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5"/>
      <c r="U3" s="9"/>
      <c r="V3" s="73" t="s">
        <v>18</v>
      </c>
      <c r="W3" s="53">
        <f>'Rekap Inv'!I3</f>
        <v>0.25</v>
      </c>
      <c r="X3" s="9"/>
    </row>
    <row r="4" spans="1:24" customHeight="1" ht="20.15">
      <c r="A4" s="8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87" t="s">
        <v>29</v>
      </c>
      <c r="L4" s="88"/>
      <c r="M4" s="89"/>
      <c r="N4" s="6" t="s">
        <v>30</v>
      </c>
      <c r="O4" s="6" t="s">
        <v>31</v>
      </c>
      <c r="P4" s="87" t="s">
        <v>32</v>
      </c>
      <c r="Q4" s="88"/>
      <c r="R4" s="89"/>
      <c r="S4" s="56" t="s">
        <v>33</v>
      </c>
      <c r="T4" s="85" t="s">
        <v>34</v>
      </c>
      <c r="V4" s="73" t="s">
        <v>35</v>
      </c>
      <c r="W4" s="75">
        <v>0</v>
      </c>
      <c r="X4" s="22" t="s">
        <v>36</v>
      </c>
    </row>
    <row r="5" spans="1:24" customHeight="1" ht="20.15">
      <c r="A5" s="86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30</v>
      </c>
      <c r="L5" s="7" t="s">
        <v>46</v>
      </c>
      <c r="M5" s="7" t="s">
        <v>47</v>
      </c>
      <c r="N5" s="7" t="s">
        <v>41</v>
      </c>
      <c r="O5" s="7" t="s">
        <v>41</v>
      </c>
      <c r="P5" s="7" t="s">
        <v>30</v>
      </c>
      <c r="Q5" s="7" t="s">
        <v>46</v>
      </c>
      <c r="R5" s="7" t="s">
        <v>47</v>
      </c>
      <c r="S5" s="57" t="s">
        <v>48</v>
      </c>
      <c r="T5" s="86"/>
      <c r="U5" s="76" t="s">
        <v>49</v>
      </c>
    </row>
    <row r="6" spans="1:24" customHeight="1" ht="14.5">
      <c r="A6" s="55" t="s">
        <v>50</v>
      </c>
      <c r="B6" s="12"/>
      <c r="C6" s="10" t="s">
        <v>51</v>
      </c>
      <c r="D6" s="10" t="s">
        <v>52</v>
      </c>
      <c r="E6" s="11" t="s">
        <v>53</v>
      </c>
      <c r="F6" s="77">
        <f>IF(G6="","",IF(G6="BA",100%,E6/G6))</f>
        <v>1</v>
      </c>
      <c r="G6" s="78" t="str">
        <f>IF(U6="","",IF(U6="BA","BA",U6))</f>
        <v>BA</v>
      </c>
      <c r="H6" s="12">
        <v>55</v>
      </c>
      <c r="I6" s="13">
        <v>1845</v>
      </c>
      <c r="J6" s="12"/>
      <c r="K6" s="19" t="s">
        <v>54</v>
      </c>
      <c r="L6" s="19" t="s">
        <v>55</v>
      </c>
      <c r="M6" s="19" t="s">
        <v>56</v>
      </c>
      <c r="N6" s="67">
        <v>1</v>
      </c>
      <c r="O6" s="21" t="e">
        <f>IF(OR($K6="",$L6="",$M6=""),"",($K6+$L6)/SUM($K6:$M6))</f>
        <v>#VALUE!</v>
      </c>
      <c r="P6" s="66" t="e">
        <f>IF(K6="","",K6*24)</f>
        <v>#VALUE!</v>
      </c>
      <c r="Q6" s="66" t="e">
        <f>IF(L6="","",L6*24)</f>
        <v>#VALUE!</v>
      </c>
      <c r="R6" s="66" t="e">
        <f>IF(M6="","",M6*24)</f>
        <v>#VALUE!</v>
      </c>
      <c r="S6" s="25" t="e">
        <f>IF(R6&gt;(24-6),0,IF((AND(P6=0,(COUNTIF(Q$6:Q6,24)+$W$4)&gt;10)),0,IF(U6="BA",(100%*P6+$W$3*Q6)/24*$W$2,(F6*P6+$W$3*Q6)/24*$W$2)))</f>
        <v>#VALUE!</v>
      </c>
      <c r="T6" s="58" t="s">
        <v>57</v>
      </c>
      <c r="U6" s="74" t="s">
        <v>58</v>
      </c>
      <c r="V6" s="23"/>
      <c r="W6" s="24"/>
    </row>
    <row r="7" spans="1:24" customHeight="1" ht="14.5">
      <c r="A7" s="20"/>
      <c r="B7" s="17"/>
      <c r="C7" s="15"/>
      <c r="D7" s="15"/>
      <c r="E7" s="16"/>
      <c r="F7" s="77">
        <f>IF(G7="","",IF(G7="BA",100%,E7/G7))</f>
        <v>1</v>
      </c>
      <c r="G7" s="78" t="str">
        <f>IF(U7="","",IF(U7="BA","BA",U7))</f>
        <v>BA</v>
      </c>
      <c r="H7" s="17"/>
      <c r="I7" s="18"/>
      <c r="J7" s="17"/>
      <c r="K7" s="14"/>
      <c r="L7" s="14"/>
      <c r="M7" s="14"/>
      <c r="N7" s="68"/>
      <c r="O7" s="21" t="str">
        <f>IF(OR($K7="",$L7="",$M7=""),"",($K7+$L7)/SUM($K7:$M7))</f>
        <v/>
      </c>
      <c r="P7" s="66" t="str">
        <f>IF(K7="","",K7*24)</f>
        <v/>
      </c>
      <c r="Q7" s="66" t="str">
        <f>IF(L7="","",L7*24)</f>
        <v/>
      </c>
      <c r="R7" s="66" t="str">
        <f>IF(M7="","",M7*24)</f>
        <v/>
      </c>
      <c r="S7" s="25" t="e">
        <f>IF(R7&gt;(24-6),0,IF((AND(P7=0,(COUNTIF(Q$6:Q7,24)+$W$4)&gt;10)),0,IF(U7="BA",(100%*P7+$W$3*Q7)/24*$W$2,(F7*P7+$W$3*Q7)/24*$W$2)))</f>
        <v>#VALUE!</v>
      </c>
      <c r="T7" s="59"/>
      <c r="U7" s="74" t="s">
        <v>58</v>
      </c>
      <c r="V7" s="23"/>
      <c r="W7" s="24"/>
    </row>
    <row r="8" spans="1:24" customHeight="1" ht="14.5">
      <c r="A8" s="20"/>
      <c r="B8" s="17"/>
      <c r="C8" s="15"/>
      <c r="D8" s="15"/>
      <c r="E8" s="16"/>
      <c r="F8" s="77">
        <f>IF(G8="","",IF(G8="BA",100%,E8/G8))</f>
        <v>1</v>
      </c>
      <c r="G8" s="78" t="str">
        <f>IF(U8="","",IF(U8="BA","BA",U8))</f>
        <v>BA</v>
      </c>
      <c r="H8" s="17"/>
      <c r="I8" s="18"/>
      <c r="J8" s="17"/>
      <c r="K8" s="14"/>
      <c r="L8" s="14"/>
      <c r="M8" s="14"/>
      <c r="N8" s="68"/>
      <c r="O8" s="21" t="str">
        <f>IF(OR($K8="",$L8="",$M8=""),"",($K8+$L8)/SUM($K8:$M8))</f>
        <v/>
      </c>
      <c r="P8" s="66" t="str">
        <f>IF(K8="","",K8*24)</f>
        <v/>
      </c>
      <c r="Q8" s="66" t="str">
        <f>IF(L8="","",L8*24)</f>
        <v/>
      </c>
      <c r="R8" s="66" t="str">
        <f>IF(M8="","",M8*24)</f>
        <v/>
      </c>
      <c r="S8" s="25" t="e">
        <f>IF(R8&gt;(24-6),0,IF((AND(P8=0,(COUNTIF(Q$6:Q8,24)+$W$4)&gt;10)),0,IF(U8="BA",(100%*P8+$W$3*Q8)/24*$W$2,(F8*P8+$W$3*Q8)/24*$W$2)))</f>
        <v>#VALUE!</v>
      </c>
      <c r="T8" s="59"/>
      <c r="U8" s="74" t="s">
        <v>58</v>
      </c>
      <c r="V8" s="23"/>
      <c r="W8" s="24"/>
    </row>
    <row r="9" spans="1:24" customHeight="1" ht="14.5">
      <c r="A9" s="20"/>
      <c r="B9" s="17"/>
      <c r="C9" s="15"/>
      <c r="D9" s="15"/>
      <c r="E9" s="16"/>
      <c r="F9" s="77">
        <f>IF(G9="","",IF(G9="BA",100%,E9/G9))</f>
        <v>1</v>
      </c>
      <c r="G9" s="78" t="str">
        <f>IF(U9="","",IF(U9="BA","BA",U9))</f>
        <v>BA</v>
      </c>
      <c r="H9" s="17"/>
      <c r="I9" s="18"/>
      <c r="J9" s="17"/>
      <c r="K9" s="14"/>
      <c r="L9" s="14"/>
      <c r="M9" s="14"/>
      <c r="N9" s="68"/>
      <c r="O9" s="21" t="str">
        <f>IF(OR($K9="",$L9="",$M9=""),"",($K9+$L9)/SUM($K9:$M9))</f>
        <v/>
      </c>
      <c r="P9" s="66" t="str">
        <f>IF(K9="","",K9*24)</f>
        <v/>
      </c>
      <c r="Q9" s="66" t="str">
        <f>IF(L9="","",L9*24)</f>
        <v/>
      </c>
      <c r="R9" s="66" t="str">
        <f>IF(M9="","",M9*24)</f>
        <v/>
      </c>
      <c r="S9" s="25" t="e">
        <f>IF(R9&gt;(24-6),0,IF((AND(P9=0,(COUNTIF(Q$6:Q9,24)+$W$4)&gt;10)),0,IF(U9="BA",(100%*P9+$W$3*Q9)/24*$W$2,(F9*P9+$W$3*Q9)/24*$W$2)))</f>
        <v>#VALUE!</v>
      </c>
      <c r="T9" s="59"/>
      <c r="U9" s="74" t="s">
        <v>58</v>
      </c>
      <c r="V9" s="23"/>
      <c r="W9" s="24"/>
    </row>
    <row r="10" spans="1:24" customHeight="1" ht="14.5">
      <c r="A10" s="20"/>
      <c r="B10" s="17"/>
      <c r="C10" s="15"/>
      <c r="D10" s="15"/>
      <c r="E10" s="16"/>
      <c r="F10" s="77">
        <f>IF(G10="","",IF(G10="BA",100%,E10/G10))</f>
        <v>1</v>
      </c>
      <c r="G10" s="78" t="str">
        <f>IF(U10="","",IF(U10="BA","BA",U10))</f>
        <v>BA</v>
      </c>
      <c r="H10" s="17"/>
      <c r="I10" s="18"/>
      <c r="J10" s="17"/>
      <c r="K10" s="14"/>
      <c r="L10" s="14"/>
      <c r="M10" s="14"/>
      <c r="N10" s="68"/>
      <c r="O10" s="21" t="str">
        <f>IF(OR($K10="",$L10="",$M10=""),"",($K10+$L10)/SUM($K10:$M10))</f>
        <v/>
      </c>
      <c r="P10" s="66" t="str">
        <f>IF(K10="","",K10*24)</f>
        <v/>
      </c>
      <c r="Q10" s="66" t="str">
        <f>IF(L10="","",L10*24)</f>
        <v/>
      </c>
      <c r="R10" s="66" t="str">
        <f>IF(M10="","",M10*24)</f>
        <v/>
      </c>
      <c r="S10" s="25" t="e">
        <f>IF(R10&gt;(24-6),0,IF((AND(P10=0,(COUNTIF(Q$6:Q10,24)+$W$4)&gt;10)),0,IF(U10="BA",(100%*P10+$W$3*Q10)/24*$W$2,(F10*P10+$W$3*Q10)/24*$W$2)))</f>
        <v>#VALUE!</v>
      </c>
      <c r="T10" s="59"/>
      <c r="U10" s="74" t="s">
        <v>58</v>
      </c>
      <c r="V10" s="23"/>
      <c r="W10" s="24"/>
    </row>
    <row r="11" spans="1:24" customHeight="1" ht="14.5">
      <c r="A11" s="20"/>
      <c r="B11" s="17"/>
      <c r="C11" s="15"/>
      <c r="D11" s="15"/>
      <c r="E11" s="16"/>
      <c r="F11" s="77">
        <f>IF(G11="","",IF(G11="BA",100%,E11/G11))</f>
        <v>1</v>
      </c>
      <c r="G11" s="78" t="str">
        <f>IF(U11="","",IF(U11="BA","BA",U11))</f>
        <v>BA</v>
      </c>
      <c r="H11" s="17"/>
      <c r="I11" s="18"/>
      <c r="J11" s="17"/>
      <c r="K11" s="14"/>
      <c r="L11" s="14"/>
      <c r="M11" s="14"/>
      <c r="N11" s="68"/>
      <c r="O11" s="21" t="str">
        <f>IF(OR($K11="",$L11="",$M11=""),"",($K11+$L11)/SUM($K11:$M11))</f>
        <v/>
      </c>
      <c r="P11" s="66" t="str">
        <f>IF(K11="","",K11*24)</f>
        <v/>
      </c>
      <c r="Q11" s="66" t="str">
        <f>IF(L11="","",L11*24)</f>
        <v/>
      </c>
      <c r="R11" s="66" t="str">
        <f>IF(M11="","",M11*24)</f>
        <v/>
      </c>
      <c r="S11" s="25" t="e">
        <f>IF(R11&gt;(24-6),0,IF((AND(P11=0,(COUNTIF(Q$6:Q11,24)+$W$4)&gt;10)),0,IF(U11="BA",(100%*P11+$W$3*Q11)/24*$W$2,(F11*P11+$W$3*Q11)/24*$W$2)))</f>
        <v>#VALUE!</v>
      </c>
      <c r="T11" s="59"/>
      <c r="U11" s="74" t="s">
        <v>58</v>
      </c>
      <c r="V11" s="23"/>
      <c r="W11" s="24"/>
    </row>
    <row r="12" spans="1:24" customHeight="1" ht="14.5">
      <c r="A12" s="20"/>
      <c r="B12" s="17"/>
      <c r="C12" s="15"/>
      <c r="D12" s="15"/>
      <c r="E12" s="16"/>
      <c r="F12" s="77">
        <f>IF(G12="","",IF(G12="BA",100%,E12/G12))</f>
        <v>1</v>
      </c>
      <c r="G12" s="78" t="str">
        <f>IF(U12="","",IF(U12="BA","BA",U12))</f>
        <v>BA</v>
      </c>
      <c r="H12" s="17"/>
      <c r="I12" s="18"/>
      <c r="J12" s="17"/>
      <c r="K12" s="14"/>
      <c r="L12" s="14"/>
      <c r="M12" s="14"/>
      <c r="N12" s="68"/>
      <c r="O12" s="21" t="str">
        <f>IF(OR($K12="",$L12="",$M12=""),"",($K12+$L12)/SUM($K12:$M12))</f>
        <v/>
      </c>
      <c r="P12" s="66" t="str">
        <f>IF(K12="","",K12*24)</f>
        <v/>
      </c>
      <c r="Q12" s="66" t="str">
        <f>IF(L12="","",L12*24)</f>
        <v/>
      </c>
      <c r="R12" s="66" t="str">
        <f>IF(M12="","",M12*24)</f>
        <v/>
      </c>
      <c r="S12" s="25" t="e">
        <f>IF(R12&gt;(24-6),0,IF((AND(P12=0,(COUNTIF(Q$6:Q12,24)+$W$4)&gt;10)),0,IF(U12="BA",(100%*P12+$W$3*Q12)/24*$W$2,(F12*P12+$W$3*Q12)/24*$W$2)))</f>
        <v>#VALUE!</v>
      </c>
      <c r="T12" s="59"/>
      <c r="U12" s="74" t="s">
        <v>58</v>
      </c>
      <c r="V12" s="23"/>
      <c r="W12" s="24"/>
    </row>
    <row r="13" spans="1:24" customHeight="1" ht="14.5">
      <c r="A13" s="20"/>
      <c r="B13" s="17"/>
      <c r="C13" s="15"/>
      <c r="D13" s="15"/>
      <c r="E13" s="16"/>
      <c r="F13" s="77">
        <f>IF(G13="","",IF(G13="BA",100%,E13/G13))</f>
        <v>1</v>
      </c>
      <c r="G13" s="78" t="str">
        <f>IF(U13="","",IF(U13="BA","BA",U13))</f>
        <v>BA</v>
      </c>
      <c r="H13" s="17"/>
      <c r="I13" s="18"/>
      <c r="J13" s="17"/>
      <c r="K13" s="14"/>
      <c r="L13" s="14"/>
      <c r="M13" s="14"/>
      <c r="N13" s="68"/>
      <c r="O13" s="21" t="str">
        <f>IF(OR($K13="",$L13="",$M13=""),"",($K13+$L13)/SUM($K13:$M13))</f>
        <v/>
      </c>
      <c r="P13" s="66" t="str">
        <f>IF(K13="","",K13*24)</f>
        <v/>
      </c>
      <c r="Q13" s="66" t="str">
        <f>IF(L13="","",L13*24)</f>
        <v/>
      </c>
      <c r="R13" s="66" t="str">
        <f>IF(M13="","",M13*24)</f>
        <v/>
      </c>
      <c r="S13" s="25" t="e">
        <f>IF(R13&gt;(24-6),0,IF((AND(P13=0,(COUNTIF(Q$6:Q13,24)+$W$4)&gt;10)),0,IF(U13="BA",(100%*P13+$W$3*Q13)/24*$W$2,(F13*P13+$W$3*Q13)/24*$W$2)))</f>
        <v>#VALUE!</v>
      </c>
      <c r="T13" s="59"/>
      <c r="U13" s="74" t="s">
        <v>58</v>
      </c>
      <c r="V13" s="23"/>
      <c r="W13" s="24"/>
    </row>
    <row r="14" spans="1:24" customHeight="1" ht="14.5">
      <c r="A14" s="20"/>
      <c r="B14" s="17"/>
      <c r="C14" s="15"/>
      <c r="D14" s="15"/>
      <c r="E14" s="16"/>
      <c r="F14" s="77">
        <f>IF(G14="","",IF(G14="BA",100%,E14/G14))</f>
        <v>1</v>
      </c>
      <c r="G14" s="78" t="str">
        <f>IF(U14="","",IF(U14="BA","BA",U14))</f>
        <v>BA</v>
      </c>
      <c r="H14" s="17"/>
      <c r="I14" s="18"/>
      <c r="J14" s="17"/>
      <c r="K14" s="14"/>
      <c r="L14" s="14"/>
      <c r="M14" s="14"/>
      <c r="N14" s="68"/>
      <c r="O14" s="21" t="str">
        <f>IF(OR($K14="",$L14="",$M14=""),"",($K14+$L14)/SUM($K14:$M14))</f>
        <v/>
      </c>
      <c r="P14" s="66" t="str">
        <f>IF(K14="","",K14*24)</f>
        <v/>
      </c>
      <c r="Q14" s="66" t="str">
        <f>IF(L14="","",L14*24)</f>
        <v/>
      </c>
      <c r="R14" s="66" t="str">
        <f>IF(M14="","",M14*24)</f>
        <v/>
      </c>
      <c r="S14" s="25" t="e">
        <f>IF(R14&gt;(24-6),0,IF((AND(P14=0,(COUNTIF(Q$6:Q14,24)+$W$4)&gt;10)),0,IF(U14="BA",(100%*P14+$W$3*Q14)/24*$W$2,(F14*P14+$W$3*Q14)/24*$W$2)))</f>
        <v>#VALUE!</v>
      </c>
      <c r="T14" s="59"/>
      <c r="U14" s="74" t="s">
        <v>58</v>
      </c>
      <c r="V14" s="23"/>
      <c r="W14" s="24"/>
    </row>
    <row r="15" spans="1:24" customHeight="1" ht="14.5">
      <c r="A15" s="20"/>
      <c r="B15" s="17"/>
      <c r="C15" s="15"/>
      <c r="D15" s="15"/>
      <c r="E15" s="16"/>
      <c r="F15" s="77">
        <f>IF(G15="","",IF(G15="BA",100%,E15/G15))</f>
        <v>1</v>
      </c>
      <c r="G15" s="78" t="str">
        <f>IF(U15="","",IF(U15="BA","BA",U15))</f>
        <v>BA</v>
      </c>
      <c r="H15" s="17"/>
      <c r="I15" s="18"/>
      <c r="J15" s="17"/>
      <c r="K15" s="14"/>
      <c r="L15" s="14"/>
      <c r="M15" s="14"/>
      <c r="N15" s="68"/>
      <c r="O15" s="21" t="str">
        <f>IF(OR($K15="",$L15="",$M15=""),"",($K15+$L15)/SUM($K15:$M15))</f>
        <v/>
      </c>
      <c r="P15" s="66" t="str">
        <f>IF(K15="","",K15*24)</f>
        <v/>
      </c>
      <c r="Q15" s="66" t="str">
        <f>IF(L15="","",L15*24)</f>
        <v/>
      </c>
      <c r="R15" s="66" t="str">
        <f>IF(M15="","",M15*24)</f>
        <v/>
      </c>
      <c r="S15" s="25" t="e">
        <f>IF(R15&gt;(24-6),0,IF((AND(P15=0,(COUNTIF(Q$6:Q15,24)+$W$4)&gt;10)),0,IF(U15="BA",(100%*P15+$W$3*Q15)/24*$W$2,(F15*P15+$W$3*Q15)/24*$W$2)))</f>
        <v>#VALUE!</v>
      </c>
      <c r="T15" s="59"/>
      <c r="U15" s="74" t="s">
        <v>58</v>
      </c>
      <c r="V15" s="23"/>
      <c r="W15" s="24"/>
    </row>
    <row r="16" spans="1:24" customHeight="1" ht="14.5">
      <c r="A16" s="20"/>
      <c r="B16" s="17"/>
      <c r="C16" s="15"/>
      <c r="D16" s="15"/>
      <c r="E16" s="16"/>
      <c r="F16" s="77">
        <f>IF(G16="","",IF(G16="BA",100%,E16/G16))</f>
        <v>1</v>
      </c>
      <c r="G16" s="78" t="str">
        <f>IF(U16="","",IF(U16="BA","BA",U16))</f>
        <v>BA</v>
      </c>
      <c r="H16" s="17"/>
      <c r="I16" s="18"/>
      <c r="J16" s="17"/>
      <c r="K16" s="14"/>
      <c r="L16" s="14"/>
      <c r="M16" s="14"/>
      <c r="N16" s="68"/>
      <c r="O16" s="21" t="str">
        <f>IF(OR($K16="",$L16="",$M16=""),"",($K16+$L16)/SUM($K16:$M16))</f>
        <v/>
      </c>
      <c r="P16" s="66" t="str">
        <f>IF(K16="","",K16*24)</f>
        <v/>
      </c>
      <c r="Q16" s="66" t="str">
        <f>IF(L16="","",L16*24)</f>
        <v/>
      </c>
      <c r="R16" s="66" t="str">
        <f>IF(M16="","",M16*24)</f>
        <v/>
      </c>
      <c r="S16" s="25" t="e">
        <f>IF(R16&gt;(24-6),0,IF((AND(P16=0,(COUNTIF(Q$6:Q16,24)+$W$4)&gt;10)),0,IF(U16="BA",(100%*P16+$W$3*Q16)/24*$W$2,(F16*P16+$W$3*Q16)/24*$W$2)))</f>
        <v>#VALUE!</v>
      </c>
      <c r="T16" s="59"/>
      <c r="U16" s="74" t="s">
        <v>58</v>
      </c>
      <c r="V16" s="23"/>
      <c r="W16" s="24"/>
    </row>
    <row r="17" spans="1:24" customHeight="1" ht="14.5">
      <c r="A17" s="20"/>
      <c r="B17" s="17"/>
      <c r="C17" s="15"/>
      <c r="D17" s="15"/>
      <c r="E17" s="16"/>
      <c r="F17" s="77">
        <f>IF(G17="","",IF(G17="BA",100%,E17/G17))</f>
        <v>1</v>
      </c>
      <c r="G17" s="78" t="str">
        <f>IF(U17="","",IF(U17="BA","BA",U17))</f>
        <v>BA</v>
      </c>
      <c r="H17" s="17"/>
      <c r="I17" s="18"/>
      <c r="J17" s="17"/>
      <c r="K17" s="14"/>
      <c r="L17" s="14"/>
      <c r="M17" s="14"/>
      <c r="N17" s="68"/>
      <c r="O17" s="21" t="str">
        <f>IF(OR($K17="",$L17="",$M17=""),"",($K17+$L17)/SUM($K17:$M17))</f>
        <v/>
      </c>
      <c r="P17" s="66" t="str">
        <f>IF(K17="","",K17*24)</f>
        <v/>
      </c>
      <c r="Q17" s="66" t="str">
        <f>IF(L17="","",L17*24)</f>
        <v/>
      </c>
      <c r="R17" s="66" t="str">
        <f>IF(M17="","",M17*24)</f>
        <v/>
      </c>
      <c r="S17" s="25" t="e">
        <f>IF(R17&gt;(24-6),0,IF((AND(P17=0,(COUNTIF(Q$6:Q17,24)+$W$4)&gt;10)),0,IF(U17="BA",(100%*P17+$W$3*Q17)/24*$W$2,(F17*P17+$W$3*Q17)/24*$W$2)))</f>
        <v>#VALUE!</v>
      </c>
      <c r="T17" s="59"/>
      <c r="U17" s="74" t="s">
        <v>58</v>
      </c>
      <c r="V17" s="23"/>
      <c r="W17" s="24"/>
    </row>
    <row r="18" spans="1:24" customHeight="1" ht="14.5">
      <c r="A18" s="20"/>
      <c r="B18" s="17"/>
      <c r="C18" s="15"/>
      <c r="D18" s="15"/>
      <c r="E18" s="16"/>
      <c r="F18" s="77">
        <f>IF(G18="","",IF(G18="BA",100%,E18/G18))</f>
        <v>1</v>
      </c>
      <c r="G18" s="78" t="str">
        <f>IF(U18="","",IF(U18="BA","BA",U18))</f>
        <v>BA</v>
      </c>
      <c r="H18" s="17"/>
      <c r="I18" s="18"/>
      <c r="J18" s="17"/>
      <c r="K18" s="14"/>
      <c r="L18" s="14"/>
      <c r="M18" s="14"/>
      <c r="N18" s="68"/>
      <c r="O18" s="21" t="str">
        <f>IF(OR($K18="",$L18="",$M18=""),"",($K18+$L18)/SUM($K18:$M18))</f>
        <v/>
      </c>
      <c r="P18" s="66" t="str">
        <f>IF(K18="","",K18*24)</f>
        <v/>
      </c>
      <c r="Q18" s="66" t="str">
        <f>IF(L18="","",L18*24)</f>
        <v/>
      </c>
      <c r="R18" s="66" t="str">
        <f>IF(M18="","",M18*24)</f>
        <v/>
      </c>
      <c r="S18" s="25" t="e">
        <f>IF(R18&gt;(24-6),0,IF((AND(P18=0,(COUNTIF(Q$6:Q18,24)+$W$4)&gt;10)),0,IF(U18="BA",(100%*P18+$W$3*Q18)/24*$W$2,(F18*P18+$W$3*Q18)/24*$W$2)))</f>
        <v>#VALUE!</v>
      </c>
      <c r="T18" s="59"/>
      <c r="U18" s="74" t="s">
        <v>58</v>
      </c>
      <c r="V18" s="23"/>
      <c r="W18" s="24"/>
    </row>
    <row r="19" spans="1:24" customHeight="1" ht="14.5">
      <c r="A19" s="20"/>
      <c r="B19" s="17"/>
      <c r="C19" s="15"/>
      <c r="D19" s="15"/>
      <c r="E19" s="16"/>
      <c r="F19" s="77">
        <f>IF(G19="","",IF(G19="BA",100%,E19/G19))</f>
        <v>1</v>
      </c>
      <c r="G19" s="78" t="str">
        <f>IF(U19="","",IF(U19="BA","BA",U19))</f>
        <v>BA</v>
      </c>
      <c r="H19" s="17"/>
      <c r="I19" s="18"/>
      <c r="J19" s="17"/>
      <c r="K19" s="14"/>
      <c r="L19" s="14"/>
      <c r="M19" s="14"/>
      <c r="N19" s="68"/>
      <c r="O19" s="21" t="str">
        <f>IF(OR($K19="",$L19="",$M19=""),"",($K19+$L19)/SUM($K19:$M19))</f>
        <v/>
      </c>
      <c r="P19" s="66" t="str">
        <f>IF(K19="","",K19*24)</f>
        <v/>
      </c>
      <c r="Q19" s="66" t="str">
        <f>IF(L19="","",L19*24)</f>
        <v/>
      </c>
      <c r="R19" s="66" t="str">
        <f>IF(M19="","",M19*24)</f>
        <v/>
      </c>
      <c r="S19" s="25" t="e">
        <f>IF(R19&gt;(24-6),0,IF((AND(P19=0,(COUNTIF(Q$6:Q19,24)+$W$4)&gt;10)),0,IF(U19="BA",(100%*P19+$W$3*Q19)/24*$W$2,(F19*P19+$W$3*Q19)/24*$W$2)))</f>
        <v>#VALUE!</v>
      </c>
      <c r="T19" s="59"/>
      <c r="U19" s="74" t="s">
        <v>58</v>
      </c>
      <c r="V19" s="23"/>
      <c r="W19" s="24"/>
    </row>
    <row r="20" spans="1:24" customHeight="1" ht="14.5">
      <c r="A20" s="20"/>
      <c r="B20" s="17"/>
      <c r="C20" s="15"/>
      <c r="D20" s="15"/>
      <c r="E20" s="16"/>
      <c r="F20" s="77">
        <f>IF(G20="","",IF(G20="BA",100%,E20/G20))</f>
        <v>1</v>
      </c>
      <c r="G20" s="78" t="str">
        <f>IF(U20="","",IF(U20="BA","BA",U20))</f>
        <v>BA</v>
      </c>
      <c r="H20" s="17"/>
      <c r="I20" s="18"/>
      <c r="J20" s="17"/>
      <c r="K20" s="14"/>
      <c r="L20" s="14"/>
      <c r="M20" s="14"/>
      <c r="N20" s="68"/>
      <c r="O20" s="21" t="str">
        <f>IF(OR($K20="",$L20="",$M20=""),"",($K20+$L20)/SUM($K20:$M20))</f>
        <v/>
      </c>
      <c r="P20" s="66" t="str">
        <f>IF(K20="","",K20*24)</f>
        <v/>
      </c>
      <c r="Q20" s="66" t="str">
        <f>IF(L20="","",L20*24)</f>
        <v/>
      </c>
      <c r="R20" s="66" t="str">
        <f>IF(M20="","",M20*24)</f>
        <v/>
      </c>
      <c r="S20" s="25" t="e">
        <f>IF(R20&gt;(24-6),0,IF((AND(P20=0,(COUNTIF(Q$6:Q20,24)+$W$4)&gt;10)),0,IF(U20="BA",(100%*P20+$W$3*Q20)/24*$W$2,(F20*P20+$W$3*Q20)/24*$W$2)))</f>
        <v>#VALUE!</v>
      </c>
      <c r="T20" s="59"/>
      <c r="U20" s="74" t="s">
        <v>58</v>
      </c>
      <c r="V20" s="23"/>
      <c r="W20" s="24"/>
    </row>
    <row r="21" spans="1:24" customHeight="1" ht="14.5">
      <c r="A21" s="20"/>
      <c r="B21" s="17"/>
      <c r="C21" s="15"/>
      <c r="D21" s="15"/>
      <c r="E21" s="16"/>
      <c r="F21" s="77">
        <f>IF(G21="","",IF(G21="BA",100%,E21/G21))</f>
        <v>1</v>
      </c>
      <c r="G21" s="78" t="str">
        <f>IF(U21="","",IF(U21="BA","BA",U21))</f>
        <v>BA</v>
      </c>
      <c r="H21" s="17"/>
      <c r="I21" s="18"/>
      <c r="J21" s="17"/>
      <c r="K21" s="14"/>
      <c r="L21" s="14"/>
      <c r="M21" s="14"/>
      <c r="N21" s="68"/>
      <c r="O21" s="21" t="str">
        <f>IF(OR($K21="",$L21="",$M21=""),"",($K21+$L21)/SUM($K21:$M21))</f>
        <v/>
      </c>
      <c r="P21" s="66" t="str">
        <f>IF(K21="","",K21*24)</f>
        <v/>
      </c>
      <c r="Q21" s="66" t="str">
        <f>IF(L21="","",L21*24)</f>
        <v/>
      </c>
      <c r="R21" s="66" t="str">
        <f>IF(M21="","",M21*24)</f>
        <v/>
      </c>
      <c r="S21" s="25" t="e">
        <f>IF(R21&gt;(24-6),0,IF((AND(P21=0,(COUNTIF(Q$6:Q21,24)+$W$4)&gt;10)),0,IF(U21="BA",(100%*P21+$W$3*Q21)/24*$W$2,(F21*P21+$W$3*Q21)/24*$W$2)))</f>
        <v>#VALUE!</v>
      </c>
      <c r="T21" s="59"/>
      <c r="U21" s="74" t="s">
        <v>58</v>
      </c>
      <c r="V21" s="23"/>
      <c r="W21" s="24"/>
    </row>
    <row r="22" spans="1:24" customHeight="1" ht="14.5">
      <c r="A22" s="20"/>
      <c r="B22" s="17"/>
      <c r="C22" s="15"/>
      <c r="D22" s="15"/>
      <c r="E22" s="16"/>
      <c r="F22" s="77">
        <f>IF(G22="","",IF(G22="BA",100%,E22/G22))</f>
        <v>1</v>
      </c>
      <c r="G22" s="78" t="str">
        <f>IF(U22="","",IF(U22="BA","BA",U22))</f>
        <v>BA</v>
      </c>
      <c r="H22" s="17"/>
      <c r="I22" s="18"/>
      <c r="J22" s="17"/>
      <c r="K22" s="14"/>
      <c r="L22" s="14"/>
      <c r="M22" s="14"/>
      <c r="N22" s="68"/>
      <c r="O22" s="21" t="str">
        <f>IF(OR($K22="",$L22="",$M22=""),"",($K22+$L22)/SUM($K22:$M22))</f>
        <v/>
      </c>
      <c r="P22" s="66" t="str">
        <f>IF(K22="","",K22*24)</f>
        <v/>
      </c>
      <c r="Q22" s="66" t="str">
        <f>IF(L22="","",L22*24)</f>
        <v/>
      </c>
      <c r="R22" s="66" t="str">
        <f>IF(M22="","",M22*24)</f>
        <v/>
      </c>
      <c r="S22" s="25" t="e">
        <f>IF(R22&gt;(24-6),0,IF((AND(P22=0,(COUNTIF(Q$6:Q22,24)+$W$4)&gt;10)),0,IF(U22="BA",(100%*P22+$W$3*Q22)/24*$W$2,(F22*P22+$W$3*Q22)/24*$W$2)))</f>
        <v>#VALUE!</v>
      </c>
      <c r="T22" s="59"/>
      <c r="U22" s="74" t="s">
        <v>58</v>
      </c>
      <c r="V22" s="23"/>
      <c r="W22" s="24"/>
    </row>
    <row r="23" spans="1:24" customHeight="1" ht="14.5">
      <c r="A23" s="20"/>
      <c r="B23" s="17"/>
      <c r="C23" s="15"/>
      <c r="D23" s="15"/>
      <c r="E23" s="16"/>
      <c r="F23" s="77">
        <f>IF(G23="","",IF(G23="BA",100%,E23/G23))</f>
        <v>1</v>
      </c>
      <c r="G23" s="78" t="str">
        <f>IF(U23="","",IF(U23="BA","BA",U23))</f>
        <v>BA</v>
      </c>
      <c r="H23" s="17"/>
      <c r="I23" s="18"/>
      <c r="J23" s="17"/>
      <c r="K23" s="14"/>
      <c r="L23" s="14"/>
      <c r="M23" s="14"/>
      <c r="N23" s="68"/>
      <c r="O23" s="21" t="str">
        <f>IF(OR($K23="",$L23="",$M23=""),"",($K23+$L23)/SUM($K23:$M23))</f>
        <v/>
      </c>
      <c r="P23" s="66" t="str">
        <f>IF(K23="","",K23*24)</f>
        <v/>
      </c>
      <c r="Q23" s="66" t="str">
        <f>IF(L23="","",L23*24)</f>
        <v/>
      </c>
      <c r="R23" s="66" t="str">
        <f>IF(M23="","",M23*24)</f>
        <v/>
      </c>
      <c r="S23" s="25" t="e">
        <f>IF(R23&gt;(24-6),0,IF((AND(P23=0,(COUNTIF(Q$6:Q23,24)+$W$4)&gt;10)),0,IF(U23="BA",(100%*P23+$W$3*Q23)/24*$W$2,(F23*P23+$W$3*Q23)/24*$W$2)))</f>
        <v>#VALUE!</v>
      </c>
      <c r="T23" s="59"/>
      <c r="U23" s="74" t="s">
        <v>58</v>
      </c>
      <c r="V23" s="23"/>
      <c r="W23" s="24"/>
    </row>
    <row r="24" spans="1:24" customHeight="1" ht="14.5">
      <c r="A24" s="20"/>
      <c r="B24" s="17"/>
      <c r="C24" s="15"/>
      <c r="D24" s="15"/>
      <c r="E24" s="16"/>
      <c r="F24" s="77">
        <f>IF(G24="","",IF(G24="BA",100%,E24/G24))</f>
        <v>1</v>
      </c>
      <c r="G24" s="78" t="str">
        <f>IF(U24="","",IF(U24="BA","BA",U24))</f>
        <v>BA</v>
      </c>
      <c r="H24" s="17"/>
      <c r="I24" s="18"/>
      <c r="J24" s="17"/>
      <c r="K24" s="14"/>
      <c r="L24" s="14"/>
      <c r="M24" s="14"/>
      <c r="N24" s="68"/>
      <c r="O24" s="21" t="str">
        <f>IF(OR($K24="",$L24="",$M24=""),"",($K24+$L24)/SUM($K24:$M24))</f>
        <v/>
      </c>
      <c r="P24" s="66" t="str">
        <f>IF(K24="","",K24*24)</f>
        <v/>
      </c>
      <c r="Q24" s="66" t="str">
        <f>IF(L24="","",L24*24)</f>
        <v/>
      </c>
      <c r="R24" s="66" t="str">
        <f>IF(M24="","",M24*24)</f>
        <v/>
      </c>
      <c r="S24" s="25" t="e">
        <f>IF(R24&gt;(24-6),0,IF((AND(P24=0,(COUNTIF(Q$6:Q24,24)+$W$4)&gt;10)),0,IF(U24="BA",(100%*P24+$W$3*Q24)/24*$W$2,(F24*P24+$W$3*Q24)/24*$W$2)))</f>
        <v>#VALUE!</v>
      </c>
      <c r="T24" s="59"/>
      <c r="U24" s="74" t="s">
        <v>58</v>
      </c>
      <c r="V24" s="23"/>
      <c r="W24" s="24"/>
    </row>
    <row r="25" spans="1:24" customHeight="1" ht="14.5">
      <c r="A25" s="20"/>
      <c r="B25" s="17"/>
      <c r="C25" s="15"/>
      <c r="D25" s="15"/>
      <c r="E25" s="16"/>
      <c r="F25" s="77">
        <f>IF(G25="","",IF(G25="BA",100%,E25/G25))</f>
        <v>1</v>
      </c>
      <c r="G25" s="78" t="str">
        <f>IF(U25="","",IF(U25="BA","BA",U25))</f>
        <v>BA</v>
      </c>
      <c r="H25" s="17"/>
      <c r="I25" s="18"/>
      <c r="J25" s="17"/>
      <c r="K25" s="14"/>
      <c r="L25" s="14"/>
      <c r="M25" s="14"/>
      <c r="N25" s="68"/>
      <c r="O25" s="21" t="str">
        <f>IF(OR($K25="",$L25="",$M25=""),"",($K25+$L25)/SUM($K25:$M25))</f>
        <v/>
      </c>
      <c r="P25" s="66" t="str">
        <f>IF(K25="","",K25*24)</f>
        <v/>
      </c>
      <c r="Q25" s="66" t="str">
        <f>IF(L25="","",L25*24)</f>
        <v/>
      </c>
      <c r="R25" s="66" t="str">
        <f>IF(M25="","",M25*24)</f>
        <v/>
      </c>
      <c r="S25" s="25" t="e">
        <f>IF(R25&gt;(24-6),0,IF((AND(P25=0,(COUNTIF(Q$6:Q25,24)+$W$4)&gt;10)),0,IF(U25="BA",(100%*P25+$W$3*Q25)/24*$W$2,(F25*P25+$W$3*Q25)/24*$W$2)))</f>
        <v>#VALUE!</v>
      </c>
      <c r="T25" s="59"/>
      <c r="U25" s="74" t="s">
        <v>58</v>
      </c>
      <c r="V25" s="23"/>
      <c r="W25" s="24"/>
    </row>
    <row r="26" spans="1:24" customHeight="1" ht="14.5">
      <c r="A26" s="20"/>
      <c r="B26" s="17"/>
      <c r="C26" s="15"/>
      <c r="D26" s="15"/>
      <c r="E26" s="16"/>
      <c r="F26" s="77">
        <f>IF(G26="","",IF(G26="BA",100%,E26/G26))</f>
        <v>1</v>
      </c>
      <c r="G26" s="78" t="str">
        <f>IF(U26="","",IF(U26="BA","BA",U26))</f>
        <v>BA</v>
      </c>
      <c r="H26" s="17"/>
      <c r="I26" s="18"/>
      <c r="J26" s="17"/>
      <c r="K26" s="14"/>
      <c r="L26" s="14"/>
      <c r="M26" s="14"/>
      <c r="N26" s="69"/>
      <c r="O26" s="21" t="str">
        <f>IF(OR($K26="",$L26="",$M26=""),"",($K26+$L26)/SUM($K26:$M26))</f>
        <v/>
      </c>
      <c r="P26" s="66" t="str">
        <f>IF(K26="","",K26*24)</f>
        <v/>
      </c>
      <c r="Q26" s="66" t="str">
        <f>IF(L26="","",L26*24)</f>
        <v/>
      </c>
      <c r="R26" s="66" t="str">
        <f>IF(M26="","",M26*24)</f>
        <v/>
      </c>
      <c r="S26" s="25" t="e">
        <f>IF(R26&gt;(24-6),0,IF((AND(P26=0,(COUNTIF(Q$6:Q26,24)+$W$4)&gt;10)),0,IF(U26="BA",(100%*P26+$W$3*Q26)/24*$W$2,(F26*P26+$W$3*Q26)/24*$W$2)))</f>
        <v>#VALUE!</v>
      </c>
      <c r="T26" s="59"/>
      <c r="U26" s="74" t="s">
        <v>58</v>
      </c>
      <c r="V26" s="23"/>
      <c r="W26" s="24"/>
    </row>
    <row r="27" spans="1:24" customHeight="1" ht="14.5">
      <c r="A27" s="20"/>
      <c r="B27" s="17"/>
      <c r="C27" s="15"/>
      <c r="D27" s="15"/>
      <c r="E27" s="16"/>
      <c r="F27" s="77">
        <f>IF(G27="","",IF(G27="BA",100%,E27/G27))</f>
        <v>1</v>
      </c>
      <c r="G27" s="78" t="str">
        <f>IF(U27="","",IF(U27="BA","BA",U27))</f>
        <v>BA</v>
      </c>
      <c r="H27" s="17"/>
      <c r="I27" s="18"/>
      <c r="J27" s="17"/>
      <c r="K27" s="14"/>
      <c r="L27" s="14"/>
      <c r="M27" s="14"/>
      <c r="N27" s="69"/>
      <c r="O27" s="21" t="str">
        <f>IF(OR($K27="",$L27="",$M27=""),"",($K27+$L27)/SUM($K27:$M27))</f>
        <v/>
      </c>
      <c r="P27" s="66" t="str">
        <f>IF(K27="","",K27*24)</f>
        <v/>
      </c>
      <c r="Q27" s="66" t="str">
        <f>IF(L27="","",L27*24)</f>
        <v/>
      </c>
      <c r="R27" s="66" t="str">
        <f>IF(M27="","",M27*24)</f>
        <v/>
      </c>
      <c r="S27" s="25" t="e">
        <f>IF(R27&gt;(24-6),0,IF((AND(P27=0,(COUNTIF(Q$6:Q27,24)+$W$4)&gt;10)),0,IF(U27="BA",(100%*P27+$W$3*Q27)/24*$W$2,(F27*P27+$W$3*Q27)/24*$W$2)))</f>
        <v>#VALUE!</v>
      </c>
      <c r="T27" s="59"/>
      <c r="U27" s="74" t="s">
        <v>58</v>
      </c>
      <c r="V27" s="23"/>
      <c r="W27" s="24"/>
    </row>
    <row r="28" spans="1:24" customHeight="1" ht="14.5">
      <c r="A28" s="20"/>
      <c r="B28" s="17"/>
      <c r="C28" s="15"/>
      <c r="D28" s="15"/>
      <c r="E28" s="16"/>
      <c r="F28" s="77">
        <f>IF(G28="","",IF(G28="BA",100%,E28/G28))</f>
        <v>1</v>
      </c>
      <c r="G28" s="78" t="str">
        <f>IF(U28="","",IF(U28="BA","BA",U28))</f>
        <v>BA</v>
      </c>
      <c r="H28" s="17"/>
      <c r="I28" s="18"/>
      <c r="J28" s="17"/>
      <c r="K28" s="14"/>
      <c r="L28" s="14"/>
      <c r="M28" s="14"/>
      <c r="N28" s="69"/>
      <c r="O28" s="21" t="str">
        <f>IF(OR($K28="",$L28="",$M28=""),"",($K28+$L28)/SUM($K28:$M28))</f>
        <v/>
      </c>
      <c r="P28" s="66" t="str">
        <f>IF(K28="","",K28*24)</f>
        <v/>
      </c>
      <c r="Q28" s="66" t="str">
        <f>IF(L28="","",L28*24)</f>
        <v/>
      </c>
      <c r="R28" s="66" t="str">
        <f>IF(M28="","",M28*24)</f>
        <v/>
      </c>
      <c r="S28" s="25" t="e">
        <f>IF(R28&gt;(24-6),0,IF((AND(P28=0,(COUNTIF(Q$6:Q28,24)+$W$4)&gt;10)),0,IF(U28="BA",(100%*P28+$W$3*Q28)/24*$W$2,(F28*P28+$W$3*Q28)/24*$W$2)))</f>
        <v>#VALUE!</v>
      </c>
      <c r="T28" s="59"/>
      <c r="U28" s="74" t="s">
        <v>58</v>
      </c>
      <c r="V28" s="23"/>
      <c r="W28" s="24"/>
    </row>
    <row r="29" spans="1:24" customHeight="1" ht="14.5">
      <c r="A29" s="20"/>
      <c r="B29" s="17"/>
      <c r="C29" s="15"/>
      <c r="D29" s="15"/>
      <c r="E29" s="16"/>
      <c r="F29" s="77">
        <f>IF(G29="","",IF(G29="BA",100%,E29/G29))</f>
        <v>1</v>
      </c>
      <c r="G29" s="78" t="str">
        <f>IF(U29="","",IF(U29="BA","BA",U29))</f>
        <v>BA</v>
      </c>
      <c r="H29" s="17"/>
      <c r="I29" s="18"/>
      <c r="J29" s="17"/>
      <c r="K29" s="14"/>
      <c r="L29" s="14"/>
      <c r="M29" s="14"/>
      <c r="N29" s="69"/>
      <c r="O29" s="21" t="str">
        <f>IF(OR($K29="",$L29="",$M29=""),"",($K29+$L29)/SUM($K29:$M29))</f>
        <v/>
      </c>
      <c r="P29" s="66" t="str">
        <f>IF(K29="","",K29*24)</f>
        <v/>
      </c>
      <c r="Q29" s="66" t="str">
        <f>IF(L29="","",L29*24)</f>
        <v/>
      </c>
      <c r="R29" s="66" t="str">
        <f>IF(M29="","",M29*24)</f>
        <v/>
      </c>
      <c r="S29" s="25" t="e">
        <f>IF(R29&gt;(24-6),0,IF((AND(P29=0,(COUNTIF(Q$6:Q29,24)+$W$4)&gt;10)),0,IF(U29="BA",(100%*P29+$W$3*Q29)/24*$W$2,(F29*P29+$W$3*Q29)/24*$W$2)))</f>
        <v>#VALUE!</v>
      </c>
      <c r="T29" s="59"/>
      <c r="U29" s="74" t="s">
        <v>58</v>
      </c>
      <c r="V29" s="23"/>
      <c r="W29" s="24"/>
    </row>
    <row r="30" spans="1:24" customHeight="1" ht="14.5">
      <c r="A30" s="20"/>
      <c r="B30" s="17"/>
      <c r="C30" s="15"/>
      <c r="D30" s="15"/>
      <c r="E30" s="16"/>
      <c r="F30" s="77">
        <f>IF(G30="","",IF(G30="BA",100%,E30/G30))</f>
        <v>1</v>
      </c>
      <c r="G30" s="78" t="str">
        <f>IF(U30="","",IF(U30="BA","BA",U30))</f>
        <v>BA</v>
      </c>
      <c r="H30" s="17"/>
      <c r="I30" s="18"/>
      <c r="J30" s="17"/>
      <c r="K30" s="14"/>
      <c r="L30" s="14"/>
      <c r="M30" s="14"/>
      <c r="N30" s="69"/>
      <c r="O30" s="21" t="str">
        <f>IF(OR($K30="",$L30="",$M30=""),"",($K30+$L30)/SUM($K30:$M30))</f>
        <v/>
      </c>
      <c r="P30" s="66" t="str">
        <f>IF(K30="","",K30*24)</f>
        <v/>
      </c>
      <c r="Q30" s="66" t="str">
        <f>IF(L30="","",L30*24)</f>
        <v/>
      </c>
      <c r="R30" s="66" t="str">
        <f>IF(M30="","",M30*24)</f>
        <v/>
      </c>
      <c r="S30" s="25" t="e">
        <f>IF(R30&gt;(24-6),0,IF((AND(P30=0,(COUNTIF(Q$6:Q30,24)+$W$4)&gt;10)),0,IF(U30="BA",(100%*P30+$W$3*Q30)/24*$W$2,(F30*P30+$W$3*Q30)/24*$W$2)))</f>
        <v>#VALUE!</v>
      </c>
      <c r="T30" s="60"/>
      <c r="U30" s="74" t="s">
        <v>58</v>
      </c>
      <c r="V30" s="23"/>
      <c r="W30" s="24"/>
    </row>
    <row r="31" spans="1:24" customHeight="1" ht="14.5">
      <c r="A31" s="20"/>
      <c r="B31" s="17"/>
      <c r="C31" s="15"/>
      <c r="D31" s="15"/>
      <c r="E31" s="16"/>
      <c r="F31" s="77">
        <f>IF(G31="","",IF(G31="BA",100%,E31/G31))</f>
        <v>1</v>
      </c>
      <c r="G31" s="78" t="str">
        <f>IF(U31="","",IF(U31="BA","BA",U31))</f>
        <v>BA</v>
      </c>
      <c r="H31" s="17"/>
      <c r="I31" s="18"/>
      <c r="J31" s="17"/>
      <c r="K31" s="14"/>
      <c r="L31" s="14"/>
      <c r="M31" s="14"/>
      <c r="N31" s="69"/>
      <c r="O31" s="21" t="str">
        <f>IF(OR($K31="",$L31="",$M31=""),"",($K31+$L31)/SUM($K31:$M31))</f>
        <v/>
      </c>
      <c r="P31" s="66" t="str">
        <f>IF(K31="","",K31*24)</f>
        <v/>
      </c>
      <c r="Q31" s="66" t="str">
        <f>IF(L31="","",L31*24)</f>
        <v/>
      </c>
      <c r="R31" s="66" t="str">
        <f>IF(M31="","",M31*24)</f>
        <v/>
      </c>
      <c r="S31" s="25" t="e">
        <f>IF(R31&gt;(24-6),0,IF((AND(P31=0,(COUNTIF(Q$6:Q31,24)+$W$4)&gt;10)),0,IF(U31="BA",(100%*P31+$W$3*Q31)/24*$W$2,(F31*P31+$W$3*Q31)/24*$W$2)))</f>
        <v>#VALUE!</v>
      </c>
      <c r="T31" s="59"/>
      <c r="U31" s="74" t="s">
        <v>58</v>
      </c>
      <c r="V31" s="23"/>
      <c r="W31" s="24"/>
    </row>
    <row r="32" spans="1:24" customHeight="1" ht="14.5">
      <c r="A32" s="20"/>
      <c r="B32" s="17"/>
      <c r="C32" s="15"/>
      <c r="D32" s="15"/>
      <c r="E32" s="16"/>
      <c r="F32" s="77">
        <f>IF(G32="","",IF(G32="BA",100%,E32/G32))</f>
        <v>1</v>
      </c>
      <c r="G32" s="78" t="str">
        <f>IF(U32="","",IF(U32="BA","BA",U32))</f>
        <v>BA</v>
      </c>
      <c r="H32" s="17"/>
      <c r="I32" s="18"/>
      <c r="J32" s="17"/>
      <c r="K32" s="14"/>
      <c r="L32" s="14"/>
      <c r="M32" s="14"/>
      <c r="N32" s="69"/>
      <c r="O32" s="21" t="str">
        <f>IF(OR($K32="",$L32="",$M32=""),"",($K32+$L32)/SUM($K32:$M32))</f>
        <v/>
      </c>
      <c r="P32" s="66" t="str">
        <f>IF(K32="","",K32*24)</f>
        <v/>
      </c>
      <c r="Q32" s="66" t="str">
        <f>IF(L32="","",L32*24)</f>
        <v/>
      </c>
      <c r="R32" s="66" t="str">
        <f>IF(M32="","",M32*24)</f>
        <v/>
      </c>
      <c r="S32" s="25" t="e">
        <f>IF(R32&gt;(24-6),0,IF((AND(P32=0,(COUNTIF(Q$6:Q32,24)+$W$4)&gt;10)),0,IF(U32="BA",(100%*P32+$W$3*Q32)/24*$W$2,(F32*P32+$W$3*Q32)/24*$W$2)))</f>
        <v>#VALUE!</v>
      </c>
      <c r="T32" s="59"/>
      <c r="U32" s="74" t="s">
        <v>58</v>
      </c>
      <c r="V32" s="23"/>
      <c r="W32" s="24"/>
    </row>
    <row r="33" spans="1:24" customHeight="1" ht="14.5">
      <c r="A33" s="20"/>
      <c r="B33" s="17"/>
      <c r="C33" s="15"/>
      <c r="D33" s="15"/>
      <c r="E33" s="16"/>
      <c r="F33" s="77">
        <f>IF(G33="","",IF(G33="BA",100%,E33/G33))</f>
        <v>1</v>
      </c>
      <c r="G33" s="78" t="str">
        <f>IF(U33="","",IF(U33="BA","BA",U33))</f>
        <v>BA</v>
      </c>
      <c r="H33" s="17"/>
      <c r="I33" s="18"/>
      <c r="J33" s="17"/>
      <c r="K33" s="14"/>
      <c r="L33" s="14"/>
      <c r="M33" s="14"/>
      <c r="N33" s="69"/>
      <c r="O33" s="21" t="str">
        <f>IF(OR($K33="",$L33="",$M33=""),"",($K33+$L33)/SUM($K33:$M33))</f>
        <v/>
      </c>
      <c r="P33" s="66" t="str">
        <f>IF(K33="","",K33*24)</f>
        <v/>
      </c>
      <c r="Q33" s="66" t="str">
        <f>IF(L33="","",L33*24)</f>
        <v/>
      </c>
      <c r="R33" s="66" t="str">
        <f>IF(M33="","",M33*24)</f>
        <v/>
      </c>
      <c r="S33" s="25" t="e">
        <f>IF(R33&gt;(24-6),0,IF((AND(P33=0,(COUNTIF(Q$6:Q33,24)+$W$4)&gt;10)),0,IF(U33="BA",(100%*P33+$W$3*Q33)/24*$W$2,(F33*P33+$W$3*Q33)/24*$W$2)))</f>
        <v>#VALUE!</v>
      </c>
      <c r="T33" s="59"/>
      <c r="U33" s="74" t="s">
        <v>58</v>
      </c>
      <c r="V33" s="23"/>
      <c r="W33" s="24"/>
    </row>
    <row r="34" spans="1:24" customHeight="1" ht="14.5">
      <c r="A34" s="20"/>
      <c r="B34" s="17"/>
      <c r="C34" s="15"/>
      <c r="D34" s="15"/>
      <c r="E34" s="16"/>
      <c r="F34" s="77">
        <f>IF(G34="","",IF(G34="BA",100%,E34/G34))</f>
        <v>1</v>
      </c>
      <c r="G34" s="78" t="str">
        <f>IF(U34="","",IF(U34="BA","BA",U34))</f>
        <v>BA</v>
      </c>
      <c r="H34" s="17"/>
      <c r="I34" s="18"/>
      <c r="J34" s="17"/>
      <c r="K34" s="14"/>
      <c r="L34" s="14"/>
      <c r="M34" s="14"/>
      <c r="N34" s="69"/>
      <c r="O34" s="21" t="str">
        <f>IF(OR($K34="",$L34="",$M34=""),"",($K34+$L34)/SUM($K34:$M34))</f>
        <v/>
      </c>
      <c r="P34" s="66" t="str">
        <f>IF(K34="","",K34*24)</f>
        <v/>
      </c>
      <c r="Q34" s="66" t="str">
        <f>IF(L34="","",L34*24)</f>
        <v/>
      </c>
      <c r="R34" s="66" t="str">
        <f>IF(M34="","",M34*24)</f>
        <v/>
      </c>
      <c r="S34" s="25" t="e">
        <f>IF(R34&gt;(24-6),0,IF((AND(P34=0,(COUNTIF(Q$6:Q34,24)+$W$4)&gt;10)),0,IF(U34="BA",(100%*P34+$W$3*Q34)/24*$W$2,(F34*P34+$W$3*Q34)/24*$W$2)))</f>
        <v>#VALUE!</v>
      </c>
      <c r="T34" s="59"/>
      <c r="U34" s="74" t="s">
        <v>58</v>
      </c>
      <c r="V34" s="23"/>
      <c r="W34" s="24"/>
    </row>
    <row r="35" spans="1:24" customHeight="1" ht="14.5">
      <c r="A35" s="20"/>
      <c r="B35" s="17"/>
      <c r="C35" s="15"/>
      <c r="D35" s="15"/>
      <c r="E35" s="16"/>
      <c r="F35" s="77">
        <f>IF(G35="","",IF(G35="BA",100%,E35/G35))</f>
        <v>1</v>
      </c>
      <c r="G35" s="78" t="str">
        <f>IF(U35="","",IF(U35="BA","BA",U35))</f>
        <v>BA</v>
      </c>
      <c r="H35" s="17"/>
      <c r="I35" s="18"/>
      <c r="J35" s="17"/>
      <c r="K35" s="14"/>
      <c r="L35" s="14"/>
      <c r="M35" s="14"/>
      <c r="N35" s="69"/>
      <c r="O35" s="21" t="str">
        <f>IF(OR($K35="",$L35="",$M35=""),"",($K35+$L35)/SUM($K35:$M35))</f>
        <v/>
      </c>
      <c r="P35" s="66" t="str">
        <f>IF(K35="","",K35*24)</f>
        <v/>
      </c>
      <c r="Q35" s="66" t="str">
        <f>IF(L35="","",L35*24)</f>
        <v/>
      </c>
      <c r="R35" s="66" t="str">
        <f>IF(M35="","",M35*24)</f>
        <v/>
      </c>
      <c r="S35" s="25" t="e">
        <f>IF(R35&gt;(24-6),0,IF((AND(P35=0,(COUNTIF(Q$6:Q35,24)+$W$4)&gt;10)),0,IF(U35="BA",(100%*P35+$W$3*Q35)/24*$W$2,(F35*P35+$W$3*Q35)/24*$W$2)))</f>
        <v>#VALUE!</v>
      </c>
      <c r="T35" s="59"/>
      <c r="U35" s="74" t="s">
        <v>58</v>
      </c>
      <c r="V35" s="23"/>
      <c r="W35" s="24"/>
    </row>
    <row r="36" spans="1:24" customHeight="1" ht="14.5">
      <c r="A36" s="36"/>
      <c r="B36" s="37"/>
      <c r="C36" s="38"/>
      <c r="D36" s="38"/>
      <c r="E36" s="39"/>
      <c r="F36" s="77">
        <f>IF(G36="","",IF(G36="BA",100%,E36/G36))</f>
        <v>1</v>
      </c>
      <c r="G36" s="78" t="str">
        <f>IF(U36="","",IF(U36="BA","BA",U36))</f>
        <v>BA</v>
      </c>
      <c r="H36" s="37"/>
      <c r="I36" s="40"/>
      <c r="J36" s="37"/>
      <c r="K36" s="41"/>
      <c r="L36" s="41"/>
      <c r="M36" s="41"/>
      <c r="N36" s="70"/>
      <c r="O36" s="21" t="str">
        <f>IF(OR($K36="",$L36="",$M36=""),"",($K36+$L36)/SUM($K36:$M36))</f>
        <v/>
      </c>
      <c r="P36" s="66" t="str">
        <f>IF(K36="","",K36*24)</f>
        <v/>
      </c>
      <c r="Q36" s="66" t="str">
        <f>IF(L36="","",L36*24)</f>
        <v/>
      </c>
      <c r="R36" s="66" t="str">
        <f>IF(M36="","",M36*24)</f>
        <v/>
      </c>
      <c r="S36" s="25" t="e">
        <f>IF(R36&gt;(24-6),0,IF((AND(P36=0,(COUNTIF(Q$6:Q36,24)+$W$4)&gt;10)),0,IF(U36="BA",(100%*P36+$W$3*Q36)/24*$W$2,(F36*P36+$W$3*Q36)/24*$W$2)))</f>
        <v>#VALUE!</v>
      </c>
      <c r="T36" s="61"/>
      <c r="U36" s="74" t="s">
        <v>58</v>
      </c>
      <c r="V36" s="23"/>
      <c r="W36" s="24"/>
    </row>
    <row r="37" spans="1:24" customHeight="1" ht="20.15">
      <c r="A37" s="42" t="s">
        <v>59</v>
      </c>
      <c r="B37" s="43"/>
      <c r="C37" s="43"/>
      <c r="D37" s="43"/>
      <c r="E37" s="44" t="str">
        <f>IF(COUNT(E6:E36)=0,"",SUM(E6:E36))</f>
        <v/>
      </c>
      <c r="F37" s="45"/>
      <c r="G37" s="46"/>
      <c r="H37" s="43"/>
      <c r="I37" s="47"/>
      <c r="J37" s="48" t="str">
        <f>IF(COUNT(J6:J36)=0,"",SUM(J6:J36))</f>
        <v/>
      </c>
      <c r="K37" s="49" t="str">
        <f>IF(COUNT(K6:K36)=0,"",SUM(K6:K36))</f>
        <v/>
      </c>
      <c r="L37" s="49" t="str">
        <f>IF(COUNT(L6:L36)=0,"",SUM(L6:L36))</f>
        <v/>
      </c>
      <c r="M37" s="49" t="str">
        <f>IF(COUNT(M6:M36)=0,"",SUM(M6:M36))</f>
        <v/>
      </c>
      <c r="N37" s="50"/>
      <c r="O37" s="51"/>
      <c r="P37" s="71" t="str">
        <f>IF(COUNT(P6:P36)=0,"",SUM(P6:P36))</f>
        <v/>
      </c>
      <c r="Q37" s="71" t="str">
        <f>IF(COUNT(Q6:Q36)=0,"",SUM(Q6:Q36))</f>
        <v/>
      </c>
      <c r="R37" s="71" t="str">
        <f>IF(COUNT(R6:R36)=0,"",SUM(R6:R36))</f>
        <v/>
      </c>
      <c r="S37" s="62" t="e">
        <f>SUM(S6:S36)</f>
        <v>#VALUE!</v>
      </c>
      <c r="T37" s="52"/>
    </row>
  </sheetData>
  <sheetProtection formatColumns="0" formatRows="0" insertColumns="0" insertRows="0" sort="0" autoFilter="0" pivotTables="0"/>
  <mergeCells>
    <mergeCell ref="A1:T1"/>
    <mergeCell ref="A2:T2"/>
    <mergeCell ref="A4:A5"/>
    <mergeCell ref="K4:M4"/>
    <mergeCell ref="P4:R4"/>
    <mergeCell ref="T4:T5"/>
  </mergeCells>
  <dataValidations count="1">
    <dataValidation type="list" operator="between" allowBlank="1" showDropDown="0" showInputMessage="1" showErrorMessage="0" sqref="U6:U36">
      <formula1>"BA"</formula1>
    </dataValidation>
  </dataValidations>
  <printOptions gridLines="false" gridLinesSet="true" horizontalCentered="true"/>
  <pageMargins left="0.39370078740157" right="0.39370078740157" top="0.59055118110236" bottom="0.59055118110236" header="0.31496062992126" footer="0.31496062992126"/>
  <pageSetup paperSize="9" orientation="portrait" scale="43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Inv</vt:lpstr>
      <vt:lpstr>7116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2022 ALFONSUS VEGA HENTYA TANOJO</cp:lastModifiedBy>
  <dcterms:created xsi:type="dcterms:W3CDTF">2020-02-26T10:07:03+01:00</dcterms:created>
  <dcterms:modified xsi:type="dcterms:W3CDTF">2026-03-12T12:45:11+01:00</dcterms:modified>
  <dc:title/>
  <dc:description/>
  <dc:subject/>
  <cp:keywords/>
  <cp:category/>
</cp:coreProperties>
</file>