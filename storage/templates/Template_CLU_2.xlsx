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lfonsus Vega\Documents\GitHub\sinerco\storage\templates\"/>
    </mc:Choice>
  </mc:AlternateContent>
  <xr:revisionPtr revIDLastSave="0" documentId="13_ncr:1_{E799DE2D-9BDB-4C6F-BBC8-C3EBE0DC1D20}" xr6:coauthVersionLast="47" xr6:coauthVersionMax="47" xr10:uidLastSave="{00000000-0000-0000-0000-000000000000}"/>
  <bookViews>
    <workbookView xWindow="-110" yWindow="-110" windowWidth="25820" windowHeight="13900" tabRatio="860" activeTab="1" xr2:uid="{00000000-000D-0000-FFFF-FFFF00000000}"/>
  </bookViews>
  <sheets>
    <sheet name="Database" sheetId="16" r:id="rId1"/>
    <sheet name="7101 (C)" sheetId="19" r:id="rId2"/>
  </sheets>
  <definedNames>
    <definedName name="_xlnm.Print_Area" localSheetId="0">Database!$A$1:$E$28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9" l="1"/>
  <c r="C5" i="19"/>
  <c r="K43" i="19" l="1"/>
  <c r="L43" i="19" s="1"/>
  <c r="O42" i="19"/>
  <c r="J42" i="19"/>
  <c r="I42" i="19"/>
  <c r="H42" i="19"/>
  <c r="G42" i="19"/>
  <c r="F42" i="19"/>
  <c r="M42" i="19" s="1"/>
  <c r="E42" i="19"/>
  <c r="D42" i="19"/>
  <c r="O41" i="19"/>
  <c r="J41" i="19"/>
  <c r="I41" i="19"/>
  <c r="H41" i="19"/>
  <c r="G41" i="19"/>
  <c r="F41" i="19"/>
  <c r="M41" i="19" s="1"/>
  <c r="E41" i="19"/>
  <c r="D41" i="19"/>
  <c r="O40" i="19"/>
  <c r="J40" i="19"/>
  <c r="I40" i="19"/>
  <c r="H40" i="19"/>
  <c r="G40" i="19"/>
  <c r="F40" i="19"/>
  <c r="M40" i="19" s="1"/>
  <c r="E40" i="19"/>
  <c r="D40" i="19"/>
  <c r="O39" i="19"/>
  <c r="J39" i="19"/>
  <c r="I39" i="19"/>
  <c r="H39" i="19"/>
  <c r="G39" i="19"/>
  <c r="F39" i="19"/>
  <c r="M39" i="19" s="1"/>
  <c r="E39" i="19"/>
  <c r="D39" i="19"/>
  <c r="O38" i="19"/>
  <c r="J38" i="19"/>
  <c r="I38" i="19"/>
  <c r="H38" i="19"/>
  <c r="G38" i="19"/>
  <c r="F38" i="19"/>
  <c r="M38" i="19" s="1"/>
  <c r="E38" i="19"/>
  <c r="D38" i="19"/>
  <c r="O37" i="19"/>
  <c r="J37" i="19"/>
  <c r="I37" i="19"/>
  <c r="H37" i="19"/>
  <c r="G37" i="19"/>
  <c r="F37" i="19"/>
  <c r="M37" i="19" s="1"/>
  <c r="E37" i="19"/>
  <c r="D37" i="19"/>
  <c r="O36" i="19"/>
  <c r="J36" i="19"/>
  <c r="I36" i="19"/>
  <c r="H36" i="19"/>
  <c r="G36" i="19"/>
  <c r="F36" i="19"/>
  <c r="M36" i="19" s="1"/>
  <c r="E36" i="19"/>
  <c r="D36" i="19"/>
  <c r="O35" i="19"/>
  <c r="J35" i="19"/>
  <c r="I35" i="19"/>
  <c r="H35" i="19"/>
  <c r="G35" i="19"/>
  <c r="F35" i="19"/>
  <c r="M35" i="19" s="1"/>
  <c r="E35" i="19"/>
  <c r="D35" i="19"/>
  <c r="O34" i="19"/>
  <c r="J34" i="19"/>
  <c r="I34" i="19"/>
  <c r="H34" i="19"/>
  <c r="G34" i="19"/>
  <c r="F34" i="19"/>
  <c r="M34" i="19" s="1"/>
  <c r="E34" i="19"/>
  <c r="D34" i="19"/>
  <c r="O33" i="19"/>
  <c r="J33" i="19"/>
  <c r="I33" i="19"/>
  <c r="H33" i="19"/>
  <c r="G33" i="19"/>
  <c r="F33" i="19"/>
  <c r="M33" i="19" s="1"/>
  <c r="E33" i="19"/>
  <c r="D33" i="19"/>
  <c r="O32" i="19"/>
  <c r="J32" i="19"/>
  <c r="I32" i="19"/>
  <c r="H32" i="19"/>
  <c r="G32" i="19"/>
  <c r="F32" i="19"/>
  <c r="M32" i="19" s="1"/>
  <c r="E32" i="19"/>
  <c r="D32" i="19"/>
  <c r="O31" i="19"/>
  <c r="J31" i="19"/>
  <c r="I31" i="19"/>
  <c r="H31" i="19"/>
  <c r="G31" i="19"/>
  <c r="F31" i="19"/>
  <c r="M31" i="19" s="1"/>
  <c r="E31" i="19"/>
  <c r="D31" i="19"/>
  <c r="O30" i="19"/>
  <c r="J30" i="19"/>
  <c r="I30" i="19"/>
  <c r="H30" i="19"/>
  <c r="G30" i="19"/>
  <c r="F30" i="19"/>
  <c r="M30" i="19" s="1"/>
  <c r="E30" i="19"/>
  <c r="D30" i="19"/>
  <c r="O29" i="19"/>
  <c r="J29" i="19"/>
  <c r="I29" i="19"/>
  <c r="H29" i="19"/>
  <c r="G29" i="19"/>
  <c r="F29" i="19"/>
  <c r="M29" i="19" s="1"/>
  <c r="E29" i="19"/>
  <c r="D29" i="19"/>
  <c r="O28" i="19"/>
  <c r="J28" i="19"/>
  <c r="I28" i="19"/>
  <c r="H28" i="19"/>
  <c r="G28" i="19"/>
  <c r="F28" i="19"/>
  <c r="M28" i="19" s="1"/>
  <c r="E28" i="19"/>
  <c r="D28" i="19"/>
  <c r="O27" i="19"/>
  <c r="J27" i="19"/>
  <c r="I27" i="19"/>
  <c r="H27" i="19"/>
  <c r="G27" i="19"/>
  <c r="F27" i="19"/>
  <c r="M27" i="19" s="1"/>
  <c r="E27" i="19"/>
  <c r="D27" i="19"/>
  <c r="O26" i="19"/>
  <c r="J26" i="19"/>
  <c r="I26" i="19"/>
  <c r="H26" i="19"/>
  <c r="G26" i="19"/>
  <c r="F26" i="19"/>
  <c r="M26" i="19" s="1"/>
  <c r="E26" i="19"/>
  <c r="D26" i="19"/>
  <c r="O25" i="19"/>
  <c r="J25" i="19"/>
  <c r="I25" i="19"/>
  <c r="H25" i="19"/>
  <c r="G25" i="19"/>
  <c r="F25" i="19"/>
  <c r="M25" i="19" s="1"/>
  <c r="E25" i="19"/>
  <c r="D25" i="19"/>
  <c r="O24" i="19"/>
  <c r="J24" i="19"/>
  <c r="I24" i="19"/>
  <c r="H24" i="19"/>
  <c r="G24" i="19"/>
  <c r="F24" i="19"/>
  <c r="M24" i="19" s="1"/>
  <c r="E24" i="19"/>
  <c r="D24" i="19"/>
  <c r="O23" i="19"/>
  <c r="J23" i="19"/>
  <c r="I23" i="19"/>
  <c r="H23" i="19"/>
  <c r="G23" i="19"/>
  <c r="F23" i="19"/>
  <c r="M23" i="19" s="1"/>
  <c r="E23" i="19"/>
  <c r="D23" i="19"/>
  <c r="O22" i="19"/>
  <c r="J22" i="19"/>
  <c r="I22" i="19"/>
  <c r="H22" i="19"/>
  <c r="G22" i="19"/>
  <c r="F22" i="19"/>
  <c r="M22" i="19" s="1"/>
  <c r="E22" i="19"/>
  <c r="D22" i="19"/>
  <c r="O21" i="19"/>
  <c r="J21" i="19"/>
  <c r="I21" i="19"/>
  <c r="H21" i="19"/>
  <c r="G21" i="19"/>
  <c r="F21" i="19"/>
  <c r="M21" i="19" s="1"/>
  <c r="E21" i="19"/>
  <c r="D21" i="19"/>
  <c r="O20" i="19"/>
  <c r="J20" i="19"/>
  <c r="I20" i="19"/>
  <c r="H20" i="19"/>
  <c r="G20" i="19"/>
  <c r="F20" i="19"/>
  <c r="M20" i="19" s="1"/>
  <c r="E20" i="19"/>
  <c r="D20" i="19"/>
  <c r="O19" i="19"/>
  <c r="J19" i="19"/>
  <c r="I19" i="19"/>
  <c r="H19" i="19"/>
  <c r="G19" i="19"/>
  <c r="F19" i="19"/>
  <c r="M19" i="19" s="1"/>
  <c r="E19" i="19"/>
  <c r="D19" i="19"/>
  <c r="O18" i="19"/>
  <c r="J18" i="19"/>
  <c r="I18" i="19"/>
  <c r="H18" i="19"/>
  <c r="G18" i="19"/>
  <c r="F18" i="19"/>
  <c r="M18" i="19" s="1"/>
  <c r="E18" i="19"/>
  <c r="D18" i="19"/>
  <c r="O17" i="19"/>
  <c r="J17" i="19"/>
  <c r="I17" i="19"/>
  <c r="H17" i="19"/>
  <c r="G17" i="19"/>
  <c r="F17" i="19"/>
  <c r="M17" i="19" s="1"/>
  <c r="E17" i="19"/>
  <c r="D17" i="19"/>
  <c r="O16" i="19"/>
  <c r="J16" i="19"/>
  <c r="I16" i="19"/>
  <c r="H16" i="19"/>
  <c r="G16" i="19"/>
  <c r="F16" i="19"/>
  <c r="M16" i="19" s="1"/>
  <c r="E16" i="19"/>
  <c r="D16" i="19"/>
  <c r="O15" i="19"/>
  <c r="J15" i="19"/>
  <c r="I15" i="19"/>
  <c r="H15" i="19"/>
  <c r="G15" i="19"/>
  <c r="F15" i="19"/>
  <c r="M15" i="19" s="1"/>
  <c r="E15" i="19"/>
  <c r="D15" i="19"/>
  <c r="O14" i="19"/>
  <c r="J14" i="19"/>
  <c r="I14" i="19"/>
  <c r="H14" i="19"/>
  <c r="G14" i="19"/>
  <c r="F14" i="19"/>
  <c r="M14" i="19" s="1"/>
  <c r="E14" i="19"/>
  <c r="D14" i="19"/>
  <c r="O13" i="19"/>
  <c r="J13" i="19"/>
  <c r="I13" i="19"/>
  <c r="H13" i="19"/>
  <c r="G13" i="19"/>
  <c r="F13" i="19"/>
  <c r="M13" i="19" s="1"/>
  <c r="E13" i="19"/>
  <c r="D13" i="19"/>
  <c r="C13" i="19"/>
  <c r="C14" i="19" s="1"/>
  <c r="C15" i="19" s="1"/>
  <c r="C16" i="19" s="1"/>
  <c r="C17" i="19" s="1"/>
  <c r="C18" i="19" s="1"/>
  <c r="C19" i="19" s="1"/>
  <c r="C20" i="19" s="1"/>
  <c r="C21" i="19" s="1"/>
  <c r="C22" i="19" s="1"/>
  <c r="C23" i="19" s="1"/>
  <c r="C24" i="19" s="1"/>
  <c r="C25" i="19" s="1"/>
  <c r="C26" i="19" s="1"/>
  <c r="C27" i="19" s="1"/>
  <c r="C28" i="19" s="1"/>
  <c r="C29" i="19" s="1"/>
  <c r="C30" i="19" s="1"/>
  <c r="C31" i="19" s="1"/>
  <c r="C32" i="19" s="1"/>
  <c r="C33" i="19" s="1"/>
  <c r="C34" i="19" s="1"/>
  <c r="C35" i="19" s="1"/>
  <c r="C36" i="19" s="1"/>
  <c r="C37" i="19" s="1"/>
  <c r="C38" i="19" s="1"/>
  <c r="C39" i="19" s="1"/>
  <c r="C40" i="19" s="1"/>
  <c r="C41" i="19" s="1"/>
  <c r="C42" i="19" s="1"/>
  <c r="O12" i="19"/>
  <c r="J12" i="19"/>
  <c r="I12" i="19"/>
  <c r="H12" i="19"/>
  <c r="G12" i="19"/>
  <c r="F12" i="19"/>
  <c r="M12" i="19" s="1"/>
  <c r="E12" i="19"/>
  <c r="D12" i="19"/>
  <c r="Y11" i="19"/>
  <c r="K18" i="19" l="1"/>
  <c r="L18" i="19" s="1"/>
  <c r="K19" i="19"/>
  <c r="L19" i="19" s="1"/>
  <c r="K16" i="19"/>
  <c r="L16" i="19" s="1"/>
  <c r="K17" i="19"/>
  <c r="L17" i="19" s="1"/>
  <c r="K23" i="19"/>
  <c r="L23" i="19" s="1"/>
  <c r="K24" i="19"/>
  <c r="L24" i="19" s="1"/>
  <c r="K25" i="19"/>
  <c r="L25" i="19" s="1"/>
  <c r="K26" i="19"/>
  <c r="L26" i="19" s="1"/>
  <c r="K28" i="19"/>
  <c r="L28" i="19" s="1"/>
  <c r="K36" i="19"/>
  <c r="L36" i="19" s="1"/>
  <c r="K20" i="19"/>
  <c r="L20" i="19" s="1"/>
  <c r="K31" i="19"/>
  <c r="L31" i="19" s="1"/>
  <c r="K32" i="19"/>
  <c r="L32" i="19" s="1"/>
  <c r="K33" i="19"/>
  <c r="L33" i="19" s="1"/>
  <c r="K34" i="19"/>
  <c r="L34" i="19" s="1"/>
  <c r="K39" i="19"/>
  <c r="L39" i="19" s="1"/>
  <c r="K40" i="19"/>
  <c r="L40" i="19" s="1"/>
  <c r="K41" i="19"/>
  <c r="L41" i="19" s="1"/>
  <c r="K42" i="19"/>
  <c r="L42" i="19" s="1"/>
  <c r="K12" i="19"/>
  <c r="L12" i="19" s="1"/>
  <c r="K13" i="19"/>
  <c r="L13" i="19" s="1"/>
  <c r="N32" i="19"/>
  <c r="K14" i="19"/>
  <c r="L14" i="19" s="1"/>
  <c r="K27" i="19"/>
  <c r="L27" i="19" s="1"/>
  <c r="K35" i="19"/>
  <c r="L35" i="19" s="1"/>
  <c r="K15" i="19"/>
  <c r="L15" i="19" s="1"/>
  <c r="K21" i="19"/>
  <c r="L21" i="19" s="1"/>
  <c r="K22" i="19"/>
  <c r="L22" i="19" s="1"/>
  <c r="K29" i="19"/>
  <c r="L29" i="19" s="1"/>
  <c r="K30" i="19"/>
  <c r="L30" i="19" s="1"/>
  <c r="K37" i="19"/>
  <c r="L37" i="19" s="1"/>
  <c r="K38" i="19"/>
  <c r="L38" i="19" s="1"/>
  <c r="N25" i="19"/>
  <c r="N40" i="19" l="1"/>
  <c r="N16" i="19"/>
  <c r="N15" i="19"/>
  <c r="N39" i="19"/>
  <c r="N36" i="19"/>
  <c r="N24" i="19"/>
  <c r="N17" i="19"/>
  <c r="N31" i="19"/>
  <c r="N20" i="19"/>
  <c r="N14" i="19"/>
  <c r="N12" i="19"/>
  <c r="N13" i="19"/>
  <c r="N30" i="19"/>
  <c r="N26" i="19"/>
  <c r="N41" i="19"/>
  <c r="N34" i="19"/>
  <c r="N33" i="19"/>
  <c r="N27" i="19"/>
  <c r="N18" i="19"/>
  <c r="N23" i="19"/>
  <c r="N28" i="19"/>
  <c r="N42" i="19"/>
  <c r="N22" i="19"/>
  <c r="N19" i="19"/>
  <c r="N29" i="19"/>
  <c r="N21" i="19"/>
  <c r="N37" i="19"/>
  <c r="N35" i="19"/>
  <c r="N38" i="19"/>
</calcChain>
</file>

<file path=xl/sharedStrings.xml><?xml version="1.0" encoding="utf-8"?>
<sst xmlns="http://schemas.openxmlformats.org/spreadsheetml/2006/main" count="141" uniqueCount="73">
  <si>
    <t xml:space="preserve">Mini Gas Compressor </t>
  </si>
  <si>
    <t>PROCESSED</t>
  </si>
  <si>
    <t>DATE</t>
  </si>
  <si>
    <t>PRESSUCT</t>
  </si>
  <si>
    <t>(PSI)</t>
  </si>
  <si>
    <t>PRESDISC</t>
  </si>
  <si>
    <t>GASRATE</t>
  </si>
  <si>
    <t>(MSCFD)</t>
  </si>
  <si>
    <t>STREAM</t>
  </si>
  <si>
    <t>STANHOUR</t>
  </si>
  <si>
    <t>RUNHOUR</t>
  </si>
  <si>
    <t>(HOURS)</t>
  </si>
  <si>
    <t>THGT</t>
  </si>
  <si>
    <t>INPUT</t>
  </si>
  <si>
    <t>LPSEP</t>
  </si>
  <si>
    <t>HPSEP</t>
  </si>
  <si>
    <t>DHU</t>
  </si>
  <si>
    <t>CO2REMOV</t>
  </si>
  <si>
    <t>TRUNK</t>
  </si>
  <si>
    <t>OUTLET:</t>
  </si>
  <si>
    <t>SYSTEM - NETWORK:</t>
  </si>
  <si>
    <t>UNIT:</t>
  </si>
  <si>
    <t>PSIG</t>
  </si>
  <si>
    <t>PSIA</t>
  </si>
  <si>
    <t>BAR</t>
  </si>
  <si>
    <t>ATM</t>
  </si>
  <si>
    <t>REMARK</t>
  </si>
  <si>
    <t>DOWNHOUR</t>
  </si>
  <si>
    <t>Tarif</t>
  </si>
  <si>
    <t>IDR/day</t>
  </si>
  <si>
    <t>Data input</t>
  </si>
  <si>
    <t>Date</t>
  </si>
  <si>
    <t>P Source</t>
  </si>
  <si>
    <t>P D.Header</t>
  </si>
  <si>
    <t>P Suct.</t>
  </si>
  <si>
    <t>P Disch.</t>
  </si>
  <si>
    <t>Volume</t>
  </si>
  <si>
    <t>T Disch.</t>
  </si>
  <si>
    <t>Speed</t>
  </si>
  <si>
    <t>Liquid Gain</t>
  </si>
  <si>
    <t>Operating Time (hrs)</t>
  </si>
  <si>
    <t>Availability</t>
  </si>
  <si>
    <t>Run</t>
  </si>
  <si>
    <t>Remarks</t>
  </si>
  <si>
    <t>psig</t>
  </si>
  <si>
    <t>%</t>
  </si>
  <si>
    <t>°F</t>
  </si>
  <si>
    <t>RPM</t>
  </si>
  <si>
    <t>BPD</t>
  </si>
  <si>
    <t>Standby</t>
  </si>
  <si>
    <t>Down</t>
  </si>
  <si>
    <t>Q Target</t>
  </si>
  <si>
    <t>Q Actual</t>
  </si>
  <si>
    <t/>
  </si>
  <si>
    <t>&gt;&gt;&gt;&gt;&gt;</t>
  </si>
  <si>
    <t>Record Data Sheet 2024 (SINERCO)</t>
  </si>
  <si>
    <t>09:40 - 10:10 STBY/ High liquid</t>
  </si>
  <si>
    <t>07:00 - 11:00 STBY/ PM 1000 hrs</t>
  </si>
  <si>
    <t>07:30 - 08:30 SD/ Low speed</t>
  </si>
  <si>
    <t>13:40 - 14:10 STBY/ Low fuel press.</t>
  </si>
  <si>
    <t>{{suction_press}}</t>
  </si>
  <si>
    <t>{{discharge_press}}</t>
  </si>
  <si>
    <t>{{flowrate}}</t>
  </si>
  <si>
    <t>{{run}}</t>
  </si>
  <si>
    <t>{{stby}}</t>
  </si>
  <si>
    <t>{{down}}</t>
  </si>
  <si>
    <t>{{availability}}</t>
  </si>
  <si>
    <t>{{remarks}}</t>
  </si>
  <si>
    <t>{{bef_cooler}}</t>
  </si>
  <si>
    <t>{{aft_cooler}}</t>
  </si>
  <si>
    <t>{{location}}</t>
  </si>
  <si>
    <t>{{start_date}}</t>
  </si>
  <si>
    <t>{{date}}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</si>
</sst>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"/>
    <numFmt numFmtId="165" formatCode="[$-409]d\ mmm;@"/>
  </numFmts>
  <fonts count="16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rgb="FF0070C0"/>
      <name val="Arial"/>
      <family val="2"/>
    </font>
    <font>
      <b/>
      <sz val="18"/>
      <color rgb="FF0070C0"/>
      <name val="Arial"/>
      <family val="2"/>
    </font>
    <font>
      <b/>
      <sz val="12"/>
      <color theme="1" tint="0.249977111117893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Arial"/>
      <family val="2"/>
    </font>
    <font>
      <b/>
      <sz val="14"/>
      <color theme="2" tint="-0.749992370372631"/>
      <name val="Arial"/>
      <family val="2"/>
    </font>
    <font>
      <sz val="12"/>
      <color theme="1"/>
      <name val="Arial Black"/>
      <family val="2"/>
    </font>
    <font>
      <sz val="11"/>
      <color theme="1"/>
      <name val="Calibri"/>
      <family val="2"/>
      <scheme val="minor"/>
    </font>
    <font>
      <b/>
      <sz val="12"/>
      <color theme="1"/>
      <name val="Arial Black"/>
      <family val="2"/>
    </font>
    <font>
      <sz val="11"/>
      <color theme="1"/>
      <name val="Arial Black"/>
      <family val="2"/>
    </font>
    <font>
      <sz val="12"/>
      <color theme="0"/>
      <name val="Arial"/>
      <family val="2"/>
    </font>
    <font>
      <b/>
      <sz val="12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/>
    <xf numFmtId="41" fontId="1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2" fillId="0" borderId="0" xfId="0" applyFont="1"/>
    <xf numFmtId="0" fontId="13" fillId="0" borderId="0" xfId="0" applyFont="1"/>
    <xf numFmtId="0" fontId="13" fillId="3" borderId="0" xfId="0" applyFont="1" applyFill="1"/>
    <xf numFmtId="0" fontId="1" fillId="0" borderId="0" xfId="0" applyFont="1" applyAlignment="1">
      <alignment horizontal="right" vertic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right" vertical="center"/>
    </xf>
    <xf numFmtId="0" fontId="14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164" fontId="14" fillId="0" borderId="0" xfId="0" applyNumberFormat="1" applyFont="1" applyAlignment="1">
      <alignment vertical="top"/>
    </xf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65" fontId="8" fillId="0" borderId="0" xfId="0" quotePrefix="1" applyNumberFormat="1" applyFont="1" applyAlignment="1" applyProtection="1">
      <alignment horizontal="center" vertical="top"/>
      <protection locked="0"/>
    </xf>
    <xf numFmtId="0" fontId="2" fillId="0" borderId="0" xfId="0" applyFont="1" applyAlignment="1">
      <alignment vertical="center" wrapText="1"/>
    </xf>
    <xf numFmtId="3" fontId="2" fillId="5" borderId="1" xfId="2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vertical="center" wrapText="1"/>
    </xf>
    <xf numFmtId="164" fontId="14" fillId="0" borderId="0" xfId="1" applyNumberFormat="1" applyFont="1" applyAlignment="1">
      <alignment vertical="top"/>
    </xf>
    <xf numFmtId="0" fontId="15" fillId="2" borderId="1" xfId="0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colors>
    <mruColors>
      <color rgb="FF00FF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D8"/>
  <sheetViews>
    <sheetView showGridLines="0" view="pageBreakPreview" zoomScale="130" zoomScaleNormal="100" zoomScaleSheetLayoutView="130" workbookViewId="0"/>
  </sheetViews>
  <sheetFormatPr defaultColWidth="9.1796875" defaultRowHeight="17" x14ac:dyDescent="0.5"/>
  <cols>
    <col min="1" max="1" width="12.26953125" style="10" customWidth="1"/>
    <col min="2" max="2" width="9.1796875" style="10"/>
    <col min="3" max="3" width="32.26953125" style="10" customWidth="1"/>
    <col min="4" max="4" width="14.453125" style="10" customWidth="1"/>
    <col min="5" max="16384" width="9.1796875" style="10"/>
  </cols>
  <sheetData>
    <row r="1" spans="1:4" ht="18" x14ac:dyDescent="0.5">
      <c r="A1" s="9" t="s">
        <v>19</v>
      </c>
      <c r="C1" s="8" t="s">
        <v>20</v>
      </c>
      <c r="D1" s="10" t="s">
        <v>21</v>
      </c>
    </row>
    <row r="2" spans="1:4" ht="18" x14ac:dyDescent="0.5">
      <c r="A2" s="10" t="s">
        <v>14</v>
      </c>
      <c r="C2" s="8" t="s">
        <v>17</v>
      </c>
      <c r="D2" s="10" t="s">
        <v>22</v>
      </c>
    </row>
    <row r="3" spans="1:4" ht="18" x14ac:dyDescent="0.5">
      <c r="A3" s="10" t="s">
        <v>15</v>
      </c>
      <c r="C3" s="8" t="s">
        <v>16</v>
      </c>
      <c r="D3" s="10" t="s">
        <v>23</v>
      </c>
    </row>
    <row r="4" spans="1:4" x14ac:dyDescent="0.5">
      <c r="C4" s="10" t="s">
        <v>18</v>
      </c>
      <c r="D4" s="10" t="s">
        <v>24</v>
      </c>
    </row>
    <row r="5" spans="1:4" x14ac:dyDescent="0.5">
      <c r="D5" s="10" t="s">
        <v>25</v>
      </c>
    </row>
    <row r="8" spans="1:4" x14ac:dyDescent="0.5">
      <c r="D8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C3FDC-AFA3-4075-85D5-17CE705F0E92}">
  <sheetPr>
    <tabColor rgb="FF00FF00"/>
    <pageSetUpPr fitToPage="1"/>
  </sheetPr>
  <dimension ref="A1:AJ403"/>
  <sheetViews>
    <sheetView tabSelected="1" topLeftCell="G1" zoomScale="84" zoomScaleNormal="85" zoomScaleSheetLayoutView="85" workbookViewId="0">
      <selection activeCell="T12" sqref="T12"/>
    </sheetView>
  </sheetViews>
  <sheetFormatPr defaultColWidth="5.7265625" defaultRowHeight="15.5" zeroHeight="1" x14ac:dyDescent="0.35"/>
  <cols>
    <col min="1" max="1" width="5.7265625" style="15" customWidth="1"/>
    <col min="2" max="2" width="5.7265625" style="2" customWidth="1"/>
    <col min="3" max="3" width="26.453125" style="1" bestFit="1" customWidth="1"/>
    <col min="4" max="4" width="14.26953125" style="13" bestFit="1" customWidth="1"/>
    <col min="5" max="5" width="13.453125" style="13" bestFit="1" customWidth="1"/>
    <col min="6" max="6" width="13.1796875" style="13" customWidth="1"/>
    <col min="7" max="7" width="13.453125" style="13" bestFit="1" customWidth="1"/>
    <col min="8" max="8" width="14.453125" style="13" bestFit="1" customWidth="1"/>
    <col min="9" max="9" width="15.453125" style="13" bestFit="1" customWidth="1"/>
    <col min="10" max="10" width="14.453125" style="1" bestFit="1" customWidth="1"/>
    <col min="11" max="11" width="16.1796875" style="1" bestFit="1" customWidth="1"/>
    <col min="12" max="12" width="11.81640625" style="1" bestFit="1" customWidth="1"/>
    <col min="13" max="13" width="10.81640625" style="1" bestFit="1" customWidth="1"/>
    <col min="14" max="14" width="14.7265625" style="1" bestFit="1" customWidth="1"/>
    <col min="15" max="15" width="50.7265625" style="1" customWidth="1"/>
    <col min="16" max="19" width="5.7265625" style="1"/>
    <col min="20" max="20" width="9.7265625" style="1" customWidth="1"/>
    <col min="21" max="22" width="0" style="1" hidden="1" customWidth="1"/>
    <col min="23" max="27" width="5.7265625" style="1"/>
    <col min="28" max="30" width="0" style="1" hidden="1" customWidth="1"/>
    <col min="31" max="34" width="5.7265625" style="1"/>
    <col min="35" max="35" width="0" style="1" hidden="1" customWidth="1"/>
    <col min="36" max="36" width="50.7265625" style="1" customWidth="1"/>
    <col min="37" max="16384" width="5.7265625" style="1"/>
  </cols>
  <sheetData>
    <row r="1" spans="1:36" x14ac:dyDescent="0.35"/>
    <row r="2" spans="1:36" s="3" customFormat="1" ht="30" customHeight="1" x14ac:dyDescent="0.35">
      <c r="A2" s="16"/>
      <c r="B2" s="2"/>
      <c r="D2" s="13"/>
      <c r="E2" s="13"/>
      <c r="F2" s="13"/>
      <c r="G2" s="13"/>
      <c r="H2" s="13"/>
      <c r="I2" s="13"/>
    </row>
    <row r="3" spans="1:36" ht="23" x14ac:dyDescent="0.35">
      <c r="C3" s="5" t="s">
        <v>70</v>
      </c>
    </row>
    <row r="4" spans="1:36" ht="18" x14ac:dyDescent="0.35">
      <c r="C4" s="7" t="s">
        <v>13</v>
      </c>
      <c r="D4" s="1"/>
      <c r="E4" s="1"/>
      <c r="F4" s="1"/>
      <c r="G4" s="1"/>
      <c r="H4" s="1"/>
      <c r="I4" s="1"/>
    </row>
    <row r="5" spans="1:36" x14ac:dyDescent="0.35">
      <c r="C5" s="12" t="str">
        <f>Database!A1</f>
        <v>OUTLET:</v>
      </c>
      <c r="D5" s="18" t="s">
        <v>14</v>
      </c>
      <c r="E5" s="14">
        <v>10</v>
      </c>
      <c r="F5" s="18" t="s">
        <v>22</v>
      </c>
      <c r="G5" s="18"/>
      <c r="H5" s="18" t="s">
        <v>28</v>
      </c>
      <c r="I5" s="19">
        <v>1500000</v>
      </c>
      <c r="J5" s="18" t="s">
        <v>29</v>
      </c>
    </row>
    <row r="6" spans="1:36" x14ac:dyDescent="0.35">
      <c r="C6" s="12" t="str">
        <f>Database!C1</f>
        <v>SYSTEM - NETWORK:</v>
      </c>
      <c r="D6" s="18" t="s">
        <v>17</v>
      </c>
      <c r="E6" s="14">
        <v>70</v>
      </c>
      <c r="F6" s="18" t="s">
        <v>22</v>
      </c>
      <c r="G6" s="18"/>
      <c r="H6" s="1"/>
      <c r="I6" s="1"/>
    </row>
    <row r="7" spans="1:36" x14ac:dyDescent="0.35">
      <c r="D7" s="1"/>
      <c r="E7" s="1"/>
      <c r="F7" s="1"/>
      <c r="G7" s="1"/>
      <c r="H7" s="1"/>
      <c r="I7" s="1"/>
    </row>
    <row r="8" spans="1:36" ht="25" x14ac:dyDescent="0.35">
      <c r="C8" s="4" t="s">
        <v>0</v>
      </c>
      <c r="D8" s="1"/>
      <c r="E8" s="1"/>
      <c r="F8" s="1"/>
      <c r="G8" s="1"/>
      <c r="H8" s="1"/>
      <c r="I8" s="1"/>
    </row>
    <row r="9" spans="1:36" x14ac:dyDescent="0.35">
      <c r="C9" s="6" t="s">
        <v>55</v>
      </c>
      <c r="D9" s="1"/>
      <c r="E9" s="1"/>
      <c r="F9" s="1"/>
      <c r="G9" s="1"/>
      <c r="H9" s="1"/>
      <c r="I9" s="1"/>
      <c r="T9" s="16" t="s">
        <v>30</v>
      </c>
    </row>
    <row r="10" spans="1:36" s="16" customFormat="1" x14ac:dyDescent="0.35">
      <c r="C10" s="32" t="s">
        <v>2</v>
      </c>
      <c r="D10" s="29" t="s">
        <v>3</v>
      </c>
      <c r="E10" s="29" t="s">
        <v>5</v>
      </c>
      <c r="F10" s="29" t="s">
        <v>6</v>
      </c>
      <c r="G10" s="29" t="s">
        <v>10</v>
      </c>
      <c r="H10" s="29" t="s">
        <v>9</v>
      </c>
      <c r="I10" s="29" t="s">
        <v>27</v>
      </c>
      <c r="J10" s="32" t="s">
        <v>8</v>
      </c>
      <c r="K10" s="32" t="s">
        <v>1</v>
      </c>
      <c r="L10" s="32" t="s">
        <v>51</v>
      </c>
      <c r="M10" s="32" t="s">
        <v>52</v>
      </c>
      <c r="N10" s="32" t="s">
        <v>12</v>
      </c>
      <c r="O10" s="32" t="s">
        <v>26</v>
      </c>
      <c r="T10" s="16" t="s">
        <v>31</v>
      </c>
      <c r="U10" s="16" t="s">
        <v>32</v>
      </c>
      <c r="V10" s="16" t="s">
        <v>33</v>
      </c>
      <c r="W10" s="16" t="s">
        <v>34</v>
      </c>
      <c r="X10" s="16" t="s">
        <v>35</v>
      </c>
      <c r="Y10" s="16" t="s">
        <v>36</v>
      </c>
      <c r="AB10" s="16" t="s">
        <v>37</v>
      </c>
      <c r="AC10" s="16" t="s">
        <v>38</v>
      </c>
      <c r="AD10" s="16" t="s">
        <v>39</v>
      </c>
      <c r="AE10" s="16" t="s">
        <v>40</v>
      </c>
      <c r="AH10" s="16" t="s">
        <v>41</v>
      </c>
      <c r="AI10" s="16" t="s">
        <v>42</v>
      </c>
      <c r="AJ10" s="16" t="s">
        <v>43</v>
      </c>
    </row>
    <row r="11" spans="1:36" s="16" customFormat="1" x14ac:dyDescent="0.35">
      <c r="C11" s="32"/>
      <c r="D11" s="29" t="s">
        <v>4</v>
      </c>
      <c r="E11" s="29" t="s">
        <v>4</v>
      </c>
      <c r="F11" s="29" t="s">
        <v>7</v>
      </c>
      <c r="G11" s="29" t="s">
        <v>11</v>
      </c>
      <c r="H11" s="29" t="s">
        <v>11</v>
      </c>
      <c r="I11" s="29" t="s">
        <v>11</v>
      </c>
      <c r="J11" s="32"/>
      <c r="K11" s="32"/>
      <c r="L11" s="32"/>
      <c r="M11" s="32"/>
      <c r="N11" s="32"/>
      <c r="O11" s="32"/>
      <c r="U11" s="16" t="s">
        <v>44</v>
      </c>
      <c r="V11" s="16" t="s">
        <v>44</v>
      </c>
      <c r="W11" s="16" t="s">
        <v>44</v>
      </c>
      <c r="X11" s="16" t="s">
        <v>44</v>
      </c>
      <c r="Y11" s="16" t="str">
        <f>IF(IFERROR(AVERAGE(Y12:Y39),1)&lt;1,"MMSCF","MSCF")</f>
        <v>MSCF</v>
      </c>
      <c r="AB11" s="16" t="s">
        <v>46</v>
      </c>
      <c r="AC11" s="16" t="s">
        <v>47</v>
      </c>
      <c r="AD11" s="16" t="s">
        <v>48</v>
      </c>
      <c r="AE11" s="16" t="s">
        <v>42</v>
      </c>
      <c r="AF11" s="16" t="s">
        <v>49</v>
      </c>
      <c r="AG11" s="16" t="s">
        <v>50</v>
      </c>
      <c r="AH11" s="16" t="s">
        <v>45</v>
      </c>
      <c r="AI11" s="16" t="s">
        <v>45</v>
      </c>
      <c r="AJ11" s="30"/>
    </row>
    <row r="12" spans="1:36" x14ac:dyDescent="0.35">
      <c r="A12" s="17">
        <v>34.1</v>
      </c>
      <c r="C12" s="20" t="s">
        <v>71</v>
      </c>
      <c r="D12" s="25" t="e">
        <f t="shared" ref="D12:D42" si="0">IF(W12="","",ROUND(W12,0))</f>
        <v>#VALUE!</v>
      </c>
      <c r="E12" s="25" t="str">
        <f t="shared" ref="E12:E42" si="1">IF(X12="",0,X12)</f>
        <v>{{discharge_press}}</v>
      </c>
      <c r="F12" s="26" t="str">
        <f t="shared" ref="F12:F42" si="2">Y12</f>
        <v>{{flowrate}}</v>
      </c>
      <c r="G12" s="26" t="e">
        <f t="shared" ref="G12:I42" si="3">AE12*24</f>
        <v>#VALUE!</v>
      </c>
      <c r="H12" s="26" t="e">
        <f t="shared" si="3"/>
        <v>#VALUE!</v>
      </c>
      <c r="I12" s="26" t="e">
        <f t="shared" si="3"/>
        <v>#VALUE!</v>
      </c>
      <c r="J12" s="27" t="str">
        <f t="shared" ref="J12:J42" si="4">$D$6</f>
        <v>CO2REMOV</v>
      </c>
      <c r="K12" s="27" t="e">
        <f t="shared" ref="K12:K43" si="5">IF(H12=24,"PAID",IF(E12&gt;=$E$6,"PAID","UNPAID"))</f>
        <v>#VALUE!</v>
      </c>
      <c r="L12" s="23" t="e">
        <f>IF(K12="PAID",AA12,0)</f>
        <v>#VALUE!</v>
      </c>
      <c r="M12" s="27" t="str">
        <f t="shared" ref="M12:M42" si="6">F12</f>
        <v>{{flowrate}}</v>
      </c>
      <c r="N12" s="22" t="e">
        <f>IF(K12="PAID",IF(H12=24,(0.25*$I$5),IF(((1+H12/G12)*M12/L12*$I$5)&gt;$I$5,$I$5,((1+H12/G12)*M12/L12*$I$5))),0)</f>
        <v>#VALUE!</v>
      </c>
      <c r="O12" s="28" t="str">
        <f t="shared" ref="O12:O42" si="7">AJ12</f>
        <v>{{remarks}}</v>
      </c>
      <c r="T12" s="20" t="s">
        <v>72</v>
      </c>
      <c r="U12" s="1">
        <v>8.1</v>
      </c>
      <c r="V12" s="1">
        <v>80</v>
      </c>
      <c r="W12" s="1" t="s">
        <v>60</v>
      </c>
      <c r="X12" s="1" t="s">
        <v>61</v>
      </c>
      <c r="Y12" s="1" t="s">
        <v>62</v>
      </c>
      <c r="Z12" s="1" t="s">
        <v>68</v>
      </c>
      <c r="AA12" s="1" t="s">
        <v>69</v>
      </c>
      <c r="AB12" s="1">
        <v>95.8</v>
      </c>
      <c r="AC12" s="1">
        <v>1938</v>
      </c>
      <c r="AD12" s="1" t="s">
        <v>53</v>
      </c>
      <c r="AE12" s="1" t="s">
        <v>63</v>
      </c>
      <c r="AF12" s="1" t="s">
        <v>64</v>
      </c>
      <c r="AG12" s="1" t="s">
        <v>65</v>
      </c>
      <c r="AH12" s="1" t="s">
        <v>66</v>
      </c>
      <c r="AI12" s="1">
        <v>1</v>
      </c>
      <c r="AJ12" s="21" t="s">
        <v>67</v>
      </c>
    </row>
    <row r="13" spans="1:36" x14ac:dyDescent="0.35">
      <c r="A13" s="17">
        <v>34.5</v>
      </c>
      <c r="C13" s="24" t="e">
        <f t="shared" ref="C13:C42" si="8">C12+1</f>
        <v>#VALUE!</v>
      </c>
      <c r="D13" s="25">
        <f t="shared" si="0"/>
        <v>4</v>
      </c>
      <c r="E13" s="25">
        <f t="shared" si="1"/>
        <v>86.7</v>
      </c>
      <c r="F13" s="26">
        <f t="shared" si="2"/>
        <v>234.18680000000001</v>
      </c>
      <c r="G13" s="26">
        <f t="shared" si="3"/>
        <v>24</v>
      </c>
      <c r="H13" s="26">
        <f t="shared" si="3"/>
        <v>0</v>
      </c>
      <c r="I13" s="26">
        <f t="shared" si="3"/>
        <v>0</v>
      </c>
      <c r="J13" s="27" t="str">
        <f t="shared" si="4"/>
        <v>CO2REMOV</v>
      </c>
      <c r="K13" s="27" t="str">
        <f t="shared" si="5"/>
        <v>PAID</v>
      </c>
      <c r="L13" s="23">
        <f t="shared" ref="L13:L43" si="9">IF(K13="PAID",AA13,0)</f>
        <v>188.2</v>
      </c>
      <c r="M13" s="27">
        <f t="shared" si="6"/>
        <v>234.18680000000001</v>
      </c>
      <c r="N13" s="22">
        <f t="shared" ref="N13:N42" si="10">IF(K13="PAID",IF(H13=24,(0.25*$I$5),IF(((1+H13/G13)*M13/L13*$I$5)&gt;$I$5,$I$5,((1+H13/G13)*M13/L13*$I$5))),0)</f>
        <v>1500000</v>
      </c>
      <c r="O13" s="28" t="str">
        <f t="shared" si="7"/>
        <v/>
      </c>
      <c r="T13" s="20">
        <v>46024</v>
      </c>
      <c r="U13" s="1">
        <v>7.5</v>
      </c>
      <c r="V13" s="1">
        <v>80</v>
      </c>
      <c r="W13" s="1">
        <v>4</v>
      </c>
      <c r="X13" s="1">
        <v>86.7</v>
      </c>
      <c r="Y13" s="1">
        <v>234.18680000000001</v>
      </c>
      <c r="Z13" s="1">
        <v>1.2443506907545165</v>
      </c>
      <c r="AA13" s="1">
        <v>188.2</v>
      </c>
      <c r="AB13" s="1">
        <v>95.2</v>
      </c>
      <c r="AC13" s="1">
        <v>1942</v>
      </c>
      <c r="AD13" s="1" t="s">
        <v>53</v>
      </c>
      <c r="AE13" s="1">
        <v>1</v>
      </c>
      <c r="AF13" s="1">
        <v>0</v>
      </c>
      <c r="AG13" s="1">
        <v>0</v>
      </c>
      <c r="AH13" s="1">
        <v>1</v>
      </c>
      <c r="AI13" s="1">
        <v>1</v>
      </c>
      <c r="AJ13" s="21" t="s">
        <v>53</v>
      </c>
    </row>
    <row r="14" spans="1:36" x14ac:dyDescent="0.35">
      <c r="A14" s="17">
        <v>34.5</v>
      </c>
      <c r="C14" s="24" t="e">
        <f t="shared" si="8"/>
        <v>#VALUE!</v>
      </c>
      <c r="D14" s="25">
        <f t="shared" si="0"/>
        <v>4</v>
      </c>
      <c r="E14" s="25">
        <f t="shared" si="1"/>
        <v>87.2</v>
      </c>
      <c r="F14" s="26">
        <f t="shared" si="2"/>
        <v>233.7971</v>
      </c>
      <c r="G14" s="26">
        <f t="shared" si="3"/>
        <v>24</v>
      </c>
      <c r="H14" s="26">
        <f t="shared" si="3"/>
        <v>0</v>
      </c>
      <c r="I14" s="26">
        <f t="shared" si="3"/>
        <v>0</v>
      </c>
      <c r="J14" s="27" t="str">
        <f t="shared" si="4"/>
        <v>CO2REMOV</v>
      </c>
      <c r="K14" s="27" t="str">
        <f t="shared" si="5"/>
        <v>PAID</v>
      </c>
      <c r="L14" s="23">
        <f t="shared" si="9"/>
        <v>188.2</v>
      </c>
      <c r="M14" s="27">
        <f t="shared" si="6"/>
        <v>233.7971</v>
      </c>
      <c r="N14" s="22">
        <f t="shared" si="10"/>
        <v>1500000</v>
      </c>
      <c r="O14" s="28" t="str">
        <f t="shared" si="7"/>
        <v/>
      </c>
      <c r="T14" s="20">
        <v>46025</v>
      </c>
      <c r="U14" s="1">
        <v>7.9</v>
      </c>
      <c r="V14" s="1">
        <v>80</v>
      </c>
      <c r="W14" s="1">
        <v>4.0999999999999996</v>
      </c>
      <c r="X14" s="1">
        <v>87.2</v>
      </c>
      <c r="Y14" s="1">
        <v>233.7971</v>
      </c>
      <c r="Z14" s="1">
        <v>1.2422800212539853</v>
      </c>
      <c r="AA14" s="1">
        <v>188.2</v>
      </c>
      <c r="AB14" s="1">
        <v>94.4</v>
      </c>
      <c r="AC14" s="1">
        <v>1948</v>
      </c>
      <c r="AD14" s="1" t="s">
        <v>53</v>
      </c>
      <c r="AE14" s="1">
        <v>1</v>
      </c>
      <c r="AF14" s="1">
        <v>0</v>
      </c>
      <c r="AG14" s="1">
        <v>0</v>
      </c>
      <c r="AH14" s="1">
        <v>1</v>
      </c>
      <c r="AI14" s="1">
        <v>1</v>
      </c>
      <c r="AJ14" s="21" t="s">
        <v>53</v>
      </c>
    </row>
    <row r="15" spans="1:36" x14ac:dyDescent="0.35">
      <c r="A15" s="17">
        <v>34.6</v>
      </c>
      <c r="C15" s="24" t="e">
        <f t="shared" si="8"/>
        <v>#VALUE!</v>
      </c>
      <c r="D15" s="25">
        <f t="shared" si="0"/>
        <v>5</v>
      </c>
      <c r="E15" s="25">
        <f t="shared" si="1"/>
        <v>87.1</v>
      </c>
      <c r="F15" s="26">
        <f t="shared" si="2"/>
        <v>235.60499999999999</v>
      </c>
      <c r="G15" s="26">
        <f t="shared" si="3"/>
        <v>24</v>
      </c>
      <c r="H15" s="26">
        <f t="shared" si="3"/>
        <v>0</v>
      </c>
      <c r="I15" s="26">
        <f t="shared" si="3"/>
        <v>0</v>
      </c>
      <c r="J15" s="27" t="str">
        <f t="shared" si="4"/>
        <v>CO2REMOV</v>
      </c>
      <c r="K15" s="27" t="str">
        <f t="shared" si="5"/>
        <v>PAID</v>
      </c>
      <c r="L15" s="23">
        <f t="shared" si="9"/>
        <v>202.8</v>
      </c>
      <c r="M15" s="27">
        <f t="shared" si="6"/>
        <v>235.60499999999999</v>
      </c>
      <c r="N15" s="22">
        <f t="shared" si="10"/>
        <v>1500000</v>
      </c>
      <c r="O15" s="28" t="str">
        <f t="shared" si="7"/>
        <v/>
      </c>
      <c r="T15" s="20">
        <v>46026</v>
      </c>
      <c r="U15" s="1">
        <v>8.5</v>
      </c>
      <c r="V15" s="1">
        <v>80</v>
      </c>
      <c r="W15" s="1">
        <v>4.5</v>
      </c>
      <c r="X15" s="1">
        <v>87.1</v>
      </c>
      <c r="Y15" s="1">
        <v>235.60499999999999</v>
      </c>
      <c r="Z15" s="1">
        <v>1.1617603550295856</v>
      </c>
      <c r="AA15" s="1">
        <v>202.8</v>
      </c>
      <c r="AB15" s="1">
        <v>95.6</v>
      </c>
      <c r="AC15" s="1">
        <v>1951</v>
      </c>
      <c r="AD15" s="1" t="s">
        <v>53</v>
      </c>
      <c r="AE15" s="1">
        <v>1</v>
      </c>
      <c r="AF15" s="1">
        <v>0</v>
      </c>
      <c r="AG15" s="1">
        <v>0</v>
      </c>
      <c r="AH15" s="1">
        <v>1</v>
      </c>
      <c r="AI15" s="1">
        <v>1</v>
      </c>
      <c r="AJ15" s="21" t="s">
        <v>53</v>
      </c>
    </row>
    <row r="16" spans="1:36" x14ac:dyDescent="0.35">
      <c r="A16" s="17">
        <v>34.1</v>
      </c>
      <c r="C16" s="24" t="e">
        <f t="shared" si="8"/>
        <v>#VALUE!</v>
      </c>
      <c r="D16" s="25">
        <f t="shared" si="0"/>
        <v>5</v>
      </c>
      <c r="E16" s="25">
        <f t="shared" si="1"/>
        <v>86.9</v>
      </c>
      <c r="F16" s="26">
        <f t="shared" si="2"/>
        <v>236.79480000000001</v>
      </c>
      <c r="G16" s="26">
        <f t="shared" si="3"/>
        <v>24</v>
      </c>
      <c r="H16" s="26">
        <f t="shared" si="3"/>
        <v>0</v>
      </c>
      <c r="I16" s="26">
        <f t="shared" si="3"/>
        <v>0</v>
      </c>
      <c r="J16" s="27" t="str">
        <f t="shared" si="4"/>
        <v>CO2REMOV</v>
      </c>
      <c r="K16" s="27" t="str">
        <f t="shared" si="5"/>
        <v>PAID</v>
      </c>
      <c r="L16" s="23">
        <f t="shared" si="9"/>
        <v>202.8</v>
      </c>
      <c r="M16" s="27">
        <f t="shared" si="6"/>
        <v>236.79480000000001</v>
      </c>
      <c r="N16" s="22">
        <f t="shared" si="10"/>
        <v>1500000</v>
      </c>
      <c r="O16" s="28" t="str">
        <f t="shared" si="7"/>
        <v/>
      </c>
      <c r="T16" s="20">
        <v>46027</v>
      </c>
      <c r="U16" s="1">
        <v>7.8</v>
      </c>
      <c r="V16" s="1">
        <v>80</v>
      </c>
      <c r="W16" s="1">
        <v>4.5</v>
      </c>
      <c r="X16" s="1">
        <v>86.9</v>
      </c>
      <c r="Y16" s="1">
        <v>236.79480000000001</v>
      </c>
      <c r="Z16" s="1">
        <v>1.1676272189349113</v>
      </c>
      <c r="AA16" s="1">
        <v>202.8</v>
      </c>
      <c r="AB16" s="1">
        <v>95</v>
      </c>
      <c r="AC16" s="1">
        <v>1943</v>
      </c>
      <c r="AD16" s="1" t="s">
        <v>53</v>
      </c>
      <c r="AE16" s="1">
        <v>1</v>
      </c>
      <c r="AF16" s="1">
        <v>0</v>
      </c>
      <c r="AG16" s="1">
        <v>0</v>
      </c>
      <c r="AH16" s="1">
        <v>1</v>
      </c>
      <c r="AI16" s="1">
        <v>1</v>
      </c>
      <c r="AJ16" s="21" t="s">
        <v>53</v>
      </c>
    </row>
    <row r="17" spans="1:36" x14ac:dyDescent="0.35">
      <c r="A17" s="17"/>
      <c r="C17" s="24" t="e">
        <f t="shared" si="8"/>
        <v>#VALUE!</v>
      </c>
      <c r="D17" s="25">
        <f t="shared" si="0"/>
        <v>5</v>
      </c>
      <c r="E17" s="25">
        <f t="shared" si="1"/>
        <v>86.3</v>
      </c>
      <c r="F17" s="26">
        <f t="shared" si="2"/>
        <v>242.0916</v>
      </c>
      <c r="G17" s="26">
        <f t="shared" si="3"/>
        <v>24</v>
      </c>
      <c r="H17" s="26">
        <f t="shared" si="3"/>
        <v>0</v>
      </c>
      <c r="I17" s="26">
        <f t="shared" si="3"/>
        <v>0</v>
      </c>
      <c r="J17" s="27" t="str">
        <f t="shared" si="4"/>
        <v>CO2REMOV</v>
      </c>
      <c r="K17" s="27" t="str">
        <f t="shared" si="5"/>
        <v>PAID</v>
      </c>
      <c r="L17" s="23">
        <f t="shared" si="9"/>
        <v>202.8</v>
      </c>
      <c r="M17" s="27">
        <f t="shared" si="6"/>
        <v>242.0916</v>
      </c>
      <c r="N17" s="22">
        <f t="shared" si="10"/>
        <v>1500000</v>
      </c>
      <c r="O17" s="28" t="str">
        <f t="shared" si="7"/>
        <v/>
      </c>
      <c r="T17" s="20">
        <v>46028</v>
      </c>
      <c r="U17" s="1">
        <v>8</v>
      </c>
      <c r="V17" s="1">
        <v>80</v>
      </c>
      <c r="W17" s="1">
        <v>5.2</v>
      </c>
      <c r="X17" s="1">
        <v>86.3</v>
      </c>
      <c r="Y17" s="1">
        <v>242.0916</v>
      </c>
      <c r="Z17" s="1">
        <v>1.1937455621301774</v>
      </c>
      <c r="AA17" s="1">
        <v>202.8</v>
      </c>
      <c r="AB17" s="1">
        <v>96.9</v>
      </c>
      <c r="AC17" s="1">
        <v>1944</v>
      </c>
      <c r="AD17" s="1" t="s">
        <v>53</v>
      </c>
      <c r="AE17" s="1">
        <v>1</v>
      </c>
      <c r="AF17" s="1">
        <v>0</v>
      </c>
      <c r="AG17" s="1">
        <v>0</v>
      </c>
      <c r="AH17" s="1">
        <v>1</v>
      </c>
      <c r="AI17" s="1">
        <v>1</v>
      </c>
      <c r="AJ17" s="21" t="s">
        <v>53</v>
      </c>
    </row>
    <row r="18" spans="1:36" x14ac:dyDescent="0.35">
      <c r="A18" s="17"/>
      <c r="C18" s="24" t="e">
        <f t="shared" si="8"/>
        <v>#VALUE!</v>
      </c>
      <c r="D18" s="25">
        <f t="shared" si="0"/>
        <v>5</v>
      </c>
      <c r="E18" s="25">
        <f t="shared" si="1"/>
        <v>86</v>
      </c>
      <c r="F18" s="26">
        <f t="shared" si="2"/>
        <v>243.33250000000001</v>
      </c>
      <c r="G18" s="26">
        <f t="shared" si="3"/>
        <v>24</v>
      </c>
      <c r="H18" s="26">
        <f t="shared" si="3"/>
        <v>0</v>
      </c>
      <c r="I18" s="26">
        <f t="shared" si="3"/>
        <v>0</v>
      </c>
      <c r="J18" s="27" t="str">
        <f t="shared" si="4"/>
        <v>CO2REMOV</v>
      </c>
      <c r="K18" s="27" t="str">
        <f>IF(H18=24,"PAID",IF(E18&gt;=$E$6,"PAID","UNPAID"))</f>
        <v>PAID</v>
      </c>
      <c r="L18" s="23">
        <f t="shared" si="9"/>
        <v>202.8</v>
      </c>
      <c r="M18" s="27">
        <f t="shared" si="6"/>
        <v>243.33250000000001</v>
      </c>
      <c r="N18" s="22">
        <f t="shared" si="10"/>
        <v>1500000</v>
      </c>
      <c r="O18" s="28" t="str">
        <f t="shared" si="7"/>
        <v/>
      </c>
      <c r="T18" s="20">
        <v>46029</v>
      </c>
      <c r="U18" s="1">
        <v>8.1</v>
      </c>
      <c r="V18" s="1">
        <v>80</v>
      </c>
      <c r="W18" s="1">
        <v>5.2</v>
      </c>
      <c r="X18" s="1">
        <v>86</v>
      </c>
      <c r="Y18" s="1">
        <v>243.33250000000001</v>
      </c>
      <c r="Z18" s="1">
        <v>1.1998643984220907</v>
      </c>
      <c r="AA18" s="1">
        <v>202.8</v>
      </c>
      <c r="AB18" s="1">
        <v>96.5</v>
      </c>
      <c r="AC18" s="1">
        <v>1946</v>
      </c>
      <c r="AD18" s="1" t="s">
        <v>53</v>
      </c>
      <c r="AE18" s="1">
        <v>1</v>
      </c>
      <c r="AF18" s="1">
        <v>0</v>
      </c>
      <c r="AG18" s="1">
        <v>0</v>
      </c>
      <c r="AH18" s="1">
        <v>1</v>
      </c>
      <c r="AI18" s="1">
        <v>1</v>
      </c>
      <c r="AJ18" s="21" t="s">
        <v>53</v>
      </c>
    </row>
    <row r="19" spans="1:36" x14ac:dyDescent="0.35">
      <c r="A19" s="17"/>
      <c r="C19" s="24" t="e">
        <f t="shared" si="8"/>
        <v>#VALUE!</v>
      </c>
      <c r="D19" s="25">
        <f t="shared" si="0"/>
        <v>7</v>
      </c>
      <c r="E19" s="25">
        <f t="shared" si="1"/>
        <v>84.1</v>
      </c>
      <c r="F19" s="26">
        <f t="shared" si="2"/>
        <v>256.31630000000001</v>
      </c>
      <c r="G19" s="26">
        <f t="shared" si="3"/>
        <v>24</v>
      </c>
      <c r="H19" s="26">
        <f t="shared" si="3"/>
        <v>0</v>
      </c>
      <c r="I19" s="26">
        <f t="shared" si="3"/>
        <v>0</v>
      </c>
      <c r="J19" s="27" t="str">
        <f t="shared" si="4"/>
        <v>CO2REMOV</v>
      </c>
      <c r="K19" s="27" t="str">
        <f>IF(H19=24,"PAID",IF(E19&gt;=$E$6,"PAID","UNPAID"))</f>
        <v>PAID</v>
      </c>
      <c r="L19" s="23">
        <f>IF(K19="PAID",AA19,0)</f>
        <v>231.9</v>
      </c>
      <c r="M19" s="27">
        <f>F19</f>
        <v>256.31630000000001</v>
      </c>
      <c r="N19" s="22">
        <f t="shared" si="10"/>
        <v>1500000</v>
      </c>
      <c r="O19" s="28" t="str">
        <f t="shared" si="7"/>
        <v/>
      </c>
      <c r="T19" s="20">
        <v>46030</v>
      </c>
      <c r="U19" s="1">
        <v>10.3</v>
      </c>
      <c r="V19" s="1">
        <v>77.900000000000006</v>
      </c>
      <c r="W19" s="1">
        <v>6.7</v>
      </c>
      <c r="X19" s="1">
        <v>84.1</v>
      </c>
      <c r="Y19" s="1">
        <v>256.31630000000001</v>
      </c>
      <c r="Z19" s="1">
        <v>1.1052880551962052</v>
      </c>
      <c r="AA19" s="1">
        <v>231.9</v>
      </c>
      <c r="AB19" s="1">
        <v>96.9</v>
      </c>
      <c r="AC19" s="1">
        <v>1946</v>
      </c>
      <c r="AD19" s="1" t="s">
        <v>53</v>
      </c>
      <c r="AE19" s="1">
        <v>1</v>
      </c>
      <c r="AF19" s="1">
        <v>0</v>
      </c>
      <c r="AG19" s="1">
        <v>0</v>
      </c>
      <c r="AH19" s="1">
        <v>1</v>
      </c>
      <c r="AI19" s="1">
        <v>1</v>
      </c>
      <c r="AJ19" s="21" t="s">
        <v>53</v>
      </c>
    </row>
    <row r="20" spans="1:36" x14ac:dyDescent="0.35">
      <c r="A20" s="17"/>
      <c r="C20" s="24" t="e">
        <f t="shared" si="8"/>
        <v>#VALUE!</v>
      </c>
      <c r="D20" s="25">
        <f t="shared" si="0"/>
        <v>5</v>
      </c>
      <c r="E20" s="25">
        <f t="shared" si="1"/>
        <v>85.6</v>
      </c>
      <c r="F20" s="26">
        <f t="shared" si="2"/>
        <v>257.18</v>
      </c>
      <c r="G20" s="26">
        <f t="shared" si="3"/>
        <v>24</v>
      </c>
      <c r="H20" s="26">
        <f t="shared" si="3"/>
        <v>0</v>
      </c>
      <c r="I20" s="26">
        <f t="shared" si="3"/>
        <v>0</v>
      </c>
      <c r="J20" s="27" t="str">
        <f t="shared" si="4"/>
        <v>CO2REMOV</v>
      </c>
      <c r="K20" s="27" t="str">
        <f t="shared" si="5"/>
        <v>PAID</v>
      </c>
      <c r="L20" s="23">
        <f t="shared" si="9"/>
        <v>202.8</v>
      </c>
      <c r="M20" s="27">
        <f t="shared" si="6"/>
        <v>257.18</v>
      </c>
      <c r="N20" s="22">
        <f t="shared" si="10"/>
        <v>1500000</v>
      </c>
      <c r="O20" s="28" t="str">
        <f t="shared" si="7"/>
        <v/>
      </c>
      <c r="T20" s="20">
        <v>46031</v>
      </c>
      <c r="U20" s="1">
        <v>8.9</v>
      </c>
      <c r="V20" s="1">
        <v>78.8</v>
      </c>
      <c r="W20" s="1">
        <v>5</v>
      </c>
      <c r="X20" s="1">
        <v>85.6</v>
      </c>
      <c r="Y20" s="1">
        <v>257.18</v>
      </c>
      <c r="Z20" s="1">
        <v>1.2681459566074951</v>
      </c>
      <c r="AA20" s="1">
        <v>202.8</v>
      </c>
      <c r="AB20" s="1">
        <v>96</v>
      </c>
      <c r="AC20" s="1">
        <v>1949</v>
      </c>
      <c r="AD20" s="1" t="s">
        <v>53</v>
      </c>
      <c r="AE20" s="1">
        <v>1</v>
      </c>
      <c r="AF20" s="1">
        <v>0</v>
      </c>
      <c r="AG20" s="1">
        <v>0</v>
      </c>
      <c r="AH20" s="1">
        <v>1</v>
      </c>
      <c r="AI20" s="1">
        <v>1</v>
      </c>
      <c r="AJ20" s="21" t="s">
        <v>53</v>
      </c>
    </row>
    <row r="21" spans="1:36" x14ac:dyDescent="0.35">
      <c r="A21" s="17"/>
      <c r="C21" s="24" t="e">
        <f t="shared" si="8"/>
        <v>#VALUE!</v>
      </c>
      <c r="D21" s="25">
        <f t="shared" si="0"/>
        <v>5</v>
      </c>
      <c r="E21" s="25">
        <f t="shared" si="1"/>
        <v>83.9</v>
      </c>
      <c r="F21" s="26">
        <f t="shared" si="2"/>
        <v>247.55680000000001</v>
      </c>
      <c r="G21" s="26">
        <f t="shared" si="3"/>
        <v>23.500000000000007</v>
      </c>
      <c r="H21" s="26">
        <f t="shared" si="3"/>
        <v>0.49999999999999201</v>
      </c>
      <c r="I21" s="26">
        <f t="shared" si="3"/>
        <v>0</v>
      </c>
      <c r="J21" s="27" t="str">
        <f t="shared" si="4"/>
        <v>CO2REMOV</v>
      </c>
      <c r="K21" s="27" t="str">
        <f t="shared" si="5"/>
        <v>PAID</v>
      </c>
      <c r="L21" s="23">
        <f t="shared" si="9"/>
        <v>202.8</v>
      </c>
      <c r="M21" s="27">
        <f t="shared" si="6"/>
        <v>247.55680000000001</v>
      </c>
      <c r="N21" s="22">
        <f t="shared" si="10"/>
        <v>1500000</v>
      </c>
      <c r="O21" s="28" t="str">
        <f t="shared" si="7"/>
        <v>09:40 - 10:10 STBY/ High liquid</v>
      </c>
      <c r="T21" s="20">
        <v>46032</v>
      </c>
      <c r="U21" s="1">
        <v>9</v>
      </c>
      <c r="V21" s="1">
        <v>76.7</v>
      </c>
      <c r="W21" s="1">
        <v>4.8</v>
      </c>
      <c r="X21" s="1">
        <v>83.9</v>
      </c>
      <c r="Y21" s="1">
        <v>247.55680000000001</v>
      </c>
      <c r="Z21" s="1">
        <v>1.2206942800788954</v>
      </c>
      <c r="AA21" s="1">
        <v>202.8</v>
      </c>
      <c r="AB21" s="1">
        <v>95.4</v>
      </c>
      <c r="AC21" s="1">
        <v>1946</v>
      </c>
      <c r="AD21" s="1" t="s">
        <v>53</v>
      </c>
      <c r="AE21" s="1">
        <v>0.97916666666666696</v>
      </c>
      <c r="AF21" s="1">
        <v>2.0833333333332999E-2</v>
      </c>
      <c r="AG21" s="1">
        <v>0</v>
      </c>
      <c r="AH21" s="1">
        <v>1</v>
      </c>
      <c r="AI21" s="1">
        <v>0.97916666666666696</v>
      </c>
      <c r="AJ21" s="21" t="s">
        <v>56</v>
      </c>
    </row>
    <row r="22" spans="1:36" x14ac:dyDescent="0.35">
      <c r="A22" s="17"/>
      <c r="C22" s="24" t="e">
        <f t="shared" si="8"/>
        <v>#VALUE!</v>
      </c>
      <c r="D22" s="25">
        <f t="shared" si="0"/>
        <v>6</v>
      </c>
      <c r="E22" s="25">
        <f t="shared" si="1"/>
        <v>84.8</v>
      </c>
      <c r="F22" s="26">
        <f t="shared" si="2"/>
        <v>258.62849999999997</v>
      </c>
      <c r="G22" s="26">
        <f t="shared" si="3"/>
        <v>24</v>
      </c>
      <c r="H22" s="26">
        <f t="shared" si="3"/>
        <v>0</v>
      </c>
      <c r="I22" s="26">
        <f t="shared" si="3"/>
        <v>0</v>
      </c>
      <c r="J22" s="27" t="str">
        <f t="shared" si="4"/>
        <v>CO2REMOV</v>
      </c>
      <c r="K22" s="27" t="str">
        <f t="shared" si="5"/>
        <v>PAID</v>
      </c>
      <c r="L22" s="23">
        <f t="shared" si="9"/>
        <v>217.3</v>
      </c>
      <c r="M22" s="27">
        <f t="shared" si="6"/>
        <v>258.62849999999997</v>
      </c>
      <c r="N22" s="22">
        <f t="shared" si="10"/>
        <v>1500000</v>
      </c>
      <c r="O22" s="28" t="str">
        <f t="shared" si="7"/>
        <v/>
      </c>
      <c r="T22" s="20">
        <v>46033</v>
      </c>
      <c r="U22" s="1">
        <v>11.1</v>
      </c>
      <c r="V22" s="1">
        <v>77.5</v>
      </c>
      <c r="W22" s="1">
        <v>5.7</v>
      </c>
      <c r="X22" s="1">
        <v>84.8</v>
      </c>
      <c r="Y22" s="1">
        <v>258.62849999999997</v>
      </c>
      <c r="Z22" s="1">
        <v>1.1901909802116888</v>
      </c>
      <c r="AA22" s="1">
        <v>217.3</v>
      </c>
      <c r="AB22" s="1">
        <v>90.2</v>
      </c>
      <c r="AC22" s="1">
        <v>1942</v>
      </c>
      <c r="AD22" s="1" t="s">
        <v>53</v>
      </c>
      <c r="AE22" s="1">
        <v>1</v>
      </c>
      <c r="AF22" s="1">
        <v>0</v>
      </c>
      <c r="AG22" s="1">
        <v>0</v>
      </c>
      <c r="AH22" s="1">
        <v>1</v>
      </c>
      <c r="AI22" s="1">
        <v>1</v>
      </c>
      <c r="AJ22" s="21" t="s">
        <v>53</v>
      </c>
    </row>
    <row r="23" spans="1:36" x14ac:dyDescent="0.35">
      <c r="A23" s="17"/>
      <c r="C23" s="24" t="e">
        <f t="shared" si="8"/>
        <v>#VALUE!</v>
      </c>
      <c r="D23" s="25">
        <f t="shared" si="0"/>
        <v>5</v>
      </c>
      <c r="E23" s="25">
        <f t="shared" si="1"/>
        <v>82.9</v>
      </c>
      <c r="F23" s="26">
        <f t="shared" si="2"/>
        <v>243.08940000000001</v>
      </c>
      <c r="G23" s="26">
        <f t="shared" si="3"/>
        <v>24</v>
      </c>
      <c r="H23" s="26">
        <f t="shared" si="3"/>
        <v>0</v>
      </c>
      <c r="I23" s="26">
        <f t="shared" si="3"/>
        <v>0</v>
      </c>
      <c r="J23" s="27" t="str">
        <f t="shared" si="4"/>
        <v>CO2REMOV</v>
      </c>
      <c r="K23" s="27" t="str">
        <f t="shared" si="5"/>
        <v>PAID</v>
      </c>
      <c r="L23" s="23">
        <f t="shared" si="9"/>
        <v>202.8</v>
      </c>
      <c r="M23" s="27">
        <f t="shared" si="6"/>
        <v>243.08940000000001</v>
      </c>
      <c r="N23" s="22">
        <f t="shared" si="10"/>
        <v>1500000</v>
      </c>
      <c r="O23" s="28" t="str">
        <f t="shared" si="7"/>
        <v/>
      </c>
      <c r="T23" s="20">
        <v>46034</v>
      </c>
      <c r="U23" s="1">
        <v>10.6</v>
      </c>
      <c r="V23" s="1">
        <v>75.599999999999994</v>
      </c>
      <c r="W23" s="1">
        <v>4.7</v>
      </c>
      <c r="X23" s="1">
        <v>82.9</v>
      </c>
      <c r="Y23" s="1">
        <v>243.08940000000001</v>
      </c>
      <c r="Z23" s="1">
        <v>1.1986656804733729</v>
      </c>
      <c r="AA23" s="1">
        <v>202.8</v>
      </c>
      <c r="AB23" s="1">
        <v>89.4</v>
      </c>
      <c r="AC23" s="1">
        <v>1946</v>
      </c>
      <c r="AD23" s="1" t="s">
        <v>53</v>
      </c>
      <c r="AE23" s="1">
        <v>1</v>
      </c>
      <c r="AF23" s="1">
        <v>0</v>
      </c>
      <c r="AG23" s="1">
        <v>0</v>
      </c>
      <c r="AH23" s="1">
        <v>1</v>
      </c>
      <c r="AI23" s="1">
        <v>1</v>
      </c>
      <c r="AJ23" s="21" t="s">
        <v>53</v>
      </c>
    </row>
    <row r="24" spans="1:36" x14ac:dyDescent="0.35">
      <c r="A24" s="17"/>
      <c r="C24" s="24" t="e">
        <f t="shared" si="8"/>
        <v>#VALUE!</v>
      </c>
      <c r="D24" s="25">
        <f t="shared" si="0"/>
        <v>4</v>
      </c>
      <c r="E24" s="25">
        <f t="shared" si="1"/>
        <v>74.400000000000006</v>
      </c>
      <c r="F24" s="26">
        <f t="shared" si="2"/>
        <v>225.90029999999999</v>
      </c>
      <c r="G24" s="26">
        <f t="shared" si="3"/>
        <v>24</v>
      </c>
      <c r="H24" s="26">
        <f t="shared" si="3"/>
        <v>0</v>
      </c>
      <c r="I24" s="26">
        <f t="shared" si="3"/>
        <v>0</v>
      </c>
      <c r="J24" s="27" t="str">
        <f t="shared" si="4"/>
        <v>CO2REMOV</v>
      </c>
      <c r="K24" s="27" t="str">
        <f t="shared" si="5"/>
        <v>PAID</v>
      </c>
      <c r="L24" s="23">
        <f t="shared" si="9"/>
        <v>188.2</v>
      </c>
      <c r="M24" s="27">
        <f t="shared" si="6"/>
        <v>225.90029999999999</v>
      </c>
      <c r="N24" s="22">
        <f t="shared" si="10"/>
        <v>1500000</v>
      </c>
      <c r="O24" s="28" t="str">
        <f t="shared" si="7"/>
        <v/>
      </c>
      <c r="T24" s="20">
        <v>46035</v>
      </c>
      <c r="U24" s="1">
        <v>8.8000000000000007</v>
      </c>
      <c r="V24" s="1">
        <v>67.3</v>
      </c>
      <c r="W24" s="1">
        <v>4.0999999999999996</v>
      </c>
      <c r="X24" s="1">
        <v>74.400000000000006</v>
      </c>
      <c r="Y24" s="1">
        <v>225.90029999999999</v>
      </c>
      <c r="Z24" s="1">
        <v>1.2003204038257174</v>
      </c>
      <c r="AA24" s="1">
        <v>188.2</v>
      </c>
      <c r="AB24" s="1">
        <v>92.7</v>
      </c>
      <c r="AC24" s="1">
        <v>1948</v>
      </c>
      <c r="AD24" s="1" t="s">
        <v>53</v>
      </c>
      <c r="AE24" s="1">
        <v>1</v>
      </c>
      <c r="AF24" s="1">
        <v>0</v>
      </c>
      <c r="AG24" s="1">
        <v>0</v>
      </c>
      <c r="AH24" s="1">
        <v>1</v>
      </c>
      <c r="AI24" s="1">
        <v>1</v>
      </c>
      <c r="AJ24" s="21" t="s">
        <v>53</v>
      </c>
    </row>
    <row r="25" spans="1:36" x14ac:dyDescent="0.35">
      <c r="A25" s="17"/>
      <c r="C25" s="24" t="e">
        <f t="shared" si="8"/>
        <v>#VALUE!</v>
      </c>
      <c r="D25" s="25">
        <f t="shared" si="0"/>
        <v>4</v>
      </c>
      <c r="E25" s="25">
        <f t="shared" si="1"/>
        <v>78.900000000000006</v>
      </c>
      <c r="F25" s="26">
        <f t="shared" si="2"/>
        <v>229.28489999999999</v>
      </c>
      <c r="G25" s="26">
        <f t="shared" si="3"/>
        <v>24</v>
      </c>
      <c r="H25" s="26">
        <f t="shared" si="3"/>
        <v>0</v>
      </c>
      <c r="I25" s="26">
        <f t="shared" si="3"/>
        <v>0</v>
      </c>
      <c r="J25" s="27" t="str">
        <f t="shared" si="4"/>
        <v>CO2REMOV</v>
      </c>
      <c r="K25" s="27" t="str">
        <f t="shared" si="5"/>
        <v>PAID</v>
      </c>
      <c r="L25" s="23">
        <f t="shared" si="9"/>
        <v>188.2</v>
      </c>
      <c r="M25" s="27">
        <f t="shared" si="6"/>
        <v>229.28489999999999</v>
      </c>
      <c r="N25" s="22">
        <f t="shared" si="10"/>
        <v>1500000</v>
      </c>
      <c r="O25" s="28" t="str">
        <f t="shared" si="7"/>
        <v/>
      </c>
      <c r="T25" s="20">
        <v>46036</v>
      </c>
      <c r="U25" s="1">
        <v>8</v>
      </c>
      <c r="V25" s="1">
        <v>71.7</v>
      </c>
      <c r="W25" s="1">
        <v>3.9</v>
      </c>
      <c r="X25" s="1">
        <v>78.900000000000006</v>
      </c>
      <c r="Y25" s="1">
        <v>229.28489999999999</v>
      </c>
      <c r="Z25" s="1">
        <v>1.2183044633368758</v>
      </c>
      <c r="AA25" s="1">
        <v>188.2</v>
      </c>
      <c r="AB25" s="1">
        <v>93.3</v>
      </c>
      <c r="AC25" s="1">
        <v>1950</v>
      </c>
      <c r="AD25" s="1" t="s">
        <v>53</v>
      </c>
      <c r="AE25" s="1">
        <v>1</v>
      </c>
      <c r="AF25" s="1">
        <v>0</v>
      </c>
      <c r="AG25" s="1">
        <v>0</v>
      </c>
      <c r="AH25" s="1">
        <v>1</v>
      </c>
      <c r="AI25" s="1">
        <v>1</v>
      </c>
      <c r="AJ25" s="21" t="s">
        <v>53</v>
      </c>
    </row>
    <row r="26" spans="1:36" x14ac:dyDescent="0.35">
      <c r="A26" s="17"/>
      <c r="C26" s="24" t="e">
        <f t="shared" si="8"/>
        <v>#VALUE!</v>
      </c>
      <c r="D26" s="25">
        <f t="shared" si="0"/>
        <v>4</v>
      </c>
      <c r="E26" s="25">
        <f t="shared" si="1"/>
        <v>72.400000000000006</v>
      </c>
      <c r="F26" s="26">
        <f t="shared" si="2"/>
        <v>229.81950000000001</v>
      </c>
      <c r="G26" s="26">
        <f t="shared" si="3"/>
        <v>24</v>
      </c>
      <c r="H26" s="26">
        <f t="shared" si="3"/>
        <v>0</v>
      </c>
      <c r="I26" s="26">
        <f t="shared" si="3"/>
        <v>0</v>
      </c>
      <c r="J26" s="27" t="str">
        <f t="shared" si="4"/>
        <v>CO2REMOV</v>
      </c>
      <c r="K26" s="27" t="str">
        <f t="shared" si="5"/>
        <v>PAID</v>
      </c>
      <c r="L26" s="23">
        <f t="shared" si="9"/>
        <v>188.2</v>
      </c>
      <c r="M26" s="27">
        <f t="shared" si="6"/>
        <v>229.81950000000001</v>
      </c>
      <c r="N26" s="22">
        <f t="shared" si="10"/>
        <v>1500000</v>
      </c>
      <c r="O26" s="28" t="str">
        <f t="shared" si="7"/>
        <v/>
      </c>
      <c r="T26" s="20">
        <v>46037</v>
      </c>
      <c r="U26" s="1">
        <v>7.9</v>
      </c>
      <c r="V26" s="1">
        <v>65</v>
      </c>
      <c r="W26" s="1">
        <v>3.7</v>
      </c>
      <c r="X26" s="1">
        <v>72.400000000000006</v>
      </c>
      <c r="Y26" s="1">
        <v>229.81950000000001</v>
      </c>
      <c r="Z26" s="1">
        <v>1.2211450584484591</v>
      </c>
      <c r="AA26" s="1">
        <v>188.2</v>
      </c>
      <c r="AB26" s="1">
        <v>96.7</v>
      </c>
      <c r="AC26" s="1">
        <v>1952</v>
      </c>
      <c r="AD26" s="1" t="s">
        <v>53</v>
      </c>
      <c r="AE26" s="1">
        <v>1</v>
      </c>
      <c r="AF26" s="1">
        <v>0</v>
      </c>
      <c r="AG26" s="1">
        <v>0</v>
      </c>
      <c r="AH26" s="1">
        <v>1</v>
      </c>
      <c r="AI26" s="1">
        <v>1</v>
      </c>
      <c r="AJ26" s="21" t="s">
        <v>53</v>
      </c>
    </row>
    <row r="27" spans="1:36" x14ac:dyDescent="0.35">
      <c r="A27" s="17"/>
      <c r="C27" s="24" t="e">
        <f t="shared" si="8"/>
        <v>#VALUE!</v>
      </c>
      <c r="D27" s="25">
        <f t="shared" si="0"/>
        <v>5</v>
      </c>
      <c r="E27" s="25">
        <f t="shared" si="1"/>
        <v>80.900000000000006</v>
      </c>
      <c r="F27" s="26">
        <f t="shared" si="2"/>
        <v>198.9659</v>
      </c>
      <c r="G27" s="26">
        <f t="shared" si="3"/>
        <v>19.999999999999993</v>
      </c>
      <c r="H27" s="26">
        <f t="shared" si="3"/>
        <v>4.000000000000008</v>
      </c>
      <c r="I27" s="26">
        <f t="shared" si="3"/>
        <v>0</v>
      </c>
      <c r="J27" s="27" t="str">
        <f t="shared" si="4"/>
        <v>CO2REMOV</v>
      </c>
      <c r="K27" s="27" t="str">
        <f t="shared" si="5"/>
        <v>PAID</v>
      </c>
      <c r="L27" s="23">
        <f t="shared" si="9"/>
        <v>202.8</v>
      </c>
      <c r="M27" s="27">
        <f t="shared" si="6"/>
        <v>198.9659</v>
      </c>
      <c r="N27" s="22">
        <f t="shared" si="10"/>
        <v>1500000</v>
      </c>
      <c r="O27" s="28" t="str">
        <f t="shared" si="7"/>
        <v>07:00 - 11:00 STBY/ PM 1000 hrs</v>
      </c>
      <c r="T27" s="20">
        <v>46038</v>
      </c>
      <c r="U27" s="1">
        <v>9.5</v>
      </c>
      <c r="V27" s="1">
        <v>73.3</v>
      </c>
      <c r="W27" s="1">
        <v>4.5999999999999996</v>
      </c>
      <c r="X27" s="1">
        <v>80.900000000000006</v>
      </c>
      <c r="Y27" s="1">
        <v>198.9659</v>
      </c>
      <c r="Z27" s="1">
        <v>0.98109418145956606</v>
      </c>
      <c r="AA27" s="1">
        <v>202.8</v>
      </c>
      <c r="AB27" s="1">
        <v>91.3</v>
      </c>
      <c r="AC27" s="1">
        <v>1909</v>
      </c>
      <c r="AD27" s="1" t="s">
        <v>53</v>
      </c>
      <c r="AE27" s="1">
        <v>0.83333333333333304</v>
      </c>
      <c r="AF27" s="1">
        <v>0.16666666666666699</v>
      </c>
      <c r="AG27" s="1">
        <v>0</v>
      </c>
      <c r="AH27" s="1">
        <v>1</v>
      </c>
      <c r="AI27" s="1">
        <v>0.83333333333333304</v>
      </c>
      <c r="AJ27" s="21" t="s">
        <v>57</v>
      </c>
    </row>
    <row r="28" spans="1:36" x14ac:dyDescent="0.35">
      <c r="A28" s="17"/>
      <c r="C28" s="24" t="e">
        <f t="shared" si="8"/>
        <v>#VALUE!</v>
      </c>
      <c r="D28" s="25">
        <f t="shared" si="0"/>
        <v>4</v>
      </c>
      <c r="E28" s="25">
        <f t="shared" si="1"/>
        <v>83.1</v>
      </c>
      <c r="F28" s="26">
        <f t="shared" si="2"/>
        <v>235.43049999999999</v>
      </c>
      <c r="G28" s="26">
        <f t="shared" si="3"/>
        <v>24</v>
      </c>
      <c r="H28" s="26">
        <f t="shared" si="3"/>
        <v>0</v>
      </c>
      <c r="I28" s="26">
        <f t="shared" si="3"/>
        <v>0</v>
      </c>
      <c r="J28" s="27" t="str">
        <f t="shared" si="4"/>
        <v>CO2REMOV</v>
      </c>
      <c r="K28" s="27" t="str">
        <f t="shared" si="5"/>
        <v>PAID</v>
      </c>
      <c r="L28" s="23">
        <f t="shared" si="9"/>
        <v>188.2</v>
      </c>
      <c r="M28" s="27">
        <f t="shared" si="6"/>
        <v>235.43049999999999</v>
      </c>
      <c r="N28" s="22">
        <f t="shared" si="10"/>
        <v>1500000</v>
      </c>
      <c r="O28" s="28" t="str">
        <f t="shared" si="7"/>
        <v/>
      </c>
      <c r="T28" s="20">
        <v>46039</v>
      </c>
      <c r="U28" s="1">
        <v>8.5</v>
      </c>
      <c r="V28" s="1">
        <v>75</v>
      </c>
      <c r="W28" s="1">
        <v>4.3</v>
      </c>
      <c r="X28" s="1">
        <v>83.1</v>
      </c>
      <c r="Y28" s="1">
        <v>235.43049999999999</v>
      </c>
      <c r="Z28" s="1">
        <v>1.2509590860786397</v>
      </c>
      <c r="AA28" s="1">
        <v>188.2</v>
      </c>
      <c r="AB28" s="1">
        <v>95</v>
      </c>
      <c r="AC28" s="1">
        <v>1919</v>
      </c>
      <c r="AD28" s="1" t="s">
        <v>53</v>
      </c>
      <c r="AE28" s="1">
        <v>1</v>
      </c>
      <c r="AF28" s="1">
        <v>0</v>
      </c>
      <c r="AG28" s="1">
        <v>0</v>
      </c>
      <c r="AH28" s="1">
        <v>1</v>
      </c>
      <c r="AI28" s="1">
        <v>1</v>
      </c>
      <c r="AJ28" s="21" t="s">
        <v>53</v>
      </c>
    </row>
    <row r="29" spans="1:36" x14ac:dyDescent="0.35">
      <c r="A29" s="17"/>
      <c r="C29" s="24" t="e">
        <f t="shared" si="8"/>
        <v>#VALUE!</v>
      </c>
      <c r="D29" s="25">
        <f t="shared" si="0"/>
        <v>6</v>
      </c>
      <c r="E29" s="25">
        <f t="shared" si="1"/>
        <v>83.1</v>
      </c>
      <c r="F29" s="26">
        <f t="shared" si="2"/>
        <v>245.3595</v>
      </c>
      <c r="G29" s="26">
        <f t="shared" si="3"/>
        <v>24</v>
      </c>
      <c r="H29" s="26">
        <f t="shared" si="3"/>
        <v>0</v>
      </c>
      <c r="I29" s="26">
        <f t="shared" si="3"/>
        <v>0</v>
      </c>
      <c r="J29" s="27" t="str">
        <f t="shared" si="4"/>
        <v>CO2REMOV</v>
      </c>
      <c r="K29" s="27" t="str">
        <f t="shared" si="5"/>
        <v>PAID</v>
      </c>
      <c r="L29" s="23">
        <f t="shared" si="9"/>
        <v>217.3</v>
      </c>
      <c r="M29" s="27">
        <f t="shared" si="6"/>
        <v>245.3595</v>
      </c>
      <c r="N29" s="22">
        <f t="shared" si="10"/>
        <v>1500000</v>
      </c>
      <c r="O29" s="28" t="str">
        <f t="shared" si="7"/>
        <v/>
      </c>
      <c r="T29" s="20">
        <v>46040</v>
      </c>
      <c r="U29" s="1">
        <v>10.5</v>
      </c>
      <c r="V29" s="1">
        <v>75</v>
      </c>
      <c r="W29" s="1">
        <v>5.8</v>
      </c>
      <c r="X29" s="1">
        <v>83.1</v>
      </c>
      <c r="Y29" s="1">
        <v>245.3595</v>
      </c>
      <c r="Z29" s="1">
        <v>1.1291279337321674</v>
      </c>
      <c r="AA29" s="1">
        <v>217.3</v>
      </c>
      <c r="AB29" s="1">
        <v>94</v>
      </c>
      <c r="AC29" s="1">
        <v>1945</v>
      </c>
      <c r="AD29" s="1" t="s">
        <v>53</v>
      </c>
      <c r="AE29" s="1">
        <v>1</v>
      </c>
      <c r="AF29" s="1">
        <v>0</v>
      </c>
      <c r="AG29" s="1">
        <v>0</v>
      </c>
      <c r="AH29" s="1">
        <v>1</v>
      </c>
      <c r="AI29" s="1">
        <v>1</v>
      </c>
      <c r="AJ29" s="21" t="s">
        <v>53</v>
      </c>
    </row>
    <row r="30" spans="1:36" x14ac:dyDescent="0.35">
      <c r="A30" s="17"/>
      <c r="C30" s="24" t="e">
        <f t="shared" si="8"/>
        <v>#VALUE!</v>
      </c>
      <c r="D30" s="25">
        <f t="shared" si="0"/>
        <v>4</v>
      </c>
      <c r="E30" s="25">
        <f t="shared" si="1"/>
        <v>84.8</v>
      </c>
      <c r="F30" s="26">
        <f t="shared" si="2"/>
        <v>236.06190000000001</v>
      </c>
      <c r="G30" s="26">
        <f t="shared" si="3"/>
        <v>24</v>
      </c>
      <c r="H30" s="26">
        <f t="shared" si="3"/>
        <v>0</v>
      </c>
      <c r="I30" s="26">
        <f t="shared" si="3"/>
        <v>0</v>
      </c>
      <c r="J30" s="27" t="str">
        <f t="shared" si="4"/>
        <v>CO2REMOV</v>
      </c>
      <c r="K30" s="27" t="str">
        <f t="shared" si="5"/>
        <v>PAID</v>
      </c>
      <c r="L30" s="23">
        <f t="shared" si="9"/>
        <v>188.2</v>
      </c>
      <c r="M30" s="27">
        <f t="shared" si="6"/>
        <v>236.06190000000001</v>
      </c>
      <c r="N30" s="22">
        <f t="shared" si="10"/>
        <v>1500000</v>
      </c>
      <c r="O30" s="28" t="str">
        <f t="shared" si="7"/>
        <v/>
      </c>
      <c r="T30" s="20">
        <v>46041</v>
      </c>
      <c r="U30" s="1">
        <v>9</v>
      </c>
      <c r="V30" s="1">
        <v>76.7</v>
      </c>
      <c r="W30" s="1">
        <v>4.3</v>
      </c>
      <c r="X30" s="1">
        <v>84.8</v>
      </c>
      <c r="Y30" s="1">
        <v>236.06190000000001</v>
      </c>
      <c r="Z30" s="1">
        <v>1.2543140276301807</v>
      </c>
      <c r="AA30" s="1">
        <v>188.2</v>
      </c>
      <c r="AB30" s="1">
        <v>95</v>
      </c>
      <c r="AC30" s="1">
        <v>1940</v>
      </c>
      <c r="AD30" s="1" t="s">
        <v>53</v>
      </c>
      <c r="AE30" s="1">
        <v>1</v>
      </c>
      <c r="AF30" s="1">
        <v>0</v>
      </c>
      <c r="AG30" s="1">
        <v>0</v>
      </c>
      <c r="AH30" s="1">
        <v>1</v>
      </c>
      <c r="AI30" s="1">
        <v>1</v>
      </c>
      <c r="AJ30" s="21" t="s">
        <v>53</v>
      </c>
    </row>
    <row r="31" spans="1:36" x14ac:dyDescent="0.35">
      <c r="A31" s="17"/>
      <c r="C31" s="24" t="e">
        <f t="shared" si="8"/>
        <v>#VALUE!</v>
      </c>
      <c r="D31" s="25">
        <f t="shared" si="0"/>
        <v>5</v>
      </c>
      <c r="E31" s="25">
        <f t="shared" si="1"/>
        <v>78.7</v>
      </c>
      <c r="F31" s="26">
        <f t="shared" si="2"/>
        <v>241.04750000000001</v>
      </c>
      <c r="G31" s="26">
        <f t="shared" si="3"/>
        <v>24</v>
      </c>
      <c r="H31" s="26">
        <f t="shared" si="3"/>
        <v>0</v>
      </c>
      <c r="I31" s="26">
        <f t="shared" si="3"/>
        <v>0</v>
      </c>
      <c r="J31" s="27" t="str">
        <f t="shared" si="4"/>
        <v>CO2REMOV</v>
      </c>
      <c r="K31" s="27" t="str">
        <f t="shared" si="5"/>
        <v>PAID</v>
      </c>
      <c r="L31" s="23">
        <f t="shared" si="9"/>
        <v>202.8</v>
      </c>
      <c r="M31" s="27">
        <f t="shared" si="6"/>
        <v>241.04750000000001</v>
      </c>
      <c r="N31" s="22">
        <f t="shared" si="10"/>
        <v>1500000</v>
      </c>
      <c r="O31" s="28" t="str">
        <f t="shared" si="7"/>
        <v/>
      </c>
      <c r="T31" s="20">
        <v>46042</v>
      </c>
      <c r="U31" s="1">
        <v>9.9</v>
      </c>
      <c r="V31" s="1">
        <v>70.599999999999994</v>
      </c>
      <c r="W31" s="1">
        <v>5.3</v>
      </c>
      <c r="X31" s="1">
        <v>78.7</v>
      </c>
      <c r="Y31" s="1">
        <v>241.04750000000001</v>
      </c>
      <c r="Z31" s="1">
        <v>1.1885971400394477</v>
      </c>
      <c r="AA31" s="1">
        <v>202.8</v>
      </c>
      <c r="AB31" s="1">
        <v>95.8</v>
      </c>
      <c r="AC31" s="1">
        <v>1952</v>
      </c>
      <c r="AD31" s="1" t="s">
        <v>53</v>
      </c>
      <c r="AE31" s="1">
        <v>1</v>
      </c>
      <c r="AF31" s="1">
        <v>0</v>
      </c>
      <c r="AG31" s="1">
        <v>0</v>
      </c>
      <c r="AH31" s="1">
        <v>1</v>
      </c>
      <c r="AI31" s="1">
        <v>1</v>
      </c>
      <c r="AJ31" s="21" t="s">
        <v>53</v>
      </c>
    </row>
    <row r="32" spans="1:36" x14ac:dyDescent="0.35">
      <c r="A32" s="17">
        <v>35.1</v>
      </c>
      <c r="C32" s="24" t="e">
        <f t="shared" si="8"/>
        <v>#VALUE!</v>
      </c>
      <c r="D32" s="25">
        <f t="shared" si="0"/>
        <v>5</v>
      </c>
      <c r="E32" s="25">
        <f t="shared" si="1"/>
        <v>73.099999999999994</v>
      </c>
      <c r="F32" s="26">
        <f t="shared" si="2"/>
        <v>233.35380000000001</v>
      </c>
      <c r="G32" s="26">
        <f t="shared" si="3"/>
        <v>24</v>
      </c>
      <c r="H32" s="26">
        <f t="shared" si="3"/>
        <v>0</v>
      </c>
      <c r="I32" s="26">
        <f t="shared" si="3"/>
        <v>0</v>
      </c>
      <c r="J32" s="27" t="str">
        <f t="shared" si="4"/>
        <v>CO2REMOV</v>
      </c>
      <c r="K32" s="27" t="str">
        <f t="shared" si="5"/>
        <v>PAID</v>
      </c>
      <c r="L32" s="23">
        <f t="shared" si="9"/>
        <v>202.8</v>
      </c>
      <c r="M32" s="27">
        <f t="shared" si="6"/>
        <v>233.35380000000001</v>
      </c>
      <c r="N32" s="22">
        <f t="shared" si="10"/>
        <v>1500000</v>
      </c>
      <c r="O32" s="28" t="str">
        <f t="shared" si="7"/>
        <v/>
      </c>
      <c r="T32" s="20">
        <v>46043</v>
      </c>
      <c r="U32" s="1">
        <v>9.4</v>
      </c>
      <c r="V32" s="1">
        <v>65</v>
      </c>
      <c r="W32" s="1">
        <v>5</v>
      </c>
      <c r="X32" s="1">
        <v>73.099999999999994</v>
      </c>
      <c r="Y32" s="1">
        <v>233.35380000000001</v>
      </c>
      <c r="Z32" s="1">
        <v>1.1506597633136095</v>
      </c>
      <c r="AA32" s="1">
        <v>202.8</v>
      </c>
      <c r="AB32" s="1">
        <v>96.9</v>
      </c>
      <c r="AC32" s="1">
        <v>1948</v>
      </c>
      <c r="AD32" s="1" t="s">
        <v>53</v>
      </c>
      <c r="AE32" s="1">
        <v>1</v>
      </c>
      <c r="AF32" s="1">
        <v>0</v>
      </c>
      <c r="AG32" s="1">
        <v>0</v>
      </c>
      <c r="AH32" s="1">
        <v>1</v>
      </c>
      <c r="AI32" s="1">
        <v>1</v>
      </c>
      <c r="AJ32" s="21" t="s">
        <v>53</v>
      </c>
    </row>
    <row r="33" spans="1:36" x14ac:dyDescent="0.35">
      <c r="A33" s="17">
        <v>35.799999999999997</v>
      </c>
      <c r="C33" s="24" t="e">
        <f t="shared" si="8"/>
        <v>#VALUE!</v>
      </c>
      <c r="D33" s="25">
        <f t="shared" si="0"/>
        <v>5</v>
      </c>
      <c r="E33" s="25">
        <f t="shared" si="1"/>
        <v>70.8</v>
      </c>
      <c r="F33" s="26">
        <f t="shared" si="2"/>
        <v>215.8021</v>
      </c>
      <c r="G33" s="26">
        <f t="shared" si="3"/>
        <v>22.999999999999993</v>
      </c>
      <c r="H33" s="26">
        <f t="shared" si="3"/>
        <v>0</v>
      </c>
      <c r="I33" s="26">
        <f t="shared" si="3"/>
        <v>1.0000000000000009</v>
      </c>
      <c r="J33" s="27" t="str">
        <f t="shared" si="4"/>
        <v>CO2REMOV</v>
      </c>
      <c r="K33" s="27" t="str">
        <f t="shared" si="5"/>
        <v>PAID</v>
      </c>
      <c r="L33" s="23">
        <f t="shared" si="9"/>
        <v>202.8</v>
      </c>
      <c r="M33" s="27">
        <f t="shared" si="6"/>
        <v>215.8021</v>
      </c>
      <c r="N33" s="22">
        <f t="shared" si="10"/>
        <v>1500000</v>
      </c>
      <c r="O33" s="28" t="str">
        <f t="shared" si="7"/>
        <v>07:30 - 08:30 SD/ Low speed</v>
      </c>
      <c r="T33" s="20">
        <v>46044</v>
      </c>
      <c r="U33" s="1">
        <v>9.6999999999999993</v>
      </c>
      <c r="V33" s="1">
        <v>62.6</v>
      </c>
      <c r="W33" s="1">
        <v>5.0999999999999996</v>
      </c>
      <c r="X33" s="1">
        <v>70.8</v>
      </c>
      <c r="Y33" s="1">
        <v>215.8021</v>
      </c>
      <c r="Z33" s="1">
        <v>1.0641129191321499</v>
      </c>
      <c r="AA33" s="1">
        <v>202.8</v>
      </c>
      <c r="AB33" s="1">
        <v>93.3</v>
      </c>
      <c r="AC33" s="1">
        <v>1947</v>
      </c>
      <c r="AD33" s="1" t="s">
        <v>53</v>
      </c>
      <c r="AE33" s="1">
        <v>0.95833333333333304</v>
      </c>
      <c r="AF33" s="1">
        <v>0</v>
      </c>
      <c r="AG33" s="1">
        <v>4.1666666666666699E-2</v>
      </c>
      <c r="AH33" s="1">
        <v>0.95833333333333304</v>
      </c>
      <c r="AI33" s="1">
        <v>0.95833333333333304</v>
      </c>
      <c r="AJ33" s="21" t="s">
        <v>58</v>
      </c>
    </row>
    <row r="34" spans="1:36" x14ac:dyDescent="0.35">
      <c r="A34" s="17">
        <v>35.5</v>
      </c>
      <c r="C34" s="24" t="e">
        <f t="shared" si="8"/>
        <v>#VALUE!</v>
      </c>
      <c r="D34" s="25">
        <f t="shared" si="0"/>
        <v>4</v>
      </c>
      <c r="E34" s="25">
        <f t="shared" si="1"/>
        <v>71.8</v>
      </c>
      <c r="F34" s="26">
        <f t="shared" si="2"/>
        <v>216.76660000000001</v>
      </c>
      <c r="G34" s="26">
        <f t="shared" si="3"/>
        <v>24</v>
      </c>
      <c r="H34" s="26">
        <f t="shared" si="3"/>
        <v>0</v>
      </c>
      <c r="I34" s="26">
        <f t="shared" si="3"/>
        <v>0</v>
      </c>
      <c r="J34" s="27" t="str">
        <f t="shared" si="4"/>
        <v>CO2REMOV</v>
      </c>
      <c r="K34" s="27" t="str">
        <f t="shared" si="5"/>
        <v>PAID</v>
      </c>
      <c r="L34" s="23">
        <f t="shared" si="9"/>
        <v>188.2</v>
      </c>
      <c r="M34" s="27">
        <f t="shared" si="6"/>
        <v>216.76660000000001</v>
      </c>
      <c r="N34" s="22">
        <f t="shared" si="10"/>
        <v>1500000</v>
      </c>
      <c r="O34" s="28" t="str">
        <f t="shared" si="7"/>
        <v/>
      </c>
      <c r="T34" s="20">
        <v>46045</v>
      </c>
      <c r="U34" s="1">
        <v>8</v>
      </c>
      <c r="V34" s="1">
        <v>63.5</v>
      </c>
      <c r="W34" s="1">
        <v>4.4000000000000004</v>
      </c>
      <c r="X34" s="1">
        <v>71.8</v>
      </c>
      <c r="Y34" s="1">
        <v>216.76660000000001</v>
      </c>
      <c r="Z34" s="1">
        <v>1.1517885228480342</v>
      </c>
      <c r="AA34" s="1">
        <v>188.2</v>
      </c>
      <c r="AB34" s="1">
        <v>92.3</v>
      </c>
      <c r="AC34" s="1">
        <v>1949</v>
      </c>
      <c r="AD34" s="1" t="s">
        <v>53</v>
      </c>
      <c r="AE34" s="1">
        <v>1</v>
      </c>
      <c r="AF34" s="1">
        <v>0</v>
      </c>
      <c r="AG34" s="1">
        <v>0</v>
      </c>
      <c r="AH34" s="1">
        <v>1</v>
      </c>
      <c r="AI34" s="1">
        <v>1</v>
      </c>
      <c r="AJ34" s="21" t="s">
        <v>53</v>
      </c>
    </row>
    <row r="35" spans="1:36" x14ac:dyDescent="0.35">
      <c r="A35" s="17">
        <v>35.5</v>
      </c>
      <c r="C35" s="24" t="e">
        <f t="shared" si="8"/>
        <v>#VALUE!</v>
      </c>
      <c r="D35" s="25">
        <f t="shared" si="0"/>
        <v>5</v>
      </c>
      <c r="E35" s="25">
        <f t="shared" si="1"/>
        <v>71.2</v>
      </c>
      <c r="F35" s="26">
        <f t="shared" si="2"/>
        <v>221.75210000000001</v>
      </c>
      <c r="G35" s="26">
        <f t="shared" si="3"/>
        <v>24</v>
      </c>
      <c r="H35" s="26">
        <f t="shared" si="3"/>
        <v>0</v>
      </c>
      <c r="I35" s="26">
        <f t="shared" si="3"/>
        <v>0</v>
      </c>
      <c r="J35" s="27" t="str">
        <f t="shared" si="4"/>
        <v>CO2REMOV</v>
      </c>
      <c r="K35" s="27" t="str">
        <f t="shared" si="5"/>
        <v>PAID</v>
      </c>
      <c r="L35" s="23">
        <f t="shared" si="9"/>
        <v>202.8</v>
      </c>
      <c r="M35" s="27">
        <f t="shared" si="6"/>
        <v>221.75210000000001</v>
      </c>
      <c r="N35" s="22">
        <f t="shared" si="10"/>
        <v>1500000</v>
      </c>
      <c r="O35" s="28" t="str">
        <f t="shared" si="7"/>
        <v/>
      </c>
      <c r="T35" s="20">
        <v>46046</v>
      </c>
      <c r="U35" s="1">
        <v>8.8000000000000007</v>
      </c>
      <c r="V35" s="1">
        <v>63.3</v>
      </c>
      <c r="W35" s="1">
        <v>4.9000000000000004</v>
      </c>
      <c r="X35" s="1">
        <v>71.2</v>
      </c>
      <c r="Y35" s="1">
        <v>221.75210000000001</v>
      </c>
      <c r="Z35" s="1">
        <v>1.0934521696252466</v>
      </c>
      <c r="AA35" s="1">
        <v>202.8</v>
      </c>
      <c r="AB35" s="1">
        <v>96.3</v>
      </c>
      <c r="AC35" s="1">
        <v>1953</v>
      </c>
      <c r="AD35" s="1" t="s">
        <v>53</v>
      </c>
      <c r="AE35" s="1">
        <v>1</v>
      </c>
      <c r="AF35" s="1">
        <v>0</v>
      </c>
      <c r="AG35" s="1">
        <v>0</v>
      </c>
      <c r="AH35" s="1">
        <v>1</v>
      </c>
      <c r="AI35" s="1">
        <v>1</v>
      </c>
      <c r="AJ35" s="21" t="s">
        <v>53</v>
      </c>
    </row>
    <row r="36" spans="1:36" x14ac:dyDescent="0.35">
      <c r="A36" s="17">
        <v>35.6</v>
      </c>
      <c r="C36" s="24" t="e">
        <f t="shared" si="8"/>
        <v>#VALUE!</v>
      </c>
      <c r="D36" s="25">
        <f t="shared" si="0"/>
        <v>5</v>
      </c>
      <c r="E36" s="25">
        <f t="shared" si="1"/>
        <v>70</v>
      </c>
      <c r="F36" s="26">
        <f t="shared" si="2"/>
        <v>218.96539999999999</v>
      </c>
      <c r="G36" s="26">
        <f t="shared" si="3"/>
        <v>24</v>
      </c>
      <c r="H36" s="26">
        <f t="shared" si="3"/>
        <v>0</v>
      </c>
      <c r="I36" s="26">
        <f t="shared" si="3"/>
        <v>0</v>
      </c>
      <c r="J36" s="27" t="str">
        <f t="shared" si="4"/>
        <v>CO2REMOV</v>
      </c>
      <c r="K36" s="27" t="str">
        <f t="shared" si="5"/>
        <v>PAID</v>
      </c>
      <c r="L36" s="23">
        <f t="shared" si="9"/>
        <v>202.8</v>
      </c>
      <c r="M36" s="27">
        <f t="shared" si="6"/>
        <v>218.96539999999999</v>
      </c>
      <c r="N36" s="22">
        <f t="shared" si="10"/>
        <v>1500000</v>
      </c>
      <c r="O36" s="28" t="str">
        <f t="shared" si="7"/>
        <v/>
      </c>
      <c r="T36" s="20">
        <v>46047</v>
      </c>
      <c r="U36" s="1">
        <v>7.7</v>
      </c>
      <c r="V36" s="1">
        <v>61.9</v>
      </c>
      <c r="W36" s="1">
        <v>4.5</v>
      </c>
      <c r="X36" s="1">
        <v>70</v>
      </c>
      <c r="Y36" s="1">
        <v>218.96539999999999</v>
      </c>
      <c r="Z36" s="1">
        <v>1.0797110453648915</v>
      </c>
      <c r="AA36" s="1">
        <v>202.8</v>
      </c>
      <c r="AB36" s="1">
        <v>96.7</v>
      </c>
      <c r="AC36" s="1">
        <v>1947</v>
      </c>
      <c r="AD36" s="1" t="s">
        <v>53</v>
      </c>
      <c r="AE36" s="1">
        <v>1</v>
      </c>
      <c r="AF36" s="1">
        <v>0</v>
      </c>
      <c r="AG36" s="1">
        <v>0</v>
      </c>
      <c r="AH36" s="1">
        <v>1</v>
      </c>
      <c r="AI36" s="1">
        <v>1</v>
      </c>
      <c r="AJ36" s="21" t="s">
        <v>53</v>
      </c>
    </row>
    <row r="37" spans="1:36" x14ac:dyDescent="0.35">
      <c r="A37" s="17">
        <v>35.200000000000003</v>
      </c>
      <c r="C37" s="24" t="e">
        <f t="shared" si="8"/>
        <v>#VALUE!</v>
      </c>
      <c r="D37" s="25">
        <f t="shared" si="0"/>
        <v>5</v>
      </c>
      <c r="E37" s="25">
        <f t="shared" si="1"/>
        <v>73.2</v>
      </c>
      <c r="F37" s="26">
        <f t="shared" si="2"/>
        <v>231.45140000000001</v>
      </c>
      <c r="G37" s="26">
        <f t="shared" si="3"/>
        <v>23.5</v>
      </c>
      <c r="H37" s="26">
        <f t="shared" si="3"/>
        <v>0.50000000000000167</v>
      </c>
      <c r="I37" s="26">
        <f t="shared" si="3"/>
        <v>0</v>
      </c>
      <c r="J37" s="27" t="str">
        <f t="shared" si="4"/>
        <v>CO2REMOV</v>
      </c>
      <c r="K37" s="27" t="str">
        <f t="shared" si="5"/>
        <v>PAID</v>
      </c>
      <c r="L37" s="23">
        <f t="shared" si="9"/>
        <v>202.8</v>
      </c>
      <c r="M37" s="27">
        <f t="shared" si="6"/>
        <v>231.45140000000001</v>
      </c>
      <c r="N37" s="22">
        <f t="shared" si="10"/>
        <v>1500000</v>
      </c>
      <c r="O37" s="28" t="str">
        <f t="shared" si="7"/>
        <v>13:40 - 14:10 STBY/ Low fuel press.</v>
      </c>
      <c r="T37" s="20">
        <v>46048</v>
      </c>
      <c r="U37" s="1">
        <v>9.8000000000000007</v>
      </c>
      <c r="V37" s="1">
        <v>65</v>
      </c>
      <c r="W37" s="1">
        <v>5.0999999999999996</v>
      </c>
      <c r="X37" s="1">
        <v>73.2</v>
      </c>
      <c r="Y37" s="1">
        <v>231.45140000000001</v>
      </c>
      <c r="Z37" s="1">
        <v>1.1412790927021697</v>
      </c>
      <c r="AA37" s="1">
        <v>202.8</v>
      </c>
      <c r="AB37" s="1">
        <v>95.2</v>
      </c>
      <c r="AC37" s="1">
        <v>1946</v>
      </c>
      <c r="AD37" s="1" t="s">
        <v>53</v>
      </c>
      <c r="AE37" s="1">
        <v>0.97916666666666663</v>
      </c>
      <c r="AF37" s="1">
        <v>2.0833333333333402E-2</v>
      </c>
      <c r="AG37" s="1">
        <v>0</v>
      </c>
      <c r="AH37" s="1">
        <v>1</v>
      </c>
      <c r="AI37" s="1">
        <v>0.97916666666666663</v>
      </c>
      <c r="AJ37" s="21" t="s">
        <v>59</v>
      </c>
    </row>
    <row r="38" spans="1:36" x14ac:dyDescent="0.35">
      <c r="A38" s="17">
        <v>35.200000000000003</v>
      </c>
      <c r="C38" s="24" t="e">
        <f t="shared" si="8"/>
        <v>#VALUE!</v>
      </c>
      <c r="D38" s="25">
        <f t="shared" si="0"/>
        <v>5</v>
      </c>
      <c r="E38" s="25">
        <f t="shared" si="1"/>
        <v>73.099999999999994</v>
      </c>
      <c r="F38" s="26">
        <f t="shared" si="2"/>
        <v>230.30459999999999</v>
      </c>
      <c r="G38" s="26">
        <f t="shared" si="3"/>
        <v>24</v>
      </c>
      <c r="H38" s="26">
        <f t="shared" si="3"/>
        <v>0</v>
      </c>
      <c r="I38" s="26">
        <f t="shared" si="3"/>
        <v>0</v>
      </c>
      <c r="J38" s="27" t="str">
        <f t="shared" si="4"/>
        <v>CO2REMOV</v>
      </c>
      <c r="K38" s="27" t="str">
        <f t="shared" si="5"/>
        <v>PAID</v>
      </c>
      <c r="L38" s="23">
        <f t="shared" si="9"/>
        <v>202.8</v>
      </c>
      <c r="M38" s="27">
        <f t="shared" si="6"/>
        <v>230.30459999999999</v>
      </c>
      <c r="N38" s="22">
        <f t="shared" si="10"/>
        <v>1500000</v>
      </c>
      <c r="O38" s="28" t="str">
        <f t="shared" si="7"/>
        <v/>
      </c>
      <c r="T38" s="20">
        <v>46049</v>
      </c>
      <c r="U38" s="1">
        <v>9.1999999999999993</v>
      </c>
      <c r="V38" s="1">
        <v>65</v>
      </c>
      <c r="W38" s="1">
        <v>4.7</v>
      </c>
      <c r="X38" s="1">
        <v>73.099999999999994</v>
      </c>
      <c r="Y38" s="1">
        <v>230.30459999999999</v>
      </c>
      <c r="Z38" s="1">
        <v>1.1356242603550295</v>
      </c>
      <c r="AA38" s="1">
        <v>202.8</v>
      </c>
      <c r="AB38" s="1">
        <v>95.8</v>
      </c>
      <c r="AC38" s="1">
        <v>1949</v>
      </c>
      <c r="AD38" s="1" t="s">
        <v>53</v>
      </c>
      <c r="AE38" s="1">
        <v>1</v>
      </c>
      <c r="AF38" s="1">
        <v>0</v>
      </c>
      <c r="AG38" s="1">
        <v>0</v>
      </c>
      <c r="AH38" s="1">
        <v>1</v>
      </c>
      <c r="AI38" s="1">
        <v>1</v>
      </c>
      <c r="AJ38" s="21" t="s">
        <v>53</v>
      </c>
    </row>
    <row r="39" spans="1:36" x14ac:dyDescent="0.35">
      <c r="A39" s="17">
        <v>35.200000000000003</v>
      </c>
      <c r="C39" s="24" t="e">
        <f t="shared" si="8"/>
        <v>#VALUE!</v>
      </c>
      <c r="D39" s="25">
        <f t="shared" si="0"/>
        <v>5</v>
      </c>
      <c r="E39" s="25">
        <f t="shared" si="1"/>
        <v>73.2</v>
      </c>
      <c r="F39" s="26">
        <f t="shared" si="2"/>
        <v>229.28960000000001</v>
      </c>
      <c r="G39" s="26">
        <f t="shared" si="3"/>
        <v>24</v>
      </c>
      <c r="H39" s="26">
        <f t="shared" si="3"/>
        <v>0</v>
      </c>
      <c r="I39" s="26">
        <f t="shared" si="3"/>
        <v>0</v>
      </c>
      <c r="J39" s="27" t="str">
        <f t="shared" si="4"/>
        <v>CO2REMOV</v>
      </c>
      <c r="K39" s="27" t="str">
        <f t="shared" si="5"/>
        <v>PAID</v>
      </c>
      <c r="L39" s="23">
        <f t="shared" si="9"/>
        <v>202.8</v>
      </c>
      <c r="M39" s="27">
        <f t="shared" si="6"/>
        <v>229.28960000000001</v>
      </c>
      <c r="N39" s="22">
        <f t="shared" si="10"/>
        <v>1500000</v>
      </c>
      <c r="O39" s="28" t="str">
        <f t="shared" si="7"/>
        <v/>
      </c>
      <c r="T39" s="20">
        <v>46050</v>
      </c>
      <c r="U39" s="1">
        <v>9.1</v>
      </c>
      <c r="V39" s="1">
        <v>65</v>
      </c>
      <c r="W39" s="1">
        <v>4.8</v>
      </c>
      <c r="X39" s="1">
        <v>73.2</v>
      </c>
      <c r="Y39" s="1">
        <v>229.28960000000001</v>
      </c>
      <c r="Z39" s="1">
        <v>1.13061932938856</v>
      </c>
      <c r="AA39" s="1">
        <v>202.8</v>
      </c>
      <c r="AB39" s="1">
        <v>94.2</v>
      </c>
      <c r="AC39" s="1">
        <v>1951</v>
      </c>
      <c r="AD39" s="1" t="s">
        <v>53</v>
      </c>
      <c r="AE39" s="1">
        <v>1</v>
      </c>
      <c r="AF39" s="1">
        <v>0</v>
      </c>
      <c r="AG39" s="1">
        <v>0</v>
      </c>
      <c r="AH39" s="1">
        <v>1</v>
      </c>
      <c r="AI39" s="1">
        <v>1</v>
      </c>
      <c r="AJ39" s="21" t="s">
        <v>53</v>
      </c>
    </row>
    <row r="40" spans="1:36" x14ac:dyDescent="0.35">
      <c r="A40" s="17">
        <v>35.9</v>
      </c>
      <c r="C40" s="24" t="e">
        <f t="shared" si="8"/>
        <v>#VALUE!</v>
      </c>
      <c r="D40" s="25">
        <f t="shared" si="0"/>
        <v>5</v>
      </c>
      <c r="E40" s="25">
        <f t="shared" si="1"/>
        <v>73.2</v>
      </c>
      <c r="F40" s="26">
        <f t="shared" si="2"/>
        <v>222.637</v>
      </c>
      <c r="G40" s="26">
        <f t="shared" si="3"/>
        <v>24</v>
      </c>
      <c r="H40" s="26">
        <f t="shared" si="3"/>
        <v>0</v>
      </c>
      <c r="I40" s="26">
        <f t="shared" si="3"/>
        <v>0</v>
      </c>
      <c r="J40" s="27" t="str">
        <f t="shared" si="4"/>
        <v>CO2REMOV</v>
      </c>
      <c r="K40" s="27" t="str">
        <f t="shared" si="5"/>
        <v>PAID</v>
      </c>
      <c r="L40" s="23">
        <f t="shared" si="9"/>
        <v>202.8</v>
      </c>
      <c r="M40" s="27">
        <f t="shared" si="6"/>
        <v>222.637</v>
      </c>
      <c r="N40" s="22">
        <f t="shared" si="10"/>
        <v>1500000</v>
      </c>
      <c r="O40" s="28" t="str">
        <f t="shared" si="7"/>
        <v/>
      </c>
      <c r="T40" s="20">
        <v>46051</v>
      </c>
      <c r="U40" s="1">
        <v>7.9</v>
      </c>
      <c r="V40" s="1">
        <v>65</v>
      </c>
      <c r="W40" s="1">
        <v>4.5</v>
      </c>
      <c r="X40" s="1">
        <v>73.2</v>
      </c>
      <c r="Y40" s="1">
        <v>222.637</v>
      </c>
      <c r="Z40" s="1">
        <v>1.0978155818540434</v>
      </c>
      <c r="AA40" s="1">
        <v>202.8</v>
      </c>
      <c r="AB40" s="1">
        <v>93.8</v>
      </c>
      <c r="AC40" s="1">
        <v>1948</v>
      </c>
      <c r="AD40" s="1" t="s">
        <v>53</v>
      </c>
      <c r="AE40" s="1">
        <v>1</v>
      </c>
      <c r="AF40" s="1">
        <v>0</v>
      </c>
      <c r="AG40" s="1">
        <v>0</v>
      </c>
      <c r="AH40" s="1">
        <v>1</v>
      </c>
      <c r="AI40" s="1">
        <v>1</v>
      </c>
      <c r="AJ40" s="21" t="s">
        <v>53</v>
      </c>
    </row>
    <row r="41" spans="1:36" x14ac:dyDescent="0.35">
      <c r="A41" s="17">
        <v>42.6</v>
      </c>
      <c r="C41" s="24" t="e">
        <f t="shared" si="8"/>
        <v>#VALUE!</v>
      </c>
      <c r="D41" s="25">
        <f t="shared" si="0"/>
        <v>5</v>
      </c>
      <c r="E41" s="25">
        <f t="shared" si="1"/>
        <v>73.5</v>
      </c>
      <c r="F41" s="26">
        <f t="shared" si="2"/>
        <v>222.85329999999999</v>
      </c>
      <c r="G41" s="26">
        <f t="shared" si="3"/>
        <v>24</v>
      </c>
      <c r="H41" s="26">
        <f t="shared" si="3"/>
        <v>0</v>
      </c>
      <c r="I41" s="26">
        <f t="shared" si="3"/>
        <v>0</v>
      </c>
      <c r="J41" s="27" t="str">
        <f t="shared" si="4"/>
        <v>CO2REMOV</v>
      </c>
      <c r="K41" s="27" t="str">
        <f t="shared" si="5"/>
        <v>PAID</v>
      </c>
      <c r="L41" s="23">
        <f t="shared" si="9"/>
        <v>202.8</v>
      </c>
      <c r="M41" s="27">
        <f t="shared" si="6"/>
        <v>222.85329999999999</v>
      </c>
      <c r="N41" s="22">
        <f t="shared" si="10"/>
        <v>1500000</v>
      </c>
      <c r="O41" s="28" t="str">
        <f t="shared" si="7"/>
        <v/>
      </c>
      <c r="T41" s="20">
        <v>46052</v>
      </c>
      <c r="U41" s="1">
        <v>8.1</v>
      </c>
      <c r="V41" s="1">
        <v>65</v>
      </c>
      <c r="W41" s="1">
        <v>4.7</v>
      </c>
      <c r="X41" s="1">
        <v>73.5</v>
      </c>
      <c r="Y41" s="1">
        <v>222.85329999999999</v>
      </c>
      <c r="Z41" s="1">
        <v>1.0988821499013806</v>
      </c>
      <c r="AA41" s="1">
        <v>202.8</v>
      </c>
      <c r="AB41" s="1">
        <v>94.4</v>
      </c>
      <c r="AC41" s="1">
        <v>1950</v>
      </c>
      <c r="AD41" s="1" t="s">
        <v>53</v>
      </c>
      <c r="AE41" s="1">
        <v>1</v>
      </c>
      <c r="AF41" s="1">
        <v>0</v>
      </c>
      <c r="AG41" s="1">
        <v>0</v>
      </c>
      <c r="AH41" s="1">
        <v>1</v>
      </c>
      <c r="AI41" s="1">
        <v>1</v>
      </c>
      <c r="AJ41" s="21" t="s">
        <v>53</v>
      </c>
    </row>
    <row r="42" spans="1:36" x14ac:dyDescent="0.35">
      <c r="A42" s="17">
        <v>22.9</v>
      </c>
      <c r="C42" s="24" t="e">
        <f t="shared" si="8"/>
        <v>#VALUE!</v>
      </c>
      <c r="D42" s="25">
        <f t="shared" si="0"/>
        <v>4</v>
      </c>
      <c r="E42" s="25">
        <f t="shared" si="1"/>
        <v>73.400000000000006</v>
      </c>
      <c r="F42" s="26">
        <f t="shared" si="2"/>
        <v>223.95939999999999</v>
      </c>
      <c r="G42" s="26">
        <f t="shared" si="3"/>
        <v>24</v>
      </c>
      <c r="H42" s="26">
        <f t="shared" si="3"/>
        <v>0</v>
      </c>
      <c r="I42" s="26">
        <f t="shared" si="3"/>
        <v>0</v>
      </c>
      <c r="J42" s="27" t="str">
        <f t="shared" si="4"/>
        <v>CO2REMOV</v>
      </c>
      <c r="K42" s="27" t="str">
        <f t="shared" si="5"/>
        <v>PAID</v>
      </c>
      <c r="L42" s="23">
        <f t="shared" si="9"/>
        <v>188.2</v>
      </c>
      <c r="M42" s="27">
        <f t="shared" si="6"/>
        <v>223.95939999999999</v>
      </c>
      <c r="N42" s="22">
        <f t="shared" si="10"/>
        <v>1500000</v>
      </c>
      <c r="O42" s="28" t="str">
        <f t="shared" si="7"/>
        <v/>
      </c>
      <c r="T42" s="20">
        <v>46053</v>
      </c>
      <c r="U42" s="1">
        <v>7.6</v>
      </c>
      <c r="V42" s="1">
        <v>65</v>
      </c>
      <c r="W42" s="1">
        <v>4.0999999999999996</v>
      </c>
      <c r="X42" s="1">
        <v>73.400000000000006</v>
      </c>
      <c r="Y42" s="1">
        <v>223.95939999999999</v>
      </c>
      <c r="Z42" s="1">
        <v>1.1900074388947928</v>
      </c>
      <c r="AA42" s="1">
        <v>188.2</v>
      </c>
      <c r="AB42" s="1">
        <v>95.2</v>
      </c>
      <c r="AC42" s="1">
        <v>1944</v>
      </c>
      <c r="AD42" s="1" t="s">
        <v>53</v>
      </c>
      <c r="AE42" s="1">
        <v>1</v>
      </c>
      <c r="AF42" s="1">
        <v>0</v>
      </c>
      <c r="AG42" s="1">
        <v>0</v>
      </c>
      <c r="AH42" s="1">
        <v>1</v>
      </c>
      <c r="AI42" s="1">
        <v>1</v>
      </c>
      <c r="AJ42" s="21" t="s">
        <v>53</v>
      </c>
    </row>
    <row r="43" spans="1:36" x14ac:dyDescent="0.35">
      <c r="A43" s="17"/>
      <c r="C43" s="24" t="s">
        <v>54</v>
      </c>
      <c r="D43" s="25"/>
      <c r="E43" s="25"/>
      <c r="F43" s="26"/>
      <c r="G43" s="26"/>
      <c r="H43" s="26"/>
      <c r="I43" s="26"/>
      <c r="J43" s="27"/>
      <c r="K43" s="27" t="str">
        <f t="shared" si="5"/>
        <v>UNPAID</v>
      </c>
      <c r="L43" s="23">
        <f t="shared" si="9"/>
        <v>0</v>
      </c>
      <c r="M43" s="27"/>
      <c r="N43" s="22"/>
      <c r="O43" s="28"/>
      <c r="T43" s="20"/>
      <c r="AJ43" s="21"/>
    </row>
    <row r="44" spans="1:36" x14ac:dyDescent="0.35">
      <c r="A44" s="17"/>
    </row>
    <row r="45" spans="1:36" x14ac:dyDescent="0.35">
      <c r="A45" s="31">
        <v>27.4</v>
      </c>
    </row>
    <row r="46" spans="1:36" x14ac:dyDescent="0.35"/>
    <row r="47" spans="1:36" x14ac:dyDescent="0.35"/>
    <row r="48" spans="1:36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  <row r="100" x14ac:dyDescent="0.35"/>
    <row r="101" x14ac:dyDescent="0.35"/>
    <row r="102" x14ac:dyDescent="0.35"/>
    <row r="103" x14ac:dyDescent="0.35"/>
    <row r="104" x14ac:dyDescent="0.35"/>
    <row r="105" x14ac:dyDescent="0.35"/>
    <row r="106" x14ac:dyDescent="0.35"/>
    <row r="107" x14ac:dyDescent="0.35"/>
    <row r="108" x14ac:dyDescent="0.35"/>
    <row r="109" x14ac:dyDescent="0.35"/>
    <row r="110" x14ac:dyDescent="0.35"/>
    <row r="111" x14ac:dyDescent="0.35"/>
    <row r="112" x14ac:dyDescent="0.35"/>
    <row r="113" x14ac:dyDescent="0.35"/>
    <row r="114" x14ac:dyDescent="0.35"/>
    <row r="115" x14ac:dyDescent="0.35"/>
    <row r="116" x14ac:dyDescent="0.35"/>
    <row r="117" x14ac:dyDescent="0.35"/>
    <row r="118" x14ac:dyDescent="0.35"/>
    <row r="119" x14ac:dyDescent="0.35"/>
    <row r="120" x14ac:dyDescent="0.35"/>
    <row r="121" x14ac:dyDescent="0.35"/>
    <row r="122" x14ac:dyDescent="0.35"/>
    <row r="123" x14ac:dyDescent="0.35"/>
    <row r="124" x14ac:dyDescent="0.35"/>
    <row r="125" x14ac:dyDescent="0.35"/>
    <row r="126" x14ac:dyDescent="0.35"/>
    <row r="127" x14ac:dyDescent="0.35"/>
    <row r="128" x14ac:dyDescent="0.35"/>
    <row r="129" x14ac:dyDescent="0.35"/>
    <row r="130" x14ac:dyDescent="0.35"/>
    <row r="131" x14ac:dyDescent="0.35"/>
    <row r="132" x14ac:dyDescent="0.35"/>
    <row r="133" x14ac:dyDescent="0.35"/>
    <row r="134" x14ac:dyDescent="0.35"/>
    <row r="135" x14ac:dyDescent="0.35"/>
    <row r="136" x14ac:dyDescent="0.35"/>
    <row r="137" x14ac:dyDescent="0.35"/>
    <row r="138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  <row r="168" x14ac:dyDescent="0.35"/>
    <row r="169" x14ac:dyDescent="0.35"/>
    <row r="170" x14ac:dyDescent="0.35"/>
    <row r="171" x14ac:dyDescent="0.35"/>
    <row r="172" x14ac:dyDescent="0.35"/>
    <row r="173" x14ac:dyDescent="0.35"/>
    <row r="174" x14ac:dyDescent="0.35"/>
    <row r="175" x14ac:dyDescent="0.35"/>
    <row r="176" x14ac:dyDescent="0.35"/>
    <row r="177" x14ac:dyDescent="0.35"/>
    <row r="178" x14ac:dyDescent="0.35"/>
    <row r="179" x14ac:dyDescent="0.35"/>
    <row r="180" x14ac:dyDescent="0.35"/>
    <row r="181" x14ac:dyDescent="0.35"/>
    <row r="182" x14ac:dyDescent="0.35"/>
    <row r="183" x14ac:dyDescent="0.35"/>
    <row r="184" x14ac:dyDescent="0.35"/>
    <row r="185" x14ac:dyDescent="0.35"/>
    <row r="186" x14ac:dyDescent="0.35"/>
    <row r="187" x14ac:dyDescent="0.35"/>
    <row r="188" x14ac:dyDescent="0.35"/>
    <row r="189" x14ac:dyDescent="0.35"/>
    <row r="190" x14ac:dyDescent="0.35"/>
    <row r="191" x14ac:dyDescent="0.35"/>
    <row r="192" x14ac:dyDescent="0.35"/>
    <row r="193" x14ac:dyDescent="0.35"/>
    <row r="194" x14ac:dyDescent="0.35"/>
    <row r="195" x14ac:dyDescent="0.35"/>
    <row r="196" x14ac:dyDescent="0.35"/>
    <row r="197" x14ac:dyDescent="0.35"/>
    <row r="198" x14ac:dyDescent="0.35"/>
    <row r="199" x14ac:dyDescent="0.35"/>
    <row r="200" x14ac:dyDescent="0.35"/>
    <row r="201" x14ac:dyDescent="0.35"/>
    <row r="202" x14ac:dyDescent="0.35"/>
    <row r="203" x14ac:dyDescent="0.35"/>
    <row r="204" x14ac:dyDescent="0.35"/>
    <row r="205" x14ac:dyDescent="0.35"/>
    <row r="206" x14ac:dyDescent="0.35"/>
    <row r="207" x14ac:dyDescent="0.35"/>
    <row r="208" x14ac:dyDescent="0.35"/>
    <row r="209" x14ac:dyDescent="0.35"/>
    <row r="210" x14ac:dyDescent="0.35"/>
    <row r="211" x14ac:dyDescent="0.35"/>
    <row r="212" x14ac:dyDescent="0.35"/>
    <row r="213" x14ac:dyDescent="0.35"/>
    <row r="214" x14ac:dyDescent="0.35"/>
    <row r="215" x14ac:dyDescent="0.35"/>
    <row r="216" x14ac:dyDescent="0.35"/>
    <row r="217" x14ac:dyDescent="0.35"/>
    <row r="218" x14ac:dyDescent="0.35"/>
    <row r="219" x14ac:dyDescent="0.35"/>
    <row r="220" x14ac:dyDescent="0.35"/>
    <row r="221" x14ac:dyDescent="0.35"/>
    <row r="222" x14ac:dyDescent="0.35"/>
    <row r="223" x14ac:dyDescent="0.35"/>
    <row r="224" x14ac:dyDescent="0.35"/>
    <row r="225" x14ac:dyDescent="0.35"/>
    <row r="226" x14ac:dyDescent="0.35"/>
    <row r="227" x14ac:dyDescent="0.35"/>
    <row r="228" x14ac:dyDescent="0.35"/>
    <row r="229" x14ac:dyDescent="0.35"/>
    <row r="230" x14ac:dyDescent="0.35"/>
    <row r="231" x14ac:dyDescent="0.35"/>
    <row r="232" x14ac:dyDescent="0.35"/>
    <row r="233" x14ac:dyDescent="0.35"/>
    <row r="234" x14ac:dyDescent="0.35"/>
    <row r="235" x14ac:dyDescent="0.35"/>
    <row r="236" x14ac:dyDescent="0.35"/>
    <row r="237" x14ac:dyDescent="0.35"/>
    <row r="238" x14ac:dyDescent="0.35"/>
    <row r="239" x14ac:dyDescent="0.35"/>
    <row r="240" x14ac:dyDescent="0.35"/>
    <row r="241" x14ac:dyDescent="0.35"/>
    <row r="242" x14ac:dyDescent="0.35"/>
    <row r="243" x14ac:dyDescent="0.35"/>
    <row r="244" x14ac:dyDescent="0.35"/>
    <row r="245" x14ac:dyDescent="0.35"/>
    <row r="246" x14ac:dyDescent="0.35"/>
    <row r="247" x14ac:dyDescent="0.35"/>
    <row r="248" x14ac:dyDescent="0.35"/>
    <row r="249" x14ac:dyDescent="0.35"/>
    <row r="250" x14ac:dyDescent="0.35"/>
    <row r="251" x14ac:dyDescent="0.35"/>
    <row r="252" x14ac:dyDescent="0.35"/>
    <row r="253" x14ac:dyDescent="0.35"/>
    <row r="254" x14ac:dyDescent="0.35"/>
    <row r="255" x14ac:dyDescent="0.35"/>
    <row r="256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  <row r="371" x14ac:dyDescent="0.35"/>
    <row r="372" x14ac:dyDescent="0.35"/>
    <row r="373" x14ac:dyDescent="0.35"/>
    <row r="374" x14ac:dyDescent="0.35"/>
    <row r="375" x14ac:dyDescent="0.35"/>
    <row r="376" x14ac:dyDescent="0.35"/>
    <row r="377" x14ac:dyDescent="0.35"/>
    <row r="378" x14ac:dyDescent="0.35"/>
    <row r="379" x14ac:dyDescent="0.35"/>
    <row r="380" x14ac:dyDescent="0.35"/>
    <row r="381" x14ac:dyDescent="0.35"/>
    <row r="382" x14ac:dyDescent="0.35"/>
    <row r="383" x14ac:dyDescent="0.35"/>
    <row r="384" x14ac:dyDescent="0.35"/>
    <row r="385" x14ac:dyDescent="0.35"/>
    <row r="386" x14ac:dyDescent="0.35"/>
    <row r="387" x14ac:dyDescent="0.35"/>
    <row r="388" x14ac:dyDescent="0.35"/>
    <row r="389" x14ac:dyDescent="0.35"/>
    <row r="390" x14ac:dyDescent="0.35"/>
    <row r="391" x14ac:dyDescent="0.35"/>
    <row r="392" x14ac:dyDescent="0.35"/>
    <row r="393" x14ac:dyDescent="0.35"/>
    <row r="394" x14ac:dyDescent="0.35"/>
    <row r="395" x14ac:dyDescent="0.35"/>
    <row r="396" x14ac:dyDescent="0.35"/>
    <row r="397" x14ac:dyDescent="0.35"/>
    <row r="398" x14ac:dyDescent="0.35"/>
    <row r="399" x14ac:dyDescent="0.35"/>
    <row r="400" x14ac:dyDescent="0.35"/>
    <row r="401" x14ac:dyDescent="0.35"/>
    <row r="402" x14ac:dyDescent="0.35"/>
    <row r="403" x14ac:dyDescent="0.35"/>
  </sheetData>
  <mergeCells count="7">
    <mergeCell ref="O10:O11"/>
    <mergeCell ref="C10:C11"/>
    <mergeCell ref="J10:J11"/>
    <mergeCell ref="K10:K11"/>
    <mergeCell ref="L10:L11"/>
    <mergeCell ref="M10:M11"/>
    <mergeCell ref="N10:N11"/>
  </mergeCells>
  <pageMargins left="0.7" right="0.7" top="0.75" bottom="0.75" header="0.3" footer="0.3"/>
  <pageSetup paperSize="9" scale="3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Database</vt:lpstr>
      <vt:lpstr>7101 (C)</vt:lpstr>
      <vt:lpstr>Database!Print_Area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 ardianto</dc:creator>
  <cp:lastModifiedBy>2022 ALFONSUS VEGA HENTYA TANOJO</cp:lastModifiedBy>
  <cp:lastPrinted>2023-04-13T02:04:15Z</cp:lastPrinted>
  <dcterms:created xsi:type="dcterms:W3CDTF">2022-03-03T14:39:31Z</dcterms:created>
  <dcterms:modified xsi:type="dcterms:W3CDTF">2026-04-06T06:25:40Z</dcterms:modified>
</cp:coreProperties>
</file>