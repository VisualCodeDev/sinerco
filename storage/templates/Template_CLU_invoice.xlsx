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fonsus Vega\Documents\GitHub\sinerco\storage\templates\"/>
    </mc:Choice>
  </mc:AlternateContent>
  <xr:revisionPtr revIDLastSave="0" documentId="13_ncr:1_{3094FC58-77CC-47BF-9B95-37CC45317109}" xr6:coauthVersionLast="47" xr6:coauthVersionMax="47" xr10:uidLastSave="{00000000-0000-0000-0000-000000000000}"/>
  <bookViews>
    <workbookView xWindow="-110" yWindow="-110" windowWidth="25820" windowHeight="13900" tabRatio="819" xr2:uid="{00000000-000D-0000-FFFF-FFFF00000000}"/>
  </bookViews>
  <sheets>
    <sheet name="SUM" sheetId="12" r:id="rId1"/>
    <sheet name="CLU-7101" sheetId="25" r:id="rId2"/>
  </sheets>
  <definedNames>
    <definedName name="_xlnm.Print_Area" localSheetId="1">'CLU-7101'!#REF!</definedName>
    <definedName name="_xlnm.Print_Area" localSheetId="0">SUM!$A$1:$D$16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25" l="1"/>
  <c r="K42" i="25"/>
  <c r="K41" i="25"/>
  <c r="L42" i="25" l="1"/>
  <c r="D2" i="12" l="1"/>
</calcChain>
</file>

<file path=xl/sharedStrings.xml><?xml version="1.0" encoding="utf-8"?>
<sst xmlns="http://schemas.openxmlformats.org/spreadsheetml/2006/main" count="70" uniqueCount="63">
  <si>
    <t>THGT</t>
  </si>
  <si>
    <t>LOCATION</t>
  </si>
  <si>
    <t>UNIT</t>
  </si>
  <si>
    <t>JUMLAH</t>
  </si>
  <si>
    <t>TOTAL</t>
  </si>
  <si>
    <t>Lenah</t>
  </si>
  <si>
    <t>F &amp; A Manager</t>
  </si>
  <si>
    <t>STREAM</t>
  </si>
  <si>
    <t>PROCESSED</t>
  </si>
  <si>
    <t>MPI 7101 (unit C)</t>
  </si>
  <si>
    <t>INPUT</t>
  </si>
  <si>
    <t>LPSEP</t>
  </si>
  <si>
    <t>PSIG</t>
  </si>
  <si>
    <t>Tarif</t>
  </si>
  <si>
    <t>IDR/day</t>
  </si>
  <si>
    <t>CO2REMOV</t>
  </si>
  <si>
    <t xml:space="preserve">Mini Gas Compressor </t>
  </si>
  <si>
    <t>Record Data Sheet 2023 (SINERCO)</t>
  </si>
  <si>
    <t>DATE</t>
  </si>
  <si>
    <t>PRESSUCT</t>
  </si>
  <si>
    <t>PRESDISC</t>
  </si>
  <si>
    <t>GASRATE</t>
  </si>
  <si>
    <t>RUNHOUR</t>
  </si>
  <si>
    <t>STANHOUR</t>
  </si>
  <si>
    <t>DOWNHOUR</t>
  </si>
  <si>
    <t>Q Target</t>
  </si>
  <si>
    <t>Q Actual</t>
  </si>
  <si>
    <t>REMARK</t>
  </si>
  <si>
    <t>(PSI)</t>
  </si>
  <si>
    <t>(MSCFD)</t>
  </si>
  <si>
    <t>(HOURS)</t>
  </si>
  <si>
    <t>OUTLET :</t>
  </si>
  <si>
    <t>SYSTEM - NETWORK :</t>
  </si>
  <si>
    <t>PT Sigma Energy Compressindo</t>
  </si>
  <si>
    <t>PT Pertamina EP Zona 7 - Subang</t>
  </si>
  <si>
    <t>Subang Prod. Ops. Asst. Manager</t>
  </si>
  <si>
    <t>AVERAGE</t>
  </si>
  <si>
    <t>&gt;&gt; SP. CILAMAYA UTARA &lt;&lt;</t>
  </si>
  <si>
    <t>PAID</t>
  </si>
  <si>
    <t>Eko Tri Wahyudi</t>
  </si>
  <si>
    <t>{{suction_press}}</t>
  </si>
  <si>
    <t>{{discharge_press}}</t>
  </si>
  <si>
    <t>{{flowrate}}</t>
  </si>
  <si>
    <t>{{run}}</t>
  </si>
  <si>
    <t>{{stby}}</t>
  </si>
  <si>
    <t>{{down}}</t>
  </si>
  <si>
    <t>{{remarks}}</t>
  </si>
  <si>
    <t>{{avg_suction_press}}</t>
  </si>
  <si>
    <t>{{avg_discharge_press}}</t>
  </si>
  <si>
    <t>{{avg_flowrate}}</t>
  </si>
  <si>
    <t>{{total_flowrate}}</t>
  </si>
  <si>
    <t>{{total_run}}</t>
  </si>
  <si>
    <t>{{total_stby}}</t>
  </si>
  <si>
    <t>{{total_down}}</t>
  </si>
  <si>
    <t>{{date}}</t>
  </si>
  <si>
    <t>{{avg_run}}</t>
  </si>
  <si>
    <t>{{locations}}</t>
  </si>
  <si>
    <t>{{unit_sn}}</t>
  </si>
  <si>
    <t>Nama</t>
  </si>
  <si>
    <t>Department</t>
  </si>
  <si>
    <t>{{start_date}}</t>
  </si>
  <si>
    <t>{{price_unit_sn}}</t>
  </si>
  <si>
    <t>{{total_price}}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</si>
</sst>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41" formatCode="_-* #,##0_-;\-* #,##0_-;_-* &quot;-&quot;_-;_-@_-"/>
    <numFmt numFmtId="164" formatCode="_(* #,##0.00_);_(* \(#,##0.00\);_(* &quot;-&quot;??_);_(@_)"/>
    <numFmt numFmtId="165" formatCode="&quot;Rekap Perhitungan Invoice&quot;\ dd"/>
    <numFmt numFmtId="166" formatCode="\-\ dd\ mmmm\ yyyy"/>
    <numFmt numFmtId="167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u/>
      <sz val="11"/>
      <name val="Arial"/>
      <family val="2"/>
    </font>
    <font>
      <sz val="12"/>
      <color theme="1"/>
      <name val="Arial"/>
      <family val="2"/>
    </font>
    <font>
      <b/>
      <sz val="18"/>
      <color rgb="FF0070C0"/>
      <name val="Arial"/>
      <family val="2"/>
    </font>
    <font>
      <b/>
      <sz val="14"/>
      <color theme="2" tint="-0.749992370372631"/>
      <name val="Arial"/>
      <family val="2"/>
    </font>
    <font>
      <b/>
      <sz val="12"/>
      <color theme="1"/>
      <name val="Arial"/>
      <family val="2"/>
    </font>
    <font>
      <b/>
      <sz val="20"/>
      <color rgb="FF0070C0"/>
      <name val="Arial"/>
      <family val="2"/>
    </font>
    <font>
      <b/>
      <sz val="12"/>
      <color theme="1" tint="0.249977111117893"/>
      <name val="Arial"/>
      <family val="2"/>
    </font>
    <font>
      <b/>
      <sz val="12"/>
      <color theme="0"/>
      <name val="Arial"/>
      <family val="2"/>
    </font>
    <font>
      <u/>
      <sz val="12"/>
      <color theme="1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9D08E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42" fontId="2" fillId="0" borderId="7" xfId="2" applyNumberFormat="1" applyFont="1" applyBorder="1" applyAlignment="1">
      <alignment horizontal="center" vertical="center"/>
    </xf>
    <xf numFmtId="166" fontId="8" fillId="0" borderId="0" xfId="0" applyNumberFormat="1" applyFont="1" applyAlignment="1" applyProtection="1">
      <alignment horizontal="left" vertical="center"/>
      <protection locked="0"/>
    </xf>
    <xf numFmtId="0" fontId="2" fillId="0" borderId="0" xfId="2" applyFont="1" applyAlignment="1">
      <alignment vertical="center"/>
    </xf>
    <xf numFmtId="42" fontId="5" fillId="0" borderId="4" xfId="2" applyNumberFormat="1" applyFont="1" applyBorder="1" applyAlignment="1">
      <alignment vertical="center"/>
    </xf>
    <xf numFmtId="0" fontId="5" fillId="2" borderId="0" xfId="0" applyFont="1" applyFill="1" applyAlignment="1" applyProtection="1">
      <alignment horizontal="left" vertical="center"/>
      <protection locked="0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0" fillId="4" borderId="0" xfId="0" applyFont="1" applyFill="1" applyAlignment="1" applyProtection="1">
      <alignment horizontal="right" vertical="center"/>
      <protection locked="0"/>
    </xf>
    <xf numFmtId="3" fontId="10" fillId="0" borderId="0" xfId="0" applyNumberFormat="1" applyFont="1" applyAlignment="1" applyProtection="1">
      <alignment vertical="center"/>
      <protection locked="0"/>
    </xf>
    <xf numFmtId="15" fontId="10" fillId="0" borderId="1" xfId="0" applyNumberFormat="1" applyFont="1" applyBorder="1" applyAlignment="1" applyProtection="1">
      <alignment horizontal="center" vertical="center"/>
      <protection locked="0"/>
    </xf>
    <xf numFmtId="167" fontId="6" fillId="4" borderId="1" xfId="0" applyNumberFormat="1" applyFont="1" applyFill="1" applyBorder="1" applyAlignment="1" applyProtection="1">
      <alignment horizontal="center" vertical="center"/>
      <protection locked="0"/>
    </xf>
    <xf numFmtId="167" fontId="10" fillId="4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3" fontId="10" fillId="5" borderId="1" xfId="1" applyNumberFormat="1" applyFont="1" applyFill="1" applyBorder="1" applyAlignment="1" applyProtection="1">
      <alignment vertical="center"/>
      <protection locked="0"/>
    </xf>
    <xf numFmtId="167" fontId="10" fillId="0" borderId="1" xfId="0" applyNumberFormat="1" applyFont="1" applyBorder="1" applyAlignment="1" applyProtection="1">
      <alignment vertical="center" wrapText="1"/>
      <protection locked="0"/>
    </xf>
    <xf numFmtId="0" fontId="2" fillId="0" borderId="11" xfId="2" applyFont="1" applyBorder="1" applyAlignment="1">
      <alignment horizontal="center" vertical="center"/>
    </xf>
    <xf numFmtId="0" fontId="2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15" fontId="10" fillId="0" borderId="10" xfId="0" applyNumberFormat="1" applyFont="1" applyBorder="1" applyAlignment="1" applyProtection="1">
      <alignment horizontal="center" vertical="center"/>
      <protection locked="0"/>
    </xf>
    <xf numFmtId="167" fontId="6" fillId="4" borderId="10" xfId="0" applyNumberFormat="1" applyFont="1" applyFill="1" applyBorder="1" applyAlignment="1" applyProtection="1">
      <alignment horizontal="center" vertical="center"/>
      <protection locked="0"/>
    </xf>
    <xf numFmtId="167" fontId="10" fillId="4" borderId="10" xfId="0" applyNumberFormat="1" applyFont="1" applyFill="1" applyBorder="1" applyAlignment="1" applyProtection="1">
      <alignment horizontal="center" vertical="center"/>
      <protection locked="0"/>
    </xf>
    <xf numFmtId="1" fontId="10" fillId="0" borderId="10" xfId="0" applyNumberFormat="1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3" fontId="10" fillId="5" borderId="10" xfId="1" applyNumberFormat="1" applyFont="1" applyFill="1" applyBorder="1" applyAlignment="1" applyProtection="1">
      <alignment vertical="center"/>
      <protection locked="0"/>
    </xf>
    <xf numFmtId="167" fontId="10" fillId="0" borderId="10" xfId="0" applyNumberFormat="1" applyFont="1" applyBorder="1" applyAlignment="1" applyProtection="1">
      <alignment vertical="center" wrapText="1"/>
      <protection locked="0"/>
    </xf>
    <xf numFmtId="0" fontId="5" fillId="0" borderId="8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167" fontId="13" fillId="4" borderId="5" xfId="0" applyNumberFormat="1" applyFont="1" applyFill="1" applyBorder="1" applyAlignment="1" applyProtection="1">
      <alignment horizontal="center" vertical="center"/>
      <protection locked="0"/>
    </xf>
    <xf numFmtId="167" fontId="13" fillId="4" borderId="12" xfId="0" applyNumberFormat="1" applyFont="1" applyFill="1" applyBorder="1" applyAlignment="1" applyProtection="1">
      <alignment horizontal="center" vertical="center"/>
      <protection locked="0"/>
    </xf>
    <xf numFmtId="167" fontId="13" fillId="4" borderId="6" xfId="0" applyNumberFormat="1" applyFont="1" applyFill="1" applyBorder="1" applyAlignment="1" applyProtection="1">
      <alignment horizontal="center" vertical="center"/>
      <protection locked="0"/>
    </xf>
    <xf numFmtId="167" fontId="18" fillId="4" borderId="5" xfId="0" applyNumberFormat="1" applyFont="1" applyFill="1" applyBorder="1" applyAlignment="1" applyProtection="1">
      <alignment horizontal="center" vertical="center"/>
      <protection locked="0"/>
    </xf>
    <xf numFmtId="1" fontId="13" fillId="0" borderId="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3" fontId="13" fillId="6" borderId="12" xfId="1" applyNumberFormat="1" applyFont="1" applyFill="1" applyBorder="1" applyAlignment="1" applyProtection="1">
      <alignment vertical="center"/>
      <protection locked="0"/>
    </xf>
    <xf numFmtId="167" fontId="18" fillId="4" borderId="14" xfId="0" applyNumberFormat="1" applyFont="1" applyFill="1" applyBorder="1" applyAlignment="1" applyProtection="1">
      <alignment horizontal="center" vertical="center"/>
      <protection locked="0"/>
    </xf>
    <xf numFmtId="0" fontId="13" fillId="0" borderId="6" xfId="0" applyFont="1" applyBorder="1" applyAlignment="1">
      <alignment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1" fontId="13" fillId="0" borderId="6" xfId="0" applyNumberFormat="1" applyFont="1" applyBorder="1" applyAlignment="1" applyProtection="1">
      <alignment horizontal="center" vertical="center"/>
      <protection locked="0"/>
    </xf>
    <xf numFmtId="3" fontId="13" fillId="6" borderId="6" xfId="0" applyNumberFormat="1" applyFont="1" applyFill="1" applyBorder="1" applyAlignment="1">
      <alignment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165" fontId="8" fillId="0" borderId="0" xfId="0" applyNumberFormat="1" applyFont="1" applyAlignment="1" applyProtection="1">
      <alignment horizontal="right" vertical="center"/>
      <protection locked="0"/>
    </xf>
  </cellXfs>
  <cellStyles count="4">
    <cellStyle name="Comma [0]" xfId="1" builtinId="6"/>
    <cellStyle name="Comma 2" xfId="3" xr:uid="{00000000-0005-0000-0000-000001000000}"/>
    <cellStyle name="Normal" xfId="0" builtinId="0"/>
    <cellStyle name="Normal 3" xfId="2" xr:uid="{00000000-0005-0000-0000-000003000000}"/>
  </cellStyles>
  <dxfs count="0"/>
  <tableStyles count="0" defaultTableStyle="TableStyleMedium2" defaultPivotStyle="PivotStyleLight16"/>
  <colors>
    <mruColors>
      <color rgb="FFA9D08E"/>
      <color rgb="FFFFFFCC"/>
      <color rgb="FFFFF2CC"/>
      <color rgb="FFFFD966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  <pageSetUpPr fitToPage="1"/>
  </sheetPr>
  <dimension ref="B2:D16"/>
  <sheetViews>
    <sheetView tabSelected="1" topLeftCell="B1" zoomScaleNormal="100" workbookViewId="0">
      <selection activeCell="D6" sqref="D6"/>
    </sheetView>
  </sheetViews>
  <sheetFormatPr defaultColWidth="10.7265625" defaultRowHeight="20.149999999999999" customHeight="1" x14ac:dyDescent="0.35"/>
  <cols>
    <col min="1" max="1" width="2.7265625" style="9" customWidth="1"/>
    <col min="2" max="3" width="25.7265625" style="9" customWidth="1"/>
    <col min="4" max="4" width="28.7265625" style="9" customWidth="1"/>
    <col min="5" max="5" width="2.7265625" style="9" customWidth="1"/>
    <col min="6" max="16384" width="10.7265625" style="9"/>
  </cols>
  <sheetData>
    <row r="2" spans="2:4" ht="20.149999999999999" customHeight="1" x14ac:dyDescent="0.35">
      <c r="B2" s="64" t="s">
        <v>60</v>
      </c>
      <c r="C2" s="64"/>
      <c r="D2" s="8" t="e">
        <f>EOMONTH(B2,0)</f>
        <v>#VALUE!</v>
      </c>
    </row>
    <row r="3" spans="2:4" ht="20.149999999999999" customHeight="1" thickBot="1" x14ac:dyDescent="0.4"/>
    <row r="4" spans="2:4" ht="20.149999999999999" customHeight="1" thickBot="1" x14ac:dyDescent="0.4">
      <c r="B4" s="3" t="s">
        <v>1</v>
      </c>
      <c r="C4" s="4" t="s">
        <v>2</v>
      </c>
      <c r="D4" s="5" t="s">
        <v>3</v>
      </c>
    </row>
    <row r="5" spans="2:4" ht="20.149999999999999" customHeight="1" thickBot="1" x14ac:dyDescent="0.4">
      <c r="B5" s="30" t="s">
        <v>56</v>
      </c>
      <c r="C5" s="6" t="s">
        <v>57</v>
      </c>
      <c r="D5" s="7" t="s">
        <v>61</v>
      </c>
    </row>
    <row r="6" spans="2:4" ht="20.149999999999999" customHeight="1" thickBot="1" x14ac:dyDescent="0.4">
      <c r="B6" s="62" t="s">
        <v>4</v>
      </c>
      <c r="C6" s="63"/>
      <c r="D6" s="10" t="s">
        <v>62</v>
      </c>
    </row>
    <row r="9" spans="2:4" ht="20.149999999999999" customHeight="1" x14ac:dyDescent="0.35">
      <c r="B9" s="32" t="s">
        <v>33</v>
      </c>
    </row>
    <row r="10" spans="2:4" ht="20.149999999999999" customHeight="1" x14ac:dyDescent="0.35">
      <c r="B10" s="1"/>
    </row>
    <row r="11" spans="2:4" ht="20.149999999999999" customHeight="1" x14ac:dyDescent="0.35">
      <c r="B11" s="1"/>
    </row>
    <row r="12" spans="2:4" ht="20.149999999999999" customHeight="1" x14ac:dyDescent="0.35">
      <c r="B12" s="1"/>
    </row>
    <row r="13" spans="2:4" ht="20.149999999999999" customHeight="1" x14ac:dyDescent="0.35">
      <c r="B13" s="1"/>
    </row>
    <row r="14" spans="2:4" ht="20.149999999999999" customHeight="1" x14ac:dyDescent="0.35">
      <c r="B14" s="1"/>
    </row>
    <row r="15" spans="2:4" ht="20.149999999999999" customHeight="1" x14ac:dyDescent="0.35">
      <c r="B15" s="35" t="s">
        <v>58</v>
      </c>
    </row>
    <row r="16" spans="2:4" ht="20.149999999999999" customHeight="1" x14ac:dyDescent="0.35">
      <c r="B16" s="32" t="s">
        <v>59</v>
      </c>
    </row>
  </sheetData>
  <sheetProtection formatColumns="0" formatRows="0" insertColumns="0" insertRows="0" sort="0" autoFilter="0" pivotTables="0"/>
  <mergeCells count="2">
    <mergeCell ref="B6:C6"/>
    <mergeCell ref="B2:C2"/>
  </mergeCells>
  <phoneticPr fontId="4" type="noConversion"/>
  <printOptions horizontalCentered="1"/>
  <pageMargins left="0.59055118110236227" right="0.59055118110236227" top="0.39370078740157483" bottom="0.39370078740157483" header="0.19685039370078741" footer="0.1968503937007874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C226-97A0-466D-94F3-1AF344649529}">
  <sheetPr>
    <tabColor rgb="FFFF0000"/>
    <pageSetUpPr fitToPage="1"/>
  </sheetPr>
  <dimension ref="A1:R53"/>
  <sheetViews>
    <sheetView topLeftCell="A27" zoomScale="85" zoomScaleNormal="85" workbookViewId="0">
      <selection activeCell="M49" sqref="M49"/>
    </sheetView>
  </sheetViews>
  <sheetFormatPr defaultColWidth="16.7265625" defaultRowHeight="20.149999999999999" customHeight="1" x14ac:dyDescent="0.35"/>
  <cols>
    <col min="1" max="1" width="13.7265625" style="13" customWidth="1"/>
    <col min="2" max="2" width="15" style="13" bestFit="1" customWidth="1"/>
    <col min="3" max="3" width="13.453125" style="13" bestFit="1" customWidth="1"/>
    <col min="4" max="4" width="12.453125" style="13" bestFit="1" customWidth="1"/>
    <col min="5" max="5" width="13.453125" style="13" bestFit="1" customWidth="1"/>
    <col min="6" max="6" width="14.453125" style="13" bestFit="1" customWidth="1"/>
    <col min="7" max="7" width="15.453125" style="13" bestFit="1" customWidth="1"/>
    <col min="8" max="8" width="14.453125" style="13" hidden="1" customWidth="1"/>
    <col min="9" max="9" width="16.1796875" style="13" hidden="1" customWidth="1"/>
    <col min="10" max="10" width="11.26953125" style="13" bestFit="1" customWidth="1"/>
    <col min="11" max="11" width="10.81640625" style="13" bestFit="1" customWidth="1"/>
    <col min="12" max="12" width="14.7265625" style="13" customWidth="1"/>
    <col min="13" max="13" width="42.7265625" style="13" customWidth="1"/>
    <col min="14" max="18" width="16.7265625" style="32"/>
    <col min="19" max="16384" width="16.7265625" style="1"/>
  </cols>
  <sheetData>
    <row r="1" spans="1:18" s="2" customFormat="1" ht="23" x14ac:dyDescent="0.35">
      <c r="A1" s="12" t="s">
        <v>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31"/>
      <c r="O1" s="31"/>
      <c r="P1" s="31"/>
      <c r="Q1" s="31"/>
      <c r="R1" s="31"/>
    </row>
    <row r="2" spans="1:18" s="2" customFormat="1" ht="18" x14ac:dyDescent="0.35">
      <c r="A2" s="14" t="s">
        <v>10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32"/>
      <c r="O2" s="31"/>
      <c r="P2" s="31"/>
      <c r="Q2" s="31"/>
      <c r="R2" s="31"/>
    </row>
    <row r="3" spans="1:18" s="2" customFormat="1" ht="15.5" x14ac:dyDescent="0.35">
      <c r="A3" s="15" t="s">
        <v>31</v>
      </c>
      <c r="B3" s="16" t="s">
        <v>11</v>
      </c>
      <c r="C3" s="21">
        <v>10</v>
      </c>
      <c r="D3" s="16" t="s">
        <v>12</v>
      </c>
      <c r="E3" s="16"/>
      <c r="F3" s="16" t="s">
        <v>13</v>
      </c>
      <c r="G3" s="22">
        <v>1500000</v>
      </c>
      <c r="H3" s="16" t="s">
        <v>14</v>
      </c>
      <c r="I3" s="13"/>
      <c r="J3" s="13"/>
      <c r="K3" s="13"/>
      <c r="L3" s="13"/>
      <c r="M3" s="13"/>
      <c r="N3" s="32"/>
      <c r="O3" s="31"/>
      <c r="P3" s="31"/>
      <c r="Q3" s="31"/>
      <c r="R3" s="31"/>
    </row>
    <row r="4" spans="1:18" ht="15.5" x14ac:dyDescent="0.35">
      <c r="A4" s="15" t="s">
        <v>32</v>
      </c>
      <c r="B4" s="16" t="s">
        <v>15</v>
      </c>
      <c r="C4" s="21">
        <v>70</v>
      </c>
      <c r="D4" s="16" t="s">
        <v>12</v>
      </c>
      <c r="E4" s="16"/>
    </row>
    <row r="5" spans="1:18" ht="15.5" x14ac:dyDescent="0.35"/>
    <row r="6" spans="1:18" ht="25" x14ac:dyDescent="0.35">
      <c r="A6" s="17" t="s">
        <v>16</v>
      </c>
      <c r="E6" s="11" t="s">
        <v>9</v>
      </c>
    </row>
    <row r="7" spans="1:18" ht="15.5" x14ac:dyDescent="0.35">
      <c r="A7" s="18" t="s">
        <v>17</v>
      </c>
    </row>
    <row r="8" spans="1:18" ht="15.5" x14ac:dyDescent="0.35">
      <c r="A8" s="59" t="s">
        <v>18</v>
      </c>
      <c r="B8" s="19" t="s">
        <v>19</v>
      </c>
      <c r="C8" s="19" t="s">
        <v>20</v>
      </c>
      <c r="D8" s="19" t="s">
        <v>21</v>
      </c>
      <c r="E8" s="19" t="s">
        <v>22</v>
      </c>
      <c r="F8" s="19" t="s">
        <v>23</v>
      </c>
      <c r="G8" s="19" t="s">
        <v>24</v>
      </c>
      <c r="H8" s="59" t="s">
        <v>7</v>
      </c>
      <c r="I8" s="59" t="s">
        <v>8</v>
      </c>
      <c r="J8" s="59" t="s">
        <v>25</v>
      </c>
      <c r="K8" s="59" t="s">
        <v>26</v>
      </c>
      <c r="L8" s="59" t="s">
        <v>0</v>
      </c>
      <c r="M8" s="61" t="s">
        <v>27</v>
      </c>
    </row>
    <row r="9" spans="1:18" ht="15.5" x14ac:dyDescent="0.35">
      <c r="A9" s="60"/>
      <c r="B9" s="20" t="s">
        <v>28</v>
      </c>
      <c r="C9" s="20" t="s">
        <v>28</v>
      </c>
      <c r="D9" s="20" t="s">
        <v>29</v>
      </c>
      <c r="E9" s="20" t="s">
        <v>30</v>
      </c>
      <c r="F9" s="20" t="s">
        <v>30</v>
      </c>
      <c r="G9" s="20" t="s">
        <v>30</v>
      </c>
      <c r="H9" s="60"/>
      <c r="I9" s="60"/>
      <c r="J9" s="60"/>
      <c r="K9" s="60"/>
      <c r="L9" s="60"/>
      <c r="M9" s="61"/>
    </row>
    <row r="10" spans="1:18" ht="15.5" x14ac:dyDescent="0.35">
      <c r="A10" s="23" t="s">
        <v>54</v>
      </c>
      <c r="B10" s="24" t="s">
        <v>40</v>
      </c>
      <c r="C10" s="24" t="s">
        <v>41</v>
      </c>
      <c r="D10" s="25" t="s">
        <v>42</v>
      </c>
      <c r="E10" s="25" t="s">
        <v>43</v>
      </c>
      <c r="F10" s="25" t="s">
        <v>44</v>
      </c>
      <c r="G10" s="25" t="s">
        <v>45</v>
      </c>
      <c r="H10" s="26" t="s">
        <v>15</v>
      </c>
      <c r="I10" s="26" t="s">
        <v>38</v>
      </c>
      <c r="J10" s="27">
        <v>188.2</v>
      </c>
      <c r="K10" s="26">
        <v>229.71559999999999</v>
      </c>
      <c r="L10" s="28">
        <v>1500000</v>
      </c>
      <c r="M10" s="29" t="s">
        <v>46</v>
      </c>
    </row>
    <row r="11" spans="1:18" ht="15.5" x14ac:dyDescent="0.35">
      <c r="A11" s="23"/>
      <c r="B11" s="24"/>
      <c r="C11" s="24"/>
      <c r="D11" s="25"/>
      <c r="E11" s="25"/>
      <c r="F11" s="25"/>
      <c r="G11" s="25"/>
      <c r="H11" s="26"/>
      <c r="I11" s="26"/>
      <c r="J11" s="27"/>
      <c r="K11" s="26"/>
      <c r="L11" s="28"/>
      <c r="M11" s="29"/>
    </row>
    <row r="12" spans="1:18" ht="15.5" x14ac:dyDescent="0.35">
      <c r="A12" s="23"/>
      <c r="B12" s="24"/>
      <c r="C12" s="24"/>
      <c r="D12" s="25"/>
      <c r="E12" s="25"/>
      <c r="F12" s="25"/>
      <c r="G12" s="25"/>
      <c r="H12" s="26"/>
      <c r="I12" s="26"/>
      <c r="J12" s="27"/>
      <c r="K12" s="26"/>
      <c r="L12" s="28"/>
      <c r="M12" s="29"/>
    </row>
    <row r="13" spans="1:18" ht="15.5" x14ac:dyDescent="0.35">
      <c r="A13" s="23"/>
      <c r="B13" s="24"/>
      <c r="C13" s="24"/>
      <c r="D13" s="25"/>
      <c r="E13" s="25"/>
      <c r="F13" s="25"/>
      <c r="G13" s="25"/>
      <c r="H13" s="26"/>
      <c r="I13" s="26"/>
      <c r="J13" s="27"/>
      <c r="K13" s="26"/>
      <c r="L13" s="28"/>
      <c r="M13" s="29"/>
    </row>
    <row r="14" spans="1:18" ht="15.5" x14ac:dyDescent="0.35">
      <c r="A14" s="23"/>
      <c r="B14" s="24"/>
      <c r="C14" s="24"/>
      <c r="D14" s="25"/>
      <c r="E14" s="25"/>
      <c r="F14" s="25"/>
      <c r="G14" s="25"/>
      <c r="H14" s="26"/>
      <c r="I14" s="26"/>
      <c r="J14" s="27"/>
      <c r="K14" s="26"/>
      <c r="L14" s="28"/>
      <c r="M14" s="29"/>
    </row>
    <row r="15" spans="1:18" ht="15.5" x14ac:dyDescent="0.35">
      <c r="A15" s="23"/>
      <c r="B15" s="24"/>
      <c r="C15" s="24"/>
      <c r="D15" s="25"/>
      <c r="E15" s="25"/>
      <c r="F15" s="25"/>
      <c r="G15" s="25"/>
      <c r="H15" s="26"/>
      <c r="I15" s="26"/>
      <c r="J15" s="27"/>
      <c r="K15" s="26"/>
      <c r="L15" s="28"/>
      <c r="M15" s="29"/>
    </row>
    <row r="16" spans="1:18" ht="15.5" x14ac:dyDescent="0.35">
      <c r="A16" s="23"/>
      <c r="B16" s="24"/>
      <c r="C16" s="24"/>
      <c r="D16" s="25"/>
      <c r="E16" s="25"/>
      <c r="F16" s="25"/>
      <c r="G16" s="25"/>
      <c r="H16" s="26"/>
      <c r="I16" s="26"/>
      <c r="J16" s="27"/>
      <c r="K16" s="26"/>
      <c r="L16" s="28"/>
      <c r="M16" s="29"/>
    </row>
    <row r="17" spans="1:13" ht="15.5" x14ac:dyDescent="0.35">
      <c r="A17" s="23"/>
      <c r="B17" s="24"/>
      <c r="C17" s="24"/>
      <c r="D17" s="25"/>
      <c r="E17" s="25"/>
      <c r="F17" s="25"/>
      <c r="G17" s="25"/>
      <c r="H17" s="26"/>
      <c r="I17" s="26"/>
      <c r="J17" s="27"/>
      <c r="K17" s="26"/>
      <c r="L17" s="28"/>
      <c r="M17" s="29"/>
    </row>
    <row r="18" spans="1:13" ht="15.5" x14ac:dyDescent="0.35">
      <c r="A18" s="23"/>
      <c r="B18" s="24"/>
      <c r="C18" s="24"/>
      <c r="D18" s="25"/>
      <c r="E18" s="25"/>
      <c r="F18" s="25"/>
      <c r="G18" s="25"/>
      <c r="H18" s="26"/>
      <c r="I18" s="26"/>
      <c r="J18" s="27"/>
      <c r="K18" s="26"/>
      <c r="L18" s="28"/>
      <c r="M18" s="29"/>
    </row>
    <row r="19" spans="1:13" ht="15.5" x14ac:dyDescent="0.35">
      <c r="A19" s="23"/>
      <c r="B19" s="24"/>
      <c r="C19" s="24"/>
      <c r="D19" s="25"/>
      <c r="E19" s="25"/>
      <c r="F19" s="25"/>
      <c r="G19" s="25"/>
      <c r="H19" s="26"/>
      <c r="I19" s="26"/>
      <c r="J19" s="27"/>
      <c r="K19" s="26"/>
      <c r="L19" s="28"/>
      <c r="M19" s="29"/>
    </row>
    <row r="20" spans="1:13" ht="15.5" x14ac:dyDescent="0.35">
      <c r="A20" s="23"/>
      <c r="B20" s="24"/>
      <c r="C20" s="24"/>
      <c r="D20" s="25"/>
      <c r="E20" s="25"/>
      <c r="F20" s="25"/>
      <c r="G20" s="25"/>
      <c r="H20" s="26"/>
      <c r="I20" s="26"/>
      <c r="J20" s="27"/>
      <c r="K20" s="26"/>
      <c r="L20" s="28"/>
      <c r="M20" s="29"/>
    </row>
    <row r="21" spans="1:13" ht="15.5" x14ac:dyDescent="0.35">
      <c r="A21" s="23"/>
      <c r="B21" s="24"/>
      <c r="C21" s="24"/>
      <c r="D21" s="25"/>
      <c r="E21" s="25"/>
      <c r="F21" s="25"/>
      <c r="G21" s="25"/>
      <c r="H21" s="26"/>
      <c r="I21" s="26"/>
      <c r="J21" s="27"/>
      <c r="K21" s="26"/>
      <c r="L21" s="28"/>
      <c r="M21" s="29"/>
    </row>
    <row r="22" spans="1:13" ht="15.5" x14ac:dyDescent="0.35">
      <c r="A22" s="23"/>
      <c r="B22" s="24"/>
      <c r="C22" s="24"/>
      <c r="D22" s="25"/>
      <c r="E22" s="25"/>
      <c r="F22" s="25"/>
      <c r="G22" s="25"/>
      <c r="H22" s="26"/>
      <c r="I22" s="26"/>
      <c r="J22" s="27"/>
      <c r="K22" s="26"/>
      <c r="L22" s="28"/>
      <c r="M22" s="29"/>
    </row>
    <row r="23" spans="1:13" ht="15.5" x14ac:dyDescent="0.35">
      <c r="A23" s="23"/>
      <c r="B23" s="24"/>
      <c r="C23" s="24"/>
      <c r="D23" s="25"/>
      <c r="E23" s="25"/>
      <c r="F23" s="25"/>
      <c r="G23" s="25"/>
      <c r="H23" s="26"/>
      <c r="I23" s="26"/>
      <c r="J23" s="27"/>
      <c r="K23" s="26"/>
      <c r="L23" s="28"/>
      <c r="M23" s="29"/>
    </row>
    <row r="24" spans="1:13" ht="15.5" x14ac:dyDescent="0.35">
      <c r="A24" s="23"/>
      <c r="B24" s="24"/>
      <c r="C24" s="24"/>
      <c r="D24" s="25"/>
      <c r="E24" s="25"/>
      <c r="F24" s="25"/>
      <c r="G24" s="25"/>
      <c r="H24" s="26"/>
      <c r="I24" s="26"/>
      <c r="J24" s="27"/>
      <c r="K24" s="26"/>
      <c r="L24" s="28"/>
      <c r="M24" s="29"/>
    </row>
    <row r="25" spans="1:13" ht="15.5" x14ac:dyDescent="0.35">
      <c r="A25" s="23"/>
      <c r="B25" s="24"/>
      <c r="C25" s="24"/>
      <c r="D25" s="25"/>
      <c r="E25" s="25"/>
      <c r="F25" s="25"/>
      <c r="G25" s="25"/>
      <c r="H25" s="26"/>
      <c r="I25" s="26"/>
      <c r="J25" s="27"/>
      <c r="K25" s="26"/>
      <c r="L25" s="28"/>
      <c r="M25" s="29"/>
    </row>
    <row r="26" spans="1:13" ht="15.5" x14ac:dyDescent="0.35">
      <c r="A26" s="23"/>
      <c r="B26" s="24"/>
      <c r="C26" s="24"/>
      <c r="D26" s="25"/>
      <c r="E26" s="25"/>
      <c r="F26" s="25"/>
      <c r="G26" s="25"/>
      <c r="H26" s="26"/>
      <c r="I26" s="26"/>
      <c r="J26" s="27"/>
      <c r="K26" s="26"/>
      <c r="L26" s="28"/>
      <c r="M26" s="29"/>
    </row>
    <row r="27" spans="1:13" ht="15.5" x14ac:dyDescent="0.35">
      <c r="A27" s="23"/>
      <c r="B27" s="24"/>
      <c r="C27" s="24"/>
      <c r="D27" s="25"/>
      <c r="E27" s="25"/>
      <c r="F27" s="25"/>
      <c r="G27" s="25"/>
      <c r="H27" s="26"/>
      <c r="I27" s="26"/>
      <c r="J27" s="27"/>
      <c r="K27" s="26"/>
      <c r="L27" s="28"/>
      <c r="M27" s="29"/>
    </row>
    <row r="28" spans="1:13" ht="15.5" x14ac:dyDescent="0.35">
      <c r="A28" s="23"/>
      <c r="B28" s="24"/>
      <c r="C28" s="24"/>
      <c r="D28" s="25"/>
      <c r="E28" s="25"/>
      <c r="F28" s="25"/>
      <c r="G28" s="25"/>
      <c r="H28" s="26"/>
      <c r="I28" s="26"/>
      <c r="J28" s="27"/>
      <c r="K28" s="26"/>
      <c r="L28" s="28"/>
      <c r="M28" s="29"/>
    </row>
    <row r="29" spans="1:13" ht="15.5" x14ac:dyDescent="0.35">
      <c r="A29" s="23"/>
      <c r="B29" s="24"/>
      <c r="C29" s="24"/>
      <c r="D29" s="25"/>
      <c r="E29" s="25"/>
      <c r="F29" s="25"/>
      <c r="G29" s="25"/>
      <c r="H29" s="26"/>
      <c r="I29" s="26"/>
      <c r="J29" s="27"/>
      <c r="K29" s="26"/>
      <c r="L29" s="28"/>
      <c r="M29" s="29"/>
    </row>
    <row r="30" spans="1:13" ht="15.5" x14ac:dyDescent="0.35">
      <c r="A30" s="23"/>
      <c r="B30" s="24"/>
      <c r="C30" s="24"/>
      <c r="D30" s="25"/>
      <c r="E30" s="25"/>
      <c r="F30" s="25"/>
      <c r="G30" s="25"/>
      <c r="H30" s="26"/>
      <c r="I30" s="26"/>
      <c r="J30" s="27"/>
      <c r="K30" s="26"/>
      <c r="L30" s="28"/>
      <c r="M30" s="29"/>
    </row>
    <row r="31" spans="1:13" ht="15.5" x14ac:dyDescent="0.35">
      <c r="A31" s="23"/>
      <c r="B31" s="24"/>
      <c r="C31" s="24"/>
      <c r="D31" s="25"/>
      <c r="E31" s="25"/>
      <c r="F31" s="25"/>
      <c r="G31" s="25"/>
      <c r="H31" s="26"/>
      <c r="I31" s="26"/>
      <c r="J31" s="27"/>
      <c r="K31" s="26"/>
      <c r="L31" s="28"/>
      <c r="M31" s="29"/>
    </row>
    <row r="32" spans="1:13" ht="15.5" x14ac:dyDescent="0.35">
      <c r="A32" s="23"/>
      <c r="B32" s="24"/>
      <c r="C32" s="24"/>
      <c r="D32" s="25"/>
      <c r="E32" s="25"/>
      <c r="F32" s="25"/>
      <c r="G32" s="25"/>
      <c r="H32" s="26"/>
      <c r="I32" s="26"/>
      <c r="J32" s="27"/>
      <c r="K32" s="26"/>
      <c r="L32" s="28"/>
      <c r="M32" s="29"/>
    </row>
    <row r="33" spans="1:13" ht="15.5" x14ac:dyDescent="0.35">
      <c r="A33" s="23"/>
      <c r="B33" s="24"/>
      <c r="C33" s="24"/>
      <c r="D33" s="25"/>
      <c r="E33" s="25"/>
      <c r="F33" s="25"/>
      <c r="G33" s="25"/>
      <c r="H33" s="26"/>
      <c r="I33" s="26"/>
      <c r="J33" s="27"/>
      <c r="K33" s="26"/>
      <c r="L33" s="28"/>
      <c r="M33" s="29"/>
    </row>
    <row r="34" spans="1:13" ht="15.5" x14ac:dyDescent="0.35">
      <c r="A34" s="23"/>
      <c r="B34" s="24"/>
      <c r="C34" s="24"/>
      <c r="D34" s="25"/>
      <c r="E34" s="25"/>
      <c r="F34" s="25"/>
      <c r="G34" s="25"/>
      <c r="H34" s="26"/>
      <c r="I34" s="26"/>
      <c r="J34" s="27"/>
      <c r="K34" s="26"/>
      <c r="L34" s="28"/>
      <c r="M34" s="29"/>
    </row>
    <row r="35" spans="1:13" ht="15.5" x14ac:dyDescent="0.35">
      <c r="A35" s="23"/>
      <c r="B35" s="24"/>
      <c r="C35" s="24"/>
      <c r="D35" s="25"/>
      <c r="E35" s="25"/>
      <c r="F35" s="25"/>
      <c r="G35" s="25"/>
      <c r="H35" s="26"/>
      <c r="I35" s="26"/>
      <c r="J35" s="27"/>
      <c r="K35" s="26"/>
      <c r="L35" s="28"/>
      <c r="M35" s="29"/>
    </row>
    <row r="36" spans="1:13" ht="15.5" x14ac:dyDescent="0.35">
      <c r="A36" s="23"/>
      <c r="B36" s="24"/>
      <c r="C36" s="24"/>
      <c r="D36" s="25"/>
      <c r="E36" s="25"/>
      <c r="F36" s="25"/>
      <c r="G36" s="25"/>
      <c r="H36" s="26"/>
      <c r="I36" s="26"/>
      <c r="J36" s="27"/>
      <c r="K36" s="26"/>
      <c r="L36" s="28"/>
      <c r="M36" s="29"/>
    </row>
    <row r="37" spans="1:13" ht="15.5" x14ac:dyDescent="0.35">
      <c r="A37" s="23"/>
      <c r="B37" s="24"/>
      <c r="C37" s="24"/>
      <c r="D37" s="25"/>
      <c r="E37" s="25"/>
      <c r="F37" s="25"/>
      <c r="G37" s="25"/>
      <c r="H37" s="26"/>
      <c r="I37" s="26"/>
      <c r="J37" s="27"/>
      <c r="K37" s="26"/>
      <c r="L37" s="28"/>
      <c r="M37" s="29"/>
    </row>
    <row r="38" spans="1:13" ht="15.5" x14ac:dyDescent="0.35">
      <c r="A38" s="23"/>
      <c r="B38" s="24"/>
      <c r="C38" s="24"/>
      <c r="D38" s="25"/>
      <c r="E38" s="25"/>
      <c r="F38" s="25"/>
      <c r="G38" s="25"/>
      <c r="H38" s="26"/>
      <c r="I38" s="26"/>
      <c r="J38" s="27"/>
      <c r="K38" s="26"/>
      <c r="L38" s="28"/>
      <c r="M38" s="29"/>
    </row>
    <row r="39" spans="1:13" ht="15.5" x14ac:dyDescent="0.35">
      <c r="A39" s="23"/>
      <c r="B39" s="24"/>
      <c r="C39" s="24"/>
      <c r="D39" s="25"/>
      <c r="E39" s="25"/>
      <c r="F39" s="25"/>
      <c r="G39" s="25"/>
      <c r="H39" s="26"/>
      <c r="I39" s="26"/>
      <c r="J39" s="27"/>
      <c r="K39" s="26"/>
      <c r="L39" s="28"/>
      <c r="M39" s="29"/>
    </row>
    <row r="40" spans="1:13" ht="16" thickBot="1" x14ac:dyDescent="0.4">
      <c r="A40" s="36"/>
      <c r="B40" s="37"/>
      <c r="C40" s="37"/>
      <c r="D40" s="38"/>
      <c r="E40" s="38"/>
      <c r="F40" s="38"/>
      <c r="G40" s="38"/>
      <c r="H40" s="39"/>
      <c r="I40" s="39"/>
      <c r="J40" s="40"/>
      <c r="K40" s="39"/>
      <c r="L40" s="41"/>
      <c r="M40" s="42"/>
    </row>
    <row r="41" spans="1:13" ht="15.5" x14ac:dyDescent="0.35">
      <c r="A41" s="43" t="s">
        <v>36</v>
      </c>
      <c r="B41" s="50" t="s">
        <v>47</v>
      </c>
      <c r="C41" s="50" t="s">
        <v>48</v>
      </c>
      <c r="D41" s="47" t="s">
        <v>49</v>
      </c>
      <c r="E41" s="47" t="s">
        <v>55</v>
      </c>
      <c r="F41" s="48"/>
      <c r="G41" s="48"/>
      <c r="H41" s="51"/>
      <c r="I41" s="51"/>
      <c r="J41" s="52">
        <f t="shared" ref="J41" si="0">IFERROR(AVERAGE(J10:J40),"")</f>
        <v>188.2</v>
      </c>
      <c r="K41" s="51">
        <f t="shared" ref="K41" si="1">IFERROR(AVERAGE(K10:K40),"")</f>
        <v>229.71559999999999</v>
      </c>
      <c r="L41" s="53"/>
      <c r="M41" s="44"/>
    </row>
    <row r="42" spans="1:13" ht="16" thickBot="1" x14ac:dyDescent="0.4">
      <c r="A42" s="45" t="s">
        <v>4</v>
      </c>
      <c r="B42" s="54"/>
      <c r="C42" s="54"/>
      <c r="D42" s="49" t="s">
        <v>50</v>
      </c>
      <c r="E42" s="49" t="s">
        <v>51</v>
      </c>
      <c r="F42" s="49" t="s">
        <v>52</v>
      </c>
      <c r="G42" s="49" t="s">
        <v>53</v>
      </c>
      <c r="H42" s="55"/>
      <c r="I42" s="55"/>
      <c r="J42" s="56"/>
      <c r="K42" s="57">
        <f t="shared" ref="K42" si="2">IF(COUNT(K10:K40)=0,"",SUM(K10:K40))</f>
        <v>229.71559999999999</v>
      </c>
      <c r="L42" s="58">
        <f>SUM(L10:L40)</f>
        <v>1500000</v>
      </c>
      <c r="M42" s="46"/>
    </row>
    <row r="46" spans="1:13" ht="20.149999999999999" customHeight="1" x14ac:dyDescent="0.35">
      <c r="A46" s="33" t="s">
        <v>33</v>
      </c>
      <c r="L46" s="33" t="s">
        <v>34</v>
      </c>
    </row>
    <row r="52" spans="1:12" ht="20.149999999999999" customHeight="1" x14ac:dyDescent="0.35">
      <c r="A52" s="34" t="s">
        <v>5</v>
      </c>
      <c r="L52" s="34" t="s">
        <v>39</v>
      </c>
    </row>
    <row r="53" spans="1:12" ht="20.149999999999999" customHeight="1" x14ac:dyDescent="0.35">
      <c r="A53" s="33" t="s">
        <v>6</v>
      </c>
      <c r="L53" s="33" t="s">
        <v>35</v>
      </c>
    </row>
  </sheetData>
  <sheetProtection algorithmName="SHA-512" hashValue="koNMChXt115CRA0DyrPISTXPtRlxEYtTsKs3buOdkxLK76aGS0/B/tvdYWRnLE08F0auq1uu9vdaI2cljrGoDg==" saltValue="UNDTJPUdc2YLxhAl49fQ/Q==" spinCount="100000" sheet="1" objects="1" scenarios="1" formatColumns="0" formatRows="0" insertColumns="0" insertRows="0" sort="0" autoFilter="0" pivotTables="0"/>
  <mergeCells count="7">
    <mergeCell ref="L8:L9"/>
    <mergeCell ref="M8:M9"/>
    <mergeCell ref="A8:A9"/>
    <mergeCell ref="H8:H9"/>
    <mergeCell ref="I8:I9"/>
    <mergeCell ref="J8:J9"/>
    <mergeCell ref="K8:K9"/>
  </mergeCells>
  <printOptions horizontalCentered="1"/>
  <pageMargins left="0.39370078740157483" right="0.39370078740157483" top="0.59055118110236227" bottom="0.59055118110236227" header="0.19685039370078741" footer="0.19685039370078741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</vt:lpstr>
      <vt:lpstr>CLU-7101</vt:lpstr>
      <vt:lpstr>SUM!Print_Area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Hendra L</dc:creator>
  <cp:lastModifiedBy>2022 ALFONSUS VEGA HENTYA TANOJO</cp:lastModifiedBy>
  <cp:lastPrinted>2023-12-13T05:57:31Z</cp:lastPrinted>
  <dcterms:created xsi:type="dcterms:W3CDTF">2022-04-18T09:19:55Z</dcterms:created>
  <dcterms:modified xsi:type="dcterms:W3CDTF">2026-04-27T06:23:35Z</dcterms:modified>
</cp:coreProperties>
</file>