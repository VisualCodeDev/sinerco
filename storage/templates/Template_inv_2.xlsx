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fonsus Vega\Documents\GitHub\sinerco\storage\templates\"/>
    </mc:Choice>
  </mc:AlternateContent>
  <xr:revisionPtr revIDLastSave="0" documentId="13_ncr:1_{202A29AB-850F-4A73-8F3C-052CCE36551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Rekap Inv" sheetId="8" r:id="rId1"/>
    <sheet name="5019" sheetId="9" r:id="rId2"/>
  </sheets>
  <definedNames>
    <definedName name="_xlnm.Print_Area" localSheetId="1">'5019'!$A$1:$S$38</definedName>
    <definedName name="_xlnm.Print_Area" localSheetId="0">'Rekap Inv'!$A$1:$E$16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7" i="9" l="1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R6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K37" i="9" l="1"/>
  <c r="G37" i="9"/>
  <c r="E37" i="9"/>
  <c r="D37" i="9"/>
  <c r="C37" i="9"/>
  <c r="J37" i="9"/>
  <c r="A6" i="9" l="1"/>
  <c r="V2" i="9"/>
  <c r="V3" i="9"/>
  <c r="A1" i="8"/>
  <c r="N6" i="9" l="1"/>
  <c r="A7" i="9" l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l="1"/>
  <c r="A36" i="9" s="1"/>
  <c r="F6" i="9" l="1"/>
  <c r="P6" i="9" l="1"/>
  <c r="F37" i="9"/>
  <c r="M38" i="9" l="1"/>
  <c r="L38" i="9"/>
  <c r="K38" i="9"/>
  <c r="Q6" i="9" l="1"/>
  <c r="J38" i="9" l="1"/>
  <c r="E38" i="9"/>
  <c r="R38" i="9" l="1"/>
</calcChain>
</file>

<file path=xl/sharedStrings.xml><?xml version="1.0" encoding="utf-8"?>
<sst xmlns="http://schemas.openxmlformats.org/spreadsheetml/2006/main" count="67" uniqueCount="61">
  <si>
    <t>MONTHLY GAS COMPRESSION REPORT</t>
  </si>
  <si>
    <t>GasJack Compressor</t>
  </si>
  <si>
    <t>Date</t>
  </si>
  <si>
    <t>Performance</t>
  </si>
  <si>
    <t xml:space="preserve">Avaibility </t>
  </si>
  <si>
    <t>Nilai</t>
  </si>
  <si>
    <t>Remarks</t>
  </si>
  <si>
    <t>C/90%</t>
  </si>
  <si>
    <t>D/95%</t>
  </si>
  <si>
    <t>Invoice</t>
  </si>
  <si>
    <t>TOTAL</t>
  </si>
  <si>
    <t>Total invoice</t>
  </si>
  <si>
    <t>IDR</t>
  </si>
  <si>
    <t>Total</t>
  </si>
  <si>
    <t>Pihak kesatu</t>
  </si>
  <si>
    <t>Pihak Kedua</t>
  </si>
  <si>
    <t>Benny</t>
  </si>
  <si>
    <t>Direktur Utama</t>
  </si>
  <si>
    <t>psig</t>
  </si>
  <si>
    <t>MSCFD</t>
  </si>
  <si>
    <t>%</t>
  </si>
  <si>
    <t>AVERAGE</t>
  </si>
  <si>
    <t>P Source</t>
  </si>
  <si>
    <t>P Suct.</t>
  </si>
  <si>
    <t>P Disch.</t>
  </si>
  <si>
    <t>Volume</t>
  </si>
  <si>
    <t>Perf.</t>
  </si>
  <si>
    <t>Curve</t>
  </si>
  <si>
    <t>T Disch.</t>
  </si>
  <si>
    <t>Speed</t>
  </si>
  <si>
    <t>Liquid Gain</t>
  </si>
  <si>
    <t>Operating Time (hrs)</t>
  </si>
  <si>
    <t>Run</t>
  </si>
  <si>
    <t>Availability</t>
  </si>
  <si>
    <t>MSCF</t>
  </si>
  <si>
    <t>°F</t>
  </si>
  <si>
    <t>RPM</t>
  </si>
  <si>
    <t>BPD</t>
  </si>
  <si>
    <t>Standby</t>
  </si>
  <si>
    <t>Down</t>
  </si>
  <si>
    <t>Unit S/N</t>
  </si>
  <si>
    <t>Unit rate / day</t>
  </si>
  <si>
    <t>Tanggal awal tagihan</t>
  </si>
  <si>
    <t>Unit rate / day :</t>
  </si>
  <si>
    <t>Standby rate / day :</t>
  </si>
  <si>
    <t>Standby rate / day</t>
  </si>
  <si>
    <t>Sr. Manager Tambun Field</t>
  </si>
  <si>
    <t>Totok Parafianto</t>
  </si>
  <si>
    <t/>
  </si>
  <si>
    <t>{{suction_press}}</t>
  </si>
  <si>
    <t>{{discharge_press}}</t>
  </si>
  <si>
    <t>{{curve}}</t>
  </si>
  <si>
    <t>{{run}}</t>
  </si>
  <si>
    <t>{{stby}}</t>
  </si>
  <si>
    <t>{{down}}</t>
  </si>
  <si>
    <t>{{remarks}}</t>
  </si>
  <si>
    <t>{{unit_sn}}</t>
  </si>
  <si>
    <t>{{start_date}}</t>
  </si>
  <si>
    <t>{{price_unit_sn}}</t>
  </si>
  <si>
    <t>{{flowrate}}</t>
  </si>
  <si>
    <t>{{total_price}}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</si>
</sst>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.00_);_(* \(#,##0.00\);_(* &quot;-&quot;??_);_(@_)"/>
    <numFmt numFmtId="165" formatCode="_(&quot;Rp&quot;* #,##0_);_(&quot;Rp&quot;* \(#,##0\);_(&quot;Rp&quot;* &quot;-&quot;_);_(@_)"/>
    <numFmt numFmtId="166" formatCode="\:\ @"/>
    <numFmt numFmtId="167" formatCode="[$-409]d\ mmm;@"/>
    <numFmt numFmtId="168" formatCode="#,##0.0000"/>
    <numFmt numFmtId="169" formatCode="[hh]:mm"/>
    <numFmt numFmtId="170" formatCode="[$Rp-3809]#,##0.0"/>
    <numFmt numFmtId="171" formatCode="0.00_)"/>
    <numFmt numFmtId="172" formatCode="_(* #,##0_);_(* \(#,##0\);_(* &quot;-&quot;??_);_(@_)"/>
    <numFmt numFmtId="173" formatCode="&quot;Biaya&quot;\ [$-421]\ mmmm\ yyyy"/>
    <numFmt numFmtId="174" formatCode="[$-421]d\ mmm\ yy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u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6600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b/>
      <sz val="11"/>
      <color rgb="FF006600"/>
      <name val="Arial"/>
      <family val="2"/>
    </font>
    <font>
      <b/>
      <sz val="11"/>
      <color rgb="FF0000FF"/>
      <name val="Arial"/>
      <family val="2"/>
    </font>
    <font>
      <b/>
      <sz val="11"/>
      <color rgb="FFFF000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ourier New"/>
      <family val="2"/>
      <charset val="1"/>
    </font>
    <font>
      <sz val="10"/>
      <name val="Courier"/>
      <family val="3"/>
    </font>
    <font>
      <b/>
      <sz val="14"/>
      <name val="Arial"/>
      <family val="2"/>
    </font>
    <font>
      <u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auto="1"/>
      </diagonal>
    </border>
    <border diagonalUp="1">
      <left style="medium">
        <color indexed="64"/>
      </left>
      <right style="medium">
        <color indexed="64"/>
      </right>
      <top style="thin">
        <color indexed="64"/>
      </top>
      <bottom style="medium">
        <color auto="1"/>
      </bottom>
      <diagonal style="thin">
        <color auto="1"/>
      </diagonal>
    </border>
  </borders>
  <cellStyleXfs count="11">
    <xf numFmtId="0" fontId="0" fillId="0" borderId="0"/>
    <xf numFmtId="0" fontId="2" fillId="0" borderId="0"/>
    <xf numFmtId="9" fontId="2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4" fillId="0" borderId="0"/>
    <xf numFmtId="171" fontId="15" fillId="0" borderId="0"/>
    <xf numFmtId="0" fontId="14" fillId="0" borderId="0"/>
    <xf numFmtId="9" fontId="14" fillId="0" borderId="0" applyFont="0" applyFill="0" applyBorder="0" applyAlignment="0" applyProtection="0"/>
  </cellStyleXfs>
  <cellXfs count="118">
    <xf numFmtId="0" fontId="0" fillId="0" borderId="0" xfId="0"/>
    <xf numFmtId="0" fontId="5" fillId="2" borderId="7" xfId="1" applyFont="1" applyFill="1" applyBorder="1" applyAlignment="1">
      <alignment vertical="center"/>
    </xf>
    <xf numFmtId="0" fontId="5" fillId="2" borderId="0" xfId="1" applyFont="1" applyFill="1" applyAlignment="1">
      <alignment vertical="center"/>
    </xf>
    <xf numFmtId="0" fontId="6" fillId="2" borderId="0" xfId="1" applyFont="1" applyFill="1" applyAlignment="1">
      <alignment horizontal="right" vertical="center"/>
    </xf>
    <xf numFmtId="166" fontId="6" fillId="2" borderId="0" xfId="1" applyNumberFormat="1" applyFont="1" applyFill="1" applyAlignment="1" applyProtection="1">
      <alignment vertical="center"/>
      <protection locked="0"/>
    </xf>
    <xf numFmtId="0" fontId="5" fillId="2" borderId="8" xfId="1" applyFont="1" applyFill="1" applyBorder="1" applyAlignment="1">
      <alignment vertical="center"/>
    </xf>
    <xf numFmtId="0" fontId="6" fillId="0" borderId="10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165" fontId="5" fillId="0" borderId="0" xfId="1" applyNumberFormat="1" applyFont="1" applyAlignment="1">
      <alignment vertical="center"/>
    </xf>
    <xf numFmtId="0" fontId="5" fillId="0" borderId="0" xfId="1" applyFont="1" applyAlignment="1">
      <alignment vertical="center"/>
    </xf>
    <xf numFmtId="9" fontId="6" fillId="0" borderId="4" xfId="1" applyNumberFormat="1" applyFont="1" applyBorder="1" applyAlignment="1">
      <alignment horizontal="center" vertical="center"/>
    </xf>
    <xf numFmtId="9" fontId="6" fillId="0" borderId="14" xfId="1" applyNumberFormat="1" applyFont="1" applyBorder="1" applyAlignment="1">
      <alignment horizontal="center" vertical="center"/>
    </xf>
    <xf numFmtId="4" fontId="5" fillId="0" borderId="10" xfId="5" applyNumberFormat="1" applyFont="1" applyBorder="1" applyAlignment="1" applyProtection="1">
      <alignment vertical="top"/>
      <protection locked="0"/>
    </xf>
    <xf numFmtId="168" fontId="5" fillId="0" borderId="10" xfId="5" applyNumberFormat="1" applyFont="1" applyBorder="1" applyAlignment="1" applyProtection="1">
      <alignment vertical="top"/>
      <protection locked="0"/>
    </xf>
    <xf numFmtId="168" fontId="5" fillId="0" borderId="10" xfId="1" applyNumberFormat="1" applyFont="1" applyBorder="1" applyAlignment="1" applyProtection="1">
      <alignment vertical="top"/>
      <protection locked="0"/>
    </xf>
    <xf numFmtId="4" fontId="5" fillId="0" borderId="10" xfId="1" applyNumberFormat="1" applyFont="1" applyBorder="1" applyAlignment="1" applyProtection="1">
      <alignment vertical="top"/>
      <protection locked="0"/>
    </xf>
    <xf numFmtId="3" fontId="5" fillId="0" borderId="10" xfId="1" applyNumberFormat="1" applyFont="1" applyBorder="1" applyAlignment="1" applyProtection="1">
      <alignment vertical="top"/>
      <protection locked="0"/>
    </xf>
    <xf numFmtId="169" fontId="8" fillId="0" borderId="16" xfId="5" applyNumberFormat="1" applyFont="1" applyBorder="1" applyAlignment="1" applyProtection="1">
      <alignment horizontal="right" vertical="top"/>
      <protection locked="0"/>
    </xf>
    <xf numFmtId="4" fontId="5" fillId="0" borderId="16" xfId="5" applyNumberFormat="1" applyFont="1" applyBorder="1" applyAlignment="1" applyProtection="1">
      <alignment vertical="top"/>
      <protection locked="0"/>
    </xf>
    <xf numFmtId="168" fontId="5" fillId="0" borderId="16" xfId="5" applyNumberFormat="1" applyFont="1" applyBorder="1" applyAlignment="1" applyProtection="1">
      <alignment vertical="top"/>
      <protection locked="0"/>
    </xf>
    <xf numFmtId="168" fontId="5" fillId="0" borderId="16" xfId="1" applyNumberFormat="1" applyFont="1" applyBorder="1" applyAlignment="1" applyProtection="1">
      <alignment vertical="top"/>
      <protection locked="0"/>
    </xf>
    <xf numFmtId="4" fontId="5" fillId="0" borderId="16" xfId="1" applyNumberFormat="1" applyFont="1" applyBorder="1" applyAlignment="1" applyProtection="1">
      <alignment vertical="top"/>
      <protection locked="0"/>
    </xf>
    <xf numFmtId="3" fontId="5" fillId="0" borderId="16" xfId="1" applyNumberFormat="1" applyFont="1" applyBorder="1" applyAlignment="1" applyProtection="1">
      <alignment vertical="top"/>
      <protection locked="0"/>
    </xf>
    <xf numFmtId="169" fontId="8" fillId="0" borderId="10" xfId="5" applyNumberFormat="1" applyFont="1" applyBorder="1" applyAlignment="1" applyProtection="1">
      <alignment horizontal="right" vertical="top"/>
      <protection locked="0"/>
    </xf>
    <xf numFmtId="2" fontId="9" fillId="0" borderId="16" xfId="2" applyNumberFormat="1" applyFont="1" applyFill="1" applyBorder="1" applyAlignment="1" applyProtection="1">
      <alignment horizontal="right" vertical="top" wrapText="1"/>
      <protection locked="0"/>
    </xf>
    <xf numFmtId="10" fontId="9" fillId="2" borderId="16" xfId="0" applyNumberFormat="1" applyFont="1" applyFill="1" applyBorder="1" applyAlignment="1" applyProtection="1">
      <alignment horizontal="right" vertical="top"/>
      <protection locked="0"/>
    </xf>
    <xf numFmtId="10" fontId="9" fillId="0" borderId="10" xfId="0" applyNumberFormat="1" applyFont="1" applyBorder="1" applyAlignment="1" applyProtection="1">
      <alignment horizontal="right" vertical="top"/>
      <protection locked="0"/>
    </xf>
    <xf numFmtId="10" fontId="9" fillId="0" borderId="16" xfId="0" applyNumberFormat="1" applyFont="1" applyBorder="1" applyAlignment="1" applyProtection="1">
      <alignment horizontal="right" vertical="top"/>
      <protection locked="0"/>
    </xf>
    <xf numFmtId="167" fontId="5" fillId="0" borderId="16" xfId="1" quotePrefix="1" applyNumberFormat="1" applyFont="1" applyBorder="1" applyAlignment="1">
      <alignment horizontal="center" vertical="top"/>
    </xf>
    <xf numFmtId="10" fontId="7" fillId="0" borderId="10" xfId="5" applyNumberFormat="1" applyFont="1" applyBorder="1" applyAlignment="1">
      <alignment horizontal="right" vertical="top"/>
    </xf>
    <xf numFmtId="10" fontId="9" fillId="3" borderId="10" xfId="6" applyNumberFormat="1" applyFont="1" applyFill="1" applyBorder="1" applyAlignment="1" applyProtection="1">
      <alignment horizontal="right" vertical="top" wrapText="1"/>
    </xf>
    <xf numFmtId="2" fontId="9" fillId="0" borderId="10" xfId="2" applyNumberFormat="1" applyFont="1" applyFill="1" applyBorder="1" applyAlignment="1" applyProtection="1">
      <alignment horizontal="right" vertical="top" wrapText="1"/>
    </xf>
    <xf numFmtId="2" fontId="9" fillId="0" borderId="10" xfId="2" applyNumberFormat="1" applyFont="1" applyBorder="1" applyAlignment="1" applyProtection="1">
      <alignment horizontal="right" vertical="top" wrapText="1"/>
    </xf>
    <xf numFmtId="2" fontId="9" fillId="0" borderId="16" xfId="2" applyNumberFormat="1" applyFont="1" applyFill="1" applyBorder="1" applyAlignment="1" applyProtection="1">
      <alignment horizontal="right" vertical="top" wrapText="1"/>
    </xf>
    <xf numFmtId="2" fontId="9" fillId="0" borderId="16" xfId="2" applyNumberFormat="1" applyFont="1" applyBorder="1" applyAlignment="1" applyProtection="1">
      <alignment horizontal="right" vertical="top" wrapText="1"/>
    </xf>
    <xf numFmtId="0" fontId="5" fillId="0" borderId="0" xfId="1" applyFont="1" applyAlignment="1" applyProtection="1">
      <alignment vertical="center"/>
      <protection locked="0"/>
    </xf>
    <xf numFmtId="2" fontId="5" fillId="0" borderId="0" xfId="1" applyNumberFormat="1" applyFont="1" applyAlignment="1" applyProtection="1">
      <alignment vertical="center"/>
      <protection locked="0"/>
    </xf>
    <xf numFmtId="170" fontId="5" fillId="0" borderId="0" xfId="1" applyNumberFormat="1" applyFont="1" applyAlignment="1" applyProtection="1">
      <alignment vertical="center"/>
      <protection locked="0"/>
    </xf>
    <xf numFmtId="1" fontId="5" fillId="0" borderId="0" xfId="1" applyNumberFormat="1" applyFont="1" applyAlignment="1" applyProtection="1">
      <alignment vertical="center"/>
      <protection locked="0"/>
    </xf>
    <xf numFmtId="165" fontId="5" fillId="0" borderId="10" xfId="5" applyNumberFormat="1" applyFont="1" applyBorder="1" applyAlignment="1">
      <alignment vertical="top"/>
    </xf>
    <xf numFmtId="0" fontId="17" fillId="0" borderId="0" xfId="0" applyFont="1" applyProtection="1">
      <protection locked="0"/>
    </xf>
    <xf numFmtId="0" fontId="6" fillId="0" borderId="0" xfId="0" applyFont="1" applyAlignment="1" applyProtection="1">
      <alignment vertical="top"/>
      <protection locked="0"/>
    </xf>
    <xf numFmtId="0" fontId="5" fillId="0" borderId="0" xfId="0" applyFont="1" applyAlignment="1">
      <alignment vertical="center"/>
    </xf>
    <xf numFmtId="164" fontId="5" fillId="0" borderId="0" xfId="3" applyFont="1" applyBorder="1" applyAlignment="1" applyProtection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vertical="top"/>
      <protection locked="0"/>
    </xf>
    <xf numFmtId="167" fontId="5" fillId="0" borderId="17" xfId="1" quotePrefix="1" applyNumberFormat="1" applyFont="1" applyBorder="1" applyAlignment="1">
      <alignment horizontal="center" vertical="top"/>
    </xf>
    <xf numFmtId="4" fontId="5" fillId="0" borderId="17" xfId="1" applyNumberFormat="1" applyFont="1" applyBorder="1" applyAlignment="1" applyProtection="1">
      <alignment vertical="top"/>
      <protection locked="0"/>
    </xf>
    <xf numFmtId="4" fontId="5" fillId="0" borderId="17" xfId="5" applyNumberFormat="1" applyFont="1" applyBorder="1" applyAlignment="1" applyProtection="1">
      <alignment vertical="top"/>
      <protection locked="0"/>
    </xf>
    <xf numFmtId="168" fontId="5" fillId="0" borderId="17" xfId="5" applyNumberFormat="1" applyFont="1" applyBorder="1" applyAlignment="1" applyProtection="1">
      <alignment vertical="top"/>
      <protection locked="0"/>
    </xf>
    <xf numFmtId="168" fontId="5" fillId="0" borderId="17" xfId="1" applyNumberFormat="1" applyFont="1" applyBorder="1" applyAlignment="1" applyProtection="1">
      <alignment vertical="top"/>
      <protection locked="0"/>
    </xf>
    <xf numFmtId="3" fontId="5" fillId="0" borderId="17" xfId="1" applyNumberFormat="1" applyFont="1" applyBorder="1" applyAlignment="1" applyProtection="1">
      <alignment vertical="top"/>
      <protection locked="0"/>
    </xf>
    <xf numFmtId="169" fontId="8" fillId="0" borderId="17" xfId="5" applyNumberFormat="1" applyFont="1" applyBorder="1" applyAlignment="1" applyProtection="1">
      <alignment horizontal="right" vertical="top"/>
      <protection locked="0"/>
    </xf>
    <xf numFmtId="10" fontId="9" fillId="2" borderId="17" xfId="0" applyNumberFormat="1" applyFont="1" applyFill="1" applyBorder="1" applyAlignment="1" applyProtection="1">
      <alignment horizontal="right" vertical="top"/>
      <protection locked="0"/>
    </xf>
    <xf numFmtId="2" fontId="9" fillId="0" borderId="17" xfId="2" applyNumberFormat="1" applyFont="1" applyFill="1" applyBorder="1" applyAlignment="1" applyProtection="1">
      <alignment horizontal="right" vertical="top" wrapText="1"/>
      <protection locked="0"/>
    </xf>
    <xf numFmtId="9" fontId="5" fillId="0" borderId="0" xfId="0" applyNumberFormat="1" applyFont="1" applyAlignment="1">
      <alignment vertical="center"/>
    </xf>
    <xf numFmtId="0" fontId="5" fillId="0" borderId="0" xfId="1" applyFont="1" applyAlignment="1">
      <alignment horizontal="right" vertical="center"/>
    </xf>
    <xf numFmtId="0" fontId="5" fillId="0" borderId="18" xfId="0" applyFont="1" applyBorder="1" applyAlignment="1">
      <alignment vertical="center"/>
    </xf>
    <xf numFmtId="167" fontId="5" fillId="0" borderId="10" xfId="1" quotePrefix="1" applyNumberFormat="1" applyFont="1" applyBorder="1" applyAlignment="1">
      <alignment horizontal="center" vertical="top"/>
    </xf>
    <xf numFmtId="0" fontId="6" fillId="2" borderId="9" xfId="1" applyFont="1" applyFill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8" fillId="0" borderId="10" xfId="5" applyFont="1" applyBorder="1" applyAlignment="1" applyProtection="1">
      <alignment vertical="top" wrapText="1"/>
      <protection locked="0"/>
    </xf>
    <xf numFmtId="0" fontId="8" fillId="0" borderId="16" xfId="5" applyFont="1" applyBorder="1" applyAlignment="1" applyProtection="1">
      <alignment vertical="top" wrapText="1"/>
      <protection locked="0"/>
    </xf>
    <xf numFmtId="0" fontId="8" fillId="0" borderId="16" xfId="0" applyFont="1" applyBorder="1" applyAlignment="1" applyProtection="1">
      <alignment vertical="top" wrapText="1"/>
      <protection locked="0"/>
    </xf>
    <xf numFmtId="0" fontId="8" fillId="0" borderId="17" xfId="5" applyFont="1" applyBorder="1" applyAlignment="1" applyProtection="1">
      <alignment vertical="top" wrapText="1"/>
      <protection locked="0"/>
    </xf>
    <xf numFmtId="174" fontId="5" fillId="0" borderId="18" xfId="0" quotePrefix="1" applyNumberFormat="1" applyFont="1" applyBorder="1" applyAlignment="1" applyProtection="1">
      <alignment vertical="center"/>
      <protection locked="0"/>
    </xf>
    <xf numFmtId="3" fontId="5" fillId="0" borderId="18" xfId="0" applyNumberFormat="1" applyFont="1" applyBorder="1" applyAlignment="1" applyProtection="1">
      <alignment vertical="center"/>
      <protection locked="0"/>
    </xf>
    <xf numFmtId="9" fontId="5" fillId="0" borderId="18" xfId="0" applyNumberFormat="1" applyFont="1" applyBorder="1" applyAlignment="1" applyProtection="1">
      <alignment vertical="center"/>
      <protection locked="0"/>
    </xf>
    <xf numFmtId="4" fontId="6" fillId="0" borderId="23" xfId="1" applyNumberFormat="1" applyFont="1" applyBorder="1" applyAlignment="1">
      <alignment vertical="center"/>
    </xf>
    <xf numFmtId="3" fontId="6" fillId="0" borderId="23" xfId="1" applyNumberFormat="1" applyFont="1" applyBorder="1" applyAlignment="1">
      <alignment vertical="center"/>
    </xf>
    <xf numFmtId="4" fontId="6" fillId="0" borderId="10" xfId="1" applyNumberFormat="1" applyFont="1" applyBorder="1" applyAlignment="1">
      <alignment vertical="center"/>
    </xf>
    <xf numFmtId="10" fontId="12" fillId="0" borderId="23" xfId="1" applyNumberFormat="1" applyFont="1" applyBorder="1" applyAlignment="1">
      <alignment vertical="center"/>
    </xf>
    <xf numFmtId="10" fontId="12" fillId="0" borderId="23" xfId="1" applyNumberFormat="1" applyFont="1" applyBorder="1" applyAlignment="1">
      <alignment horizontal="right" vertical="center"/>
    </xf>
    <xf numFmtId="0" fontId="6" fillId="0" borderId="23" xfId="1" applyFont="1" applyBorder="1" applyAlignment="1">
      <alignment vertical="center"/>
    </xf>
    <xf numFmtId="4" fontId="6" fillId="0" borderId="24" xfId="1" applyNumberFormat="1" applyFont="1" applyBorder="1" applyAlignment="1">
      <alignment vertical="center"/>
    </xf>
    <xf numFmtId="168" fontId="6" fillId="0" borderId="15" xfId="1" applyNumberFormat="1" applyFont="1" applyBorder="1" applyAlignment="1">
      <alignment vertical="center"/>
    </xf>
    <xf numFmtId="10" fontId="10" fillId="0" borderId="24" xfId="1" applyNumberFormat="1" applyFont="1" applyBorder="1" applyAlignment="1">
      <alignment vertical="center"/>
    </xf>
    <xf numFmtId="168" fontId="6" fillId="0" borderId="24" xfId="1" applyNumberFormat="1" applyFont="1" applyBorder="1" applyAlignment="1">
      <alignment vertical="center"/>
    </xf>
    <xf numFmtId="3" fontId="6" fillId="0" borderId="24" xfId="1" applyNumberFormat="1" applyFont="1" applyBorder="1" applyAlignment="1">
      <alignment vertical="center"/>
    </xf>
    <xf numFmtId="4" fontId="6" fillId="0" borderId="15" xfId="1" applyNumberFormat="1" applyFont="1" applyBorder="1" applyAlignment="1">
      <alignment vertical="center"/>
    </xf>
    <xf numFmtId="169" fontId="11" fillId="0" borderId="15" xfId="1" applyNumberFormat="1" applyFont="1" applyBorder="1" applyAlignment="1">
      <alignment horizontal="right" vertical="center"/>
    </xf>
    <xf numFmtId="10" fontId="12" fillId="0" borderId="24" xfId="1" applyNumberFormat="1" applyFont="1" applyBorder="1" applyAlignment="1">
      <alignment vertical="center"/>
    </xf>
    <xf numFmtId="10" fontId="12" fillId="0" borderId="24" xfId="1" applyNumberFormat="1" applyFont="1" applyBorder="1" applyAlignment="1">
      <alignment horizontal="right" vertical="center"/>
    </xf>
    <xf numFmtId="165" fontId="6" fillId="0" borderId="15" xfId="1" applyNumberFormat="1" applyFont="1" applyBorder="1" applyAlignment="1">
      <alignment horizontal="right" vertical="center"/>
    </xf>
    <xf numFmtId="0" fontId="6" fillId="0" borderId="24" xfId="1" applyFont="1" applyBorder="1" applyAlignment="1">
      <alignment vertical="center"/>
    </xf>
    <xf numFmtId="4" fontId="6" fillId="0" borderId="10" xfId="0" applyNumberFormat="1" applyFont="1" applyBorder="1" applyAlignment="1">
      <alignment vertical="center"/>
    </xf>
    <xf numFmtId="168" fontId="6" fillId="0" borderId="10" xfId="0" applyNumberFormat="1" applyFont="1" applyBorder="1" applyAlignment="1">
      <alignment vertical="center"/>
    </xf>
    <xf numFmtId="10" fontId="10" fillId="2" borderId="10" xfId="0" applyNumberFormat="1" applyFont="1" applyFill="1" applyBorder="1" applyAlignment="1">
      <alignment horizontal="right" vertical="center"/>
    </xf>
    <xf numFmtId="169" fontId="11" fillId="0" borderId="10" xfId="0" applyNumberFormat="1" applyFont="1" applyBorder="1" applyAlignment="1">
      <alignment horizontal="right" vertical="center"/>
    </xf>
    <xf numFmtId="169" fontId="11" fillId="0" borderId="23" xfId="0" applyNumberFormat="1" applyFont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173" fontId="16" fillId="0" borderId="0" xfId="0" applyNumberFormat="1" applyFont="1" applyAlignment="1">
      <alignment horizontal="left" vertical="center"/>
    </xf>
    <xf numFmtId="172" fontId="6" fillId="0" borderId="20" xfId="3" applyNumberFormat="1" applyFont="1" applyBorder="1" applyAlignment="1" applyProtection="1">
      <alignment horizontal="center" vertical="center"/>
    </xf>
    <xf numFmtId="172" fontId="6" fillId="0" borderId="21" xfId="3" applyNumberFormat="1" applyFont="1" applyBorder="1" applyAlignment="1" applyProtection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172" fontId="5" fillId="0" borderId="20" xfId="3" applyNumberFormat="1" applyFont="1" applyBorder="1" applyAlignment="1" applyProtection="1">
      <alignment horizontal="center" vertical="center"/>
    </xf>
    <xf numFmtId="172" fontId="5" fillId="0" borderId="21" xfId="3" applyNumberFormat="1" applyFont="1" applyBorder="1" applyAlignment="1" applyProtection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</cellXfs>
  <cellStyles count="11">
    <cellStyle name="Comma" xfId="3" builtinId="3"/>
    <cellStyle name="Normal" xfId="0" builtinId="0"/>
    <cellStyle name="Normal 2" xfId="1" xr:uid="{00000000-0005-0000-0000-000003000000}"/>
    <cellStyle name="Normal 2 2" xfId="5" xr:uid="{00000000-0005-0000-0000-000004000000}"/>
    <cellStyle name="Normal 3" xfId="7" xr:uid="{00000000-0005-0000-0000-000005000000}"/>
    <cellStyle name="Normal 4" xfId="9" xr:uid="{00000000-0005-0000-0000-000006000000}"/>
    <cellStyle name="Normal 5" xfId="4" xr:uid="{00000000-0005-0000-0000-000007000000}"/>
    <cellStyle name="Normale_GasProp" xfId="8" xr:uid="{00000000-0005-0000-0000-000008000000}"/>
    <cellStyle name="Percent 2" xfId="2" xr:uid="{00000000-0005-0000-0000-00000A000000}"/>
    <cellStyle name="Percent 2 2" xfId="10" xr:uid="{00000000-0005-0000-0000-00000B000000}"/>
    <cellStyle name="Percent 3" xfId="6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I16"/>
  <sheetViews>
    <sheetView workbookViewId="0">
      <selection activeCell="D7" sqref="D7"/>
    </sheetView>
  </sheetViews>
  <sheetFormatPr defaultColWidth="10.7265625" defaultRowHeight="20.149999999999999" customHeight="1" x14ac:dyDescent="0.35"/>
  <cols>
    <col min="1" max="3" width="12.7265625" style="43" customWidth="1"/>
    <col min="4" max="4" width="6.7265625" style="43" customWidth="1"/>
    <col min="5" max="5" width="16.7265625" style="43" customWidth="1"/>
    <col min="6" max="7" width="10.7265625" style="43"/>
    <col min="8" max="8" width="22.7265625" style="43" customWidth="1"/>
    <col min="9" max="9" width="14.7265625" style="43" customWidth="1"/>
    <col min="10" max="16384" width="10.7265625" style="43"/>
  </cols>
  <sheetData>
    <row r="1" spans="1:9" ht="20.149999999999999" customHeight="1" x14ac:dyDescent="0.35">
      <c r="A1" s="108" t="e">
        <f>"Biaya "&amp;DAY($I$1)&amp;" - "&amp;TEXT(EOMONTH($I$1,0),"[$-id-ID]d mmmm yyyy;@")</f>
        <v>#VALUE!</v>
      </c>
      <c r="B1" s="108"/>
      <c r="C1" s="108"/>
      <c r="D1" s="108"/>
      <c r="E1" s="108"/>
      <c r="H1" s="63" t="s">
        <v>42</v>
      </c>
      <c r="I1" s="72" t="s">
        <v>57</v>
      </c>
    </row>
    <row r="2" spans="1:9" ht="20.149999999999999" customHeight="1" x14ac:dyDescent="0.35">
      <c r="H2" s="63" t="s">
        <v>41</v>
      </c>
      <c r="I2" s="73">
        <v>1500000</v>
      </c>
    </row>
    <row r="3" spans="1:9" ht="20.149999999999999" customHeight="1" thickBot="1" x14ac:dyDescent="0.4">
      <c r="A3" s="44"/>
      <c r="B3" s="44"/>
      <c r="C3" s="44"/>
      <c r="D3" s="44"/>
      <c r="E3" s="44"/>
      <c r="H3" s="63" t="s">
        <v>45</v>
      </c>
      <c r="I3" s="74">
        <v>0.25</v>
      </c>
    </row>
    <row r="4" spans="1:9" ht="20.149999999999999" customHeight="1" thickBot="1" x14ac:dyDescent="0.4">
      <c r="A4" s="117" t="s">
        <v>11</v>
      </c>
      <c r="B4" s="111"/>
      <c r="C4" s="111"/>
      <c r="D4" s="111" t="s">
        <v>12</v>
      </c>
      <c r="E4" s="112"/>
    </row>
    <row r="5" spans="1:9" ht="20.149999999999999" customHeight="1" thickBot="1" x14ac:dyDescent="0.4">
      <c r="A5" s="45" t="s">
        <v>56</v>
      </c>
      <c r="B5" s="46"/>
      <c r="C5" s="47"/>
      <c r="D5" s="113" t="s">
        <v>58</v>
      </c>
      <c r="E5" s="114"/>
    </row>
    <row r="6" spans="1:9" ht="20.149999999999999" customHeight="1" thickBot="1" x14ac:dyDescent="0.4">
      <c r="A6" s="115" t="s">
        <v>13</v>
      </c>
      <c r="B6" s="116"/>
      <c r="C6" s="116"/>
      <c r="D6" s="109" t="s">
        <v>60</v>
      </c>
      <c r="E6" s="110"/>
    </row>
    <row r="9" spans="1:9" ht="20.149999999999999" customHeight="1" x14ac:dyDescent="0.35">
      <c r="A9" s="43" t="s">
        <v>14</v>
      </c>
      <c r="E9" s="43" t="s">
        <v>15</v>
      </c>
    </row>
    <row r="15" spans="1:9" ht="20.149999999999999" customHeight="1" x14ac:dyDescent="0.3">
      <c r="A15" s="41" t="s">
        <v>47</v>
      </c>
      <c r="B15" s="50"/>
      <c r="C15" s="50"/>
      <c r="D15" s="41"/>
      <c r="E15" s="41" t="s">
        <v>16</v>
      </c>
    </row>
    <row r="16" spans="1:9" ht="20.149999999999999" customHeight="1" x14ac:dyDescent="0.35">
      <c r="A16" s="42" t="s">
        <v>46</v>
      </c>
      <c r="B16" s="51"/>
      <c r="C16" s="51"/>
      <c r="D16" s="51"/>
      <c r="E16" s="42" t="s">
        <v>17</v>
      </c>
    </row>
  </sheetData>
  <sheetProtection formatColumns="0" formatRows="0" insertColumns="0" insertRows="0" sort="0" autoFilter="0" pivotTables="0"/>
  <mergeCells count="6">
    <mergeCell ref="A1:E1"/>
    <mergeCell ref="D6:E6"/>
    <mergeCell ref="D4:E4"/>
    <mergeCell ref="D5:E5"/>
    <mergeCell ref="A6:C6"/>
    <mergeCell ref="A4:C4"/>
  </mergeCells>
  <printOptions horizontalCentered="1"/>
  <pageMargins left="0.39370078740157483" right="0.39370078740157483" top="0.59055118110236227" bottom="0.59055118110236227" header="0.31496062992125984" footer="0.31496062992125984"/>
  <pageSetup paperSize="9" orientation="portrait" horizontalDpi="4294967292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38"/>
  <sheetViews>
    <sheetView tabSelected="1" topLeftCell="A4" zoomScale="85" zoomScaleNormal="85" workbookViewId="0">
      <selection activeCell="R38" sqref="R38"/>
    </sheetView>
  </sheetViews>
  <sheetFormatPr defaultColWidth="9.1796875" defaultRowHeight="20.149999999999999" customHeight="1" x14ac:dyDescent="0.35"/>
  <cols>
    <col min="1" max="1" width="11.7265625" style="36" customWidth="1"/>
    <col min="2" max="2" width="10.7265625" style="36" hidden="1" customWidth="1"/>
    <col min="3" max="4" width="10.7265625" style="36" customWidth="1"/>
    <col min="5" max="5" width="12.7265625" style="36" customWidth="1"/>
    <col min="6" max="6" width="10.7265625" style="36" customWidth="1"/>
    <col min="7" max="7" width="12.7265625" style="36" customWidth="1"/>
    <col min="8" max="9" width="10.7265625" style="36" hidden="1" customWidth="1"/>
    <col min="10" max="10" width="12.7265625" style="36" hidden="1" customWidth="1"/>
    <col min="11" max="13" width="9.7265625" style="36" customWidth="1"/>
    <col min="14" max="14" width="10.7265625" style="36" hidden="1" customWidth="1"/>
    <col min="15" max="15" width="12.7265625" style="36" customWidth="1"/>
    <col min="16" max="16" width="15.453125" style="36" hidden="1" customWidth="1"/>
    <col min="17" max="17" width="12" style="36" hidden="1" customWidth="1"/>
    <col min="18" max="18" width="18.453125" style="36" customWidth="1"/>
    <col min="19" max="19" width="56.7265625" style="36" customWidth="1"/>
    <col min="20" max="21" width="9.7265625" style="36" customWidth="1"/>
    <col min="22" max="22" width="20.7265625" style="36" customWidth="1"/>
    <col min="23" max="23" width="23.81640625" style="36" customWidth="1"/>
    <col min="24" max="25" width="9.1796875" style="36"/>
    <col min="26" max="26" width="24.7265625" style="36" customWidth="1"/>
    <col min="27" max="16384" width="9.1796875" style="36"/>
  </cols>
  <sheetData>
    <row r="1" spans="1:23" ht="20.149999999999999" customHeight="1" x14ac:dyDescent="0.35">
      <c r="A1" s="97" t="s">
        <v>0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10"/>
      <c r="U1" s="10"/>
      <c r="V1" s="9"/>
      <c r="W1" s="10"/>
    </row>
    <row r="2" spans="1:23" ht="20.149999999999999" customHeight="1" thickBot="1" x14ac:dyDescent="0.4">
      <c r="A2" s="100" t="s">
        <v>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10"/>
      <c r="U2" s="62" t="s">
        <v>43</v>
      </c>
      <c r="V2" s="49">
        <f>'Rekap Inv'!I2</f>
        <v>1500000</v>
      </c>
      <c r="W2" s="10"/>
    </row>
    <row r="3" spans="1:23" ht="20.149999999999999" customHeight="1" thickBot="1" x14ac:dyDescent="0.4">
      <c r="A3" s="1"/>
      <c r="B3" s="2"/>
      <c r="C3" s="3" t="s">
        <v>40</v>
      </c>
      <c r="D3" s="4" t="s">
        <v>56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5"/>
      <c r="T3" s="10"/>
      <c r="U3" s="48" t="s">
        <v>44</v>
      </c>
      <c r="V3" s="61">
        <f>'Rekap Inv'!I3</f>
        <v>0.25</v>
      </c>
      <c r="W3" s="10"/>
    </row>
    <row r="4" spans="1:23" ht="20.149999999999999" customHeight="1" x14ac:dyDescent="0.35">
      <c r="A4" s="103" t="s">
        <v>2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28</v>
      </c>
      <c r="I4" s="6" t="s">
        <v>29</v>
      </c>
      <c r="J4" s="6" t="s">
        <v>30</v>
      </c>
      <c r="K4" s="105" t="s">
        <v>31</v>
      </c>
      <c r="L4" s="106"/>
      <c r="M4" s="107"/>
      <c r="N4" s="6" t="s">
        <v>32</v>
      </c>
      <c r="O4" s="6" t="s">
        <v>33</v>
      </c>
      <c r="P4" s="7" t="s">
        <v>3</v>
      </c>
      <c r="Q4" s="67" t="s">
        <v>4</v>
      </c>
      <c r="R4" s="65" t="s">
        <v>5</v>
      </c>
      <c r="S4" s="103" t="s">
        <v>6</v>
      </c>
    </row>
    <row r="5" spans="1:23" ht="20.149999999999999" customHeight="1" thickBot="1" x14ac:dyDescent="0.4">
      <c r="A5" s="104"/>
      <c r="B5" s="8" t="s">
        <v>18</v>
      </c>
      <c r="C5" s="8" t="s">
        <v>18</v>
      </c>
      <c r="D5" s="8" t="s">
        <v>18</v>
      </c>
      <c r="E5" s="8" t="s">
        <v>34</v>
      </c>
      <c r="F5" s="8" t="s">
        <v>20</v>
      </c>
      <c r="G5" s="8" t="s">
        <v>19</v>
      </c>
      <c r="H5" s="8" t="s">
        <v>35</v>
      </c>
      <c r="I5" s="8" t="s">
        <v>36</v>
      </c>
      <c r="J5" s="8" t="s">
        <v>37</v>
      </c>
      <c r="K5" s="8" t="s">
        <v>32</v>
      </c>
      <c r="L5" s="8" t="s">
        <v>38</v>
      </c>
      <c r="M5" s="8" t="s">
        <v>39</v>
      </c>
      <c r="N5" s="8" t="s">
        <v>20</v>
      </c>
      <c r="O5" s="8" t="s">
        <v>20</v>
      </c>
      <c r="P5" s="11" t="s">
        <v>7</v>
      </c>
      <c r="Q5" s="12" t="s">
        <v>8</v>
      </c>
      <c r="R5" s="66" t="s">
        <v>9</v>
      </c>
      <c r="S5" s="104"/>
    </row>
    <row r="6" spans="1:23" ht="14.5" thickBot="1" x14ac:dyDescent="0.4">
      <c r="A6" s="64" t="str">
        <f>'Rekap Inv'!$I$1</f>
        <v>{{start_date}}</v>
      </c>
      <c r="B6" s="16"/>
      <c r="C6" s="13" t="s">
        <v>49</v>
      </c>
      <c r="D6" s="13" t="s">
        <v>50</v>
      </c>
      <c r="E6" s="14" t="s">
        <v>59</v>
      </c>
      <c r="F6" s="30" t="e">
        <f t="shared" ref="F6:F36" si="0">IF(AND(E6&lt;&gt;"",G6&lt;&gt;""),E6/G6,"")</f>
        <v>#VALUE!</v>
      </c>
      <c r="G6" s="15" t="s">
        <v>51</v>
      </c>
      <c r="H6" s="16">
        <v>80</v>
      </c>
      <c r="I6" s="17">
        <v>1951</v>
      </c>
      <c r="J6" s="16" t="s">
        <v>48</v>
      </c>
      <c r="K6" s="24" t="s">
        <v>52</v>
      </c>
      <c r="L6" s="24" t="s">
        <v>53</v>
      </c>
      <c r="M6" s="24" t="s">
        <v>54</v>
      </c>
      <c r="N6" s="27" t="str">
        <f>IF(K6="","",K6)</f>
        <v>{{run}}</v>
      </c>
      <c r="O6" s="31" t="e">
        <f>IF(OR($K6="",$L6="",$M6=""),"",($K6+$L6)/SUM($K6:$M6))</f>
        <v>#VALUE!</v>
      </c>
      <c r="P6" s="32" t="e">
        <f t="shared" ref="P6" si="1">IF(F6="",0,ROUND(IF((F6/0.9)&gt;1,1,(F6/0.9)),2))</f>
        <v>#VALUE!</v>
      </c>
      <c r="Q6" s="33" t="e">
        <f t="shared" ref="Q6" si="2">ROUND(IF(((K6+L6)/0.95)&gt;1,1,(K6+L6)/0.95),2)</f>
        <v>#VALUE!</v>
      </c>
      <c r="R6" s="40" t="e">
        <f>IF((L6=1),$V$3*$V$2,P6*Q6*$V$2)</f>
        <v>#VALUE!</v>
      </c>
      <c r="S6" s="68" t="s">
        <v>55</v>
      </c>
      <c r="T6" s="37"/>
      <c r="U6" s="37"/>
      <c r="V6" s="38"/>
    </row>
    <row r="7" spans="1:23" ht="14.5" thickBot="1" x14ac:dyDescent="0.4">
      <c r="A7" s="29" t="e">
        <f>A6+1</f>
        <v>#VALUE!</v>
      </c>
      <c r="B7" s="22"/>
      <c r="C7" s="19"/>
      <c r="D7" s="19"/>
      <c r="E7" s="20"/>
      <c r="F7" s="30" t="str">
        <f t="shared" si="0"/>
        <v/>
      </c>
      <c r="G7" s="21"/>
      <c r="H7" s="22"/>
      <c r="I7" s="23"/>
      <c r="J7" s="22"/>
      <c r="K7" s="18"/>
      <c r="L7" s="18"/>
      <c r="M7" s="18"/>
      <c r="N7" s="28"/>
      <c r="O7" s="31" t="str">
        <f>IF(OR($K7="",$L7="",$M7=""),"",($K7+$L7)/SUM($K7:$M7))</f>
        <v/>
      </c>
      <c r="P7" s="34"/>
      <c r="Q7" s="34"/>
      <c r="R7" s="40">
        <f>IF((L7=1),$V$3*$V$2,P7*Q7*$V$2)</f>
        <v>0</v>
      </c>
      <c r="S7" s="69"/>
      <c r="T7" s="37"/>
      <c r="U7" s="37"/>
      <c r="V7" s="38"/>
    </row>
    <row r="8" spans="1:23" ht="14.5" thickBot="1" x14ac:dyDescent="0.4">
      <c r="A8" s="29" t="e">
        <f t="shared" ref="A8:A36" si="3">A7+1</f>
        <v>#VALUE!</v>
      </c>
      <c r="B8" s="22"/>
      <c r="C8" s="19"/>
      <c r="D8" s="19"/>
      <c r="E8" s="20"/>
      <c r="F8" s="30" t="str">
        <f t="shared" si="0"/>
        <v/>
      </c>
      <c r="G8" s="21"/>
      <c r="H8" s="22"/>
      <c r="I8" s="23"/>
      <c r="J8" s="22"/>
      <c r="K8" s="18"/>
      <c r="L8" s="18"/>
      <c r="M8" s="18"/>
      <c r="N8" s="28"/>
      <c r="O8" s="31" t="str">
        <f>IF(OR($K8="",$L8="",$M8=""),"",($K8+$L8)/SUM($K8:$M8))</f>
        <v/>
      </c>
      <c r="P8" s="34"/>
      <c r="Q8" s="34"/>
      <c r="R8" s="40">
        <f>IF((L8=1),$V$3*$V$2,P8*Q8*$V$2)</f>
        <v>0</v>
      </c>
      <c r="S8" s="69"/>
      <c r="T8" s="37"/>
      <c r="U8" s="37"/>
      <c r="V8" s="38"/>
    </row>
    <row r="9" spans="1:23" ht="14.5" thickBot="1" x14ac:dyDescent="0.4">
      <c r="A9" s="29" t="e">
        <f t="shared" si="3"/>
        <v>#VALUE!</v>
      </c>
      <c r="B9" s="22"/>
      <c r="C9" s="19"/>
      <c r="D9" s="19"/>
      <c r="E9" s="20"/>
      <c r="F9" s="30" t="str">
        <f t="shared" si="0"/>
        <v/>
      </c>
      <c r="G9" s="21"/>
      <c r="H9" s="22"/>
      <c r="I9" s="23"/>
      <c r="J9" s="22"/>
      <c r="K9" s="18"/>
      <c r="L9" s="18"/>
      <c r="M9" s="18"/>
      <c r="N9" s="28"/>
      <c r="O9" s="31" t="str">
        <f>IF(OR($K9="",$L9="",$M9=""),"",($K9+$L9)/SUM($K9:$M9))</f>
        <v/>
      </c>
      <c r="P9" s="34"/>
      <c r="Q9" s="35"/>
      <c r="R9" s="40">
        <f>IF((L9=1),$V$3*$V$2,P9*Q9*$V$2)</f>
        <v>0</v>
      </c>
      <c r="S9" s="69"/>
      <c r="T9" s="37"/>
      <c r="U9" s="37"/>
      <c r="V9" s="38"/>
    </row>
    <row r="10" spans="1:23" ht="14.5" thickBot="1" x14ac:dyDescent="0.4">
      <c r="A10" s="29" t="e">
        <f t="shared" si="3"/>
        <v>#VALUE!</v>
      </c>
      <c r="B10" s="22"/>
      <c r="C10" s="19"/>
      <c r="D10" s="19"/>
      <c r="E10" s="20"/>
      <c r="F10" s="30" t="str">
        <f t="shared" si="0"/>
        <v/>
      </c>
      <c r="G10" s="21"/>
      <c r="H10" s="22"/>
      <c r="I10" s="23"/>
      <c r="J10" s="22"/>
      <c r="K10" s="18"/>
      <c r="L10" s="18"/>
      <c r="M10" s="18"/>
      <c r="N10" s="28"/>
      <c r="O10" s="31" t="str">
        <f>IF(OR($K10="",$L10="",$M10=""),"",($K10+$L10)/SUM($K10:$M10))</f>
        <v/>
      </c>
      <c r="P10" s="34"/>
      <c r="Q10" s="34"/>
      <c r="R10" s="40">
        <f>IF((L10=1),$V$3*$V$2,P10*Q10*$V$2)</f>
        <v>0</v>
      </c>
      <c r="S10" s="69"/>
      <c r="T10" s="37"/>
      <c r="U10" s="37"/>
      <c r="V10" s="38"/>
    </row>
    <row r="11" spans="1:23" ht="14.5" thickBot="1" x14ac:dyDescent="0.4">
      <c r="A11" s="29" t="e">
        <f t="shared" si="3"/>
        <v>#VALUE!</v>
      </c>
      <c r="B11" s="22"/>
      <c r="C11" s="19"/>
      <c r="D11" s="19"/>
      <c r="E11" s="20"/>
      <c r="F11" s="30" t="str">
        <f t="shared" si="0"/>
        <v/>
      </c>
      <c r="G11" s="21"/>
      <c r="H11" s="22"/>
      <c r="I11" s="23"/>
      <c r="J11" s="22"/>
      <c r="K11" s="18"/>
      <c r="L11" s="18"/>
      <c r="M11" s="18"/>
      <c r="N11" s="28"/>
      <c r="O11" s="31" t="str">
        <f>IF(OR($K11="",$L11="",$M11=""),"",($K11+$L11)/SUM($K11:$M11))</f>
        <v/>
      </c>
      <c r="P11" s="34"/>
      <c r="Q11" s="34"/>
      <c r="R11" s="40">
        <f>IF((L11=1),$V$3*$V$2,P11*Q11*$V$2)</f>
        <v>0</v>
      </c>
      <c r="S11" s="69"/>
      <c r="T11" s="37"/>
      <c r="U11" s="37"/>
      <c r="V11" s="38"/>
    </row>
    <row r="12" spans="1:23" ht="14.5" thickBot="1" x14ac:dyDescent="0.4">
      <c r="A12" s="29" t="e">
        <f t="shared" si="3"/>
        <v>#VALUE!</v>
      </c>
      <c r="B12" s="22"/>
      <c r="C12" s="19"/>
      <c r="D12" s="19"/>
      <c r="E12" s="20"/>
      <c r="F12" s="30" t="str">
        <f t="shared" si="0"/>
        <v/>
      </c>
      <c r="G12" s="21"/>
      <c r="H12" s="22"/>
      <c r="I12" s="23"/>
      <c r="J12" s="22"/>
      <c r="K12" s="18"/>
      <c r="L12" s="18"/>
      <c r="M12" s="18"/>
      <c r="N12" s="28"/>
      <c r="O12" s="31" t="str">
        <f>IF(OR($K12="",$L12="",$M12=""),"",($K12+$L12)/SUM($K12:$M12))</f>
        <v/>
      </c>
      <c r="P12" s="34"/>
      <c r="Q12" s="35"/>
      <c r="R12" s="40">
        <f>IF((L12=1),$V$3*$V$2,P12*Q12*$V$2)</f>
        <v>0</v>
      </c>
      <c r="S12" s="69"/>
      <c r="T12" s="37"/>
      <c r="U12" s="37"/>
      <c r="V12" s="38"/>
    </row>
    <row r="13" spans="1:23" ht="14.5" thickBot="1" x14ac:dyDescent="0.4">
      <c r="A13" s="29" t="e">
        <f t="shared" si="3"/>
        <v>#VALUE!</v>
      </c>
      <c r="B13" s="22"/>
      <c r="C13" s="19"/>
      <c r="D13" s="19"/>
      <c r="E13" s="20"/>
      <c r="F13" s="30" t="str">
        <f t="shared" si="0"/>
        <v/>
      </c>
      <c r="G13" s="21"/>
      <c r="H13" s="22"/>
      <c r="I13" s="23"/>
      <c r="J13" s="22"/>
      <c r="K13" s="18"/>
      <c r="L13" s="18"/>
      <c r="M13" s="18"/>
      <c r="N13" s="28"/>
      <c r="O13" s="31" t="str">
        <f>IF(OR($K13="",$L13="",$M13=""),"",($K13+$L13)/SUM($K13:$M13))</f>
        <v/>
      </c>
      <c r="P13" s="34"/>
      <c r="Q13" s="34"/>
      <c r="R13" s="40">
        <f>IF((L13=1),$V$3*$V$2,P13*Q13*$V$2)</f>
        <v>0</v>
      </c>
      <c r="S13" s="69"/>
      <c r="T13" s="37"/>
      <c r="U13" s="37"/>
      <c r="V13" s="38"/>
    </row>
    <row r="14" spans="1:23" ht="14.5" thickBot="1" x14ac:dyDescent="0.4">
      <c r="A14" s="29" t="e">
        <f t="shared" si="3"/>
        <v>#VALUE!</v>
      </c>
      <c r="B14" s="22"/>
      <c r="C14" s="19"/>
      <c r="D14" s="19"/>
      <c r="E14" s="20"/>
      <c r="F14" s="30" t="str">
        <f t="shared" si="0"/>
        <v/>
      </c>
      <c r="G14" s="21"/>
      <c r="H14" s="22"/>
      <c r="I14" s="23"/>
      <c r="J14" s="22"/>
      <c r="K14" s="18"/>
      <c r="L14" s="18"/>
      <c r="M14" s="18"/>
      <c r="N14" s="28"/>
      <c r="O14" s="31" t="str">
        <f>IF(OR($K14="",$L14="",$M14=""),"",($K14+$L14)/SUM($K14:$M14))</f>
        <v/>
      </c>
      <c r="P14" s="34"/>
      <c r="Q14" s="34"/>
      <c r="R14" s="40">
        <f>IF((L14=1),$V$3*$V$2,P14*Q14*$V$2)</f>
        <v>0</v>
      </c>
      <c r="S14" s="69"/>
      <c r="T14" s="37"/>
      <c r="U14" s="37"/>
      <c r="V14" s="38"/>
    </row>
    <row r="15" spans="1:23" ht="14.5" thickBot="1" x14ac:dyDescent="0.4">
      <c r="A15" s="29" t="e">
        <f t="shared" si="3"/>
        <v>#VALUE!</v>
      </c>
      <c r="B15" s="22"/>
      <c r="C15" s="19"/>
      <c r="D15" s="19"/>
      <c r="E15" s="20"/>
      <c r="F15" s="30" t="str">
        <f t="shared" si="0"/>
        <v/>
      </c>
      <c r="G15" s="21"/>
      <c r="H15" s="22"/>
      <c r="I15" s="23"/>
      <c r="J15" s="22"/>
      <c r="K15" s="18"/>
      <c r="L15" s="18"/>
      <c r="M15" s="18"/>
      <c r="N15" s="28"/>
      <c r="O15" s="31" t="str">
        <f>IF(OR($K15="",$L15="",$M15=""),"",($K15+$L15)/SUM($K15:$M15))</f>
        <v/>
      </c>
      <c r="P15" s="34"/>
      <c r="Q15" s="35"/>
      <c r="R15" s="40">
        <f>IF((L15=1),$V$3*$V$2,P15*Q15*$V$2)</f>
        <v>0</v>
      </c>
      <c r="S15" s="69"/>
      <c r="T15" s="39"/>
      <c r="U15" s="37"/>
      <c r="V15" s="38"/>
    </row>
    <row r="16" spans="1:23" ht="14.5" thickBot="1" x14ac:dyDescent="0.4">
      <c r="A16" s="29" t="e">
        <f t="shared" si="3"/>
        <v>#VALUE!</v>
      </c>
      <c r="B16" s="22"/>
      <c r="C16" s="19"/>
      <c r="D16" s="19"/>
      <c r="E16" s="20"/>
      <c r="F16" s="30" t="str">
        <f t="shared" si="0"/>
        <v/>
      </c>
      <c r="G16" s="21"/>
      <c r="H16" s="22"/>
      <c r="I16" s="23"/>
      <c r="J16" s="22"/>
      <c r="K16" s="18"/>
      <c r="L16" s="18"/>
      <c r="M16" s="18"/>
      <c r="N16" s="28"/>
      <c r="O16" s="31" t="str">
        <f>IF(OR($K16="",$L16="",$M16=""),"",($K16+$L16)/SUM($K16:$M16))</f>
        <v/>
      </c>
      <c r="P16" s="34"/>
      <c r="Q16" s="34"/>
      <c r="R16" s="40">
        <f>IF((L16=1),$V$3*$V$2,P16*Q16*$V$2)</f>
        <v>0</v>
      </c>
      <c r="S16" s="69"/>
      <c r="T16" s="39"/>
      <c r="U16" s="37"/>
      <c r="V16" s="38"/>
    </row>
    <row r="17" spans="1:22" ht="14.5" thickBot="1" x14ac:dyDescent="0.4">
      <c r="A17" s="29" t="e">
        <f t="shared" si="3"/>
        <v>#VALUE!</v>
      </c>
      <c r="B17" s="22"/>
      <c r="C17" s="19"/>
      <c r="D17" s="19"/>
      <c r="E17" s="20"/>
      <c r="F17" s="30" t="str">
        <f t="shared" si="0"/>
        <v/>
      </c>
      <c r="G17" s="21"/>
      <c r="H17" s="22"/>
      <c r="I17" s="23"/>
      <c r="J17" s="22"/>
      <c r="K17" s="18"/>
      <c r="L17" s="18"/>
      <c r="M17" s="18"/>
      <c r="N17" s="28"/>
      <c r="O17" s="31" t="str">
        <f>IF(OR($K17="",$L17="",$M17=""),"",($K17+$L17)/SUM($K17:$M17))</f>
        <v/>
      </c>
      <c r="P17" s="34"/>
      <c r="Q17" s="35"/>
      <c r="R17" s="40">
        <f>IF((L17=1),$V$3*$V$2,P17*Q17*$V$2)</f>
        <v>0</v>
      </c>
      <c r="S17" s="69"/>
      <c r="T17" s="39"/>
      <c r="U17" s="37"/>
      <c r="V17" s="38"/>
    </row>
    <row r="18" spans="1:22" ht="14.5" thickBot="1" x14ac:dyDescent="0.4">
      <c r="A18" s="29" t="e">
        <f t="shared" si="3"/>
        <v>#VALUE!</v>
      </c>
      <c r="B18" s="22"/>
      <c r="C18" s="19"/>
      <c r="D18" s="19"/>
      <c r="E18" s="20"/>
      <c r="F18" s="30" t="str">
        <f t="shared" si="0"/>
        <v/>
      </c>
      <c r="G18" s="21"/>
      <c r="H18" s="22"/>
      <c r="I18" s="23"/>
      <c r="J18" s="22"/>
      <c r="K18" s="18"/>
      <c r="L18" s="18"/>
      <c r="M18" s="18"/>
      <c r="N18" s="28"/>
      <c r="O18" s="31" t="str">
        <f>IF(OR($K18="",$L18="",$M18=""),"",($K18+$L18)/SUM($K18:$M18))</f>
        <v/>
      </c>
      <c r="P18" s="34"/>
      <c r="Q18" s="34"/>
      <c r="R18" s="40">
        <f>IF((L18=1),$V$3*$V$2,P18*Q18*$V$2)</f>
        <v>0</v>
      </c>
      <c r="S18" s="69"/>
      <c r="T18" s="39"/>
      <c r="U18" s="37"/>
      <c r="V18" s="38"/>
    </row>
    <row r="19" spans="1:22" ht="14.5" thickBot="1" x14ac:dyDescent="0.4">
      <c r="A19" s="29" t="e">
        <f t="shared" si="3"/>
        <v>#VALUE!</v>
      </c>
      <c r="B19" s="22"/>
      <c r="C19" s="19"/>
      <c r="D19" s="19"/>
      <c r="E19" s="20"/>
      <c r="F19" s="30" t="str">
        <f t="shared" si="0"/>
        <v/>
      </c>
      <c r="G19" s="21"/>
      <c r="H19" s="22"/>
      <c r="I19" s="23"/>
      <c r="J19" s="22"/>
      <c r="K19" s="18"/>
      <c r="L19" s="18"/>
      <c r="M19" s="18"/>
      <c r="N19" s="28"/>
      <c r="O19" s="31" t="str">
        <f>IF(OR($K19="",$L19="",$M19=""),"",($K19+$L19)/SUM($K19:$M19))</f>
        <v/>
      </c>
      <c r="P19" s="34"/>
      <c r="Q19" s="35"/>
      <c r="R19" s="40">
        <f>IF((L19=1),$V$3*$V$2,P19*Q19*$V$2)</f>
        <v>0</v>
      </c>
      <c r="S19" s="69"/>
      <c r="T19" s="39"/>
      <c r="U19" s="37"/>
      <c r="V19" s="38"/>
    </row>
    <row r="20" spans="1:22" ht="14.5" thickBot="1" x14ac:dyDescent="0.4">
      <c r="A20" s="29" t="e">
        <f t="shared" si="3"/>
        <v>#VALUE!</v>
      </c>
      <c r="B20" s="22"/>
      <c r="C20" s="19"/>
      <c r="D20" s="19"/>
      <c r="E20" s="20"/>
      <c r="F20" s="30" t="str">
        <f t="shared" si="0"/>
        <v/>
      </c>
      <c r="G20" s="21"/>
      <c r="H20" s="22"/>
      <c r="I20" s="23"/>
      <c r="J20" s="22"/>
      <c r="K20" s="18"/>
      <c r="L20" s="18"/>
      <c r="M20" s="18"/>
      <c r="N20" s="28"/>
      <c r="O20" s="31" t="str">
        <f>IF(OR($K20="",$L20="",$M20=""),"",($K20+$L20)/SUM($K20:$M20))</f>
        <v/>
      </c>
      <c r="P20" s="34"/>
      <c r="Q20" s="34"/>
      <c r="R20" s="40">
        <f>IF((L20=1),$V$3*$V$2,P20*Q20*$V$2)</f>
        <v>0</v>
      </c>
      <c r="S20" s="69"/>
      <c r="T20" s="39"/>
      <c r="U20" s="37"/>
      <c r="V20" s="38"/>
    </row>
    <row r="21" spans="1:22" ht="14.5" thickBot="1" x14ac:dyDescent="0.4">
      <c r="A21" s="29" t="e">
        <f t="shared" si="3"/>
        <v>#VALUE!</v>
      </c>
      <c r="B21" s="22"/>
      <c r="C21" s="19"/>
      <c r="D21" s="19"/>
      <c r="E21" s="20"/>
      <c r="F21" s="30" t="str">
        <f t="shared" si="0"/>
        <v/>
      </c>
      <c r="G21" s="21"/>
      <c r="H21" s="22"/>
      <c r="I21" s="23"/>
      <c r="J21" s="22"/>
      <c r="K21" s="18"/>
      <c r="L21" s="18"/>
      <c r="M21" s="18"/>
      <c r="N21" s="28"/>
      <c r="O21" s="31" t="str">
        <f>IF(OR($K21="",$L21="",$M21=""),"",($K21+$L21)/SUM($K21:$M21))</f>
        <v/>
      </c>
      <c r="P21" s="34"/>
      <c r="Q21" s="35"/>
      <c r="R21" s="40">
        <f>IF((L21=1),$V$3*$V$2,P21*Q21*$V$2)</f>
        <v>0</v>
      </c>
      <c r="S21" s="69"/>
      <c r="T21" s="39"/>
      <c r="U21" s="37"/>
      <c r="V21" s="38"/>
    </row>
    <row r="22" spans="1:22" ht="14.5" thickBot="1" x14ac:dyDescent="0.4">
      <c r="A22" s="29" t="e">
        <f t="shared" si="3"/>
        <v>#VALUE!</v>
      </c>
      <c r="B22" s="22"/>
      <c r="C22" s="19"/>
      <c r="D22" s="19"/>
      <c r="E22" s="20"/>
      <c r="F22" s="30" t="str">
        <f t="shared" si="0"/>
        <v/>
      </c>
      <c r="G22" s="21"/>
      <c r="H22" s="22"/>
      <c r="I22" s="23"/>
      <c r="J22" s="22"/>
      <c r="K22" s="18"/>
      <c r="L22" s="18"/>
      <c r="M22" s="18"/>
      <c r="N22" s="28"/>
      <c r="O22" s="31" t="str">
        <f>IF(OR($K22="",$L22="",$M22=""),"",($K22+$L22)/SUM($K22:$M22))</f>
        <v/>
      </c>
      <c r="P22" s="34"/>
      <c r="Q22" s="34"/>
      <c r="R22" s="40">
        <f>IF((L22=1),$V$3*$V$2,P22*Q22*$V$2)</f>
        <v>0</v>
      </c>
      <c r="S22" s="69"/>
      <c r="T22" s="39"/>
      <c r="U22" s="37"/>
      <c r="V22" s="38"/>
    </row>
    <row r="23" spans="1:22" ht="14.5" thickBot="1" x14ac:dyDescent="0.4">
      <c r="A23" s="29" t="e">
        <f t="shared" si="3"/>
        <v>#VALUE!</v>
      </c>
      <c r="B23" s="22"/>
      <c r="C23" s="19"/>
      <c r="D23" s="19"/>
      <c r="E23" s="20"/>
      <c r="F23" s="30" t="str">
        <f t="shared" si="0"/>
        <v/>
      </c>
      <c r="G23" s="21"/>
      <c r="H23" s="22"/>
      <c r="I23" s="23"/>
      <c r="J23" s="22"/>
      <c r="K23" s="18"/>
      <c r="L23" s="18"/>
      <c r="M23" s="18"/>
      <c r="N23" s="28"/>
      <c r="O23" s="31" t="str">
        <f>IF(OR($K23="",$L23="",$M23=""),"",($K23+$L23)/SUM($K23:$M23))</f>
        <v/>
      </c>
      <c r="P23" s="34"/>
      <c r="Q23" s="35"/>
      <c r="R23" s="40">
        <f>IF((L23=1),$V$3*$V$2,P23*Q23*$V$2)</f>
        <v>0</v>
      </c>
      <c r="S23" s="69"/>
      <c r="T23" s="39"/>
      <c r="U23" s="37"/>
      <c r="V23" s="38"/>
    </row>
    <row r="24" spans="1:22" ht="14.5" thickBot="1" x14ac:dyDescent="0.4">
      <c r="A24" s="29" t="e">
        <f t="shared" si="3"/>
        <v>#VALUE!</v>
      </c>
      <c r="B24" s="22"/>
      <c r="C24" s="19"/>
      <c r="D24" s="19"/>
      <c r="E24" s="20"/>
      <c r="F24" s="30" t="str">
        <f t="shared" si="0"/>
        <v/>
      </c>
      <c r="G24" s="21"/>
      <c r="H24" s="22"/>
      <c r="I24" s="23"/>
      <c r="J24" s="22"/>
      <c r="K24" s="18"/>
      <c r="L24" s="18"/>
      <c r="M24" s="18"/>
      <c r="N24" s="28"/>
      <c r="O24" s="31" t="str">
        <f>IF(OR($K24="",$L24="",$M24=""),"",($K24+$L24)/SUM($K24:$M24))</f>
        <v/>
      </c>
      <c r="P24" s="34"/>
      <c r="Q24" s="34"/>
      <c r="R24" s="40">
        <f>IF((L24=1),$V$3*$V$2,P24*Q24*$V$2)</f>
        <v>0</v>
      </c>
      <c r="S24" s="69"/>
      <c r="T24" s="39"/>
      <c r="U24" s="37"/>
      <c r="V24" s="38"/>
    </row>
    <row r="25" spans="1:22" ht="14.5" thickBot="1" x14ac:dyDescent="0.4">
      <c r="A25" s="29" t="e">
        <f t="shared" si="3"/>
        <v>#VALUE!</v>
      </c>
      <c r="B25" s="22"/>
      <c r="C25" s="19"/>
      <c r="D25" s="19"/>
      <c r="E25" s="20"/>
      <c r="F25" s="30" t="str">
        <f t="shared" si="0"/>
        <v/>
      </c>
      <c r="G25" s="21"/>
      <c r="H25" s="22"/>
      <c r="I25" s="23"/>
      <c r="J25" s="22"/>
      <c r="K25" s="18"/>
      <c r="L25" s="18"/>
      <c r="M25" s="18"/>
      <c r="N25" s="28"/>
      <c r="O25" s="31" t="str">
        <f>IF(OR($K25="",$L25="",$M25=""),"",($K25+$L25)/SUM($K25:$M25))</f>
        <v/>
      </c>
      <c r="P25" s="34"/>
      <c r="Q25" s="35"/>
      <c r="R25" s="40">
        <f>IF((L25=1),$V$3*$V$2,P25*Q25*$V$2)</f>
        <v>0</v>
      </c>
      <c r="S25" s="69"/>
      <c r="T25" s="37"/>
      <c r="U25" s="37"/>
      <c r="V25" s="38"/>
    </row>
    <row r="26" spans="1:22" ht="14.5" thickBot="1" x14ac:dyDescent="0.4">
      <c r="A26" s="29" t="e">
        <f t="shared" si="3"/>
        <v>#VALUE!</v>
      </c>
      <c r="B26" s="22"/>
      <c r="C26" s="19"/>
      <c r="D26" s="19"/>
      <c r="E26" s="20"/>
      <c r="F26" s="30" t="str">
        <f t="shared" si="0"/>
        <v/>
      </c>
      <c r="G26" s="21"/>
      <c r="H26" s="22"/>
      <c r="I26" s="23"/>
      <c r="J26" s="22"/>
      <c r="K26" s="18"/>
      <c r="L26" s="18"/>
      <c r="M26" s="18"/>
      <c r="N26" s="26"/>
      <c r="O26" s="31" t="str">
        <f>IF(OR($K26="",$L26="",$M26=""),"",($K26+$L26)/SUM($K26:$M26))</f>
        <v/>
      </c>
      <c r="P26" s="34"/>
      <c r="Q26" s="34"/>
      <c r="R26" s="40">
        <f>IF((L26=1),$V$3*$V$2,P26*Q26*$V$2)</f>
        <v>0</v>
      </c>
      <c r="S26" s="69"/>
      <c r="T26" s="37"/>
      <c r="U26" s="37"/>
      <c r="V26" s="38"/>
    </row>
    <row r="27" spans="1:22" ht="14.5" thickBot="1" x14ac:dyDescent="0.4">
      <c r="A27" s="29" t="e">
        <f t="shared" si="3"/>
        <v>#VALUE!</v>
      </c>
      <c r="B27" s="22"/>
      <c r="C27" s="19"/>
      <c r="D27" s="19"/>
      <c r="E27" s="20"/>
      <c r="F27" s="30" t="str">
        <f t="shared" si="0"/>
        <v/>
      </c>
      <c r="G27" s="21"/>
      <c r="H27" s="22"/>
      <c r="I27" s="23"/>
      <c r="J27" s="22"/>
      <c r="K27" s="18"/>
      <c r="L27" s="18"/>
      <c r="M27" s="18"/>
      <c r="N27" s="26"/>
      <c r="O27" s="31" t="str">
        <f>IF(OR($K27="",$L27="",$M27=""),"",($K27+$L27)/SUM($K27:$M27))</f>
        <v/>
      </c>
      <c r="P27" s="34"/>
      <c r="Q27" s="35"/>
      <c r="R27" s="40">
        <f>IF((L27=1),$V$3*$V$2,P27*Q27*$V$2)</f>
        <v>0</v>
      </c>
      <c r="S27" s="69"/>
      <c r="T27" s="37"/>
      <c r="U27" s="37"/>
      <c r="V27" s="38"/>
    </row>
    <row r="28" spans="1:22" ht="14.5" thickBot="1" x14ac:dyDescent="0.4">
      <c r="A28" s="29" t="e">
        <f t="shared" si="3"/>
        <v>#VALUE!</v>
      </c>
      <c r="B28" s="22"/>
      <c r="C28" s="19"/>
      <c r="D28" s="19"/>
      <c r="E28" s="20"/>
      <c r="F28" s="30" t="str">
        <f t="shared" si="0"/>
        <v/>
      </c>
      <c r="G28" s="21"/>
      <c r="H28" s="22"/>
      <c r="I28" s="23"/>
      <c r="J28" s="22"/>
      <c r="K28" s="18"/>
      <c r="L28" s="18"/>
      <c r="M28" s="18"/>
      <c r="N28" s="26"/>
      <c r="O28" s="31" t="str">
        <f>IF(OR($K28="",$L28="",$M28=""),"",($K28+$L28)/SUM($K28:$M28))</f>
        <v/>
      </c>
      <c r="P28" s="34"/>
      <c r="Q28" s="34"/>
      <c r="R28" s="40">
        <f>IF((L28=1),$V$3*$V$2,P28*Q28*$V$2)</f>
        <v>0</v>
      </c>
      <c r="S28" s="69"/>
      <c r="T28" s="37"/>
      <c r="U28" s="37"/>
      <c r="V28" s="38"/>
    </row>
    <row r="29" spans="1:22" ht="14.5" thickBot="1" x14ac:dyDescent="0.4">
      <c r="A29" s="29" t="e">
        <f t="shared" si="3"/>
        <v>#VALUE!</v>
      </c>
      <c r="B29" s="22"/>
      <c r="C29" s="19"/>
      <c r="D29" s="19"/>
      <c r="E29" s="20"/>
      <c r="F29" s="30" t="str">
        <f t="shared" si="0"/>
        <v/>
      </c>
      <c r="G29" s="21"/>
      <c r="H29" s="22"/>
      <c r="I29" s="23"/>
      <c r="J29" s="22"/>
      <c r="K29" s="18"/>
      <c r="L29" s="18"/>
      <c r="M29" s="18"/>
      <c r="N29" s="26"/>
      <c r="O29" s="31" t="str">
        <f>IF(OR($K29="",$L29="",$M29=""),"",($K29+$L29)/SUM($K29:$M29))</f>
        <v/>
      </c>
      <c r="P29" s="34"/>
      <c r="Q29" s="35"/>
      <c r="R29" s="40">
        <f>IF((L29=1),$V$3*$V$2,P29*Q29*$V$2)</f>
        <v>0</v>
      </c>
      <c r="S29" s="69"/>
      <c r="T29" s="37"/>
      <c r="U29" s="37"/>
      <c r="V29" s="38"/>
    </row>
    <row r="30" spans="1:22" ht="14.5" thickBot="1" x14ac:dyDescent="0.4">
      <c r="A30" s="29" t="e">
        <f t="shared" si="3"/>
        <v>#VALUE!</v>
      </c>
      <c r="B30" s="22"/>
      <c r="C30" s="19"/>
      <c r="D30" s="19"/>
      <c r="E30" s="20"/>
      <c r="F30" s="30" t="str">
        <f t="shared" si="0"/>
        <v/>
      </c>
      <c r="G30" s="21"/>
      <c r="H30" s="22"/>
      <c r="I30" s="23"/>
      <c r="J30" s="22"/>
      <c r="K30" s="18"/>
      <c r="L30" s="18"/>
      <c r="M30" s="18"/>
      <c r="N30" s="26"/>
      <c r="O30" s="31" t="str">
        <f>IF(OR($K30="",$L30="",$M30=""),"",($K30+$L30)/SUM($K30:$M30))</f>
        <v/>
      </c>
      <c r="P30" s="34"/>
      <c r="Q30" s="35"/>
      <c r="R30" s="40">
        <f>IF((L30=1),$V$3*$V$2,P30*Q30*$V$2)</f>
        <v>0</v>
      </c>
      <c r="S30" s="70"/>
      <c r="T30" s="37"/>
      <c r="U30" s="37"/>
      <c r="V30" s="38"/>
    </row>
    <row r="31" spans="1:22" ht="14.5" thickBot="1" x14ac:dyDescent="0.4">
      <c r="A31" s="29" t="e">
        <f t="shared" si="3"/>
        <v>#VALUE!</v>
      </c>
      <c r="B31" s="22"/>
      <c r="C31" s="19"/>
      <c r="D31" s="19"/>
      <c r="E31" s="20"/>
      <c r="F31" s="30" t="str">
        <f t="shared" si="0"/>
        <v/>
      </c>
      <c r="G31" s="21"/>
      <c r="H31" s="22"/>
      <c r="I31" s="23"/>
      <c r="J31" s="22"/>
      <c r="K31" s="18"/>
      <c r="L31" s="18"/>
      <c r="M31" s="18"/>
      <c r="N31" s="26"/>
      <c r="O31" s="31" t="str">
        <f>IF(OR($K31="",$L31="",$M31=""),"",($K31+$L31)/SUM($K31:$M31))</f>
        <v/>
      </c>
      <c r="P31" s="34"/>
      <c r="Q31" s="34"/>
      <c r="R31" s="40">
        <f>IF((L31=1),$V$3*$V$2,P31*Q31*$V$2)</f>
        <v>0</v>
      </c>
      <c r="S31" s="69"/>
      <c r="T31" s="37"/>
      <c r="U31" s="37"/>
      <c r="V31" s="38"/>
    </row>
    <row r="32" spans="1:22" ht="14.5" thickBot="1" x14ac:dyDescent="0.4">
      <c r="A32" s="29" t="e">
        <f t="shared" si="3"/>
        <v>#VALUE!</v>
      </c>
      <c r="B32" s="22"/>
      <c r="C32" s="19"/>
      <c r="D32" s="19"/>
      <c r="E32" s="20"/>
      <c r="F32" s="30" t="str">
        <f t="shared" si="0"/>
        <v/>
      </c>
      <c r="G32" s="21"/>
      <c r="H32" s="22"/>
      <c r="I32" s="23"/>
      <c r="J32" s="22"/>
      <c r="K32" s="18"/>
      <c r="L32" s="18"/>
      <c r="M32" s="18"/>
      <c r="N32" s="26"/>
      <c r="O32" s="31" t="str">
        <f>IF(OR($K32="",$L32="",$M32=""),"",($K32+$L32)/SUM($K32:$M32))</f>
        <v/>
      </c>
      <c r="P32" s="34"/>
      <c r="Q32" s="34"/>
      <c r="R32" s="40">
        <f>IF((L32=1),$V$3*$V$2,P32*Q32*$V$2)</f>
        <v>0</v>
      </c>
      <c r="S32" s="69"/>
      <c r="T32" s="39"/>
      <c r="U32" s="37"/>
      <c r="V32" s="38"/>
    </row>
    <row r="33" spans="1:22" ht="14.5" thickBot="1" x14ac:dyDescent="0.4">
      <c r="A33" s="29" t="e">
        <f t="shared" si="3"/>
        <v>#VALUE!</v>
      </c>
      <c r="B33" s="22"/>
      <c r="C33" s="19"/>
      <c r="D33" s="19"/>
      <c r="E33" s="20"/>
      <c r="F33" s="30" t="str">
        <f t="shared" si="0"/>
        <v/>
      </c>
      <c r="G33" s="21"/>
      <c r="H33" s="22"/>
      <c r="I33" s="23"/>
      <c r="J33" s="22"/>
      <c r="K33" s="18"/>
      <c r="L33" s="18"/>
      <c r="M33" s="18"/>
      <c r="N33" s="26"/>
      <c r="O33" s="31" t="str">
        <f>IF(OR($K33="",$L33="",$M33=""),"",($K33+$L33)/SUM($K33:$M33))</f>
        <v/>
      </c>
      <c r="P33" s="34"/>
      <c r="Q33" s="34"/>
      <c r="R33" s="40">
        <f>IF((L33=1),$V$3*$V$2,P33*Q33*$V$2)</f>
        <v>0</v>
      </c>
      <c r="S33" s="69"/>
      <c r="T33" s="39"/>
      <c r="U33" s="37"/>
      <c r="V33" s="38"/>
    </row>
    <row r="34" spans="1:22" ht="14.5" thickBot="1" x14ac:dyDescent="0.4">
      <c r="A34" s="29" t="e">
        <f t="shared" si="3"/>
        <v>#VALUE!</v>
      </c>
      <c r="B34" s="22"/>
      <c r="C34" s="19"/>
      <c r="D34" s="19"/>
      <c r="E34" s="20"/>
      <c r="F34" s="30" t="str">
        <f t="shared" si="0"/>
        <v/>
      </c>
      <c r="G34" s="21"/>
      <c r="H34" s="22"/>
      <c r="I34" s="23"/>
      <c r="J34" s="22"/>
      <c r="K34" s="18"/>
      <c r="L34" s="18"/>
      <c r="M34" s="18"/>
      <c r="N34" s="26"/>
      <c r="O34" s="31" t="str">
        <f>IF(OR($K34="",$L34="",$M34=""),"",($K34+$L34)/SUM($K34:$M34))</f>
        <v/>
      </c>
      <c r="P34" s="25"/>
      <c r="Q34" s="25"/>
      <c r="R34" s="40">
        <f>IF((L34=1),$V$3*$V$2,P34*Q34*$V$2)</f>
        <v>0</v>
      </c>
      <c r="S34" s="69"/>
      <c r="T34" s="39"/>
      <c r="U34" s="37"/>
      <c r="V34" s="38"/>
    </row>
    <row r="35" spans="1:22" ht="14.5" thickBot="1" x14ac:dyDescent="0.4">
      <c r="A35" s="29" t="e">
        <f t="shared" si="3"/>
        <v>#VALUE!</v>
      </c>
      <c r="B35" s="22"/>
      <c r="C35" s="19"/>
      <c r="D35" s="19"/>
      <c r="E35" s="20"/>
      <c r="F35" s="30" t="str">
        <f t="shared" si="0"/>
        <v/>
      </c>
      <c r="G35" s="21"/>
      <c r="H35" s="22"/>
      <c r="I35" s="23"/>
      <c r="J35" s="22"/>
      <c r="K35" s="18"/>
      <c r="L35" s="18"/>
      <c r="M35" s="18"/>
      <c r="N35" s="26"/>
      <c r="O35" s="31" t="str">
        <f>IF(OR($K35="",$L35="",$M35=""),"",($K35+$L35)/SUM($K35:$M35))</f>
        <v/>
      </c>
      <c r="P35" s="25"/>
      <c r="Q35" s="25"/>
      <c r="R35" s="40">
        <f>IF((L35=1),$V$3*$V$2,P35*Q35*$V$2)</f>
        <v>0</v>
      </c>
      <c r="S35" s="69"/>
      <c r="T35" s="39"/>
      <c r="U35" s="37"/>
      <c r="V35" s="38"/>
    </row>
    <row r="36" spans="1:22" ht="14.5" thickBot="1" x14ac:dyDescent="0.4">
      <c r="A36" s="52" t="e">
        <f t="shared" si="3"/>
        <v>#VALUE!</v>
      </c>
      <c r="B36" s="53"/>
      <c r="C36" s="54"/>
      <c r="D36" s="54"/>
      <c r="E36" s="55"/>
      <c r="F36" s="30" t="str">
        <f t="shared" si="0"/>
        <v/>
      </c>
      <c r="G36" s="56"/>
      <c r="H36" s="53"/>
      <c r="I36" s="57"/>
      <c r="J36" s="53"/>
      <c r="K36" s="58"/>
      <c r="L36" s="58"/>
      <c r="M36" s="58"/>
      <c r="N36" s="59"/>
      <c r="O36" s="31" t="str">
        <f>IF(OR($K36="",$L36="",$M36=""),"",($K36+$L36)/SUM($K36:$M36))</f>
        <v/>
      </c>
      <c r="P36" s="60"/>
      <c r="Q36" s="60"/>
      <c r="R36" s="40">
        <f>IF((L36=1),$V$3*$V$2,P36*Q36*$V$2)</f>
        <v>0</v>
      </c>
      <c r="S36" s="71"/>
      <c r="T36" s="39"/>
      <c r="U36" s="37"/>
      <c r="V36" s="38"/>
    </row>
    <row r="37" spans="1:22" ht="20.149999999999999" customHeight="1" x14ac:dyDescent="0.35">
      <c r="A37" s="6" t="s">
        <v>21</v>
      </c>
      <c r="B37" s="75"/>
      <c r="C37" s="92" t="str">
        <f t="shared" ref="C37:G37" si="4">IFERROR(AVERAGE(C6:C36),"")</f>
        <v/>
      </c>
      <c r="D37" s="92" t="str">
        <f t="shared" si="4"/>
        <v/>
      </c>
      <c r="E37" s="93" t="str">
        <f t="shared" si="4"/>
        <v/>
      </c>
      <c r="F37" s="94" t="str">
        <f t="shared" si="4"/>
        <v/>
      </c>
      <c r="G37" s="93" t="str">
        <f t="shared" si="4"/>
        <v/>
      </c>
      <c r="H37" s="75"/>
      <c r="I37" s="76"/>
      <c r="J37" s="77" t="str">
        <f>IF(COUNT(J5:J35)=0,"",SUM(J5:J35))</f>
        <v/>
      </c>
      <c r="K37" s="95" t="str">
        <f t="shared" ref="K37" si="5">IFERROR(AVERAGE(K6:K36),"")</f>
        <v/>
      </c>
      <c r="L37" s="96"/>
      <c r="M37" s="96"/>
      <c r="N37" s="78"/>
      <c r="O37" s="31" t="str">
        <f>IF(OR($K37="",$L37="",$M37=""),"",($K37+$L37)/SUM($K37:$M37))</f>
        <v/>
      </c>
      <c r="P37" s="79"/>
      <c r="Q37" s="79"/>
      <c r="R37" s="40">
        <f>IF((L37=1),$V$3*$V$2,P37*Q37*$V$2)</f>
        <v>0</v>
      </c>
      <c r="S37" s="80"/>
      <c r="T37" s="39"/>
      <c r="U37" s="37"/>
      <c r="V37" s="38"/>
    </row>
    <row r="38" spans="1:22" ht="20.149999999999999" customHeight="1" thickBot="1" x14ac:dyDescent="0.4">
      <c r="A38" s="8" t="s">
        <v>10</v>
      </c>
      <c r="B38" s="81"/>
      <c r="C38" s="81"/>
      <c r="D38" s="81"/>
      <c r="E38" s="82" t="str">
        <f>IF(COUNT(E6:E36)=0,"",SUM(E6:E36))</f>
        <v/>
      </c>
      <c r="F38" s="83"/>
      <c r="G38" s="84"/>
      <c r="H38" s="81"/>
      <c r="I38" s="85"/>
      <c r="J38" s="86" t="str">
        <f>IF(COUNT(J6:J36)=0,"",SUM(J6:J36))</f>
        <v/>
      </c>
      <c r="K38" s="87" t="str">
        <f>IF(COUNT(K6:K36)=0,"",SUM(K6:K36))</f>
        <v/>
      </c>
      <c r="L38" s="87" t="str">
        <f>IF(COUNT(L6:L36)=0,"",SUM(L6:L36))</f>
        <v/>
      </c>
      <c r="M38" s="87" t="str">
        <f>IF(COUNT(M6:M36)=0,"",SUM(M6:M36))</f>
        <v/>
      </c>
      <c r="N38" s="88"/>
      <c r="O38" s="89"/>
      <c r="P38" s="89"/>
      <c r="Q38" s="89"/>
      <c r="R38" s="90" t="e">
        <f>SUM(R6:R36)</f>
        <v>#VALUE!</v>
      </c>
      <c r="S38" s="91"/>
    </row>
  </sheetData>
  <sheetProtection formatColumns="0" formatRows="0" insertColumns="0" insertRows="0" sort="0" autoFilter="0" pivotTables="0"/>
  <mergeCells count="5">
    <mergeCell ref="A1:S1"/>
    <mergeCell ref="A2:S2"/>
    <mergeCell ref="A4:A5"/>
    <mergeCell ref="K4:M4"/>
    <mergeCell ref="S4:S5"/>
  </mergeCells>
  <printOptions horizontalCentered="1"/>
  <pageMargins left="0.39370078740157483" right="0.39370078740157483" top="0.59055118110236227" bottom="0.59055118110236227" header="0.31496062992125984" footer="0.31496062992125984"/>
  <pageSetup paperSize="9" scale="51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Rekap Inv</vt:lpstr>
      <vt:lpstr>5019</vt:lpstr>
      <vt:lpstr>'5019'!Print_Area</vt:lpstr>
      <vt:lpstr>'Rekap Inv'!Print_Area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2022 ALFONSUS VEGA HENTYA TANOJO</cp:lastModifiedBy>
  <cp:lastPrinted>2023-12-13T05:45:59Z</cp:lastPrinted>
  <dcterms:created xsi:type="dcterms:W3CDTF">2020-02-26T09:07:03Z</dcterms:created>
  <dcterms:modified xsi:type="dcterms:W3CDTF">2026-03-12T13:27:39Z</dcterms:modified>
</cp:coreProperties>
</file>