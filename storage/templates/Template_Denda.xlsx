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9725"/>
  <workbookPr codeName="ThisWorkbook" defaultThemeVersion="166925"/>
  <mc:AlternateContent xmlns:mc="http://schemas.openxmlformats.org/markup-compatibility/2006">
    <mc:Choice Requires="x15">
      <x15ac:absPath xmlns:x15ac="http://schemas.microsoft.com/office/spreadsheetml/2010/11/ac" url="C:\Users\Alfonsus Vega\Documents\GitHub\sinerco\storage\templates\"/>
    </mc:Choice>
  </mc:AlternateContent>
  <xr:revisionPtr revIDLastSave="0" documentId="13_ncr:1_{FE7D1CC8-6A4D-4C96-9FE7-47BF0DD2E34F}" xr6:coauthVersionLast="47" xr6:coauthVersionMax="47" xr10:uidLastSave="{00000000-0000-0000-0000-000000000000}"/>
  <bookViews>
    <workbookView xWindow="-110" yWindow="-110" windowWidth="25820" windowHeight="13900" firstSheet="2" activeTab="2" xr2:uid="{00000000-000D-0000-FFFF-FFFF00000000}"/>
  </bookViews>
  <sheets>
    <sheet name="24-06 (MP7110)" sheetId="28" state="hidden" r:id="rId1"/>
    <sheet name="FORM" sheetId="9" r:id="rId2"/>
    <sheet name="25-12" sheetId="48" r:id="rId3"/>
  </sheets>
  <definedNames>
    <definedName name="_xlnm.Print_Area" localSheetId="2">'25-12'!$A$6:$C$39</definedName>
    <definedName name="_xlnm.Print_Area" localSheetId="1">FORM!$A$6:$I$39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A9" i="48" l="1"/>
  <c r="A10" i="48" s="1"/>
  <c r="A11" i="48" s="1"/>
  <c r="A12" i="48" s="1"/>
  <c r="A13" i="48" s="1"/>
  <c r="A14" i="48" s="1"/>
  <c r="A15" i="48" s="1"/>
  <c r="A16" i="48" s="1"/>
  <c r="A17" i="48" s="1"/>
  <c r="A18" i="48" s="1"/>
  <c r="A19" i="48" s="1"/>
  <c r="A20" i="48" s="1"/>
  <c r="A21" i="48" s="1"/>
  <c r="A22" i="48" s="1"/>
  <c r="A23" i="48" s="1"/>
  <c r="A24" i="48" s="1"/>
  <c r="A25" i="48" s="1"/>
  <c r="A26" i="48" s="1"/>
  <c r="A27" i="48" s="1"/>
  <c r="A28" i="48" s="1"/>
  <c r="A29" i="48" s="1"/>
  <c r="A30" i="48" s="1"/>
  <c r="A31" i="48" s="1"/>
  <c r="A32" i="48" s="1"/>
  <c r="A33" i="48" s="1"/>
  <c r="A34" i="48" s="1"/>
  <c r="A35" i="48" s="1"/>
  <c r="A36" i="48" s="1"/>
  <c r="A37" i="48" s="1"/>
  <c r="A38" i="48" s="1"/>
  <c r="D9" i="48"/>
  <c r="D10" i="48"/>
  <c r="D11" i="48"/>
  <c r="D12" i="48"/>
  <c r="D13" i="48"/>
  <c r="D14" i="48"/>
  <c r="D15" i="48"/>
  <c r="D16" i="48"/>
  <c r="D17" i="48"/>
  <c r="D18" i="48"/>
  <c r="D19" i="48"/>
  <c r="D20" i="48"/>
  <c r="D21" i="48"/>
  <c r="D22" i="48"/>
  <c r="D23" i="48"/>
  <c r="D24" i="48"/>
  <c r="D25" i="48"/>
  <c r="D26" i="48"/>
  <c r="D27" i="48"/>
  <c r="D28" i="48"/>
  <c r="D29" i="48"/>
  <c r="D30" i="48"/>
  <c r="D31" i="48"/>
  <c r="D32" i="48"/>
  <c r="D33" i="48"/>
  <c r="D34" i="48"/>
  <c r="D35" i="48"/>
  <c r="D36" i="48"/>
  <c r="D37" i="48"/>
  <c r="D38" i="48"/>
  <c r="C40" i="48"/>
  <c r="C39" i="48"/>
  <c r="B39" i="48"/>
  <c r="D40" i="48" l="1"/>
  <c r="H5" i="48"/>
  <c r="H10" i="48" l="1"/>
  <c r="I39" i="28"/>
  <c r="G39" i="28"/>
  <c r="E39" i="28"/>
  <c r="C39" i="28"/>
  <c r="I38" i="28"/>
  <c r="H38" i="28"/>
  <c r="G38" i="28"/>
  <c r="F38" i="28"/>
  <c r="E38" i="28"/>
  <c r="D38" i="28"/>
  <c r="C38" i="28"/>
  <c r="B38" i="28"/>
  <c r="M37" i="28"/>
  <c r="L37" i="28"/>
  <c r="K37" i="28"/>
  <c r="J37" i="28"/>
  <c r="M36" i="28"/>
  <c r="L36" i="28"/>
  <c r="K36" i="28"/>
  <c r="J36" i="28"/>
  <c r="M35" i="28"/>
  <c r="L35" i="28"/>
  <c r="K35" i="28"/>
  <c r="J35" i="28"/>
  <c r="M34" i="28"/>
  <c r="L34" i="28"/>
  <c r="K34" i="28"/>
  <c r="J34" i="28"/>
  <c r="M33" i="28"/>
  <c r="L33" i="28"/>
  <c r="K33" i="28"/>
  <c r="J33" i="28"/>
  <c r="M32" i="28"/>
  <c r="L32" i="28"/>
  <c r="K32" i="28"/>
  <c r="J32" i="28"/>
  <c r="M31" i="28"/>
  <c r="L31" i="28"/>
  <c r="K31" i="28"/>
  <c r="J31" i="28"/>
  <c r="M30" i="28"/>
  <c r="L30" i="28"/>
  <c r="K30" i="28"/>
  <c r="J30" i="28"/>
  <c r="M29" i="28"/>
  <c r="L29" i="28"/>
  <c r="K29" i="28"/>
  <c r="J29" i="28"/>
  <c r="M28" i="28"/>
  <c r="L28" i="28"/>
  <c r="K28" i="28"/>
  <c r="J28" i="28"/>
  <c r="M27" i="28"/>
  <c r="L27" i="28"/>
  <c r="K27" i="28"/>
  <c r="J27" i="28"/>
  <c r="M26" i="28"/>
  <c r="L26" i="28"/>
  <c r="K26" i="28"/>
  <c r="J26" i="28"/>
  <c r="M25" i="28"/>
  <c r="L25" i="28"/>
  <c r="K25" i="28"/>
  <c r="J25" i="28"/>
  <c r="M24" i="28"/>
  <c r="L24" i="28"/>
  <c r="K24" i="28"/>
  <c r="J24" i="28"/>
  <c r="M23" i="28"/>
  <c r="L23" i="28"/>
  <c r="K23" i="28"/>
  <c r="J23" i="28"/>
  <c r="M22" i="28"/>
  <c r="L22" i="28"/>
  <c r="K22" i="28"/>
  <c r="J22" i="28"/>
  <c r="M21" i="28"/>
  <c r="L21" i="28"/>
  <c r="K21" i="28"/>
  <c r="J21" i="28"/>
  <c r="M20" i="28"/>
  <c r="L20" i="28"/>
  <c r="K20" i="28"/>
  <c r="J20" i="28"/>
  <c r="M19" i="28"/>
  <c r="L19" i="28"/>
  <c r="K19" i="28"/>
  <c r="J19" i="28"/>
  <c r="M18" i="28"/>
  <c r="L18" i="28"/>
  <c r="K18" i="28"/>
  <c r="J18" i="28"/>
  <c r="M17" i="28"/>
  <c r="L17" i="28"/>
  <c r="K17" i="28"/>
  <c r="J17" i="28"/>
  <c r="M16" i="28"/>
  <c r="L16" i="28"/>
  <c r="K16" i="28"/>
  <c r="J16" i="28"/>
  <c r="M15" i="28"/>
  <c r="L15" i="28"/>
  <c r="K15" i="28"/>
  <c r="J15" i="28"/>
  <c r="M14" i="28"/>
  <c r="L14" i="28"/>
  <c r="K14" i="28"/>
  <c r="J14" i="28"/>
  <c r="M13" i="28"/>
  <c r="L13" i="28"/>
  <c r="K13" i="28"/>
  <c r="J13" i="28"/>
  <c r="M12" i="28"/>
  <c r="L12" i="28"/>
  <c r="K12" i="28"/>
  <c r="J12" i="28"/>
  <c r="M11" i="28"/>
  <c r="L11" i="28"/>
  <c r="K11" i="28"/>
  <c r="J11" i="28"/>
  <c r="Q10" i="28"/>
  <c r="M10" i="28"/>
  <c r="L10" i="28"/>
  <c r="K10" i="28"/>
  <c r="J10" i="28"/>
  <c r="Q9" i="28"/>
  <c r="M9" i="28"/>
  <c r="L9" i="28"/>
  <c r="K9" i="28"/>
  <c r="J9" i="28"/>
  <c r="Q8" i="28"/>
  <c r="M8" i="28"/>
  <c r="L8" i="28"/>
  <c r="K8" i="28"/>
  <c r="J8" i="28"/>
  <c r="A8" i="28"/>
  <c r="A9" i="28" s="1"/>
  <c r="A10" i="28" s="1"/>
  <c r="A11" i="28" s="1"/>
  <c r="A12" i="28" s="1"/>
  <c r="A13" i="28" s="1"/>
  <c r="A14" i="28" s="1"/>
  <c r="A15" i="28" s="1"/>
  <c r="A16" i="28" s="1"/>
  <c r="A17" i="28" s="1"/>
  <c r="A18" i="28" s="1"/>
  <c r="A19" i="28" s="1"/>
  <c r="A20" i="28" s="1"/>
  <c r="A21" i="28" s="1"/>
  <c r="A22" i="28" s="1"/>
  <c r="A23" i="28" s="1"/>
  <c r="A24" i="28" s="1"/>
  <c r="A25" i="28" s="1"/>
  <c r="A26" i="28" s="1"/>
  <c r="A27" i="28" s="1"/>
  <c r="A28" i="28" s="1"/>
  <c r="A29" i="28" s="1"/>
  <c r="A30" i="28" s="1"/>
  <c r="A31" i="28" s="1"/>
  <c r="A32" i="28" s="1"/>
  <c r="A33" i="28" s="1"/>
  <c r="A34" i="28" s="1"/>
  <c r="A35" i="28" s="1"/>
  <c r="A36" i="28" s="1"/>
  <c r="A37" i="28" s="1"/>
  <c r="Q7" i="28"/>
  <c r="L39" i="28" l="1"/>
  <c r="Q11" i="28"/>
  <c r="J39" i="28"/>
  <c r="K39" i="28"/>
  <c r="M39" i="28"/>
  <c r="Q13" i="28" l="1"/>
  <c r="Q10" i="9" l="1"/>
  <c r="Q9" i="9"/>
  <c r="Q8" i="9"/>
  <c r="Q7" i="9"/>
  <c r="I40" i="9" l="1"/>
  <c r="G40" i="9"/>
  <c r="E40" i="9"/>
  <c r="C40" i="9"/>
  <c r="I39" i="9"/>
  <c r="H39" i="9"/>
  <c r="G39" i="9"/>
  <c r="F39" i="9"/>
  <c r="E39" i="9"/>
  <c r="D39" i="9"/>
  <c r="C39" i="9"/>
  <c r="B39" i="9"/>
  <c r="M38" i="9"/>
  <c r="L38" i="9"/>
  <c r="K38" i="9"/>
  <c r="J38" i="9"/>
  <c r="M37" i="9"/>
  <c r="L37" i="9"/>
  <c r="K37" i="9"/>
  <c r="J37" i="9"/>
  <c r="M36" i="9"/>
  <c r="L36" i="9"/>
  <c r="K36" i="9"/>
  <c r="J36" i="9"/>
  <c r="M35" i="9"/>
  <c r="L35" i="9"/>
  <c r="K35" i="9"/>
  <c r="J35" i="9"/>
  <c r="M34" i="9"/>
  <c r="L34" i="9"/>
  <c r="K34" i="9"/>
  <c r="J34" i="9"/>
  <c r="M33" i="9"/>
  <c r="L33" i="9"/>
  <c r="K33" i="9"/>
  <c r="J33" i="9"/>
  <c r="M32" i="9"/>
  <c r="L32" i="9"/>
  <c r="K32" i="9"/>
  <c r="J32" i="9"/>
  <c r="M31" i="9"/>
  <c r="L31" i="9"/>
  <c r="K31" i="9"/>
  <c r="J31" i="9"/>
  <c r="M30" i="9"/>
  <c r="L30" i="9"/>
  <c r="K30" i="9"/>
  <c r="J30" i="9"/>
  <c r="M29" i="9"/>
  <c r="L29" i="9"/>
  <c r="K29" i="9"/>
  <c r="J29" i="9"/>
  <c r="M28" i="9"/>
  <c r="L28" i="9"/>
  <c r="K28" i="9"/>
  <c r="J28" i="9"/>
  <c r="M27" i="9"/>
  <c r="L27" i="9"/>
  <c r="K27" i="9"/>
  <c r="J27" i="9"/>
  <c r="M26" i="9"/>
  <c r="L26" i="9"/>
  <c r="K26" i="9"/>
  <c r="J26" i="9"/>
  <c r="M25" i="9"/>
  <c r="L25" i="9"/>
  <c r="K25" i="9"/>
  <c r="J25" i="9"/>
  <c r="M24" i="9"/>
  <c r="L24" i="9"/>
  <c r="K24" i="9"/>
  <c r="J24" i="9"/>
  <c r="M23" i="9"/>
  <c r="L23" i="9"/>
  <c r="K23" i="9"/>
  <c r="J23" i="9"/>
  <c r="M22" i="9"/>
  <c r="L22" i="9"/>
  <c r="K22" i="9"/>
  <c r="J22" i="9"/>
  <c r="M21" i="9"/>
  <c r="L21" i="9"/>
  <c r="K21" i="9"/>
  <c r="J21" i="9"/>
  <c r="M20" i="9"/>
  <c r="L20" i="9"/>
  <c r="K20" i="9"/>
  <c r="J20" i="9"/>
  <c r="M19" i="9"/>
  <c r="L19" i="9"/>
  <c r="K19" i="9"/>
  <c r="J19" i="9"/>
  <c r="M18" i="9"/>
  <c r="L18" i="9"/>
  <c r="K18" i="9"/>
  <c r="J18" i="9"/>
  <c r="M17" i="9"/>
  <c r="L17" i="9"/>
  <c r="K17" i="9"/>
  <c r="J17" i="9"/>
  <c r="M16" i="9"/>
  <c r="L16" i="9"/>
  <c r="K16" i="9"/>
  <c r="J16" i="9"/>
  <c r="M15" i="9"/>
  <c r="L15" i="9"/>
  <c r="K15" i="9"/>
  <c r="J15" i="9"/>
  <c r="M14" i="9"/>
  <c r="L14" i="9"/>
  <c r="K14" i="9"/>
  <c r="J14" i="9"/>
  <c r="M13" i="9"/>
  <c r="L13" i="9"/>
  <c r="K13" i="9"/>
  <c r="J13" i="9"/>
  <c r="M12" i="9"/>
  <c r="L12" i="9"/>
  <c r="K12" i="9"/>
  <c r="J12" i="9"/>
  <c r="M11" i="9"/>
  <c r="L11" i="9"/>
  <c r="K11" i="9"/>
  <c r="J11" i="9"/>
  <c r="M10" i="9"/>
  <c r="L10" i="9"/>
  <c r="K10" i="9"/>
  <c r="J10" i="9"/>
  <c r="M9" i="9"/>
  <c r="L9" i="9"/>
  <c r="K9" i="9"/>
  <c r="J9" i="9"/>
  <c r="M8" i="9"/>
  <c r="M40" i="9" s="1"/>
  <c r="L8" i="9"/>
  <c r="L40" i="9" s="1"/>
  <c r="K8" i="9"/>
  <c r="K40" i="9" s="1"/>
  <c r="J8" i="9"/>
  <c r="A8" i="9"/>
  <c r="A9" i="9" s="1"/>
  <c r="A10" i="9" s="1"/>
  <c r="A11" i="9" s="1"/>
  <c r="A12" i="9" s="1"/>
  <c r="A13" i="9" s="1"/>
  <c r="A14" i="9" s="1"/>
  <c r="A15" i="9" s="1"/>
  <c r="A16" i="9" s="1"/>
  <c r="A17" i="9" s="1"/>
  <c r="A18" i="9" s="1"/>
  <c r="A19" i="9" s="1"/>
  <c r="A20" i="9" s="1"/>
  <c r="A21" i="9" s="1"/>
  <c r="A22" i="9" s="1"/>
  <c r="A23" i="9" s="1"/>
  <c r="A24" i="9" s="1"/>
  <c r="A25" i="9" s="1"/>
  <c r="A26" i="9" s="1"/>
  <c r="A27" i="9" s="1"/>
  <c r="A28" i="9" s="1"/>
  <c r="A29" i="9" s="1"/>
  <c r="A30" i="9" s="1"/>
  <c r="A31" i="9" s="1"/>
  <c r="A32" i="9" s="1"/>
  <c r="A33" i="9" s="1"/>
  <c r="A34" i="9" s="1"/>
  <c r="A35" i="9" s="1"/>
  <c r="A36" i="9" s="1"/>
  <c r="A37" i="9" s="1"/>
  <c r="A38" i="9" s="1"/>
  <c r="J40" i="9" l="1"/>
  <c r="Q5" i="9"/>
  <c r="Q11" i="9" l="1"/>
  <c r="Q13" i="9" s="1"/>
</calcChain>
</file>

<file path=xl/sharedStrings.xml><?xml version="1.0" encoding="utf-8"?>
<sst xmlns="http://schemas.openxmlformats.org/spreadsheetml/2006/main" count="110" uniqueCount="35">
  <si>
    <t>Daily Operation Rate :</t>
  </si>
  <si>
    <t>Denda Performance Tarakan :</t>
  </si>
  <si>
    <t>Denda Availability :</t>
  </si>
  <si>
    <t>( 0,95 - Actual Availability ) x Daily Operation Rate x jumlah hari dalam bulan operasional</t>
  </si>
  <si>
    <t>IDR / day / unit</t>
  </si>
  <si>
    <t>Date</t>
  </si>
  <si>
    <t>Perhitungan denda periode :</t>
  </si>
  <si>
    <t>AVERAGE</t>
  </si>
  <si>
    <t>MP 7108</t>
  </si>
  <si>
    <t>MP 7109</t>
  </si>
  <si>
    <t>MP 7110</t>
  </si>
  <si>
    <t>MP 7119</t>
  </si>
  <si>
    <t>PERFORMANCE PENALTY</t>
  </si>
  <si>
    <t>FLOWRATE</t>
  </si>
  <si>
    <t>SUCTION
HEADER</t>
  </si>
  <si>
    <t>TOTAL</t>
  </si>
  <si>
    <t>( 0,2 [MMSCFD] - Actual Rate [MMSCFD] ) x Daily Operation Rate</t>
  </si>
  <si>
    <t>AVAILABILITY</t>
  </si>
  <si>
    <t>AVAILABILITY
PENALTY</t>
  </si>
  <si>
    <t>Jumlah hari</t>
  </si>
  <si>
    <t>TOTAL PENALTY</t>
  </si>
  <si>
    <t>Denda Performance {{area}}:</t>
  </si>
  <si>
    <t>{{unit_sn}}</t>
  </si>
  <si>
    <t>{{availability}}</t>
  </si>
  <si>
    <t>{{date}}</t>
  </si>
  <si>
    <t>{{unit_sn_avail}}</t>
  </si>
  <si>
    <t>{{header1}}</t>
  </si>
  <si>
    <t>{{header2}}</t>
  </si>
  <si>
    <t>{{header3}}</t>
  </si>
  <si>
    <t>{{avail_penalty}}</t>
  </si>
  <si>
    <t>{{total_avail_penalty}}</t>
  </si>
  <si>
    <t>{{start_date}}</t>
  </si>
  <si>
    <t>{{header1_data}}</t>
  </si>
  <si>
    <t>{{header2_data}}</t>
  </si>
  <si>
    <t>{{header3_data}}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</si>
</sst>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6">
    <numFmt numFmtId="41" formatCode="_-* #,##0_-;\-* #,##0_-;_-* &quot;-&quot;_-;_-@_-"/>
    <numFmt numFmtId="164" formatCode="0.00_)"/>
    <numFmt numFmtId="165" formatCode="#,##0.0"/>
    <numFmt numFmtId="166" formatCode="#,##0.000000"/>
    <numFmt numFmtId="167" formatCode="mmm\ yyyy"/>
    <numFmt numFmtId="168" formatCode="#,##0_ ;\-#,##0\ "/>
  </numFmts>
  <fonts count="10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charset val="1"/>
      <scheme val="minor"/>
    </font>
    <font>
      <sz val="10"/>
      <color theme="1"/>
      <name val="Courier New"/>
      <family val="2"/>
      <charset val="1"/>
    </font>
    <font>
      <sz val="10"/>
      <name val="Courier"/>
      <family val="3"/>
    </font>
    <font>
      <sz val="11"/>
      <color theme="1"/>
      <name val="Calibri"/>
      <family val="2"/>
      <scheme val="minor"/>
    </font>
    <font>
      <sz val="10"/>
      <color theme="1"/>
      <name val="Arial"/>
      <family val="2"/>
    </font>
    <font>
      <b/>
      <sz val="10"/>
      <color theme="1"/>
      <name val="Arial"/>
      <family val="2"/>
    </font>
    <font>
      <sz val="10"/>
      <name val="Arial"/>
      <family val="2"/>
    </font>
    <font>
      <sz val="10"/>
      <color rgb="FFFF0000"/>
      <name val="Arial"/>
      <family val="2"/>
    </font>
    <font>
      <b/>
      <sz val="10"/>
      <name val="Arial"/>
      <family val="2"/>
    </font>
  </fonts>
  <fills count="3">
    <fill>
      <patternFill patternType="none"/>
    </fill>
    <fill>
      <patternFill patternType="gray125"/>
    </fill>
    <fill>
      <patternFill patternType="solid">
        <fgColor theme="0"/>
        <bgColor indexed="26"/>
      </patternFill>
    </fill>
  </fills>
  <borders count="20">
    <border>
      <left/>
      <right/>
      <top/>
      <bottom/>
      <diagonal/>
    </border>
    <border>
      <left style="medium">
        <color indexed="64"/>
      </left>
      <right style="medium">
        <color indexed="64"/>
      </right>
      <top/>
      <bottom style="thin">
        <color indexed="64"/>
      </bottom>
      <diagonal/>
    </border>
    <border>
      <left style="medium">
        <color auto="1"/>
      </left>
      <right style="medium">
        <color auto="1"/>
      </right>
      <top style="thin">
        <color auto="1"/>
      </top>
      <bottom style="thin">
        <color auto="1"/>
      </bottom>
      <diagonal/>
    </border>
    <border>
      <left style="medium">
        <color auto="1"/>
      </left>
      <right style="medium">
        <color auto="1"/>
      </right>
      <top style="medium">
        <color auto="1"/>
      </top>
      <bottom style="medium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medium">
        <color auto="1"/>
      </bottom>
      <diagonal/>
    </border>
    <border>
      <left style="thin">
        <color auto="1"/>
      </left>
      <right style="medium">
        <color auto="1"/>
      </right>
      <top style="medium">
        <color auto="1"/>
      </top>
      <bottom style="medium">
        <color auto="1"/>
      </bottom>
      <diagonal/>
    </border>
    <border>
      <left style="medium">
        <color auto="1"/>
      </left>
      <right style="medium">
        <color auto="1"/>
      </right>
      <top style="thin">
        <color auto="1"/>
      </top>
      <bottom style="medium">
        <color auto="1"/>
      </bottom>
      <diagonal/>
    </border>
    <border>
      <left style="medium">
        <color auto="1"/>
      </left>
      <right style="thin">
        <color auto="1"/>
      </right>
      <top style="medium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medium">
        <color auto="1"/>
      </top>
      <bottom style="thin">
        <color auto="1"/>
      </bottom>
      <diagonal/>
    </border>
    <border>
      <left style="thin">
        <color auto="1"/>
      </left>
      <right style="medium">
        <color auto="1"/>
      </right>
      <top style="medium">
        <color auto="1"/>
      </top>
      <bottom style="thin">
        <color auto="1"/>
      </bottom>
      <diagonal/>
    </border>
    <border>
      <left style="medium">
        <color auto="1"/>
      </left>
      <right style="thin">
        <color auto="1"/>
      </right>
      <top style="thin">
        <color auto="1"/>
      </top>
      <bottom style="medium">
        <color auto="1"/>
      </bottom>
      <diagonal/>
    </border>
    <border>
      <left style="thin">
        <color auto="1"/>
      </left>
      <right style="medium">
        <color auto="1"/>
      </right>
      <top style="thin">
        <color auto="1"/>
      </top>
      <bottom style="medium">
        <color auto="1"/>
      </bottom>
      <diagonal/>
    </border>
    <border>
      <left style="medium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medium">
        <color auto="1"/>
      </right>
      <top style="thin">
        <color auto="1"/>
      </top>
      <bottom style="thin">
        <color auto="1"/>
      </bottom>
      <diagonal/>
    </border>
    <border>
      <left/>
      <right style="thin">
        <color auto="1"/>
      </right>
      <top style="medium">
        <color auto="1"/>
      </top>
      <bottom style="medium">
        <color auto="1"/>
      </bottom>
      <diagonal/>
    </border>
    <border diagonalUp="1">
      <left style="medium">
        <color auto="1"/>
      </left>
      <right style="thin">
        <color auto="1"/>
      </right>
      <top style="medium">
        <color auto="1"/>
      </top>
      <bottom style="medium">
        <color auto="1"/>
      </bottom>
      <diagonal style="thin">
        <color auto="1"/>
      </diagonal>
    </border>
    <border diagonalUp="1">
      <left style="thin">
        <color auto="1"/>
      </left>
      <right style="medium">
        <color auto="1"/>
      </right>
      <top style="medium">
        <color auto="1"/>
      </top>
      <bottom style="thin">
        <color auto="1"/>
      </bottom>
      <diagonal style="thin">
        <color auto="1"/>
      </diagonal>
    </border>
    <border diagonalUp="1">
      <left style="thin">
        <color auto="1"/>
      </left>
      <right style="thin">
        <color auto="1"/>
      </right>
      <top style="medium">
        <color auto="1"/>
      </top>
      <bottom style="thin">
        <color auto="1"/>
      </bottom>
      <diagonal style="thin">
        <color auto="1"/>
      </diagonal>
    </border>
    <border diagonalUp="1">
      <left style="thin">
        <color auto="1"/>
      </left>
      <right style="thin">
        <color auto="1"/>
      </right>
      <top style="thin">
        <color auto="1"/>
      </top>
      <bottom style="medium">
        <color auto="1"/>
      </bottom>
      <diagonal style="thin">
        <color auto="1"/>
      </diagonal>
    </border>
  </borders>
  <cellStyleXfs count="9">
    <xf numFmtId="0" fontId="0" fillId="0" borderId="0"/>
    <xf numFmtId="0" fontId="1" fillId="0" borderId="0"/>
    <xf numFmtId="0" fontId="1" fillId="0" borderId="0"/>
    <xf numFmtId="9" fontId="1" fillId="0" borderId="0" applyFont="0" applyFill="0" applyBorder="0" applyAlignment="0" applyProtection="0"/>
    <xf numFmtId="0" fontId="2" fillId="0" borderId="0"/>
    <xf numFmtId="164" fontId="3" fillId="0" borderId="0"/>
    <xf numFmtId="0" fontId="2" fillId="0" borderId="0"/>
    <xf numFmtId="9" fontId="2" fillId="0" borderId="0" applyFont="0" applyFill="0" applyBorder="0" applyAlignment="0" applyProtection="0"/>
    <xf numFmtId="41" fontId="4" fillId="0" borderId="0" applyFont="0" applyFill="0" applyBorder="0" applyAlignment="0" applyProtection="0"/>
  </cellStyleXfs>
  <cellXfs count="52">
    <xf numFmtId="0" fontId="0" fillId="0" borderId="0" xfId="0"/>
    <xf numFmtId="165" fontId="7" fillId="0" borderId="9" xfId="0" applyNumberFormat="1" applyFont="1" applyBorder="1" applyAlignment="1" applyProtection="1">
      <alignment vertical="top"/>
      <protection locked="0"/>
    </xf>
    <xf numFmtId="166" fontId="7" fillId="0" borderId="9" xfId="0" applyNumberFormat="1" applyFont="1" applyBorder="1" applyAlignment="1" applyProtection="1">
      <alignment vertical="top"/>
      <protection locked="0"/>
    </xf>
    <xf numFmtId="165" fontId="7" fillId="0" borderId="4" xfId="0" applyNumberFormat="1" applyFont="1" applyBorder="1" applyAlignment="1" applyProtection="1">
      <alignment vertical="top"/>
      <protection locked="0"/>
    </xf>
    <xf numFmtId="166" fontId="7" fillId="0" borderId="4" xfId="0" applyNumberFormat="1" applyFont="1" applyBorder="1" applyAlignment="1" applyProtection="1">
      <alignment vertical="top"/>
      <protection locked="0"/>
    </xf>
    <xf numFmtId="165" fontId="7" fillId="0" borderId="5" xfId="0" applyNumberFormat="1" applyFont="1" applyBorder="1" applyAlignment="1" applyProtection="1">
      <alignment vertical="top"/>
      <protection locked="0"/>
    </xf>
    <xf numFmtId="166" fontId="7" fillId="0" borderId="5" xfId="0" applyNumberFormat="1" applyFont="1" applyBorder="1" applyAlignment="1" applyProtection="1">
      <alignment vertical="top"/>
      <protection locked="0"/>
    </xf>
    <xf numFmtId="10" fontId="8" fillId="2" borderId="16" xfId="3" applyNumberFormat="1" applyFont="1" applyFill="1" applyBorder="1" applyAlignment="1" applyProtection="1">
      <alignment vertical="top" wrapText="1"/>
    </xf>
    <xf numFmtId="0" fontId="5" fillId="0" borderId="0" xfId="0" applyFont="1" applyAlignment="1">
      <alignment vertical="center"/>
    </xf>
    <xf numFmtId="0" fontId="5" fillId="0" borderId="0" xfId="0" applyFont="1" applyAlignment="1">
      <alignment horizontal="right" vertical="center"/>
    </xf>
    <xf numFmtId="3" fontId="5" fillId="0" borderId="0" xfId="0" applyNumberFormat="1" applyFont="1" applyAlignment="1">
      <alignment vertical="center"/>
    </xf>
    <xf numFmtId="0" fontId="6" fillId="0" borderId="8" xfId="0" applyFont="1" applyBorder="1" applyAlignment="1">
      <alignment horizontal="center" vertical="center"/>
    </xf>
    <xf numFmtId="0" fontId="6" fillId="0" borderId="9" xfId="0" applyFont="1" applyBorder="1" applyAlignment="1">
      <alignment horizontal="center" vertical="center" wrapText="1"/>
    </xf>
    <xf numFmtId="0" fontId="6" fillId="0" borderId="9" xfId="0" applyFont="1" applyBorder="1" applyAlignment="1">
      <alignment horizontal="center" vertical="center"/>
    </xf>
    <xf numFmtId="0" fontId="6" fillId="0" borderId="3" xfId="0" applyFont="1" applyBorder="1" applyAlignment="1">
      <alignment horizontal="center" vertical="center"/>
    </xf>
    <xf numFmtId="0" fontId="6" fillId="0" borderId="15" xfId="0" applyFont="1" applyBorder="1" applyAlignment="1">
      <alignment horizontal="center" vertical="center"/>
    </xf>
    <xf numFmtId="0" fontId="6" fillId="0" borderId="6" xfId="0" applyFont="1" applyBorder="1" applyAlignment="1">
      <alignment horizontal="center" vertical="center" wrapText="1"/>
    </xf>
    <xf numFmtId="0" fontId="6" fillId="0" borderId="0" xfId="0" applyFont="1" applyAlignment="1">
      <alignment vertical="center"/>
    </xf>
    <xf numFmtId="0" fontId="6" fillId="0" borderId="11" xfId="0" applyFont="1" applyBorder="1" applyAlignment="1">
      <alignment horizontal="center" vertical="center"/>
    </xf>
    <xf numFmtId="0" fontId="6" fillId="0" borderId="5" xfId="0" applyFont="1" applyBorder="1" applyAlignment="1">
      <alignment horizontal="center" vertical="center"/>
    </xf>
    <xf numFmtId="0" fontId="6" fillId="0" borderId="12" xfId="0" applyFont="1" applyBorder="1" applyAlignment="1">
      <alignment horizontal="center" vertical="center"/>
    </xf>
    <xf numFmtId="0" fontId="6" fillId="0" borderId="1" xfId="0" applyFont="1" applyBorder="1" applyAlignment="1">
      <alignment horizontal="center" vertical="center"/>
    </xf>
    <xf numFmtId="3" fontId="5" fillId="0" borderId="10" xfId="0" applyNumberFormat="1" applyFont="1" applyBorder="1" applyAlignment="1">
      <alignment vertical="center"/>
    </xf>
    <xf numFmtId="3" fontId="5" fillId="0" borderId="9" xfId="0" applyNumberFormat="1" applyFont="1" applyBorder="1" applyAlignment="1">
      <alignment vertical="center"/>
    </xf>
    <xf numFmtId="0" fontId="6" fillId="0" borderId="2" xfId="0" applyFont="1" applyBorder="1" applyAlignment="1">
      <alignment horizontal="center" vertical="center"/>
    </xf>
    <xf numFmtId="3" fontId="5" fillId="0" borderId="14" xfId="0" applyNumberFormat="1" applyFont="1" applyBorder="1" applyAlignment="1">
      <alignment vertical="center"/>
    </xf>
    <xf numFmtId="3" fontId="5" fillId="0" borderId="4" xfId="0" applyNumberFormat="1" applyFont="1" applyBorder="1" applyAlignment="1">
      <alignment vertical="center"/>
    </xf>
    <xf numFmtId="0" fontId="6" fillId="0" borderId="7" xfId="0" applyFont="1" applyBorder="1" applyAlignment="1">
      <alignment horizontal="center" vertical="center"/>
    </xf>
    <xf numFmtId="3" fontId="5" fillId="0" borderId="12" xfId="0" applyNumberFormat="1" applyFont="1" applyBorder="1" applyAlignment="1">
      <alignment vertical="center"/>
    </xf>
    <xf numFmtId="0" fontId="9" fillId="0" borderId="11" xfId="0" applyFont="1" applyBorder="1" applyAlignment="1">
      <alignment horizontal="center" vertical="center"/>
    </xf>
    <xf numFmtId="3" fontId="5" fillId="0" borderId="3" xfId="0" applyNumberFormat="1" applyFont="1" applyBorder="1" applyAlignment="1">
      <alignment vertical="center"/>
    </xf>
    <xf numFmtId="3" fontId="5" fillId="0" borderId="5" xfId="0" applyNumberFormat="1" applyFont="1" applyBorder="1" applyAlignment="1">
      <alignment vertical="center"/>
    </xf>
    <xf numFmtId="0" fontId="9" fillId="0" borderId="8" xfId="0" applyFont="1" applyBorder="1" applyAlignment="1">
      <alignment horizontal="center" vertical="center"/>
    </xf>
    <xf numFmtId="165" fontId="9" fillId="0" borderId="9" xfId="0" applyNumberFormat="1" applyFont="1" applyBorder="1" applyAlignment="1">
      <alignment vertical="top"/>
    </xf>
    <xf numFmtId="166" fontId="9" fillId="0" borderId="9" xfId="0" applyNumberFormat="1" applyFont="1" applyBorder="1" applyAlignment="1">
      <alignment vertical="top"/>
    </xf>
    <xf numFmtId="3" fontId="6" fillId="0" borderId="18" xfId="0" applyNumberFormat="1" applyFont="1" applyBorder="1" applyAlignment="1">
      <alignment vertical="center"/>
    </xf>
    <xf numFmtId="3" fontId="6" fillId="0" borderId="17" xfId="0" applyNumberFormat="1" applyFont="1" applyBorder="1" applyAlignment="1">
      <alignment vertical="center"/>
    </xf>
    <xf numFmtId="165" fontId="9" fillId="0" borderId="19" xfId="0" applyNumberFormat="1" applyFont="1" applyBorder="1" applyAlignment="1">
      <alignment vertical="top"/>
    </xf>
    <xf numFmtId="166" fontId="9" fillId="0" borderId="5" xfId="0" applyNumberFormat="1" applyFont="1" applyBorder="1" applyAlignment="1">
      <alignment vertical="top"/>
    </xf>
    <xf numFmtId="3" fontId="6" fillId="0" borderId="5" xfId="0" applyNumberFormat="1" applyFont="1" applyBorder="1" applyAlignment="1">
      <alignment vertical="center"/>
    </xf>
    <xf numFmtId="3" fontId="6" fillId="0" borderId="12" xfId="0" applyNumberFormat="1" applyFont="1" applyBorder="1" applyAlignment="1">
      <alignment vertical="center"/>
    </xf>
    <xf numFmtId="167" fontId="5" fillId="0" borderId="0" xfId="0" applyNumberFormat="1" applyFont="1" applyAlignment="1" applyProtection="1">
      <alignment vertical="center"/>
      <protection locked="0"/>
    </xf>
    <xf numFmtId="168" fontId="5" fillId="0" borderId="0" xfId="8" applyNumberFormat="1" applyFont="1" applyAlignment="1" applyProtection="1">
      <alignment vertical="center"/>
      <protection locked="0"/>
    </xf>
    <xf numFmtId="15" fontId="5" fillId="0" borderId="8" xfId="0" applyNumberFormat="1" applyFont="1" applyBorder="1" applyAlignment="1" applyProtection="1">
      <alignment horizontal="center" vertical="center"/>
      <protection locked="0"/>
    </xf>
    <xf numFmtId="15" fontId="5" fillId="0" borderId="13" xfId="0" applyNumberFormat="1" applyFont="1" applyBorder="1" applyAlignment="1" applyProtection="1">
      <alignment horizontal="center" vertical="center"/>
      <protection locked="0"/>
    </xf>
    <xf numFmtId="15" fontId="5" fillId="0" borderId="11" xfId="0" applyNumberFormat="1" applyFont="1" applyBorder="1" applyAlignment="1" applyProtection="1">
      <alignment horizontal="center" vertical="center"/>
      <protection locked="0"/>
    </xf>
    <xf numFmtId="10" fontId="8" fillId="2" borderId="8" xfId="3" applyNumberFormat="1" applyFont="1" applyFill="1" applyBorder="1" applyAlignment="1" applyProtection="1">
      <alignment vertical="top" wrapText="1"/>
      <protection locked="0"/>
    </xf>
    <xf numFmtId="10" fontId="8" fillId="2" borderId="13" xfId="3" applyNumberFormat="1" applyFont="1" applyFill="1" applyBorder="1" applyAlignment="1" applyProtection="1">
      <alignment vertical="top" wrapText="1"/>
      <protection locked="0"/>
    </xf>
    <xf numFmtId="10" fontId="8" fillId="2" borderId="11" xfId="3" applyNumberFormat="1" applyFont="1" applyFill="1" applyBorder="1" applyAlignment="1" applyProtection="1">
      <alignment vertical="top" wrapText="1"/>
      <protection locked="0"/>
    </xf>
    <xf numFmtId="0" fontId="9" fillId="0" borderId="3" xfId="0" applyFont="1" applyBorder="1" applyAlignment="1">
      <alignment horizontal="center" vertical="center"/>
    </xf>
    <xf numFmtId="0" fontId="6" fillId="0" borderId="9" xfId="0" applyFont="1" applyBorder="1" applyAlignment="1">
      <alignment horizontal="center" vertical="center"/>
    </xf>
    <xf numFmtId="0" fontId="6" fillId="0" borderId="10" xfId="0" applyFont="1" applyBorder="1" applyAlignment="1">
      <alignment horizontal="center" vertical="center"/>
    </xf>
  </cellXfs>
  <cellStyles count="9">
    <cellStyle name="Comma [0]" xfId="8" builtinId="6"/>
    <cellStyle name="Normal" xfId="0" builtinId="0"/>
    <cellStyle name="Normal 2" xfId="2" xr:uid="{00000000-0005-0000-0000-000002000000}"/>
    <cellStyle name="Normal 3" xfId="4" xr:uid="{00000000-0005-0000-0000-000003000000}"/>
    <cellStyle name="Normal 4" xfId="6" xr:uid="{00000000-0005-0000-0000-000004000000}"/>
    <cellStyle name="Normal 5" xfId="1" xr:uid="{00000000-0005-0000-0000-000005000000}"/>
    <cellStyle name="Normale_GasProp" xfId="5" xr:uid="{00000000-0005-0000-0000-000006000000}"/>
    <cellStyle name="Percent 2" xfId="7" xr:uid="{00000000-0005-0000-0000-000007000000}"/>
    <cellStyle name="Percent 3" xfId="3" xr:uid="{00000000-0005-0000-0000-000008000000}"/>
  </cellStyles>
  <dxfs count="6">
    <dxf>
      <font>
        <color rgb="FF9C57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2013 - 2022 Theme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9A6DC83-36C9-4653-96F6-AF6C5F0CDCDE}">
  <sheetPr codeName="Sheet1">
    <pageSetUpPr fitToPage="1"/>
  </sheetPr>
  <dimension ref="A1:T39"/>
  <sheetViews>
    <sheetView topLeftCell="E4" zoomScaleNormal="100" workbookViewId="0">
      <selection activeCell="Q9" sqref="Q9"/>
    </sheetView>
  </sheetViews>
  <sheetFormatPr defaultColWidth="5.7265625" defaultRowHeight="15" customHeight="1" x14ac:dyDescent="0.35"/>
  <cols>
    <col min="1" max="1" width="10.7265625" style="8" customWidth="1"/>
    <col min="2" max="13" width="12.7265625" style="8" customWidth="1"/>
    <col min="14" max="14" width="5.7265625" style="8"/>
    <col min="15" max="15" width="10.7265625" style="8" customWidth="1"/>
    <col min="16" max="17" width="16.7265625" style="8" customWidth="1"/>
    <col min="18" max="16384" width="5.7265625" style="8"/>
  </cols>
  <sheetData>
    <row r="1" spans="1:20" ht="15" customHeight="1" x14ac:dyDescent="0.35">
      <c r="B1" s="9" t="s">
        <v>6</v>
      </c>
      <c r="C1" s="41">
        <v>45444</v>
      </c>
    </row>
    <row r="2" spans="1:20" ht="15" customHeight="1" x14ac:dyDescent="0.35">
      <c r="B2" s="9" t="s">
        <v>0</v>
      </c>
      <c r="C2" s="42">
        <v>4200000</v>
      </c>
      <c r="D2" s="8" t="s">
        <v>4</v>
      </c>
    </row>
    <row r="3" spans="1:20" ht="15" customHeight="1" x14ac:dyDescent="0.35">
      <c r="B3" s="9" t="s">
        <v>1</v>
      </c>
      <c r="C3" s="8" t="s">
        <v>16</v>
      </c>
    </row>
    <row r="4" spans="1:20" ht="15" customHeight="1" x14ac:dyDescent="0.35">
      <c r="B4" s="9" t="s">
        <v>2</v>
      </c>
      <c r="C4" s="8" t="s">
        <v>3</v>
      </c>
    </row>
    <row r="5" spans="1:20" ht="15" customHeight="1" thickBot="1" x14ac:dyDescent="0.4">
      <c r="P5" s="8" t="s">
        <v>19</v>
      </c>
      <c r="Q5" s="10">
        <v>2</v>
      </c>
    </row>
    <row r="6" spans="1:20" ht="26.5" thickBot="1" x14ac:dyDescent="0.4">
      <c r="A6" s="11"/>
      <c r="B6" s="12" t="s">
        <v>14</v>
      </c>
      <c r="C6" s="13" t="s">
        <v>13</v>
      </c>
      <c r="D6" s="12" t="s">
        <v>14</v>
      </c>
      <c r="E6" s="13" t="s">
        <v>13</v>
      </c>
      <c r="F6" s="12" t="s">
        <v>14</v>
      </c>
      <c r="G6" s="13" t="s">
        <v>13</v>
      </c>
      <c r="H6" s="12" t="s">
        <v>14</v>
      </c>
      <c r="I6" s="13" t="s">
        <v>13</v>
      </c>
      <c r="J6" s="50" t="s">
        <v>12</v>
      </c>
      <c r="K6" s="50"/>
      <c r="L6" s="50"/>
      <c r="M6" s="51"/>
      <c r="O6" s="14"/>
      <c r="P6" s="15" t="s">
        <v>17</v>
      </c>
      <c r="Q6" s="16" t="s">
        <v>18</v>
      </c>
      <c r="R6" s="17"/>
      <c r="S6" s="17"/>
      <c r="T6" s="17"/>
    </row>
    <row r="7" spans="1:20" ht="15" customHeight="1" thickBot="1" x14ac:dyDescent="0.4">
      <c r="A7" s="18" t="s">
        <v>5</v>
      </c>
      <c r="B7" s="19" t="s">
        <v>8</v>
      </c>
      <c r="C7" s="19" t="s">
        <v>8</v>
      </c>
      <c r="D7" s="19" t="s">
        <v>9</v>
      </c>
      <c r="E7" s="19" t="s">
        <v>9</v>
      </c>
      <c r="F7" s="19" t="s">
        <v>10</v>
      </c>
      <c r="G7" s="19" t="s">
        <v>10</v>
      </c>
      <c r="H7" s="19" t="s">
        <v>11</v>
      </c>
      <c r="I7" s="19" t="s">
        <v>11</v>
      </c>
      <c r="J7" s="19" t="s">
        <v>8</v>
      </c>
      <c r="K7" s="19" t="s">
        <v>9</v>
      </c>
      <c r="L7" s="19" t="s">
        <v>10</v>
      </c>
      <c r="M7" s="20" t="s">
        <v>11</v>
      </c>
      <c r="O7" s="21" t="s">
        <v>8</v>
      </c>
      <c r="P7" s="46"/>
      <c r="Q7" s="22">
        <f>IF(AND(P7&lt;95%,P7&lt;&gt;""),ROUND((95%-P7)*$C$2*$Q$5,0),0)</f>
        <v>0</v>
      </c>
    </row>
    <row r="8" spans="1:20" ht="15" customHeight="1" x14ac:dyDescent="0.35">
      <c r="A8" s="43">
        <f>C1</f>
        <v>45444</v>
      </c>
      <c r="B8" s="1"/>
      <c r="C8" s="2"/>
      <c r="D8" s="1"/>
      <c r="E8" s="2"/>
      <c r="F8" s="1"/>
      <c r="G8" s="2"/>
      <c r="H8" s="1"/>
      <c r="I8" s="2"/>
      <c r="J8" s="23">
        <f t="shared" ref="J8:J37" si="0">IF(AND($B8&gt;=10,$C8&lt;0.2),ROUND((0.2-$C8)*$C$2,0),0)</f>
        <v>0</v>
      </c>
      <c r="K8" s="23">
        <f t="shared" ref="K8:K37" si="1">IF(AND($D8&gt;=10,$E8&lt;0.2),ROUND((0.2-$E8)*$C$2,0),0)</f>
        <v>0</v>
      </c>
      <c r="L8" s="23">
        <f t="shared" ref="L8:L37" si="2">IF(AND($F8&gt;=10,$G8&lt;0.2),ROUND((0.2-$G8)*$C$2,0),0)</f>
        <v>0</v>
      </c>
      <c r="M8" s="22">
        <f t="shared" ref="M8:M17" si="3">IF(AND($H8&gt;=10,$I8&lt;0.2),ROUND((0.2-$I8)*$C$2,0),0)</f>
        <v>0</v>
      </c>
      <c r="O8" s="24" t="s">
        <v>9</v>
      </c>
      <c r="P8" s="47"/>
      <c r="Q8" s="25">
        <f>IF(AND(P8&lt;95%,P8&lt;&gt;""),ROUND((95%-P8)*$C$2*$Q$5,0),0)</f>
        <v>0</v>
      </c>
    </row>
    <row r="9" spans="1:20" ht="15" customHeight="1" x14ac:dyDescent="0.35">
      <c r="A9" s="44">
        <f>A8+1</f>
        <v>45445</v>
      </c>
      <c r="B9" s="3"/>
      <c r="C9" s="4"/>
      <c r="D9" s="3"/>
      <c r="E9" s="4"/>
      <c r="F9" s="3"/>
      <c r="G9" s="4"/>
      <c r="H9" s="3"/>
      <c r="I9" s="4"/>
      <c r="J9" s="26">
        <f t="shared" si="0"/>
        <v>0</v>
      </c>
      <c r="K9" s="26">
        <f t="shared" si="1"/>
        <v>0</v>
      </c>
      <c r="L9" s="26">
        <f t="shared" si="2"/>
        <v>0</v>
      </c>
      <c r="M9" s="25">
        <f t="shared" si="3"/>
        <v>0</v>
      </c>
      <c r="O9" s="24" t="s">
        <v>10</v>
      </c>
      <c r="P9" s="47">
        <v>0.66149999999999998</v>
      </c>
      <c r="Q9" s="25">
        <f>IF(AND(P9&lt;95%,P9&lt;&gt;""),ROUND((95%-P9)*$C$2*$Q$5,0),0)</f>
        <v>2423400</v>
      </c>
    </row>
    <row r="10" spans="1:20" ht="15" customHeight="1" thickBot="1" x14ac:dyDescent="0.4">
      <c r="A10" s="44">
        <f t="shared" ref="A10:A37" si="4">A9+1</f>
        <v>45446</v>
      </c>
      <c r="B10" s="3"/>
      <c r="C10" s="4"/>
      <c r="D10" s="3"/>
      <c r="E10" s="4"/>
      <c r="F10" s="3"/>
      <c r="G10" s="4"/>
      <c r="H10" s="3"/>
      <c r="I10" s="4"/>
      <c r="J10" s="26">
        <f t="shared" si="0"/>
        <v>0</v>
      </c>
      <c r="K10" s="26">
        <f t="shared" si="1"/>
        <v>0</v>
      </c>
      <c r="L10" s="26">
        <f t="shared" si="2"/>
        <v>0</v>
      </c>
      <c r="M10" s="25">
        <f t="shared" si="3"/>
        <v>0</v>
      </c>
      <c r="O10" s="27" t="s">
        <v>11</v>
      </c>
      <c r="P10" s="48"/>
      <c r="Q10" s="28">
        <f>IF(AND(P10&lt;95%,P10&lt;&gt;""),ROUND((95%-P10)*$C$2*$Q$5,0),0)</f>
        <v>0</v>
      </c>
    </row>
    <row r="11" spans="1:20" ht="15" customHeight="1" thickBot="1" x14ac:dyDescent="0.4">
      <c r="A11" s="44">
        <f t="shared" si="4"/>
        <v>45447</v>
      </c>
      <c r="B11" s="3"/>
      <c r="C11" s="4"/>
      <c r="D11" s="3"/>
      <c r="E11" s="4"/>
      <c r="F11" s="3"/>
      <c r="G11" s="4"/>
      <c r="H11" s="3"/>
      <c r="I11" s="4"/>
      <c r="J11" s="26">
        <f t="shared" si="0"/>
        <v>0</v>
      </c>
      <c r="K11" s="26">
        <f t="shared" si="1"/>
        <v>0</v>
      </c>
      <c r="L11" s="26">
        <f t="shared" si="2"/>
        <v>0</v>
      </c>
      <c r="M11" s="25">
        <f t="shared" si="3"/>
        <v>0</v>
      </c>
      <c r="O11" s="29" t="s">
        <v>15</v>
      </c>
      <c r="P11" s="7"/>
      <c r="Q11" s="28">
        <f>SUM(Q7:Q10)</f>
        <v>2423400</v>
      </c>
    </row>
    <row r="12" spans="1:20" ht="15" customHeight="1" thickBot="1" x14ac:dyDescent="0.4">
      <c r="A12" s="44">
        <f t="shared" si="4"/>
        <v>45448</v>
      </c>
      <c r="B12" s="3"/>
      <c r="C12" s="4"/>
      <c r="D12" s="3"/>
      <c r="E12" s="4"/>
      <c r="F12" s="3"/>
      <c r="G12" s="4"/>
      <c r="H12" s="3"/>
      <c r="I12" s="4"/>
      <c r="J12" s="26">
        <f t="shared" si="0"/>
        <v>0</v>
      </c>
      <c r="K12" s="26">
        <f t="shared" si="1"/>
        <v>0</v>
      </c>
      <c r="L12" s="26">
        <f t="shared" si="2"/>
        <v>0</v>
      </c>
      <c r="M12" s="25">
        <f t="shared" si="3"/>
        <v>0</v>
      </c>
    </row>
    <row r="13" spans="1:20" ht="15" customHeight="1" thickBot="1" x14ac:dyDescent="0.4">
      <c r="A13" s="44">
        <f t="shared" si="4"/>
        <v>45449</v>
      </c>
      <c r="B13" s="3"/>
      <c r="C13" s="4"/>
      <c r="D13" s="3"/>
      <c r="E13" s="4"/>
      <c r="F13" s="3"/>
      <c r="G13" s="4"/>
      <c r="H13" s="3"/>
      <c r="I13" s="4"/>
      <c r="J13" s="26">
        <f t="shared" si="0"/>
        <v>0</v>
      </c>
      <c r="K13" s="26">
        <f t="shared" si="1"/>
        <v>0</v>
      </c>
      <c r="L13" s="26">
        <f t="shared" si="2"/>
        <v>0</v>
      </c>
      <c r="M13" s="25">
        <f t="shared" si="3"/>
        <v>0</v>
      </c>
      <c r="O13" s="49" t="s">
        <v>20</v>
      </c>
      <c r="P13" s="49"/>
      <c r="Q13" s="30">
        <f>SUM($J$39:$M$39)+$Q$11</f>
        <v>3126786</v>
      </c>
    </row>
    <row r="14" spans="1:20" ht="15" customHeight="1" x14ac:dyDescent="0.35">
      <c r="A14" s="44">
        <f t="shared" si="4"/>
        <v>45450</v>
      </c>
      <c r="B14" s="3"/>
      <c r="C14" s="4"/>
      <c r="D14" s="3"/>
      <c r="E14" s="4"/>
      <c r="F14" s="3"/>
      <c r="G14" s="4"/>
      <c r="H14" s="3"/>
      <c r="I14" s="4"/>
      <c r="J14" s="26">
        <f t="shared" si="0"/>
        <v>0</v>
      </c>
      <c r="K14" s="26">
        <f t="shared" si="1"/>
        <v>0</v>
      </c>
      <c r="L14" s="26">
        <f t="shared" si="2"/>
        <v>0</v>
      </c>
      <c r="M14" s="25">
        <f t="shared" si="3"/>
        <v>0</v>
      </c>
    </row>
    <row r="15" spans="1:20" ht="15" customHeight="1" x14ac:dyDescent="0.35">
      <c r="A15" s="44">
        <f t="shared" si="4"/>
        <v>45451</v>
      </c>
      <c r="B15" s="3"/>
      <c r="C15" s="4"/>
      <c r="D15" s="3"/>
      <c r="E15" s="4"/>
      <c r="F15" s="3"/>
      <c r="G15" s="4"/>
      <c r="H15" s="3"/>
      <c r="I15" s="4"/>
      <c r="J15" s="26">
        <f t="shared" si="0"/>
        <v>0</v>
      </c>
      <c r="K15" s="26">
        <f t="shared" si="1"/>
        <v>0</v>
      </c>
      <c r="L15" s="26">
        <f t="shared" si="2"/>
        <v>0</v>
      </c>
      <c r="M15" s="25">
        <f t="shared" si="3"/>
        <v>0</v>
      </c>
      <c r="Q15" s="10"/>
    </row>
    <row r="16" spans="1:20" ht="15" customHeight="1" x14ac:dyDescent="0.35">
      <c r="A16" s="44">
        <f t="shared" si="4"/>
        <v>45452</v>
      </c>
      <c r="B16" s="3"/>
      <c r="C16" s="4"/>
      <c r="D16" s="3"/>
      <c r="E16" s="4"/>
      <c r="F16" s="3"/>
      <c r="G16" s="4"/>
      <c r="H16" s="3"/>
      <c r="I16" s="4"/>
      <c r="J16" s="26">
        <f t="shared" si="0"/>
        <v>0</v>
      </c>
      <c r="K16" s="26">
        <f t="shared" si="1"/>
        <v>0</v>
      </c>
      <c r="L16" s="26">
        <f t="shared" si="2"/>
        <v>0</v>
      </c>
      <c r="M16" s="25">
        <f t="shared" si="3"/>
        <v>0</v>
      </c>
    </row>
    <row r="17" spans="1:13" ht="15" customHeight="1" x14ac:dyDescent="0.35">
      <c r="A17" s="44">
        <f t="shared" si="4"/>
        <v>45453</v>
      </c>
      <c r="B17" s="3"/>
      <c r="C17" s="4"/>
      <c r="D17" s="3"/>
      <c r="E17" s="4"/>
      <c r="F17" s="3"/>
      <c r="G17" s="4"/>
      <c r="H17" s="3"/>
      <c r="I17" s="4"/>
      <c r="J17" s="26">
        <f t="shared" si="0"/>
        <v>0</v>
      </c>
      <c r="K17" s="26">
        <f t="shared" si="1"/>
        <v>0</v>
      </c>
      <c r="L17" s="26">
        <f t="shared" si="2"/>
        <v>0</v>
      </c>
      <c r="M17" s="25">
        <f t="shared" si="3"/>
        <v>0</v>
      </c>
    </row>
    <row r="18" spans="1:13" ht="15" customHeight="1" x14ac:dyDescent="0.35">
      <c r="A18" s="44">
        <f t="shared" si="4"/>
        <v>45454</v>
      </c>
      <c r="B18" s="3"/>
      <c r="C18" s="4"/>
      <c r="D18" s="3"/>
      <c r="E18" s="4"/>
      <c r="F18" s="3"/>
      <c r="G18" s="4"/>
      <c r="H18" s="3"/>
      <c r="I18" s="4"/>
      <c r="J18" s="26">
        <f t="shared" si="0"/>
        <v>0</v>
      </c>
      <c r="K18" s="26">
        <f t="shared" si="1"/>
        <v>0</v>
      </c>
      <c r="L18" s="26">
        <f t="shared" si="2"/>
        <v>0</v>
      </c>
      <c r="M18" s="25">
        <f>IF(AND($H18&gt;=10,$I18&lt;0.2),(0.2-$I18)*$C$2,0)</f>
        <v>0</v>
      </c>
    </row>
    <row r="19" spans="1:13" ht="15" customHeight="1" x14ac:dyDescent="0.35">
      <c r="A19" s="44">
        <f t="shared" si="4"/>
        <v>45455</v>
      </c>
      <c r="B19" s="3"/>
      <c r="C19" s="4"/>
      <c r="D19" s="3"/>
      <c r="E19" s="4"/>
      <c r="F19" s="3"/>
      <c r="G19" s="4"/>
      <c r="H19" s="3"/>
      <c r="I19" s="4"/>
      <c r="J19" s="26">
        <f t="shared" si="0"/>
        <v>0</v>
      </c>
      <c r="K19" s="26">
        <f t="shared" si="1"/>
        <v>0</v>
      </c>
      <c r="L19" s="26">
        <f t="shared" si="2"/>
        <v>0</v>
      </c>
      <c r="M19" s="25">
        <f t="shared" ref="M19:M37" si="5">IF(AND($H19&gt;=10,$I19&lt;0.2),ROUND((0.2-$I19)*$C$2,0),0)</f>
        <v>0</v>
      </c>
    </row>
    <row r="20" spans="1:13" ht="15" customHeight="1" x14ac:dyDescent="0.35">
      <c r="A20" s="44">
        <f t="shared" si="4"/>
        <v>45456</v>
      </c>
      <c r="B20" s="3"/>
      <c r="C20" s="4"/>
      <c r="D20" s="3"/>
      <c r="E20" s="4"/>
      <c r="F20" s="3"/>
      <c r="G20" s="4"/>
      <c r="H20" s="3"/>
      <c r="I20" s="4"/>
      <c r="J20" s="26">
        <f t="shared" si="0"/>
        <v>0</v>
      </c>
      <c r="K20" s="26">
        <f t="shared" si="1"/>
        <v>0</v>
      </c>
      <c r="L20" s="26">
        <f t="shared" si="2"/>
        <v>0</v>
      </c>
      <c r="M20" s="25">
        <f t="shared" si="5"/>
        <v>0</v>
      </c>
    </row>
    <row r="21" spans="1:13" ht="15" customHeight="1" x14ac:dyDescent="0.35">
      <c r="A21" s="44">
        <f t="shared" si="4"/>
        <v>45457</v>
      </c>
      <c r="B21" s="3"/>
      <c r="C21" s="4"/>
      <c r="D21" s="3"/>
      <c r="E21" s="4"/>
      <c r="F21" s="3"/>
      <c r="G21" s="4"/>
      <c r="H21" s="3"/>
      <c r="I21" s="4"/>
      <c r="J21" s="26">
        <f t="shared" si="0"/>
        <v>0</v>
      </c>
      <c r="K21" s="26">
        <f t="shared" si="1"/>
        <v>0</v>
      </c>
      <c r="L21" s="26">
        <f t="shared" si="2"/>
        <v>0</v>
      </c>
      <c r="M21" s="25">
        <f t="shared" si="5"/>
        <v>0</v>
      </c>
    </row>
    <row r="22" spans="1:13" ht="15" customHeight="1" x14ac:dyDescent="0.35">
      <c r="A22" s="44">
        <f t="shared" si="4"/>
        <v>45458</v>
      </c>
      <c r="B22" s="3"/>
      <c r="C22" s="4"/>
      <c r="D22" s="3"/>
      <c r="E22" s="4"/>
      <c r="F22" s="3"/>
      <c r="G22" s="4"/>
      <c r="H22" s="3"/>
      <c r="I22" s="4"/>
      <c r="J22" s="26">
        <f t="shared" si="0"/>
        <v>0</v>
      </c>
      <c r="K22" s="26">
        <f t="shared" si="1"/>
        <v>0</v>
      </c>
      <c r="L22" s="26">
        <f t="shared" si="2"/>
        <v>0</v>
      </c>
      <c r="M22" s="25">
        <f t="shared" si="5"/>
        <v>0</v>
      </c>
    </row>
    <row r="23" spans="1:13" ht="15" customHeight="1" x14ac:dyDescent="0.35">
      <c r="A23" s="44">
        <f t="shared" si="4"/>
        <v>45459</v>
      </c>
      <c r="B23" s="3"/>
      <c r="C23" s="4"/>
      <c r="D23" s="3"/>
      <c r="E23" s="4"/>
      <c r="F23" s="3"/>
      <c r="G23" s="4"/>
      <c r="H23" s="3"/>
      <c r="I23" s="4"/>
      <c r="J23" s="26">
        <f t="shared" si="0"/>
        <v>0</v>
      </c>
      <c r="K23" s="26">
        <f t="shared" si="1"/>
        <v>0</v>
      </c>
      <c r="L23" s="26">
        <f t="shared" si="2"/>
        <v>0</v>
      </c>
      <c r="M23" s="25">
        <f t="shared" si="5"/>
        <v>0</v>
      </c>
    </row>
    <row r="24" spans="1:13" ht="15" customHeight="1" x14ac:dyDescent="0.35">
      <c r="A24" s="44">
        <f t="shared" si="4"/>
        <v>45460</v>
      </c>
      <c r="B24" s="3"/>
      <c r="C24" s="4"/>
      <c r="D24" s="3"/>
      <c r="E24" s="4"/>
      <c r="F24" s="3"/>
      <c r="G24" s="4"/>
      <c r="H24" s="3"/>
      <c r="I24" s="4"/>
      <c r="J24" s="26">
        <f t="shared" si="0"/>
        <v>0</v>
      </c>
      <c r="K24" s="26">
        <f t="shared" si="1"/>
        <v>0</v>
      </c>
      <c r="L24" s="26">
        <f t="shared" si="2"/>
        <v>0</v>
      </c>
      <c r="M24" s="25">
        <f t="shared" si="5"/>
        <v>0</v>
      </c>
    </row>
    <row r="25" spans="1:13" ht="15" customHeight="1" x14ac:dyDescent="0.35">
      <c r="A25" s="44">
        <f t="shared" si="4"/>
        <v>45461</v>
      </c>
      <c r="B25" s="3"/>
      <c r="C25" s="4"/>
      <c r="D25" s="3"/>
      <c r="E25" s="4"/>
      <c r="F25" s="3"/>
      <c r="G25" s="4"/>
      <c r="H25" s="3"/>
      <c r="I25" s="4"/>
      <c r="J25" s="26">
        <f t="shared" si="0"/>
        <v>0</v>
      </c>
      <c r="K25" s="26">
        <f t="shared" si="1"/>
        <v>0</v>
      </c>
      <c r="L25" s="26">
        <f t="shared" si="2"/>
        <v>0</v>
      </c>
      <c r="M25" s="25">
        <f t="shared" si="5"/>
        <v>0</v>
      </c>
    </row>
    <row r="26" spans="1:13" ht="15" customHeight="1" x14ac:dyDescent="0.35">
      <c r="A26" s="44">
        <f t="shared" si="4"/>
        <v>45462</v>
      </c>
      <c r="B26" s="3"/>
      <c r="C26" s="4"/>
      <c r="D26" s="3"/>
      <c r="E26" s="4"/>
      <c r="F26" s="3"/>
      <c r="G26" s="4"/>
      <c r="H26" s="3"/>
      <c r="I26" s="4"/>
      <c r="J26" s="26">
        <f t="shared" si="0"/>
        <v>0</v>
      </c>
      <c r="K26" s="26">
        <f t="shared" si="1"/>
        <v>0</v>
      </c>
      <c r="L26" s="26">
        <f t="shared" si="2"/>
        <v>0</v>
      </c>
      <c r="M26" s="25">
        <f t="shared" si="5"/>
        <v>0</v>
      </c>
    </row>
    <row r="27" spans="1:13" ht="15" customHeight="1" x14ac:dyDescent="0.35">
      <c r="A27" s="44">
        <f t="shared" si="4"/>
        <v>45463</v>
      </c>
      <c r="B27" s="3"/>
      <c r="C27" s="4"/>
      <c r="D27" s="3"/>
      <c r="E27" s="4"/>
      <c r="F27" s="3"/>
      <c r="G27" s="4"/>
      <c r="H27" s="3"/>
      <c r="I27" s="4"/>
      <c r="J27" s="26">
        <f t="shared" si="0"/>
        <v>0</v>
      </c>
      <c r="K27" s="26">
        <f t="shared" si="1"/>
        <v>0</v>
      </c>
      <c r="L27" s="26">
        <f t="shared" si="2"/>
        <v>0</v>
      </c>
      <c r="M27" s="25">
        <f t="shared" si="5"/>
        <v>0</v>
      </c>
    </row>
    <row r="28" spans="1:13" ht="15" customHeight="1" x14ac:dyDescent="0.35">
      <c r="A28" s="44">
        <f t="shared" si="4"/>
        <v>45464</v>
      </c>
      <c r="B28" s="3"/>
      <c r="C28" s="4"/>
      <c r="D28" s="3"/>
      <c r="E28" s="4"/>
      <c r="F28" s="3"/>
      <c r="G28" s="4"/>
      <c r="H28" s="3"/>
      <c r="I28" s="4"/>
      <c r="J28" s="26">
        <f t="shared" si="0"/>
        <v>0</v>
      </c>
      <c r="K28" s="26">
        <f t="shared" si="1"/>
        <v>0</v>
      </c>
      <c r="L28" s="26">
        <f t="shared" si="2"/>
        <v>0</v>
      </c>
      <c r="M28" s="25">
        <f t="shared" si="5"/>
        <v>0</v>
      </c>
    </row>
    <row r="29" spans="1:13" ht="15" customHeight="1" x14ac:dyDescent="0.35">
      <c r="A29" s="44">
        <f t="shared" si="4"/>
        <v>45465</v>
      </c>
      <c r="B29" s="3"/>
      <c r="C29" s="4"/>
      <c r="D29" s="3"/>
      <c r="E29" s="4"/>
      <c r="F29" s="3"/>
      <c r="G29" s="4"/>
      <c r="H29" s="3"/>
      <c r="I29" s="4"/>
      <c r="J29" s="26">
        <f t="shared" si="0"/>
        <v>0</v>
      </c>
      <c r="K29" s="26">
        <f t="shared" si="1"/>
        <v>0</v>
      </c>
      <c r="L29" s="26">
        <f t="shared" si="2"/>
        <v>0</v>
      </c>
      <c r="M29" s="25">
        <f t="shared" si="5"/>
        <v>0</v>
      </c>
    </row>
    <row r="30" spans="1:13" ht="15" customHeight="1" x14ac:dyDescent="0.35">
      <c r="A30" s="44">
        <f t="shared" si="4"/>
        <v>45466</v>
      </c>
      <c r="B30" s="3"/>
      <c r="C30" s="4"/>
      <c r="D30" s="3"/>
      <c r="E30" s="4"/>
      <c r="F30" s="3"/>
      <c r="G30" s="4"/>
      <c r="H30" s="3"/>
      <c r="I30" s="4"/>
      <c r="J30" s="26">
        <f t="shared" si="0"/>
        <v>0</v>
      </c>
      <c r="K30" s="26">
        <f t="shared" si="1"/>
        <v>0</v>
      </c>
      <c r="L30" s="26">
        <f t="shared" si="2"/>
        <v>0</v>
      </c>
      <c r="M30" s="25">
        <f t="shared" si="5"/>
        <v>0</v>
      </c>
    </row>
    <row r="31" spans="1:13" ht="15" customHeight="1" x14ac:dyDescent="0.35">
      <c r="A31" s="44">
        <f t="shared" si="4"/>
        <v>45467</v>
      </c>
      <c r="B31" s="3"/>
      <c r="C31" s="4"/>
      <c r="D31" s="3"/>
      <c r="E31" s="4"/>
      <c r="F31" s="3"/>
      <c r="G31" s="4"/>
      <c r="H31" s="3"/>
      <c r="I31" s="4"/>
      <c r="J31" s="26">
        <f t="shared" si="0"/>
        <v>0</v>
      </c>
      <c r="K31" s="26">
        <f t="shared" si="1"/>
        <v>0</v>
      </c>
      <c r="L31" s="26">
        <f t="shared" si="2"/>
        <v>0</v>
      </c>
      <c r="M31" s="25">
        <f t="shared" si="5"/>
        <v>0</v>
      </c>
    </row>
    <row r="32" spans="1:13" ht="15" customHeight="1" x14ac:dyDescent="0.35">
      <c r="A32" s="44">
        <f t="shared" si="4"/>
        <v>45468</v>
      </c>
      <c r="B32" s="3"/>
      <c r="C32" s="4"/>
      <c r="D32" s="3"/>
      <c r="E32" s="4"/>
      <c r="F32" s="3"/>
      <c r="G32" s="4"/>
      <c r="H32" s="3"/>
      <c r="I32" s="4"/>
      <c r="J32" s="26">
        <f t="shared" si="0"/>
        <v>0</v>
      </c>
      <c r="K32" s="26">
        <f t="shared" si="1"/>
        <v>0</v>
      </c>
      <c r="L32" s="26">
        <f t="shared" si="2"/>
        <v>0</v>
      </c>
      <c r="M32" s="25">
        <f t="shared" si="5"/>
        <v>0</v>
      </c>
    </row>
    <row r="33" spans="1:14" ht="15" customHeight="1" x14ac:dyDescent="0.35">
      <c r="A33" s="44">
        <f t="shared" si="4"/>
        <v>45469</v>
      </c>
      <c r="B33" s="3"/>
      <c r="C33" s="4"/>
      <c r="D33" s="3"/>
      <c r="E33" s="4"/>
      <c r="F33" s="3"/>
      <c r="G33" s="4"/>
      <c r="H33" s="3"/>
      <c r="I33" s="4"/>
      <c r="J33" s="26">
        <f t="shared" si="0"/>
        <v>0</v>
      </c>
      <c r="K33" s="26">
        <f t="shared" si="1"/>
        <v>0</v>
      </c>
      <c r="L33" s="26">
        <f t="shared" si="2"/>
        <v>0</v>
      </c>
      <c r="M33" s="25">
        <f t="shared" si="5"/>
        <v>0</v>
      </c>
    </row>
    <row r="34" spans="1:14" ht="15" customHeight="1" x14ac:dyDescent="0.35">
      <c r="A34" s="44">
        <f t="shared" si="4"/>
        <v>45470</v>
      </c>
      <c r="B34" s="3"/>
      <c r="C34" s="4"/>
      <c r="D34" s="3"/>
      <c r="E34" s="4"/>
      <c r="F34" s="3"/>
      <c r="G34" s="4"/>
      <c r="H34" s="3"/>
      <c r="I34" s="4"/>
      <c r="J34" s="26">
        <f t="shared" si="0"/>
        <v>0</v>
      </c>
      <c r="K34" s="26">
        <f t="shared" si="1"/>
        <v>0</v>
      </c>
      <c r="L34" s="26">
        <f t="shared" si="2"/>
        <v>0</v>
      </c>
      <c r="M34" s="25">
        <f t="shared" si="5"/>
        <v>0</v>
      </c>
    </row>
    <row r="35" spans="1:14" ht="15" customHeight="1" x14ac:dyDescent="0.35">
      <c r="A35" s="44">
        <f t="shared" si="4"/>
        <v>45471</v>
      </c>
      <c r="B35" s="3"/>
      <c r="C35" s="4"/>
      <c r="D35" s="3"/>
      <c r="E35" s="4"/>
      <c r="F35" s="3"/>
      <c r="G35" s="4"/>
      <c r="H35" s="3"/>
      <c r="I35" s="4"/>
      <c r="J35" s="26">
        <f t="shared" si="0"/>
        <v>0</v>
      </c>
      <c r="K35" s="26">
        <f t="shared" si="1"/>
        <v>0</v>
      </c>
      <c r="L35" s="26">
        <f t="shared" si="2"/>
        <v>0</v>
      </c>
      <c r="M35" s="25">
        <f t="shared" si="5"/>
        <v>0</v>
      </c>
    </row>
    <row r="36" spans="1:14" ht="15" customHeight="1" x14ac:dyDescent="0.35">
      <c r="A36" s="44">
        <f t="shared" si="4"/>
        <v>45472</v>
      </c>
      <c r="B36" s="3"/>
      <c r="C36" s="4"/>
      <c r="D36" s="3"/>
      <c r="E36" s="4"/>
      <c r="F36" s="3">
        <v>216.3</v>
      </c>
      <c r="G36" s="4">
        <v>6.8637978947368408E-2</v>
      </c>
      <c r="H36" s="3"/>
      <c r="I36" s="4"/>
      <c r="J36" s="26">
        <f t="shared" si="0"/>
        <v>0</v>
      </c>
      <c r="K36" s="26">
        <f t="shared" si="1"/>
        <v>0</v>
      </c>
      <c r="L36" s="26">
        <f t="shared" si="2"/>
        <v>551720</v>
      </c>
      <c r="M36" s="25">
        <f t="shared" si="5"/>
        <v>0</v>
      </c>
    </row>
    <row r="37" spans="1:14" ht="15" customHeight="1" thickBot="1" x14ac:dyDescent="0.4">
      <c r="A37" s="44">
        <f t="shared" si="4"/>
        <v>45473</v>
      </c>
      <c r="B37" s="3"/>
      <c r="C37" s="4"/>
      <c r="D37" s="3"/>
      <c r="E37" s="4"/>
      <c r="F37" s="3">
        <v>210</v>
      </c>
      <c r="G37" s="4">
        <v>0.16388900000000001</v>
      </c>
      <c r="H37" s="3"/>
      <c r="I37" s="4"/>
      <c r="J37" s="26">
        <f t="shared" si="0"/>
        <v>0</v>
      </c>
      <c r="K37" s="26">
        <f t="shared" si="1"/>
        <v>0</v>
      </c>
      <c r="L37" s="26">
        <f t="shared" si="2"/>
        <v>151666</v>
      </c>
      <c r="M37" s="25">
        <f t="shared" si="5"/>
        <v>0</v>
      </c>
    </row>
    <row r="38" spans="1:14" ht="15" customHeight="1" x14ac:dyDescent="0.35">
      <c r="A38" s="32" t="s">
        <v>7</v>
      </c>
      <c r="B38" s="33" t="e">
        <f t="shared" ref="B38:I38" si="6">AVERAGE(B8:B37)</f>
        <v>#DIV/0!</v>
      </c>
      <c r="C38" s="34" t="e">
        <f t="shared" si="6"/>
        <v>#DIV/0!</v>
      </c>
      <c r="D38" s="33" t="e">
        <f t="shared" si="6"/>
        <v>#DIV/0!</v>
      </c>
      <c r="E38" s="34" t="e">
        <f t="shared" si="6"/>
        <v>#DIV/0!</v>
      </c>
      <c r="F38" s="33">
        <f t="shared" si="6"/>
        <v>213.15</v>
      </c>
      <c r="G38" s="34">
        <f t="shared" si="6"/>
        <v>0.1162634894736842</v>
      </c>
      <c r="H38" s="33" t="e">
        <f t="shared" si="6"/>
        <v>#DIV/0!</v>
      </c>
      <c r="I38" s="34" t="e">
        <f t="shared" si="6"/>
        <v>#DIV/0!</v>
      </c>
      <c r="J38" s="35"/>
      <c r="K38" s="35"/>
      <c r="L38" s="35"/>
      <c r="M38" s="36"/>
      <c r="N38" s="17"/>
    </row>
    <row r="39" spans="1:14" ht="15" customHeight="1" thickBot="1" x14ac:dyDescent="0.4">
      <c r="A39" s="29" t="s">
        <v>15</v>
      </c>
      <c r="B39" s="37"/>
      <c r="C39" s="38">
        <f>SUM(C8:C37)</f>
        <v>0</v>
      </c>
      <c r="D39" s="37"/>
      <c r="E39" s="38">
        <f>SUM(E8:E37)</f>
        <v>0</v>
      </c>
      <c r="F39" s="37"/>
      <c r="G39" s="38">
        <f>SUM(G8:G37)</f>
        <v>0.2325269789473684</v>
      </c>
      <c r="H39" s="37"/>
      <c r="I39" s="38">
        <f>SUM(I8:I37)</f>
        <v>0</v>
      </c>
      <c r="J39" s="39">
        <f>SUM(J8:J37)</f>
        <v>0</v>
      </c>
      <c r="K39" s="39">
        <f>SUM(K8:K37)</f>
        <v>0</v>
      </c>
      <c r="L39" s="39">
        <f>SUM(L8:L37)</f>
        <v>703386</v>
      </c>
      <c r="M39" s="40">
        <f>SUM(M8:M37)</f>
        <v>0</v>
      </c>
    </row>
  </sheetData>
  <sheetProtection algorithmName="SHA-512" hashValue="h072YTAJVIyjP6sCIGkni44llut7e0SVDwQubev4XOrjYtsspgB+hcluXyBCITL9Yg2qun+iAIpRFboeanuYMQ==" saltValue="wn0eywujv1jjvThr5rvRDw==" spinCount="100000" sheet="1" objects="1" scenarios="1" formatColumns="0" formatRows="0" insertColumns="0" insertRows="0" sort="0" autoFilter="0" pivotTables="0"/>
  <mergeCells count="2">
    <mergeCell ref="J6:M6"/>
    <mergeCell ref="O13:P13"/>
  </mergeCells>
  <conditionalFormatting sqref="B8:B37 D8:D37 F8:F37 H8:H37">
    <cfRule type="cellIs" dxfId="5" priority="2" operator="lessThan">
      <formula>10</formula>
    </cfRule>
  </conditionalFormatting>
  <conditionalFormatting sqref="C8:C37 E8:E37 G8:G37 I8:I37">
    <cfRule type="cellIs" dxfId="4" priority="1" operator="lessThan">
      <formula>0.2</formula>
    </cfRule>
  </conditionalFormatting>
  <pageMargins left="0.7" right="0.7" top="0.75" bottom="0.75" header="0.3" footer="0.3"/>
  <pageSetup paperSize="9" scale="61" orientation="landscape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 codeName="Sheet2">
    <tabColor theme="1"/>
  </sheetPr>
  <dimension ref="A1:T40"/>
  <sheetViews>
    <sheetView zoomScaleNormal="100" workbookViewId="0">
      <selection activeCell="I28" sqref="I28"/>
    </sheetView>
  </sheetViews>
  <sheetFormatPr defaultColWidth="5.7265625" defaultRowHeight="15" customHeight="1" x14ac:dyDescent="0.35"/>
  <cols>
    <col min="1" max="1" width="10.7265625" style="8" customWidth="1"/>
    <col min="2" max="13" width="12.7265625" style="8" customWidth="1"/>
    <col min="14" max="14" width="5.7265625" style="8"/>
    <col min="15" max="15" width="10.7265625" style="8" customWidth="1"/>
    <col min="16" max="17" width="16.7265625" style="8" customWidth="1"/>
    <col min="18" max="16384" width="5.7265625" style="8"/>
  </cols>
  <sheetData>
    <row r="1" spans="1:20" ht="15" customHeight="1" x14ac:dyDescent="0.35">
      <c r="B1" s="9" t="s">
        <v>6</v>
      </c>
      <c r="C1" s="41">
        <v>45352</v>
      </c>
    </row>
    <row r="2" spans="1:20" ht="15" customHeight="1" x14ac:dyDescent="0.35">
      <c r="B2" s="9" t="s">
        <v>0</v>
      </c>
      <c r="C2" s="42">
        <v>4200000</v>
      </c>
      <c r="D2" s="8" t="s">
        <v>4</v>
      </c>
    </row>
    <row r="3" spans="1:20" ht="15" customHeight="1" x14ac:dyDescent="0.35">
      <c r="B3" s="9" t="s">
        <v>1</v>
      </c>
      <c r="C3" s="8" t="s">
        <v>16</v>
      </c>
    </row>
    <row r="4" spans="1:20" ht="15" customHeight="1" x14ac:dyDescent="0.35">
      <c r="B4" s="9" t="s">
        <v>2</v>
      </c>
      <c r="C4" s="8" t="s">
        <v>3</v>
      </c>
    </row>
    <row r="5" spans="1:20" ht="15" customHeight="1" thickBot="1" x14ac:dyDescent="0.4">
      <c r="P5" s="8" t="s">
        <v>19</v>
      </c>
      <c r="Q5" s="10">
        <f>COUNT(A8:A38)</f>
        <v>31</v>
      </c>
    </row>
    <row r="6" spans="1:20" ht="26.5" thickBot="1" x14ac:dyDescent="0.4">
      <c r="A6" s="11"/>
      <c r="B6" s="12" t="s">
        <v>14</v>
      </c>
      <c r="C6" s="13" t="s">
        <v>13</v>
      </c>
      <c r="D6" s="12" t="s">
        <v>14</v>
      </c>
      <c r="E6" s="13" t="s">
        <v>13</v>
      </c>
      <c r="F6" s="12" t="s">
        <v>14</v>
      </c>
      <c r="G6" s="13" t="s">
        <v>13</v>
      </c>
      <c r="H6" s="12" t="s">
        <v>14</v>
      </c>
      <c r="I6" s="13" t="s">
        <v>13</v>
      </c>
      <c r="J6" s="50" t="s">
        <v>12</v>
      </c>
      <c r="K6" s="50"/>
      <c r="L6" s="50"/>
      <c r="M6" s="51"/>
      <c r="O6" s="14"/>
      <c r="P6" s="15" t="s">
        <v>17</v>
      </c>
      <c r="Q6" s="16" t="s">
        <v>18</v>
      </c>
      <c r="R6" s="17"/>
      <c r="S6" s="17"/>
      <c r="T6" s="17"/>
    </row>
    <row r="7" spans="1:20" ht="15" customHeight="1" thickBot="1" x14ac:dyDescent="0.4">
      <c r="A7" s="18" t="s">
        <v>5</v>
      </c>
      <c r="B7" s="19" t="s">
        <v>8</v>
      </c>
      <c r="C7" s="19" t="s">
        <v>8</v>
      </c>
      <c r="D7" s="19" t="s">
        <v>9</v>
      </c>
      <c r="E7" s="19" t="s">
        <v>9</v>
      </c>
      <c r="F7" s="19" t="s">
        <v>10</v>
      </c>
      <c r="G7" s="19" t="s">
        <v>10</v>
      </c>
      <c r="H7" s="19" t="s">
        <v>11</v>
      </c>
      <c r="I7" s="19" t="s">
        <v>11</v>
      </c>
      <c r="J7" s="19" t="s">
        <v>8</v>
      </c>
      <c r="K7" s="19" t="s">
        <v>9</v>
      </c>
      <c r="L7" s="19" t="s">
        <v>10</v>
      </c>
      <c r="M7" s="20" t="s">
        <v>11</v>
      </c>
      <c r="O7" s="21" t="s">
        <v>8</v>
      </c>
      <c r="P7" s="46"/>
      <c r="Q7" s="22">
        <f>IF(AND(P7&lt;95%,P7&lt;&gt;""),ROUND((95%-P7)*$C$2*$Q$5,0),0)</f>
        <v>0</v>
      </c>
    </row>
    <row r="8" spans="1:20" ht="15" customHeight="1" x14ac:dyDescent="0.35">
      <c r="A8" s="43">
        <f>C1</f>
        <v>45352</v>
      </c>
      <c r="B8" s="1"/>
      <c r="C8" s="2"/>
      <c r="D8" s="1"/>
      <c r="E8" s="2"/>
      <c r="F8" s="1"/>
      <c r="G8" s="2"/>
      <c r="H8" s="1"/>
      <c r="I8" s="2"/>
      <c r="J8" s="23">
        <f>IF(AND($B8&gt;=10,$C8&lt;0.2),ROUND((0.2-$C8)*$C$2,0),0)</f>
        <v>0</v>
      </c>
      <c r="K8" s="23">
        <f>IF(AND($D8&gt;=10,$E8&lt;0.2),ROUND((0.2-$E8)*$C$2,0),0)</f>
        <v>0</v>
      </c>
      <c r="L8" s="23">
        <f>IF(AND($F8&gt;=10,$G8&lt;0.2),ROUND((0.2-$G8)*$C$2,0),0)</f>
        <v>0</v>
      </c>
      <c r="M8" s="22">
        <f>IF(AND($H8&gt;=10,$I8&lt;0.2),ROUND((0.2-$I8)*$C$2,0),0)</f>
        <v>0</v>
      </c>
      <c r="O8" s="24" t="s">
        <v>9</v>
      </c>
      <c r="P8" s="47"/>
      <c r="Q8" s="25">
        <f t="shared" ref="Q8:Q10" si="0">IF(AND(P8&lt;95%,P8&lt;&gt;""),ROUND((95%-P8)*$C$2*$Q$5,0),0)</f>
        <v>0</v>
      </c>
    </row>
    <row r="9" spans="1:20" ht="15" customHeight="1" x14ac:dyDescent="0.35">
      <c r="A9" s="44">
        <f>A8+1</f>
        <v>45353</v>
      </c>
      <c r="B9" s="3"/>
      <c r="C9" s="4"/>
      <c r="D9" s="3"/>
      <c r="E9" s="4"/>
      <c r="F9" s="3"/>
      <c r="G9" s="4"/>
      <c r="H9" s="3"/>
      <c r="I9" s="4"/>
      <c r="J9" s="26">
        <f t="shared" ref="J9:J38" si="1">IF(AND($B9&gt;=10,$C9&lt;0.2),ROUND((0.2-$C9)*$C$2,0),0)</f>
        <v>0</v>
      </c>
      <c r="K9" s="26">
        <f t="shared" ref="K9:K38" si="2">IF(AND($D9&gt;=10,$E9&lt;0.2),ROUND((0.2-$E9)*$C$2,0),0)</f>
        <v>0</v>
      </c>
      <c r="L9" s="26">
        <f t="shared" ref="L9:L38" si="3">IF(AND($F9&gt;=10,$G9&lt;0.2),ROUND((0.2-$G9)*$C$2,0),0)</f>
        <v>0</v>
      </c>
      <c r="M9" s="25">
        <f t="shared" ref="M9:M38" si="4">IF(AND($H9&gt;=10,$I9&lt;0.2),ROUND((0.2-$I9)*$C$2,0),0)</f>
        <v>0</v>
      </c>
      <c r="O9" s="24" t="s">
        <v>10</v>
      </c>
      <c r="P9" s="47"/>
      <c r="Q9" s="25">
        <f t="shared" si="0"/>
        <v>0</v>
      </c>
    </row>
    <row r="10" spans="1:20" ht="15" customHeight="1" thickBot="1" x14ac:dyDescent="0.4">
      <c r="A10" s="44">
        <f t="shared" ref="A10:A38" si="5">A9+1</f>
        <v>45354</v>
      </c>
      <c r="B10" s="3"/>
      <c r="C10" s="4"/>
      <c r="D10" s="3"/>
      <c r="E10" s="4"/>
      <c r="F10" s="3"/>
      <c r="G10" s="4"/>
      <c r="H10" s="3"/>
      <c r="I10" s="4"/>
      <c r="J10" s="26">
        <f t="shared" si="1"/>
        <v>0</v>
      </c>
      <c r="K10" s="26">
        <f t="shared" si="2"/>
        <v>0</v>
      </c>
      <c r="L10" s="26">
        <f t="shared" si="3"/>
        <v>0</v>
      </c>
      <c r="M10" s="25">
        <f t="shared" si="4"/>
        <v>0</v>
      </c>
      <c r="O10" s="27" t="s">
        <v>11</v>
      </c>
      <c r="P10" s="48"/>
      <c r="Q10" s="28">
        <f t="shared" si="0"/>
        <v>0</v>
      </c>
    </row>
    <row r="11" spans="1:20" ht="15" customHeight="1" thickBot="1" x14ac:dyDescent="0.4">
      <c r="A11" s="44">
        <f t="shared" si="5"/>
        <v>45355</v>
      </c>
      <c r="B11" s="3"/>
      <c r="C11" s="4"/>
      <c r="D11" s="3"/>
      <c r="E11" s="4"/>
      <c r="F11" s="3"/>
      <c r="G11" s="4"/>
      <c r="H11" s="3"/>
      <c r="I11" s="4"/>
      <c r="J11" s="26">
        <f t="shared" si="1"/>
        <v>0</v>
      </c>
      <c r="K11" s="26">
        <f t="shared" si="2"/>
        <v>0</v>
      </c>
      <c r="L11" s="26">
        <f t="shared" si="3"/>
        <v>0</v>
      </c>
      <c r="M11" s="25">
        <f t="shared" si="4"/>
        <v>0</v>
      </c>
      <c r="O11" s="29" t="s">
        <v>15</v>
      </c>
      <c r="P11" s="7"/>
      <c r="Q11" s="28">
        <f>SUM(Q7:Q10)</f>
        <v>0</v>
      </c>
    </row>
    <row r="12" spans="1:20" ht="15" customHeight="1" thickBot="1" x14ac:dyDescent="0.4">
      <c r="A12" s="44">
        <f t="shared" si="5"/>
        <v>45356</v>
      </c>
      <c r="B12" s="3"/>
      <c r="C12" s="4"/>
      <c r="D12" s="3"/>
      <c r="E12" s="4"/>
      <c r="F12" s="3"/>
      <c r="G12" s="4"/>
      <c r="H12" s="3"/>
      <c r="I12" s="4"/>
      <c r="J12" s="26">
        <f t="shared" si="1"/>
        <v>0</v>
      </c>
      <c r="K12" s="26">
        <f t="shared" si="2"/>
        <v>0</v>
      </c>
      <c r="L12" s="26">
        <f t="shared" si="3"/>
        <v>0</v>
      </c>
      <c r="M12" s="25">
        <f t="shared" si="4"/>
        <v>0</v>
      </c>
    </row>
    <row r="13" spans="1:20" ht="15" customHeight="1" thickBot="1" x14ac:dyDescent="0.4">
      <c r="A13" s="44">
        <f t="shared" si="5"/>
        <v>45357</v>
      </c>
      <c r="B13" s="3"/>
      <c r="C13" s="4"/>
      <c r="D13" s="3"/>
      <c r="E13" s="4"/>
      <c r="F13" s="3"/>
      <c r="G13" s="4"/>
      <c r="H13" s="3"/>
      <c r="I13" s="4"/>
      <c r="J13" s="26">
        <f t="shared" si="1"/>
        <v>0</v>
      </c>
      <c r="K13" s="26">
        <f t="shared" si="2"/>
        <v>0</v>
      </c>
      <c r="L13" s="26">
        <f t="shared" si="3"/>
        <v>0</v>
      </c>
      <c r="M13" s="25">
        <f t="shared" si="4"/>
        <v>0</v>
      </c>
      <c r="O13" s="49" t="s">
        <v>20</v>
      </c>
      <c r="P13" s="49"/>
      <c r="Q13" s="30">
        <f>SUM($J$40:$M$40)+$Q$11</f>
        <v>0</v>
      </c>
    </row>
    <row r="14" spans="1:20" ht="15" customHeight="1" x14ac:dyDescent="0.35">
      <c r="A14" s="44">
        <f t="shared" si="5"/>
        <v>45358</v>
      </c>
      <c r="B14" s="3"/>
      <c r="C14" s="4"/>
      <c r="D14" s="3"/>
      <c r="E14" s="4"/>
      <c r="F14" s="3"/>
      <c r="G14" s="4"/>
      <c r="H14" s="3"/>
      <c r="I14" s="4"/>
      <c r="J14" s="26">
        <f t="shared" si="1"/>
        <v>0</v>
      </c>
      <c r="K14" s="26">
        <f t="shared" si="2"/>
        <v>0</v>
      </c>
      <c r="L14" s="26">
        <f t="shared" si="3"/>
        <v>0</v>
      </c>
      <c r="M14" s="25">
        <f t="shared" si="4"/>
        <v>0</v>
      </c>
    </row>
    <row r="15" spans="1:20" ht="15" customHeight="1" x14ac:dyDescent="0.35">
      <c r="A15" s="44">
        <f t="shared" si="5"/>
        <v>45359</v>
      </c>
      <c r="B15" s="3"/>
      <c r="C15" s="4"/>
      <c r="D15" s="3"/>
      <c r="E15" s="4"/>
      <c r="F15" s="3"/>
      <c r="G15" s="4"/>
      <c r="H15" s="3"/>
      <c r="I15" s="4"/>
      <c r="J15" s="26">
        <f t="shared" si="1"/>
        <v>0</v>
      </c>
      <c r="K15" s="26">
        <f t="shared" si="2"/>
        <v>0</v>
      </c>
      <c r="L15" s="26">
        <f t="shared" si="3"/>
        <v>0</v>
      </c>
      <c r="M15" s="25">
        <f t="shared" si="4"/>
        <v>0</v>
      </c>
    </row>
    <row r="16" spans="1:20" ht="15" customHeight="1" x14ac:dyDescent="0.35">
      <c r="A16" s="44">
        <f t="shared" si="5"/>
        <v>45360</v>
      </c>
      <c r="B16" s="3"/>
      <c r="C16" s="4"/>
      <c r="D16" s="3"/>
      <c r="E16" s="4"/>
      <c r="F16" s="3"/>
      <c r="G16" s="4"/>
      <c r="H16" s="3"/>
      <c r="I16" s="4"/>
      <c r="J16" s="26">
        <f t="shared" si="1"/>
        <v>0</v>
      </c>
      <c r="K16" s="26">
        <f t="shared" si="2"/>
        <v>0</v>
      </c>
      <c r="L16" s="26">
        <f t="shared" si="3"/>
        <v>0</v>
      </c>
      <c r="M16" s="25">
        <f t="shared" si="4"/>
        <v>0</v>
      </c>
    </row>
    <row r="17" spans="1:13" ht="15" customHeight="1" x14ac:dyDescent="0.35">
      <c r="A17" s="44">
        <f t="shared" si="5"/>
        <v>45361</v>
      </c>
      <c r="B17" s="3"/>
      <c r="C17" s="4"/>
      <c r="D17" s="3"/>
      <c r="E17" s="4"/>
      <c r="F17" s="3"/>
      <c r="G17" s="4"/>
      <c r="H17" s="3"/>
      <c r="I17" s="4"/>
      <c r="J17" s="26">
        <f t="shared" si="1"/>
        <v>0</v>
      </c>
      <c r="K17" s="26">
        <f t="shared" si="2"/>
        <v>0</v>
      </c>
      <c r="L17" s="26">
        <f t="shared" si="3"/>
        <v>0</v>
      </c>
      <c r="M17" s="25">
        <f t="shared" si="4"/>
        <v>0</v>
      </c>
    </row>
    <row r="18" spans="1:13" ht="15" customHeight="1" x14ac:dyDescent="0.35">
      <c r="A18" s="44">
        <f t="shared" si="5"/>
        <v>45362</v>
      </c>
      <c r="B18" s="3"/>
      <c r="C18" s="4"/>
      <c r="D18" s="3"/>
      <c r="E18" s="4"/>
      <c r="F18" s="3"/>
      <c r="G18" s="4"/>
      <c r="H18" s="3"/>
      <c r="I18" s="4"/>
      <c r="J18" s="26">
        <f t="shared" si="1"/>
        <v>0</v>
      </c>
      <c r="K18" s="26">
        <f t="shared" si="2"/>
        <v>0</v>
      </c>
      <c r="L18" s="26">
        <f t="shared" si="3"/>
        <v>0</v>
      </c>
      <c r="M18" s="25">
        <f t="shared" si="4"/>
        <v>0</v>
      </c>
    </row>
    <row r="19" spans="1:13" ht="15" customHeight="1" x14ac:dyDescent="0.35">
      <c r="A19" s="44">
        <f t="shared" si="5"/>
        <v>45363</v>
      </c>
      <c r="B19" s="3"/>
      <c r="C19" s="4"/>
      <c r="D19" s="3"/>
      <c r="E19" s="4"/>
      <c r="F19" s="3"/>
      <c r="G19" s="4"/>
      <c r="H19" s="3"/>
      <c r="I19" s="4"/>
      <c r="J19" s="26">
        <f t="shared" si="1"/>
        <v>0</v>
      </c>
      <c r="K19" s="26">
        <f t="shared" si="2"/>
        <v>0</v>
      </c>
      <c r="L19" s="26">
        <f t="shared" si="3"/>
        <v>0</v>
      </c>
      <c r="M19" s="25">
        <f t="shared" si="4"/>
        <v>0</v>
      </c>
    </row>
    <row r="20" spans="1:13" ht="15" customHeight="1" x14ac:dyDescent="0.35">
      <c r="A20" s="44">
        <f t="shared" si="5"/>
        <v>45364</v>
      </c>
      <c r="B20" s="3"/>
      <c r="C20" s="4"/>
      <c r="D20" s="3"/>
      <c r="E20" s="4"/>
      <c r="F20" s="3"/>
      <c r="G20" s="4"/>
      <c r="H20" s="3"/>
      <c r="I20" s="4"/>
      <c r="J20" s="26">
        <f t="shared" si="1"/>
        <v>0</v>
      </c>
      <c r="K20" s="26">
        <f t="shared" si="2"/>
        <v>0</v>
      </c>
      <c r="L20" s="26">
        <f t="shared" si="3"/>
        <v>0</v>
      </c>
      <c r="M20" s="25">
        <f t="shared" si="4"/>
        <v>0</v>
      </c>
    </row>
    <row r="21" spans="1:13" ht="15" customHeight="1" x14ac:dyDescent="0.35">
      <c r="A21" s="44">
        <f t="shared" si="5"/>
        <v>45365</v>
      </c>
      <c r="B21" s="3"/>
      <c r="C21" s="4"/>
      <c r="D21" s="3"/>
      <c r="E21" s="4"/>
      <c r="F21" s="3"/>
      <c r="G21" s="4"/>
      <c r="H21" s="3"/>
      <c r="I21" s="4"/>
      <c r="J21" s="26">
        <f t="shared" si="1"/>
        <v>0</v>
      </c>
      <c r="K21" s="26">
        <f t="shared" si="2"/>
        <v>0</v>
      </c>
      <c r="L21" s="26">
        <f t="shared" si="3"/>
        <v>0</v>
      </c>
      <c r="M21" s="25">
        <f t="shared" si="4"/>
        <v>0</v>
      </c>
    </row>
    <row r="22" spans="1:13" ht="15" customHeight="1" x14ac:dyDescent="0.35">
      <c r="A22" s="44">
        <f t="shared" si="5"/>
        <v>45366</v>
      </c>
      <c r="B22" s="3"/>
      <c r="C22" s="4"/>
      <c r="D22" s="3"/>
      <c r="E22" s="4"/>
      <c r="F22" s="3"/>
      <c r="G22" s="4"/>
      <c r="H22" s="3"/>
      <c r="I22" s="4"/>
      <c r="J22" s="26">
        <f t="shared" si="1"/>
        <v>0</v>
      </c>
      <c r="K22" s="26">
        <f t="shared" si="2"/>
        <v>0</v>
      </c>
      <c r="L22" s="26">
        <f t="shared" si="3"/>
        <v>0</v>
      </c>
      <c r="M22" s="25">
        <f t="shared" si="4"/>
        <v>0</v>
      </c>
    </row>
    <row r="23" spans="1:13" ht="15" customHeight="1" x14ac:dyDescent="0.35">
      <c r="A23" s="44">
        <f t="shared" si="5"/>
        <v>45367</v>
      </c>
      <c r="B23" s="3"/>
      <c r="C23" s="4"/>
      <c r="D23" s="3"/>
      <c r="E23" s="4"/>
      <c r="F23" s="3"/>
      <c r="G23" s="4"/>
      <c r="H23" s="3"/>
      <c r="I23" s="4"/>
      <c r="J23" s="26">
        <f t="shared" si="1"/>
        <v>0</v>
      </c>
      <c r="K23" s="26">
        <f t="shared" si="2"/>
        <v>0</v>
      </c>
      <c r="L23" s="26">
        <f t="shared" si="3"/>
        <v>0</v>
      </c>
      <c r="M23" s="25">
        <f t="shared" si="4"/>
        <v>0</v>
      </c>
    </row>
    <row r="24" spans="1:13" ht="15" customHeight="1" x14ac:dyDescent="0.35">
      <c r="A24" s="44">
        <f t="shared" si="5"/>
        <v>45368</v>
      </c>
      <c r="B24" s="3"/>
      <c r="C24" s="4"/>
      <c r="D24" s="3"/>
      <c r="E24" s="4"/>
      <c r="F24" s="3"/>
      <c r="G24" s="4"/>
      <c r="H24" s="3"/>
      <c r="I24" s="4"/>
      <c r="J24" s="26">
        <f t="shared" si="1"/>
        <v>0</v>
      </c>
      <c r="K24" s="26">
        <f t="shared" si="2"/>
        <v>0</v>
      </c>
      <c r="L24" s="26">
        <f t="shared" si="3"/>
        <v>0</v>
      </c>
      <c r="M24" s="25">
        <f t="shared" si="4"/>
        <v>0</v>
      </c>
    </row>
    <row r="25" spans="1:13" ht="15" customHeight="1" x14ac:dyDescent="0.35">
      <c r="A25" s="44">
        <f t="shared" si="5"/>
        <v>45369</v>
      </c>
      <c r="B25" s="3"/>
      <c r="C25" s="4"/>
      <c r="D25" s="3"/>
      <c r="E25" s="4"/>
      <c r="F25" s="3"/>
      <c r="G25" s="4"/>
      <c r="H25" s="3"/>
      <c r="I25" s="4"/>
      <c r="J25" s="26">
        <f t="shared" si="1"/>
        <v>0</v>
      </c>
      <c r="K25" s="26">
        <f t="shared" si="2"/>
        <v>0</v>
      </c>
      <c r="L25" s="26">
        <f t="shared" si="3"/>
        <v>0</v>
      </c>
      <c r="M25" s="25">
        <f t="shared" si="4"/>
        <v>0</v>
      </c>
    </row>
    <row r="26" spans="1:13" ht="15" customHeight="1" x14ac:dyDescent="0.35">
      <c r="A26" s="44">
        <f t="shared" si="5"/>
        <v>45370</v>
      </c>
      <c r="B26" s="3"/>
      <c r="C26" s="4"/>
      <c r="D26" s="3"/>
      <c r="E26" s="4"/>
      <c r="F26" s="3"/>
      <c r="G26" s="4"/>
      <c r="H26" s="3"/>
      <c r="I26" s="4"/>
      <c r="J26" s="26">
        <f t="shared" si="1"/>
        <v>0</v>
      </c>
      <c r="K26" s="26">
        <f t="shared" si="2"/>
        <v>0</v>
      </c>
      <c r="L26" s="26">
        <f t="shared" si="3"/>
        <v>0</v>
      </c>
      <c r="M26" s="25">
        <f t="shared" si="4"/>
        <v>0</v>
      </c>
    </row>
    <row r="27" spans="1:13" ht="15" customHeight="1" x14ac:dyDescent="0.35">
      <c r="A27" s="44">
        <f t="shared" si="5"/>
        <v>45371</v>
      </c>
      <c r="B27" s="3"/>
      <c r="C27" s="4"/>
      <c r="D27" s="3"/>
      <c r="E27" s="4"/>
      <c r="F27" s="3"/>
      <c r="G27" s="4"/>
      <c r="H27" s="3"/>
      <c r="I27" s="4"/>
      <c r="J27" s="26">
        <f t="shared" si="1"/>
        <v>0</v>
      </c>
      <c r="K27" s="26">
        <f t="shared" si="2"/>
        <v>0</v>
      </c>
      <c r="L27" s="26">
        <f t="shared" si="3"/>
        <v>0</v>
      </c>
      <c r="M27" s="25">
        <f t="shared" si="4"/>
        <v>0</v>
      </c>
    </row>
    <row r="28" spans="1:13" ht="15" customHeight="1" x14ac:dyDescent="0.35">
      <c r="A28" s="44">
        <f t="shared" si="5"/>
        <v>45372</v>
      </c>
      <c r="B28" s="3"/>
      <c r="C28" s="4"/>
      <c r="D28" s="3"/>
      <c r="E28" s="4"/>
      <c r="F28" s="3"/>
      <c r="G28" s="4"/>
      <c r="H28" s="3"/>
      <c r="I28" s="4"/>
      <c r="J28" s="26">
        <f t="shared" si="1"/>
        <v>0</v>
      </c>
      <c r="K28" s="26">
        <f t="shared" si="2"/>
        <v>0</v>
      </c>
      <c r="L28" s="26">
        <f t="shared" si="3"/>
        <v>0</v>
      </c>
      <c r="M28" s="25">
        <f t="shared" si="4"/>
        <v>0</v>
      </c>
    </row>
    <row r="29" spans="1:13" ht="15" customHeight="1" x14ac:dyDescent="0.35">
      <c r="A29" s="44">
        <f t="shared" si="5"/>
        <v>45373</v>
      </c>
      <c r="B29" s="3"/>
      <c r="C29" s="4"/>
      <c r="D29" s="3"/>
      <c r="E29" s="4"/>
      <c r="F29" s="3"/>
      <c r="G29" s="4"/>
      <c r="H29" s="3"/>
      <c r="I29" s="4"/>
      <c r="J29" s="26">
        <f t="shared" si="1"/>
        <v>0</v>
      </c>
      <c r="K29" s="26">
        <f t="shared" si="2"/>
        <v>0</v>
      </c>
      <c r="L29" s="26">
        <f t="shared" si="3"/>
        <v>0</v>
      </c>
      <c r="M29" s="25">
        <f t="shared" si="4"/>
        <v>0</v>
      </c>
    </row>
    <row r="30" spans="1:13" ht="15" customHeight="1" x14ac:dyDescent="0.35">
      <c r="A30" s="44">
        <f t="shared" si="5"/>
        <v>45374</v>
      </c>
      <c r="B30" s="3"/>
      <c r="C30" s="4"/>
      <c r="D30" s="3"/>
      <c r="E30" s="4"/>
      <c r="F30" s="3"/>
      <c r="G30" s="4"/>
      <c r="H30" s="3"/>
      <c r="I30" s="4"/>
      <c r="J30" s="26">
        <f t="shared" si="1"/>
        <v>0</v>
      </c>
      <c r="K30" s="26">
        <f t="shared" si="2"/>
        <v>0</v>
      </c>
      <c r="L30" s="26">
        <f t="shared" si="3"/>
        <v>0</v>
      </c>
      <c r="M30" s="25">
        <f t="shared" si="4"/>
        <v>0</v>
      </c>
    </row>
    <row r="31" spans="1:13" ht="15" customHeight="1" x14ac:dyDescent="0.35">
      <c r="A31" s="44">
        <f t="shared" si="5"/>
        <v>45375</v>
      </c>
      <c r="B31" s="3"/>
      <c r="C31" s="4"/>
      <c r="D31" s="3"/>
      <c r="E31" s="4"/>
      <c r="F31" s="3"/>
      <c r="G31" s="4"/>
      <c r="H31" s="3"/>
      <c r="I31" s="4"/>
      <c r="J31" s="26">
        <f t="shared" si="1"/>
        <v>0</v>
      </c>
      <c r="K31" s="26">
        <f t="shared" si="2"/>
        <v>0</v>
      </c>
      <c r="L31" s="26">
        <f t="shared" si="3"/>
        <v>0</v>
      </c>
      <c r="M31" s="25">
        <f t="shared" si="4"/>
        <v>0</v>
      </c>
    </row>
    <row r="32" spans="1:13" ht="15" customHeight="1" x14ac:dyDescent="0.35">
      <c r="A32" s="44">
        <f t="shared" si="5"/>
        <v>45376</v>
      </c>
      <c r="B32" s="3"/>
      <c r="C32" s="4"/>
      <c r="D32" s="3"/>
      <c r="E32" s="4"/>
      <c r="F32" s="3"/>
      <c r="G32" s="4"/>
      <c r="H32" s="3"/>
      <c r="I32" s="4"/>
      <c r="J32" s="26">
        <f t="shared" si="1"/>
        <v>0</v>
      </c>
      <c r="K32" s="26">
        <f t="shared" si="2"/>
        <v>0</v>
      </c>
      <c r="L32" s="26">
        <f t="shared" si="3"/>
        <v>0</v>
      </c>
      <c r="M32" s="25">
        <f t="shared" si="4"/>
        <v>0</v>
      </c>
    </row>
    <row r="33" spans="1:14" ht="15" customHeight="1" x14ac:dyDescent="0.35">
      <c r="A33" s="44">
        <f t="shared" si="5"/>
        <v>45377</v>
      </c>
      <c r="B33" s="3"/>
      <c r="C33" s="4"/>
      <c r="D33" s="3"/>
      <c r="E33" s="4"/>
      <c r="F33" s="3"/>
      <c r="G33" s="4"/>
      <c r="H33" s="3"/>
      <c r="I33" s="4"/>
      <c r="J33" s="26">
        <f t="shared" si="1"/>
        <v>0</v>
      </c>
      <c r="K33" s="26">
        <f t="shared" si="2"/>
        <v>0</v>
      </c>
      <c r="L33" s="26">
        <f t="shared" si="3"/>
        <v>0</v>
      </c>
      <c r="M33" s="25">
        <f t="shared" si="4"/>
        <v>0</v>
      </c>
    </row>
    <row r="34" spans="1:14" ht="15" customHeight="1" x14ac:dyDescent="0.35">
      <c r="A34" s="44">
        <f t="shared" si="5"/>
        <v>45378</v>
      </c>
      <c r="B34" s="3"/>
      <c r="C34" s="4"/>
      <c r="D34" s="3"/>
      <c r="E34" s="4"/>
      <c r="F34" s="3"/>
      <c r="G34" s="4"/>
      <c r="H34" s="3"/>
      <c r="I34" s="4"/>
      <c r="J34" s="26">
        <f t="shared" si="1"/>
        <v>0</v>
      </c>
      <c r="K34" s="26">
        <f t="shared" si="2"/>
        <v>0</v>
      </c>
      <c r="L34" s="26">
        <f t="shared" si="3"/>
        <v>0</v>
      </c>
      <c r="M34" s="25">
        <f t="shared" si="4"/>
        <v>0</v>
      </c>
    </row>
    <row r="35" spans="1:14" ht="15" customHeight="1" x14ac:dyDescent="0.35">
      <c r="A35" s="44">
        <f t="shared" si="5"/>
        <v>45379</v>
      </c>
      <c r="B35" s="3"/>
      <c r="C35" s="4"/>
      <c r="D35" s="3"/>
      <c r="E35" s="4"/>
      <c r="F35" s="3"/>
      <c r="G35" s="4"/>
      <c r="H35" s="3"/>
      <c r="I35" s="4"/>
      <c r="J35" s="26">
        <f t="shared" si="1"/>
        <v>0</v>
      </c>
      <c r="K35" s="26">
        <f t="shared" si="2"/>
        <v>0</v>
      </c>
      <c r="L35" s="26">
        <f t="shared" si="3"/>
        <v>0</v>
      </c>
      <c r="M35" s="25">
        <f t="shared" si="4"/>
        <v>0</v>
      </c>
    </row>
    <row r="36" spans="1:14" ht="15" customHeight="1" x14ac:dyDescent="0.35">
      <c r="A36" s="44">
        <f t="shared" si="5"/>
        <v>45380</v>
      </c>
      <c r="B36" s="3"/>
      <c r="C36" s="4"/>
      <c r="D36" s="3"/>
      <c r="E36" s="4"/>
      <c r="F36" s="3"/>
      <c r="G36" s="4"/>
      <c r="H36" s="3"/>
      <c r="I36" s="4"/>
      <c r="J36" s="26">
        <f t="shared" si="1"/>
        <v>0</v>
      </c>
      <c r="K36" s="26">
        <f t="shared" si="2"/>
        <v>0</v>
      </c>
      <c r="L36" s="26">
        <f t="shared" si="3"/>
        <v>0</v>
      </c>
      <c r="M36" s="25">
        <f t="shared" si="4"/>
        <v>0</v>
      </c>
    </row>
    <row r="37" spans="1:14" ht="15" customHeight="1" x14ac:dyDescent="0.35">
      <c r="A37" s="44">
        <f t="shared" si="5"/>
        <v>45381</v>
      </c>
      <c r="B37" s="3"/>
      <c r="C37" s="4"/>
      <c r="D37" s="3"/>
      <c r="E37" s="4"/>
      <c r="F37" s="3"/>
      <c r="G37" s="4"/>
      <c r="H37" s="3"/>
      <c r="I37" s="4"/>
      <c r="J37" s="26">
        <f t="shared" si="1"/>
        <v>0</v>
      </c>
      <c r="K37" s="26">
        <f t="shared" si="2"/>
        <v>0</v>
      </c>
      <c r="L37" s="26">
        <f t="shared" si="3"/>
        <v>0</v>
      </c>
      <c r="M37" s="25">
        <f t="shared" si="4"/>
        <v>0</v>
      </c>
    </row>
    <row r="38" spans="1:14" ht="15" customHeight="1" thickBot="1" x14ac:dyDescent="0.4">
      <c r="A38" s="45">
        <f t="shared" si="5"/>
        <v>45382</v>
      </c>
      <c r="B38" s="5"/>
      <c r="C38" s="6"/>
      <c r="D38" s="5"/>
      <c r="E38" s="6"/>
      <c r="F38" s="5"/>
      <c r="G38" s="6"/>
      <c r="H38" s="5"/>
      <c r="I38" s="6"/>
      <c r="J38" s="31">
        <f t="shared" si="1"/>
        <v>0</v>
      </c>
      <c r="K38" s="31">
        <f t="shared" si="2"/>
        <v>0</v>
      </c>
      <c r="L38" s="31">
        <f t="shared" si="3"/>
        <v>0</v>
      </c>
      <c r="M38" s="28">
        <f t="shared" si="4"/>
        <v>0</v>
      </c>
    </row>
    <row r="39" spans="1:14" ht="15" customHeight="1" x14ac:dyDescent="0.35">
      <c r="A39" s="32" t="s">
        <v>7</v>
      </c>
      <c r="B39" s="33" t="e">
        <f>AVERAGE(B8:B38)</f>
        <v>#DIV/0!</v>
      </c>
      <c r="C39" s="34" t="e">
        <f t="shared" ref="C39:I39" si="6">AVERAGE(C8:C38)</f>
        <v>#DIV/0!</v>
      </c>
      <c r="D39" s="33" t="e">
        <f t="shared" si="6"/>
        <v>#DIV/0!</v>
      </c>
      <c r="E39" s="34" t="e">
        <f t="shared" si="6"/>
        <v>#DIV/0!</v>
      </c>
      <c r="F39" s="33" t="e">
        <f t="shared" si="6"/>
        <v>#DIV/0!</v>
      </c>
      <c r="G39" s="34" t="e">
        <f t="shared" si="6"/>
        <v>#DIV/0!</v>
      </c>
      <c r="H39" s="33" t="e">
        <f t="shared" si="6"/>
        <v>#DIV/0!</v>
      </c>
      <c r="I39" s="34" t="e">
        <f t="shared" si="6"/>
        <v>#DIV/0!</v>
      </c>
      <c r="J39" s="35"/>
      <c r="K39" s="35"/>
      <c r="L39" s="35"/>
      <c r="M39" s="36"/>
      <c r="N39" s="17"/>
    </row>
    <row r="40" spans="1:14" ht="15" customHeight="1" thickBot="1" x14ac:dyDescent="0.4">
      <c r="A40" s="29" t="s">
        <v>15</v>
      </c>
      <c r="B40" s="37"/>
      <c r="C40" s="38">
        <f t="shared" ref="C40:I40" si="7">SUM(C8:C38)</f>
        <v>0</v>
      </c>
      <c r="D40" s="37"/>
      <c r="E40" s="38">
        <f t="shared" si="7"/>
        <v>0</v>
      </c>
      <c r="F40" s="37"/>
      <c r="G40" s="38">
        <f t="shared" si="7"/>
        <v>0</v>
      </c>
      <c r="H40" s="37"/>
      <c r="I40" s="38">
        <f t="shared" si="7"/>
        <v>0</v>
      </c>
      <c r="J40" s="39">
        <f>SUM(J8:J38)</f>
        <v>0</v>
      </c>
      <c r="K40" s="39">
        <f t="shared" ref="K40:M40" si="8">SUM(K8:K38)</f>
        <v>0</v>
      </c>
      <c r="L40" s="39">
        <f t="shared" si="8"/>
        <v>0</v>
      </c>
      <c r="M40" s="40">
        <f t="shared" si="8"/>
        <v>0</v>
      </c>
    </row>
  </sheetData>
  <sheetProtection algorithmName="SHA-512" hashValue="t4qDohGGL9n7BEhFm/421wbXPbBFDuIukZdFYM+mb9hrXbwnvXbXOrqGiA/pSoKPkFzej0tOxk41jf0YhUpuVA==" saltValue="kigiDb2vZJjoKKL5UxqCKg==" spinCount="100000" sheet="1" objects="1" scenarios="1" formatColumns="0" formatRows="0" insertColumns="0" insertRows="0" sort="0" autoFilter="0" pivotTables="0"/>
  <mergeCells count="2">
    <mergeCell ref="J6:M6"/>
    <mergeCell ref="O13:P13"/>
  </mergeCells>
  <conditionalFormatting sqref="B8:B38 D8:D38 F8:F38 H8:H38">
    <cfRule type="cellIs" dxfId="3" priority="4" operator="lessThan">
      <formula>10</formula>
    </cfRule>
  </conditionalFormatting>
  <conditionalFormatting sqref="C8:C38 E8:E38 G8:G38 I8:I38">
    <cfRule type="cellIs" dxfId="2" priority="3" operator="lessThan">
      <formula>0.2</formula>
    </cfRule>
  </conditionalFormatting>
  <pageMargins left="0.7" right="0.7" top="0.75" bottom="0.75" header="0.3" footer="0.3"/>
  <pageSetup paperSize="9" scale="83" orientation="landscape"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56ADBBC-9863-4C97-8D03-F3A23B639091}">
  <sheetPr codeName="Sheet3"/>
  <dimension ref="A1:K40"/>
  <sheetViews>
    <sheetView tabSelected="1" topLeftCell="A2" zoomScale="86" zoomScaleNormal="100" workbookViewId="0">
      <selection activeCell="A9" sqref="A9:D38"/>
    </sheetView>
  </sheetViews>
  <sheetFormatPr defaultColWidth="5.7265625" defaultRowHeight="15" customHeight="1" x14ac:dyDescent="0.35"/>
  <cols>
    <col min="1" max="1" width="10.7265625" style="8" customWidth="1"/>
    <col min="2" max="16" width="12.7265625" style="8" customWidth="1"/>
    <col min="17" max="17" width="5.7265625" style="8"/>
    <col min="18" max="18" width="10.7265625" style="8" customWidth="1"/>
    <col min="19" max="20" width="16.7265625" style="8" customWidth="1"/>
    <col min="21" max="16384" width="5.7265625" style="8"/>
  </cols>
  <sheetData>
    <row r="1" spans="1:11" ht="15" customHeight="1" x14ac:dyDescent="0.35">
      <c r="B1" s="9" t="s">
        <v>6</v>
      </c>
      <c r="C1" s="41" t="s">
        <v>31</v>
      </c>
    </row>
    <row r="2" spans="1:11" ht="15" customHeight="1" x14ac:dyDescent="0.35">
      <c r="B2" s="9" t="s">
        <v>0</v>
      </c>
      <c r="C2" s="42">
        <v>1500000</v>
      </c>
      <c r="D2" s="8" t="s">
        <v>4</v>
      </c>
    </row>
    <row r="3" spans="1:11" ht="15" customHeight="1" x14ac:dyDescent="0.35">
      <c r="B3" s="9" t="s">
        <v>21</v>
      </c>
      <c r="C3" s="8" t="s">
        <v>16</v>
      </c>
    </row>
    <row r="4" spans="1:11" ht="15" customHeight="1" x14ac:dyDescent="0.35">
      <c r="B4" s="9" t="s">
        <v>2</v>
      </c>
      <c r="C4" s="8" t="s">
        <v>3</v>
      </c>
    </row>
    <row r="5" spans="1:11" ht="15" customHeight="1" thickBot="1" x14ac:dyDescent="0.4">
      <c r="G5" s="8" t="s">
        <v>19</v>
      </c>
      <c r="H5" s="10">
        <f>COUNT(A8:A38)</f>
        <v>0</v>
      </c>
    </row>
    <row r="6" spans="1:11" ht="39.5" thickBot="1" x14ac:dyDescent="0.4">
      <c r="A6" s="11"/>
      <c r="B6" s="12" t="s">
        <v>26</v>
      </c>
      <c r="C6" s="12" t="s">
        <v>27</v>
      </c>
      <c r="D6" s="12" t="s">
        <v>28</v>
      </c>
      <c r="F6" s="14"/>
      <c r="G6" s="15" t="s">
        <v>17</v>
      </c>
      <c r="H6" s="16" t="s">
        <v>18</v>
      </c>
      <c r="I6" s="17"/>
      <c r="J6" s="17"/>
      <c r="K6" s="17"/>
    </row>
    <row r="7" spans="1:11" ht="15" customHeight="1" thickBot="1" x14ac:dyDescent="0.4">
      <c r="A7" s="18" t="s">
        <v>5</v>
      </c>
      <c r="B7" s="19" t="s">
        <v>22</v>
      </c>
      <c r="C7" s="19" t="s">
        <v>22</v>
      </c>
      <c r="D7" s="19" t="s">
        <v>22</v>
      </c>
      <c r="F7" s="21" t="s">
        <v>25</v>
      </c>
      <c r="G7" s="46" t="s">
        <v>23</v>
      </c>
      <c r="H7" s="22" t="s">
        <v>29</v>
      </c>
    </row>
    <row r="8" spans="1:11" ht="15" customHeight="1" thickBot="1" x14ac:dyDescent="0.4">
      <c r="A8" s="43" t="s">
        <v>24</v>
      </c>
      <c r="B8" s="1" t="s">
        <v>32</v>
      </c>
      <c r="C8" s="2" t="s">
        <v>33</v>
      </c>
      <c r="D8" s="23" t="s">
        <v>34</v>
      </c>
      <c r="F8" s="29" t="s">
        <v>15</v>
      </c>
      <c r="G8" s="7"/>
      <c r="H8" s="28" t="s">
        <v>30</v>
      </c>
    </row>
    <row r="9" spans="1:11" ht="15" customHeight="1" thickBot="1" x14ac:dyDescent="0.4">
      <c r="A9" s="44" t="e">
        <f>A8+1</f>
        <v>#VALUE!</v>
      </c>
      <c r="B9" s="3"/>
      <c r="C9" s="4"/>
      <c r="D9" s="23">
        <f>IF(AND($B9&gt;=10,$C9&lt;0.2),ROUND((0.2-$C9)*$C$2,0),0)</f>
        <v>0</v>
      </c>
    </row>
    <row r="10" spans="1:11" ht="15" customHeight="1" thickBot="1" x14ac:dyDescent="0.4">
      <c r="A10" s="44" t="e">
        <f t="shared" ref="A10:A38" si="0">A9+1</f>
        <v>#VALUE!</v>
      </c>
      <c r="B10" s="3"/>
      <c r="C10" s="4"/>
      <c r="D10" s="23">
        <f t="shared" ref="D10:D38" si="1">IF(AND($B10&gt;=10,$C10&lt;0.2),ROUND((0.2-$C10)*$C$2,0),0)</f>
        <v>0</v>
      </c>
      <c r="F10" s="49" t="s">
        <v>20</v>
      </c>
      <c r="G10" s="49"/>
      <c r="H10" s="30" t="e">
        <f>SUM($D$40:$D$40)+$H$8</f>
        <v>#VALUE!</v>
      </c>
    </row>
    <row r="11" spans="1:11" ht="15" customHeight="1" thickBot="1" x14ac:dyDescent="0.4">
      <c r="A11" s="44" t="e">
        <f t="shared" si="0"/>
        <v>#VALUE!</v>
      </c>
      <c r="B11" s="3"/>
      <c r="C11" s="4"/>
      <c r="D11" s="23">
        <f t="shared" si="1"/>
        <v>0</v>
      </c>
    </row>
    <row r="12" spans="1:11" ht="15" customHeight="1" thickBot="1" x14ac:dyDescent="0.4">
      <c r="A12" s="44" t="e">
        <f t="shared" si="0"/>
        <v>#VALUE!</v>
      </c>
      <c r="B12" s="3"/>
      <c r="C12" s="4"/>
      <c r="D12" s="23">
        <f t="shared" si="1"/>
        <v>0</v>
      </c>
    </row>
    <row r="13" spans="1:11" ht="15" customHeight="1" thickBot="1" x14ac:dyDescent="0.4">
      <c r="A13" s="44" t="e">
        <f t="shared" si="0"/>
        <v>#VALUE!</v>
      </c>
      <c r="B13" s="3"/>
      <c r="C13" s="4"/>
      <c r="D13" s="23">
        <f t="shared" si="1"/>
        <v>0</v>
      </c>
    </row>
    <row r="14" spans="1:11" ht="15" customHeight="1" thickBot="1" x14ac:dyDescent="0.4">
      <c r="A14" s="44" t="e">
        <f t="shared" si="0"/>
        <v>#VALUE!</v>
      </c>
      <c r="B14" s="3"/>
      <c r="C14" s="4"/>
      <c r="D14" s="23">
        <f t="shared" si="1"/>
        <v>0</v>
      </c>
    </row>
    <row r="15" spans="1:11" ht="15" customHeight="1" thickBot="1" x14ac:dyDescent="0.4">
      <c r="A15" s="44" t="e">
        <f t="shared" si="0"/>
        <v>#VALUE!</v>
      </c>
      <c r="B15" s="3"/>
      <c r="C15" s="4"/>
      <c r="D15" s="23">
        <f t="shared" si="1"/>
        <v>0</v>
      </c>
    </row>
    <row r="16" spans="1:11" ht="15" customHeight="1" thickBot="1" x14ac:dyDescent="0.4">
      <c r="A16" s="44" t="e">
        <f t="shared" si="0"/>
        <v>#VALUE!</v>
      </c>
      <c r="B16" s="3"/>
      <c r="C16" s="4"/>
      <c r="D16" s="23">
        <f t="shared" si="1"/>
        <v>0</v>
      </c>
    </row>
    <row r="17" spans="1:4" ht="15" customHeight="1" thickBot="1" x14ac:dyDescent="0.4">
      <c r="A17" s="44" t="e">
        <f t="shared" si="0"/>
        <v>#VALUE!</v>
      </c>
      <c r="B17" s="3"/>
      <c r="C17" s="4"/>
      <c r="D17" s="23">
        <f t="shared" si="1"/>
        <v>0</v>
      </c>
    </row>
    <row r="18" spans="1:4" ht="15" customHeight="1" thickBot="1" x14ac:dyDescent="0.4">
      <c r="A18" s="44" t="e">
        <f t="shared" si="0"/>
        <v>#VALUE!</v>
      </c>
      <c r="B18" s="3"/>
      <c r="C18" s="4"/>
      <c r="D18" s="23">
        <f t="shared" si="1"/>
        <v>0</v>
      </c>
    </row>
    <row r="19" spans="1:4" ht="15" customHeight="1" thickBot="1" x14ac:dyDescent="0.4">
      <c r="A19" s="44" t="e">
        <f t="shared" si="0"/>
        <v>#VALUE!</v>
      </c>
      <c r="B19" s="3"/>
      <c r="C19" s="4"/>
      <c r="D19" s="23">
        <f t="shared" si="1"/>
        <v>0</v>
      </c>
    </row>
    <row r="20" spans="1:4" ht="15" customHeight="1" thickBot="1" x14ac:dyDescent="0.4">
      <c r="A20" s="44" t="e">
        <f t="shared" si="0"/>
        <v>#VALUE!</v>
      </c>
      <c r="B20" s="3"/>
      <c r="C20" s="4"/>
      <c r="D20" s="23">
        <f t="shared" si="1"/>
        <v>0</v>
      </c>
    </row>
    <row r="21" spans="1:4" ht="15" customHeight="1" thickBot="1" x14ac:dyDescent="0.4">
      <c r="A21" s="44" t="e">
        <f t="shared" si="0"/>
        <v>#VALUE!</v>
      </c>
      <c r="B21" s="3"/>
      <c r="C21" s="4"/>
      <c r="D21" s="23">
        <f t="shared" si="1"/>
        <v>0</v>
      </c>
    </row>
    <row r="22" spans="1:4" ht="15" customHeight="1" thickBot="1" x14ac:dyDescent="0.4">
      <c r="A22" s="44" t="e">
        <f t="shared" si="0"/>
        <v>#VALUE!</v>
      </c>
      <c r="B22" s="3"/>
      <c r="C22" s="4"/>
      <c r="D22" s="23">
        <f t="shared" si="1"/>
        <v>0</v>
      </c>
    </row>
    <row r="23" spans="1:4" ht="15" customHeight="1" thickBot="1" x14ac:dyDescent="0.4">
      <c r="A23" s="44" t="e">
        <f t="shared" si="0"/>
        <v>#VALUE!</v>
      </c>
      <c r="B23" s="3"/>
      <c r="C23" s="4"/>
      <c r="D23" s="23">
        <f t="shared" si="1"/>
        <v>0</v>
      </c>
    </row>
    <row r="24" spans="1:4" ht="15" customHeight="1" thickBot="1" x14ac:dyDescent="0.4">
      <c r="A24" s="44" t="e">
        <f t="shared" si="0"/>
        <v>#VALUE!</v>
      </c>
      <c r="B24" s="3"/>
      <c r="C24" s="4"/>
      <c r="D24" s="23">
        <f t="shared" si="1"/>
        <v>0</v>
      </c>
    </row>
    <row r="25" spans="1:4" ht="15" customHeight="1" thickBot="1" x14ac:dyDescent="0.4">
      <c r="A25" s="44" t="e">
        <f t="shared" si="0"/>
        <v>#VALUE!</v>
      </c>
      <c r="B25" s="3"/>
      <c r="C25" s="4"/>
      <c r="D25" s="23">
        <f t="shared" si="1"/>
        <v>0</v>
      </c>
    </row>
    <row r="26" spans="1:4" ht="15" customHeight="1" thickBot="1" x14ac:dyDescent="0.4">
      <c r="A26" s="44" t="e">
        <f t="shared" si="0"/>
        <v>#VALUE!</v>
      </c>
      <c r="B26" s="3"/>
      <c r="C26" s="4"/>
      <c r="D26" s="23">
        <f t="shared" si="1"/>
        <v>0</v>
      </c>
    </row>
    <row r="27" spans="1:4" ht="15" customHeight="1" thickBot="1" x14ac:dyDescent="0.4">
      <c r="A27" s="44" t="e">
        <f t="shared" si="0"/>
        <v>#VALUE!</v>
      </c>
      <c r="B27" s="3"/>
      <c r="C27" s="4"/>
      <c r="D27" s="23">
        <f t="shared" si="1"/>
        <v>0</v>
      </c>
    </row>
    <row r="28" spans="1:4" ht="15" customHeight="1" thickBot="1" x14ac:dyDescent="0.4">
      <c r="A28" s="44" t="e">
        <f t="shared" si="0"/>
        <v>#VALUE!</v>
      </c>
      <c r="B28" s="3"/>
      <c r="C28" s="4"/>
      <c r="D28" s="23">
        <f t="shared" si="1"/>
        <v>0</v>
      </c>
    </row>
    <row r="29" spans="1:4" ht="15" customHeight="1" thickBot="1" x14ac:dyDescent="0.4">
      <c r="A29" s="44" t="e">
        <f t="shared" si="0"/>
        <v>#VALUE!</v>
      </c>
      <c r="B29" s="3"/>
      <c r="C29" s="4"/>
      <c r="D29" s="23">
        <f t="shared" si="1"/>
        <v>0</v>
      </c>
    </row>
    <row r="30" spans="1:4" ht="15" customHeight="1" thickBot="1" x14ac:dyDescent="0.4">
      <c r="A30" s="44" t="e">
        <f t="shared" si="0"/>
        <v>#VALUE!</v>
      </c>
      <c r="B30" s="3"/>
      <c r="C30" s="4"/>
      <c r="D30" s="23">
        <f t="shared" si="1"/>
        <v>0</v>
      </c>
    </row>
    <row r="31" spans="1:4" ht="15" customHeight="1" thickBot="1" x14ac:dyDescent="0.4">
      <c r="A31" s="44" t="e">
        <f t="shared" si="0"/>
        <v>#VALUE!</v>
      </c>
      <c r="B31" s="3"/>
      <c r="C31" s="4"/>
      <c r="D31" s="23">
        <f t="shared" si="1"/>
        <v>0</v>
      </c>
    </row>
    <row r="32" spans="1:4" ht="15" customHeight="1" thickBot="1" x14ac:dyDescent="0.4">
      <c r="A32" s="44" t="e">
        <f t="shared" si="0"/>
        <v>#VALUE!</v>
      </c>
      <c r="B32" s="3"/>
      <c r="C32" s="4"/>
      <c r="D32" s="23">
        <f t="shared" si="1"/>
        <v>0</v>
      </c>
    </row>
    <row r="33" spans="1:5" ht="15" customHeight="1" thickBot="1" x14ac:dyDescent="0.4">
      <c r="A33" s="44" t="e">
        <f t="shared" si="0"/>
        <v>#VALUE!</v>
      </c>
      <c r="B33" s="3"/>
      <c r="C33" s="4"/>
      <c r="D33" s="23">
        <f t="shared" si="1"/>
        <v>0</v>
      </c>
    </row>
    <row r="34" spans="1:5" ht="15" customHeight="1" thickBot="1" x14ac:dyDescent="0.4">
      <c r="A34" s="44" t="e">
        <f t="shared" si="0"/>
        <v>#VALUE!</v>
      </c>
      <c r="B34" s="3"/>
      <c r="C34" s="4"/>
      <c r="D34" s="23">
        <f t="shared" si="1"/>
        <v>0</v>
      </c>
    </row>
    <row r="35" spans="1:5" ht="15" customHeight="1" thickBot="1" x14ac:dyDescent="0.4">
      <c r="A35" s="44" t="e">
        <f t="shared" si="0"/>
        <v>#VALUE!</v>
      </c>
      <c r="B35" s="3"/>
      <c r="C35" s="4"/>
      <c r="D35" s="23">
        <f t="shared" si="1"/>
        <v>0</v>
      </c>
    </row>
    <row r="36" spans="1:5" ht="15" customHeight="1" thickBot="1" x14ac:dyDescent="0.4">
      <c r="A36" s="44" t="e">
        <f t="shared" si="0"/>
        <v>#VALUE!</v>
      </c>
      <c r="B36" s="3"/>
      <c r="C36" s="4"/>
      <c r="D36" s="23">
        <f t="shared" si="1"/>
        <v>0</v>
      </c>
    </row>
    <row r="37" spans="1:5" ht="15" customHeight="1" thickBot="1" x14ac:dyDescent="0.4">
      <c r="A37" s="44" t="e">
        <f t="shared" si="0"/>
        <v>#VALUE!</v>
      </c>
      <c r="B37" s="3"/>
      <c r="C37" s="4"/>
      <c r="D37" s="23">
        <f t="shared" si="1"/>
        <v>0</v>
      </c>
    </row>
    <row r="38" spans="1:5" ht="15" customHeight="1" thickBot="1" x14ac:dyDescent="0.4">
      <c r="A38" s="45" t="e">
        <f t="shared" si="0"/>
        <v>#VALUE!</v>
      </c>
      <c r="B38" s="5"/>
      <c r="C38" s="6"/>
      <c r="D38" s="23">
        <f t="shared" si="1"/>
        <v>0</v>
      </c>
    </row>
    <row r="39" spans="1:5" ht="15" customHeight="1" x14ac:dyDescent="0.35">
      <c r="A39" s="32" t="s">
        <v>7</v>
      </c>
      <c r="B39" s="33" t="e">
        <f>AVERAGE(B8:B38)</f>
        <v>#DIV/0!</v>
      </c>
      <c r="C39" s="34" t="e">
        <f>AVERAGE(C8:C38)</f>
        <v>#DIV/0!</v>
      </c>
      <c r="D39" s="35"/>
      <c r="E39" s="17"/>
    </row>
    <row r="40" spans="1:5" ht="15" customHeight="1" thickBot="1" x14ac:dyDescent="0.4">
      <c r="A40" s="29" t="s">
        <v>15</v>
      </c>
      <c r="B40" s="37"/>
      <c r="C40" s="38">
        <f>SUM(C8:C38)</f>
        <v>0</v>
      </c>
      <c r="D40" s="39">
        <f>SUM(D8:D38)</f>
        <v>0</v>
      </c>
    </row>
  </sheetData>
  <sheetProtection formatColumns="0" formatRows="0" insertColumns="0" insertRows="0" sort="0" autoFilter="0" pivotTables="0"/>
  <mergeCells count="1">
    <mergeCell ref="F10:G10"/>
  </mergeCells>
  <conditionalFormatting sqref="B8:B38">
    <cfRule type="cellIs" dxfId="1" priority="4" operator="lessThan">
      <formula>10</formula>
    </cfRule>
  </conditionalFormatting>
  <conditionalFormatting sqref="C8:C38">
    <cfRule type="cellIs" dxfId="0" priority="3" operator="lessThan">
      <formula>0.2</formula>
    </cfRule>
  </conditionalFormatting>
  <pageMargins left="0.7" right="0.7" top="0.75" bottom="0.75" header="0.3" footer="0.3"/>
  <pageSetup paperSize="9" scale="83" orientation="landscape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3</vt:i4>
      </vt:variant>
      <vt:variant>
        <vt:lpstr>Named Ranges</vt:lpstr>
      </vt:variant>
      <vt:variant>
        <vt:i4>2</vt:i4>
      </vt:variant>
    </vt:vector>
  </HeadingPairs>
  <TitlesOfParts>
    <vt:vector size="5" baseType="lpstr">
      <vt:lpstr>24-06 (MP7110)</vt:lpstr>
      <vt:lpstr>FORM</vt:lpstr>
      <vt:lpstr>25-12</vt:lpstr>
      <vt:lpstr>'25-12'!Print_Area</vt:lpstr>
      <vt:lpstr>FORM!Print_Area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Dandi Ridwan</dc:creator>
  <cp:lastModifiedBy>2022 ALFONSUS VEGA HENTYA TANOJO</cp:lastModifiedBy>
  <cp:lastPrinted>2024-05-31T07:41:23Z</cp:lastPrinted>
  <dcterms:created xsi:type="dcterms:W3CDTF">2023-02-08T08:48:30Z</dcterms:created>
  <dcterms:modified xsi:type="dcterms:W3CDTF">2026-03-17T13:31:18Z</dcterms:modified>
</cp:coreProperties>
</file>