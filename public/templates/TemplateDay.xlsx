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fonsus Vega\Documents\GitHub\sinerco\public\templates\"/>
    </mc:Choice>
  </mc:AlternateContent>
  <xr:revisionPtr revIDLastSave="0" documentId="13_ncr:1_{E58736D8-A79C-4FC2-B0A8-5DB7A9A63714}" xr6:coauthVersionLast="47" xr6:coauthVersionMax="47" xr10:uidLastSave="{00000000-0000-0000-0000-000000000000}"/>
  <bookViews>
    <workbookView xWindow="-110" yWindow="-110" windowWidth="25820" windowHeight="13900" xr2:uid="{A26DCABA-C7E1-40C3-9A1F-408B36E5C7F8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20" i="1" l="1"/>
  <c r="AF20" i="1" s="1"/>
  <c r="AE22" i="1"/>
  <c r="AE23" i="1"/>
  <c r="AF23" i="1" s="1"/>
  <c r="AE24" i="1"/>
  <c r="AE25" i="1"/>
  <c r="AE29" i="1"/>
  <c r="AE31" i="1"/>
  <c r="AF31" i="1" s="1"/>
  <c r="AE32" i="1"/>
  <c r="AE37" i="1"/>
  <c r="AF37" i="1" s="1"/>
  <c r="AE17" i="1"/>
  <c r="AE33" i="1"/>
  <c r="AE38" i="1"/>
  <c r="AF38" i="1" s="1"/>
  <c r="AE39" i="1"/>
  <c r="AF39" i="1" s="1"/>
  <c r="T53" i="1"/>
  <c r="L50" i="1"/>
  <c r="E50" i="1"/>
  <c r="P53" i="1" s="1"/>
  <c r="M48" i="1"/>
  <c r="E48" i="1"/>
  <c r="E46" i="1"/>
  <c r="Q44" i="1"/>
  <c r="Q43" i="1"/>
  <c r="P43" i="1"/>
  <c r="O43" i="1"/>
  <c r="N43" i="1"/>
  <c r="M43" i="1"/>
  <c r="L43" i="1"/>
  <c r="H43" i="1"/>
  <c r="G43" i="1"/>
  <c r="F43" i="1"/>
  <c r="E43" i="1"/>
  <c r="D43" i="1"/>
  <c r="C43" i="1"/>
  <c r="B43" i="1"/>
  <c r="R42" i="1"/>
  <c r="C42" i="1"/>
  <c r="B42" i="1"/>
  <c r="R41" i="1"/>
  <c r="C41" i="1"/>
  <c r="B41" i="1"/>
  <c r="R40" i="1"/>
  <c r="M50" i="1" s="1"/>
  <c r="O47" i="1"/>
  <c r="O46" i="1"/>
  <c r="C40" i="1"/>
  <c r="B40" i="1"/>
  <c r="AG39" i="1"/>
  <c r="AC39" i="1"/>
  <c r="AB39" i="1"/>
  <c r="AG38" i="1"/>
  <c r="AC38" i="1"/>
  <c r="AB38" i="1"/>
  <c r="AG37" i="1"/>
  <c r="AC37" i="1"/>
  <c r="AB37" i="1"/>
  <c r="AG36" i="1"/>
  <c r="AC36" i="1"/>
  <c r="AB36" i="1"/>
  <c r="AE36" i="1"/>
  <c r="AF36" i="1" s="1"/>
  <c r="AG35" i="1"/>
  <c r="AC35" i="1"/>
  <c r="AB35" i="1"/>
  <c r="AG34" i="1"/>
  <c r="AC34" i="1"/>
  <c r="AB34" i="1"/>
  <c r="AG33" i="1"/>
  <c r="AC33" i="1"/>
  <c r="AB33" i="1"/>
  <c r="AG32" i="1"/>
  <c r="AC32" i="1"/>
  <c r="AB32" i="1"/>
  <c r="AG31" i="1"/>
  <c r="AC31" i="1"/>
  <c r="AB31" i="1"/>
  <c r="AG30" i="1"/>
  <c r="AE30" i="1"/>
  <c r="AF30" i="1" s="1"/>
  <c r="AC30" i="1"/>
  <c r="AB30" i="1"/>
  <c r="AG29" i="1"/>
  <c r="AC29" i="1"/>
  <c r="AB29" i="1"/>
  <c r="AG28" i="1"/>
  <c r="AC28" i="1"/>
  <c r="AB28" i="1"/>
  <c r="AG27" i="1"/>
  <c r="AC27" i="1"/>
  <c r="AB27" i="1"/>
  <c r="AG26" i="1"/>
  <c r="AC26" i="1"/>
  <c r="AB26" i="1"/>
  <c r="AG25" i="1"/>
  <c r="AC25" i="1"/>
  <c r="AB25" i="1"/>
  <c r="AG24" i="1"/>
  <c r="AC24" i="1"/>
  <c r="AB24" i="1"/>
  <c r="AG23" i="1"/>
  <c r="AC23" i="1"/>
  <c r="AB23" i="1"/>
  <c r="AG22" i="1"/>
  <c r="AC22" i="1"/>
  <c r="AB22" i="1"/>
  <c r="AG21" i="1"/>
  <c r="AE21" i="1"/>
  <c r="AF21" i="1" s="1"/>
  <c r="AC21" i="1"/>
  <c r="AB21" i="1"/>
  <c r="AG20" i="1"/>
  <c r="AC20" i="1"/>
  <c r="AB20" i="1"/>
  <c r="AG19" i="1"/>
  <c r="AC19" i="1"/>
  <c r="AB19" i="1"/>
  <c r="AG18" i="1"/>
  <c r="AC18" i="1"/>
  <c r="AB18" i="1"/>
  <c r="AG17" i="1"/>
  <c r="AC17" i="1"/>
  <c r="AB17" i="1"/>
  <c r="AG16" i="1"/>
  <c r="AE16" i="1"/>
  <c r="AC16" i="1"/>
  <c r="AC40" i="1" s="1"/>
  <c r="I49" i="1" s="1"/>
  <c r="AB16" i="1"/>
  <c r="AB40" i="1" s="1"/>
  <c r="I48" i="1" s="1"/>
  <c r="I47" i="1" s="1"/>
  <c r="AF16" i="1"/>
  <c r="R15" i="1"/>
  <c r="N50" i="1" s="1"/>
  <c r="V12" i="1"/>
  <c r="S12" i="1"/>
  <c r="O12" i="1"/>
  <c r="K12" i="1"/>
  <c r="T55" i="1" s="1"/>
  <c r="H12" i="1"/>
  <c r="E12" i="1"/>
  <c r="J1" i="1"/>
  <c r="J44" i="1" s="1"/>
  <c r="AF24" i="1" l="1"/>
  <c r="AF33" i="1"/>
  <c r="AF32" i="1"/>
  <c r="AF29" i="1"/>
  <c r="AE28" i="1"/>
  <c r="AF28" i="1" s="1"/>
  <c r="AF25" i="1"/>
  <c r="AF22" i="1"/>
  <c r="AF17" i="1"/>
  <c r="AD43" i="1"/>
  <c r="AG40" i="1"/>
  <c r="M51" i="1"/>
  <c r="H46" i="1"/>
  <c r="AE18" i="1"/>
  <c r="AF18" i="1" s="1"/>
  <c r="AE26" i="1"/>
  <c r="AF26" i="1" s="1"/>
  <c r="AE34" i="1"/>
  <c r="AF34" i="1" s="1"/>
  <c r="AD40" i="1"/>
  <c r="AE19" i="1"/>
  <c r="AF19" i="1" s="1"/>
  <c r="AE27" i="1"/>
  <c r="AF27" i="1" s="1"/>
  <c r="AE35" i="1"/>
  <c r="AF35" i="1" s="1"/>
  <c r="P55" i="1"/>
  <c r="Q15" i="1" l="1"/>
  <c r="N51" i="1" l="1"/>
  <c r="N49" i="1"/>
</calcChain>
</file>

<file path=xl/sharedStrings.xml><?xml version="1.0" encoding="utf-8"?>
<sst xmlns="http://schemas.openxmlformats.org/spreadsheetml/2006/main" count="145" uniqueCount="131">
  <si>
    <t>Back to :</t>
  </si>
  <si>
    <t>MR</t>
  </si>
  <si>
    <t>PT SIGMA ENERGY COMPRESSINDO Tbk</t>
  </si>
  <si>
    <t xml:space="preserve"> GKM Green Tower, 10th Floor,</t>
  </si>
  <si>
    <t xml:space="preserve"> Jl. TB. Simatupang Kav. 89 G, Jakarta Selatan 12520, Indonesia</t>
  </si>
  <si>
    <t xml:space="preserve"> Phone : +62 21 2787 8099 / Fax : +62 21 2787 8090</t>
  </si>
  <si>
    <t xml:space="preserve"> www.sinerco.co.id</t>
  </si>
  <si>
    <t>OPERATION DAILY REPORT</t>
  </si>
  <si>
    <t>GASJACK COMPRESSOR</t>
  </si>
  <si>
    <t>Unit S/N :</t>
  </si>
  <si>
    <t>Engine S/N :</t>
  </si>
  <si>
    <t>Report Date :</t>
  </si>
  <si>
    <t>Location :</t>
  </si>
  <si>
    <t>Orifice Size :</t>
  </si>
  <si>
    <t>Conf. :</t>
  </si>
  <si>
    <t>Time</t>
  </si>
  <si>
    <t>Source Press.</t>
  </si>
  <si>
    <t>Discharge Header Press.</t>
  </si>
  <si>
    <t>Suction Press.</t>
  </si>
  <si>
    <t>Discharge Press.</t>
  </si>
  <si>
    <t>Speed</t>
  </si>
  <si>
    <t>Manifold Press.</t>
  </si>
  <si>
    <t>Oil Press.</t>
  </si>
  <si>
    <t>Oil Diff.</t>
  </si>
  <si>
    <t>Running Hours</t>
  </si>
  <si>
    <t>Voltage</t>
  </si>
  <si>
    <t>Water Temp.</t>
  </si>
  <si>
    <t>Discharge Temp.</t>
  </si>
  <si>
    <t>Static
Press.</t>
  </si>
  <si>
    <t>Diff. Press.</t>
  </si>
  <si>
    <t>Flowrate</t>
  </si>
  <si>
    <t>Liquid Gain</t>
  </si>
  <si>
    <t>Remarks</t>
  </si>
  <si>
    <t>Bef. Cooler</t>
  </si>
  <si>
    <t>Aft. Cooler</t>
  </si>
  <si>
    <t>REMARKS TIME</t>
  </si>
  <si>
    <t>REMARKS</t>
  </si>
  <si>
    <t>LIST REMARKS</t>
  </si>
  <si>
    <t>psig</t>
  </si>
  <si>
    <t>RPM</t>
  </si>
  <si>
    <t>hour</t>
  </si>
  <si>
    <t>V</t>
  </si>
  <si>
    <t>°F</t>
  </si>
  <si>
    <t>in H2O</t>
  </si>
  <si>
    <t>SD / STBY</t>
  </si>
  <si>
    <t>Start</t>
  </si>
  <si>
    <t>End</t>
  </si>
  <si>
    <t>Standby</t>
  </si>
  <si>
    <t>Down</t>
  </si>
  <si>
    <t>Change conf. to 4/0</t>
  </si>
  <si>
    <t>Change engine to FP 55555</t>
  </si>
  <si>
    <t>CO2 removal shut down</t>
  </si>
  <si>
    <t>Combustion problem</t>
  </si>
  <si>
    <t>Commissioning</t>
  </si>
  <si>
    <t>Control panel error</t>
  </si>
  <si>
    <t>Fuse panel short</t>
  </si>
  <si>
    <t>Genset trip</t>
  </si>
  <si>
    <t>High crankcase press.</t>
  </si>
  <si>
    <t>High disch. press.</t>
  </si>
  <si>
    <t>High disch. temp.</t>
  </si>
  <si>
    <t>High liquid</t>
  </si>
  <si>
    <t>High speed</t>
  </si>
  <si>
    <t>High suct. press.</t>
  </si>
  <si>
    <t>High water temp.</t>
  </si>
  <si>
    <t>Loss power</t>
  </si>
  <si>
    <t>Low compression</t>
  </si>
  <si>
    <t>Low coolant level</t>
  </si>
  <si>
    <t>Low disch. press.</t>
  </si>
  <si>
    <t>Low oil level</t>
  </si>
  <si>
    <t>Low oil press.</t>
  </si>
  <si>
    <t>Low suct. press.</t>
  </si>
  <si>
    <t>Low suct. press. (MEDCO req.)</t>
  </si>
  <si>
    <t>Low speed</t>
  </si>
  <si>
    <t>Low voltage</t>
  </si>
  <si>
    <t>Average</t>
  </si>
  <si>
    <t>MEDCO request</t>
  </si>
  <si>
    <t>Min</t>
  </si>
  <si>
    <t>Motor starter stuck</t>
  </si>
  <si>
    <t>Max</t>
  </si>
  <si>
    <t>PEP request</t>
  </si>
  <si>
    <t>Perbaikan line bocor</t>
  </si>
  <si>
    <t>PHE request</t>
  </si>
  <si>
    <t>PLANIMETER PERTAMINA</t>
  </si>
  <si>
    <t>PLN dips, CO2 removal shut down</t>
  </si>
  <si>
    <t>Day Shift :</t>
  </si>
  <si>
    <t>Static Pressure :</t>
  </si>
  <si>
    <t>Reported &amp; Prepared by</t>
  </si>
  <si>
    <t>Reviewed &amp; Approved by</t>
  </si>
  <si>
    <t>PM 1000 hrs</t>
  </si>
  <si>
    <t>Running :</t>
  </si>
  <si>
    <t>hours</t>
  </si>
  <si>
    <t>Differential Pressure:</t>
  </si>
  <si>
    <t>PT SINERCO Tbk</t>
  </si>
  <si>
    <t>PT PERTAMINA EP Zona 7</t>
  </si>
  <si>
    <t>PM 5000 hrs</t>
  </si>
  <si>
    <t>Night Shift :</t>
  </si>
  <si>
    <t>Standby :</t>
  </si>
  <si>
    <t>Temperature :</t>
  </si>
  <si>
    <t>Field TAMBUN</t>
  </si>
  <si>
    <t>Rear main seal leak</t>
  </si>
  <si>
    <t>Down :</t>
  </si>
  <si>
    <t>Volume :</t>
  </si>
  <si>
    <t>Replace alternator</t>
  </si>
  <si>
    <t>Typed by :</t>
  </si>
  <si>
    <t>Replace alternator bolt</t>
  </si>
  <si>
    <t>Volume data SINERCO :</t>
  </si>
  <si>
    <t>Replace alternator v-belt</t>
  </si>
  <si>
    <t>Remarks :</t>
  </si>
  <si>
    <t>Replace battery</t>
  </si>
  <si>
    <t>Replace carburetor membrane</t>
  </si>
  <si>
    <t>TECHNICIAN / OPERATOR</t>
  </si>
  <si>
    <t>OPR. PRODUCTION</t>
  </si>
  <si>
    <t>Replace coil</t>
  </si>
  <si>
    <t>Replace coil &amp; spark plug</t>
  </si>
  <si>
    <t>Replace cyl. head</t>
  </si>
  <si>
    <t>Replace disch. hose</t>
  </si>
  <si>
    <t>Replace gasket oil pan</t>
  </si>
  <si>
    <t>Replace hose water pump</t>
  </si>
  <si>
    <t>Replace KIMRAY</t>
  </si>
  <si>
    <t>Replace KIMRAY regulator</t>
  </si>
  <si>
    <t>Replace magnetic pickup</t>
  </si>
  <si>
    <t>Replace oil seal</t>
  </si>
  <si>
    <t>Replace spark plug</t>
  </si>
  <si>
    <t>Replace suct. hose</t>
  </si>
  <si>
    <t>Replace v-belt</t>
  </si>
  <si>
    <t>Replace water pump</t>
  </si>
  <si>
    <t>Trouble camshaft</t>
  </si>
  <si>
    <t>Trouble crankshaft</t>
  </si>
  <si>
    <t>Trouble display panel</t>
  </si>
  <si>
    <t>Trouble lifter</t>
  </si>
  <si>
    <t>Tubing regulator leak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</si>
</sst>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409]d\ mmm\ yyyy;@"/>
    <numFmt numFmtId="165" formatCode="#,##0.000\ &quot;in&quot;"/>
    <numFmt numFmtId="166" formatCode="[hh]:mm"/>
    <numFmt numFmtId="167" formatCode="#,##0.0"/>
    <numFmt numFmtId="168" formatCode="#,##0.0000"/>
  </numFmts>
  <fonts count="17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u/>
      <sz val="10"/>
      <color rgb="FF0070C0"/>
      <name val="Arial"/>
      <family val="2"/>
    </font>
    <font>
      <b/>
      <sz val="10"/>
      <name val="Arial"/>
      <family val="2"/>
    </font>
    <font>
      <b/>
      <sz val="32"/>
      <name val="Times New Roman"/>
      <family val="1"/>
    </font>
    <font>
      <sz val="12"/>
      <name val="Times New Roman"/>
      <family val="1"/>
    </font>
    <font>
      <i/>
      <sz val="10"/>
      <name val="Arial"/>
      <family val="2"/>
    </font>
    <font>
      <b/>
      <u/>
      <sz val="20"/>
      <name val="Arial"/>
      <family val="2"/>
    </font>
    <font>
      <sz val="10"/>
      <color theme="1"/>
      <name val="Arial"/>
      <family val="2"/>
    </font>
    <font>
      <b/>
      <sz val="14"/>
      <name val="Arial"/>
      <family val="2"/>
    </font>
    <font>
      <b/>
      <u/>
      <sz val="10"/>
      <name val="Arial"/>
      <family val="2"/>
    </font>
    <font>
      <sz val="10"/>
      <color rgb="FF0000FF"/>
      <name val="Arial"/>
      <family val="2"/>
    </font>
    <font>
      <b/>
      <sz val="10"/>
      <color rgb="FFFF0000"/>
      <name val="Arial"/>
      <family val="2"/>
    </font>
    <font>
      <b/>
      <sz val="10"/>
      <color theme="0"/>
      <name val="Arial"/>
      <family val="2"/>
    </font>
    <font>
      <b/>
      <sz val="10"/>
      <color indexed="10"/>
      <name val="Arial"/>
      <family val="2"/>
    </font>
    <font>
      <sz val="10"/>
      <color theme="0"/>
      <name val="Arial"/>
      <family val="2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 diagonalUp="1"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 style="thin">
        <color auto="1"/>
      </diagonal>
    </border>
    <border diagonalUp="1">
      <left style="medium">
        <color auto="1"/>
      </left>
      <right/>
      <top style="medium">
        <color auto="1"/>
      </top>
      <bottom style="medium">
        <color auto="1"/>
      </bottom>
      <diagonal style="thin">
        <color auto="1"/>
      </diagonal>
    </border>
    <border diagonalUp="1">
      <left/>
      <right/>
      <top style="medium">
        <color auto="1"/>
      </top>
      <bottom style="medium">
        <color auto="1"/>
      </bottom>
      <diagonal style="thin">
        <color auto="1"/>
      </diagonal>
    </border>
    <border diagonalUp="1">
      <left/>
      <right style="medium">
        <color auto="1"/>
      </right>
      <top style="medium">
        <color auto="1"/>
      </top>
      <bottom style="medium">
        <color auto="1"/>
      </bottom>
      <diagonal style="thin">
        <color auto="1"/>
      </diagonal>
    </border>
    <border diagonalUp="1">
      <left style="medium">
        <color auto="1"/>
      </left>
      <right style="medium">
        <color auto="1"/>
      </right>
      <top/>
      <bottom style="thin">
        <color auto="1"/>
      </bottom>
      <diagonal style="thin">
        <color auto="1"/>
      </diagonal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34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164" fontId="1" fillId="0" borderId="0" xfId="0" applyNumberFormat="1" applyFont="1" applyAlignment="1">
      <alignment vertical="top"/>
    </xf>
    <xf numFmtId="0" fontId="3" fillId="0" borderId="0" xfId="0" applyFont="1" applyAlignment="1">
      <alignment vertical="center"/>
    </xf>
    <xf numFmtId="17" fontId="3" fillId="0" borderId="0" xfId="0" applyNumberFormat="1" applyFont="1" applyAlignment="1">
      <alignment vertical="center"/>
    </xf>
    <xf numFmtId="0" fontId="1" fillId="0" borderId="0" xfId="0" applyFont="1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vertical="center"/>
    </xf>
    <xf numFmtId="0" fontId="4" fillId="2" borderId="0" xfId="0" applyFont="1" applyFill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/>
    <xf numFmtId="0" fontId="5" fillId="2" borderId="0" xfId="0" applyFont="1" applyFill="1" applyAlignment="1">
      <alignment horizontal="left" vertical="center"/>
    </xf>
    <xf numFmtId="0" fontId="1" fillId="2" borderId="5" xfId="0" applyFont="1" applyFill="1" applyBorder="1"/>
    <xf numFmtId="0" fontId="6" fillId="2" borderId="0" xfId="0" applyFont="1" applyFill="1" applyAlignment="1">
      <alignment horizontal="left" vertical="center"/>
    </xf>
    <xf numFmtId="0" fontId="1" fillId="2" borderId="6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1" fillId="2" borderId="7" xfId="0" applyFont="1" applyFill="1" applyBorder="1"/>
    <xf numFmtId="0" fontId="1" fillId="2" borderId="8" xfId="0" applyFont="1" applyFill="1" applyBorder="1"/>
    <xf numFmtId="0" fontId="8" fillId="0" borderId="0" xfId="0" applyFont="1"/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3" fillId="0" borderId="10" xfId="0" applyFont="1" applyBorder="1" applyAlignment="1">
      <alignment horizontal="right" vertical="center"/>
    </xf>
    <xf numFmtId="0" fontId="10" fillId="0" borderId="10" xfId="0" applyFont="1" applyBorder="1" applyAlignment="1">
      <alignment horizontal="left" vertical="center"/>
    </xf>
    <xf numFmtId="0" fontId="1" fillId="0" borderId="10" xfId="0" applyFont="1" applyBorder="1" applyAlignment="1">
      <alignment horizontal="right" vertical="center"/>
    </xf>
    <xf numFmtId="164" fontId="10" fillId="0" borderId="10" xfId="0" applyNumberFormat="1" applyFont="1" applyBorder="1" applyAlignment="1">
      <alignment vertical="center"/>
    </xf>
    <xf numFmtId="0" fontId="1" fillId="0" borderId="0" xfId="0" applyFont="1" applyAlignment="1">
      <alignment vertical="center"/>
    </xf>
    <xf numFmtId="165" fontId="10" fillId="0" borderId="10" xfId="0" applyNumberFormat="1" applyFont="1" applyBorder="1" applyAlignment="1">
      <alignment horizontal="left" vertical="center"/>
    </xf>
    <xf numFmtId="0" fontId="10" fillId="0" borderId="1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11" fillId="0" borderId="16" xfId="0" applyFont="1" applyBorder="1" applyAlignment="1">
      <alignment vertical="top" wrapText="1"/>
    </xf>
    <xf numFmtId="166" fontId="3" fillId="0" borderId="12" xfId="0" applyNumberFormat="1" applyFont="1" applyBorder="1" applyAlignment="1">
      <alignment horizontal="center" vertical="top" wrapText="1"/>
    </xf>
    <xf numFmtId="4" fontId="1" fillId="0" borderId="12" xfId="0" applyNumberFormat="1" applyFont="1" applyBorder="1" applyAlignment="1" applyProtection="1">
      <alignment horizontal="center" vertical="top" wrapText="1"/>
      <protection locked="0"/>
    </xf>
    <xf numFmtId="3" fontId="1" fillId="0" borderId="12" xfId="0" applyNumberFormat="1" applyFont="1" applyBorder="1" applyAlignment="1" applyProtection="1">
      <alignment horizontal="center" vertical="top" wrapText="1"/>
      <protection locked="0"/>
    </xf>
    <xf numFmtId="167" fontId="1" fillId="0" borderId="14" xfId="0" applyNumberFormat="1" applyFont="1" applyBorder="1" applyAlignment="1" applyProtection="1">
      <alignment horizontal="center" vertical="top" wrapText="1"/>
      <protection locked="0"/>
    </xf>
    <xf numFmtId="167" fontId="1" fillId="0" borderId="12" xfId="0" applyNumberFormat="1" applyFont="1" applyBorder="1" applyAlignment="1" applyProtection="1">
      <alignment horizontal="center" vertical="top" wrapText="1"/>
      <protection locked="0"/>
    </xf>
    <xf numFmtId="4" fontId="1" fillId="0" borderId="14" xfId="0" applyNumberFormat="1" applyFont="1" applyBorder="1" applyAlignment="1" applyProtection="1">
      <alignment horizontal="center" vertical="top" wrapText="1"/>
      <protection locked="0"/>
    </xf>
    <xf numFmtId="168" fontId="1" fillId="0" borderId="14" xfId="0" applyNumberFormat="1" applyFont="1" applyBorder="1" applyAlignment="1" applyProtection="1">
      <alignment horizontal="center" vertical="top" wrapText="1"/>
      <protection locked="0"/>
    </xf>
    <xf numFmtId="168" fontId="1" fillId="0" borderId="12" xfId="0" applyNumberFormat="1" applyFont="1" applyBorder="1" applyAlignment="1" applyProtection="1">
      <alignment horizontal="center" vertical="top" wrapText="1"/>
      <protection locked="0"/>
    </xf>
    <xf numFmtId="0" fontId="1" fillId="0" borderId="12" xfId="0" applyFont="1" applyBorder="1" applyAlignment="1" applyProtection="1">
      <alignment horizontal="center" vertical="top" wrapText="1"/>
      <protection locked="0"/>
    </xf>
    <xf numFmtId="166" fontId="1" fillId="0" borderId="12" xfId="0" applyNumberFormat="1" applyFont="1" applyBorder="1" applyAlignment="1" applyProtection="1">
      <alignment horizontal="center" vertical="top" wrapText="1"/>
      <protection locked="0"/>
    </xf>
    <xf numFmtId="0" fontId="11" fillId="0" borderId="18" xfId="0" applyFont="1" applyBorder="1" applyAlignment="1" applyProtection="1">
      <alignment vertical="top" wrapText="1"/>
      <protection locked="0"/>
    </xf>
    <xf numFmtId="0" fontId="12" fillId="0" borderId="0" xfId="0" applyFont="1" applyAlignment="1">
      <alignment vertical="top"/>
    </xf>
    <xf numFmtId="166" fontId="3" fillId="0" borderId="14" xfId="0" applyNumberFormat="1" applyFont="1" applyBorder="1" applyAlignment="1">
      <alignment horizontal="center" vertical="top" wrapText="1"/>
    </xf>
    <xf numFmtId="3" fontId="1" fillId="0" borderId="14" xfId="0" applyNumberFormat="1" applyFont="1" applyBorder="1" applyAlignment="1" applyProtection="1">
      <alignment horizontal="center" vertical="top" wrapText="1"/>
      <protection locked="0"/>
    </xf>
    <xf numFmtId="0" fontId="1" fillId="0" borderId="14" xfId="0" applyFont="1" applyBorder="1" applyAlignment="1" applyProtection="1">
      <alignment horizontal="center" vertical="top" wrapText="1"/>
      <protection locked="0"/>
    </xf>
    <xf numFmtId="166" fontId="1" fillId="0" borderId="14" xfId="0" applyNumberFormat="1" applyFont="1" applyBorder="1" applyAlignment="1" applyProtection="1">
      <alignment horizontal="center" vertical="top" wrapText="1"/>
      <protection locked="0"/>
    </xf>
    <xf numFmtId="0" fontId="11" fillId="0" borderId="14" xfId="0" applyFont="1" applyBorder="1" applyAlignment="1" applyProtection="1">
      <alignment vertical="top" wrapText="1"/>
      <protection locked="0"/>
    </xf>
    <xf numFmtId="166" fontId="3" fillId="0" borderId="17" xfId="0" applyNumberFormat="1" applyFont="1" applyBorder="1" applyAlignment="1">
      <alignment horizontal="center" vertical="top" wrapText="1"/>
    </xf>
    <xf numFmtId="4" fontId="1" fillId="0" borderId="17" xfId="0" applyNumberFormat="1" applyFont="1" applyBorder="1" applyAlignment="1" applyProtection="1">
      <alignment horizontal="center" vertical="top" wrapText="1"/>
      <protection locked="0"/>
    </xf>
    <xf numFmtId="168" fontId="1" fillId="0" borderId="17" xfId="0" applyNumberFormat="1" applyFont="1" applyBorder="1" applyAlignment="1" applyProtection="1">
      <alignment horizontal="center" vertical="top" wrapText="1"/>
      <protection locked="0"/>
    </xf>
    <xf numFmtId="167" fontId="1" fillId="0" borderId="17" xfId="0" applyNumberFormat="1" applyFont="1" applyBorder="1" applyAlignment="1" applyProtection="1">
      <alignment horizontal="center" vertical="top" wrapText="1"/>
      <protection locked="0"/>
    </xf>
    <xf numFmtId="0" fontId="1" fillId="0" borderId="17" xfId="0" applyFont="1" applyBorder="1" applyAlignment="1" applyProtection="1">
      <alignment horizontal="center" vertical="top" wrapText="1"/>
      <protection locked="0"/>
    </xf>
    <xf numFmtId="166" fontId="1" fillId="0" borderId="17" xfId="0" applyNumberFormat="1" applyFont="1" applyBorder="1" applyAlignment="1" applyProtection="1">
      <alignment horizontal="center" vertical="top" wrapText="1"/>
      <protection locked="0"/>
    </xf>
    <xf numFmtId="0" fontId="11" fillId="0" borderId="17" xfId="0" applyFont="1" applyBorder="1" applyAlignment="1" applyProtection="1">
      <alignment vertical="top" wrapText="1"/>
      <protection locked="0"/>
    </xf>
    <xf numFmtId="0" fontId="3" fillId="0" borderId="19" xfId="0" applyFont="1" applyBorder="1" applyAlignment="1">
      <alignment horizontal="center" vertical="center"/>
    </xf>
    <xf numFmtId="4" fontId="3" fillId="0" borderId="19" xfId="0" applyNumberFormat="1" applyFont="1" applyBorder="1" applyAlignment="1">
      <alignment horizontal="center" vertical="center"/>
    </xf>
    <xf numFmtId="3" fontId="3" fillId="0" borderId="19" xfId="0" applyNumberFormat="1" applyFont="1" applyBorder="1" applyAlignment="1">
      <alignment horizontal="center" vertical="center"/>
    </xf>
    <xf numFmtId="167" fontId="3" fillId="0" borderId="19" xfId="0" applyNumberFormat="1" applyFont="1" applyBorder="1" applyAlignment="1">
      <alignment horizontal="center" vertical="center"/>
    </xf>
    <xf numFmtId="3" fontId="3" fillId="0" borderId="20" xfId="0" applyNumberFormat="1" applyFont="1" applyBorder="1" applyAlignment="1">
      <alignment horizontal="center" vertical="center"/>
    </xf>
    <xf numFmtId="167" fontId="13" fillId="0" borderId="20" xfId="0" applyNumberFormat="1" applyFont="1" applyBorder="1" applyAlignment="1">
      <alignment horizontal="center" vertical="center"/>
    </xf>
    <xf numFmtId="168" fontId="13" fillId="0" borderId="20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6" fontId="3" fillId="0" borderId="19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vertical="top"/>
    </xf>
    <xf numFmtId="0" fontId="3" fillId="0" borderId="18" xfId="0" applyFont="1" applyBorder="1" applyAlignment="1">
      <alignment horizontal="center" vertical="center"/>
    </xf>
    <xf numFmtId="4" fontId="1" fillId="0" borderId="18" xfId="0" applyNumberFormat="1" applyFont="1" applyBorder="1" applyAlignment="1">
      <alignment horizontal="center" vertical="center"/>
    </xf>
    <xf numFmtId="3" fontId="1" fillId="0" borderId="18" xfId="0" applyNumberFormat="1" applyFont="1" applyBorder="1" applyAlignment="1">
      <alignment horizontal="center" vertical="center"/>
    </xf>
    <xf numFmtId="167" fontId="1" fillId="0" borderId="18" xfId="0" applyNumberFormat="1" applyFont="1" applyBorder="1" applyAlignment="1">
      <alignment horizontal="center" vertical="center"/>
    </xf>
    <xf numFmtId="3" fontId="1" fillId="0" borderId="24" xfId="0" applyNumberFormat="1" applyFont="1" applyBorder="1" applyAlignment="1">
      <alignment horizontal="center" vertical="center"/>
    </xf>
    <xf numFmtId="168" fontId="1" fillId="0" borderId="18" xfId="0" applyNumberFormat="1" applyFont="1" applyBorder="1" applyAlignment="1">
      <alignment horizontal="center" vertical="center"/>
    </xf>
    <xf numFmtId="167" fontId="1" fillId="0" borderId="12" xfId="0" applyNumberFormat="1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4" fontId="1" fillId="0" borderId="17" xfId="0" applyNumberFormat="1" applyFont="1" applyBorder="1" applyAlignment="1">
      <alignment horizontal="center" vertical="center"/>
    </xf>
    <xf numFmtId="3" fontId="1" fillId="0" borderId="17" xfId="0" applyNumberFormat="1" applyFont="1" applyBorder="1" applyAlignment="1">
      <alignment horizontal="center" vertical="center"/>
    </xf>
    <xf numFmtId="167" fontId="1" fillId="0" borderId="17" xfId="0" applyNumberFormat="1" applyFont="1" applyBorder="1" applyAlignment="1">
      <alignment horizontal="center" vertical="center"/>
    </xf>
    <xf numFmtId="168" fontId="1" fillId="0" borderId="17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0" fontId="14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168" fontId="1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13" fillId="0" borderId="0" xfId="0" applyFont="1" applyAlignment="1">
      <alignment horizontal="right"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168" fontId="3" fillId="0" borderId="25" xfId="0" applyNumberFormat="1" applyFont="1" applyBorder="1" applyAlignment="1">
      <alignment horizontal="right" vertical="center"/>
    </xf>
    <xf numFmtId="0" fontId="3" fillId="0" borderId="0" xfId="0" applyFont="1" applyAlignment="1">
      <alignment horizontal="left" vertical="center"/>
    </xf>
    <xf numFmtId="168" fontId="13" fillId="0" borderId="0" xfId="0" applyNumberFormat="1" applyFont="1" applyAlignment="1">
      <alignment horizontal="right" vertical="center"/>
    </xf>
    <xf numFmtId="0" fontId="3" fillId="0" borderId="0" xfId="0" applyFont="1" applyAlignment="1" applyProtection="1">
      <alignment vertical="center"/>
      <protection locked="0"/>
    </xf>
    <xf numFmtId="0" fontId="1" fillId="0" borderId="0" xfId="0" applyFont="1" applyAlignment="1" applyProtection="1">
      <alignment vertical="center"/>
      <protection locked="0"/>
    </xf>
    <xf numFmtId="166" fontId="3" fillId="0" borderId="25" xfId="0" applyNumberFormat="1" applyFont="1" applyBorder="1" applyAlignment="1">
      <alignment horizontal="right" vertical="center" wrapText="1"/>
    </xf>
    <xf numFmtId="168" fontId="3" fillId="0" borderId="26" xfId="0" applyNumberFormat="1" applyFont="1" applyBorder="1" applyAlignment="1">
      <alignment horizontal="right" vertical="center"/>
    </xf>
    <xf numFmtId="166" fontId="3" fillId="0" borderId="26" xfId="0" applyNumberFormat="1" applyFont="1" applyBorder="1" applyAlignment="1">
      <alignment horizontal="right" vertical="center" wrapText="1"/>
    </xf>
    <xf numFmtId="4" fontId="3" fillId="0" borderId="26" xfId="0" applyNumberFormat="1" applyFont="1" applyBorder="1" applyAlignment="1">
      <alignment horizontal="right" vertical="center"/>
    </xf>
    <xf numFmtId="167" fontId="13" fillId="0" borderId="27" xfId="0" applyNumberFormat="1" applyFont="1" applyBorder="1" applyAlignment="1">
      <alignment horizontal="right" vertical="center"/>
    </xf>
    <xf numFmtId="0" fontId="13" fillId="0" borderId="0" xfId="0" applyFont="1" applyAlignment="1">
      <alignment horizontal="left" vertical="center"/>
    </xf>
    <xf numFmtId="0" fontId="1" fillId="0" borderId="25" xfId="0" applyFont="1" applyBorder="1" applyAlignment="1" applyProtection="1">
      <alignment horizontal="left" vertical="center"/>
      <protection locked="0"/>
    </xf>
    <xf numFmtId="0" fontId="1" fillId="0" borderId="26" xfId="0" applyFont="1" applyBorder="1" applyAlignment="1" applyProtection="1">
      <alignment horizontal="left" vertical="center"/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left" vertical="top" wrapText="1"/>
    </xf>
    <xf numFmtId="0" fontId="3" fillId="0" borderId="13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164" fontId="10" fillId="0" borderId="10" xfId="0" applyNumberFormat="1" applyFont="1" applyBorder="1" applyAlignment="1">
      <alignment horizontal="left" vertic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394137</xdr:colOff>
      <xdr:row>3</xdr:row>
      <xdr:rowOff>39557</xdr:rowOff>
    </xdr:from>
    <xdr:to>
      <xdr:col>21</xdr:col>
      <xdr:colOff>1488966</xdr:colOff>
      <xdr:row>7</xdr:row>
      <xdr:rowOff>190281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BD8ECA-F7EE-4CBB-9B8A-744498763D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429999" y="597919"/>
          <a:ext cx="2934139" cy="1256500"/>
        </a:xfrm>
        <a:prstGeom prst="rect">
          <a:avLst/>
        </a:prstGeom>
      </xdr:spPr>
    </xdr:pic>
    <xdr:clientData/>
  </xdr:twoCellAnchor>
  <xdr:twoCellAnchor editAs="oneCell">
    <xdr:from>
      <xdr:col>0</xdr:col>
      <xdr:colOff>22412</xdr:colOff>
      <xdr:row>3</xdr:row>
      <xdr:rowOff>291352</xdr:rowOff>
    </xdr:from>
    <xdr:to>
      <xdr:col>4</xdr:col>
      <xdr:colOff>368300</xdr:colOff>
      <xdr:row>7</xdr:row>
      <xdr:rowOff>20610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4F6ABC4-B9B2-4846-924D-F934E127B5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2412" y="862852"/>
          <a:ext cx="2784288" cy="85955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lfonsus%20Vega\Downloads\Report%20(16).xlsx" TargetMode="External"/><Relationship Id="rId1" Type="http://schemas.openxmlformats.org/officeDocument/2006/relationships/externalLinkPath" Target="/Users/Alfonsus%20Vega/Downloads/Report%20(1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INT"/>
      <sheetName val="Recap"/>
      <sheetName val="MR"/>
      <sheetName val="Summary"/>
      <sheetName val="V Calc"/>
      <sheetName val="Volume"/>
      <sheetName val="Schedule"/>
      <sheetName val="Lube"/>
      <sheetName val="Day 4"/>
      <sheetName val="Day 5"/>
      <sheetName val="Day 6"/>
      <sheetName val="Day 7"/>
      <sheetName val="Day 8"/>
      <sheetName val="Day 9"/>
      <sheetName val="Day 10"/>
      <sheetName val="Day 11"/>
      <sheetName val="Day 12"/>
      <sheetName val="Day 13"/>
      <sheetName val="Day 14"/>
      <sheetName val="Day 15"/>
      <sheetName val="Day 16"/>
      <sheetName val="Day 17"/>
      <sheetName val="Day 18"/>
      <sheetName val="Day 19"/>
      <sheetName val="Day 20"/>
      <sheetName val="Day 21"/>
      <sheetName val="Day 22"/>
      <sheetName val="Day 23"/>
      <sheetName val="Day 24"/>
      <sheetName val="Day 25"/>
      <sheetName val="Day 26"/>
      <sheetName val="Day 27"/>
      <sheetName val="Day 28"/>
      <sheetName val="Day 29"/>
      <sheetName val="Day 30"/>
      <sheetName val="Day 1"/>
      <sheetName val="Day 2"/>
      <sheetName val="Day 3"/>
    </sheetNames>
    <sheetDataSet>
      <sheetData sheetId="0" refreshError="1"/>
      <sheetData sheetId="1" refreshError="1"/>
      <sheetData sheetId="2">
        <row r="13">
          <cell r="U13" t="str">
            <v>Yes</v>
          </cell>
        </row>
        <row r="16">
          <cell r="L16" t="str">
            <v>Liquid Gain</v>
          </cell>
        </row>
        <row r="17">
          <cell r="G17" t="str">
            <v>MSCF</v>
          </cell>
          <cell r="L17" t="str">
            <v>BPD</v>
          </cell>
        </row>
      </sheetData>
      <sheetData sheetId="3" refreshError="1"/>
      <sheetData sheetId="4" refreshError="1"/>
      <sheetData sheetId="5">
        <row r="7">
          <cell r="C7" t="str">
            <v>FP 65354</v>
          </cell>
          <cell r="D7" t="str">
            <v>SP. Tambun - Cluster F</v>
          </cell>
          <cell r="E7">
            <v>1.25</v>
          </cell>
          <cell r="F7" t="str">
            <v>4/0</v>
          </cell>
        </row>
      </sheetData>
      <sheetData sheetId="6">
        <row r="8">
          <cell r="E8" t="str">
            <v>Marihot Gustafa S.</v>
          </cell>
          <cell r="F8" t="str">
            <v>Budi Widhartono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>
        <row r="12">
          <cell r="E12" t="str">
            <v>Customer Name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BC877-0825-41CF-9F05-8BEC9A2F29BA}">
  <dimension ref="A1:AH72"/>
  <sheetViews>
    <sheetView tabSelected="1" topLeftCell="A3" zoomScale="58" workbookViewId="0">
      <selection activeCell="S16" sqref="S16:V40"/>
    </sheetView>
  </sheetViews>
  <sheetFormatPr defaultRowHeight="14.5" x14ac:dyDescent="0.35"/>
  <cols>
    <col min="22" max="22" width="25.81640625" customWidth="1"/>
    <col min="34" max="34" width="23.36328125" customWidth="1"/>
  </cols>
  <sheetData>
    <row r="1" spans="1:34" x14ac:dyDescent="0.35">
      <c r="A1" s="1" t="s">
        <v>0</v>
      </c>
      <c r="B1" s="1"/>
      <c r="C1" s="1"/>
      <c r="D1" s="2" t="s">
        <v>1</v>
      </c>
      <c r="E1" s="1"/>
      <c r="F1" s="1"/>
      <c r="G1" s="1"/>
      <c r="H1" s="1"/>
      <c r="I1" s="1"/>
      <c r="J1" s="1" t="str">
        <f>IF([1]MR!U13="Yes","PRINT","No")</f>
        <v>PRINT</v>
      </c>
      <c r="K1" s="1"/>
      <c r="L1" s="1"/>
      <c r="M1" s="3"/>
      <c r="N1" s="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ht="15" thickBot="1" x14ac:dyDescent="0.4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4"/>
      <c r="N2" s="4"/>
      <c r="O2" s="4"/>
      <c r="P2" s="4"/>
      <c r="Q2" s="4"/>
      <c r="R2" s="4"/>
      <c r="S2" s="6"/>
      <c r="T2" s="6"/>
      <c r="U2" s="6"/>
      <c r="V2" s="6"/>
      <c r="W2" s="1"/>
      <c r="X2" s="6"/>
      <c r="Y2" s="6"/>
      <c r="Z2" s="6"/>
      <c r="AA2" s="6"/>
      <c r="AB2" s="6"/>
      <c r="AC2" s="6"/>
      <c r="AD2" s="6"/>
      <c r="AE2" s="6"/>
      <c r="AF2" s="1"/>
      <c r="AG2" s="1"/>
      <c r="AH2" s="1"/>
    </row>
    <row r="3" spans="1:34" x14ac:dyDescent="0.35">
      <c r="A3" s="7"/>
      <c r="B3" s="8"/>
      <c r="C3" s="8"/>
      <c r="D3" s="8"/>
      <c r="E3" s="8"/>
      <c r="F3" s="9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10"/>
      <c r="T3" s="10"/>
      <c r="U3" s="10"/>
      <c r="V3" s="11"/>
      <c r="W3" s="1"/>
      <c r="X3" s="6"/>
      <c r="Y3" s="6"/>
      <c r="Z3" s="6"/>
      <c r="AA3" s="6"/>
      <c r="AB3" s="6"/>
      <c r="AC3" s="6"/>
      <c r="AD3" s="6"/>
      <c r="AE3" s="6"/>
      <c r="AF3" s="1"/>
      <c r="AG3" s="1"/>
      <c r="AH3" s="1"/>
    </row>
    <row r="4" spans="1:34" ht="40.5" x14ac:dyDescent="0.35">
      <c r="A4" s="12"/>
      <c r="B4" s="13"/>
      <c r="C4" s="13"/>
      <c r="D4" s="13"/>
      <c r="E4" s="14"/>
      <c r="F4" s="15" t="s">
        <v>2</v>
      </c>
      <c r="G4" s="13"/>
      <c r="H4" s="13"/>
      <c r="I4" s="14"/>
      <c r="J4" s="14"/>
      <c r="K4" s="14"/>
      <c r="L4" s="14"/>
      <c r="M4" s="14"/>
      <c r="N4" s="14"/>
      <c r="O4" s="14"/>
      <c r="P4" s="14"/>
      <c r="Q4" s="14"/>
      <c r="R4" s="14"/>
      <c r="S4" s="13"/>
      <c r="T4" s="13"/>
      <c r="U4" s="13"/>
      <c r="V4" s="16"/>
      <c r="W4" s="1"/>
      <c r="X4" s="17"/>
      <c r="Y4" s="17"/>
      <c r="Z4" s="17"/>
      <c r="AA4" s="17"/>
      <c r="AB4" s="17"/>
      <c r="AC4" s="17"/>
      <c r="AD4" s="17"/>
      <c r="AE4" s="17"/>
      <c r="AF4" s="1"/>
      <c r="AG4" s="1"/>
      <c r="AH4" s="1"/>
    </row>
    <row r="5" spans="1:34" ht="15.5" x14ac:dyDescent="0.35">
      <c r="A5" s="18"/>
      <c r="B5" s="19"/>
      <c r="C5" s="19"/>
      <c r="D5" s="20"/>
      <c r="E5" s="14"/>
      <c r="F5" s="21" t="s">
        <v>3</v>
      </c>
      <c r="G5" s="13"/>
      <c r="H5" s="13"/>
      <c r="I5" s="14"/>
      <c r="J5" s="14"/>
      <c r="K5" s="14"/>
      <c r="L5" s="14"/>
      <c r="M5" s="14"/>
      <c r="N5" s="14"/>
      <c r="O5" s="14"/>
      <c r="P5" s="14"/>
      <c r="Q5" s="14"/>
      <c r="R5" s="14"/>
      <c r="S5" s="20"/>
      <c r="T5" s="20"/>
      <c r="U5" s="20"/>
      <c r="V5" s="22"/>
      <c r="W5" s="1"/>
      <c r="X5" s="6"/>
      <c r="Y5" s="6"/>
      <c r="Z5" s="6"/>
      <c r="AA5" s="6"/>
      <c r="AB5" s="6"/>
      <c r="AC5" s="6"/>
      <c r="AD5" s="6"/>
      <c r="AE5" s="6"/>
      <c r="AF5" s="1"/>
      <c r="AG5" s="1"/>
      <c r="AH5" s="1"/>
    </row>
    <row r="6" spans="1:34" ht="15.5" x14ac:dyDescent="0.35">
      <c r="A6" s="18"/>
      <c r="B6" s="19"/>
      <c r="C6" s="19"/>
      <c r="D6" s="20"/>
      <c r="E6" s="14"/>
      <c r="F6" s="21" t="s">
        <v>4</v>
      </c>
      <c r="G6" s="13"/>
      <c r="H6" s="13"/>
      <c r="I6" s="14"/>
      <c r="J6" s="14"/>
      <c r="K6" s="14"/>
      <c r="L6" s="14"/>
      <c r="M6" s="14"/>
      <c r="N6" s="14"/>
      <c r="O6" s="14"/>
      <c r="P6" s="14"/>
      <c r="Q6" s="14"/>
      <c r="R6" s="14"/>
      <c r="S6" s="20"/>
      <c r="T6" s="20"/>
      <c r="U6" s="20"/>
      <c r="V6" s="22"/>
      <c r="W6" s="1"/>
      <c r="X6" s="6"/>
      <c r="Y6" s="6"/>
      <c r="Z6" s="6"/>
      <c r="AA6" s="6"/>
      <c r="AB6" s="6"/>
      <c r="AC6" s="6"/>
      <c r="AD6" s="6"/>
      <c r="AE6" s="6"/>
      <c r="AF6" s="1"/>
      <c r="AG6" s="1"/>
      <c r="AH6" s="1"/>
    </row>
    <row r="7" spans="1:34" ht="15.5" x14ac:dyDescent="0.35">
      <c r="A7" s="18"/>
      <c r="B7" s="19"/>
      <c r="C7" s="19"/>
      <c r="D7" s="20"/>
      <c r="E7" s="14"/>
      <c r="F7" s="21" t="s">
        <v>5</v>
      </c>
      <c r="G7" s="13"/>
      <c r="H7" s="13"/>
      <c r="I7" s="14"/>
      <c r="J7" s="14"/>
      <c r="K7" s="14"/>
      <c r="L7" s="14"/>
      <c r="M7" s="14"/>
      <c r="N7" s="14"/>
      <c r="O7" s="14"/>
      <c r="P7" s="14"/>
      <c r="Q7" s="14"/>
      <c r="R7" s="14"/>
      <c r="S7" s="20"/>
      <c r="T7" s="20"/>
      <c r="U7" s="20"/>
      <c r="V7" s="22"/>
      <c r="W7" s="1"/>
      <c r="X7" s="6"/>
      <c r="Y7" s="6"/>
      <c r="Z7" s="6"/>
      <c r="AA7" s="6"/>
      <c r="AB7" s="6"/>
      <c r="AC7" s="6"/>
      <c r="AD7" s="6"/>
      <c r="AE7" s="6"/>
      <c r="AF7" s="1"/>
      <c r="AG7" s="1"/>
      <c r="AH7" s="1"/>
    </row>
    <row r="8" spans="1:34" ht="15.5" x14ac:dyDescent="0.35">
      <c r="A8" s="18"/>
      <c r="B8" s="19"/>
      <c r="C8" s="19"/>
      <c r="D8" s="20"/>
      <c r="E8" s="14"/>
      <c r="F8" s="21" t="s">
        <v>6</v>
      </c>
      <c r="G8" s="23"/>
      <c r="H8" s="23"/>
      <c r="I8" s="14"/>
      <c r="J8" s="14"/>
      <c r="K8" s="14"/>
      <c r="L8" s="14"/>
      <c r="M8" s="14"/>
      <c r="N8" s="14"/>
      <c r="O8" s="14"/>
      <c r="P8" s="14"/>
      <c r="Q8" s="14"/>
      <c r="R8" s="14"/>
      <c r="S8" s="20"/>
      <c r="T8" s="20"/>
      <c r="U8" s="20"/>
      <c r="V8" s="22"/>
      <c r="W8" s="1"/>
      <c r="X8" s="6"/>
      <c r="Y8" s="6"/>
      <c r="Z8" s="6"/>
      <c r="AA8" s="6"/>
      <c r="AB8" s="6"/>
      <c r="AC8" s="6"/>
      <c r="AD8" s="6"/>
      <c r="AE8" s="6"/>
      <c r="AF8" s="1"/>
      <c r="AG8" s="1"/>
      <c r="AH8" s="1"/>
    </row>
    <row r="9" spans="1:34" ht="15" thickBot="1" x14ac:dyDescent="0.4">
      <c r="A9" s="24"/>
      <c r="B9" s="25"/>
      <c r="C9" s="25"/>
      <c r="D9" s="25"/>
      <c r="E9" s="25"/>
      <c r="F9" s="26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7"/>
      <c r="T9" s="27"/>
      <c r="U9" s="27"/>
      <c r="V9" s="28"/>
      <c r="W9" s="1"/>
      <c r="X9" s="6"/>
      <c r="Y9" s="6"/>
      <c r="Z9" s="6"/>
      <c r="AA9" s="6"/>
      <c r="AB9" s="6"/>
      <c r="AC9" s="6"/>
      <c r="AD9" s="6"/>
      <c r="AE9" s="6"/>
      <c r="AF9" s="1"/>
      <c r="AG9" s="1"/>
      <c r="AH9" s="1"/>
    </row>
    <row r="10" spans="1:34" ht="25" x14ac:dyDescent="0.35">
      <c r="A10" s="127" t="s">
        <v>7</v>
      </c>
      <c r="B10" s="128"/>
      <c r="C10" s="128"/>
      <c r="D10" s="128"/>
      <c r="E10" s="128"/>
      <c r="F10" s="128"/>
      <c r="G10" s="128"/>
      <c r="H10" s="128"/>
      <c r="I10" s="128"/>
      <c r="J10" s="128"/>
      <c r="K10" s="128"/>
      <c r="L10" s="128"/>
      <c r="M10" s="128"/>
      <c r="N10" s="128"/>
      <c r="O10" s="128"/>
      <c r="P10" s="128"/>
      <c r="Q10" s="128"/>
      <c r="R10" s="128"/>
      <c r="S10" s="128"/>
      <c r="T10" s="128"/>
      <c r="U10" s="128"/>
      <c r="V10" s="129"/>
      <c r="W10" s="29"/>
      <c r="X10" s="30"/>
      <c r="Y10" s="30"/>
      <c r="Z10" s="30"/>
      <c r="AA10" s="30"/>
      <c r="AB10" s="30"/>
      <c r="AC10" s="30"/>
      <c r="AD10" s="29"/>
      <c r="AE10" s="29"/>
      <c r="AF10" s="29"/>
      <c r="AG10" s="29"/>
      <c r="AH10" s="29"/>
    </row>
    <row r="11" spans="1:34" ht="18.5" thickBot="1" x14ac:dyDescent="0.4">
      <c r="A11" s="130" t="s">
        <v>8</v>
      </c>
      <c r="B11" s="131"/>
      <c r="C11" s="131"/>
      <c r="D11" s="131"/>
      <c r="E11" s="131"/>
      <c r="F11" s="131"/>
      <c r="G11" s="131"/>
      <c r="H11" s="131"/>
      <c r="I11" s="131"/>
      <c r="J11" s="131"/>
      <c r="K11" s="131"/>
      <c r="L11" s="131"/>
      <c r="M11" s="131"/>
      <c r="N11" s="131"/>
      <c r="O11" s="131"/>
      <c r="P11" s="131"/>
      <c r="Q11" s="131"/>
      <c r="R11" s="131"/>
      <c r="S11" s="131"/>
      <c r="T11" s="131"/>
      <c r="U11" s="131"/>
      <c r="V11" s="132"/>
      <c r="W11" s="29"/>
      <c r="X11" s="31"/>
      <c r="Y11" s="31"/>
      <c r="Z11" s="31"/>
      <c r="AA11" s="31"/>
      <c r="AB11" s="31"/>
      <c r="AC11" s="31"/>
      <c r="AD11" s="29"/>
      <c r="AE11" s="29"/>
      <c r="AF11" s="29"/>
      <c r="AG11" s="29"/>
      <c r="AH11" s="29"/>
    </row>
    <row r="12" spans="1:34" ht="15" thickBot="1" x14ac:dyDescent="0.4">
      <c r="A12" s="32"/>
      <c r="B12" s="33"/>
      <c r="C12" s="33"/>
      <c r="D12" s="34" t="s">
        <v>9</v>
      </c>
      <c r="E12" s="35" t="str">
        <f>'[1]Day 3'!E12</f>
        <v>Customer Name</v>
      </c>
      <c r="F12" s="36"/>
      <c r="G12" s="34" t="s">
        <v>10</v>
      </c>
      <c r="H12" s="35" t="str">
        <f>IF([1]Volume!C$7="","",[1]Volume!C$7)</f>
        <v>FP 65354</v>
      </c>
      <c r="I12" s="33"/>
      <c r="J12" s="34" t="s">
        <v>11</v>
      </c>
      <c r="K12" s="133">
        <f>'[1]Day 3'!K12+1</f>
        <v>1</v>
      </c>
      <c r="L12" s="133"/>
      <c r="M12" s="37"/>
      <c r="N12" s="34" t="s">
        <v>12</v>
      </c>
      <c r="O12" s="35" t="str">
        <f>IF([1]Volume!D$7="","",[1]Volume!D$7)</f>
        <v>SP. Tambun - Cluster F</v>
      </c>
      <c r="P12" s="33"/>
      <c r="Q12" s="34" t="s">
        <v>13</v>
      </c>
      <c r="R12" s="38"/>
      <c r="S12" s="39">
        <f>IF([1]Volume!E$7="","",[1]Volume!E$7)</f>
        <v>1.25</v>
      </c>
      <c r="T12" s="33"/>
      <c r="U12" s="34" t="s">
        <v>14</v>
      </c>
      <c r="V12" s="40" t="str">
        <f>IF([1]Volume!F$7="","",[1]Volume!F$7)</f>
        <v>4/0</v>
      </c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</row>
    <row r="13" spans="1:34" ht="15" thickBot="1" x14ac:dyDescent="0.4">
      <c r="A13" s="121" t="s">
        <v>15</v>
      </c>
      <c r="B13" s="121" t="s">
        <v>16</v>
      </c>
      <c r="C13" s="121" t="s">
        <v>17</v>
      </c>
      <c r="D13" s="121" t="s">
        <v>18</v>
      </c>
      <c r="E13" s="121" t="s">
        <v>19</v>
      </c>
      <c r="F13" s="121" t="s">
        <v>20</v>
      </c>
      <c r="G13" s="121" t="s">
        <v>21</v>
      </c>
      <c r="H13" s="121" t="s">
        <v>22</v>
      </c>
      <c r="I13" s="121" t="s">
        <v>23</v>
      </c>
      <c r="J13" s="121" t="s">
        <v>24</v>
      </c>
      <c r="K13" s="121" t="s">
        <v>25</v>
      </c>
      <c r="L13" s="121" t="s">
        <v>26</v>
      </c>
      <c r="M13" s="121" t="s">
        <v>27</v>
      </c>
      <c r="N13" s="121"/>
      <c r="O13" s="124" t="s">
        <v>28</v>
      </c>
      <c r="P13" s="124" t="s">
        <v>29</v>
      </c>
      <c r="Q13" s="121" t="s">
        <v>30</v>
      </c>
      <c r="R13" s="121" t="s">
        <v>31</v>
      </c>
      <c r="S13" s="121" t="s">
        <v>32</v>
      </c>
      <c r="T13" s="121"/>
      <c r="U13" s="121"/>
      <c r="V13" s="121"/>
      <c r="W13" s="1"/>
      <c r="X13" s="41"/>
      <c r="Y13" s="41"/>
      <c r="Z13" s="41"/>
      <c r="AA13" s="41"/>
      <c r="AB13" s="41"/>
      <c r="AC13" s="41"/>
      <c r="AD13" s="1"/>
      <c r="AE13" s="1"/>
      <c r="AF13" s="1"/>
      <c r="AG13" s="1"/>
      <c r="AH13" s="1"/>
    </row>
    <row r="14" spans="1:34" ht="26" x14ac:dyDescent="0.35">
      <c r="A14" s="126"/>
      <c r="B14" s="126"/>
      <c r="C14" s="126"/>
      <c r="D14" s="126"/>
      <c r="E14" s="126"/>
      <c r="F14" s="126"/>
      <c r="G14" s="126"/>
      <c r="H14" s="126"/>
      <c r="I14" s="126"/>
      <c r="J14" s="126"/>
      <c r="K14" s="126"/>
      <c r="L14" s="126"/>
      <c r="M14" s="42" t="s">
        <v>33</v>
      </c>
      <c r="N14" s="42" t="s">
        <v>34</v>
      </c>
      <c r="O14" s="125"/>
      <c r="P14" s="125"/>
      <c r="Q14" s="126"/>
      <c r="R14" s="126"/>
      <c r="S14" s="126"/>
      <c r="T14" s="126"/>
      <c r="U14" s="126"/>
      <c r="V14" s="126"/>
      <c r="W14" s="1"/>
      <c r="X14" s="1"/>
      <c r="Y14" s="121" t="s">
        <v>35</v>
      </c>
      <c r="Z14" s="121"/>
      <c r="AA14" s="121"/>
      <c r="AB14" s="121"/>
      <c r="AC14" s="121"/>
      <c r="AD14" s="121" t="s">
        <v>36</v>
      </c>
      <c r="AE14" s="1"/>
      <c r="AF14" s="1"/>
      <c r="AG14" s="1"/>
      <c r="AH14" s="43" t="s">
        <v>37</v>
      </c>
    </row>
    <row r="15" spans="1:34" ht="26.5" thickBot="1" x14ac:dyDescent="0.4">
      <c r="A15" s="122"/>
      <c r="B15" s="44" t="s">
        <v>38</v>
      </c>
      <c r="C15" s="44" t="s">
        <v>38</v>
      </c>
      <c r="D15" s="44" t="s">
        <v>38</v>
      </c>
      <c r="E15" s="44" t="s">
        <v>38</v>
      </c>
      <c r="F15" s="44" t="s">
        <v>39</v>
      </c>
      <c r="G15" s="44" t="s">
        <v>38</v>
      </c>
      <c r="H15" s="44" t="s">
        <v>38</v>
      </c>
      <c r="I15" s="44" t="s">
        <v>38</v>
      </c>
      <c r="J15" s="44" t="s">
        <v>40</v>
      </c>
      <c r="K15" s="44" t="s">
        <v>41</v>
      </c>
      <c r="L15" s="44" t="s">
        <v>42</v>
      </c>
      <c r="M15" s="44" t="s">
        <v>42</v>
      </c>
      <c r="N15" s="44" t="s">
        <v>42</v>
      </c>
      <c r="O15" s="44" t="s">
        <v>38</v>
      </c>
      <c r="P15" s="44" t="s">
        <v>43</v>
      </c>
      <c r="Q15" s="44" t="str">
        <f>IF([1]MR!G17="MSCF","MSCFD","MMSCFD")</f>
        <v>MSCFD</v>
      </c>
      <c r="R15" s="44" t="str">
        <f>[1]MR!L17</f>
        <v>BPD</v>
      </c>
      <c r="S15" s="122"/>
      <c r="T15" s="122"/>
      <c r="U15" s="122"/>
      <c r="V15" s="122"/>
      <c r="W15" s="1"/>
      <c r="X15" s="45"/>
      <c r="Y15" s="44" t="s">
        <v>44</v>
      </c>
      <c r="Z15" s="44" t="s">
        <v>45</v>
      </c>
      <c r="AA15" s="44" t="s">
        <v>46</v>
      </c>
      <c r="AB15" s="44" t="s">
        <v>47</v>
      </c>
      <c r="AC15" s="44" t="s">
        <v>48</v>
      </c>
      <c r="AD15" s="122"/>
      <c r="AE15" s="1"/>
      <c r="AF15" s="1"/>
      <c r="AG15" s="1"/>
      <c r="AH15" s="46" t="s">
        <v>49</v>
      </c>
    </row>
    <row r="16" spans="1:34" ht="15" thickBot="1" x14ac:dyDescent="0.4">
      <c r="A16" s="47">
        <v>4.1666666667879326E-2</v>
      </c>
      <c r="B16" s="48"/>
      <c r="C16" s="48"/>
      <c r="D16" s="48"/>
      <c r="E16" s="48"/>
      <c r="F16" s="49"/>
      <c r="G16" s="50"/>
      <c r="H16" s="51"/>
      <c r="I16" s="51"/>
      <c r="J16" s="49"/>
      <c r="K16" s="50"/>
      <c r="L16" s="48"/>
      <c r="M16" s="48"/>
      <c r="N16" s="52"/>
      <c r="O16" s="53"/>
      <c r="P16" s="54"/>
      <c r="Q16" s="54"/>
      <c r="R16" s="51"/>
      <c r="S16" s="123"/>
      <c r="T16" s="123"/>
      <c r="U16" s="123"/>
      <c r="V16" s="123"/>
      <c r="W16" s="1"/>
      <c r="X16" s="47">
        <v>4.1666666667879326E-2</v>
      </c>
      <c r="Y16" s="55"/>
      <c r="Z16" s="56"/>
      <c r="AA16" s="56"/>
      <c r="AB16" s="47" t="str">
        <f>IF(Y16="STBY",AA16-Z16,"")</f>
        <v/>
      </c>
      <c r="AC16" s="47" t="str">
        <f t="shared" ref="AC16:AC39" si="0">IF(Y16="SD",AA16-Z16,"")</f>
        <v/>
      </c>
      <c r="AD16" s="57"/>
      <c r="AE16" s="29" t="str">
        <f>IF(S16="","",IF(COUNTA(Z16:$Z$39)=1,IF(COUNTA(AD16:$AD$39)=1,""," ; "),IF(COUNTA(AD16:$AD$39)=1,IF(Z16="",""," ; ")," ; ")))</f>
        <v/>
      </c>
      <c r="AF16" s="29" t="str">
        <f t="shared" ref="AF16:AF39" si="1">CONCATENATE(S16,AE16)</f>
        <v/>
      </c>
      <c r="AG16" s="58" t="str">
        <f t="shared" ref="AG16:AG39" si="2">IF(AND(COUNTBLANK(N16:P16)&lt;3,Q16=""),"CEK : Data Flowrate","")</f>
        <v/>
      </c>
      <c r="AH16" s="46" t="s">
        <v>50</v>
      </c>
    </row>
    <row r="17" spans="1:34" ht="15" thickBot="1" x14ac:dyDescent="0.4">
      <c r="A17" s="59">
        <v>8.3333333332120674E-2</v>
      </c>
      <c r="B17" s="52"/>
      <c r="C17" s="52"/>
      <c r="D17" s="52"/>
      <c r="E17" s="52"/>
      <c r="F17" s="60"/>
      <c r="G17" s="50"/>
      <c r="H17" s="50"/>
      <c r="I17" s="50"/>
      <c r="J17" s="60"/>
      <c r="K17" s="50"/>
      <c r="L17" s="52"/>
      <c r="M17" s="52"/>
      <c r="N17" s="52"/>
      <c r="O17" s="53"/>
      <c r="P17" s="53"/>
      <c r="Q17" s="53"/>
      <c r="R17" s="50"/>
      <c r="S17" s="123"/>
      <c r="T17" s="123"/>
      <c r="U17" s="123"/>
      <c r="V17" s="123"/>
      <c r="W17" s="1"/>
      <c r="X17" s="59">
        <v>8.3333333332120674E-2</v>
      </c>
      <c r="Y17" s="61"/>
      <c r="Z17" s="62"/>
      <c r="AA17" s="62"/>
      <c r="AB17" s="59" t="str">
        <f t="shared" ref="AB17:AB39" si="3">IF(Y17="STBY",AA17-Z17,"")</f>
        <v/>
      </c>
      <c r="AC17" s="59" t="str">
        <f t="shared" si="0"/>
        <v/>
      </c>
      <c r="AD17" s="63"/>
      <c r="AE17" s="29" t="str">
        <f>IF(S17="","",IF(COUNTA(Z17:$Z$39)=1,IF(COUNTA(AD17:$AD$39)=1,""," ; "),IF(COUNTA(AD17:$AD$39)=1,IF(Z17="",""," ; ")," ; ")))</f>
        <v/>
      </c>
      <c r="AF17" s="29" t="str">
        <f t="shared" si="1"/>
        <v/>
      </c>
      <c r="AG17" s="58" t="str">
        <f t="shared" si="2"/>
        <v/>
      </c>
      <c r="AH17" s="46" t="s">
        <v>51</v>
      </c>
    </row>
    <row r="18" spans="1:34" ht="15" thickBot="1" x14ac:dyDescent="0.4">
      <c r="A18" s="59">
        <v>0.125</v>
      </c>
      <c r="B18" s="52"/>
      <c r="C18" s="52"/>
      <c r="D18" s="52"/>
      <c r="E18" s="52"/>
      <c r="F18" s="60"/>
      <c r="G18" s="50"/>
      <c r="H18" s="50"/>
      <c r="I18" s="50"/>
      <c r="J18" s="60"/>
      <c r="K18" s="50"/>
      <c r="L18" s="52"/>
      <c r="M18" s="52"/>
      <c r="N18" s="52"/>
      <c r="O18" s="53"/>
      <c r="P18" s="53"/>
      <c r="Q18" s="53"/>
      <c r="R18" s="50"/>
      <c r="S18" s="123"/>
      <c r="T18" s="123"/>
      <c r="U18" s="123"/>
      <c r="V18" s="123"/>
      <c r="W18" s="1"/>
      <c r="X18" s="59">
        <v>0.125</v>
      </c>
      <c r="Y18" s="61"/>
      <c r="Z18" s="62"/>
      <c r="AA18" s="62"/>
      <c r="AB18" s="59" t="str">
        <f t="shared" si="3"/>
        <v/>
      </c>
      <c r="AC18" s="59" t="str">
        <f t="shared" si="0"/>
        <v/>
      </c>
      <c r="AD18" s="63"/>
      <c r="AE18" s="29" t="str">
        <f>IF(S18="","",IF(COUNTA(Z18:$Z$39)=1,IF(COUNTA(AD18:$AD$39)=1,""," ; "),IF(COUNTA(AD18:$AD$39)=1,IF(Z18="",""," ; ")," ; ")))</f>
        <v/>
      </c>
      <c r="AF18" s="29" t="str">
        <f t="shared" si="1"/>
        <v/>
      </c>
      <c r="AG18" s="58" t="str">
        <f t="shared" si="2"/>
        <v/>
      </c>
      <c r="AH18" s="46" t="s">
        <v>52</v>
      </c>
    </row>
    <row r="19" spans="1:34" ht="15" thickBot="1" x14ac:dyDescent="0.4">
      <c r="A19" s="59">
        <v>0.16666666666787933</v>
      </c>
      <c r="B19" s="52"/>
      <c r="C19" s="52"/>
      <c r="D19" s="52"/>
      <c r="E19" s="52"/>
      <c r="F19" s="60"/>
      <c r="G19" s="50"/>
      <c r="H19" s="50"/>
      <c r="I19" s="50"/>
      <c r="J19" s="60"/>
      <c r="K19" s="50"/>
      <c r="L19" s="52"/>
      <c r="M19" s="52"/>
      <c r="N19" s="52"/>
      <c r="O19" s="53"/>
      <c r="P19" s="53"/>
      <c r="Q19" s="53"/>
      <c r="R19" s="50"/>
      <c r="S19" s="123"/>
      <c r="T19" s="123"/>
      <c r="U19" s="123"/>
      <c r="V19" s="123"/>
      <c r="W19" s="1"/>
      <c r="X19" s="59">
        <v>0.16666666666787933</v>
      </c>
      <c r="Y19" s="61"/>
      <c r="Z19" s="62"/>
      <c r="AA19" s="62"/>
      <c r="AB19" s="59" t="str">
        <f t="shared" si="3"/>
        <v/>
      </c>
      <c r="AC19" s="59" t="str">
        <f t="shared" si="0"/>
        <v/>
      </c>
      <c r="AD19" s="63"/>
      <c r="AE19" s="29" t="str">
        <f>IF(S19="","",IF(COUNTA(Z19:$Z$39)=1,IF(COUNTA(AD19:$AD$39)=1,""," ; "),IF(COUNTA(AD19:$AD$39)=1,IF(Z19="",""," ; ")," ; ")))</f>
        <v/>
      </c>
      <c r="AF19" s="29" t="str">
        <f t="shared" si="1"/>
        <v/>
      </c>
      <c r="AG19" s="58" t="str">
        <f t="shared" si="2"/>
        <v/>
      </c>
      <c r="AH19" s="46" t="s">
        <v>53</v>
      </c>
    </row>
    <row r="20" spans="1:34" ht="15" thickBot="1" x14ac:dyDescent="0.4">
      <c r="A20" s="59">
        <v>0.20833333333212067</v>
      </c>
      <c r="B20" s="52"/>
      <c r="C20" s="52"/>
      <c r="D20" s="52"/>
      <c r="E20" s="52"/>
      <c r="F20" s="60"/>
      <c r="G20" s="50"/>
      <c r="H20" s="50"/>
      <c r="I20" s="50"/>
      <c r="J20" s="60"/>
      <c r="K20" s="50"/>
      <c r="L20" s="52"/>
      <c r="M20" s="52"/>
      <c r="N20" s="52"/>
      <c r="O20" s="53"/>
      <c r="P20" s="53"/>
      <c r="Q20" s="53"/>
      <c r="R20" s="50"/>
      <c r="S20" s="123"/>
      <c r="T20" s="123"/>
      <c r="U20" s="123"/>
      <c r="V20" s="123"/>
      <c r="W20" s="1"/>
      <c r="X20" s="59">
        <v>0.20833333333212067</v>
      </c>
      <c r="Y20" s="61"/>
      <c r="Z20" s="62"/>
      <c r="AA20" s="62"/>
      <c r="AB20" s="59" t="str">
        <f t="shared" si="3"/>
        <v/>
      </c>
      <c r="AC20" s="59" t="str">
        <f t="shared" si="0"/>
        <v/>
      </c>
      <c r="AD20" s="63"/>
      <c r="AE20" s="29" t="str">
        <f>IF(S20="","",IF(COUNTA(Z20:$Z$39)=1,IF(COUNTA(AD20:$AD$39)=1,""," ; "),IF(COUNTA(AD20:$AD$39)=1,IF(Z20="",""," ; ")," ; ")))</f>
        <v/>
      </c>
      <c r="AF20" s="29" t="str">
        <f t="shared" si="1"/>
        <v/>
      </c>
      <c r="AG20" s="58" t="str">
        <f t="shared" si="2"/>
        <v/>
      </c>
      <c r="AH20" s="46" t="s">
        <v>54</v>
      </c>
    </row>
    <row r="21" spans="1:34" ht="15" thickBot="1" x14ac:dyDescent="0.4">
      <c r="A21" s="59">
        <v>0.25</v>
      </c>
      <c r="B21" s="52"/>
      <c r="C21" s="52"/>
      <c r="D21" s="52"/>
      <c r="E21" s="52"/>
      <c r="F21" s="60"/>
      <c r="G21" s="50"/>
      <c r="H21" s="50"/>
      <c r="I21" s="50"/>
      <c r="J21" s="60"/>
      <c r="K21" s="50"/>
      <c r="L21" s="52"/>
      <c r="M21" s="52"/>
      <c r="N21" s="52"/>
      <c r="O21" s="53"/>
      <c r="P21" s="53"/>
      <c r="Q21" s="53"/>
      <c r="R21" s="50"/>
      <c r="S21" s="123"/>
      <c r="T21" s="123"/>
      <c r="U21" s="123"/>
      <c r="V21" s="123"/>
      <c r="W21" s="1"/>
      <c r="X21" s="59">
        <v>0.25</v>
      </c>
      <c r="Y21" s="61"/>
      <c r="Z21" s="62"/>
      <c r="AA21" s="62"/>
      <c r="AB21" s="59" t="str">
        <f t="shared" si="3"/>
        <v/>
      </c>
      <c r="AC21" s="59" t="str">
        <f t="shared" si="0"/>
        <v/>
      </c>
      <c r="AD21" s="63"/>
      <c r="AE21" s="29" t="str">
        <f>IF(S21="","",IF(COUNTA(Z21:$Z$39)=1,IF(COUNTA(AD21:$AD$39)=1,""," ; "),IF(COUNTA(AD21:$AD$39)=1,IF(Z21="",""," ; ")," ; ")))</f>
        <v/>
      </c>
      <c r="AF21" s="29" t="str">
        <f t="shared" si="1"/>
        <v/>
      </c>
      <c r="AG21" s="58" t="str">
        <f t="shared" si="2"/>
        <v/>
      </c>
      <c r="AH21" s="46" t="s">
        <v>55</v>
      </c>
    </row>
    <row r="22" spans="1:34" ht="15" thickBot="1" x14ac:dyDescent="0.4">
      <c r="A22" s="59">
        <v>0.29166666666787933</v>
      </c>
      <c r="B22" s="52"/>
      <c r="C22" s="52"/>
      <c r="D22" s="52"/>
      <c r="E22" s="52"/>
      <c r="F22" s="60"/>
      <c r="G22" s="50"/>
      <c r="H22" s="50"/>
      <c r="I22" s="50"/>
      <c r="J22" s="60"/>
      <c r="K22" s="50"/>
      <c r="L22" s="52"/>
      <c r="M22" s="52"/>
      <c r="N22" s="52"/>
      <c r="O22" s="53"/>
      <c r="P22" s="53"/>
      <c r="Q22" s="53"/>
      <c r="R22" s="50"/>
      <c r="S22" s="123"/>
      <c r="T22" s="123"/>
      <c r="U22" s="123"/>
      <c r="V22" s="123"/>
      <c r="W22" s="1"/>
      <c r="X22" s="59">
        <v>0.29166666666787933</v>
      </c>
      <c r="Y22" s="61"/>
      <c r="Z22" s="62"/>
      <c r="AA22" s="62"/>
      <c r="AB22" s="59" t="str">
        <f t="shared" si="3"/>
        <v/>
      </c>
      <c r="AC22" s="59" t="str">
        <f t="shared" si="0"/>
        <v/>
      </c>
      <c r="AD22" s="63"/>
      <c r="AE22" s="29" t="str">
        <f>IF(S22="","",IF(COUNTA(Z22:$Z$39)=1,IF(COUNTA(AD22:$AD$39)=1,""," ; "),IF(COUNTA(AD22:$AD$39)=1,IF(Z22="",""," ; ")," ; ")))</f>
        <v/>
      </c>
      <c r="AF22" s="29" t="str">
        <f t="shared" si="1"/>
        <v/>
      </c>
      <c r="AG22" s="58" t="str">
        <f t="shared" si="2"/>
        <v/>
      </c>
      <c r="AH22" s="46" t="s">
        <v>56</v>
      </c>
    </row>
    <row r="23" spans="1:34" ht="15" thickBot="1" x14ac:dyDescent="0.4">
      <c r="A23" s="59">
        <v>0.33333333333212067</v>
      </c>
      <c r="B23" s="52"/>
      <c r="C23" s="52"/>
      <c r="D23" s="52"/>
      <c r="E23" s="52"/>
      <c r="F23" s="60"/>
      <c r="G23" s="50"/>
      <c r="H23" s="50"/>
      <c r="I23" s="50"/>
      <c r="J23" s="60"/>
      <c r="K23" s="50"/>
      <c r="L23" s="52"/>
      <c r="M23" s="52"/>
      <c r="N23" s="52"/>
      <c r="O23" s="53"/>
      <c r="P23" s="53"/>
      <c r="Q23" s="53"/>
      <c r="R23" s="50"/>
      <c r="S23" s="123"/>
      <c r="T23" s="123"/>
      <c r="U23" s="123"/>
      <c r="V23" s="123"/>
      <c r="W23" s="1"/>
      <c r="X23" s="59">
        <v>0.33333333333212067</v>
      </c>
      <c r="Y23" s="61"/>
      <c r="Z23" s="62"/>
      <c r="AA23" s="62"/>
      <c r="AB23" s="59" t="str">
        <f t="shared" si="3"/>
        <v/>
      </c>
      <c r="AC23" s="59" t="str">
        <f t="shared" si="0"/>
        <v/>
      </c>
      <c r="AD23" s="63"/>
      <c r="AE23" s="29" t="str">
        <f>IF(S23="","",IF(COUNTA(Z23:$Z$39)=1,IF(COUNTA(AD23:$AD$39)=1,""," ; "),IF(COUNTA(AD23:$AD$39)=1,IF(Z23="",""," ; ")," ; ")))</f>
        <v/>
      </c>
      <c r="AF23" s="29" t="str">
        <f t="shared" si="1"/>
        <v/>
      </c>
      <c r="AG23" s="58" t="str">
        <f t="shared" si="2"/>
        <v/>
      </c>
      <c r="AH23" s="46" t="s">
        <v>57</v>
      </c>
    </row>
    <row r="24" spans="1:34" ht="15" thickBot="1" x14ac:dyDescent="0.4">
      <c r="A24" s="59">
        <v>0.375</v>
      </c>
      <c r="B24" s="52"/>
      <c r="C24" s="52"/>
      <c r="D24" s="52"/>
      <c r="E24" s="52"/>
      <c r="F24" s="60"/>
      <c r="G24" s="50"/>
      <c r="H24" s="50"/>
      <c r="I24" s="50"/>
      <c r="J24" s="60"/>
      <c r="K24" s="50"/>
      <c r="L24" s="52"/>
      <c r="M24" s="52"/>
      <c r="N24" s="52"/>
      <c r="O24" s="53"/>
      <c r="P24" s="53"/>
      <c r="Q24" s="53"/>
      <c r="R24" s="50"/>
      <c r="S24" s="123"/>
      <c r="T24" s="123"/>
      <c r="U24" s="123"/>
      <c r="V24" s="123"/>
      <c r="W24" s="1"/>
      <c r="X24" s="59">
        <v>0.375</v>
      </c>
      <c r="Y24" s="61"/>
      <c r="Z24" s="62"/>
      <c r="AA24" s="62"/>
      <c r="AB24" s="59" t="str">
        <f t="shared" si="3"/>
        <v/>
      </c>
      <c r="AC24" s="59" t="str">
        <f t="shared" si="0"/>
        <v/>
      </c>
      <c r="AD24" s="63"/>
      <c r="AE24" s="29" t="str">
        <f>IF(S24="","",IF(COUNTA(Z24:$Z$39)=1,IF(COUNTA(AD24:$AD$39)=1,""," ; "),IF(COUNTA(AD24:$AD$39)=1,IF(Z24="",""," ; ")," ; ")))</f>
        <v/>
      </c>
      <c r="AF24" s="29" t="str">
        <f t="shared" si="1"/>
        <v/>
      </c>
      <c r="AG24" s="58" t="str">
        <f t="shared" si="2"/>
        <v/>
      </c>
      <c r="AH24" s="46" t="s">
        <v>58</v>
      </c>
    </row>
    <row r="25" spans="1:34" ht="15" thickBot="1" x14ac:dyDescent="0.4">
      <c r="A25" s="59">
        <v>0.41666666666787933</v>
      </c>
      <c r="B25" s="52"/>
      <c r="C25" s="52"/>
      <c r="D25" s="52"/>
      <c r="E25" s="52"/>
      <c r="F25" s="60"/>
      <c r="G25" s="50"/>
      <c r="H25" s="50"/>
      <c r="I25" s="50"/>
      <c r="J25" s="60"/>
      <c r="K25" s="50"/>
      <c r="L25" s="52"/>
      <c r="M25" s="52"/>
      <c r="N25" s="52"/>
      <c r="O25" s="53"/>
      <c r="P25" s="53"/>
      <c r="Q25" s="53"/>
      <c r="R25" s="50"/>
      <c r="S25" s="123"/>
      <c r="T25" s="123"/>
      <c r="U25" s="123"/>
      <c r="V25" s="123"/>
      <c r="W25" s="1"/>
      <c r="X25" s="59">
        <v>0.41666666666787933</v>
      </c>
      <c r="Y25" s="61"/>
      <c r="Z25" s="62"/>
      <c r="AA25" s="62"/>
      <c r="AB25" s="59" t="str">
        <f t="shared" si="3"/>
        <v/>
      </c>
      <c r="AC25" s="59" t="str">
        <f t="shared" si="0"/>
        <v/>
      </c>
      <c r="AD25" s="63"/>
      <c r="AE25" s="29" t="str">
        <f>IF(S25="","",IF(COUNTA(Z25:$Z$39)=1,IF(COUNTA(AD25:$AD$39)=1,""," ; "),IF(COUNTA(AD25:$AD$39)=1,IF(Z25="",""," ; ")," ; ")))</f>
        <v/>
      </c>
      <c r="AF25" s="29" t="str">
        <f t="shared" si="1"/>
        <v/>
      </c>
      <c r="AG25" s="58" t="str">
        <f t="shared" si="2"/>
        <v/>
      </c>
      <c r="AH25" s="46" t="s">
        <v>59</v>
      </c>
    </row>
    <row r="26" spans="1:34" ht="15" thickBot="1" x14ac:dyDescent="0.4">
      <c r="A26" s="59">
        <v>0.45833333333212067</v>
      </c>
      <c r="B26" s="52"/>
      <c r="C26" s="52"/>
      <c r="D26" s="52"/>
      <c r="E26" s="52"/>
      <c r="F26" s="60"/>
      <c r="G26" s="50"/>
      <c r="H26" s="50"/>
      <c r="I26" s="50"/>
      <c r="J26" s="60"/>
      <c r="K26" s="50"/>
      <c r="L26" s="52"/>
      <c r="M26" s="52"/>
      <c r="N26" s="52"/>
      <c r="O26" s="53"/>
      <c r="P26" s="53"/>
      <c r="Q26" s="53"/>
      <c r="R26" s="50"/>
      <c r="S26" s="123"/>
      <c r="T26" s="123"/>
      <c r="U26" s="123"/>
      <c r="V26" s="123"/>
      <c r="W26" s="1"/>
      <c r="X26" s="59">
        <v>0.45833333333212067</v>
      </c>
      <c r="Y26" s="61"/>
      <c r="Z26" s="62"/>
      <c r="AA26" s="62"/>
      <c r="AB26" s="59" t="str">
        <f t="shared" si="3"/>
        <v/>
      </c>
      <c r="AC26" s="59" t="str">
        <f t="shared" si="0"/>
        <v/>
      </c>
      <c r="AD26" s="63"/>
      <c r="AE26" s="29" t="str">
        <f>IF(S26="","",IF(COUNTA(Z26:$Z$39)=1,IF(COUNTA(AD26:$AD$39)=1,""," ; "),IF(COUNTA(AD26:$AD$39)=1,IF(Z26="",""," ; ")," ; ")))</f>
        <v/>
      </c>
      <c r="AF26" s="29" t="str">
        <f t="shared" si="1"/>
        <v/>
      </c>
      <c r="AG26" s="58" t="str">
        <f t="shared" si="2"/>
        <v/>
      </c>
      <c r="AH26" s="46" t="s">
        <v>60</v>
      </c>
    </row>
    <row r="27" spans="1:34" ht="15" thickBot="1" x14ac:dyDescent="0.4">
      <c r="A27" s="59">
        <v>0.5</v>
      </c>
      <c r="B27" s="52"/>
      <c r="C27" s="52"/>
      <c r="D27" s="52"/>
      <c r="E27" s="52"/>
      <c r="F27" s="60"/>
      <c r="G27" s="50"/>
      <c r="H27" s="50"/>
      <c r="I27" s="50"/>
      <c r="J27" s="60"/>
      <c r="K27" s="50"/>
      <c r="L27" s="52"/>
      <c r="M27" s="52"/>
      <c r="N27" s="52"/>
      <c r="O27" s="53"/>
      <c r="P27" s="53"/>
      <c r="Q27" s="53"/>
      <c r="R27" s="50"/>
      <c r="S27" s="123"/>
      <c r="T27" s="123"/>
      <c r="U27" s="123"/>
      <c r="V27" s="123"/>
      <c r="W27" s="1"/>
      <c r="X27" s="59">
        <v>0.5</v>
      </c>
      <c r="Y27" s="61"/>
      <c r="Z27" s="62"/>
      <c r="AA27" s="62"/>
      <c r="AB27" s="59" t="str">
        <f t="shared" si="3"/>
        <v/>
      </c>
      <c r="AC27" s="59" t="str">
        <f t="shared" si="0"/>
        <v/>
      </c>
      <c r="AD27" s="63"/>
      <c r="AE27" s="29" t="str">
        <f>IF(S27="","",IF(COUNTA(Z27:$Z$39)=1,IF(COUNTA(AD27:$AD$39)=1,""," ; "),IF(COUNTA(AD27:$AD$39)=1,IF(Z27="",""," ; ")," ; ")))</f>
        <v/>
      </c>
      <c r="AF27" s="29" t="str">
        <f t="shared" si="1"/>
        <v/>
      </c>
      <c r="AG27" s="58" t="str">
        <f t="shared" si="2"/>
        <v/>
      </c>
      <c r="AH27" s="46" t="s">
        <v>61</v>
      </c>
    </row>
    <row r="28" spans="1:34" ht="15" thickBot="1" x14ac:dyDescent="0.4">
      <c r="A28" s="59">
        <v>0.54166666666787933</v>
      </c>
      <c r="B28" s="52"/>
      <c r="C28" s="52"/>
      <c r="D28" s="52"/>
      <c r="E28" s="52"/>
      <c r="F28" s="60"/>
      <c r="G28" s="50"/>
      <c r="H28" s="50"/>
      <c r="I28" s="50"/>
      <c r="J28" s="60"/>
      <c r="K28" s="50"/>
      <c r="L28" s="52"/>
      <c r="M28" s="52"/>
      <c r="N28" s="52"/>
      <c r="O28" s="53"/>
      <c r="P28" s="53"/>
      <c r="Q28" s="53"/>
      <c r="R28" s="50"/>
      <c r="S28" s="123"/>
      <c r="T28" s="123"/>
      <c r="U28" s="123"/>
      <c r="V28" s="123"/>
      <c r="W28" s="1"/>
      <c r="X28" s="59">
        <v>0.54166666666787933</v>
      </c>
      <c r="Y28" s="61"/>
      <c r="Z28" s="62"/>
      <c r="AA28" s="62"/>
      <c r="AB28" s="59" t="str">
        <f t="shared" si="3"/>
        <v/>
      </c>
      <c r="AC28" s="59" t="str">
        <f t="shared" si="0"/>
        <v/>
      </c>
      <c r="AD28" s="63"/>
      <c r="AE28" s="29" t="str">
        <f>IF(S28="","",IF(COUNTA(Z28:$Z$39)=1,IF(COUNTA(AD28:$AD$39)=1,""," ; "),IF(COUNTA(AD28:$AD$39)=1,IF(Z28="",""," ; ")," ; ")))</f>
        <v/>
      </c>
      <c r="AF28" s="29" t="str">
        <f t="shared" si="1"/>
        <v/>
      </c>
      <c r="AG28" s="58" t="str">
        <f t="shared" si="2"/>
        <v/>
      </c>
      <c r="AH28" s="46" t="s">
        <v>62</v>
      </c>
    </row>
    <row r="29" spans="1:34" ht="15" thickBot="1" x14ac:dyDescent="0.4">
      <c r="A29" s="59">
        <v>0.58333333333212067</v>
      </c>
      <c r="B29" s="52"/>
      <c r="C29" s="52"/>
      <c r="D29" s="52"/>
      <c r="E29" s="52"/>
      <c r="F29" s="60"/>
      <c r="G29" s="50"/>
      <c r="H29" s="50"/>
      <c r="I29" s="50"/>
      <c r="J29" s="60"/>
      <c r="K29" s="50"/>
      <c r="L29" s="52"/>
      <c r="M29" s="52"/>
      <c r="N29" s="52"/>
      <c r="O29" s="53"/>
      <c r="P29" s="53"/>
      <c r="Q29" s="53"/>
      <c r="R29" s="50"/>
      <c r="S29" s="123"/>
      <c r="T29" s="123"/>
      <c r="U29" s="123"/>
      <c r="V29" s="123"/>
      <c r="W29" s="1"/>
      <c r="X29" s="59">
        <v>0.58333333333212067</v>
      </c>
      <c r="Y29" s="61"/>
      <c r="Z29" s="62"/>
      <c r="AA29" s="62"/>
      <c r="AB29" s="59" t="str">
        <f t="shared" si="3"/>
        <v/>
      </c>
      <c r="AC29" s="59" t="str">
        <f t="shared" si="0"/>
        <v/>
      </c>
      <c r="AD29" s="63"/>
      <c r="AE29" s="29" t="str">
        <f>IF(S29="","",IF(COUNTA(Z29:$Z$39)=1,IF(COUNTA(AD29:$AD$39)=1,""," ; "),IF(COUNTA(AD29:$AD$39)=1,IF(Z29="",""," ; ")," ; ")))</f>
        <v/>
      </c>
      <c r="AF29" s="29" t="str">
        <f t="shared" si="1"/>
        <v/>
      </c>
      <c r="AG29" s="58" t="str">
        <f t="shared" si="2"/>
        <v/>
      </c>
      <c r="AH29" s="46" t="s">
        <v>63</v>
      </c>
    </row>
    <row r="30" spans="1:34" ht="15" thickBot="1" x14ac:dyDescent="0.4">
      <c r="A30" s="59">
        <v>0.625</v>
      </c>
      <c r="B30" s="52"/>
      <c r="C30" s="52"/>
      <c r="D30" s="52"/>
      <c r="E30" s="52"/>
      <c r="F30" s="60"/>
      <c r="G30" s="50"/>
      <c r="H30" s="50"/>
      <c r="I30" s="50"/>
      <c r="J30" s="60"/>
      <c r="K30" s="50"/>
      <c r="L30" s="52"/>
      <c r="M30" s="52"/>
      <c r="N30" s="52"/>
      <c r="O30" s="53"/>
      <c r="P30" s="53"/>
      <c r="Q30" s="53"/>
      <c r="R30" s="50"/>
      <c r="S30" s="123"/>
      <c r="T30" s="123"/>
      <c r="U30" s="123"/>
      <c r="V30" s="123"/>
      <c r="W30" s="1"/>
      <c r="X30" s="59">
        <v>0.625</v>
      </c>
      <c r="Y30" s="61"/>
      <c r="Z30" s="62"/>
      <c r="AA30" s="62"/>
      <c r="AB30" s="59" t="str">
        <f t="shared" si="3"/>
        <v/>
      </c>
      <c r="AC30" s="59" t="str">
        <f t="shared" si="0"/>
        <v/>
      </c>
      <c r="AD30" s="63"/>
      <c r="AE30" s="29" t="str">
        <f>IF(S30="","",IF(COUNTA(Z30:$Z$39)=1,IF(COUNTA(AD30:$AD$39)=1,""," ; "),IF(COUNTA(AD30:$AD$39)=1,IF(Z30="",""," ; ")," ; ")))</f>
        <v/>
      </c>
      <c r="AF30" s="29" t="str">
        <f t="shared" si="1"/>
        <v/>
      </c>
      <c r="AG30" s="58" t="str">
        <f t="shared" si="2"/>
        <v/>
      </c>
      <c r="AH30" s="46" t="s">
        <v>64</v>
      </c>
    </row>
    <row r="31" spans="1:34" ht="15" thickBot="1" x14ac:dyDescent="0.4">
      <c r="A31" s="59">
        <v>0.66666666666787933</v>
      </c>
      <c r="B31" s="52"/>
      <c r="C31" s="52"/>
      <c r="D31" s="52"/>
      <c r="E31" s="52"/>
      <c r="F31" s="60"/>
      <c r="G31" s="50"/>
      <c r="H31" s="50"/>
      <c r="I31" s="50"/>
      <c r="J31" s="60"/>
      <c r="K31" s="50"/>
      <c r="L31" s="52"/>
      <c r="M31" s="52"/>
      <c r="N31" s="52"/>
      <c r="O31" s="53"/>
      <c r="P31" s="53"/>
      <c r="Q31" s="53"/>
      <c r="R31" s="50"/>
      <c r="S31" s="123"/>
      <c r="T31" s="123"/>
      <c r="U31" s="123"/>
      <c r="V31" s="123"/>
      <c r="W31" s="1"/>
      <c r="X31" s="59">
        <v>0.66666666666787933</v>
      </c>
      <c r="Y31" s="61"/>
      <c r="Z31" s="62"/>
      <c r="AA31" s="62"/>
      <c r="AB31" s="59" t="str">
        <f t="shared" si="3"/>
        <v/>
      </c>
      <c r="AC31" s="59" t="str">
        <f t="shared" si="0"/>
        <v/>
      </c>
      <c r="AD31" s="63"/>
      <c r="AE31" s="29" t="str">
        <f>IF(S31="","",IF(COUNTA(Z31:$Z$39)=1,IF(COUNTA(AD31:$AD$39)=1,""," ; "),IF(COUNTA(AD31:$AD$39)=1,IF(Z31="",""," ; ")," ; ")))</f>
        <v/>
      </c>
      <c r="AF31" s="29" t="str">
        <f t="shared" si="1"/>
        <v/>
      </c>
      <c r="AG31" s="58" t="str">
        <f t="shared" si="2"/>
        <v/>
      </c>
      <c r="AH31" s="46" t="s">
        <v>65</v>
      </c>
    </row>
    <row r="32" spans="1:34" ht="15" thickBot="1" x14ac:dyDescent="0.4">
      <c r="A32" s="59">
        <v>0.70833333333212067</v>
      </c>
      <c r="B32" s="52"/>
      <c r="C32" s="52"/>
      <c r="D32" s="52"/>
      <c r="E32" s="52"/>
      <c r="F32" s="60"/>
      <c r="G32" s="50"/>
      <c r="H32" s="50"/>
      <c r="I32" s="50"/>
      <c r="J32" s="60"/>
      <c r="K32" s="50"/>
      <c r="L32" s="52"/>
      <c r="M32" s="52"/>
      <c r="N32" s="52"/>
      <c r="O32" s="53"/>
      <c r="P32" s="53"/>
      <c r="Q32" s="53"/>
      <c r="R32" s="50"/>
      <c r="S32" s="123"/>
      <c r="T32" s="123"/>
      <c r="U32" s="123"/>
      <c r="V32" s="123"/>
      <c r="W32" s="1"/>
      <c r="X32" s="59">
        <v>0.70833333333212067</v>
      </c>
      <c r="Y32" s="61"/>
      <c r="Z32" s="62"/>
      <c r="AA32" s="62"/>
      <c r="AB32" s="59" t="str">
        <f t="shared" si="3"/>
        <v/>
      </c>
      <c r="AC32" s="59" t="str">
        <f t="shared" si="0"/>
        <v/>
      </c>
      <c r="AD32" s="63"/>
      <c r="AE32" s="29" t="str">
        <f>IF(S32="","",IF(COUNTA(Z32:$Z$39)=1,IF(COUNTA(AD32:$AD$39)=1,""," ; "),IF(COUNTA(AD32:$AD$39)=1,IF(Z32="",""," ; ")," ; ")))</f>
        <v/>
      </c>
      <c r="AF32" s="29" t="str">
        <f t="shared" si="1"/>
        <v/>
      </c>
      <c r="AG32" s="58" t="str">
        <f t="shared" si="2"/>
        <v/>
      </c>
      <c r="AH32" s="46" t="s">
        <v>66</v>
      </c>
    </row>
    <row r="33" spans="1:34" ht="15" thickBot="1" x14ac:dyDescent="0.4">
      <c r="A33" s="59">
        <v>0.75</v>
      </c>
      <c r="B33" s="52"/>
      <c r="C33" s="52"/>
      <c r="D33" s="52"/>
      <c r="E33" s="52"/>
      <c r="F33" s="60"/>
      <c r="G33" s="50"/>
      <c r="H33" s="50"/>
      <c r="I33" s="50"/>
      <c r="J33" s="60"/>
      <c r="K33" s="50"/>
      <c r="L33" s="52"/>
      <c r="M33" s="52"/>
      <c r="N33" s="52"/>
      <c r="O33" s="53"/>
      <c r="P33" s="53"/>
      <c r="Q33" s="53"/>
      <c r="R33" s="50"/>
      <c r="S33" s="123"/>
      <c r="T33" s="123"/>
      <c r="U33" s="123"/>
      <c r="V33" s="123"/>
      <c r="W33" s="1"/>
      <c r="X33" s="59">
        <v>0.75</v>
      </c>
      <c r="Y33" s="61"/>
      <c r="Z33" s="62"/>
      <c r="AA33" s="62"/>
      <c r="AB33" s="59" t="str">
        <f t="shared" si="3"/>
        <v/>
      </c>
      <c r="AC33" s="59" t="str">
        <f t="shared" si="0"/>
        <v/>
      </c>
      <c r="AD33" s="63"/>
      <c r="AE33" s="29" t="str">
        <f>IF(S33="","",IF(COUNTA(Z33:$Z$39)=1,IF(COUNTA(AD33:$AD$39)=1,""," ; "),IF(COUNTA(AD33:$AD$39)=1,IF(Z33="",""," ; ")," ; ")))</f>
        <v/>
      </c>
      <c r="AF33" s="29" t="str">
        <f t="shared" si="1"/>
        <v/>
      </c>
      <c r="AG33" s="58" t="str">
        <f t="shared" si="2"/>
        <v/>
      </c>
      <c r="AH33" s="46" t="s">
        <v>67</v>
      </c>
    </row>
    <row r="34" spans="1:34" ht="15" thickBot="1" x14ac:dyDescent="0.4">
      <c r="A34" s="59">
        <v>0.79166666666787933</v>
      </c>
      <c r="B34" s="52"/>
      <c r="C34" s="52"/>
      <c r="D34" s="52"/>
      <c r="E34" s="52"/>
      <c r="F34" s="60"/>
      <c r="G34" s="50"/>
      <c r="H34" s="50"/>
      <c r="I34" s="50"/>
      <c r="J34" s="60"/>
      <c r="K34" s="50"/>
      <c r="L34" s="52"/>
      <c r="M34" s="52"/>
      <c r="N34" s="52"/>
      <c r="O34" s="53"/>
      <c r="P34" s="53"/>
      <c r="Q34" s="53"/>
      <c r="R34" s="50"/>
      <c r="S34" s="123"/>
      <c r="T34" s="123"/>
      <c r="U34" s="123"/>
      <c r="V34" s="123"/>
      <c r="W34" s="1"/>
      <c r="X34" s="59">
        <v>0.79166666666787933</v>
      </c>
      <c r="Y34" s="61"/>
      <c r="Z34" s="62"/>
      <c r="AA34" s="62"/>
      <c r="AB34" s="59" t="str">
        <f t="shared" si="3"/>
        <v/>
      </c>
      <c r="AC34" s="59" t="str">
        <f t="shared" si="0"/>
        <v/>
      </c>
      <c r="AD34" s="63"/>
      <c r="AE34" s="29" t="str">
        <f>IF(S34="","",IF(COUNTA(Z34:$Z$39)=1,IF(COUNTA(AD34:$AD$39)=1,""," ; "),IF(COUNTA(AD34:$AD$39)=1,IF(Z34="",""," ; ")," ; ")))</f>
        <v/>
      </c>
      <c r="AF34" s="29" t="str">
        <f t="shared" si="1"/>
        <v/>
      </c>
      <c r="AG34" s="58" t="str">
        <f t="shared" si="2"/>
        <v/>
      </c>
      <c r="AH34" s="46" t="s">
        <v>68</v>
      </c>
    </row>
    <row r="35" spans="1:34" ht="15" thickBot="1" x14ac:dyDescent="0.4">
      <c r="A35" s="59">
        <v>0.83333333333212067</v>
      </c>
      <c r="B35" s="52"/>
      <c r="C35" s="52"/>
      <c r="D35" s="52"/>
      <c r="E35" s="52"/>
      <c r="F35" s="60"/>
      <c r="G35" s="50"/>
      <c r="H35" s="50"/>
      <c r="I35" s="50"/>
      <c r="J35" s="60"/>
      <c r="K35" s="50"/>
      <c r="L35" s="52"/>
      <c r="M35" s="52"/>
      <c r="N35" s="52"/>
      <c r="O35" s="53"/>
      <c r="P35" s="53"/>
      <c r="Q35" s="53"/>
      <c r="R35" s="50"/>
      <c r="S35" s="123"/>
      <c r="T35" s="123"/>
      <c r="U35" s="123"/>
      <c r="V35" s="123"/>
      <c r="W35" s="1"/>
      <c r="X35" s="59">
        <v>0.83333333333212067</v>
      </c>
      <c r="Y35" s="61"/>
      <c r="Z35" s="62"/>
      <c r="AA35" s="62"/>
      <c r="AB35" s="59" t="str">
        <f t="shared" si="3"/>
        <v/>
      </c>
      <c r="AC35" s="59" t="str">
        <f t="shared" si="0"/>
        <v/>
      </c>
      <c r="AD35" s="63"/>
      <c r="AE35" s="29" t="str">
        <f>IF(S35="","",IF(COUNTA(Z35:$Z$39)=1,IF(COUNTA(AD35:$AD$39)=1,""," ; "),IF(COUNTA(AD35:$AD$39)=1,IF(Z35="",""," ; ")," ; ")))</f>
        <v/>
      </c>
      <c r="AF35" s="29" t="str">
        <f t="shared" si="1"/>
        <v/>
      </c>
      <c r="AG35" s="58" t="str">
        <f t="shared" si="2"/>
        <v/>
      </c>
      <c r="AH35" s="46" t="s">
        <v>69</v>
      </c>
    </row>
    <row r="36" spans="1:34" ht="15" thickBot="1" x14ac:dyDescent="0.4">
      <c r="A36" s="59">
        <v>0.875</v>
      </c>
      <c r="B36" s="52"/>
      <c r="C36" s="52"/>
      <c r="D36" s="52"/>
      <c r="E36" s="52"/>
      <c r="F36" s="60"/>
      <c r="G36" s="50"/>
      <c r="H36" s="50"/>
      <c r="I36" s="50"/>
      <c r="J36" s="60"/>
      <c r="K36" s="50"/>
      <c r="L36" s="52"/>
      <c r="M36" s="52"/>
      <c r="N36" s="52"/>
      <c r="O36" s="53"/>
      <c r="P36" s="53"/>
      <c r="Q36" s="53"/>
      <c r="R36" s="50"/>
      <c r="S36" s="123"/>
      <c r="T36" s="123"/>
      <c r="U36" s="123"/>
      <c r="V36" s="123"/>
      <c r="W36" s="1"/>
      <c r="X36" s="59">
        <v>0.875</v>
      </c>
      <c r="Y36" s="61"/>
      <c r="Z36" s="62"/>
      <c r="AA36" s="62"/>
      <c r="AB36" s="59" t="str">
        <f t="shared" si="3"/>
        <v/>
      </c>
      <c r="AC36" s="59" t="str">
        <f t="shared" si="0"/>
        <v/>
      </c>
      <c r="AD36" s="63"/>
      <c r="AE36" s="29" t="str">
        <f>IF(S36="","",IF(COUNTA(Z36:$Z$39)=1,IF(COUNTA(AD36:$AD$39)=1,""," ; "),IF(COUNTA(AD36:$AD$39)=1,IF(Z36="",""," ; ")," ; ")))</f>
        <v/>
      </c>
      <c r="AF36" s="29" t="str">
        <f t="shared" si="1"/>
        <v/>
      </c>
      <c r="AG36" s="58" t="str">
        <f t="shared" si="2"/>
        <v/>
      </c>
      <c r="AH36" s="46" t="s">
        <v>70</v>
      </c>
    </row>
    <row r="37" spans="1:34" ht="25.5" thickBot="1" x14ac:dyDescent="0.4">
      <c r="A37" s="59">
        <v>0.91666666666787933</v>
      </c>
      <c r="B37" s="52"/>
      <c r="C37" s="52"/>
      <c r="D37" s="52"/>
      <c r="E37" s="52"/>
      <c r="F37" s="60"/>
      <c r="G37" s="50"/>
      <c r="H37" s="50"/>
      <c r="I37" s="50"/>
      <c r="J37" s="60"/>
      <c r="K37" s="50"/>
      <c r="L37" s="52"/>
      <c r="M37" s="52"/>
      <c r="N37" s="52"/>
      <c r="O37" s="53"/>
      <c r="P37" s="53"/>
      <c r="Q37" s="53"/>
      <c r="R37" s="50"/>
      <c r="S37" s="123"/>
      <c r="T37" s="123"/>
      <c r="U37" s="123"/>
      <c r="V37" s="123"/>
      <c r="W37" s="1"/>
      <c r="X37" s="59">
        <v>0.91666666666787933</v>
      </c>
      <c r="Y37" s="61"/>
      <c r="Z37" s="62"/>
      <c r="AA37" s="62"/>
      <c r="AB37" s="59" t="str">
        <f t="shared" si="3"/>
        <v/>
      </c>
      <c r="AC37" s="59" t="str">
        <f t="shared" si="0"/>
        <v/>
      </c>
      <c r="AD37" s="63"/>
      <c r="AE37" s="29" t="str">
        <f>IF(S37="","",IF(COUNTA(Z37:$Z$39)=1,IF(COUNTA(AD37:$AD$39)=1,""," ; "),IF(COUNTA(AD37:$AD$39)=1,IF(Z37="",""," ; ")," ; ")))</f>
        <v/>
      </c>
      <c r="AF37" s="29" t="str">
        <f t="shared" si="1"/>
        <v/>
      </c>
      <c r="AG37" s="58" t="str">
        <f t="shared" si="2"/>
        <v/>
      </c>
      <c r="AH37" s="46" t="s">
        <v>71</v>
      </c>
    </row>
    <row r="38" spans="1:34" ht="15" thickBot="1" x14ac:dyDescent="0.4">
      <c r="A38" s="59">
        <v>0.95833333333212067</v>
      </c>
      <c r="B38" s="52"/>
      <c r="C38" s="52"/>
      <c r="D38" s="52"/>
      <c r="E38" s="52"/>
      <c r="F38" s="60"/>
      <c r="G38" s="50"/>
      <c r="H38" s="50"/>
      <c r="I38" s="50"/>
      <c r="J38" s="60"/>
      <c r="K38" s="50"/>
      <c r="L38" s="52"/>
      <c r="M38" s="52"/>
      <c r="N38" s="52"/>
      <c r="O38" s="53"/>
      <c r="P38" s="53"/>
      <c r="Q38" s="53"/>
      <c r="R38" s="50"/>
      <c r="S38" s="123"/>
      <c r="T38" s="123"/>
      <c r="U38" s="123"/>
      <c r="V38" s="123"/>
      <c r="W38" s="1"/>
      <c r="X38" s="59">
        <v>0.95833333333212067</v>
      </c>
      <c r="Y38" s="61"/>
      <c r="Z38" s="62"/>
      <c r="AA38" s="62"/>
      <c r="AB38" s="59" t="str">
        <f t="shared" si="3"/>
        <v/>
      </c>
      <c r="AC38" s="59" t="str">
        <f t="shared" si="0"/>
        <v/>
      </c>
      <c r="AD38" s="63"/>
      <c r="AE38" s="29" t="str">
        <f>IF(S38="","",IF(COUNTA(Z38:$Z$39)=1,IF(COUNTA(AD38:$AD$39)=1,""," ; "),IF(COUNTA(AD38:$AD$39)=1,IF(Z38="",""," ; ")," ; ")))</f>
        <v/>
      </c>
      <c r="AF38" s="29" t="str">
        <f t="shared" si="1"/>
        <v/>
      </c>
      <c r="AG38" s="58" t="str">
        <f t="shared" si="2"/>
        <v/>
      </c>
      <c r="AH38" s="46" t="s">
        <v>72</v>
      </c>
    </row>
    <row r="39" spans="1:34" ht="15" thickBot="1" x14ac:dyDescent="0.4">
      <c r="A39" s="64">
        <v>1</v>
      </c>
      <c r="B39" s="52"/>
      <c r="C39" s="52"/>
      <c r="D39" s="52"/>
      <c r="E39" s="52"/>
      <c r="F39" s="60"/>
      <c r="G39" s="50"/>
      <c r="H39" s="50"/>
      <c r="I39" s="50"/>
      <c r="J39" s="60"/>
      <c r="K39" s="50"/>
      <c r="L39" s="52"/>
      <c r="M39" s="65"/>
      <c r="N39" s="52"/>
      <c r="O39" s="53"/>
      <c r="P39" s="53"/>
      <c r="Q39" s="66"/>
      <c r="R39" s="67"/>
      <c r="S39" s="123"/>
      <c r="T39" s="123"/>
      <c r="U39" s="123"/>
      <c r="V39" s="123"/>
      <c r="W39" s="1"/>
      <c r="X39" s="64">
        <v>1</v>
      </c>
      <c r="Y39" s="68"/>
      <c r="Z39" s="69"/>
      <c r="AA39" s="69"/>
      <c r="AB39" s="64" t="str">
        <f t="shared" si="3"/>
        <v/>
      </c>
      <c r="AC39" s="64" t="str">
        <f t="shared" si="0"/>
        <v/>
      </c>
      <c r="AD39" s="70"/>
      <c r="AE39" s="29" t="str">
        <f>IF(S39="","",IF(COUNTA(Z39:$Z$39)=1,IF(COUNTA(AD39:$AD$39)=1,""," ; "),IF(COUNTA(AD39:$AD$39)=1,IF(Z39="",""," ; ")," ; ")))</f>
        <v/>
      </c>
      <c r="AF39" s="29" t="str">
        <f t="shared" si="1"/>
        <v/>
      </c>
      <c r="AG39" s="58" t="str">
        <f t="shared" si="2"/>
        <v/>
      </c>
      <c r="AH39" s="46" t="s">
        <v>73</v>
      </c>
    </row>
    <row r="40" spans="1:34" ht="15" thickBot="1" x14ac:dyDescent="0.4">
      <c r="A40" s="71" t="s">
        <v>74</v>
      </c>
      <c r="B40" s="72" t="str">
        <f>IFERROR(ROUND(AVERAGE(B16:B39),2),"")</f>
        <v/>
      </c>
      <c r="C40" s="72" t="str">
        <f>IFERROR(ROUND(AVERAGE(C16:C39),2),"")</f>
        <v/>
      </c>
      <c r="D40" s="72"/>
      <c r="E40" s="72"/>
      <c r="F40" s="73"/>
      <c r="G40" s="74"/>
      <c r="H40" s="74"/>
      <c r="I40" s="74"/>
      <c r="J40" s="75"/>
      <c r="K40" s="76"/>
      <c r="L40" s="72"/>
      <c r="M40" s="72"/>
      <c r="N40" s="72"/>
      <c r="O40" s="77"/>
      <c r="P40" s="77"/>
      <c r="Q40" s="77"/>
      <c r="R40" s="74" t="str">
        <f>IFERROR(ROUND(AVERAGE(R16:R39),1),"")</f>
        <v/>
      </c>
      <c r="S40" s="118"/>
      <c r="T40" s="119"/>
      <c r="U40" s="119"/>
      <c r="V40" s="120"/>
      <c r="W40" s="1"/>
      <c r="X40" s="78"/>
      <c r="Y40" s="78"/>
      <c r="Z40" s="78"/>
      <c r="AA40" s="78"/>
      <c r="AB40" s="79">
        <f>SUM(AB16:AB39)</f>
        <v>0</v>
      </c>
      <c r="AC40" s="79">
        <f>SUM(AC16:AC39)</f>
        <v>0</v>
      </c>
      <c r="AD40" s="80" t="str">
        <f>IF(OR(COUNTBLANK(D16:E39)+COUNTBLANK(O16:P39)=0,COUNTA(S16:V39)&lt;&gt;0),"","CEK : Blank Data - Remarks")</f>
        <v>CEK : Blank Data - Remarks</v>
      </c>
      <c r="AE40" s="1"/>
      <c r="AF40" s="1"/>
      <c r="AG40" s="58" t="str">
        <f>IF(COUNTIF(AG16:AG39,"")=COUNTA(AG16:AG39),"","CEK : Data Flowrate")</f>
        <v/>
      </c>
      <c r="AH40" s="46" t="s">
        <v>75</v>
      </c>
    </row>
    <row r="41" spans="1:34" ht="15" thickBot="1" x14ac:dyDescent="0.4">
      <c r="A41" s="81" t="s">
        <v>76</v>
      </c>
      <c r="B41" s="82" t="str">
        <f>IF(COUNT(B16:B39)&gt;0,ROUND(MIN(B16:B39),2),"")</f>
        <v/>
      </c>
      <c r="C41" s="82" t="str">
        <f>IF(COUNT(C16:C39)&gt;0,ROUND(MIN(C16:C39),2),"")</f>
        <v/>
      </c>
      <c r="D41" s="82"/>
      <c r="E41" s="82"/>
      <c r="F41" s="83"/>
      <c r="G41" s="84"/>
      <c r="H41" s="84"/>
      <c r="I41" s="84"/>
      <c r="J41" s="85"/>
      <c r="K41" s="84"/>
      <c r="L41" s="82"/>
      <c r="M41" s="82"/>
      <c r="N41" s="82"/>
      <c r="O41" s="86"/>
      <c r="P41" s="86"/>
      <c r="Q41" s="86"/>
      <c r="R41" s="87" t="str">
        <f>IF(COUNT(R16:R39)&gt;0,ROUND(MIN(R16:R39),1),"")</f>
        <v/>
      </c>
      <c r="S41" s="118"/>
      <c r="T41" s="119"/>
      <c r="U41" s="119"/>
      <c r="V41" s="120"/>
      <c r="W41" s="1"/>
      <c r="X41" s="78"/>
      <c r="Y41" s="78"/>
      <c r="Z41" s="78"/>
      <c r="AA41" s="78"/>
      <c r="AB41" s="78"/>
      <c r="AC41" s="78"/>
      <c r="AD41" s="1"/>
      <c r="AE41" s="1"/>
      <c r="AF41" s="1"/>
      <c r="AG41" s="1"/>
      <c r="AH41" s="46" t="s">
        <v>77</v>
      </c>
    </row>
    <row r="42" spans="1:34" ht="15" thickBot="1" x14ac:dyDescent="0.4">
      <c r="A42" s="88" t="s">
        <v>78</v>
      </c>
      <c r="B42" s="89" t="str">
        <f>IF(COUNT(B16:B39)&gt;0,ROUND(MAX(B16:B39),2),"")</f>
        <v/>
      </c>
      <c r="C42" s="89" t="str">
        <f>IF(COUNT(C16:C39)&gt;0,ROUND(MAX(C16:C39),2),"")</f>
        <v/>
      </c>
      <c r="D42" s="89"/>
      <c r="E42" s="89"/>
      <c r="F42" s="90"/>
      <c r="G42" s="91"/>
      <c r="H42" s="91"/>
      <c r="I42" s="91"/>
      <c r="J42" s="90"/>
      <c r="K42" s="91"/>
      <c r="L42" s="89"/>
      <c r="M42" s="89"/>
      <c r="N42" s="89"/>
      <c r="O42" s="92"/>
      <c r="P42" s="92"/>
      <c r="Q42" s="92"/>
      <c r="R42" s="91" t="str">
        <f>IF(COUNT(R16:R39)&gt;0,ROUND(MAX(R16:R39),1),"")</f>
        <v/>
      </c>
      <c r="S42" s="118"/>
      <c r="T42" s="119"/>
      <c r="U42" s="119"/>
      <c r="V42" s="120"/>
      <c r="W42" s="1"/>
      <c r="X42" s="78"/>
      <c r="Y42" s="78"/>
      <c r="Z42" s="78"/>
      <c r="AA42" s="78"/>
      <c r="AB42" s="78"/>
      <c r="AC42" s="78"/>
      <c r="AD42" s="1"/>
      <c r="AE42" s="1"/>
      <c r="AF42" s="1"/>
      <c r="AG42" s="1"/>
      <c r="AH42" s="46" t="s">
        <v>79</v>
      </c>
    </row>
    <row r="43" spans="1:34" x14ac:dyDescent="0.35">
      <c r="A43" s="93"/>
      <c r="B43" s="94">
        <f>COUNT(B16:B39)</f>
        <v>0</v>
      </c>
      <c r="C43" s="94">
        <f>COUNT(C16:C39)</f>
        <v>0</v>
      </c>
      <c r="D43" s="94">
        <f>COUNT(D16:D39)</f>
        <v>0</v>
      </c>
      <c r="E43" s="94">
        <f t="shared" ref="E43:H43" si="4">COUNT(E16:E39)</f>
        <v>0</v>
      </c>
      <c r="F43" s="94">
        <f t="shared" si="4"/>
        <v>0</v>
      </c>
      <c r="G43" s="94">
        <f t="shared" si="4"/>
        <v>0</v>
      </c>
      <c r="H43" s="94">
        <f t="shared" si="4"/>
        <v>0</v>
      </c>
      <c r="I43" s="94"/>
      <c r="J43" s="94"/>
      <c r="K43" s="94"/>
      <c r="L43" s="94">
        <f t="shared" ref="L43:Q43" si="5">COUNT(L16:L39)</f>
        <v>0</v>
      </c>
      <c r="M43" s="94">
        <f t="shared" si="5"/>
        <v>0</v>
      </c>
      <c r="N43" s="94">
        <f t="shared" si="5"/>
        <v>0</v>
      </c>
      <c r="O43" s="94">
        <f t="shared" si="5"/>
        <v>0</v>
      </c>
      <c r="P43" s="94">
        <f t="shared" si="5"/>
        <v>0</v>
      </c>
      <c r="Q43" s="94">
        <f t="shared" si="5"/>
        <v>0</v>
      </c>
      <c r="R43" s="94"/>
      <c r="S43" s="78"/>
      <c r="T43" s="78"/>
      <c r="U43" s="78"/>
      <c r="V43" s="78"/>
      <c r="W43" s="1"/>
      <c r="X43" s="78"/>
      <c r="Y43" s="78"/>
      <c r="Z43" s="78"/>
      <c r="AA43" s="78"/>
      <c r="AB43" s="78"/>
      <c r="AC43" s="78"/>
      <c r="AD43" s="80" t="str">
        <f>IF(AND(D43=E43,D43=F43,D43=G43,D43=H43,D43=L43,D43=M43,D43=N43,D43=O43,D43=P43,D43=Q43),"","CEK : Data Content")</f>
        <v/>
      </c>
      <c r="AE43" s="1"/>
      <c r="AF43" s="1"/>
      <c r="AG43" s="1"/>
      <c r="AH43" s="46" t="s">
        <v>80</v>
      </c>
    </row>
    <row r="44" spans="1:34" x14ac:dyDescent="0.35">
      <c r="A44" s="38"/>
      <c r="B44" s="38"/>
      <c r="C44" s="38"/>
      <c r="D44" s="38"/>
      <c r="E44" s="38"/>
      <c r="F44" s="38"/>
      <c r="G44" s="38"/>
      <c r="H44" s="38"/>
      <c r="I44" s="38"/>
      <c r="J44" s="95" t="str">
        <f>IF(J1="PRINT","",IF(J42="","RH please ! !",""))</f>
        <v/>
      </c>
      <c r="K44" s="38"/>
      <c r="L44" s="96"/>
      <c r="M44" s="38"/>
      <c r="N44" s="38"/>
      <c r="O44" s="38"/>
      <c r="P44" s="38"/>
      <c r="Q44" s="97" t="str">
        <f>IFERROR(ROUND(AVERAGE(Q16:Q39),4),"")</f>
        <v/>
      </c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8"/>
      <c r="AH44" s="46" t="s">
        <v>81</v>
      </c>
    </row>
    <row r="45" spans="1:34" ht="25" x14ac:dyDescent="0.35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98" t="s">
        <v>82</v>
      </c>
      <c r="M45" s="38"/>
      <c r="N45" s="38"/>
      <c r="O45" s="38"/>
      <c r="P45" s="38"/>
      <c r="Q45" s="97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46" t="s">
        <v>83</v>
      </c>
    </row>
    <row r="46" spans="1:34" x14ac:dyDescent="0.35">
      <c r="A46" s="38"/>
      <c r="B46" s="38"/>
      <c r="C46" s="38"/>
      <c r="D46" s="99" t="s">
        <v>84</v>
      </c>
      <c r="E46" s="100" t="str">
        <f>IF([1]Schedule!C$8="","",[1]Schedule!C$8)</f>
        <v/>
      </c>
      <c r="F46" s="38"/>
      <c r="G46" s="101"/>
      <c r="H46" s="102" t="str">
        <f>IFERROR(IF(OR(I47="",I48="",I49=""),"WAKTU BELUM DI-ISI LENGKAP",IF(SUM(I48:I49)&lt;=1,"","CEK KEMBALI PENULISAN WAKTU SALAH")),"CEK KEMBALI PENULISAN WAKTU SALAH")</f>
        <v>WAKTU BELUM DI-ISI LENGKAP</v>
      </c>
      <c r="I46" s="38"/>
      <c r="J46" s="38"/>
      <c r="K46" s="38"/>
      <c r="L46" s="98" t="s">
        <v>85</v>
      </c>
      <c r="M46" s="103"/>
      <c r="N46" s="104" t="s">
        <v>38</v>
      </c>
      <c r="O46" s="105" t="str">
        <f>IF(O40="","",O40)</f>
        <v/>
      </c>
      <c r="P46" s="106" t="s">
        <v>86</v>
      </c>
      <c r="Q46" s="107"/>
      <c r="R46" s="107"/>
      <c r="S46" s="107"/>
      <c r="T46" s="106" t="s">
        <v>87</v>
      </c>
      <c r="U46" s="107"/>
      <c r="V46" s="107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46" t="s">
        <v>88</v>
      </c>
    </row>
    <row r="47" spans="1:34" x14ac:dyDescent="0.35">
      <c r="A47" s="38"/>
      <c r="B47" s="38"/>
      <c r="C47" s="38"/>
      <c r="D47" s="100"/>
      <c r="E47" s="100"/>
      <c r="F47" s="38"/>
      <c r="G47" s="38"/>
      <c r="H47" s="98" t="s">
        <v>89</v>
      </c>
      <c r="I47" s="108" t="str">
        <f>IF(OR(I48="",I49=""),"",1-I48-I49)</f>
        <v/>
      </c>
      <c r="J47" s="104" t="s">
        <v>90</v>
      </c>
      <c r="K47" s="38"/>
      <c r="L47" s="98" t="s">
        <v>91</v>
      </c>
      <c r="M47" s="109"/>
      <c r="N47" s="104" t="s">
        <v>43</v>
      </c>
      <c r="O47" s="105" t="str">
        <f>IF(P40="","",P40)</f>
        <v/>
      </c>
      <c r="P47" s="106" t="s">
        <v>92</v>
      </c>
      <c r="Q47" s="107"/>
      <c r="R47" s="107"/>
      <c r="S47" s="107"/>
      <c r="T47" s="106" t="s">
        <v>93</v>
      </c>
      <c r="U47" s="107"/>
      <c r="V47" s="107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46" t="s">
        <v>94</v>
      </c>
    </row>
    <row r="48" spans="1:34" x14ac:dyDescent="0.35">
      <c r="A48" s="38"/>
      <c r="B48" s="38"/>
      <c r="C48" s="38"/>
      <c r="D48" s="99" t="s">
        <v>95</v>
      </c>
      <c r="E48" s="100" t="str">
        <f>IF([1]Schedule!D$8="","",[1]Schedule!D$8)</f>
        <v/>
      </c>
      <c r="F48" s="38"/>
      <c r="G48" s="38"/>
      <c r="H48" s="98" t="s">
        <v>96</v>
      </c>
      <c r="I48" s="110" t="str">
        <f>IF(OR(COUNT($Q$16:$Q$39)&lt;&gt;0,COUNTA($AD$16:$AD$39)&lt;&gt;0),AB40,"")</f>
        <v/>
      </c>
      <c r="J48" s="104" t="s">
        <v>90</v>
      </c>
      <c r="K48" s="38"/>
      <c r="L48" s="98" t="s">
        <v>97</v>
      </c>
      <c r="M48" s="111" t="str">
        <f>IF(N40="","",N40)</f>
        <v/>
      </c>
      <c r="N48" s="104" t="s">
        <v>42</v>
      </c>
      <c r="O48" s="38"/>
      <c r="P48" s="107"/>
      <c r="Q48" s="107"/>
      <c r="R48" s="107"/>
      <c r="S48" s="107"/>
      <c r="T48" s="106" t="s">
        <v>98</v>
      </c>
      <c r="U48" s="107"/>
      <c r="V48" s="107"/>
      <c r="W48" s="38"/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46" t="s">
        <v>99</v>
      </c>
    </row>
    <row r="49" spans="1:34" x14ac:dyDescent="0.35">
      <c r="A49" s="38"/>
      <c r="B49" s="38"/>
      <c r="C49" s="38"/>
      <c r="D49" s="100"/>
      <c r="E49" s="100"/>
      <c r="F49" s="38"/>
      <c r="G49" s="38"/>
      <c r="H49" s="98" t="s">
        <v>100</v>
      </c>
      <c r="I49" s="110" t="str">
        <f>IF(OR(COUNT($Q$16:$Q$39)&lt;&gt;0,COUNTA($AD$16:$AD$39)&lt;&gt;0),AC40,"")</f>
        <v/>
      </c>
      <c r="J49" s="104" t="s">
        <v>90</v>
      </c>
      <c r="K49" s="38"/>
      <c r="L49" s="98" t="s">
        <v>101</v>
      </c>
      <c r="M49" s="109"/>
      <c r="N49" s="104" t="str">
        <f>IF(Q15="MSCFD","MSCF","MMSCF")</f>
        <v>MSCF</v>
      </c>
      <c r="O49" s="38"/>
      <c r="P49" s="107"/>
      <c r="Q49" s="107"/>
      <c r="R49" s="107"/>
      <c r="S49" s="107"/>
      <c r="T49" s="107"/>
      <c r="U49" s="107"/>
      <c r="V49" s="107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46" t="s">
        <v>102</v>
      </c>
    </row>
    <row r="50" spans="1:34" x14ac:dyDescent="0.35">
      <c r="A50" s="38"/>
      <c r="B50" s="38"/>
      <c r="C50" s="38"/>
      <c r="D50" s="99" t="s">
        <v>103</v>
      </c>
      <c r="E50" s="100" t="str">
        <f>IF([1]Schedule!E$8="","",[1]Schedule!E$8)</f>
        <v>Marihot Gustafa S.</v>
      </c>
      <c r="F50" s="38"/>
      <c r="G50" s="38"/>
      <c r="H50" s="38"/>
      <c r="I50" s="38"/>
      <c r="J50" s="38"/>
      <c r="K50" s="38"/>
      <c r="L50" s="99" t="str">
        <f>CONCATENATE([1]MR!L16," ",":")</f>
        <v>Liquid Gain :</v>
      </c>
      <c r="M50" s="112" t="str">
        <f>IF(R40="","",ROUND(SUM(R16:R39),2))</f>
        <v/>
      </c>
      <c r="N50" s="113" t="str">
        <f>R15</f>
        <v>BPD</v>
      </c>
      <c r="O50" s="38"/>
      <c r="P50" s="107"/>
      <c r="Q50" s="107"/>
      <c r="R50" s="107"/>
      <c r="S50" s="107"/>
      <c r="T50" s="107"/>
      <c r="U50" s="107"/>
      <c r="V50" s="107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46" t="s">
        <v>104</v>
      </c>
    </row>
    <row r="51" spans="1:34" x14ac:dyDescent="0.35">
      <c r="A51" s="4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99" t="s">
        <v>105</v>
      </c>
      <c r="M51" s="105" t="str">
        <f>IF(Q44="","",IF(SUM(I48:I49)=1,IF(Q44&lt;&gt;0,"Cek Tabel",""),ROUND(Q44*I47,4)))</f>
        <v/>
      </c>
      <c r="N51" s="113" t="str">
        <f>IF(Q15="MSCFD","MSCF","MMSCF")</f>
        <v>MSCF</v>
      </c>
      <c r="O51" s="38"/>
      <c r="P51" s="107"/>
      <c r="Q51" s="107"/>
      <c r="R51" s="107"/>
      <c r="S51" s="107"/>
      <c r="T51" s="107"/>
      <c r="U51" s="107"/>
      <c r="V51" s="107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46" t="s">
        <v>106</v>
      </c>
    </row>
    <row r="52" spans="1:34" x14ac:dyDescent="0.35">
      <c r="A52" s="38"/>
      <c r="B52" s="38"/>
      <c r="C52" s="38"/>
      <c r="D52" s="98" t="s">
        <v>107</v>
      </c>
      <c r="E52" s="114"/>
      <c r="F52" s="114"/>
      <c r="G52" s="114"/>
      <c r="H52" s="114"/>
      <c r="I52" s="114"/>
      <c r="J52" s="114"/>
      <c r="K52" s="114"/>
      <c r="L52" s="17"/>
      <c r="M52" s="38"/>
      <c r="N52" s="38"/>
      <c r="O52" s="38"/>
      <c r="P52" s="107"/>
      <c r="Q52" s="107"/>
      <c r="R52" s="107"/>
      <c r="S52" s="107"/>
      <c r="T52" s="107"/>
      <c r="U52" s="107"/>
      <c r="V52" s="107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46" t="s">
        <v>108</v>
      </c>
    </row>
    <row r="53" spans="1:34" ht="13.5" customHeight="1" x14ac:dyDescent="0.35">
      <c r="A53" s="38"/>
      <c r="B53" s="38"/>
      <c r="C53" s="38"/>
      <c r="D53" s="17"/>
      <c r="E53" s="115"/>
      <c r="F53" s="115"/>
      <c r="G53" s="115"/>
      <c r="H53" s="115"/>
      <c r="I53" s="115"/>
      <c r="J53" s="115"/>
      <c r="K53" s="115"/>
      <c r="L53" s="17"/>
      <c r="M53" s="38"/>
      <c r="N53" s="38"/>
      <c r="O53" s="38"/>
      <c r="P53" s="116" t="str">
        <f>UPPER(E50)</f>
        <v>MARIHOT GUSTAFA S.</v>
      </c>
      <c r="Q53" s="107"/>
      <c r="R53" s="107"/>
      <c r="S53" s="107"/>
      <c r="T53" s="116" t="str">
        <f>IF([1]Schedule!F$8="","",UPPER([1]Schedule!F$8))</f>
        <v>BUDI WIDHARTONO</v>
      </c>
      <c r="U53" s="107"/>
      <c r="V53" s="107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46" t="s">
        <v>109</v>
      </c>
    </row>
    <row r="54" spans="1:34" x14ac:dyDescent="0.35">
      <c r="A54" s="38"/>
      <c r="B54" s="38"/>
      <c r="C54" s="38"/>
      <c r="D54" s="38"/>
      <c r="E54" s="115"/>
      <c r="F54" s="115"/>
      <c r="G54" s="115"/>
      <c r="H54" s="115"/>
      <c r="I54" s="115"/>
      <c r="J54" s="115"/>
      <c r="K54" s="115"/>
      <c r="L54" s="38"/>
      <c r="M54" s="38"/>
      <c r="N54" s="38"/>
      <c r="O54" s="38"/>
      <c r="P54" s="106" t="s">
        <v>110</v>
      </c>
      <c r="Q54" s="107"/>
      <c r="R54" s="107"/>
      <c r="S54" s="107"/>
      <c r="T54" s="106" t="s">
        <v>111</v>
      </c>
      <c r="U54" s="107"/>
      <c r="V54" s="107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46" t="s">
        <v>112</v>
      </c>
    </row>
    <row r="55" spans="1:34" x14ac:dyDescent="0.35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117" t="str">
        <f>CONCATENATE("Date : ",TEXT(K12,"[$-409]d mmm yyyy;@"))</f>
        <v>Date : 1 Jan 1900</v>
      </c>
      <c r="Q55" s="107"/>
      <c r="R55" s="117"/>
      <c r="S55" s="107"/>
      <c r="T55" s="117" t="str">
        <f>CONCATENATE("Date : ",TEXT(K12,"[$-409]d mmm yyyy;@"))</f>
        <v>Date : 1 Jan 1900</v>
      </c>
      <c r="U55" s="107"/>
      <c r="V55" s="107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46" t="s">
        <v>113</v>
      </c>
    </row>
    <row r="56" spans="1:34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46" t="s">
        <v>114</v>
      </c>
    </row>
    <row r="57" spans="1:34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46" t="s">
        <v>115</v>
      </c>
    </row>
    <row r="58" spans="1:34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46" t="s">
        <v>116</v>
      </c>
    </row>
    <row r="59" spans="1:34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46" t="s">
        <v>117</v>
      </c>
    </row>
    <row r="60" spans="1:34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46" t="s">
        <v>118</v>
      </c>
    </row>
    <row r="61" spans="1:34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46" t="s">
        <v>119</v>
      </c>
    </row>
    <row r="62" spans="1:34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46" t="s">
        <v>120</v>
      </c>
    </row>
    <row r="63" spans="1:34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46" t="s">
        <v>121</v>
      </c>
    </row>
    <row r="64" spans="1:34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46" t="s">
        <v>122</v>
      </c>
    </row>
    <row r="65" spans="1:34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46" t="s">
        <v>123</v>
      </c>
    </row>
    <row r="66" spans="1:34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46" t="s">
        <v>124</v>
      </c>
    </row>
    <row r="67" spans="1:34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46" t="s">
        <v>125</v>
      </c>
    </row>
    <row r="68" spans="1:34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46" t="s">
        <v>126</v>
      </c>
    </row>
    <row r="69" spans="1:34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46" t="s">
        <v>127</v>
      </c>
    </row>
    <row r="70" spans="1:34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46" t="s">
        <v>128</v>
      </c>
    </row>
    <row r="71" spans="1:34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46" t="s">
        <v>129</v>
      </c>
    </row>
    <row r="72" spans="1:34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46" t="s">
        <v>130</v>
      </c>
    </row>
  </sheetData>
  <mergeCells count="49">
    <mergeCell ref="M13:N13"/>
    <mergeCell ref="A10:V10"/>
    <mergeCell ref="A11:V11"/>
    <mergeCell ref="K12:L12"/>
    <mergeCell ref="A13:A15"/>
    <mergeCell ref="B13:B14"/>
    <mergeCell ref="C13:C14"/>
    <mergeCell ref="D13:D14"/>
    <mergeCell ref="E13:E14"/>
    <mergeCell ref="F13:F14"/>
    <mergeCell ref="G13:G14"/>
    <mergeCell ref="H13:H14"/>
    <mergeCell ref="I13:I14"/>
    <mergeCell ref="J13:J14"/>
    <mergeCell ref="K13:K14"/>
    <mergeCell ref="L13:L14"/>
    <mergeCell ref="S20:V20"/>
    <mergeCell ref="O13:O14"/>
    <mergeCell ref="P13:P14"/>
    <mergeCell ref="Q13:Q14"/>
    <mergeCell ref="R13:R14"/>
    <mergeCell ref="S13:V15"/>
    <mergeCell ref="AD14:AD15"/>
    <mergeCell ref="S16:V16"/>
    <mergeCell ref="S17:V17"/>
    <mergeCell ref="S18:V18"/>
    <mergeCell ref="S19:V19"/>
    <mergeCell ref="Y14:AC14"/>
    <mergeCell ref="S32:V32"/>
    <mergeCell ref="S21:V21"/>
    <mergeCell ref="S22:V22"/>
    <mergeCell ref="S23:V23"/>
    <mergeCell ref="S24:V24"/>
    <mergeCell ref="S25:V25"/>
    <mergeCell ref="S26:V26"/>
    <mergeCell ref="S27:V27"/>
    <mergeCell ref="S28:V28"/>
    <mergeCell ref="S29:V29"/>
    <mergeCell ref="S30:V30"/>
    <mergeCell ref="S31:V31"/>
    <mergeCell ref="S39:V39"/>
    <mergeCell ref="S40:V40"/>
    <mergeCell ref="S41:V42"/>
    <mergeCell ref="S33:V33"/>
    <mergeCell ref="S34:V34"/>
    <mergeCell ref="S35:V35"/>
    <mergeCell ref="S36:V36"/>
    <mergeCell ref="S37:V37"/>
    <mergeCell ref="S38:V38"/>
  </mergeCells>
  <conditionalFormatting sqref="B16:R39">
    <cfRule type="expression" dxfId="3" priority="1">
      <formula>ISTEXT(B16)</formula>
    </cfRule>
  </conditionalFormatting>
  <conditionalFormatting sqref="I47">
    <cfRule type="cellIs" dxfId="2" priority="4" operator="lessThan">
      <formula>0</formula>
    </cfRule>
  </conditionalFormatting>
  <dataValidations disablePrompts="1" count="2">
    <dataValidation type="list" allowBlank="1" showInputMessage="1" showErrorMessage="1" sqref="Y16:Y39" xr:uid="{B0E16FA3-DEE6-4088-B674-C233C38191E4}">
      <formula1>"SD,STBY"</formula1>
    </dataValidation>
    <dataValidation type="list" allowBlank="1" showInputMessage="1" sqref="AD16:AD39" xr:uid="{FE322B7B-28CD-4F5F-A55B-80BF69B0E798}">
      <formula1>$AH$15:$AH$72</formula1>
    </dataValidation>
  </dataValidation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8E88426C-3070-4EE2-B081-BF40B4300539}">
            <xm:f>NOT(ISERROR(SEARCH("STBY",Y16)))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3" operator="containsText" id="{95D813AF-4755-48D2-8E87-CFC999740B68}">
            <xm:f>NOT(ISERROR(SEARCH("SD",Y16)))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Y16:Y39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2022 ALFONSUS VEGA HENTYA TANOJO</dc:creator>
  <cp:lastModifiedBy>2022 ALFONSUS VEGA HENTYA TANOJO</cp:lastModifiedBy>
  <dcterms:created xsi:type="dcterms:W3CDTF">2025-10-28T08:06:03Z</dcterms:created>
  <dcterms:modified xsi:type="dcterms:W3CDTF">2025-10-28T08:50:19Z</dcterms:modified>
</cp:coreProperties>
</file>