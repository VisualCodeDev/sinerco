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27" codeName="{0730EB3F-75F1-03CD-C966-41DC9FD4AD3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SynologyDrive\MR\Final - MR &amp; BA\2025\6\Tambun\"/>
    </mc:Choice>
  </mc:AlternateContent>
  <xr:revisionPtr revIDLastSave="0" documentId="13_ncr:1_{DFB0C166-B46B-4E38-9AEF-AF00060D9701}" xr6:coauthVersionLast="47" xr6:coauthVersionMax="47" xr10:uidLastSave="{00000000-0000-0000-0000-000000000000}"/>
  <bookViews>
    <workbookView xWindow="-120" yWindow="-120" windowWidth="21840" windowHeight="13020" xr2:uid="{00000000-000D-0000-FFFF-FFFF00000000}"/>
  </bookViews>
  <sheets>
    <sheet name="PRINT" sheetId="33" r:id="rId1"/>
    <sheet name="Recap" sheetId="70" state="hidden" r:id="rId2"/>
    <sheet name="MR" sheetId="32" state="hidden" r:id="rId3"/>
    <sheet name="Summary" sheetId="36" state="hidden" r:id="rId4"/>
    <sheet name="V Calc" sheetId="38" state="hidden" r:id="rId5"/>
    <sheet name="Volume" sheetId="39" state="hidden" r:id="rId6"/>
    <sheet name="Schedule" sheetId="34" r:id="rId7"/>
    <sheet name="Lube" sheetId="37" state="hidden" r:id="rId8"/>
    <sheet name="Day 1" sheetId="1" r:id="rId9"/>
    <sheet name="Day 2" sheetId="40" r:id="rId10"/>
    <sheet name="Day 3" sheetId="41" r:id="rId11"/>
    <sheet name="Day 4" sheetId="42" r:id="rId12"/>
    <sheet name="Day 5" sheetId="43" r:id="rId13"/>
    <sheet name="Day 6" sheetId="44" r:id="rId14"/>
    <sheet name="Day 7" sheetId="45" r:id="rId15"/>
    <sheet name="Day 8" sheetId="46" r:id="rId16"/>
    <sheet name="Day 9" sheetId="47" r:id="rId17"/>
    <sheet name="Day 10" sheetId="48" r:id="rId18"/>
    <sheet name="Day 11" sheetId="49" r:id="rId19"/>
    <sheet name="Day 12" sheetId="50" r:id="rId20"/>
    <sheet name="Day 13" sheetId="51" r:id="rId21"/>
    <sheet name="Day 14" sheetId="52" r:id="rId22"/>
    <sheet name="Day 15" sheetId="53" r:id="rId23"/>
    <sheet name="Day 16" sheetId="54" r:id="rId24"/>
    <sheet name="Day 17" sheetId="55" r:id="rId25"/>
    <sheet name="Day 18" sheetId="56" r:id="rId26"/>
    <sheet name="Day 19" sheetId="57" r:id="rId27"/>
    <sheet name="Day 20" sheetId="58" r:id="rId28"/>
    <sheet name="Day 21" sheetId="59" r:id="rId29"/>
    <sheet name="Day 22" sheetId="60" r:id="rId30"/>
    <sheet name="Day 23" sheetId="61" r:id="rId31"/>
    <sheet name="Day 24" sheetId="62" r:id="rId32"/>
    <sheet name="Day 25" sheetId="63" r:id="rId33"/>
    <sheet name="Day 26" sheetId="64" r:id="rId34"/>
    <sheet name="Day 27" sheetId="65" r:id="rId35"/>
    <sheet name="Day 28" sheetId="66" r:id="rId36"/>
    <sheet name="Day 29" sheetId="67" r:id="rId37"/>
    <sheet name="Day 30" sheetId="68" r:id="rId38"/>
  </sheets>
  <definedNames>
    <definedName name="_xlnm.Print_Area" localSheetId="8">'Day 1'!$A$3:$V$55</definedName>
    <definedName name="_xlnm.Print_Area" localSheetId="17">'Day 10'!$A$3:$V$55</definedName>
    <definedName name="_xlnm.Print_Area" localSheetId="18">'Day 11'!$A$3:$V$55</definedName>
    <definedName name="_xlnm.Print_Area" localSheetId="19">'Day 12'!$A$3:$V$55</definedName>
    <definedName name="_xlnm.Print_Area" localSheetId="20">'Day 13'!$A$3:$V$55</definedName>
    <definedName name="_xlnm.Print_Area" localSheetId="21">'Day 14'!$A$3:$V$55</definedName>
    <definedName name="_xlnm.Print_Area" localSheetId="22">'Day 15'!$A$3:$V$55</definedName>
    <definedName name="_xlnm.Print_Area" localSheetId="23">'Day 16'!$A$3:$V$55</definedName>
    <definedName name="_xlnm.Print_Area" localSheetId="24">'Day 17'!$A$3:$V$55</definedName>
    <definedName name="_xlnm.Print_Area" localSheetId="25">'Day 18'!$A$3:$V$55</definedName>
    <definedName name="_xlnm.Print_Area" localSheetId="26">'Day 19'!$A$3:$V$55</definedName>
    <definedName name="_xlnm.Print_Area" localSheetId="9">'Day 2'!$A$3:$V$55</definedName>
    <definedName name="_xlnm.Print_Area" localSheetId="27">'Day 20'!$A$3:$V$55</definedName>
    <definedName name="_xlnm.Print_Area" localSheetId="28">'Day 21'!$A$3:$V$55</definedName>
    <definedName name="_xlnm.Print_Area" localSheetId="29">'Day 22'!$A$3:$V$55</definedName>
    <definedName name="_xlnm.Print_Area" localSheetId="30">'Day 23'!$A$3:$V$55</definedName>
    <definedName name="_xlnm.Print_Area" localSheetId="31">'Day 24'!$A$3:$V$55</definedName>
    <definedName name="_xlnm.Print_Area" localSheetId="32">'Day 25'!$A$3:$V$55</definedName>
    <definedName name="_xlnm.Print_Area" localSheetId="33">'Day 26'!$A$3:$V$55</definedName>
    <definedName name="_xlnm.Print_Area" localSheetId="34">'Day 27'!$A$3:$V$55</definedName>
    <definedName name="_xlnm.Print_Area" localSheetId="35">'Day 28'!$A$3:$V$55</definedName>
    <definedName name="_xlnm.Print_Area" localSheetId="36">'Day 29'!$A$3:$V$55</definedName>
    <definedName name="_xlnm.Print_Area" localSheetId="10">'Day 3'!$A$3:$V$55</definedName>
    <definedName name="_xlnm.Print_Area" localSheetId="37">'Day 30'!$A$3:$V$55</definedName>
    <definedName name="_xlnm.Print_Area" localSheetId="11">'Day 4'!$A$3:$V$55</definedName>
    <definedName name="_xlnm.Print_Area" localSheetId="12">'Day 5'!$A$3:$V$55</definedName>
    <definedName name="_xlnm.Print_Area" localSheetId="13">'Day 6'!$A$3:$V$55</definedName>
    <definedName name="_xlnm.Print_Area" localSheetId="14">'Day 7'!$A$3:$V$55</definedName>
    <definedName name="_xlnm.Print_Area" localSheetId="15">'Day 8'!$A$3:$V$55</definedName>
    <definedName name="_xlnm.Print_Area" localSheetId="16">'Day 9'!$A$3:$V$55</definedName>
    <definedName name="_xlnm.Print_Area" localSheetId="7">Lube!$B$1:$E$35</definedName>
    <definedName name="_xlnm.Print_Area" localSheetId="2">MR!$B$1:$R$59</definedName>
    <definedName name="_xlnm.Print_Area" localSheetId="0">PRINT!$B$1:$R$59</definedName>
    <definedName name="_xlnm.Print_Area" localSheetId="6">Schedule!$B$1:$F$34</definedName>
    <definedName name="_xlnm.Print_Area" localSheetId="3">Summary!$H$1:$N$42</definedName>
    <definedName name="_xlnm.Print_Area" localSheetId="5">Volume!$B$1:$Q$36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70" l="1"/>
  <c r="E40" i="40" l="1"/>
  <c r="E40" i="41"/>
  <c r="E40" i="42"/>
  <c r="E40" i="43"/>
  <c r="E40" i="44"/>
  <c r="E40" i="45"/>
  <c r="E40" i="46"/>
  <c r="E40" i="47"/>
  <c r="E40" i="48"/>
  <c r="E40" i="49"/>
  <c r="E40" i="50"/>
  <c r="E40" i="51"/>
  <c r="E40" i="52"/>
  <c r="E40" i="53"/>
  <c r="E40" i="54"/>
  <c r="E40" i="55"/>
  <c r="E40" i="56"/>
  <c r="E40" i="57"/>
  <c r="E40" i="58"/>
  <c r="E40" i="59"/>
  <c r="E40" i="60"/>
  <c r="E40" i="61"/>
  <c r="E40" i="62"/>
  <c r="E40" i="63"/>
  <c r="E40" i="64"/>
  <c r="E40" i="65"/>
  <c r="E40" i="66"/>
  <c r="E40" i="67"/>
  <c r="E40" i="68"/>
  <c r="E40" i="1"/>
  <c r="E41" i="40"/>
  <c r="E41" i="41"/>
  <c r="E41" i="42"/>
  <c r="E41" i="43"/>
  <c r="E41" i="44"/>
  <c r="E41" i="45"/>
  <c r="E41" i="46"/>
  <c r="E41" i="47"/>
  <c r="E41" i="48"/>
  <c r="E41" i="49"/>
  <c r="E41" i="50"/>
  <c r="E41" i="51"/>
  <c r="E41" i="52"/>
  <c r="E41" i="53"/>
  <c r="E41" i="54"/>
  <c r="E41" i="55"/>
  <c r="E41" i="56"/>
  <c r="E41" i="57"/>
  <c r="E41" i="58"/>
  <c r="E41" i="59"/>
  <c r="E41" i="60"/>
  <c r="E41" i="61"/>
  <c r="E41" i="62"/>
  <c r="E41" i="63"/>
  <c r="E41" i="64"/>
  <c r="E41" i="65"/>
  <c r="E41" i="66"/>
  <c r="E41" i="67"/>
  <c r="E41" i="68"/>
  <c r="E41" i="1"/>
  <c r="E42" i="40"/>
  <c r="E42" i="41"/>
  <c r="E42" i="42"/>
  <c r="E42" i="43"/>
  <c r="E42" i="44"/>
  <c r="E42" i="45"/>
  <c r="E42" i="46"/>
  <c r="E42" i="47"/>
  <c r="E42" i="48"/>
  <c r="E42" i="49"/>
  <c r="E42" i="50"/>
  <c r="E42" i="51"/>
  <c r="E42" i="52"/>
  <c r="E42" i="53"/>
  <c r="E42" i="54"/>
  <c r="E42" i="55"/>
  <c r="E42" i="56"/>
  <c r="E42" i="57"/>
  <c r="E42" i="58"/>
  <c r="E42" i="59"/>
  <c r="E42" i="60"/>
  <c r="E42" i="61"/>
  <c r="E42" i="62"/>
  <c r="E42" i="63"/>
  <c r="E42" i="64"/>
  <c r="E42" i="65"/>
  <c r="E42" i="66"/>
  <c r="E42" i="67"/>
  <c r="E42" i="68"/>
  <c r="E42" i="1"/>
  <c r="D42" i="40"/>
  <c r="D42" i="41"/>
  <c r="D42" i="42"/>
  <c r="D42" i="43"/>
  <c r="D42" i="44"/>
  <c r="D42" i="45"/>
  <c r="D42" i="46"/>
  <c r="D42" i="47"/>
  <c r="D42" i="48"/>
  <c r="D42" i="49"/>
  <c r="D42" i="50"/>
  <c r="D42" i="51"/>
  <c r="D42" i="52"/>
  <c r="D42" i="53"/>
  <c r="D42" i="54"/>
  <c r="D42" i="55"/>
  <c r="D42" i="56"/>
  <c r="D42" i="57"/>
  <c r="D42" i="58"/>
  <c r="D42" i="59"/>
  <c r="D42" i="60"/>
  <c r="D42" i="61"/>
  <c r="D42" i="62"/>
  <c r="D42" i="63"/>
  <c r="D42" i="64"/>
  <c r="D42" i="65"/>
  <c r="D42" i="66"/>
  <c r="D42" i="67"/>
  <c r="D42" i="68"/>
  <c r="D42" i="1"/>
  <c r="D41" i="40"/>
  <c r="D41" i="41"/>
  <c r="D41" i="42"/>
  <c r="D41" i="43"/>
  <c r="D41" i="44"/>
  <c r="D41" i="45"/>
  <c r="D41" i="46"/>
  <c r="D41" i="47"/>
  <c r="D41" i="48"/>
  <c r="D41" i="49"/>
  <c r="D41" i="50"/>
  <c r="D41" i="51"/>
  <c r="D41" i="52"/>
  <c r="D41" i="53"/>
  <c r="D41" i="54"/>
  <c r="D41" i="55"/>
  <c r="D41" i="56"/>
  <c r="D41" i="57"/>
  <c r="D41" i="58"/>
  <c r="D41" i="59"/>
  <c r="D41" i="60"/>
  <c r="D41" i="61"/>
  <c r="D41" i="62"/>
  <c r="D41" i="63"/>
  <c r="D41" i="64"/>
  <c r="D41" i="65"/>
  <c r="D41" i="66"/>
  <c r="D41" i="67"/>
  <c r="D41" i="68"/>
  <c r="D41" i="1"/>
  <c r="D40" i="40"/>
  <c r="D40" i="41"/>
  <c r="D40" i="42"/>
  <c r="D40" i="43"/>
  <c r="D40" i="44"/>
  <c r="D40" i="45"/>
  <c r="D40" i="46"/>
  <c r="D40" i="47"/>
  <c r="D40" i="48"/>
  <c r="D40" i="49"/>
  <c r="D40" i="50"/>
  <c r="D40" i="51"/>
  <c r="D40" i="52"/>
  <c r="D40" i="53"/>
  <c r="D40" i="54"/>
  <c r="D40" i="55"/>
  <c r="D40" i="56"/>
  <c r="D40" i="57"/>
  <c r="D40" i="58"/>
  <c r="D40" i="59"/>
  <c r="D40" i="60"/>
  <c r="D40" i="61"/>
  <c r="D40" i="62"/>
  <c r="D40" i="63"/>
  <c r="D40" i="64"/>
  <c r="D40" i="65"/>
  <c r="D40" i="66"/>
  <c r="D40" i="67"/>
  <c r="D40" i="68"/>
  <c r="D40" i="1"/>
  <c r="C42" i="40"/>
  <c r="C42" i="41"/>
  <c r="C42" i="42"/>
  <c r="C42" i="43"/>
  <c r="C42" i="44"/>
  <c r="C42" i="45"/>
  <c r="C42" i="46"/>
  <c r="C42" i="47"/>
  <c r="C42" i="48"/>
  <c r="C42" i="49"/>
  <c r="C42" i="50"/>
  <c r="C42" i="51"/>
  <c r="C42" i="52"/>
  <c r="C42" i="53"/>
  <c r="C42" i="54"/>
  <c r="C42" i="55"/>
  <c r="C42" i="56"/>
  <c r="C42" i="57"/>
  <c r="C42" i="58"/>
  <c r="C42" i="59"/>
  <c r="C42" i="60"/>
  <c r="C42" i="61"/>
  <c r="C42" i="62"/>
  <c r="C42" i="63"/>
  <c r="C42" i="64"/>
  <c r="C42" i="65"/>
  <c r="C42" i="66"/>
  <c r="C42" i="67"/>
  <c r="C42" i="68"/>
  <c r="C42" i="1"/>
  <c r="C41" i="40"/>
  <c r="C41" i="41"/>
  <c r="C41" i="42"/>
  <c r="C41" i="43"/>
  <c r="C41" i="44"/>
  <c r="C41" i="45"/>
  <c r="C41" i="46"/>
  <c r="C41" i="47"/>
  <c r="C41" i="48"/>
  <c r="C41" i="49"/>
  <c r="C41" i="50"/>
  <c r="C41" i="51"/>
  <c r="C41" i="52"/>
  <c r="C41" i="53"/>
  <c r="C41" i="54"/>
  <c r="C41" i="55"/>
  <c r="C41" i="56"/>
  <c r="C41" i="57"/>
  <c r="C41" i="58"/>
  <c r="C41" i="59"/>
  <c r="C41" i="60"/>
  <c r="C41" i="61"/>
  <c r="C41" i="62"/>
  <c r="C41" i="63"/>
  <c r="C41" i="64"/>
  <c r="C41" i="65"/>
  <c r="C41" i="66"/>
  <c r="C41" i="67"/>
  <c r="C41" i="68"/>
  <c r="C41" i="1"/>
  <c r="C40" i="40"/>
  <c r="C40" i="41"/>
  <c r="C40" i="42"/>
  <c r="C40" i="43"/>
  <c r="C40" i="44"/>
  <c r="C40" i="45"/>
  <c r="C40" i="46"/>
  <c r="C40" i="47"/>
  <c r="C40" i="48"/>
  <c r="C40" i="49"/>
  <c r="C40" i="50"/>
  <c r="C40" i="51"/>
  <c r="C40" i="52"/>
  <c r="C40" i="53"/>
  <c r="C40" i="54"/>
  <c r="C40" i="55"/>
  <c r="C40" i="56"/>
  <c r="C40" i="57"/>
  <c r="C40" i="58"/>
  <c r="C40" i="59"/>
  <c r="C40" i="60"/>
  <c r="C40" i="61"/>
  <c r="C40" i="62"/>
  <c r="C40" i="63"/>
  <c r="C40" i="64"/>
  <c r="C40" i="65"/>
  <c r="C40" i="66"/>
  <c r="C40" i="67"/>
  <c r="C40" i="68"/>
  <c r="C40" i="1"/>
  <c r="B42" i="40"/>
  <c r="B42" i="41"/>
  <c r="B42" i="42"/>
  <c r="B42" i="43"/>
  <c r="B42" i="44"/>
  <c r="B42" i="45"/>
  <c r="B42" i="46"/>
  <c r="B42" i="47"/>
  <c r="B42" i="48"/>
  <c r="B42" i="49"/>
  <c r="B42" i="50"/>
  <c r="B42" i="51"/>
  <c r="B42" i="52"/>
  <c r="B42" i="53"/>
  <c r="B42" i="54"/>
  <c r="B42" i="55"/>
  <c r="B42" i="56"/>
  <c r="B42" i="57"/>
  <c r="B42" i="58"/>
  <c r="B42" i="59"/>
  <c r="B42" i="60"/>
  <c r="B42" i="61"/>
  <c r="B42" i="62"/>
  <c r="B42" i="63"/>
  <c r="B42" i="64"/>
  <c r="B42" i="65"/>
  <c r="B42" i="66"/>
  <c r="B42" i="67"/>
  <c r="B42" i="68"/>
  <c r="B42" i="1"/>
  <c r="B41" i="40"/>
  <c r="B41" i="41"/>
  <c r="B41" i="42"/>
  <c r="B41" i="43"/>
  <c r="B41" i="44"/>
  <c r="B41" i="45"/>
  <c r="B41" i="46"/>
  <c r="B41" i="47"/>
  <c r="B41" i="48"/>
  <c r="B41" i="49"/>
  <c r="B41" i="50"/>
  <c r="B41" i="51"/>
  <c r="B41" i="52"/>
  <c r="B41" i="53"/>
  <c r="B41" i="54"/>
  <c r="B41" i="55"/>
  <c r="B41" i="56"/>
  <c r="B41" i="57"/>
  <c r="B41" i="58"/>
  <c r="B41" i="59"/>
  <c r="B41" i="60"/>
  <c r="B41" i="61"/>
  <c r="B41" i="62"/>
  <c r="B41" i="63"/>
  <c r="B41" i="64"/>
  <c r="B41" i="65"/>
  <c r="B41" i="66"/>
  <c r="B41" i="67"/>
  <c r="B41" i="68"/>
  <c r="B41" i="1"/>
  <c r="B40" i="40"/>
  <c r="B40" i="41"/>
  <c r="B40" i="42"/>
  <c r="B40" i="43"/>
  <c r="B40" i="44"/>
  <c r="B40" i="45"/>
  <c r="B40" i="46"/>
  <c r="B40" i="47"/>
  <c r="B40" i="48"/>
  <c r="B40" i="49"/>
  <c r="B40" i="50"/>
  <c r="B40" i="51"/>
  <c r="B40" i="52"/>
  <c r="B40" i="53"/>
  <c r="B40" i="54"/>
  <c r="B40" i="55"/>
  <c r="B40" i="56"/>
  <c r="B40" i="57"/>
  <c r="B40" i="58"/>
  <c r="B40" i="59"/>
  <c r="B40" i="60"/>
  <c r="B40" i="61"/>
  <c r="B40" i="62"/>
  <c r="B40" i="63"/>
  <c r="B40" i="64"/>
  <c r="B40" i="65"/>
  <c r="B40" i="66"/>
  <c r="B40" i="67"/>
  <c r="B40" i="68"/>
  <c r="B40" i="1"/>
  <c r="O41" i="1" l="1"/>
  <c r="P42" i="1"/>
  <c r="P41" i="1"/>
  <c r="O42" i="1"/>
  <c r="P40" i="1" l="1"/>
  <c r="O47" i="1" s="1"/>
  <c r="O40" i="1"/>
  <c r="O46" i="1" s="1"/>
  <c r="U4" i="39" s="1"/>
  <c r="K40" i="40"/>
  <c r="K40" i="41"/>
  <c r="K40" i="42"/>
  <c r="K40" i="43"/>
  <c r="K40" i="44"/>
  <c r="K40" i="45"/>
  <c r="K40" i="46"/>
  <c r="K40" i="47"/>
  <c r="K40" i="48"/>
  <c r="K40" i="49"/>
  <c r="K40" i="50"/>
  <c r="K40" i="51"/>
  <c r="K40" i="52"/>
  <c r="K40" i="53"/>
  <c r="K40" i="54"/>
  <c r="K40" i="55"/>
  <c r="K40" i="56"/>
  <c r="K40" i="57"/>
  <c r="K40" i="58"/>
  <c r="K40" i="59"/>
  <c r="K40" i="60"/>
  <c r="K40" i="61"/>
  <c r="K40" i="62"/>
  <c r="K40" i="63"/>
  <c r="K40" i="64"/>
  <c r="K40" i="65"/>
  <c r="K40" i="66"/>
  <c r="K40" i="67"/>
  <c r="K40" i="68"/>
  <c r="K40" i="1"/>
  <c r="AH490" i="39"/>
  <c r="AI490" i="39"/>
  <c r="AJ490" i="39"/>
  <c r="AK490" i="39"/>
  <c r="AH491" i="39"/>
  <c r="AI491" i="39"/>
  <c r="AJ491" i="39"/>
  <c r="AK491" i="39"/>
  <c r="AH492" i="39"/>
  <c r="AI492" i="39"/>
  <c r="AJ492" i="39"/>
  <c r="AK492" i="39"/>
  <c r="AH493" i="39"/>
  <c r="AI493" i="39"/>
  <c r="AJ493" i="39"/>
  <c r="AK493" i="39"/>
  <c r="AH494" i="39"/>
  <c r="AI494" i="39"/>
  <c r="AJ494" i="39"/>
  <c r="AK494" i="39"/>
  <c r="AH495" i="39"/>
  <c r="AI495" i="39"/>
  <c r="AJ495" i="39"/>
  <c r="AK495" i="39"/>
  <c r="AH496" i="39"/>
  <c r="AI496" i="39"/>
  <c r="AJ496" i="39"/>
  <c r="AK496" i="39"/>
  <c r="AH497" i="39"/>
  <c r="AI497" i="39"/>
  <c r="AJ497" i="39"/>
  <c r="AK497" i="39"/>
  <c r="AH498" i="39"/>
  <c r="AI498" i="39"/>
  <c r="AJ498" i="39"/>
  <c r="AK498" i="39"/>
  <c r="AH499" i="39"/>
  <c r="AI499" i="39"/>
  <c r="AJ499" i="39"/>
  <c r="AK499" i="39"/>
  <c r="AH500" i="39"/>
  <c r="AI500" i="39"/>
  <c r="AJ500" i="39"/>
  <c r="AK500" i="39"/>
  <c r="AH501" i="39"/>
  <c r="AI501" i="39"/>
  <c r="AJ501" i="39"/>
  <c r="AK501" i="39"/>
  <c r="AH502" i="39"/>
  <c r="AI502" i="39"/>
  <c r="AJ502" i="39"/>
  <c r="AK502" i="39"/>
  <c r="AH503" i="39"/>
  <c r="AI503" i="39"/>
  <c r="AJ503" i="39"/>
  <c r="AK503" i="39"/>
  <c r="AH504" i="39"/>
  <c r="AI504" i="39"/>
  <c r="AJ504" i="39"/>
  <c r="AK504" i="39"/>
  <c r="AH505" i="39"/>
  <c r="AI505" i="39"/>
  <c r="AJ505" i="39"/>
  <c r="AK505" i="39"/>
  <c r="AH506" i="39"/>
  <c r="AI506" i="39"/>
  <c r="AJ506" i="39"/>
  <c r="AK506" i="39"/>
  <c r="AH507" i="39"/>
  <c r="AI507" i="39"/>
  <c r="AJ507" i="39"/>
  <c r="AK507" i="39"/>
  <c r="AH508" i="39"/>
  <c r="AI508" i="39"/>
  <c r="AJ508" i="39"/>
  <c r="AK508" i="39"/>
  <c r="AH509" i="39"/>
  <c r="AI509" i="39"/>
  <c r="AJ509" i="39"/>
  <c r="AK509" i="39"/>
  <c r="AH510" i="39"/>
  <c r="AI510" i="39"/>
  <c r="AJ510" i="39"/>
  <c r="AK510" i="39"/>
  <c r="AH511" i="39"/>
  <c r="AI511" i="39"/>
  <c r="AJ511" i="39"/>
  <c r="AK511" i="39"/>
  <c r="AH512" i="39"/>
  <c r="AI512" i="39"/>
  <c r="AJ512" i="39"/>
  <c r="AK512" i="39"/>
  <c r="AH513" i="39"/>
  <c r="AI513" i="39"/>
  <c r="AJ513" i="39"/>
  <c r="AK513" i="39"/>
  <c r="AH514" i="39"/>
  <c r="AI514" i="39"/>
  <c r="AJ514" i="39"/>
  <c r="AK514" i="39"/>
  <c r="AH515" i="39"/>
  <c r="AI515" i="39"/>
  <c r="AJ515" i="39"/>
  <c r="AK515" i="39"/>
  <c r="AH516" i="39"/>
  <c r="AI516" i="39"/>
  <c r="AJ516" i="39"/>
  <c r="AK516" i="39"/>
  <c r="AH517" i="39"/>
  <c r="AI517" i="39"/>
  <c r="AJ517" i="39"/>
  <c r="AK517" i="39"/>
  <c r="AH518" i="39"/>
  <c r="AI518" i="39"/>
  <c r="AJ518" i="39"/>
  <c r="AK518" i="39"/>
  <c r="AH519" i="39"/>
  <c r="AI519" i="39"/>
  <c r="AJ519" i="39"/>
  <c r="AK519" i="39"/>
  <c r="AH520" i="39"/>
  <c r="AI520" i="39"/>
  <c r="AJ520" i="39"/>
  <c r="AK520" i="39"/>
  <c r="AH521" i="39"/>
  <c r="AI521" i="39"/>
  <c r="AJ521" i="39"/>
  <c r="AK521" i="39"/>
  <c r="AH522" i="39"/>
  <c r="AI522" i="39"/>
  <c r="AJ522" i="39"/>
  <c r="AK522" i="39"/>
  <c r="AH523" i="39"/>
  <c r="AI523" i="39"/>
  <c r="AJ523" i="39"/>
  <c r="AK523" i="39"/>
  <c r="AH524" i="39"/>
  <c r="AI524" i="39"/>
  <c r="AJ524" i="39"/>
  <c r="AK524" i="39"/>
  <c r="AH525" i="39"/>
  <c r="AI525" i="39"/>
  <c r="AJ525" i="39"/>
  <c r="AK525" i="39"/>
  <c r="AH526" i="39"/>
  <c r="AI526" i="39"/>
  <c r="AJ526" i="39"/>
  <c r="AK526" i="39"/>
  <c r="AH527" i="39"/>
  <c r="AI527" i="39"/>
  <c r="AJ527" i="39"/>
  <c r="AK527" i="39"/>
  <c r="AH528" i="39"/>
  <c r="AI528" i="39"/>
  <c r="AJ528" i="39"/>
  <c r="AK528" i="39"/>
  <c r="AH529" i="39"/>
  <c r="AI529" i="39"/>
  <c r="AJ529" i="39"/>
  <c r="AK529" i="39"/>
  <c r="AH530" i="39"/>
  <c r="AI530" i="39"/>
  <c r="AJ530" i="39"/>
  <c r="AK530" i="39"/>
  <c r="AH531" i="39"/>
  <c r="AI531" i="39"/>
  <c r="AJ531" i="39"/>
  <c r="AK531" i="39"/>
  <c r="AH532" i="39"/>
  <c r="AI532" i="39"/>
  <c r="AJ532" i="39"/>
  <c r="AK532" i="39"/>
  <c r="AH533" i="39"/>
  <c r="AI533" i="39"/>
  <c r="AJ533" i="39"/>
  <c r="AK533" i="39"/>
  <c r="AH534" i="39"/>
  <c r="AI534" i="39"/>
  <c r="AJ534" i="39"/>
  <c r="AK534" i="39"/>
  <c r="AH535" i="39"/>
  <c r="AI535" i="39"/>
  <c r="AJ535" i="39"/>
  <c r="AK535" i="39"/>
  <c r="AH536" i="39"/>
  <c r="AI536" i="39"/>
  <c r="AJ536" i="39"/>
  <c r="AK536" i="39"/>
  <c r="AH537" i="39"/>
  <c r="AI537" i="39"/>
  <c r="AJ537" i="39"/>
  <c r="AK537" i="39"/>
  <c r="AH538" i="39"/>
  <c r="AI538" i="39"/>
  <c r="AJ538" i="39"/>
  <c r="AK538" i="39"/>
  <c r="AH539" i="39"/>
  <c r="AI539" i="39"/>
  <c r="AJ539" i="39"/>
  <c r="AK539" i="39"/>
  <c r="AH540" i="39"/>
  <c r="AI540" i="39"/>
  <c r="AJ540" i="39"/>
  <c r="AK540" i="39"/>
  <c r="AH541" i="39"/>
  <c r="AI541" i="39"/>
  <c r="AJ541" i="39"/>
  <c r="AK541" i="39"/>
  <c r="AH542" i="39"/>
  <c r="AI542" i="39"/>
  <c r="AJ542" i="39"/>
  <c r="AK542" i="39"/>
  <c r="AH600" i="39"/>
  <c r="AI600" i="39"/>
  <c r="AJ600" i="39"/>
  <c r="AK600" i="39"/>
  <c r="AH601" i="39"/>
  <c r="AI601" i="39"/>
  <c r="AJ601" i="39"/>
  <c r="AK601" i="39"/>
  <c r="AH602" i="39"/>
  <c r="AI602" i="39"/>
  <c r="AJ602" i="39"/>
  <c r="AK602" i="39"/>
  <c r="AH603" i="39"/>
  <c r="AI603" i="39"/>
  <c r="AJ603" i="39"/>
  <c r="AK603" i="39"/>
  <c r="AH604" i="39"/>
  <c r="AI604" i="39"/>
  <c r="AJ604" i="39"/>
  <c r="AK604" i="39"/>
  <c r="AH605" i="39"/>
  <c r="AI605" i="39"/>
  <c r="AJ605" i="39"/>
  <c r="AK605" i="39"/>
  <c r="AH606" i="39"/>
  <c r="AI606" i="39"/>
  <c r="AJ606" i="39"/>
  <c r="AK606" i="39"/>
  <c r="AH607" i="39"/>
  <c r="AI607" i="39"/>
  <c r="AJ607" i="39"/>
  <c r="AK607" i="39"/>
  <c r="AH608" i="39"/>
  <c r="AI608" i="39"/>
  <c r="AJ608" i="39"/>
  <c r="AK608" i="39"/>
  <c r="AH609" i="39"/>
  <c r="AI609" i="39"/>
  <c r="AJ609" i="39"/>
  <c r="AK609" i="39"/>
  <c r="AH610" i="39"/>
  <c r="AI610" i="39"/>
  <c r="AJ610" i="39"/>
  <c r="AK610" i="39"/>
  <c r="AH611" i="39"/>
  <c r="AI611" i="39"/>
  <c r="AJ611" i="39"/>
  <c r="AK611" i="39"/>
  <c r="AH612" i="39"/>
  <c r="AI612" i="39"/>
  <c r="AJ612" i="39"/>
  <c r="AK612" i="39"/>
  <c r="AH613" i="39"/>
  <c r="AI613" i="39"/>
  <c r="AJ613" i="39"/>
  <c r="AK613" i="39"/>
  <c r="AH614" i="39"/>
  <c r="AI614" i="39"/>
  <c r="AJ614" i="39"/>
  <c r="AK614" i="39"/>
  <c r="AH615" i="39"/>
  <c r="AI615" i="39"/>
  <c r="AJ615" i="39"/>
  <c r="AK615" i="39"/>
  <c r="AH616" i="39"/>
  <c r="AI616" i="39"/>
  <c r="AJ616" i="39"/>
  <c r="AK616" i="39"/>
  <c r="AH617" i="39"/>
  <c r="AI617" i="39"/>
  <c r="AJ617" i="39"/>
  <c r="AK617" i="39"/>
  <c r="AH618" i="39"/>
  <c r="AI618" i="39"/>
  <c r="AJ618" i="39"/>
  <c r="AK618" i="39"/>
  <c r="AH619" i="39"/>
  <c r="AI619" i="39"/>
  <c r="AJ619" i="39"/>
  <c r="AK619" i="39"/>
  <c r="AH620" i="39"/>
  <c r="AI620" i="39"/>
  <c r="AJ620" i="39"/>
  <c r="AK620" i="39"/>
  <c r="AH621" i="39"/>
  <c r="AI621" i="39"/>
  <c r="AJ621" i="39"/>
  <c r="AK621" i="39"/>
  <c r="AH622" i="39"/>
  <c r="AI622" i="39"/>
  <c r="AJ622" i="39"/>
  <c r="AK622" i="39"/>
  <c r="AH623" i="39"/>
  <c r="AI623" i="39"/>
  <c r="AJ623" i="39"/>
  <c r="AK623" i="39"/>
  <c r="AH624" i="39"/>
  <c r="AI624" i="39"/>
  <c r="AJ624" i="39"/>
  <c r="AK624" i="39"/>
  <c r="AH625" i="39"/>
  <c r="AI625" i="39"/>
  <c r="AJ625" i="39"/>
  <c r="AK625" i="39"/>
  <c r="AH626" i="39"/>
  <c r="AI626" i="39"/>
  <c r="AJ626" i="39"/>
  <c r="AK626" i="39"/>
  <c r="AH627" i="39"/>
  <c r="AI627" i="39"/>
  <c r="AJ627" i="39"/>
  <c r="AK627" i="39"/>
  <c r="AH628" i="39"/>
  <c r="AI628" i="39"/>
  <c r="AJ628" i="39"/>
  <c r="AK628" i="39"/>
  <c r="AH629" i="39"/>
  <c r="AI629" i="39"/>
  <c r="AJ629" i="39"/>
  <c r="AK629" i="39"/>
  <c r="AH630" i="39"/>
  <c r="AI630" i="39"/>
  <c r="AJ630" i="39"/>
  <c r="AK630" i="39"/>
  <c r="AH631" i="39"/>
  <c r="AI631" i="39"/>
  <c r="AJ631" i="39"/>
  <c r="AK631" i="39"/>
  <c r="AH632" i="39"/>
  <c r="AI632" i="39"/>
  <c r="AJ632" i="39"/>
  <c r="AK632" i="39"/>
  <c r="AH633" i="39"/>
  <c r="AI633" i="39"/>
  <c r="AJ633" i="39"/>
  <c r="AK633" i="39"/>
  <c r="AH634" i="39"/>
  <c r="AI634" i="39"/>
  <c r="AJ634" i="39"/>
  <c r="AK634" i="39"/>
  <c r="AH635" i="39"/>
  <c r="AI635" i="39"/>
  <c r="AJ635" i="39"/>
  <c r="AK635" i="39"/>
  <c r="AH636" i="39"/>
  <c r="AI636" i="39"/>
  <c r="AJ636" i="39"/>
  <c r="AK636" i="39"/>
  <c r="AH637" i="39"/>
  <c r="AI637" i="39"/>
  <c r="AJ637" i="39"/>
  <c r="AK637" i="39"/>
  <c r="AH638" i="39"/>
  <c r="AI638" i="39"/>
  <c r="AJ638" i="39"/>
  <c r="AK638" i="39"/>
  <c r="AH639" i="39"/>
  <c r="AI639" i="39"/>
  <c r="AJ639" i="39"/>
  <c r="AK639" i="39"/>
  <c r="AH640" i="39"/>
  <c r="AI640" i="39"/>
  <c r="AJ640" i="39"/>
  <c r="AK640" i="39"/>
  <c r="AH641" i="39"/>
  <c r="AI641" i="39"/>
  <c r="AJ641" i="39"/>
  <c r="AK641" i="39"/>
  <c r="AH642" i="39"/>
  <c r="AI642" i="39"/>
  <c r="AJ642" i="39"/>
  <c r="AK642" i="39"/>
  <c r="AH643" i="39"/>
  <c r="AI643" i="39"/>
  <c r="AJ643" i="39"/>
  <c r="AK643" i="39"/>
  <c r="AH644" i="39"/>
  <c r="AI644" i="39"/>
  <c r="AJ644" i="39"/>
  <c r="AK644" i="39"/>
  <c r="AH645" i="39"/>
  <c r="AI645" i="39"/>
  <c r="AJ645" i="39"/>
  <c r="AK645" i="39"/>
  <c r="AH646" i="39"/>
  <c r="AI646" i="39"/>
  <c r="AJ646" i="39"/>
  <c r="AK646" i="39"/>
  <c r="AH647" i="39"/>
  <c r="AI647" i="39"/>
  <c r="AJ647" i="39"/>
  <c r="AK647" i="39"/>
  <c r="AH648" i="39"/>
  <c r="AI648" i="39"/>
  <c r="AJ648" i="39"/>
  <c r="AK648" i="39"/>
  <c r="AH546" i="39"/>
  <c r="AI546" i="39"/>
  <c r="AJ546" i="39"/>
  <c r="AK546" i="39"/>
  <c r="AH547" i="39"/>
  <c r="AI547" i="39"/>
  <c r="AJ547" i="39"/>
  <c r="AK547" i="39"/>
  <c r="AH548" i="39"/>
  <c r="AI548" i="39"/>
  <c r="AJ548" i="39"/>
  <c r="AK548" i="39"/>
  <c r="AH549" i="39"/>
  <c r="AI549" i="39"/>
  <c r="AJ549" i="39"/>
  <c r="AK549" i="39"/>
  <c r="AH550" i="39"/>
  <c r="AI550" i="39"/>
  <c r="AJ550" i="39"/>
  <c r="AK550" i="39"/>
  <c r="AH551" i="39"/>
  <c r="AI551" i="39"/>
  <c r="AJ551" i="39"/>
  <c r="AK551" i="39"/>
  <c r="AH552" i="39"/>
  <c r="AI552" i="39"/>
  <c r="AJ552" i="39"/>
  <c r="AK552" i="39"/>
  <c r="AH553" i="39"/>
  <c r="AI553" i="39"/>
  <c r="AJ553" i="39"/>
  <c r="AK553" i="39"/>
  <c r="AH554" i="39"/>
  <c r="AI554" i="39"/>
  <c r="AJ554" i="39"/>
  <c r="AK554" i="39"/>
  <c r="AH555" i="39"/>
  <c r="AI555" i="39"/>
  <c r="AJ555" i="39"/>
  <c r="AK555" i="39"/>
  <c r="AH556" i="39"/>
  <c r="AI556" i="39"/>
  <c r="AJ556" i="39"/>
  <c r="AK556" i="39"/>
  <c r="AH557" i="39"/>
  <c r="AI557" i="39"/>
  <c r="AJ557" i="39"/>
  <c r="AK557" i="39"/>
  <c r="AH558" i="39"/>
  <c r="AI558" i="39"/>
  <c r="AJ558" i="39"/>
  <c r="AK558" i="39"/>
  <c r="AH559" i="39"/>
  <c r="AI559" i="39"/>
  <c r="AJ559" i="39"/>
  <c r="AK559" i="39"/>
  <c r="AH560" i="39"/>
  <c r="AI560" i="39"/>
  <c r="AJ560" i="39"/>
  <c r="AK560" i="39"/>
  <c r="AH561" i="39"/>
  <c r="AI561" i="39"/>
  <c r="AJ561" i="39"/>
  <c r="AK561" i="39"/>
  <c r="AH562" i="39"/>
  <c r="AI562" i="39"/>
  <c r="AJ562" i="39"/>
  <c r="AK562" i="39"/>
  <c r="AH563" i="39"/>
  <c r="AI563" i="39"/>
  <c r="AJ563" i="39"/>
  <c r="AK563" i="39"/>
  <c r="AH564" i="39"/>
  <c r="AI564" i="39"/>
  <c r="AJ564" i="39"/>
  <c r="AK564" i="39"/>
  <c r="AH565" i="39"/>
  <c r="AI565" i="39"/>
  <c r="AJ565" i="39"/>
  <c r="AK565" i="39"/>
  <c r="AH566" i="39"/>
  <c r="AI566" i="39"/>
  <c r="AJ566" i="39"/>
  <c r="AK566" i="39"/>
  <c r="AH567" i="39"/>
  <c r="AI567" i="39"/>
  <c r="AJ567" i="39"/>
  <c r="AK567" i="39"/>
  <c r="AH568" i="39"/>
  <c r="AI568" i="39"/>
  <c r="AJ568" i="39"/>
  <c r="AK568" i="39"/>
  <c r="AH569" i="39"/>
  <c r="AI569" i="39"/>
  <c r="AJ569" i="39"/>
  <c r="AK569" i="39"/>
  <c r="AH570" i="39"/>
  <c r="AI570" i="39"/>
  <c r="AJ570" i="39"/>
  <c r="AK570" i="39"/>
  <c r="AH571" i="39"/>
  <c r="AI571" i="39"/>
  <c r="AJ571" i="39"/>
  <c r="AK571" i="39"/>
  <c r="AH572" i="39"/>
  <c r="AI572" i="39"/>
  <c r="AJ572" i="39"/>
  <c r="AK572" i="39"/>
  <c r="AH573" i="39"/>
  <c r="AI573" i="39"/>
  <c r="AJ573" i="39"/>
  <c r="AK573" i="39"/>
  <c r="AH574" i="39"/>
  <c r="AI574" i="39"/>
  <c r="AJ574" i="39"/>
  <c r="AK574" i="39"/>
  <c r="AH575" i="39"/>
  <c r="AI575" i="39"/>
  <c r="AJ575" i="39"/>
  <c r="AK575" i="39"/>
  <c r="AH576" i="39"/>
  <c r="AI576" i="39"/>
  <c r="AJ576" i="39"/>
  <c r="AK576" i="39"/>
  <c r="AH577" i="39"/>
  <c r="AI577" i="39"/>
  <c r="AJ577" i="39"/>
  <c r="AK577" i="39"/>
  <c r="AH578" i="39"/>
  <c r="AI578" i="39"/>
  <c r="AJ578" i="39"/>
  <c r="AK578" i="39"/>
  <c r="AH579" i="39"/>
  <c r="AI579" i="39"/>
  <c r="AJ579" i="39"/>
  <c r="AK579" i="39"/>
  <c r="AH580" i="39"/>
  <c r="AI580" i="39"/>
  <c r="AJ580" i="39"/>
  <c r="AK580" i="39"/>
  <c r="AH581" i="39"/>
  <c r="AI581" i="39"/>
  <c r="AJ581" i="39"/>
  <c r="AK581" i="39"/>
  <c r="AH582" i="39"/>
  <c r="AI582" i="39"/>
  <c r="AJ582" i="39"/>
  <c r="AK582" i="39"/>
  <c r="AH583" i="39"/>
  <c r="AI583" i="39"/>
  <c r="AJ583" i="39"/>
  <c r="AK583" i="39"/>
  <c r="AH584" i="39"/>
  <c r="AI584" i="39"/>
  <c r="AJ584" i="39"/>
  <c r="AK584" i="39"/>
  <c r="AH585" i="39"/>
  <c r="AI585" i="39"/>
  <c r="AJ585" i="39"/>
  <c r="AK585" i="39"/>
  <c r="AH586" i="39"/>
  <c r="AI586" i="39"/>
  <c r="AJ586" i="39"/>
  <c r="AK586" i="39"/>
  <c r="AH587" i="39"/>
  <c r="AI587" i="39"/>
  <c r="AJ587" i="39"/>
  <c r="AK587" i="39"/>
  <c r="AH588" i="39"/>
  <c r="AI588" i="39"/>
  <c r="AJ588" i="39"/>
  <c r="AK588" i="39"/>
  <c r="AH589" i="39"/>
  <c r="AI589" i="39"/>
  <c r="AJ589" i="39"/>
  <c r="AK589" i="39"/>
  <c r="AH590" i="39"/>
  <c r="AI590" i="39"/>
  <c r="AJ590" i="39"/>
  <c r="AK590" i="39"/>
  <c r="AH591" i="39"/>
  <c r="AI591" i="39"/>
  <c r="AJ591" i="39"/>
  <c r="AK591" i="39"/>
  <c r="AH592" i="39"/>
  <c r="AI592" i="39"/>
  <c r="AJ592" i="39"/>
  <c r="AK592" i="39"/>
  <c r="AH593" i="39"/>
  <c r="AI593" i="39"/>
  <c r="AJ593" i="39"/>
  <c r="AK593" i="39"/>
  <c r="AH594" i="39"/>
  <c r="AI594" i="39"/>
  <c r="AJ594" i="39"/>
  <c r="AK594" i="39"/>
  <c r="AH595" i="39"/>
  <c r="AI595" i="39"/>
  <c r="AJ595" i="39"/>
  <c r="AK595" i="39"/>
  <c r="AH596" i="39"/>
  <c r="AI596" i="39"/>
  <c r="AJ596" i="39"/>
  <c r="AK596" i="39"/>
  <c r="AH391" i="39"/>
  <c r="AI391" i="39"/>
  <c r="AJ391" i="39"/>
  <c r="AK391" i="39"/>
  <c r="AH392" i="39"/>
  <c r="AI392" i="39"/>
  <c r="AJ392" i="39"/>
  <c r="AK392" i="39"/>
  <c r="AH393" i="39"/>
  <c r="AI393" i="39"/>
  <c r="AJ393" i="39"/>
  <c r="AK393" i="39"/>
  <c r="AH394" i="39"/>
  <c r="AI394" i="39"/>
  <c r="AJ394" i="39"/>
  <c r="AK394" i="39"/>
  <c r="AH332" i="39"/>
  <c r="AI332" i="39"/>
  <c r="AJ332" i="39"/>
  <c r="AK332" i="39"/>
  <c r="AH333" i="39"/>
  <c r="AI333" i="39"/>
  <c r="AJ333" i="39"/>
  <c r="AK333" i="39"/>
  <c r="AH334" i="39"/>
  <c r="AI334" i="39"/>
  <c r="AJ334" i="39"/>
  <c r="AK334" i="39"/>
  <c r="AH460" i="39"/>
  <c r="AI460" i="39"/>
  <c r="AJ460" i="39"/>
  <c r="AK460" i="39"/>
  <c r="AH461" i="39"/>
  <c r="AI461" i="39"/>
  <c r="AJ461" i="39"/>
  <c r="AK461" i="39"/>
  <c r="AH462" i="39"/>
  <c r="AI462" i="39"/>
  <c r="AJ462" i="39"/>
  <c r="AK462" i="39"/>
  <c r="AH463" i="39"/>
  <c r="AI463" i="39"/>
  <c r="AJ463" i="39"/>
  <c r="AK463" i="39"/>
  <c r="AH464" i="39"/>
  <c r="AI464" i="39"/>
  <c r="AJ464" i="39"/>
  <c r="AK464" i="39"/>
  <c r="AH465" i="39"/>
  <c r="AI465" i="39"/>
  <c r="AJ465" i="39"/>
  <c r="AK465" i="39"/>
  <c r="AH466" i="39"/>
  <c r="AI466" i="39"/>
  <c r="AJ466" i="39"/>
  <c r="AK466" i="39"/>
  <c r="AH467" i="39"/>
  <c r="AI467" i="39"/>
  <c r="AJ467" i="39"/>
  <c r="AK467" i="39"/>
  <c r="AH433" i="39"/>
  <c r="AI433" i="39"/>
  <c r="AJ433" i="39"/>
  <c r="AK433" i="39"/>
  <c r="AH434" i="39"/>
  <c r="AI434" i="39"/>
  <c r="AJ434" i="39"/>
  <c r="AK434" i="39"/>
  <c r="AH435" i="39"/>
  <c r="AI435" i="39"/>
  <c r="AJ435" i="39"/>
  <c r="AK435" i="39"/>
  <c r="AH436" i="39"/>
  <c r="AI436" i="39"/>
  <c r="AJ436" i="39"/>
  <c r="AK436" i="39"/>
  <c r="AH437" i="39"/>
  <c r="AI437" i="39"/>
  <c r="AJ437" i="39"/>
  <c r="AK437" i="39"/>
  <c r="AH438" i="39"/>
  <c r="AI438" i="39"/>
  <c r="AJ438" i="39"/>
  <c r="AK438" i="39"/>
  <c r="AH439" i="39"/>
  <c r="AI439" i="39"/>
  <c r="AJ439" i="39"/>
  <c r="AK439" i="39"/>
  <c r="AH440" i="39"/>
  <c r="AI440" i="39"/>
  <c r="AJ440" i="39"/>
  <c r="AK440" i="39"/>
  <c r="AH441" i="39"/>
  <c r="AI441" i="39"/>
  <c r="AJ441" i="39"/>
  <c r="AK441" i="39"/>
  <c r="AH442" i="39"/>
  <c r="AI442" i="39"/>
  <c r="AJ442" i="39"/>
  <c r="AK442" i="39"/>
  <c r="AH443" i="39"/>
  <c r="AI443" i="39"/>
  <c r="AJ443" i="39"/>
  <c r="AK443" i="39"/>
  <c r="AH444" i="39"/>
  <c r="AI444" i="39"/>
  <c r="AJ444" i="39"/>
  <c r="AK444" i="39"/>
  <c r="AH445" i="39"/>
  <c r="AI445" i="39"/>
  <c r="AJ445" i="39"/>
  <c r="AK445" i="39"/>
  <c r="AH446" i="39"/>
  <c r="AI446" i="39"/>
  <c r="AJ446" i="39"/>
  <c r="AK446" i="39"/>
  <c r="AH447" i="39"/>
  <c r="AI447" i="39"/>
  <c r="AJ447" i="39"/>
  <c r="AK447" i="39"/>
  <c r="AH448" i="39"/>
  <c r="AI448" i="39"/>
  <c r="AJ448" i="39"/>
  <c r="AK448" i="39"/>
  <c r="AH449" i="39"/>
  <c r="AI449" i="39"/>
  <c r="AJ449" i="39"/>
  <c r="AK449" i="39"/>
  <c r="AH450" i="39"/>
  <c r="AI450" i="39"/>
  <c r="AJ450" i="39"/>
  <c r="AK450" i="39"/>
  <c r="AH451" i="39"/>
  <c r="AI451" i="39"/>
  <c r="AJ451" i="39"/>
  <c r="AK451" i="39"/>
  <c r="AH452" i="39"/>
  <c r="AI452" i="39"/>
  <c r="AJ452" i="39"/>
  <c r="AK452" i="39"/>
  <c r="AH453" i="39"/>
  <c r="AI453" i="39"/>
  <c r="AJ453" i="39"/>
  <c r="AK453" i="39"/>
  <c r="AH454" i="39"/>
  <c r="AI454" i="39"/>
  <c r="AJ454" i="39"/>
  <c r="AK454" i="39"/>
  <c r="AH455" i="39"/>
  <c r="AI455" i="39"/>
  <c r="AJ455" i="39"/>
  <c r="AK455" i="39"/>
  <c r="AH456" i="39"/>
  <c r="AI456" i="39"/>
  <c r="AJ456" i="39"/>
  <c r="AK456" i="39"/>
  <c r="AH457" i="39"/>
  <c r="AI457" i="39"/>
  <c r="AJ457" i="39"/>
  <c r="AK457" i="39"/>
  <c r="AH458" i="39"/>
  <c r="AI458" i="39"/>
  <c r="AJ458" i="39"/>
  <c r="AK458" i="39"/>
  <c r="AH459" i="39"/>
  <c r="AI459" i="39"/>
  <c r="AJ459" i="39"/>
  <c r="AK459" i="39"/>
  <c r="AH468" i="39"/>
  <c r="AI468" i="39"/>
  <c r="AJ468" i="39"/>
  <c r="AK468" i="39"/>
  <c r="AH469" i="39"/>
  <c r="AI469" i="39"/>
  <c r="AJ469" i="39"/>
  <c r="AK469" i="39"/>
  <c r="AH470" i="39"/>
  <c r="AI470" i="39"/>
  <c r="AJ470" i="39"/>
  <c r="AK470" i="39"/>
  <c r="AH471" i="39"/>
  <c r="AI471" i="39"/>
  <c r="AJ471" i="39"/>
  <c r="AK471" i="39"/>
  <c r="AH472" i="39"/>
  <c r="AI472" i="39"/>
  <c r="AJ472" i="39"/>
  <c r="AK472" i="39"/>
  <c r="AH473" i="39"/>
  <c r="AI473" i="39"/>
  <c r="AJ473" i="39"/>
  <c r="AK473" i="39"/>
  <c r="AH474" i="39"/>
  <c r="AI474" i="39"/>
  <c r="AJ474" i="39"/>
  <c r="AK474" i="39"/>
  <c r="AH475" i="39"/>
  <c r="AI475" i="39"/>
  <c r="AJ475" i="39"/>
  <c r="AK475" i="39"/>
  <c r="AH476" i="39"/>
  <c r="AI476" i="39"/>
  <c r="AJ476" i="39"/>
  <c r="AK476" i="39"/>
  <c r="AH477" i="39"/>
  <c r="AI477" i="39"/>
  <c r="AJ477" i="39"/>
  <c r="AK477" i="39"/>
  <c r="AH478" i="39"/>
  <c r="AI478" i="39"/>
  <c r="AJ478" i="39"/>
  <c r="AK478" i="39"/>
  <c r="AH479" i="39"/>
  <c r="AI479" i="39"/>
  <c r="AJ479" i="39"/>
  <c r="AK479" i="39"/>
  <c r="AH480" i="39"/>
  <c r="AI480" i="39"/>
  <c r="AJ480" i="39"/>
  <c r="AK480" i="39"/>
  <c r="AH481" i="39"/>
  <c r="AI481" i="39"/>
  <c r="AJ481" i="39"/>
  <c r="AK481" i="39"/>
  <c r="AH482" i="39"/>
  <c r="AI482" i="39"/>
  <c r="AJ482" i="39"/>
  <c r="AK482" i="39"/>
  <c r="AH483" i="39"/>
  <c r="AI483" i="39"/>
  <c r="AJ483" i="39"/>
  <c r="AK483" i="39"/>
  <c r="AH484" i="39"/>
  <c r="AI484" i="39"/>
  <c r="AJ484" i="39"/>
  <c r="AK484" i="39"/>
  <c r="AH485" i="39"/>
  <c r="AI485" i="39"/>
  <c r="AJ485" i="39"/>
  <c r="AK485" i="39"/>
  <c r="AH486" i="39"/>
  <c r="AI486" i="39"/>
  <c r="AJ486" i="39"/>
  <c r="AK486" i="39"/>
  <c r="AH382" i="39"/>
  <c r="AI382" i="39"/>
  <c r="AJ382" i="39"/>
  <c r="AK382" i="39"/>
  <c r="AH383" i="39"/>
  <c r="AI383" i="39"/>
  <c r="AJ383" i="39"/>
  <c r="AK383" i="39"/>
  <c r="AH384" i="39"/>
  <c r="AI384" i="39"/>
  <c r="AJ384" i="39"/>
  <c r="AK384" i="39"/>
  <c r="AH385" i="39"/>
  <c r="AI385" i="39"/>
  <c r="AJ385" i="39"/>
  <c r="AK385" i="39"/>
  <c r="AH386" i="39"/>
  <c r="AI386" i="39"/>
  <c r="AJ386" i="39"/>
  <c r="AK386" i="39"/>
  <c r="AH387" i="39"/>
  <c r="AI387" i="39"/>
  <c r="AJ387" i="39"/>
  <c r="AK387" i="39"/>
  <c r="AH388" i="39"/>
  <c r="AI388" i="39"/>
  <c r="AJ388" i="39"/>
  <c r="AK388" i="39"/>
  <c r="AH389" i="39"/>
  <c r="AI389" i="39"/>
  <c r="AJ389" i="39"/>
  <c r="AK389" i="39"/>
  <c r="AH390" i="39"/>
  <c r="AI390" i="39"/>
  <c r="AJ390" i="39"/>
  <c r="AK390" i="39"/>
  <c r="AH395" i="39"/>
  <c r="AI395" i="39"/>
  <c r="AJ395" i="39"/>
  <c r="AK395" i="39"/>
  <c r="AH396" i="39"/>
  <c r="AI396" i="39"/>
  <c r="AJ396" i="39"/>
  <c r="AK396" i="39"/>
  <c r="AH397" i="39"/>
  <c r="AI397" i="39"/>
  <c r="AJ397" i="39"/>
  <c r="AK397" i="39"/>
  <c r="AH398" i="39"/>
  <c r="AI398" i="39"/>
  <c r="AJ398" i="39"/>
  <c r="AK398" i="39"/>
  <c r="AH399" i="39"/>
  <c r="AI399" i="39"/>
  <c r="AJ399" i="39"/>
  <c r="AK399" i="39"/>
  <c r="AH400" i="39"/>
  <c r="AI400" i="39"/>
  <c r="AJ400" i="39"/>
  <c r="AK400" i="39"/>
  <c r="AH401" i="39"/>
  <c r="AI401" i="39"/>
  <c r="AJ401" i="39"/>
  <c r="AK401" i="39"/>
  <c r="AH402" i="39"/>
  <c r="AI402" i="39"/>
  <c r="AJ402" i="39"/>
  <c r="AK402" i="39"/>
  <c r="AH403" i="39"/>
  <c r="AI403" i="39"/>
  <c r="AJ403" i="39"/>
  <c r="AK403" i="39"/>
  <c r="AH404" i="39"/>
  <c r="AI404" i="39"/>
  <c r="AJ404" i="39"/>
  <c r="AK404" i="39"/>
  <c r="AH405" i="39"/>
  <c r="AI405" i="39"/>
  <c r="AJ405" i="39"/>
  <c r="AK405" i="39"/>
  <c r="AH406" i="39"/>
  <c r="AI406" i="39"/>
  <c r="AJ406" i="39"/>
  <c r="AK406" i="39"/>
  <c r="AH407" i="39"/>
  <c r="AI407" i="39"/>
  <c r="AJ407" i="39"/>
  <c r="AK407" i="39"/>
  <c r="AH408" i="39"/>
  <c r="AI408" i="39"/>
  <c r="AJ408" i="39"/>
  <c r="AK408" i="39"/>
  <c r="AH409" i="39"/>
  <c r="AI409" i="39"/>
  <c r="AJ409" i="39"/>
  <c r="AK409" i="39"/>
  <c r="AH410" i="39"/>
  <c r="AI410" i="39"/>
  <c r="AJ410" i="39"/>
  <c r="AK410" i="39"/>
  <c r="AH411" i="39"/>
  <c r="AI411" i="39"/>
  <c r="AJ411" i="39"/>
  <c r="AK411" i="39"/>
  <c r="AH412" i="39"/>
  <c r="AI412" i="39"/>
  <c r="AJ412" i="39"/>
  <c r="AK412" i="39"/>
  <c r="AH413" i="39"/>
  <c r="AI413" i="39"/>
  <c r="AJ413" i="39"/>
  <c r="AK413" i="39"/>
  <c r="AH414" i="39"/>
  <c r="AI414" i="39"/>
  <c r="AJ414" i="39"/>
  <c r="AK414" i="39"/>
  <c r="AH415" i="39"/>
  <c r="AI415" i="39"/>
  <c r="AJ415" i="39"/>
  <c r="AK415" i="39"/>
  <c r="AH416" i="39"/>
  <c r="AI416" i="39"/>
  <c r="AJ416" i="39"/>
  <c r="AK416" i="39"/>
  <c r="AH417" i="39"/>
  <c r="AI417" i="39"/>
  <c r="AJ417" i="39"/>
  <c r="AK417" i="39"/>
  <c r="AH418" i="39"/>
  <c r="AI418" i="39"/>
  <c r="AJ418" i="39"/>
  <c r="AK418" i="39"/>
  <c r="AH419" i="39"/>
  <c r="AI419" i="39"/>
  <c r="AJ419" i="39"/>
  <c r="AK419" i="39"/>
  <c r="AH420" i="39"/>
  <c r="AI420" i="39"/>
  <c r="AJ420" i="39"/>
  <c r="AK420" i="39"/>
  <c r="AH421" i="39"/>
  <c r="AI421" i="39"/>
  <c r="AJ421" i="39"/>
  <c r="AK421" i="39"/>
  <c r="AH422" i="39"/>
  <c r="AI422" i="39"/>
  <c r="AJ422" i="39"/>
  <c r="AK422" i="39"/>
  <c r="AH423" i="39"/>
  <c r="AI423" i="39"/>
  <c r="AJ423" i="39"/>
  <c r="AK423" i="39"/>
  <c r="AH424" i="39"/>
  <c r="AI424" i="39"/>
  <c r="AJ424" i="39"/>
  <c r="AK424" i="39"/>
  <c r="AH425" i="39"/>
  <c r="AI425" i="39"/>
  <c r="AJ425" i="39"/>
  <c r="AK425" i="39"/>
  <c r="AH426" i="39"/>
  <c r="AI426" i="39"/>
  <c r="AJ426" i="39"/>
  <c r="AK426" i="39"/>
  <c r="AH427" i="39"/>
  <c r="AI427" i="39"/>
  <c r="AJ427" i="39"/>
  <c r="AK427" i="39"/>
  <c r="AH428" i="39"/>
  <c r="AI428" i="39"/>
  <c r="AJ428" i="39"/>
  <c r="AK428" i="39"/>
  <c r="AH429" i="39"/>
  <c r="AI429" i="39"/>
  <c r="AJ429" i="39"/>
  <c r="AK429" i="39"/>
  <c r="AH325" i="39"/>
  <c r="AI325" i="39"/>
  <c r="AJ325" i="39"/>
  <c r="AK325" i="39"/>
  <c r="AH326" i="39"/>
  <c r="AI326" i="39"/>
  <c r="AJ326" i="39"/>
  <c r="AK326" i="39"/>
  <c r="AH327" i="39"/>
  <c r="AI327" i="39"/>
  <c r="AJ327" i="39"/>
  <c r="AK327" i="39"/>
  <c r="AH328" i="39"/>
  <c r="AI328" i="39"/>
  <c r="AJ328" i="39"/>
  <c r="AK328" i="39"/>
  <c r="AH329" i="39"/>
  <c r="AI329" i="39"/>
  <c r="AJ329" i="39"/>
  <c r="AK329" i="39"/>
  <c r="AH330" i="39"/>
  <c r="AI330" i="39"/>
  <c r="AJ330" i="39"/>
  <c r="AK330" i="39"/>
  <c r="AH331" i="39"/>
  <c r="AI331" i="39"/>
  <c r="AJ331" i="39"/>
  <c r="AK331" i="39"/>
  <c r="AH335" i="39"/>
  <c r="AI335" i="39"/>
  <c r="AJ335" i="39"/>
  <c r="AK335" i="39"/>
  <c r="AH336" i="39"/>
  <c r="AI336" i="39"/>
  <c r="AJ336" i="39"/>
  <c r="AK336" i="39"/>
  <c r="AH337" i="39"/>
  <c r="AI337" i="39"/>
  <c r="AJ337" i="39"/>
  <c r="AK337" i="39"/>
  <c r="AH338" i="39"/>
  <c r="AI338" i="39"/>
  <c r="AJ338" i="39"/>
  <c r="AK338" i="39"/>
  <c r="AH339" i="39"/>
  <c r="AI339" i="39"/>
  <c r="AJ339" i="39"/>
  <c r="AK339" i="39"/>
  <c r="AH340" i="39"/>
  <c r="AI340" i="39"/>
  <c r="AJ340" i="39"/>
  <c r="AK340" i="39"/>
  <c r="AH341" i="39"/>
  <c r="AI341" i="39"/>
  <c r="AJ341" i="39"/>
  <c r="AK341" i="39"/>
  <c r="AH342" i="39"/>
  <c r="AI342" i="39"/>
  <c r="AJ342" i="39"/>
  <c r="AK342" i="39"/>
  <c r="AH343" i="39"/>
  <c r="AI343" i="39"/>
  <c r="AJ343" i="39"/>
  <c r="AK343" i="39"/>
  <c r="AH344" i="39"/>
  <c r="AI344" i="39"/>
  <c r="AJ344" i="39"/>
  <c r="AK344" i="39"/>
  <c r="AH345" i="39"/>
  <c r="AI345" i="39"/>
  <c r="AJ345" i="39"/>
  <c r="AK345" i="39"/>
  <c r="AH346" i="39"/>
  <c r="AI346" i="39"/>
  <c r="AJ346" i="39"/>
  <c r="AK346" i="39"/>
  <c r="AH347" i="39"/>
  <c r="AI347" i="39"/>
  <c r="AJ347" i="39"/>
  <c r="AK347" i="39"/>
  <c r="AH348" i="39"/>
  <c r="AI348" i="39"/>
  <c r="AJ348" i="39"/>
  <c r="AK348" i="39"/>
  <c r="AH349" i="39"/>
  <c r="AI349" i="39"/>
  <c r="AJ349" i="39"/>
  <c r="AK349" i="39"/>
  <c r="AH350" i="39"/>
  <c r="AI350" i="39"/>
  <c r="AJ350" i="39"/>
  <c r="AK350" i="39"/>
  <c r="AH351" i="39"/>
  <c r="AI351" i="39"/>
  <c r="AJ351" i="39"/>
  <c r="AK351" i="39"/>
  <c r="AH352" i="39"/>
  <c r="AI352" i="39"/>
  <c r="AJ352" i="39"/>
  <c r="AK352" i="39"/>
  <c r="AH353" i="39"/>
  <c r="AI353" i="39"/>
  <c r="AJ353" i="39"/>
  <c r="AK353" i="39"/>
  <c r="AH354" i="39"/>
  <c r="AI354" i="39"/>
  <c r="AJ354" i="39"/>
  <c r="AK354" i="39"/>
  <c r="AH355" i="39"/>
  <c r="AI355" i="39"/>
  <c r="AJ355" i="39"/>
  <c r="AK355" i="39"/>
  <c r="AH356" i="39"/>
  <c r="AI356" i="39"/>
  <c r="AJ356" i="39"/>
  <c r="AK356" i="39"/>
  <c r="AH357" i="39"/>
  <c r="AI357" i="39"/>
  <c r="AJ357" i="39"/>
  <c r="AK357" i="39"/>
  <c r="AH358" i="39"/>
  <c r="AI358" i="39"/>
  <c r="AJ358" i="39"/>
  <c r="AK358" i="39"/>
  <c r="AH359" i="39"/>
  <c r="AI359" i="39"/>
  <c r="AJ359" i="39"/>
  <c r="AK359" i="39"/>
  <c r="AH360" i="39"/>
  <c r="AI360" i="39"/>
  <c r="AJ360" i="39"/>
  <c r="AK360" i="39"/>
  <c r="AH361" i="39"/>
  <c r="AI361" i="39"/>
  <c r="AJ361" i="39"/>
  <c r="AK361" i="39"/>
  <c r="AH362" i="39"/>
  <c r="AI362" i="39"/>
  <c r="AJ362" i="39"/>
  <c r="AK362" i="39"/>
  <c r="AH363" i="39"/>
  <c r="AI363" i="39"/>
  <c r="AJ363" i="39"/>
  <c r="AK363" i="39"/>
  <c r="AH364" i="39"/>
  <c r="AI364" i="39"/>
  <c r="AJ364" i="39"/>
  <c r="AK364" i="39"/>
  <c r="AH365" i="39"/>
  <c r="AI365" i="39"/>
  <c r="AJ365" i="39"/>
  <c r="AK365" i="39"/>
  <c r="AH366" i="39"/>
  <c r="AI366" i="39"/>
  <c r="AJ366" i="39"/>
  <c r="AK366" i="39"/>
  <c r="AH367" i="39"/>
  <c r="AI367" i="39"/>
  <c r="AJ367" i="39"/>
  <c r="AK367" i="39"/>
  <c r="AH368" i="39"/>
  <c r="AI368" i="39"/>
  <c r="AJ368" i="39"/>
  <c r="AK368" i="39"/>
  <c r="AH369" i="39"/>
  <c r="AI369" i="39"/>
  <c r="AJ369" i="39"/>
  <c r="AK369" i="39"/>
  <c r="AH370" i="39"/>
  <c r="AI370" i="39"/>
  <c r="AJ370" i="39"/>
  <c r="AK370" i="39"/>
  <c r="AH371" i="39"/>
  <c r="AI371" i="39"/>
  <c r="AJ371" i="39"/>
  <c r="AK371" i="39"/>
  <c r="AH372" i="39"/>
  <c r="AI372" i="39"/>
  <c r="AJ372" i="39"/>
  <c r="AK372" i="39"/>
  <c r="AH373" i="39"/>
  <c r="AI373" i="39"/>
  <c r="AJ373" i="39"/>
  <c r="AK373" i="39"/>
  <c r="AH374" i="39"/>
  <c r="AI374" i="39"/>
  <c r="AJ374" i="39"/>
  <c r="AK374" i="39"/>
  <c r="AH375" i="39"/>
  <c r="AI375" i="39"/>
  <c r="AJ375" i="39"/>
  <c r="AK375" i="39"/>
  <c r="AH376" i="39"/>
  <c r="AI376" i="39"/>
  <c r="AJ376" i="39"/>
  <c r="AK376" i="39"/>
  <c r="AH377" i="39"/>
  <c r="AI377" i="39"/>
  <c r="AJ377" i="39"/>
  <c r="AK377" i="39"/>
  <c r="V4" i="39" l="1"/>
  <c r="M47" i="1"/>
  <c r="M46" i="1"/>
  <c r="AH155" i="39"/>
  <c r="AI155" i="39"/>
  <c r="AJ155" i="39"/>
  <c r="AK155" i="39"/>
  <c r="AH156" i="39"/>
  <c r="AI156" i="39"/>
  <c r="AJ156" i="39"/>
  <c r="AK156" i="39"/>
  <c r="AH157" i="39"/>
  <c r="AI157" i="39"/>
  <c r="AJ157" i="39"/>
  <c r="AK157" i="39"/>
  <c r="AH158" i="39"/>
  <c r="AI158" i="39"/>
  <c r="AJ158" i="39"/>
  <c r="AK158" i="39"/>
  <c r="AH159" i="39"/>
  <c r="AI159" i="39"/>
  <c r="AJ159" i="39"/>
  <c r="AK159" i="39"/>
  <c r="AH229" i="39"/>
  <c r="AI229" i="39"/>
  <c r="AJ229" i="39"/>
  <c r="AK229" i="39"/>
  <c r="AH216" i="39"/>
  <c r="AI216" i="39"/>
  <c r="AJ216" i="39"/>
  <c r="AK216" i="39"/>
  <c r="AH217" i="39"/>
  <c r="AI217" i="39"/>
  <c r="AJ217" i="39"/>
  <c r="AK217" i="39"/>
  <c r="AH218" i="39"/>
  <c r="AI218" i="39"/>
  <c r="AJ218" i="39"/>
  <c r="AK218" i="39"/>
  <c r="AH219" i="39"/>
  <c r="AI219" i="39"/>
  <c r="AJ219" i="39"/>
  <c r="AK219" i="39"/>
  <c r="AH290" i="39"/>
  <c r="AI290" i="39"/>
  <c r="AJ290" i="39"/>
  <c r="AK290" i="39"/>
  <c r="AH291" i="39"/>
  <c r="AI291" i="39"/>
  <c r="AJ291" i="39"/>
  <c r="AK291" i="39"/>
  <c r="AH292" i="39"/>
  <c r="AI292" i="39"/>
  <c r="AJ292" i="39"/>
  <c r="AK292" i="39"/>
  <c r="AH286" i="39"/>
  <c r="AI286" i="39"/>
  <c r="AJ286" i="39"/>
  <c r="AK286" i="39"/>
  <c r="AH279" i="39"/>
  <c r="AI279" i="39"/>
  <c r="AJ279" i="39"/>
  <c r="AK279" i="39"/>
  <c r="AH272" i="39"/>
  <c r="AI272" i="39"/>
  <c r="AJ272" i="39"/>
  <c r="AK272" i="39"/>
  <c r="L35" i="39" l="1"/>
  <c r="L34" i="39"/>
  <c r="S39" i="40"/>
  <c r="S38" i="40"/>
  <c r="S37" i="40"/>
  <c r="S36" i="40"/>
  <c r="S35" i="40"/>
  <c r="S34" i="40"/>
  <c r="S33" i="40"/>
  <c r="S32" i="40"/>
  <c r="S31" i="40"/>
  <c r="S30" i="40"/>
  <c r="S29" i="40"/>
  <c r="S28" i="40"/>
  <c r="S27" i="40"/>
  <c r="S26" i="40"/>
  <c r="S25" i="40"/>
  <c r="S24" i="40"/>
  <c r="S23" i="40"/>
  <c r="S22" i="40"/>
  <c r="S21" i="40"/>
  <c r="S20" i="40"/>
  <c r="S19" i="40"/>
  <c r="S18" i="40"/>
  <c r="S17" i="40"/>
  <c r="S16" i="40"/>
  <c r="S39" i="41"/>
  <c r="S38" i="41"/>
  <c r="S37" i="41"/>
  <c r="S36" i="41"/>
  <c r="S35" i="41"/>
  <c r="S34" i="41"/>
  <c r="S33" i="41"/>
  <c r="S32" i="41"/>
  <c r="S31" i="41"/>
  <c r="S30" i="41"/>
  <c r="S29" i="41"/>
  <c r="S28" i="41"/>
  <c r="S27" i="41"/>
  <c r="S26" i="41"/>
  <c r="S25" i="41"/>
  <c r="S24" i="41"/>
  <c r="S23" i="41"/>
  <c r="S22" i="41"/>
  <c r="S21" i="41"/>
  <c r="S20" i="41"/>
  <c r="S19" i="41"/>
  <c r="S18" i="41"/>
  <c r="S17" i="41"/>
  <c r="S16" i="41"/>
  <c r="S39" i="42"/>
  <c r="S38" i="42"/>
  <c r="S37" i="42"/>
  <c r="S36" i="42"/>
  <c r="S35" i="42"/>
  <c r="S34" i="42"/>
  <c r="S33" i="42"/>
  <c r="S32" i="42"/>
  <c r="S31" i="42"/>
  <c r="S30" i="42"/>
  <c r="S29" i="42"/>
  <c r="S28" i="42"/>
  <c r="S27" i="42"/>
  <c r="S26" i="42"/>
  <c r="S25" i="42"/>
  <c r="S24" i="42"/>
  <c r="S23" i="42"/>
  <c r="S22" i="42"/>
  <c r="S21" i="42"/>
  <c r="S20" i="42"/>
  <c r="S19" i="42"/>
  <c r="S18" i="42"/>
  <c r="S17" i="42"/>
  <c r="S16" i="42"/>
  <c r="S39" i="43"/>
  <c r="S38" i="43"/>
  <c r="S37" i="43"/>
  <c r="S36" i="43"/>
  <c r="S35" i="43"/>
  <c r="S34" i="43"/>
  <c r="S33" i="43"/>
  <c r="S32" i="43"/>
  <c r="S31" i="43"/>
  <c r="S30" i="43"/>
  <c r="S29" i="43"/>
  <c r="S28" i="43"/>
  <c r="S27" i="43"/>
  <c r="S26" i="43"/>
  <c r="S25" i="43"/>
  <c r="S24" i="43"/>
  <c r="S23" i="43"/>
  <c r="S22" i="43"/>
  <c r="S21" i="43"/>
  <c r="S20" i="43"/>
  <c r="S19" i="43"/>
  <c r="S18" i="43"/>
  <c r="S17" i="43"/>
  <c r="S16" i="43"/>
  <c r="S39" i="44"/>
  <c r="S38" i="44"/>
  <c r="S37" i="44"/>
  <c r="S36" i="44"/>
  <c r="S35" i="44"/>
  <c r="S34" i="44"/>
  <c r="S33" i="44"/>
  <c r="S32" i="44"/>
  <c r="S31" i="44"/>
  <c r="S30" i="44"/>
  <c r="S29" i="44"/>
  <c r="S28" i="44"/>
  <c r="S27" i="44"/>
  <c r="S26" i="44"/>
  <c r="S25" i="44"/>
  <c r="S24" i="44"/>
  <c r="S23" i="44"/>
  <c r="S22" i="44"/>
  <c r="S21" i="44"/>
  <c r="S20" i="44"/>
  <c r="S19" i="44"/>
  <c r="S18" i="44"/>
  <c r="S17" i="44"/>
  <c r="S16" i="44"/>
  <c r="S39" i="45"/>
  <c r="S38" i="45"/>
  <c r="S37" i="45"/>
  <c r="S36" i="45"/>
  <c r="S35" i="45"/>
  <c r="S34" i="45"/>
  <c r="S33" i="45"/>
  <c r="S32" i="45"/>
  <c r="S31" i="45"/>
  <c r="S30" i="45"/>
  <c r="S29" i="45"/>
  <c r="S28" i="45"/>
  <c r="S27" i="45"/>
  <c r="S26" i="45"/>
  <c r="S25" i="45"/>
  <c r="S24" i="45"/>
  <c r="S23" i="45"/>
  <c r="S22" i="45"/>
  <c r="S21" i="45"/>
  <c r="S20" i="45"/>
  <c r="S19" i="45"/>
  <c r="S18" i="45"/>
  <c r="S17" i="45"/>
  <c r="S16" i="45"/>
  <c r="S39" i="46"/>
  <c r="S38" i="46"/>
  <c r="S37" i="46"/>
  <c r="S36" i="46"/>
  <c r="S35" i="46"/>
  <c r="S34" i="46"/>
  <c r="S33" i="46"/>
  <c r="S32" i="46"/>
  <c r="S31" i="46"/>
  <c r="S30" i="46"/>
  <c r="S29" i="46"/>
  <c r="S28" i="46"/>
  <c r="S27" i="46"/>
  <c r="S26" i="46"/>
  <c r="S25" i="46"/>
  <c r="S24" i="46"/>
  <c r="S23" i="46"/>
  <c r="S22" i="46"/>
  <c r="S21" i="46"/>
  <c r="S20" i="46"/>
  <c r="S19" i="46"/>
  <c r="S18" i="46"/>
  <c r="S17" i="46"/>
  <c r="S16" i="46"/>
  <c r="S39" i="47"/>
  <c r="S38" i="47"/>
  <c r="S37" i="47"/>
  <c r="S36" i="47"/>
  <c r="S35" i="47"/>
  <c r="S34" i="47"/>
  <c r="S33" i="47"/>
  <c r="S32" i="47"/>
  <c r="S31" i="47"/>
  <c r="S30" i="47"/>
  <c r="S29" i="47"/>
  <c r="S28" i="47"/>
  <c r="S27" i="47"/>
  <c r="S26" i="47"/>
  <c r="S25" i="47"/>
  <c r="S24" i="47"/>
  <c r="S23" i="47"/>
  <c r="S22" i="47"/>
  <c r="S21" i="47"/>
  <c r="S20" i="47"/>
  <c r="S19" i="47"/>
  <c r="S18" i="47"/>
  <c r="S17" i="47"/>
  <c r="S16" i="47"/>
  <c r="S39" i="48"/>
  <c r="S38" i="48"/>
  <c r="S37" i="48"/>
  <c r="S36" i="48"/>
  <c r="S35" i="48"/>
  <c r="S34" i="48"/>
  <c r="S33" i="48"/>
  <c r="S32" i="48"/>
  <c r="S31" i="48"/>
  <c r="S30" i="48"/>
  <c r="S29" i="48"/>
  <c r="S28" i="48"/>
  <c r="S27" i="48"/>
  <c r="S26" i="48"/>
  <c r="S25" i="48"/>
  <c r="S24" i="48"/>
  <c r="S23" i="48"/>
  <c r="S22" i="48"/>
  <c r="S21" i="48"/>
  <c r="S20" i="48"/>
  <c r="S19" i="48"/>
  <c r="S18" i="48"/>
  <c r="S17" i="48"/>
  <c r="S16" i="48"/>
  <c r="S39" i="49"/>
  <c r="S38" i="49"/>
  <c r="S37" i="49"/>
  <c r="S36" i="49"/>
  <c r="S35" i="49"/>
  <c r="S34" i="49"/>
  <c r="S33" i="49"/>
  <c r="S32" i="49"/>
  <c r="S31" i="49"/>
  <c r="S30" i="49"/>
  <c r="S29" i="49"/>
  <c r="S28" i="49"/>
  <c r="S27" i="49"/>
  <c r="S26" i="49"/>
  <c r="S25" i="49"/>
  <c r="S24" i="49"/>
  <c r="S23" i="49"/>
  <c r="S22" i="49"/>
  <c r="S21" i="49"/>
  <c r="S20" i="49"/>
  <c r="S19" i="49"/>
  <c r="S18" i="49"/>
  <c r="S17" i="49"/>
  <c r="S16" i="49"/>
  <c r="S39" i="50"/>
  <c r="S38" i="50"/>
  <c r="S37" i="50"/>
  <c r="S36" i="50"/>
  <c r="S35" i="50"/>
  <c r="S34" i="50"/>
  <c r="S33" i="50"/>
  <c r="S32" i="50"/>
  <c r="S31" i="50"/>
  <c r="S30" i="50"/>
  <c r="S29" i="50"/>
  <c r="S28" i="50"/>
  <c r="S27" i="50"/>
  <c r="S26" i="50"/>
  <c r="S25" i="50"/>
  <c r="S24" i="50"/>
  <c r="S23" i="50"/>
  <c r="S22" i="50"/>
  <c r="S21" i="50"/>
  <c r="S20" i="50"/>
  <c r="S19" i="50"/>
  <c r="S18" i="50"/>
  <c r="S17" i="50"/>
  <c r="S16" i="50"/>
  <c r="S39" i="51"/>
  <c r="S38" i="51"/>
  <c r="S37" i="51"/>
  <c r="S36" i="51"/>
  <c r="S35" i="51"/>
  <c r="S34" i="51"/>
  <c r="S33" i="51"/>
  <c r="S32" i="51"/>
  <c r="S31" i="51"/>
  <c r="S30" i="51"/>
  <c r="S29" i="51"/>
  <c r="S28" i="51"/>
  <c r="S27" i="51"/>
  <c r="S26" i="51"/>
  <c r="S25" i="51"/>
  <c r="S24" i="51"/>
  <c r="S23" i="51"/>
  <c r="S22" i="51"/>
  <c r="S21" i="51"/>
  <c r="S20" i="51"/>
  <c r="S19" i="51"/>
  <c r="S18" i="51"/>
  <c r="S17" i="51"/>
  <c r="S16" i="51"/>
  <c r="S39" i="52"/>
  <c r="S38" i="52"/>
  <c r="S37" i="52"/>
  <c r="S36" i="52"/>
  <c r="S35" i="52"/>
  <c r="S34" i="52"/>
  <c r="S33" i="52"/>
  <c r="S32" i="52"/>
  <c r="S31" i="52"/>
  <c r="S30" i="52"/>
  <c r="S29" i="52"/>
  <c r="S28" i="52"/>
  <c r="S27" i="52"/>
  <c r="S26" i="52"/>
  <c r="S25" i="52"/>
  <c r="S24" i="52"/>
  <c r="S23" i="52"/>
  <c r="S22" i="52"/>
  <c r="S21" i="52"/>
  <c r="S20" i="52"/>
  <c r="S19" i="52"/>
  <c r="S18" i="52"/>
  <c r="S17" i="52"/>
  <c r="S16" i="52"/>
  <c r="S39" i="53"/>
  <c r="S38" i="53"/>
  <c r="S37" i="53"/>
  <c r="S36" i="53"/>
  <c r="S35" i="53"/>
  <c r="S34" i="53"/>
  <c r="S33" i="53"/>
  <c r="S32" i="53"/>
  <c r="S31" i="53"/>
  <c r="S30" i="53"/>
  <c r="S29" i="53"/>
  <c r="S28" i="53"/>
  <c r="S27" i="53"/>
  <c r="S26" i="53"/>
  <c r="S25" i="53"/>
  <c r="S24" i="53"/>
  <c r="S23" i="53"/>
  <c r="S22" i="53"/>
  <c r="S21" i="53"/>
  <c r="S20" i="53"/>
  <c r="S19" i="53"/>
  <c r="S18" i="53"/>
  <c r="S17" i="53"/>
  <c r="S16" i="53"/>
  <c r="S39" i="54"/>
  <c r="S38" i="54"/>
  <c r="S37" i="54"/>
  <c r="S36" i="54"/>
  <c r="S35" i="54"/>
  <c r="S34" i="54"/>
  <c r="S33" i="54"/>
  <c r="S32" i="54"/>
  <c r="S31" i="54"/>
  <c r="S30" i="54"/>
  <c r="S29" i="54"/>
  <c r="S28" i="54"/>
  <c r="S27" i="54"/>
  <c r="S26" i="54"/>
  <c r="S25" i="54"/>
  <c r="S24" i="54"/>
  <c r="S23" i="54"/>
  <c r="S22" i="54"/>
  <c r="S21" i="54"/>
  <c r="S20" i="54"/>
  <c r="S19" i="54"/>
  <c r="S18" i="54"/>
  <c r="S17" i="54"/>
  <c r="S16" i="54"/>
  <c r="S39" i="55"/>
  <c r="S38" i="55"/>
  <c r="S37" i="55"/>
  <c r="S36" i="55"/>
  <c r="S35" i="55"/>
  <c r="S34" i="55"/>
  <c r="S33" i="55"/>
  <c r="S32" i="55"/>
  <c r="S31" i="55"/>
  <c r="S30" i="55"/>
  <c r="S29" i="55"/>
  <c r="S28" i="55"/>
  <c r="S27" i="55"/>
  <c r="S26" i="55"/>
  <c r="S25" i="55"/>
  <c r="S24" i="55"/>
  <c r="S23" i="55"/>
  <c r="S22" i="55"/>
  <c r="S21" i="55"/>
  <c r="S20" i="55"/>
  <c r="S19" i="55"/>
  <c r="S18" i="55"/>
  <c r="S17" i="55"/>
  <c r="S16" i="55"/>
  <c r="S39" i="56"/>
  <c r="S38" i="56"/>
  <c r="S37" i="56"/>
  <c r="S36" i="56"/>
  <c r="S35" i="56"/>
  <c r="S34" i="56"/>
  <c r="S33" i="56"/>
  <c r="S32" i="56"/>
  <c r="S31" i="56"/>
  <c r="S30" i="56"/>
  <c r="S29" i="56"/>
  <c r="S28" i="56"/>
  <c r="S27" i="56"/>
  <c r="S26" i="56"/>
  <c r="S25" i="56"/>
  <c r="S24" i="56"/>
  <c r="S23" i="56"/>
  <c r="S22" i="56"/>
  <c r="S21" i="56"/>
  <c r="S20" i="56"/>
  <c r="S19" i="56"/>
  <c r="S18" i="56"/>
  <c r="S17" i="56"/>
  <c r="S16" i="56"/>
  <c r="S39" i="57"/>
  <c r="S38" i="57"/>
  <c r="S37" i="57"/>
  <c r="S36" i="57"/>
  <c r="S35" i="57"/>
  <c r="S34" i="57"/>
  <c r="S33" i="57"/>
  <c r="S32" i="57"/>
  <c r="S31" i="57"/>
  <c r="S30" i="57"/>
  <c r="S29" i="57"/>
  <c r="S28" i="57"/>
  <c r="S27" i="57"/>
  <c r="S26" i="57"/>
  <c r="S25" i="57"/>
  <c r="S24" i="57"/>
  <c r="S23" i="57"/>
  <c r="S22" i="57"/>
  <c r="S21" i="57"/>
  <c r="S20" i="57"/>
  <c r="S19" i="57"/>
  <c r="S18" i="57"/>
  <c r="S17" i="57"/>
  <c r="S16" i="57"/>
  <c r="S39" i="58"/>
  <c r="S38" i="58"/>
  <c r="S37" i="58"/>
  <c r="S36" i="58"/>
  <c r="S35" i="58"/>
  <c r="S34" i="58"/>
  <c r="S33" i="58"/>
  <c r="S32" i="58"/>
  <c r="S31" i="58"/>
  <c r="S30" i="58"/>
  <c r="S29" i="58"/>
  <c r="S28" i="58"/>
  <c r="S27" i="58"/>
  <c r="S26" i="58"/>
  <c r="S25" i="58"/>
  <c r="S24" i="58"/>
  <c r="S23" i="58"/>
  <c r="S22" i="58"/>
  <c r="S21" i="58"/>
  <c r="S20" i="58"/>
  <c r="S19" i="58"/>
  <c r="S18" i="58"/>
  <c r="S17" i="58"/>
  <c r="S16" i="58"/>
  <c r="S39" i="59"/>
  <c r="S38" i="59"/>
  <c r="S37" i="59"/>
  <c r="S36" i="59"/>
  <c r="S35" i="59"/>
  <c r="S34" i="59"/>
  <c r="S33" i="59"/>
  <c r="S32" i="59"/>
  <c r="S31" i="59"/>
  <c r="S30" i="59"/>
  <c r="S29" i="59"/>
  <c r="S28" i="59"/>
  <c r="S27" i="59"/>
  <c r="S26" i="59"/>
  <c r="S25" i="59"/>
  <c r="S24" i="59"/>
  <c r="S23" i="59"/>
  <c r="S22" i="59"/>
  <c r="S21" i="59"/>
  <c r="S20" i="59"/>
  <c r="S19" i="59"/>
  <c r="S18" i="59"/>
  <c r="S17" i="59"/>
  <c r="S16" i="59"/>
  <c r="S39" i="60"/>
  <c r="S38" i="60"/>
  <c r="S37" i="60"/>
  <c r="S36" i="60"/>
  <c r="S35" i="60"/>
  <c r="S34" i="60"/>
  <c r="S33" i="60"/>
  <c r="S32" i="60"/>
  <c r="S31" i="60"/>
  <c r="S30" i="60"/>
  <c r="S29" i="60"/>
  <c r="S28" i="60"/>
  <c r="S27" i="60"/>
  <c r="S26" i="60"/>
  <c r="S25" i="60"/>
  <c r="S24" i="60"/>
  <c r="S23" i="60"/>
  <c r="S22" i="60"/>
  <c r="S21" i="60"/>
  <c r="S20" i="60"/>
  <c r="S19" i="60"/>
  <c r="S18" i="60"/>
  <c r="S17" i="60"/>
  <c r="S16" i="60"/>
  <c r="S39" i="61"/>
  <c r="S38" i="61"/>
  <c r="S37" i="61"/>
  <c r="S36" i="61"/>
  <c r="S35" i="61"/>
  <c r="S34" i="61"/>
  <c r="S33" i="61"/>
  <c r="S32" i="61"/>
  <c r="S31" i="61"/>
  <c r="S30" i="61"/>
  <c r="S29" i="61"/>
  <c r="S28" i="61"/>
  <c r="S27" i="61"/>
  <c r="S26" i="61"/>
  <c r="S25" i="61"/>
  <c r="S24" i="61"/>
  <c r="S23" i="61"/>
  <c r="S22" i="61"/>
  <c r="S21" i="61"/>
  <c r="S20" i="61"/>
  <c r="S19" i="61"/>
  <c r="S18" i="61"/>
  <c r="S17" i="61"/>
  <c r="S16" i="61"/>
  <c r="S39" i="62"/>
  <c r="S38" i="62"/>
  <c r="S37" i="62"/>
  <c r="S36" i="62"/>
  <c r="S35" i="62"/>
  <c r="S34" i="62"/>
  <c r="S33" i="62"/>
  <c r="S32" i="62"/>
  <c r="S31" i="62"/>
  <c r="S30" i="62"/>
  <c r="S29" i="62"/>
  <c r="S28" i="62"/>
  <c r="S27" i="62"/>
  <c r="S26" i="62"/>
  <c r="S25" i="62"/>
  <c r="S24" i="62"/>
  <c r="S23" i="62"/>
  <c r="S22" i="62"/>
  <c r="S21" i="62"/>
  <c r="S20" i="62"/>
  <c r="S19" i="62"/>
  <c r="S18" i="62"/>
  <c r="S17" i="62"/>
  <c r="S16" i="62"/>
  <c r="S39" i="63"/>
  <c r="S38" i="63"/>
  <c r="S37" i="63"/>
  <c r="S36" i="63"/>
  <c r="S35" i="63"/>
  <c r="S34" i="63"/>
  <c r="S33" i="63"/>
  <c r="S32" i="63"/>
  <c r="S31" i="63"/>
  <c r="S30" i="63"/>
  <c r="S29" i="63"/>
  <c r="S28" i="63"/>
  <c r="S27" i="63"/>
  <c r="S26" i="63"/>
  <c r="S25" i="63"/>
  <c r="S24" i="63"/>
  <c r="S23" i="63"/>
  <c r="S22" i="63"/>
  <c r="S21" i="63"/>
  <c r="S20" i="63"/>
  <c r="S19" i="63"/>
  <c r="S18" i="63"/>
  <c r="S17" i="63"/>
  <c r="S16" i="63"/>
  <c r="S39" i="64"/>
  <c r="S38" i="64"/>
  <c r="S37" i="64"/>
  <c r="S36" i="64"/>
  <c r="S35" i="64"/>
  <c r="S34" i="64"/>
  <c r="S33" i="64"/>
  <c r="S32" i="64"/>
  <c r="S31" i="64"/>
  <c r="S30" i="64"/>
  <c r="S29" i="64"/>
  <c r="S28" i="64"/>
  <c r="S27" i="64"/>
  <c r="S26" i="64"/>
  <c r="S25" i="64"/>
  <c r="S24" i="64"/>
  <c r="S23" i="64"/>
  <c r="S22" i="64"/>
  <c r="S21" i="64"/>
  <c r="S20" i="64"/>
  <c r="S19" i="64"/>
  <c r="S18" i="64"/>
  <c r="S17" i="64"/>
  <c r="S16" i="64"/>
  <c r="S39" i="65"/>
  <c r="S38" i="65"/>
  <c r="S37" i="65"/>
  <c r="S36" i="65"/>
  <c r="S35" i="65"/>
  <c r="S34" i="65"/>
  <c r="S33" i="65"/>
  <c r="S32" i="65"/>
  <c r="S31" i="65"/>
  <c r="S30" i="65"/>
  <c r="S29" i="65"/>
  <c r="S28" i="65"/>
  <c r="S27" i="65"/>
  <c r="S26" i="65"/>
  <c r="S25" i="65"/>
  <c r="S24" i="65"/>
  <c r="S23" i="65"/>
  <c r="S22" i="65"/>
  <c r="S21" i="65"/>
  <c r="S20" i="65"/>
  <c r="S19" i="65"/>
  <c r="S18" i="65"/>
  <c r="S17" i="65"/>
  <c r="S16" i="65"/>
  <c r="S39" i="66"/>
  <c r="S38" i="66"/>
  <c r="S37" i="66"/>
  <c r="S36" i="66"/>
  <c r="S35" i="66"/>
  <c r="S34" i="66"/>
  <c r="S33" i="66"/>
  <c r="S32" i="66"/>
  <c r="S31" i="66"/>
  <c r="S30" i="66"/>
  <c r="S29" i="66"/>
  <c r="S28" i="66"/>
  <c r="S27" i="66"/>
  <c r="S26" i="66"/>
  <c r="S25" i="66"/>
  <c r="S24" i="66"/>
  <c r="S23" i="66"/>
  <c r="S22" i="66"/>
  <c r="S21" i="66"/>
  <c r="S20" i="66"/>
  <c r="S19" i="66"/>
  <c r="S18" i="66"/>
  <c r="S17" i="66"/>
  <c r="S16" i="66"/>
  <c r="S39" i="67"/>
  <c r="S38" i="67"/>
  <c r="S37" i="67"/>
  <c r="S36" i="67"/>
  <c r="S35" i="67"/>
  <c r="S34" i="67"/>
  <c r="S33" i="67"/>
  <c r="S32" i="67"/>
  <c r="S31" i="67"/>
  <c r="S30" i="67"/>
  <c r="S29" i="67"/>
  <c r="S28" i="67"/>
  <c r="S27" i="67"/>
  <c r="S26" i="67"/>
  <c r="S25" i="67"/>
  <c r="S24" i="67"/>
  <c r="S23" i="67"/>
  <c r="S22" i="67"/>
  <c r="S21" i="67"/>
  <c r="S20" i="67"/>
  <c r="S19" i="67"/>
  <c r="S18" i="67"/>
  <c r="S17" i="67"/>
  <c r="S16" i="67"/>
  <c r="S39" i="68"/>
  <c r="S38" i="68"/>
  <c r="S37" i="68"/>
  <c r="S36" i="68"/>
  <c r="S35" i="68"/>
  <c r="S34" i="68"/>
  <c r="S33" i="68"/>
  <c r="S32" i="68"/>
  <c r="S31" i="68"/>
  <c r="S30" i="68"/>
  <c r="S29" i="68"/>
  <c r="S28" i="68"/>
  <c r="S27" i="68"/>
  <c r="S26" i="68"/>
  <c r="S25" i="68"/>
  <c r="S24" i="68"/>
  <c r="S23" i="68"/>
  <c r="S22" i="68"/>
  <c r="S21" i="68"/>
  <c r="S20" i="68"/>
  <c r="S19" i="68"/>
  <c r="S18" i="68"/>
  <c r="S17" i="68"/>
  <c r="S16" i="68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J1" i="40"/>
  <c r="J1" i="41"/>
  <c r="J1" i="42"/>
  <c r="J1" i="43"/>
  <c r="J1" i="44"/>
  <c r="J1" i="45"/>
  <c r="J1" i="46"/>
  <c r="J1" i="47"/>
  <c r="J1" i="48"/>
  <c r="J1" i="49"/>
  <c r="J1" i="50"/>
  <c r="J1" i="51"/>
  <c r="J1" i="52"/>
  <c r="J1" i="53"/>
  <c r="J1" i="54"/>
  <c r="J1" i="55"/>
  <c r="J1" i="56"/>
  <c r="J1" i="57"/>
  <c r="J1" i="58"/>
  <c r="J1" i="59"/>
  <c r="J1" i="60"/>
  <c r="J1" i="61"/>
  <c r="J1" i="62"/>
  <c r="J1" i="63"/>
  <c r="J1" i="64"/>
  <c r="J1" i="65"/>
  <c r="J1" i="66"/>
  <c r="J1" i="67"/>
  <c r="J1" i="68"/>
  <c r="J1" i="1"/>
  <c r="AE39" i="40" l="1"/>
  <c r="AE38" i="40"/>
  <c r="AE37" i="40"/>
  <c r="AE36" i="40"/>
  <c r="AE35" i="40"/>
  <c r="AE34" i="40"/>
  <c r="AE33" i="40"/>
  <c r="AE32" i="40"/>
  <c r="AE31" i="40"/>
  <c r="AE30" i="40"/>
  <c r="AE29" i="40"/>
  <c r="AE28" i="40"/>
  <c r="AE27" i="40"/>
  <c r="AE26" i="40"/>
  <c r="AE25" i="40"/>
  <c r="AE24" i="40"/>
  <c r="AE23" i="40"/>
  <c r="AE22" i="40"/>
  <c r="AE21" i="40"/>
  <c r="AE20" i="40"/>
  <c r="AE19" i="40"/>
  <c r="AE18" i="40"/>
  <c r="AE17" i="40"/>
  <c r="AE16" i="40"/>
  <c r="AE39" i="41"/>
  <c r="AE38" i="41"/>
  <c r="AE37" i="41"/>
  <c r="AE36" i="41"/>
  <c r="AE35" i="41"/>
  <c r="AE34" i="41"/>
  <c r="AE33" i="41"/>
  <c r="AE32" i="41"/>
  <c r="AE31" i="41"/>
  <c r="AE30" i="41"/>
  <c r="AE29" i="41"/>
  <c r="AE28" i="41"/>
  <c r="AE27" i="41"/>
  <c r="AE26" i="41"/>
  <c r="AE25" i="41"/>
  <c r="AE24" i="41"/>
  <c r="AE23" i="41"/>
  <c r="AE22" i="41"/>
  <c r="AE21" i="41"/>
  <c r="AE20" i="41"/>
  <c r="AE19" i="41"/>
  <c r="AE18" i="41"/>
  <c r="AE17" i="41"/>
  <c r="AE16" i="41"/>
  <c r="AE39" i="42"/>
  <c r="AE38" i="42"/>
  <c r="AE37" i="42"/>
  <c r="AE36" i="42"/>
  <c r="AE35" i="42"/>
  <c r="AE34" i="42"/>
  <c r="AE33" i="42"/>
  <c r="AE32" i="42"/>
  <c r="AE31" i="42"/>
  <c r="AE30" i="42"/>
  <c r="AE29" i="42"/>
  <c r="AE28" i="42"/>
  <c r="AE27" i="42"/>
  <c r="AE26" i="42"/>
  <c r="AE25" i="42"/>
  <c r="AE24" i="42"/>
  <c r="AE23" i="42"/>
  <c r="AE22" i="42"/>
  <c r="AE21" i="42"/>
  <c r="AE20" i="42"/>
  <c r="AE19" i="42"/>
  <c r="AE18" i="42"/>
  <c r="AE17" i="42"/>
  <c r="AE16" i="42"/>
  <c r="AE39" i="43"/>
  <c r="AE38" i="43"/>
  <c r="AE37" i="43"/>
  <c r="AE36" i="43"/>
  <c r="AE35" i="43"/>
  <c r="AE34" i="43"/>
  <c r="AE33" i="43"/>
  <c r="AE32" i="43"/>
  <c r="AE31" i="43"/>
  <c r="AE30" i="43"/>
  <c r="AE29" i="43"/>
  <c r="AE28" i="43"/>
  <c r="AE27" i="43"/>
  <c r="AE26" i="43"/>
  <c r="AE25" i="43"/>
  <c r="AE24" i="43"/>
  <c r="AE23" i="43"/>
  <c r="AE22" i="43"/>
  <c r="AE21" i="43"/>
  <c r="AE20" i="43"/>
  <c r="AE19" i="43"/>
  <c r="AE18" i="43"/>
  <c r="AE17" i="43"/>
  <c r="AE16" i="43"/>
  <c r="AE39" i="44"/>
  <c r="AE38" i="44"/>
  <c r="AE37" i="44"/>
  <c r="AE36" i="44"/>
  <c r="AE35" i="44"/>
  <c r="AE34" i="44"/>
  <c r="AE33" i="44"/>
  <c r="AE32" i="44"/>
  <c r="AE31" i="44"/>
  <c r="AE30" i="44"/>
  <c r="AE29" i="44"/>
  <c r="AE28" i="44"/>
  <c r="AE27" i="44"/>
  <c r="AE26" i="44"/>
  <c r="AE25" i="44"/>
  <c r="AE24" i="44"/>
  <c r="AE23" i="44"/>
  <c r="AE22" i="44"/>
  <c r="AE21" i="44"/>
  <c r="AE20" i="44"/>
  <c r="AE19" i="44"/>
  <c r="AE18" i="44"/>
  <c r="AE17" i="44"/>
  <c r="AE16" i="44"/>
  <c r="AE39" i="45"/>
  <c r="AE38" i="45"/>
  <c r="AE37" i="45"/>
  <c r="AE36" i="45"/>
  <c r="AE35" i="45"/>
  <c r="AE34" i="45"/>
  <c r="AE33" i="45"/>
  <c r="AE32" i="45"/>
  <c r="AE31" i="45"/>
  <c r="AE30" i="45"/>
  <c r="AE29" i="45"/>
  <c r="AE28" i="45"/>
  <c r="AE27" i="45"/>
  <c r="AE26" i="45"/>
  <c r="AE25" i="45"/>
  <c r="AE24" i="45"/>
  <c r="AE23" i="45"/>
  <c r="AE22" i="45"/>
  <c r="AE21" i="45"/>
  <c r="AE20" i="45"/>
  <c r="AE19" i="45"/>
  <c r="AE18" i="45"/>
  <c r="AE17" i="45"/>
  <c r="AE16" i="45"/>
  <c r="AE39" i="46"/>
  <c r="AE38" i="46"/>
  <c r="AE37" i="46"/>
  <c r="AE36" i="46"/>
  <c r="AE35" i="46"/>
  <c r="AE34" i="46"/>
  <c r="AE33" i="46"/>
  <c r="AE32" i="46"/>
  <c r="AE31" i="46"/>
  <c r="AE30" i="46"/>
  <c r="AE29" i="46"/>
  <c r="AE28" i="46"/>
  <c r="AE27" i="46"/>
  <c r="AE26" i="46"/>
  <c r="AE25" i="46"/>
  <c r="AE24" i="46"/>
  <c r="AE23" i="46"/>
  <c r="AE22" i="46"/>
  <c r="AE21" i="46"/>
  <c r="AE20" i="46"/>
  <c r="AE19" i="46"/>
  <c r="AE18" i="46"/>
  <c r="AE17" i="46"/>
  <c r="AE16" i="46"/>
  <c r="AE39" i="47"/>
  <c r="AE38" i="47"/>
  <c r="AE37" i="47"/>
  <c r="AE36" i="47"/>
  <c r="AE35" i="47"/>
  <c r="AE34" i="47"/>
  <c r="AE33" i="47"/>
  <c r="AE32" i="47"/>
  <c r="AE31" i="47"/>
  <c r="AE30" i="47"/>
  <c r="AE29" i="47"/>
  <c r="AE28" i="47"/>
  <c r="AE27" i="47"/>
  <c r="AE26" i="47"/>
  <c r="AE25" i="47"/>
  <c r="AE24" i="47"/>
  <c r="AE23" i="47"/>
  <c r="AE22" i="47"/>
  <c r="AE21" i="47"/>
  <c r="AE20" i="47"/>
  <c r="AE19" i="47"/>
  <c r="AE18" i="47"/>
  <c r="AE17" i="47"/>
  <c r="AE16" i="47"/>
  <c r="AE39" i="48"/>
  <c r="AE38" i="48"/>
  <c r="AE37" i="48"/>
  <c r="AE36" i="48"/>
  <c r="AE35" i="48"/>
  <c r="AE34" i="48"/>
  <c r="AE33" i="48"/>
  <c r="AE32" i="48"/>
  <c r="AE31" i="48"/>
  <c r="AE30" i="48"/>
  <c r="AE29" i="48"/>
  <c r="AE28" i="48"/>
  <c r="AE27" i="48"/>
  <c r="AE26" i="48"/>
  <c r="AE25" i="48"/>
  <c r="AE24" i="48"/>
  <c r="AE23" i="48"/>
  <c r="AE22" i="48"/>
  <c r="AE21" i="48"/>
  <c r="AE20" i="48"/>
  <c r="AE19" i="48"/>
  <c r="AE18" i="48"/>
  <c r="AE17" i="48"/>
  <c r="AE16" i="48"/>
  <c r="AE39" i="49"/>
  <c r="AE38" i="49"/>
  <c r="AE37" i="49"/>
  <c r="AE36" i="49"/>
  <c r="AE35" i="49"/>
  <c r="AE34" i="49"/>
  <c r="AE33" i="49"/>
  <c r="AE32" i="49"/>
  <c r="AE31" i="49"/>
  <c r="AE30" i="49"/>
  <c r="AE29" i="49"/>
  <c r="AE28" i="49"/>
  <c r="AE27" i="49"/>
  <c r="AE26" i="49"/>
  <c r="AE25" i="49"/>
  <c r="AE24" i="49"/>
  <c r="AE23" i="49"/>
  <c r="AE22" i="49"/>
  <c r="AE21" i="49"/>
  <c r="AE20" i="49"/>
  <c r="AE19" i="49"/>
  <c r="AE18" i="49"/>
  <c r="AE17" i="49"/>
  <c r="AE16" i="49"/>
  <c r="AE39" i="50"/>
  <c r="AE38" i="50"/>
  <c r="AE37" i="50"/>
  <c r="AE36" i="50"/>
  <c r="AE35" i="50"/>
  <c r="AE34" i="50"/>
  <c r="AE33" i="50"/>
  <c r="AE32" i="50"/>
  <c r="AE31" i="50"/>
  <c r="AE30" i="50"/>
  <c r="AE29" i="50"/>
  <c r="AE28" i="50"/>
  <c r="AE27" i="50"/>
  <c r="AE26" i="50"/>
  <c r="AE25" i="50"/>
  <c r="AE24" i="50"/>
  <c r="AE23" i="50"/>
  <c r="AE22" i="50"/>
  <c r="AE21" i="50"/>
  <c r="AE20" i="50"/>
  <c r="AE19" i="50"/>
  <c r="AE18" i="50"/>
  <c r="AE17" i="50"/>
  <c r="AE16" i="50"/>
  <c r="AE39" i="51"/>
  <c r="AE38" i="51"/>
  <c r="AE37" i="51"/>
  <c r="AE36" i="51"/>
  <c r="AE35" i="51"/>
  <c r="AE34" i="51"/>
  <c r="AE33" i="51"/>
  <c r="AE32" i="51"/>
  <c r="AE31" i="51"/>
  <c r="AE30" i="51"/>
  <c r="AE29" i="51"/>
  <c r="AE28" i="51"/>
  <c r="AE27" i="51"/>
  <c r="AE26" i="51"/>
  <c r="AE25" i="51"/>
  <c r="AE24" i="51"/>
  <c r="AE23" i="51"/>
  <c r="AE22" i="51"/>
  <c r="AE21" i="51"/>
  <c r="AE20" i="51"/>
  <c r="AE19" i="51"/>
  <c r="AE18" i="51"/>
  <c r="AE17" i="51"/>
  <c r="AE16" i="51"/>
  <c r="AE39" i="52"/>
  <c r="AE38" i="52"/>
  <c r="AE37" i="52"/>
  <c r="AE36" i="52"/>
  <c r="AE35" i="52"/>
  <c r="AE34" i="52"/>
  <c r="AE33" i="52"/>
  <c r="AE32" i="52"/>
  <c r="AE31" i="52"/>
  <c r="AE30" i="52"/>
  <c r="AE29" i="52"/>
  <c r="AE28" i="52"/>
  <c r="AE27" i="52"/>
  <c r="AE26" i="52"/>
  <c r="AE25" i="52"/>
  <c r="AE24" i="52"/>
  <c r="AE23" i="52"/>
  <c r="AE22" i="52"/>
  <c r="AE21" i="52"/>
  <c r="AE20" i="52"/>
  <c r="AE19" i="52"/>
  <c r="AE18" i="52"/>
  <c r="AE17" i="52"/>
  <c r="AE16" i="52"/>
  <c r="AE39" i="53"/>
  <c r="AE38" i="53"/>
  <c r="AE37" i="53"/>
  <c r="AE36" i="53"/>
  <c r="AE35" i="53"/>
  <c r="AE34" i="53"/>
  <c r="AE33" i="53"/>
  <c r="AE32" i="53"/>
  <c r="AE31" i="53"/>
  <c r="AE30" i="53"/>
  <c r="AE29" i="53"/>
  <c r="AE28" i="53"/>
  <c r="AE27" i="53"/>
  <c r="AE26" i="53"/>
  <c r="AE25" i="53"/>
  <c r="AE24" i="53"/>
  <c r="AE23" i="53"/>
  <c r="AE22" i="53"/>
  <c r="AE21" i="53"/>
  <c r="AE20" i="53"/>
  <c r="AE19" i="53"/>
  <c r="AE18" i="53"/>
  <c r="AE17" i="53"/>
  <c r="AE16" i="53"/>
  <c r="AE39" i="54"/>
  <c r="AE38" i="54"/>
  <c r="AE37" i="54"/>
  <c r="AE36" i="54"/>
  <c r="AE35" i="54"/>
  <c r="AE34" i="54"/>
  <c r="AE33" i="54"/>
  <c r="AE32" i="54"/>
  <c r="AE31" i="54"/>
  <c r="AE30" i="54"/>
  <c r="AE29" i="54"/>
  <c r="AE28" i="54"/>
  <c r="AE27" i="54"/>
  <c r="AE26" i="54"/>
  <c r="AE25" i="54"/>
  <c r="AE24" i="54"/>
  <c r="AE23" i="54"/>
  <c r="AE22" i="54"/>
  <c r="AE21" i="54"/>
  <c r="AE20" i="54"/>
  <c r="AE19" i="54"/>
  <c r="AE18" i="54"/>
  <c r="AE17" i="54"/>
  <c r="AE16" i="54"/>
  <c r="AE39" i="55"/>
  <c r="AE38" i="55"/>
  <c r="AE37" i="55"/>
  <c r="AE36" i="55"/>
  <c r="AE35" i="55"/>
  <c r="AE34" i="55"/>
  <c r="AE33" i="55"/>
  <c r="AE32" i="55"/>
  <c r="AE31" i="55"/>
  <c r="AE30" i="55"/>
  <c r="AE29" i="55"/>
  <c r="AE28" i="55"/>
  <c r="AE27" i="55"/>
  <c r="AE26" i="55"/>
  <c r="AE25" i="55"/>
  <c r="AE24" i="55"/>
  <c r="AE23" i="55"/>
  <c r="AE22" i="55"/>
  <c r="AE21" i="55"/>
  <c r="AE20" i="55"/>
  <c r="AE19" i="55"/>
  <c r="AE18" i="55"/>
  <c r="AE17" i="55"/>
  <c r="AE16" i="55"/>
  <c r="AE39" i="56"/>
  <c r="AE38" i="56"/>
  <c r="AE37" i="56"/>
  <c r="AE36" i="56"/>
  <c r="AE35" i="56"/>
  <c r="AE34" i="56"/>
  <c r="AE33" i="56"/>
  <c r="AE32" i="56"/>
  <c r="AE31" i="56"/>
  <c r="AE30" i="56"/>
  <c r="AE29" i="56"/>
  <c r="AE28" i="56"/>
  <c r="AE27" i="56"/>
  <c r="AE26" i="56"/>
  <c r="AE25" i="56"/>
  <c r="AE24" i="56"/>
  <c r="AE23" i="56"/>
  <c r="AE22" i="56"/>
  <c r="AE21" i="56"/>
  <c r="AE20" i="56"/>
  <c r="AE19" i="56"/>
  <c r="AE18" i="56"/>
  <c r="AE17" i="56"/>
  <c r="AE16" i="56"/>
  <c r="AE39" i="57"/>
  <c r="AE38" i="57"/>
  <c r="AE37" i="57"/>
  <c r="AE36" i="57"/>
  <c r="AE35" i="57"/>
  <c r="AE34" i="57"/>
  <c r="AE33" i="57"/>
  <c r="AE32" i="57"/>
  <c r="AE31" i="57"/>
  <c r="AE30" i="57"/>
  <c r="AE29" i="57"/>
  <c r="AE28" i="57"/>
  <c r="AE27" i="57"/>
  <c r="AE26" i="57"/>
  <c r="AE25" i="57"/>
  <c r="AE24" i="57"/>
  <c r="AE23" i="57"/>
  <c r="AE22" i="57"/>
  <c r="AE21" i="57"/>
  <c r="AE20" i="57"/>
  <c r="AE19" i="57"/>
  <c r="AE18" i="57"/>
  <c r="AE17" i="57"/>
  <c r="AE16" i="57"/>
  <c r="AE39" i="58"/>
  <c r="AE38" i="58"/>
  <c r="AE37" i="58"/>
  <c r="AE36" i="58"/>
  <c r="AE35" i="58"/>
  <c r="AE34" i="58"/>
  <c r="AE33" i="58"/>
  <c r="AE32" i="58"/>
  <c r="AE31" i="58"/>
  <c r="AE30" i="58"/>
  <c r="AE29" i="58"/>
  <c r="AE28" i="58"/>
  <c r="AE27" i="58"/>
  <c r="AE26" i="58"/>
  <c r="AE25" i="58"/>
  <c r="AE24" i="58"/>
  <c r="AE23" i="58"/>
  <c r="AE22" i="58"/>
  <c r="AE21" i="58"/>
  <c r="AE20" i="58"/>
  <c r="AE19" i="58"/>
  <c r="AE18" i="58"/>
  <c r="AE17" i="58"/>
  <c r="AE16" i="58"/>
  <c r="AE39" i="59"/>
  <c r="AE38" i="59"/>
  <c r="AE37" i="59"/>
  <c r="AE36" i="59"/>
  <c r="AE35" i="59"/>
  <c r="AE34" i="59"/>
  <c r="AE33" i="59"/>
  <c r="AE32" i="59"/>
  <c r="AE31" i="59"/>
  <c r="AE30" i="59"/>
  <c r="AE29" i="59"/>
  <c r="AE28" i="59"/>
  <c r="AE27" i="59"/>
  <c r="AE26" i="59"/>
  <c r="AE25" i="59"/>
  <c r="AE24" i="59"/>
  <c r="AE23" i="59"/>
  <c r="AE22" i="59"/>
  <c r="AE21" i="59"/>
  <c r="AE20" i="59"/>
  <c r="AE19" i="59"/>
  <c r="AE18" i="59"/>
  <c r="AE17" i="59"/>
  <c r="AE16" i="59"/>
  <c r="AE39" i="60"/>
  <c r="AE38" i="60"/>
  <c r="AE37" i="60"/>
  <c r="AE36" i="60"/>
  <c r="AE35" i="60"/>
  <c r="AE34" i="60"/>
  <c r="AE33" i="60"/>
  <c r="AE32" i="60"/>
  <c r="AE31" i="60"/>
  <c r="AE30" i="60"/>
  <c r="AE29" i="60"/>
  <c r="AE28" i="60"/>
  <c r="AE27" i="60"/>
  <c r="AE26" i="60"/>
  <c r="AE25" i="60"/>
  <c r="AE24" i="60"/>
  <c r="AE23" i="60"/>
  <c r="AE22" i="60"/>
  <c r="AE21" i="60"/>
  <c r="AE20" i="60"/>
  <c r="AE19" i="60"/>
  <c r="AE18" i="60"/>
  <c r="AE17" i="60"/>
  <c r="AE16" i="60"/>
  <c r="AE39" i="61"/>
  <c r="AE38" i="61"/>
  <c r="AE37" i="61"/>
  <c r="AE36" i="61"/>
  <c r="AE35" i="61"/>
  <c r="AE34" i="61"/>
  <c r="AE33" i="61"/>
  <c r="AE32" i="61"/>
  <c r="AE31" i="61"/>
  <c r="AE30" i="61"/>
  <c r="AE29" i="61"/>
  <c r="AE28" i="61"/>
  <c r="AE27" i="61"/>
  <c r="AE26" i="61"/>
  <c r="AE25" i="61"/>
  <c r="AE24" i="61"/>
  <c r="AE23" i="61"/>
  <c r="AE22" i="61"/>
  <c r="AE21" i="61"/>
  <c r="AE20" i="61"/>
  <c r="AE19" i="61"/>
  <c r="AE18" i="61"/>
  <c r="AE17" i="61"/>
  <c r="AE16" i="61"/>
  <c r="AE39" i="62"/>
  <c r="AE38" i="62"/>
  <c r="AE37" i="62"/>
  <c r="AE36" i="62"/>
  <c r="AE35" i="62"/>
  <c r="AE34" i="62"/>
  <c r="AE33" i="62"/>
  <c r="AE32" i="62"/>
  <c r="AE31" i="62"/>
  <c r="AE30" i="62"/>
  <c r="AE29" i="62"/>
  <c r="AE28" i="62"/>
  <c r="AE27" i="62"/>
  <c r="AE26" i="62"/>
  <c r="AE25" i="62"/>
  <c r="AE24" i="62"/>
  <c r="AE23" i="62"/>
  <c r="AE22" i="62"/>
  <c r="AE21" i="62"/>
  <c r="AE20" i="62"/>
  <c r="AE19" i="62"/>
  <c r="AE18" i="62"/>
  <c r="AE17" i="62"/>
  <c r="AE16" i="62"/>
  <c r="AE39" i="63"/>
  <c r="AE38" i="63"/>
  <c r="AE37" i="63"/>
  <c r="AE36" i="63"/>
  <c r="AE35" i="63"/>
  <c r="AE34" i="63"/>
  <c r="AE33" i="63"/>
  <c r="AE32" i="63"/>
  <c r="AE31" i="63"/>
  <c r="AE30" i="63"/>
  <c r="AE29" i="63"/>
  <c r="AE28" i="63"/>
  <c r="AE27" i="63"/>
  <c r="AE26" i="63"/>
  <c r="AE25" i="63"/>
  <c r="AE24" i="63"/>
  <c r="AE23" i="63"/>
  <c r="AE22" i="63"/>
  <c r="AE21" i="63"/>
  <c r="AE20" i="63"/>
  <c r="AE19" i="63"/>
  <c r="AE18" i="63"/>
  <c r="AE17" i="63"/>
  <c r="AE16" i="63"/>
  <c r="AE39" i="64"/>
  <c r="AE38" i="64"/>
  <c r="AE37" i="64"/>
  <c r="AE36" i="64"/>
  <c r="AE35" i="64"/>
  <c r="AE34" i="64"/>
  <c r="AE33" i="64"/>
  <c r="AE32" i="64"/>
  <c r="AE31" i="64"/>
  <c r="AE30" i="64"/>
  <c r="AE29" i="64"/>
  <c r="AE28" i="64"/>
  <c r="AE27" i="64"/>
  <c r="AE26" i="64"/>
  <c r="AE25" i="64"/>
  <c r="AE24" i="64"/>
  <c r="AE23" i="64"/>
  <c r="AE22" i="64"/>
  <c r="AE21" i="64"/>
  <c r="AE20" i="64"/>
  <c r="AE19" i="64"/>
  <c r="AE18" i="64"/>
  <c r="AE17" i="64"/>
  <c r="AE16" i="64"/>
  <c r="AE39" i="65"/>
  <c r="AE38" i="65"/>
  <c r="AE37" i="65"/>
  <c r="AE36" i="65"/>
  <c r="AE35" i="65"/>
  <c r="AE34" i="65"/>
  <c r="AE33" i="65"/>
  <c r="AE32" i="65"/>
  <c r="AE31" i="65"/>
  <c r="AE30" i="65"/>
  <c r="AE29" i="65"/>
  <c r="AE28" i="65"/>
  <c r="AE27" i="65"/>
  <c r="AE26" i="65"/>
  <c r="AE25" i="65"/>
  <c r="AE24" i="65"/>
  <c r="AE23" i="65"/>
  <c r="AE22" i="65"/>
  <c r="AE21" i="65"/>
  <c r="AE20" i="65"/>
  <c r="AE19" i="65"/>
  <c r="AE18" i="65"/>
  <c r="AE17" i="65"/>
  <c r="AE16" i="65"/>
  <c r="AE39" i="66"/>
  <c r="AE38" i="66"/>
  <c r="AE37" i="66"/>
  <c r="AE36" i="66"/>
  <c r="AE35" i="66"/>
  <c r="AE34" i="66"/>
  <c r="AE33" i="66"/>
  <c r="AE32" i="66"/>
  <c r="AE31" i="66"/>
  <c r="AE30" i="66"/>
  <c r="AE29" i="66"/>
  <c r="AE28" i="66"/>
  <c r="AE27" i="66"/>
  <c r="AE26" i="66"/>
  <c r="AE25" i="66"/>
  <c r="AE24" i="66"/>
  <c r="AE23" i="66"/>
  <c r="AE22" i="66"/>
  <c r="AE21" i="66"/>
  <c r="AE20" i="66"/>
  <c r="AE19" i="66"/>
  <c r="AE18" i="66"/>
  <c r="AE17" i="66"/>
  <c r="AE16" i="66"/>
  <c r="AE39" i="67"/>
  <c r="AE38" i="67"/>
  <c r="AE37" i="67"/>
  <c r="AE36" i="67"/>
  <c r="AE35" i="67"/>
  <c r="AE34" i="67"/>
  <c r="AE33" i="67"/>
  <c r="AE32" i="67"/>
  <c r="AE31" i="67"/>
  <c r="AE30" i="67"/>
  <c r="AE29" i="67"/>
  <c r="AE28" i="67"/>
  <c r="AE27" i="67"/>
  <c r="AE26" i="67"/>
  <c r="AE25" i="67"/>
  <c r="AE24" i="67"/>
  <c r="AE23" i="67"/>
  <c r="AE22" i="67"/>
  <c r="AE21" i="67"/>
  <c r="AE20" i="67"/>
  <c r="AE19" i="67"/>
  <c r="AE18" i="67"/>
  <c r="AE17" i="67"/>
  <c r="AE16" i="67"/>
  <c r="AE39" i="68"/>
  <c r="AE38" i="68"/>
  <c r="AE37" i="68"/>
  <c r="AE36" i="68"/>
  <c r="AE35" i="68"/>
  <c r="AE34" i="68"/>
  <c r="AE33" i="68"/>
  <c r="AE32" i="68"/>
  <c r="AE31" i="68"/>
  <c r="AE30" i="68"/>
  <c r="AE29" i="68"/>
  <c r="AE28" i="68"/>
  <c r="AE27" i="68"/>
  <c r="AE26" i="68"/>
  <c r="AE25" i="68"/>
  <c r="AE24" i="68"/>
  <c r="AE23" i="68"/>
  <c r="AE22" i="68"/>
  <c r="AE21" i="68"/>
  <c r="AE20" i="68"/>
  <c r="AE19" i="68"/>
  <c r="AE18" i="68"/>
  <c r="AE17" i="68"/>
  <c r="AE16" i="68"/>
  <c r="AE39" i="1"/>
  <c r="AE38" i="1"/>
  <c r="AE37" i="1"/>
  <c r="AE36" i="1"/>
  <c r="AE35" i="1"/>
  <c r="AE34" i="1"/>
  <c r="AE33" i="1"/>
  <c r="AE32" i="1"/>
  <c r="AE31" i="1"/>
  <c r="AE30" i="1"/>
  <c r="AE29" i="1"/>
  <c r="AE28" i="1"/>
  <c r="AE27" i="1"/>
  <c r="AE26" i="1"/>
  <c r="AE25" i="1"/>
  <c r="AE24" i="1"/>
  <c r="AE23" i="1"/>
  <c r="AE22" i="1"/>
  <c r="AE21" i="1"/>
  <c r="AE20" i="1"/>
  <c r="AE19" i="1"/>
  <c r="AE18" i="1"/>
  <c r="AE17" i="1"/>
  <c r="AE16" i="1"/>
  <c r="F35" i="36" l="1"/>
  <c r="E35" i="36"/>
  <c r="D35" i="36"/>
  <c r="C35" i="36"/>
  <c r="F34" i="36"/>
  <c r="E34" i="36"/>
  <c r="D34" i="36"/>
  <c r="C34" i="36"/>
  <c r="F33" i="36"/>
  <c r="E33" i="36"/>
  <c r="D33" i="36"/>
  <c r="C33" i="36"/>
  <c r="F32" i="36"/>
  <c r="E32" i="36"/>
  <c r="D32" i="36"/>
  <c r="C32" i="36"/>
  <c r="F31" i="36"/>
  <c r="E31" i="36"/>
  <c r="D31" i="36"/>
  <c r="C31" i="36"/>
  <c r="F30" i="36"/>
  <c r="E30" i="36"/>
  <c r="D30" i="36"/>
  <c r="C30" i="36"/>
  <c r="F29" i="36"/>
  <c r="E29" i="36"/>
  <c r="D29" i="36"/>
  <c r="C29" i="36"/>
  <c r="F28" i="36"/>
  <c r="E28" i="36"/>
  <c r="D28" i="36"/>
  <c r="C28" i="36"/>
  <c r="F27" i="36"/>
  <c r="E27" i="36"/>
  <c r="D27" i="36"/>
  <c r="C27" i="36"/>
  <c r="F26" i="36"/>
  <c r="E26" i="36"/>
  <c r="D26" i="36"/>
  <c r="C26" i="36"/>
  <c r="F25" i="36"/>
  <c r="E25" i="36"/>
  <c r="D25" i="36"/>
  <c r="C25" i="36"/>
  <c r="F24" i="36"/>
  <c r="E24" i="36"/>
  <c r="D24" i="36"/>
  <c r="C24" i="36"/>
  <c r="F23" i="36"/>
  <c r="E23" i="36"/>
  <c r="D23" i="36"/>
  <c r="C23" i="36"/>
  <c r="F22" i="36"/>
  <c r="E22" i="36"/>
  <c r="D22" i="36"/>
  <c r="C22" i="36"/>
  <c r="F21" i="36"/>
  <c r="E21" i="36"/>
  <c r="D21" i="36"/>
  <c r="C21" i="36"/>
  <c r="F20" i="36"/>
  <c r="E20" i="36"/>
  <c r="D20" i="36"/>
  <c r="C20" i="36"/>
  <c r="F19" i="36"/>
  <c r="E19" i="36"/>
  <c r="D19" i="36"/>
  <c r="C19" i="36"/>
  <c r="F18" i="36"/>
  <c r="E18" i="36"/>
  <c r="D18" i="36"/>
  <c r="C18" i="36"/>
  <c r="F17" i="36"/>
  <c r="E17" i="36"/>
  <c r="D17" i="36"/>
  <c r="C17" i="36"/>
  <c r="F16" i="36"/>
  <c r="E16" i="36"/>
  <c r="D16" i="36"/>
  <c r="C16" i="36"/>
  <c r="F15" i="36"/>
  <c r="E15" i="36"/>
  <c r="D15" i="36"/>
  <c r="C15" i="36"/>
  <c r="F14" i="36"/>
  <c r="E14" i="36"/>
  <c r="D14" i="36"/>
  <c r="C14" i="36"/>
  <c r="F13" i="36"/>
  <c r="E13" i="36"/>
  <c r="D13" i="36"/>
  <c r="C13" i="36"/>
  <c r="F12" i="36"/>
  <c r="E12" i="36"/>
  <c r="D12" i="36"/>
  <c r="C12" i="36"/>
  <c r="F11" i="36"/>
  <c r="E11" i="36"/>
  <c r="D11" i="36"/>
  <c r="C11" i="36"/>
  <c r="F10" i="36"/>
  <c r="E10" i="36"/>
  <c r="D10" i="36"/>
  <c r="C10" i="36"/>
  <c r="F9" i="36"/>
  <c r="E9" i="36"/>
  <c r="D9" i="36"/>
  <c r="C9" i="36"/>
  <c r="F8" i="36"/>
  <c r="E8" i="36"/>
  <c r="D8" i="36"/>
  <c r="C8" i="36"/>
  <c r="F7" i="36"/>
  <c r="E7" i="36"/>
  <c r="D7" i="36"/>
  <c r="C7" i="36"/>
  <c r="F6" i="36"/>
  <c r="E6" i="36"/>
  <c r="D6" i="36"/>
  <c r="C6" i="36"/>
  <c r="F34" i="39"/>
  <c r="E34" i="39"/>
  <c r="D34" i="39"/>
  <c r="C34" i="39"/>
  <c r="T53" i="68"/>
  <c r="E50" i="68"/>
  <c r="E48" i="68"/>
  <c r="E46" i="68"/>
  <c r="T53" i="67"/>
  <c r="E50" i="67"/>
  <c r="E48" i="67"/>
  <c r="E46" i="67"/>
  <c r="T53" i="66"/>
  <c r="E50" i="66"/>
  <c r="E48" i="66"/>
  <c r="E46" i="66"/>
  <c r="T53" i="65"/>
  <c r="E50" i="65"/>
  <c r="E48" i="65"/>
  <c r="E46" i="65"/>
  <c r="T53" i="64"/>
  <c r="E50" i="64"/>
  <c r="E48" i="64"/>
  <c r="E46" i="64"/>
  <c r="T53" i="63"/>
  <c r="E50" i="63"/>
  <c r="E48" i="63"/>
  <c r="E46" i="63"/>
  <c r="T53" i="62"/>
  <c r="E50" i="62"/>
  <c r="E48" i="62"/>
  <c r="E46" i="62"/>
  <c r="T53" i="61"/>
  <c r="E50" i="61"/>
  <c r="E48" i="61"/>
  <c r="E46" i="61"/>
  <c r="T53" i="60"/>
  <c r="E50" i="60"/>
  <c r="E48" i="60"/>
  <c r="E46" i="60"/>
  <c r="T53" i="59"/>
  <c r="E50" i="59"/>
  <c r="E48" i="59"/>
  <c r="E46" i="59"/>
  <c r="T53" i="58"/>
  <c r="E50" i="58"/>
  <c r="E48" i="58"/>
  <c r="E46" i="58"/>
  <c r="T53" i="57"/>
  <c r="E50" i="57"/>
  <c r="E48" i="57"/>
  <c r="E46" i="57"/>
  <c r="T53" i="56"/>
  <c r="E50" i="56"/>
  <c r="E48" i="56"/>
  <c r="E46" i="56"/>
  <c r="T53" i="55"/>
  <c r="E50" i="55"/>
  <c r="E48" i="55"/>
  <c r="E46" i="55"/>
  <c r="T53" i="54"/>
  <c r="E50" i="54"/>
  <c r="E48" i="54"/>
  <c r="E46" i="54"/>
  <c r="T53" i="53"/>
  <c r="E50" i="53"/>
  <c r="E48" i="53"/>
  <c r="E46" i="53"/>
  <c r="T53" i="52"/>
  <c r="E50" i="52"/>
  <c r="E48" i="52"/>
  <c r="E46" i="52"/>
  <c r="T53" i="51"/>
  <c r="E50" i="51"/>
  <c r="E48" i="51"/>
  <c r="E46" i="51"/>
  <c r="T53" i="50"/>
  <c r="E50" i="50"/>
  <c r="E48" i="50"/>
  <c r="E46" i="50"/>
  <c r="T53" i="49"/>
  <c r="E50" i="49"/>
  <c r="E48" i="49"/>
  <c r="E46" i="49"/>
  <c r="T53" i="48"/>
  <c r="E50" i="48"/>
  <c r="E48" i="48"/>
  <c r="E46" i="48"/>
  <c r="T53" i="47"/>
  <c r="E50" i="47"/>
  <c r="E48" i="47"/>
  <c r="E46" i="47"/>
  <c r="T53" i="46"/>
  <c r="E50" i="46"/>
  <c r="E48" i="46"/>
  <c r="E46" i="46"/>
  <c r="T53" i="45"/>
  <c r="E50" i="45"/>
  <c r="E48" i="45"/>
  <c r="E46" i="45"/>
  <c r="T53" i="44"/>
  <c r="E50" i="44"/>
  <c r="E48" i="44"/>
  <c r="E46" i="44"/>
  <c r="T53" i="43"/>
  <c r="E50" i="43"/>
  <c r="E48" i="43"/>
  <c r="E46" i="43"/>
  <c r="T53" i="42"/>
  <c r="E50" i="42"/>
  <c r="E48" i="42"/>
  <c r="E46" i="42"/>
  <c r="T53" i="41"/>
  <c r="E50" i="41"/>
  <c r="E48" i="41"/>
  <c r="E46" i="41"/>
  <c r="T53" i="40"/>
  <c r="E50" i="40"/>
  <c r="E48" i="40"/>
  <c r="E46" i="40"/>
  <c r="V12" i="68"/>
  <c r="S12" i="68"/>
  <c r="O12" i="68"/>
  <c r="H12" i="68"/>
  <c r="V12" i="67"/>
  <c r="S12" i="67"/>
  <c r="O12" i="67"/>
  <c r="H12" i="67"/>
  <c r="V12" i="66"/>
  <c r="S12" i="66"/>
  <c r="O12" i="66"/>
  <c r="H12" i="66"/>
  <c r="V12" i="65"/>
  <c r="S12" i="65"/>
  <c r="O12" i="65"/>
  <c r="H12" i="65"/>
  <c r="V12" i="64"/>
  <c r="S12" i="64"/>
  <c r="O12" i="64"/>
  <c r="H12" i="64"/>
  <c r="V12" i="63"/>
  <c r="S12" i="63"/>
  <c r="O12" i="63"/>
  <c r="H12" i="63"/>
  <c r="V12" i="62"/>
  <c r="S12" i="62"/>
  <c r="O12" i="62"/>
  <c r="H12" i="62"/>
  <c r="V12" i="61"/>
  <c r="S12" i="61"/>
  <c r="O12" i="61"/>
  <c r="H12" i="61"/>
  <c r="V12" i="60"/>
  <c r="S12" i="60"/>
  <c r="O12" i="60"/>
  <c r="H12" i="60"/>
  <c r="V12" i="59"/>
  <c r="S12" i="59"/>
  <c r="O12" i="59"/>
  <c r="H12" i="59"/>
  <c r="V12" i="58"/>
  <c r="S12" i="58"/>
  <c r="O12" i="58"/>
  <c r="H12" i="58"/>
  <c r="V12" i="57"/>
  <c r="S12" i="57"/>
  <c r="O12" i="57"/>
  <c r="H12" i="57"/>
  <c r="V12" i="56"/>
  <c r="S12" i="56"/>
  <c r="O12" i="56"/>
  <c r="H12" i="56"/>
  <c r="V12" i="55"/>
  <c r="S12" i="55"/>
  <c r="O12" i="55"/>
  <c r="H12" i="55"/>
  <c r="V12" i="54"/>
  <c r="S12" i="54"/>
  <c r="O12" i="54"/>
  <c r="H12" i="54"/>
  <c r="V12" i="53"/>
  <c r="S12" i="53"/>
  <c r="O12" i="53"/>
  <c r="H12" i="53"/>
  <c r="V12" i="52"/>
  <c r="S12" i="52"/>
  <c r="O12" i="52"/>
  <c r="H12" i="52"/>
  <c r="V12" i="51"/>
  <c r="S12" i="51"/>
  <c r="O12" i="51"/>
  <c r="H12" i="51"/>
  <c r="V12" i="50"/>
  <c r="S12" i="50"/>
  <c r="O12" i="50"/>
  <c r="H12" i="50"/>
  <c r="V12" i="49"/>
  <c r="S12" i="49"/>
  <c r="O12" i="49"/>
  <c r="H12" i="49"/>
  <c r="V12" i="48"/>
  <c r="S12" i="48"/>
  <c r="O12" i="48"/>
  <c r="H12" i="48"/>
  <c r="V12" i="47"/>
  <c r="S12" i="47"/>
  <c r="O12" i="47"/>
  <c r="H12" i="47"/>
  <c r="V12" i="46"/>
  <c r="S12" i="46"/>
  <c r="O12" i="46"/>
  <c r="H12" i="46"/>
  <c r="V12" i="45"/>
  <c r="S12" i="45"/>
  <c r="O12" i="45"/>
  <c r="H12" i="45"/>
  <c r="V12" i="44"/>
  <c r="S12" i="44"/>
  <c r="O12" i="44"/>
  <c r="H12" i="44"/>
  <c r="V12" i="43"/>
  <c r="S12" i="43"/>
  <c r="O12" i="43"/>
  <c r="H12" i="43"/>
  <c r="V12" i="42"/>
  <c r="S12" i="42"/>
  <c r="O12" i="42"/>
  <c r="H12" i="42"/>
  <c r="V12" i="41"/>
  <c r="S12" i="41"/>
  <c r="O12" i="41"/>
  <c r="H12" i="41"/>
  <c r="V12" i="40"/>
  <c r="S12" i="40"/>
  <c r="O12" i="40"/>
  <c r="H12" i="40"/>
  <c r="L50" i="68" l="1"/>
  <c r="P53" i="68"/>
  <c r="Q43" i="68"/>
  <c r="P43" i="68"/>
  <c r="O43" i="68"/>
  <c r="N43" i="68"/>
  <c r="M43" i="68"/>
  <c r="L43" i="68"/>
  <c r="H43" i="68"/>
  <c r="G43" i="68"/>
  <c r="F43" i="68"/>
  <c r="E43" i="68"/>
  <c r="D43" i="68"/>
  <c r="C43" i="68"/>
  <c r="B43" i="68"/>
  <c r="R42" i="68"/>
  <c r="BV50" i="32" s="1"/>
  <c r="Q42" i="68"/>
  <c r="BS50" i="32" s="1"/>
  <c r="P42" i="68"/>
  <c r="BP50" i="32" s="1"/>
  <c r="O42" i="68"/>
  <c r="BM50" i="32" s="1"/>
  <c r="N42" i="68"/>
  <c r="BJ50" i="32" s="1"/>
  <c r="M42" i="68"/>
  <c r="BG50" i="32" s="1"/>
  <c r="L42" i="68"/>
  <c r="BD50" i="32" s="1"/>
  <c r="K42" i="68"/>
  <c r="AZ50" i="32" s="1"/>
  <c r="J42" i="68"/>
  <c r="J44" i="68" s="1"/>
  <c r="I42" i="68"/>
  <c r="AW50" i="32" s="1"/>
  <c r="H42" i="68"/>
  <c r="AT50" i="32" s="1"/>
  <c r="G42" i="68"/>
  <c r="AQ50" i="32" s="1"/>
  <c r="F42" i="68"/>
  <c r="AN50" i="32" s="1"/>
  <c r="AK50" i="32"/>
  <c r="AH50" i="32"/>
  <c r="AD50" i="32"/>
  <c r="AA50" i="32"/>
  <c r="R41" i="68"/>
  <c r="BU50" i="32" s="1"/>
  <c r="Q41" i="68"/>
  <c r="BR50" i="32" s="1"/>
  <c r="P41" i="68"/>
  <c r="BO50" i="32" s="1"/>
  <c r="O41" i="68"/>
  <c r="BL50" i="32" s="1"/>
  <c r="N41" i="68"/>
  <c r="BI50" i="32" s="1"/>
  <c r="M41" i="68"/>
  <c r="BF50" i="32" s="1"/>
  <c r="L41" i="68"/>
  <c r="BC50" i="32" s="1"/>
  <c r="K41" i="68"/>
  <c r="AY50" i="32" s="1"/>
  <c r="I41" i="68"/>
  <c r="AV50" i="32" s="1"/>
  <c r="H41" i="68"/>
  <c r="AS50" i="32" s="1"/>
  <c r="G41" i="68"/>
  <c r="AP50" i="32" s="1"/>
  <c r="F41" i="68"/>
  <c r="AM50" i="32" s="1"/>
  <c r="AJ50" i="32"/>
  <c r="AG50" i="32"/>
  <c r="AC50" i="32"/>
  <c r="Z50" i="32"/>
  <c r="R40" i="68"/>
  <c r="Q44" i="68"/>
  <c r="BT50" i="32" s="1"/>
  <c r="P40" i="68"/>
  <c r="O47" i="68" s="1"/>
  <c r="V33" i="39" s="1"/>
  <c r="O40" i="68"/>
  <c r="O46" i="68" s="1"/>
  <c r="U33" i="39" s="1"/>
  <c r="N40" i="68"/>
  <c r="M40" i="68"/>
  <c r="BH50" i="32" s="1"/>
  <c r="L40" i="68"/>
  <c r="BE50" i="32" s="1"/>
  <c r="BA50" i="32"/>
  <c r="I40" i="68"/>
  <c r="AX50" i="32" s="1"/>
  <c r="H40" i="68"/>
  <c r="AU50" i="32" s="1"/>
  <c r="G40" i="68"/>
  <c r="AR50" i="32" s="1"/>
  <c r="F40" i="68"/>
  <c r="AS39" i="68"/>
  <c r="AG39" i="68"/>
  <c r="AC39" i="68"/>
  <c r="AB39" i="68"/>
  <c r="AS38" i="68"/>
  <c r="AG38" i="68"/>
  <c r="AC38" i="68"/>
  <c r="AB38" i="68"/>
  <c r="AS37" i="68"/>
  <c r="AG37" i="68"/>
  <c r="AC37" i="68"/>
  <c r="AB37" i="68"/>
  <c r="AS36" i="68"/>
  <c r="AG36" i="68"/>
  <c r="AC36" i="68"/>
  <c r="AB36" i="68"/>
  <c r="AS35" i="68"/>
  <c r="AG35" i="68"/>
  <c r="AC35" i="68"/>
  <c r="AB35" i="68"/>
  <c r="AS34" i="68"/>
  <c r="AG34" i="68"/>
  <c r="AC34" i="68"/>
  <c r="AB34" i="68"/>
  <c r="AS33" i="68"/>
  <c r="AG33" i="68"/>
  <c r="AC33" i="68"/>
  <c r="AB33" i="68"/>
  <c r="AS32" i="68"/>
  <c r="AG32" i="68"/>
  <c r="AC32" i="68"/>
  <c r="AB32" i="68"/>
  <c r="AS31" i="68"/>
  <c r="AG31" i="68"/>
  <c r="AC31" i="68"/>
  <c r="AB31" i="68"/>
  <c r="AS30" i="68"/>
  <c r="AG30" i="68"/>
  <c r="AC30" i="68"/>
  <c r="AB30" i="68"/>
  <c r="AS29" i="68"/>
  <c r="AG29" i="68"/>
  <c r="AC29" i="68"/>
  <c r="AB29" i="68"/>
  <c r="AS28" i="68"/>
  <c r="AG28" i="68"/>
  <c r="AC28" i="68"/>
  <c r="AB28" i="68"/>
  <c r="AS27" i="68"/>
  <c r="AG27" i="68"/>
  <c r="AC27" i="68"/>
  <c r="AB27" i="68"/>
  <c r="AS26" i="68"/>
  <c r="AG26" i="68"/>
  <c r="AC26" i="68"/>
  <c r="AB26" i="68"/>
  <c r="AS25" i="68"/>
  <c r="AG25" i="68"/>
  <c r="AC25" i="68"/>
  <c r="AB25" i="68"/>
  <c r="AS24" i="68"/>
  <c r="AG24" i="68"/>
  <c r="AC24" i="68"/>
  <c r="AB24" i="68"/>
  <c r="AS23" i="68"/>
  <c r="AG23" i="68"/>
  <c r="AC23" i="68"/>
  <c r="AB23" i="68"/>
  <c r="AS22" i="68"/>
  <c r="AG22" i="68"/>
  <c r="AC22" i="68"/>
  <c r="AB22" i="68"/>
  <c r="AS21" i="68"/>
  <c r="AG21" i="68"/>
  <c r="AC21" i="68"/>
  <c r="AB21" i="68"/>
  <c r="AS20" i="68"/>
  <c r="AG20" i="68"/>
  <c r="AC20" i="68"/>
  <c r="AB20" i="68"/>
  <c r="AS19" i="68"/>
  <c r="AG19" i="68"/>
  <c r="AC19" i="68"/>
  <c r="AB19" i="68"/>
  <c r="AS18" i="68"/>
  <c r="AG18" i="68"/>
  <c r="AC18" i="68"/>
  <c r="AB18" i="68"/>
  <c r="AS17" i="68"/>
  <c r="AG17" i="68"/>
  <c r="AC17" i="68"/>
  <c r="AB17" i="68"/>
  <c r="AS16" i="68"/>
  <c r="AG16" i="68"/>
  <c r="AC16" i="68"/>
  <c r="AB16" i="68"/>
  <c r="R15" i="68"/>
  <c r="N50" i="68" s="1"/>
  <c r="AK10" i="68"/>
  <c r="AN16" i="68" s="1"/>
  <c r="AN17" i="68" s="1"/>
  <c r="AK9" i="68"/>
  <c r="AR16" i="68" s="1"/>
  <c r="AR17" i="68" s="1"/>
  <c r="AR18" i="68" s="1"/>
  <c r="AR19" i="68" s="1"/>
  <c r="AR20" i="68" s="1"/>
  <c r="AR21" i="68" s="1"/>
  <c r="AR22" i="68" s="1"/>
  <c r="AR23" i="68" s="1"/>
  <c r="AR24" i="68" s="1"/>
  <c r="AR25" i="68" s="1"/>
  <c r="AR26" i="68" s="1"/>
  <c r="AR27" i="68" s="1"/>
  <c r="AR28" i="68" s="1"/>
  <c r="AR29" i="68" s="1"/>
  <c r="AR30" i="68" s="1"/>
  <c r="AR31" i="68" s="1"/>
  <c r="AR32" i="68" s="1"/>
  <c r="AR33" i="68" s="1"/>
  <c r="AR34" i="68" s="1"/>
  <c r="AR35" i="68" s="1"/>
  <c r="AR36" i="68" s="1"/>
  <c r="AR37" i="68" s="1"/>
  <c r="AR38" i="68" s="1"/>
  <c r="AR39" i="68" s="1"/>
  <c r="AK7" i="68"/>
  <c r="AL16" i="68" s="1"/>
  <c r="AL17" i="68" s="1"/>
  <c r="AL18" i="68" s="1"/>
  <c r="AL19" i="68" s="1"/>
  <c r="AL20" i="68" s="1"/>
  <c r="AL21" i="68" s="1"/>
  <c r="AL22" i="68" s="1"/>
  <c r="AL23" i="68" s="1"/>
  <c r="AL24" i="68" s="1"/>
  <c r="AL25" i="68" s="1"/>
  <c r="AL26" i="68" s="1"/>
  <c r="AL27" i="68" s="1"/>
  <c r="AL28" i="68" s="1"/>
  <c r="AL29" i="68" s="1"/>
  <c r="AL30" i="68" s="1"/>
  <c r="AL31" i="68" s="1"/>
  <c r="AL32" i="68" s="1"/>
  <c r="AL33" i="68" s="1"/>
  <c r="AL34" i="68" s="1"/>
  <c r="AL35" i="68" s="1"/>
  <c r="AL36" i="68" s="1"/>
  <c r="AL37" i="68" s="1"/>
  <c r="AL38" i="68" s="1"/>
  <c r="AL39" i="68" s="1"/>
  <c r="AK6" i="68"/>
  <c r="AK16" i="68" s="1"/>
  <c r="AK17" i="68" s="1"/>
  <c r="AK18" i="68" s="1"/>
  <c r="AK19" i="68" s="1"/>
  <c r="AK20" i="68" s="1"/>
  <c r="AK21" i="68" s="1"/>
  <c r="AK22" i="68" s="1"/>
  <c r="AK23" i="68" s="1"/>
  <c r="AK24" i="68" s="1"/>
  <c r="AK25" i="68" s="1"/>
  <c r="AK26" i="68" s="1"/>
  <c r="AK27" i="68" s="1"/>
  <c r="AK28" i="68" s="1"/>
  <c r="AK29" i="68" s="1"/>
  <c r="AK30" i="68" s="1"/>
  <c r="AK31" i="68" s="1"/>
  <c r="AK32" i="68" s="1"/>
  <c r="AK33" i="68" s="1"/>
  <c r="AK34" i="68" s="1"/>
  <c r="AK35" i="68" s="1"/>
  <c r="AK36" i="68" s="1"/>
  <c r="AK37" i="68" s="1"/>
  <c r="AK38" i="68" s="1"/>
  <c r="AK39" i="68" s="1"/>
  <c r="AK5" i="68"/>
  <c r="AJ16" i="68" s="1"/>
  <c r="L50" i="67"/>
  <c r="P53" i="67"/>
  <c r="Q43" i="67"/>
  <c r="P43" i="67"/>
  <c r="O43" i="67"/>
  <c r="N43" i="67"/>
  <c r="M43" i="67"/>
  <c r="L43" i="67"/>
  <c r="H43" i="67"/>
  <c r="G43" i="67"/>
  <c r="F43" i="67"/>
  <c r="E43" i="67"/>
  <c r="D43" i="67"/>
  <c r="C43" i="67"/>
  <c r="B43" i="67"/>
  <c r="R42" i="67"/>
  <c r="BV49" i="32" s="1"/>
  <c r="Q42" i="67"/>
  <c r="BS49" i="32" s="1"/>
  <c r="P42" i="67"/>
  <c r="BP49" i="32" s="1"/>
  <c r="O42" i="67"/>
  <c r="BM49" i="32" s="1"/>
  <c r="N42" i="67"/>
  <c r="BJ49" i="32" s="1"/>
  <c r="M42" i="67"/>
  <c r="BG49" i="32" s="1"/>
  <c r="L42" i="67"/>
  <c r="BD49" i="32" s="1"/>
  <c r="K42" i="67"/>
  <c r="AZ49" i="32" s="1"/>
  <c r="J42" i="67"/>
  <c r="J44" i="67" s="1"/>
  <c r="I42" i="67"/>
  <c r="AW49" i="32" s="1"/>
  <c r="H42" i="67"/>
  <c r="AT49" i="32" s="1"/>
  <c r="G42" i="67"/>
  <c r="AQ49" i="32" s="1"/>
  <c r="F42" i="67"/>
  <c r="AN49" i="32" s="1"/>
  <c r="AK49" i="32"/>
  <c r="AH49" i="32"/>
  <c r="AD49" i="32"/>
  <c r="AA49" i="32"/>
  <c r="R41" i="67"/>
  <c r="BU49" i="32" s="1"/>
  <c r="Q41" i="67"/>
  <c r="BR49" i="32" s="1"/>
  <c r="P41" i="67"/>
  <c r="BO49" i="32" s="1"/>
  <c r="O41" i="67"/>
  <c r="BL49" i="32" s="1"/>
  <c r="N41" i="67"/>
  <c r="BI49" i="32" s="1"/>
  <c r="M41" i="67"/>
  <c r="BF49" i="32" s="1"/>
  <c r="L41" i="67"/>
  <c r="BC49" i="32" s="1"/>
  <c r="K41" i="67"/>
  <c r="AY49" i="32" s="1"/>
  <c r="I41" i="67"/>
  <c r="AV49" i="32" s="1"/>
  <c r="H41" i="67"/>
  <c r="AS49" i="32" s="1"/>
  <c r="G41" i="67"/>
  <c r="AP49" i="32" s="1"/>
  <c r="F41" i="67"/>
  <c r="AM49" i="32" s="1"/>
  <c r="AJ49" i="32"/>
  <c r="AG49" i="32"/>
  <c r="AC49" i="32"/>
  <c r="Z49" i="32"/>
  <c r="R40" i="67"/>
  <c r="Q44" i="67"/>
  <c r="BT49" i="32" s="1"/>
  <c r="P40" i="67"/>
  <c r="O47" i="67" s="1"/>
  <c r="V32" i="39" s="1"/>
  <c r="O40" i="67"/>
  <c r="O46" i="67" s="1"/>
  <c r="U32" i="39" s="1"/>
  <c r="N40" i="67"/>
  <c r="M40" i="67"/>
  <c r="BH49" i="32" s="1"/>
  <c r="L40" i="67"/>
  <c r="BE49" i="32" s="1"/>
  <c r="BA49" i="32"/>
  <c r="I40" i="67"/>
  <c r="AX49" i="32" s="1"/>
  <c r="H40" i="67"/>
  <c r="AU49" i="32" s="1"/>
  <c r="G40" i="67"/>
  <c r="AR49" i="32" s="1"/>
  <c r="F40" i="67"/>
  <c r="AS39" i="67"/>
  <c r="AG39" i="67"/>
  <c r="AC39" i="67"/>
  <c r="AB39" i="67"/>
  <c r="AS38" i="67"/>
  <c r="AG38" i="67"/>
  <c r="AC38" i="67"/>
  <c r="AB38" i="67"/>
  <c r="AS37" i="67"/>
  <c r="AG37" i="67"/>
  <c r="AC37" i="67"/>
  <c r="AB37" i="67"/>
  <c r="AS36" i="67"/>
  <c r="AG36" i="67"/>
  <c r="AC36" i="67"/>
  <c r="AB36" i="67"/>
  <c r="AS35" i="67"/>
  <c r="AG35" i="67"/>
  <c r="AC35" i="67"/>
  <c r="AB35" i="67"/>
  <c r="AS34" i="67"/>
  <c r="AG34" i="67"/>
  <c r="AC34" i="67"/>
  <c r="AB34" i="67"/>
  <c r="AS33" i="67"/>
  <c r="AG33" i="67"/>
  <c r="AC33" i="67"/>
  <c r="AB33" i="67"/>
  <c r="AS32" i="67"/>
  <c r="AG32" i="67"/>
  <c r="AC32" i="67"/>
  <c r="AB32" i="67"/>
  <c r="AS31" i="67"/>
  <c r="AG31" i="67"/>
  <c r="AC31" i="67"/>
  <c r="AB31" i="67"/>
  <c r="AS30" i="67"/>
  <c r="AG30" i="67"/>
  <c r="AC30" i="67"/>
  <c r="AB30" i="67"/>
  <c r="AS29" i="67"/>
  <c r="AG29" i="67"/>
  <c r="AC29" i="67"/>
  <c r="AB29" i="67"/>
  <c r="AS28" i="67"/>
  <c r="AG28" i="67"/>
  <c r="AC28" i="67"/>
  <c r="AB28" i="67"/>
  <c r="AS27" i="67"/>
  <c r="AG27" i="67"/>
  <c r="AC27" i="67"/>
  <c r="AB27" i="67"/>
  <c r="AS26" i="67"/>
  <c r="AG26" i="67"/>
  <c r="AC26" i="67"/>
  <c r="AB26" i="67"/>
  <c r="AS25" i="67"/>
  <c r="AG25" i="67"/>
  <c r="AC25" i="67"/>
  <c r="AB25" i="67"/>
  <c r="AS24" i="67"/>
  <c r="AG24" i="67"/>
  <c r="AC24" i="67"/>
  <c r="AB24" i="67"/>
  <c r="AS23" i="67"/>
  <c r="AG23" i="67"/>
  <c r="AC23" i="67"/>
  <c r="AB23" i="67"/>
  <c r="AS22" i="67"/>
  <c r="AG22" i="67"/>
  <c r="AC22" i="67"/>
  <c r="AB22" i="67"/>
  <c r="AS21" i="67"/>
  <c r="AG21" i="67"/>
  <c r="AC21" i="67"/>
  <c r="AB21" i="67"/>
  <c r="AS20" i="67"/>
  <c r="AG20" i="67"/>
  <c r="AC20" i="67"/>
  <c r="AB20" i="67"/>
  <c r="AS19" i="67"/>
  <c r="AG19" i="67"/>
  <c r="AC19" i="67"/>
  <c r="AB19" i="67"/>
  <c r="AS18" i="67"/>
  <c r="AG18" i="67"/>
  <c r="AC18" i="67"/>
  <c r="AB18" i="67"/>
  <c r="AS17" i="67"/>
  <c r="AG17" i="67"/>
  <c r="AC17" i="67"/>
  <c r="AB17" i="67"/>
  <c r="AS16" i="67"/>
  <c r="AG16" i="67"/>
  <c r="AC16" i="67"/>
  <c r="AB16" i="67"/>
  <c r="R15" i="67"/>
  <c r="N50" i="67" s="1"/>
  <c r="AK10" i="67"/>
  <c r="AN16" i="67" s="1"/>
  <c r="AN17" i="67" s="1"/>
  <c r="AK9" i="67"/>
  <c r="AR16" i="67" s="1"/>
  <c r="AR17" i="67" s="1"/>
  <c r="AR18" i="67" s="1"/>
  <c r="AR19" i="67" s="1"/>
  <c r="AR20" i="67" s="1"/>
  <c r="AR21" i="67" s="1"/>
  <c r="AR22" i="67" s="1"/>
  <c r="AR23" i="67" s="1"/>
  <c r="AR24" i="67" s="1"/>
  <c r="AR25" i="67" s="1"/>
  <c r="AR26" i="67" s="1"/>
  <c r="AR27" i="67" s="1"/>
  <c r="AR28" i="67" s="1"/>
  <c r="AR29" i="67" s="1"/>
  <c r="AR30" i="67" s="1"/>
  <c r="AR31" i="67" s="1"/>
  <c r="AR32" i="67" s="1"/>
  <c r="AR33" i="67" s="1"/>
  <c r="AR34" i="67" s="1"/>
  <c r="AR35" i="67" s="1"/>
  <c r="AR36" i="67" s="1"/>
  <c r="AR37" i="67" s="1"/>
  <c r="AR38" i="67" s="1"/>
  <c r="AR39" i="67" s="1"/>
  <c r="AK7" i="67"/>
  <c r="AL16" i="67" s="1"/>
  <c r="AL17" i="67" s="1"/>
  <c r="AL18" i="67" s="1"/>
  <c r="AL19" i="67" s="1"/>
  <c r="AL20" i="67" s="1"/>
  <c r="AL21" i="67" s="1"/>
  <c r="AL22" i="67" s="1"/>
  <c r="AL23" i="67" s="1"/>
  <c r="AL24" i="67" s="1"/>
  <c r="AL25" i="67" s="1"/>
  <c r="AL26" i="67" s="1"/>
  <c r="AL27" i="67" s="1"/>
  <c r="AL28" i="67" s="1"/>
  <c r="AL29" i="67" s="1"/>
  <c r="AL30" i="67" s="1"/>
  <c r="AL31" i="67" s="1"/>
  <c r="AL32" i="67" s="1"/>
  <c r="AL33" i="67" s="1"/>
  <c r="AL34" i="67" s="1"/>
  <c r="AL35" i="67" s="1"/>
  <c r="AL36" i="67" s="1"/>
  <c r="AL37" i="67" s="1"/>
  <c r="AL38" i="67" s="1"/>
  <c r="AL39" i="67" s="1"/>
  <c r="AK6" i="67"/>
  <c r="AK16" i="67" s="1"/>
  <c r="AK17" i="67" s="1"/>
  <c r="AK18" i="67" s="1"/>
  <c r="AK19" i="67" s="1"/>
  <c r="AK20" i="67" s="1"/>
  <c r="AK21" i="67" s="1"/>
  <c r="AK22" i="67" s="1"/>
  <c r="AK23" i="67" s="1"/>
  <c r="AK24" i="67" s="1"/>
  <c r="AK25" i="67" s="1"/>
  <c r="AK26" i="67" s="1"/>
  <c r="AK27" i="67" s="1"/>
  <c r="AK28" i="67" s="1"/>
  <c r="AK29" i="67" s="1"/>
  <c r="AK30" i="67" s="1"/>
  <c r="AK31" i="67" s="1"/>
  <c r="AK32" i="67" s="1"/>
  <c r="AK33" i="67" s="1"/>
  <c r="AK34" i="67" s="1"/>
  <c r="AK35" i="67" s="1"/>
  <c r="AK36" i="67" s="1"/>
  <c r="AK37" i="67" s="1"/>
  <c r="AK38" i="67" s="1"/>
  <c r="AK39" i="67" s="1"/>
  <c r="AK5" i="67"/>
  <c r="AJ16" i="67" s="1"/>
  <c r="L50" i="66"/>
  <c r="P53" i="66"/>
  <c r="Q43" i="66"/>
  <c r="P43" i="66"/>
  <c r="O43" i="66"/>
  <c r="N43" i="66"/>
  <c r="M43" i="66"/>
  <c r="L43" i="66"/>
  <c r="H43" i="66"/>
  <c r="G43" i="66"/>
  <c r="F43" i="66"/>
  <c r="E43" i="66"/>
  <c r="D43" i="66"/>
  <c r="C43" i="66"/>
  <c r="B43" i="66"/>
  <c r="R42" i="66"/>
  <c r="BV48" i="32" s="1"/>
  <c r="Q42" i="66"/>
  <c r="BS48" i="32" s="1"/>
  <c r="P42" i="66"/>
  <c r="BP48" i="32" s="1"/>
  <c r="O42" i="66"/>
  <c r="BM48" i="32" s="1"/>
  <c r="N42" i="66"/>
  <c r="BJ48" i="32" s="1"/>
  <c r="M42" i="66"/>
  <c r="BG48" i="32" s="1"/>
  <c r="L42" i="66"/>
  <c r="BD48" i="32" s="1"/>
  <c r="K42" i="66"/>
  <c r="AZ48" i="32" s="1"/>
  <c r="J42" i="66"/>
  <c r="J44" i="66" s="1"/>
  <c r="I42" i="66"/>
  <c r="AW48" i="32" s="1"/>
  <c r="H42" i="66"/>
  <c r="AT48" i="32" s="1"/>
  <c r="G42" i="66"/>
  <c r="AQ48" i="32" s="1"/>
  <c r="F42" i="66"/>
  <c r="AN48" i="32" s="1"/>
  <c r="AK48" i="32"/>
  <c r="AH48" i="32"/>
  <c r="AD48" i="32"/>
  <c r="AA48" i="32"/>
  <c r="R41" i="66"/>
  <c r="BU48" i="32" s="1"/>
  <c r="Q41" i="66"/>
  <c r="BR48" i="32" s="1"/>
  <c r="P41" i="66"/>
  <c r="BO48" i="32" s="1"/>
  <c r="O41" i="66"/>
  <c r="BL48" i="32" s="1"/>
  <c r="N41" i="66"/>
  <c r="BI48" i="32" s="1"/>
  <c r="M41" i="66"/>
  <c r="BF48" i="32" s="1"/>
  <c r="L41" i="66"/>
  <c r="BC48" i="32" s="1"/>
  <c r="K41" i="66"/>
  <c r="AY48" i="32" s="1"/>
  <c r="I41" i="66"/>
  <c r="AV48" i="32" s="1"/>
  <c r="H41" i="66"/>
  <c r="AS48" i="32" s="1"/>
  <c r="G41" i="66"/>
  <c r="AP48" i="32" s="1"/>
  <c r="F41" i="66"/>
  <c r="AM48" i="32" s="1"/>
  <c r="AJ48" i="32"/>
  <c r="AG48" i="32"/>
  <c r="AC48" i="32"/>
  <c r="Z48" i="32"/>
  <c r="R40" i="66"/>
  <c r="M50" i="66" s="1"/>
  <c r="L45" i="32" s="1"/>
  <c r="Q44" i="66"/>
  <c r="BT48" i="32" s="1"/>
  <c r="P40" i="66"/>
  <c r="O47" i="66" s="1"/>
  <c r="V31" i="39" s="1"/>
  <c r="O40" i="66"/>
  <c r="O46" i="66" s="1"/>
  <c r="U31" i="39" s="1"/>
  <c r="N40" i="66"/>
  <c r="M40" i="66"/>
  <c r="BH48" i="32" s="1"/>
  <c r="L40" i="66"/>
  <c r="BE48" i="32" s="1"/>
  <c r="BA48" i="32"/>
  <c r="I40" i="66"/>
  <c r="AX48" i="32" s="1"/>
  <c r="H40" i="66"/>
  <c r="AU48" i="32" s="1"/>
  <c r="G40" i="66"/>
  <c r="AR48" i="32" s="1"/>
  <c r="F40" i="66"/>
  <c r="AS39" i="66"/>
  <c r="AG39" i="66"/>
  <c r="AC39" i="66"/>
  <c r="AB39" i="66"/>
  <c r="AS38" i="66"/>
  <c r="AG38" i="66"/>
  <c r="AC38" i="66"/>
  <c r="AB38" i="66"/>
  <c r="AS37" i="66"/>
  <c r="AG37" i="66"/>
  <c r="AC37" i="66"/>
  <c r="AB37" i="66"/>
  <c r="AS36" i="66"/>
  <c r="AG36" i="66"/>
  <c r="AC36" i="66"/>
  <c r="AB36" i="66"/>
  <c r="AS35" i="66"/>
  <c r="AG35" i="66"/>
  <c r="AC35" i="66"/>
  <c r="AB35" i="66"/>
  <c r="AS34" i="66"/>
  <c r="AG34" i="66"/>
  <c r="AC34" i="66"/>
  <c r="AB34" i="66"/>
  <c r="AS33" i="66"/>
  <c r="AG33" i="66"/>
  <c r="AC33" i="66"/>
  <c r="AB33" i="66"/>
  <c r="AS32" i="66"/>
  <c r="AG32" i="66"/>
  <c r="AC32" i="66"/>
  <c r="AB32" i="66"/>
  <c r="AS31" i="66"/>
  <c r="AG31" i="66"/>
  <c r="AC31" i="66"/>
  <c r="AB31" i="66"/>
  <c r="AS30" i="66"/>
  <c r="AG30" i="66"/>
  <c r="AC30" i="66"/>
  <c r="AB30" i="66"/>
  <c r="AS29" i="66"/>
  <c r="AG29" i="66"/>
  <c r="AC29" i="66"/>
  <c r="AB29" i="66"/>
  <c r="AS28" i="66"/>
  <c r="AG28" i="66"/>
  <c r="AC28" i="66"/>
  <c r="AB28" i="66"/>
  <c r="AS27" i="66"/>
  <c r="AG27" i="66"/>
  <c r="AC27" i="66"/>
  <c r="AB27" i="66"/>
  <c r="AS26" i="66"/>
  <c r="AG26" i="66"/>
  <c r="AC26" i="66"/>
  <c r="AB26" i="66"/>
  <c r="AS25" i="66"/>
  <c r="AG25" i="66"/>
  <c r="AC25" i="66"/>
  <c r="AB25" i="66"/>
  <c r="AS24" i="66"/>
  <c r="AG24" i="66"/>
  <c r="AC24" i="66"/>
  <c r="AB24" i="66"/>
  <c r="AS23" i="66"/>
  <c r="AG23" i="66"/>
  <c r="AC23" i="66"/>
  <c r="AB23" i="66"/>
  <c r="AS22" i="66"/>
  <c r="AG22" i="66"/>
  <c r="AC22" i="66"/>
  <c r="AB22" i="66"/>
  <c r="AS21" i="66"/>
  <c r="AG21" i="66"/>
  <c r="AC21" i="66"/>
  <c r="AB21" i="66"/>
  <c r="AS20" i="66"/>
  <c r="AG20" i="66"/>
  <c r="AC20" i="66"/>
  <c r="AB20" i="66"/>
  <c r="AS19" i="66"/>
  <c r="AG19" i="66"/>
  <c r="AC19" i="66"/>
  <c r="AB19" i="66"/>
  <c r="AS18" i="66"/>
  <c r="AG18" i="66"/>
  <c r="AC18" i="66"/>
  <c r="AB18" i="66"/>
  <c r="AS17" i="66"/>
  <c r="AG17" i="66"/>
  <c r="AC17" i="66"/>
  <c r="AB17" i="66"/>
  <c r="AS16" i="66"/>
  <c r="AG16" i="66"/>
  <c r="AC16" i="66"/>
  <c r="AB16" i="66"/>
  <c r="R15" i="66"/>
  <c r="N50" i="66" s="1"/>
  <c r="AK10" i="66"/>
  <c r="AN16" i="66" s="1"/>
  <c r="AN17" i="66" s="1"/>
  <c r="AK9" i="66"/>
  <c r="AR16" i="66" s="1"/>
  <c r="AR17" i="66" s="1"/>
  <c r="AR18" i="66" s="1"/>
  <c r="AR19" i="66" s="1"/>
  <c r="AR20" i="66" s="1"/>
  <c r="AR21" i="66" s="1"/>
  <c r="AR22" i="66" s="1"/>
  <c r="AR23" i="66" s="1"/>
  <c r="AR24" i="66" s="1"/>
  <c r="AR25" i="66" s="1"/>
  <c r="AR26" i="66" s="1"/>
  <c r="AR27" i="66" s="1"/>
  <c r="AR28" i="66" s="1"/>
  <c r="AR29" i="66" s="1"/>
  <c r="AR30" i="66" s="1"/>
  <c r="AR31" i="66" s="1"/>
  <c r="AR32" i="66" s="1"/>
  <c r="AR33" i="66" s="1"/>
  <c r="AR34" i="66" s="1"/>
  <c r="AR35" i="66" s="1"/>
  <c r="AR36" i="66" s="1"/>
  <c r="AR37" i="66" s="1"/>
  <c r="AR38" i="66" s="1"/>
  <c r="AR39" i="66" s="1"/>
  <c r="AK7" i="66"/>
  <c r="AL16" i="66" s="1"/>
  <c r="AL17" i="66" s="1"/>
  <c r="AL18" i="66" s="1"/>
  <c r="AL19" i="66" s="1"/>
  <c r="AL20" i="66" s="1"/>
  <c r="AL21" i="66" s="1"/>
  <c r="AL22" i="66" s="1"/>
  <c r="AL23" i="66" s="1"/>
  <c r="AL24" i="66" s="1"/>
  <c r="AL25" i="66" s="1"/>
  <c r="AL26" i="66" s="1"/>
  <c r="AL27" i="66" s="1"/>
  <c r="AL28" i="66" s="1"/>
  <c r="AL29" i="66" s="1"/>
  <c r="AL30" i="66" s="1"/>
  <c r="AL31" i="66" s="1"/>
  <c r="AL32" i="66" s="1"/>
  <c r="AL33" i="66" s="1"/>
  <c r="AL34" i="66" s="1"/>
  <c r="AL35" i="66" s="1"/>
  <c r="AL36" i="66" s="1"/>
  <c r="AL37" i="66" s="1"/>
  <c r="AL38" i="66" s="1"/>
  <c r="AL39" i="66" s="1"/>
  <c r="AK6" i="66"/>
  <c r="AK16" i="66" s="1"/>
  <c r="AK17" i="66" s="1"/>
  <c r="AK18" i="66" s="1"/>
  <c r="AK19" i="66" s="1"/>
  <c r="AK20" i="66" s="1"/>
  <c r="AK21" i="66" s="1"/>
  <c r="AK22" i="66" s="1"/>
  <c r="AK23" i="66" s="1"/>
  <c r="AK24" i="66" s="1"/>
  <c r="AK25" i="66" s="1"/>
  <c r="AK26" i="66" s="1"/>
  <c r="AK27" i="66" s="1"/>
  <c r="AK28" i="66" s="1"/>
  <c r="AK29" i="66" s="1"/>
  <c r="AK30" i="66" s="1"/>
  <c r="AK31" i="66" s="1"/>
  <c r="AK32" i="66" s="1"/>
  <c r="AK33" i="66" s="1"/>
  <c r="AK34" i="66" s="1"/>
  <c r="AK35" i="66" s="1"/>
  <c r="AK36" i="66" s="1"/>
  <c r="AK37" i="66" s="1"/>
  <c r="AK38" i="66" s="1"/>
  <c r="AK39" i="66" s="1"/>
  <c r="AK5" i="66"/>
  <c r="AJ16" i="66" s="1"/>
  <c r="L50" i="65"/>
  <c r="P53" i="65"/>
  <c r="Q43" i="65"/>
  <c r="P43" i="65"/>
  <c r="O43" i="65"/>
  <c r="N43" i="65"/>
  <c r="M43" i="65"/>
  <c r="L43" i="65"/>
  <c r="H43" i="65"/>
  <c r="G43" i="65"/>
  <c r="F43" i="65"/>
  <c r="E43" i="65"/>
  <c r="D43" i="65"/>
  <c r="C43" i="65"/>
  <c r="B43" i="65"/>
  <c r="R42" i="65"/>
  <c r="BV47" i="32" s="1"/>
  <c r="Q42" i="65"/>
  <c r="BS47" i="32" s="1"/>
  <c r="P42" i="65"/>
  <c r="BP47" i="32" s="1"/>
  <c r="O42" i="65"/>
  <c r="BM47" i="32" s="1"/>
  <c r="N42" i="65"/>
  <c r="BJ47" i="32" s="1"/>
  <c r="M42" i="65"/>
  <c r="BG47" i="32" s="1"/>
  <c r="L42" i="65"/>
  <c r="BD47" i="32" s="1"/>
  <c r="K42" i="65"/>
  <c r="AZ47" i="32" s="1"/>
  <c r="J42" i="65"/>
  <c r="J44" i="65" s="1"/>
  <c r="I42" i="65"/>
  <c r="AW47" i="32" s="1"/>
  <c r="H42" i="65"/>
  <c r="AT47" i="32" s="1"/>
  <c r="G42" i="65"/>
  <c r="AQ47" i="32" s="1"/>
  <c r="F42" i="65"/>
  <c r="AN47" i="32" s="1"/>
  <c r="AK47" i="32"/>
  <c r="AH47" i="32"/>
  <c r="AD47" i="32"/>
  <c r="AA47" i="32"/>
  <c r="R41" i="65"/>
  <c r="BU47" i="32" s="1"/>
  <c r="Q41" i="65"/>
  <c r="BR47" i="32" s="1"/>
  <c r="P41" i="65"/>
  <c r="BO47" i="32" s="1"/>
  <c r="O41" i="65"/>
  <c r="BL47" i="32" s="1"/>
  <c r="N41" i="65"/>
  <c r="BI47" i="32" s="1"/>
  <c r="M41" i="65"/>
  <c r="BF47" i="32" s="1"/>
  <c r="L41" i="65"/>
  <c r="BC47" i="32" s="1"/>
  <c r="K41" i="65"/>
  <c r="AY47" i="32" s="1"/>
  <c r="I41" i="65"/>
  <c r="AV47" i="32" s="1"/>
  <c r="H41" i="65"/>
  <c r="AS47" i="32" s="1"/>
  <c r="G41" i="65"/>
  <c r="AP47" i="32" s="1"/>
  <c r="F41" i="65"/>
  <c r="AM47" i="32" s="1"/>
  <c r="AJ47" i="32"/>
  <c r="AG47" i="32"/>
  <c r="AC47" i="32"/>
  <c r="Z47" i="32"/>
  <c r="R40" i="65"/>
  <c r="M50" i="65" s="1"/>
  <c r="L44" i="32" s="1"/>
  <c r="Q44" i="65"/>
  <c r="BT47" i="32" s="1"/>
  <c r="P40" i="65"/>
  <c r="O47" i="65" s="1"/>
  <c r="V30" i="39" s="1"/>
  <c r="O40" i="65"/>
  <c r="O46" i="65" s="1"/>
  <c r="U30" i="39" s="1"/>
  <c r="N40" i="65"/>
  <c r="M40" i="65"/>
  <c r="BH47" i="32" s="1"/>
  <c r="L40" i="65"/>
  <c r="BE47" i="32" s="1"/>
  <c r="BA47" i="32"/>
  <c r="I40" i="65"/>
  <c r="AX47" i="32" s="1"/>
  <c r="H40" i="65"/>
  <c r="AU47" i="32" s="1"/>
  <c r="G40" i="65"/>
  <c r="AR47" i="32" s="1"/>
  <c r="F40" i="65"/>
  <c r="AS39" i="65"/>
  <c r="AG39" i="65"/>
  <c r="AC39" i="65"/>
  <c r="AB39" i="65"/>
  <c r="AS38" i="65"/>
  <c r="AG38" i="65"/>
  <c r="AC38" i="65"/>
  <c r="AB38" i="65"/>
  <c r="AS37" i="65"/>
  <c r="AG37" i="65"/>
  <c r="AC37" i="65"/>
  <c r="AB37" i="65"/>
  <c r="AS36" i="65"/>
  <c r="AG36" i="65"/>
  <c r="AC36" i="65"/>
  <c r="AB36" i="65"/>
  <c r="AS35" i="65"/>
  <c r="AG35" i="65"/>
  <c r="AC35" i="65"/>
  <c r="AB35" i="65"/>
  <c r="AS34" i="65"/>
  <c r="AG34" i="65"/>
  <c r="AC34" i="65"/>
  <c r="AB34" i="65"/>
  <c r="AS33" i="65"/>
  <c r="AG33" i="65"/>
  <c r="AC33" i="65"/>
  <c r="AB33" i="65"/>
  <c r="AS32" i="65"/>
  <c r="AG32" i="65"/>
  <c r="AC32" i="65"/>
  <c r="AB32" i="65"/>
  <c r="AS31" i="65"/>
  <c r="AG31" i="65"/>
  <c r="AC31" i="65"/>
  <c r="AB31" i="65"/>
  <c r="AS30" i="65"/>
  <c r="AG30" i="65"/>
  <c r="AC30" i="65"/>
  <c r="AB30" i="65"/>
  <c r="AS29" i="65"/>
  <c r="AG29" i="65"/>
  <c r="AC29" i="65"/>
  <c r="AB29" i="65"/>
  <c r="AS28" i="65"/>
  <c r="AG28" i="65"/>
  <c r="AC28" i="65"/>
  <c r="AB28" i="65"/>
  <c r="AS27" i="65"/>
  <c r="AG27" i="65"/>
  <c r="AC27" i="65"/>
  <c r="AB27" i="65"/>
  <c r="AS26" i="65"/>
  <c r="AG26" i="65"/>
  <c r="AC26" i="65"/>
  <c r="AB26" i="65"/>
  <c r="AS25" i="65"/>
  <c r="AG25" i="65"/>
  <c r="AC25" i="65"/>
  <c r="AB25" i="65"/>
  <c r="AS24" i="65"/>
  <c r="AG24" i="65"/>
  <c r="AC24" i="65"/>
  <c r="AB24" i="65"/>
  <c r="AS23" i="65"/>
  <c r="AG23" i="65"/>
  <c r="AC23" i="65"/>
  <c r="AB23" i="65"/>
  <c r="AS22" i="65"/>
  <c r="AG22" i="65"/>
  <c r="AC22" i="65"/>
  <c r="AB22" i="65"/>
  <c r="AS21" i="65"/>
  <c r="AG21" i="65"/>
  <c r="AC21" i="65"/>
  <c r="AB21" i="65"/>
  <c r="AS20" i="65"/>
  <c r="AG20" i="65"/>
  <c r="AC20" i="65"/>
  <c r="AB20" i="65"/>
  <c r="AS19" i="65"/>
  <c r="AG19" i="65"/>
  <c r="AC19" i="65"/>
  <c r="AB19" i="65"/>
  <c r="AS18" i="65"/>
  <c r="AG18" i="65"/>
  <c r="AC18" i="65"/>
  <c r="AB18" i="65"/>
  <c r="AS17" i="65"/>
  <c r="AG17" i="65"/>
  <c r="AC17" i="65"/>
  <c r="AB17" i="65"/>
  <c r="AS16" i="65"/>
  <c r="AG16" i="65"/>
  <c r="AC16" i="65"/>
  <c r="AB16" i="65"/>
  <c r="R15" i="65"/>
  <c r="N50" i="65" s="1"/>
  <c r="AK10" i="65"/>
  <c r="AN16" i="65" s="1"/>
  <c r="AN17" i="65" s="1"/>
  <c r="AK9" i="65"/>
  <c r="AR16" i="65" s="1"/>
  <c r="AR17" i="65" s="1"/>
  <c r="AR18" i="65" s="1"/>
  <c r="AR19" i="65" s="1"/>
  <c r="AR20" i="65" s="1"/>
  <c r="AR21" i="65" s="1"/>
  <c r="AR22" i="65" s="1"/>
  <c r="AR23" i="65" s="1"/>
  <c r="AR24" i="65" s="1"/>
  <c r="AR25" i="65" s="1"/>
  <c r="AR26" i="65" s="1"/>
  <c r="AR27" i="65" s="1"/>
  <c r="AR28" i="65" s="1"/>
  <c r="AR29" i="65" s="1"/>
  <c r="AR30" i="65" s="1"/>
  <c r="AR31" i="65" s="1"/>
  <c r="AR32" i="65" s="1"/>
  <c r="AR33" i="65" s="1"/>
  <c r="AR34" i="65" s="1"/>
  <c r="AR35" i="65" s="1"/>
  <c r="AR36" i="65" s="1"/>
  <c r="AR37" i="65" s="1"/>
  <c r="AR38" i="65" s="1"/>
  <c r="AR39" i="65" s="1"/>
  <c r="AK7" i="65"/>
  <c r="AL16" i="65" s="1"/>
  <c r="AL17" i="65" s="1"/>
  <c r="AL18" i="65" s="1"/>
  <c r="AL19" i="65" s="1"/>
  <c r="AL20" i="65" s="1"/>
  <c r="AL21" i="65" s="1"/>
  <c r="AL22" i="65" s="1"/>
  <c r="AL23" i="65" s="1"/>
  <c r="AL24" i="65" s="1"/>
  <c r="AL25" i="65" s="1"/>
  <c r="AL26" i="65" s="1"/>
  <c r="AL27" i="65" s="1"/>
  <c r="AL28" i="65" s="1"/>
  <c r="AL29" i="65" s="1"/>
  <c r="AL30" i="65" s="1"/>
  <c r="AL31" i="65" s="1"/>
  <c r="AL32" i="65" s="1"/>
  <c r="AL33" i="65" s="1"/>
  <c r="AL34" i="65" s="1"/>
  <c r="AL35" i="65" s="1"/>
  <c r="AL36" i="65" s="1"/>
  <c r="AL37" i="65" s="1"/>
  <c r="AL38" i="65" s="1"/>
  <c r="AL39" i="65" s="1"/>
  <c r="AK6" i="65"/>
  <c r="AK16" i="65" s="1"/>
  <c r="AK17" i="65" s="1"/>
  <c r="AK18" i="65" s="1"/>
  <c r="AK19" i="65" s="1"/>
  <c r="AK20" i="65" s="1"/>
  <c r="AK21" i="65" s="1"/>
  <c r="AK22" i="65" s="1"/>
  <c r="AK23" i="65" s="1"/>
  <c r="AK24" i="65" s="1"/>
  <c r="AK25" i="65" s="1"/>
  <c r="AK26" i="65" s="1"/>
  <c r="AK27" i="65" s="1"/>
  <c r="AK28" i="65" s="1"/>
  <c r="AK29" i="65" s="1"/>
  <c r="AK30" i="65" s="1"/>
  <c r="AK31" i="65" s="1"/>
  <c r="AK32" i="65" s="1"/>
  <c r="AK33" i="65" s="1"/>
  <c r="AK34" i="65" s="1"/>
  <c r="AK35" i="65" s="1"/>
  <c r="AK36" i="65" s="1"/>
  <c r="AK37" i="65" s="1"/>
  <c r="AK38" i="65" s="1"/>
  <c r="AK39" i="65" s="1"/>
  <c r="AK5" i="65"/>
  <c r="AJ16" i="65" s="1"/>
  <c r="L50" i="64"/>
  <c r="P53" i="64"/>
  <c r="Q43" i="64"/>
  <c r="P43" i="64"/>
  <c r="O43" i="64"/>
  <c r="N43" i="64"/>
  <c r="M43" i="64"/>
  <c r="L43" i="64"/>
  <c r="H43" i="64"/>
  <c r="G43" i="64"/>
  <c r="F43" i="64"/>
  <c r="E43" i="64"/>
  <c r="D43" i="64"/>
  <c r="C43" i="64"/>
  <c r="B43" i="64"/>
  <c r="R42" i="64"/>
  <c r="BV46" i="32" s="1"/>
  <c r="Q42" i="64"/>
  <c r="BS46" i="32" s="1"/>
  <c r="P42" i="64"/>
  <c r="BP46" i="32" s="1"/>
  <c r="O42" i="64"/>
  <c r="BM46" i="32" s="1"/>
  <c r="N42" i="64"/>
  <c r="BJ46" i="32" s="1"/>
  <c r="M42" i="64"/>
  <c r="BG46" i="32" s="1"/>
  <c r="L42" i="64"/>
  <c r="BD46" i="32" s="1"/>
  <c r="K42" i="64"/>
  <c r="AZ46" i="32" s="1"/>
  <c r="J42" i="64"/>
  <c r="J44" i="64" s="1"/>
  <c r="I42" i="64"/>
  <c r="AW46" i="32" s="1"/>
  <c r="H42" i="64"/>
  <c r="AT46" i="32" s="1"/>
  <c r="G42" i="64"/>
  <c r="AQ46" i="32" s="1"/>
  <c r="F42" i="64"/>
  <c r="AN46" i="32" s="1"/>
  <c r="AK46" i="32"/>
  <c r="AH46" i="32"/>
  <c r="AD46" i="32"/>
  <c r="AA46" i="32"/>
  <c r="R41" i="64"/>
  <c r="BU46" i="32" s="1"/>
  <c r="Q41" i="64"/>
  <c r="BR46" i="32" s="1"/>
  <c r="P41" i="64"/>
  <c r="BO46" i="32" s="1"/>
  <c r="O41" i="64"/>
  <c r="BL46" i="32" s="1"/>
  <c r="N41" i="64"/>
  <c r="BI46" i="32" s="1"/>
  <c r="M41" i="64"/>
  <c r="BF46" i="32" s="1"/>
  <c r="L41" i="64"/>
  <c r="BC46" i="32" s="1"/>
  <c r="K41" i="64"/>
  <c r="AY46" i="32" s="1"/>
  <c r="I41" i="64"/>
  <c r="AV46" i="32" s="1"/>
  <c r="H41" i="64"/>
  <c r="AS46" i="32" s="1"/>
  <c r="G41" i="64"/>
  <c r="AP46" i="32" s="1"/>
  <c r="F41" i="64"/>
  <c r="AM46" i="32" s="1"/>
  <c r="AJ46" i="32"/>
  <c r="AG46" i="32"/>
  <c r="AC46" i="32"/>
  <c r="Z46" i="32"/>
  <c r="R40" i="64"/>
  <c r="M50" i="64" s="1"/>
  <c r="L43" i="32" s="1"/>
  <c r="Q44" i="64"/>
  <c r="BT46" i="32" s="1"/>
  <c r="P40" i="64"/>
  <c r="O47" i="64" s="1"/>
  <c r="V29" i="39" s="1"/>
  <c r="O40" i="64"/>
  <c r="O46" i="64" s="1"/>
  <c r="U29" i="39" s="1"/>
  <c r="N40" i="64"/>
  <c r="M40" i="64"/>
  <c r="BH46" i="32" s="1"/>
  <c r="L40" i="64"/>
  <c r="BE46" i="32" s="1"/>
  <c r="BA46" i="32"/>
  <c r="I40" i="64"/>
  <c r="AX46" i="32" s="1"/>
  <c r="H40" i="64"/>
  <c r="AU46" i="32" s="1"/>
  <c r="G40" i="64"/>
  <c r="AR46" i="32" s="1"/>
  <c r="F40" i="64"/>
  <c r="AS39" i="64"/>
  <c r="AG39" i="64"/>
  <c r="AC39" i="64"/>
  <c r="AB39" i="64"/>
  <c r="AS38" i="64"/>
  <c r="AG38" i="64"/>
  <c r="AC38" i="64"/>
  <c r="AB38" i="64"/>
  <c r="AS37" i="64"/>
  <c r="AG37" i="64"/>
  <c r="AC37" i="64"/>
  <c r="AB37" i="64"/>
  <c r="AS36" i="64"/>
  <c r="AG36" i="64"/>
  <c r="AC36" i="64"/>
  <c r="AB36" i="64"/>
  <c r="AS35" i="64"/>
  <c r="AG35" i="64"/>
  <c r="AC35" i="64"/>
  <c r="AB35" i="64"/>
  <c r="AS34" i="64"/>
  <c r="AG34" i="64"/>
  <c r="AC34" i="64"/>
  <c r="AB34" i="64"/>
  <c r="AS33" i="64"/>
  <c r="AG33" i="64"/>
  <c r="AC33" i="64"/>
  <c r="AB33" i="64"/>
  <c r="AS32" i="64"/>
  <c r="AG32" i="64"/>
  <c r="AC32" i="64"/>
  <c r="AB32" i="64"/>
  <c r="AS31" i="64"/>
  <c r="AG31" i="64"/>
  <c r="AC31" i="64"/>
  <c r="AB31" i="64"/>
  <c r="AS30" i="64"/>
  <c r="AG30" i="64"/>
  <c r="AC30" i="64"/>
  <c r="AB30" i="64"/>
  <c r="AS29" i="64"/>
  <c r="AG29" i="64"/>
  <c r="AC29" i="64"/>
  <c r="AB29" i="64"/>
  <c r="AS28" i="64"/>
  <c r="AG28" i="64"/>
  <c r="AC28" i="64"/>
  <c r="AB28" i="64"/>
  <c r="AS27" i="64"/>
  <c r="AG27" i="64"/>
  <c r="AC27" i="64"/>
  <c r="AB27" i="64"/>
  <c r="AS26" i="64"/>
  <c r="AG26" i="64"/>
  <c r="AC26" i="64"/>
  <c r="AB26" i="64"/>
  <c r="AS25" i="64"/>
  <c r="AG25" i="64"/>
  <c r="AC25" i="64"/>
  <c r="AB25" i="64"/>
  <c r="AS24" i="64"/>
  <c r="AG24" i="64"/>
  <c r="AC24" i="64"/>
  <c r="AB24" i="64"/>
  <c r="AS23" i="64"/>
  <c r="AG23" i="64"/>
  <c r="AC23" i="64"/>
  <c r="AB23" i="64"/>
  <c r="AS22" i="64"/>
  <c r="AG22" i="64"/>
  <c r="AC22" i="64"/>
  <c r="AB22" i="64"/>
  <c r="AS21" i="64"/>
  <c r="AG21" i="64"/>
  <c r="AC21" i="64"/>
  <c r="AB21" i="64"/>
  <c r="AS20" i="64"/>
  <c r="AG20" i="64"/>
  <c r="AC20" i="64"/>
  <c r="AB20" i="64"/>
  <c r="AS19" i="64"/>
  <c r="AG19" i="64"/>
  <c r="AC19" i="64"/>
  <c r="AB19" i="64"/>
  <c r="AS18" i="64"/>
  <c r="AG18" i="64"/>
  <c r="AC18" i="64"/>
  <c r="AB18" i="64"/>
  <c r="AS17" i="64"/>
  <c r="AG17" i="64"/>
  <c r="AC17" i="64"/>
  <c r="AB17" i="64"/>
  <c r="AS16" i="64"/>
  <c r="AG16" i="64"/>
  <c r="AC16" i="64"/>
  <c r="AB16" i="64"/>
  <c r="R15" i="64"/>
  <c r="N50" i="64" s="1"/>
  <c r="AK10" i="64"/>
  <c r="AN16" i="64" s="1"/>
  <c r="AN17" i="64" s="1"/>
  <c r="AK9" i="64"/>
  <c r="AR16" i="64" s="1"/>
  <c r="AR17" i="64" s="1"/>
  <c r="AR18" i="64" s="1"/>
  <c r="AR19" i="64" s="1"/>
  <c r="AR20" i="64" s="1"/>
  <c r="AR21" i="64" s="1"/>
  <c r="AR22" i="64" s="1"/>
  <c r="AR23" i="64" s="1"/>
  <c r="AR24" i="64" s="1"/>
  <c r="AR25" i="64" s="1"/>
  <c r="AR26" i="64" s="1"/>
  <c r="AR27" i="64" s="1"/>
  <c r="AR28" i="64" s="1"/>
  <c r="AR29" i="64" s="1"/>
  <c r="AR30" i="64" s="1"/>
  <c r="AR31" i="64" s="1"/>
  <c r="AR32" i="64" s="1"/>
  <c r="AR33" i="64" s="1"/>
  <c r="AR34" i="64" s="1"/>
  <c r="AR35" i="64" s="1"/>
  <c r="AR36" i="64" s="1"/>
  <c r="AR37" i="64" s="1"/>
  <c r="AR38" i="64" s="1"/>
  <c r="AR39" i="64" s="1"/>
  <c r="AK7" i="64"/>
  <c r="AL16" i="64" s="1"/>
  <c r="AL17" i="64" s="1"/>
  <c r="AL18" i="64" s="1"/>
  <c r="AL19" i="64" s="1"/>
  <c r="AL20" i="64" s="1"/>
  <c r="AL21" i="64" s="1"/>
  <c r="AL22" i="64" s="1"/>
  <c r="AL23" i="64" s="1"/>
  <c r="AL24" i="64" s="1"/>
  <c r="AL25" i="64" s="1"/>
  <c r="AL26" i="64" s="1"/>
  <c r="AL27" i="64" s="1"/>
  <c r="AL28" i="64" s="1"/>
  <c r="AL29" i="64" s="1"/>
  <c r="AL30" i="64" s="1"/>
  <c r="AL31" i="64" s="1"/>
  <c r="AL32" i="64" s="1"/>
  <c r="AL33" i="64" s="1"/>
  <c r="AL34" i="64" s="1"/>
  <c r="AL35" i="64" s="1"/>
  <c r="AL36" i="64" s="1"/>
  <c r="AL37" i="64" s="1"/>
  <c r="AL38" i="64" s="1"/>
  <c r="AL39" i="64" s="1"/>
  <c r="AK6" i="64"/>
  <c r="AK16" i="64" s="1"/>
  <c r="AK17" i="64" s="1"/>
  <c r="AK18" i="64" s="1"/>
  <c r="AK19" i="64" s="1"/>
  <c r="AK20" i="64" s="1"/>
  <c r="AK21" i="64" s="1"/>
  <c r="AK22" i="64" s="1"/>
  <c r="AK23" i="64" s="1"/>
  <c r="AK24" i="64" s="1"/>
  <c r="AK25" i="64" s="1"/>
  <c r="AK26" i="64" s="1"/>
  <c r="AK27" i="64" s="1"/>
  <c r="AK28" i="64" s="1"/>
  <c r="AK29" i="64" s="1"/>
  <c r="AK30" i="64" s="1"/>
  <c r="AK31" i="64" s="1"/>
  <c r="AK32" i="64" s="1"/>
  <c r="AK33" i="64" s="1"/>
  <c r="AK34" i="64" s="1"/>
  <c r="AK35" i="64" s="1"/>
  <c r="AK36" i="64" s="1"/>
  <c r="AK37" i="64" s="1"/>
  <c r="AK38" i="64" s="1"/>
  <c r="AK39" i="64" s="1"/>
  <c r="AK5" i="64"/>
  <c r="AJ16" i="64" s="1"/>
  <c r="L50" i="63"/>
  <c r="P53" i="63"/>
  <c r="Q43" i="63"/>
  <c r="P43" i="63"/>
  <c r="O43" i="63"/>
  <c r="N43" i="63"/>
  <c r="M43" i="63"/>
  <c r="L43" i="63"/>
  <c r="H43" i="63"/>
  <c r="G43" i="63"/>
  <c r="F43" i="63"/>
  <c r="E43" i="63"/>
  <c r="D43" i="63"/>
  <c r="C43" i="63"/>
  <c r="B43" i="63"/>
  <c r="R42" i="63"/>
  <c r="BV45" i="32" s="1"/>
  <c r="Q42" i="63"/>
  <c r="BS45" i="32" s="1"/>
  <c r="P42" i="63"/>
  <c r="BP45" i="32" s="1"/>
  <c r="O42" i="63"/>
  <c r="BM45" i="32" s="1"/>
  <c r="N42" i="63"/>
  <c r="BJ45" i="32" s="1"/>
  <c r="M42" i="63"/>
  <c r="BG45" i="32" s="1"/>
  <c r="L42" i="63"/>
  <c r="BD45" i="32" s="1"/>
  <c r="K42" i="63"/>
  <c r="AZ45" i="32" s="1"/>
  <c r="J42" i="63"/>
  <c r="J44" i="63" s="1"/>
  <c r="I42" i="63"/>
  <c r="AW45" i="32" s="1"/>
  <c r="H42" i="63"/>
  <c r="AT45" i="32" s="1"/>
  <c r="G42" i="63"/>
  <c r="AQ45" i="32" s="1"/>
  <c r="F42" i="63"/>
  <c r="AN45" i="32" s="1"/>
  <c r="AK45" i="32"/>
  <c r="AH45" i="32"/>
  <c r="AD45" i="32"/>
  <c r="AA45" i="32"/>
  <c r="R41" i="63"/>
  <c r="BU45" i="32" s="1"/>
  <c r="Q41" i="63"/>
  <c r="BR45" i="32" s="1"/>
  <c r="P41" i="63"/>
  <c r="BO45" i="32" s="1"/>
  <c r="O41" i="63"/>
  <c r="BL45" i="32" s="1"/>
  <c r="N41" i="63"/>
  <c r="BI45" i="32" s="1"/>
  <c r="M41" i="63"/>
  <c r="BF45" i="32" s="1"/>
  <c r="L41" i="63"/>
  <c r="BC45" i="32" s="1"/>
  <c r="K41" i="63"/>
  <c r="AY45" i="32" s="1"/>
  <c r="I41" i="63"/>
  <c r="AV45" i="32" s="1"/>
  <c r="H41" i="63"/>
  <c r="AS45" i="32" s="1"/>
  <c r="G41" i="63"/>
  <c r="AP45" i="32" s="1"/>
  <c r="F41" i="63"/>
  <c r="AM45" i="32" s="1"/>
  <c r="AJ45" i="32"/>
  <c r="AG45" i="32"/>
  <c r="AC45" i="32"/>
  <c r="Z45" i="32"/>
  <c r="R40" i="63"/>
  <c r="M50" i="63" s="1"/>
  <c r="L42" i="32" s="1"/>
  <c r="Q44" i="63"/>
  <c r="BT45" i="32" s="1"/>
  <c r="P40" i="63"/>
  <c r="O47" i="63" s="1"/>
  <c r="V28" i="39" s="1"/>
  <c r="O40" i="63"/>
  <c r="O46" i="63" s="1"/>
  <c r="U28" i="39" s="1"/>
  <c r="N40" i="63"/>
  <c r="M40" i="63"/>
  <c r="BH45" i="32" s="1"/>
  <c r="L40" i="63"/>
  <c r="BE45" i="32" s="1"/>
  <c r="BA45" i="32"/>
  <c r="I40" i="63"/>
  <c r="AX45" i="32" s="1"/>
  <c r="H40" i="63"/>
  <c r="AU45" i="32" s="1"/>
  <c r="G40" i="63"/>
  <c r="AR45" i="32" s="1"/>
  <c r="F40" i="63"/>
  <c r="F42" i="32"/>
  <c r="AS39" i="63"/>
  <c r="AG39" i="63"/>
  <c r="AC39" i="63"/>
  <c r="AB39" i="63"/>
  <c r="AS38" i="63"/>
  <c r="AG38" i="63"/>
  <c r="AC38" i="63"/>
  <c r="AB38" i="63"/>
  <c r="AS37" i="63"/>
  <c r="AG37" i="63"/>
  <c r="AC37" i="63"/>
  <c r="AB37" i="63"/>
  <c r="AS36" i="63"/>
  <c r="AG36" i="63"/>
  <c r="AC36" i="63"/>
  <c r="AB36" i="63"/>
  <c r="AS35" i="63"/>
  <c r="AG35" i="63"/>
  <c r="AC35" i="63"/>
  <c r="AB35" i="63"/>
  <c r="AS34" i="63"/>
  <c r="AG34" i="63"/>
  <c r="AC34" i="63"/>
  <c r="AB34" i="63"/>
  <c r="AS33" i="63"/>
  <c r="AG33" i="63"/>
  <c r="AC33" i="63"/>
  <c r="AB33" i="63"/>
  <c r="AS32" i="63"/>
  <c r="AG32" i="63"/>
  <c r="AC32" i="63"/>
  <c r="AB32" i="63"/>
  <c r="AS31" i="63"/>
  <c r="AG31" i="63"/>
  <c r="AC31" i="63"/>
  <c r="AB31" i="63"/>
  <c r="AS30" i="63"/>
  <c r="AG30" i="63"/>
  <c r="AC30" i="63"/>
  <c r="AB30" i="63"/>
  <c r="AS29" i="63"/>
  <c r="AG29" i="63"/>
  <c r="AC29" i="63"/>
  <c r="AB29" i="63"/>
  <c r="AS28" i="63"/>
  <c r="AG28" i="63"/>
  <c r="AC28" i="63"/>
  <c r="AB28" i="63"/>
  <c r="AS27" i="63"/>
  <c r="AG27" i="63"/>
  <c r="AC27" i="63"/>
  <c r="AB27" i="63"/>
  <c r="AS26" i="63"/>
  <c r="AG26" i="63"/>
  <c r="AC26" i="63"/>
  <c r="AB26" i="63"/>
  <c r="AS25" i="63"/>
  <c r="AG25" i="63"/>
  <c r="AC25" i="63"/>
  <c r="AB25" i="63"/>
  <c r="AS24" i="63"/>
  <c r="AG24" i="63"/>
  <c r="AC24" i="63"/>
  <c r="AB24" i="63"/>
  <c r="AS23" i="63"/>
  <c r="AG23" i="63"/>
  <c r="AC23" i="63"/>
  <c r="AB23" i="63"/>
  <c r="AS22" i="63"/>
  <c r="AG22" i="63"/>
  <c r="AC22" i="63"/>
  <c r="AB22" i="63"/>
  <c r="AS21" i="63"/>
  <c r="AG21" i="63"/>
  <c r="AC21" i="63"/>
  <c r="AB21" i="63"/>
  <c r="AS20" i="63"/>
  <c r="AG20" i="63"/>
  <c r="AC20" i="63"/>
  <c r="AB20" i="63"/>
  <c r="AS19" i="63"/>
  <c r="AG19" i="63"/>
  <c r="AC19" i="63"/>
  <c r="AB19" i="63"/>
  <c r="AS18" i="63"/>
  <c r="AG18" i="63"/>
  <c r="AC18" i="63"/>
  <c r="AB18" i="63"/>
  <c r="AS17" i="63"/>
  <c r="AG17" i="63"/>
  <c r="AC17" i="63"/>
  <c r="AB17" i="63"/>
  <c r="AS16" i="63"/>
  <c r="AG16" i="63"/>
  <c r="AC16" i="63"/>
  <c r="AB16" i="63"/>
  <c r="R15" i="63"/>
  <c r="N50" i="63" s="1"/>
  <c r="AK10" i="63"/>
  <c r="AN16" i="63" s="1"/>
  <c r="AN17" i="63" s="1"/>
  <c r="AK9" i="63"/>
  <c r="AR16" i="63" s="1"/>
  <c r="AR17" i="63" s="1"/>
  <c r="AR18" i="63" s="1"/>
  <c r="AR19" i="63" s="1"/>
  <c r="AR20" i="63" s="1"/>
  <c r="AR21" i="63" s="1"/>
  <c r="AR22" i="63" s="1"/>
  <c r="AR23" i="63" s="1"/>
  <c r="AR24" i="63" s="1"/>
  <c r="AR25" i="63" s="1"/>
  <c r="AR26" i="63" s="1"/>
  <c r="AR27" i="63" s="1"/>
  <c r="AR28" i="63" s="1"/>
  <c r="AR29" i="63" s="1"/>
  <c r="AR30" i="63" s="1"/>
  <c r="AR31" i="63" s="1"/>
  <c r="AR32" i="63" s="1"/>
  <c r="AR33" i="63" s="1"/>
  <c r="AR34" i="63" s="1"/>
  <c r="AR35" i="63" s="1"/>
  <c r="AR36" i="63" s="1"/>
  <c r="AR37" i="63" s="1"/>
  <c r="AR38" i="63" s="1"/>
  <c r="AR39" i="63" s="1"/>
  <c r="AK7" i="63"/>
  <c r="AL16" i="63" s="1"/>
  <c r="AL17" i="63" s="1"/>
  <c r="AL18" i="63" s="1"/>
  <c r="AL19" i="63" s="1"/>
  <c r="AL20" i="63" s="1"/>
  <c r="AL21" i="63" s="1"/>
  <c r="AL22" i="63" s="1"/>
  <c r="AL23" i="63" s="1"/>
  <c r="AL24" i="63" s="1"/>
  <c r="AL25" i="63" s="1"/>
  <c r="AL26" i="63" s="1"/>
  <c r="AL27" i="63" s="1"/>
  <c r="AL28" i="63" s="1"/>
  <c r="AL29" i="63" s="1"/>
  <c r="AL30" i="63" s="1"/>
  <c r="AL31" i="63" s="1"/>
  <c r="AL32" i="63" s="1"/>
  <c r="AL33" i="63" s="1"/>
  <c r="AL34" i="63" s="1"/>
  <c r="AL35" i="63" s="1"/>
  <c r="AL36" i="63" s="1"/>
  <c r="AL37" i="63" s="1"/>
  <c r="AL38" i="63" s="1"/>
  <c r="AL39" i="63" s="1"/>
  <c r="AK6" i="63"/>
  <c r="AK16" i="63" s="1"/>
  <c r="AK17" i="63" s="1"/>
  <c r="AK18" i="63" s="1"/>
  <c r="AK19" i="63" s="1"/>
  <c r="AK20" i="63" s="1"/>
  <c r="AK21" i="63" s="1"/>
  <c r="AK22" i="63" s="1"/>
  <c r="AK23" i="63" s="1"/>
  <c r="AK24" i="63" s="1"/>
  <c r="AK25" i="63" s="1"/>
  <c r="AK26" i="63" s="1"/>
  <c r="AK27" i="63" s="1"/>
  <c r="AK28" i="63" s="1"/>
  <c r="AK29" i="63" s="1"/>
  <c r="AK30" i="63" s="1"/>
  <c r="AK31" i="63" s="1"/>
  <c r="AK32" i="63" s="1"/>
  <c r="AK33" i="63" s="1"/>
  <c r="AK34" i="63" s="1"/>
  <c r="AK35" i="63" s="1"/>
  <c r="AK36" i="63" s="1"/>
  <c r="AK37" i="63" s="1"/>
  <c r="AK38" i="63" s="1"/>
  <c r="AK39" i="63" s="1"/>
  <c r="AK5" i="63"/>
  <c r="AJ16" i="63" s="1"/>
  <c r="L50" i="62"/>
  <c r="P53" i="62"/>
  <c r="Q43" i="62"/>
  <c r="P43" i="62"/>
  <c r="O43" i="62"/>
  <c r="N43" i="62"/>
  <c r="M43" i="62"/>
  <c r="L43" i="62"/>
  <c r="H43" i="62"/>
  <c r="G43" i="62"/>
  <c r="F43" i="62"/>
  <c r="E43" i="62"/>
  <c r="D43" i="62"/>
  <c r="C43" i="62"/>
  <c r="B43" i="62"/>
  <c r="R42" i="62"/>
  <c r="BV44" i="32" s="1"/>
  <c r="Q42" i="62"/>
  <c r="BS44" i="32" s="1"/>
  <c r="P42" i="62"/>
  <c r="BP44" i="32" s="1"/>
  <c r="O42" i="62"/>
  <c r="BM44" i="32" s="1"/>
  <c r="N42" i="62"/>
  <c r="BJ44" i="32" s="1"/>
  <c r="M42" i="62"/>
  <c r="BG44" i="32" s="1"/>
  <c r="L42" i="62"/>
  <c r="BD44" i="32" s="1"/>
  <c r="K42" i="62"/>
  <c r="AZ44" i="32" s="1"/>
  <c r="J42" i="62"/>
  <c r="J44" i="62" s="1"/>
  <c r="I42" i="62"/>
  <c r="AW44" i="32" s="1"/>
  <c r="H42" i="62"/>
  <c r="AT44" i="32" s="1"/>
  <c r="G42" i="62"/>
  <c r="AQ44" i="32" s="1"/>
  <c r="F42" i="62"/>
  <c r="AN44" i="32" s="1"/>
  <c r="AK44" i="32"/>
  <c r="AH44" i="32"/>
  <c r="AD44" i="32"/>
  <c r="AA44" i="32"/>
  <c r="R41" i="62"/>
  <c r="BU44" i="32" s="1"/>
  <c r="Q41" i="62"/>
  <c r="BR44" i="32" s="1"/>
  <c r="P41" i="62"/>
  <c r="BO44" i="32" s="1"/>
  <c r="O41" i="62"/>
  <c r="BL44" i="32" s="1"/>
  <c r="N41" i="62"/>
  <c r="BI44" i="32" s="1"/>
  <c r="M41" i="62"/>
  <c r="BF44" i="32" s="1"/>
  <c r="L41" i="62"/>
  <c r="BC44" i="32" s="1"/>
  <c r="K41" i="62"/>
  <c r="AY44" i="32" s="1"/>
  <c r="I41" i="62"/>
  <c r="AV44" i="32" s="1"/>
  <c r="H41" i="62"/>
  <c r="AS44" i="32" s="1"/>
  <c r="G41" i="62"/>
  <c r="AP44" i="32" s="1"/>
  <c r="F41" i="62"/>
  <c r="AM44" i="32" s="1"/>
  <c r="AJ44" i="32"/>
  <c r="AG44" i="32"/>
  <c r="AC44" i="32"/>
  <c r="Z44" i="32"/>
  <c r="R40" i="62"/>
  <c r="M50" i="62" s="1"/>
  <c r="L41" i="32" s="1"/>
  <c r="Q44" i="62"/>
  <c r="BT44" i="32" s="1"/>
  <c r="P40" i="62"/>
  <c r="O47" i="62" s="1"/>
  <c r="V27" i="39" s="1"/>
  <c r="O40" i="62"/>
  <c r="O46" i="62" s="1"/>
  <c r="U27" i="39" s="1"/>
  <c r="N40" i="62"/>
  <c r="M40" i="62"/>
  <c r="BH44" i="32" s="1"/>
  <c r="L40" i="62"/>
  <c r="BE44" i="32" s="1"/>
  <c r="BA44" i="32"/>
  <c r="I40" i="62"/>
  <c r="AX44" i="32" s="1"/>
  <c r="H40" i="62"/>
  <c r="AU44" i="32" s="1"/>
  <c r="G40" i="62"/>
  <c r="AR44" i="32" s="1"/>
  <c r="F40" i="62"/>
  <c r="AS39" i="62"/>
  <c r="AG39" i="62"/>
  <c r="AC39" i="62"/>
  <c r="AB39" i="62"/>
  <c r="AS38" i="62"/>
  <c r="AG38" i="62"/>
  <c r="AC38" i="62"/>
  <c r="AB38" i="62"/>
  <c r="AS37" i="62"/>
  <c r="AG37" i="62"/>
  <c r="AC37" i="62"/>
  <c r="AB37" i="62"/>
  <c r="AS36" i="62"/>
  <c r="AG36" i="62"/>
  <c r="AC36" i="62"/>
  <c r="AB36" i="62"/>
  <c r="AS35" i="62"/>
  <c r="AG35" i="62"/>
  <c r="AC35" i="62"/>
  <c r="AB35" i="62"/>
  <c r="AS34" i="62"/>
  <c r="AG34" i="62"/>
  <c r="AC34" i="62"/>
  <c r="AB34" i="62"/>
  <c r="AS33" i="62"/>
  <c r="AG33" i="62"/>
  <c r="AC33" i="62"/>
  <c r="AB33" i="62"/>
  <c r="AS32" i="62"/>
  <c r="AG32" i="62"/>
  <c r="AC32" i="62"/>
  <c r="AB32" i="62"/>
  <c r="AS31" i="62"/>
  <c r="AG31" i="62"/>
  <c r="AC31" i="62"/>
  <c r="AB31" i="62"/>
  <c r="AS30" i="62"/>
  <c r="AG30" i="62"/>
  <c r="AC30" i="62"/>
  <c r="AB30" i="62"/>
  <c r="AS29" i="62"/>
  <c r="AG29" i="62"/>
  <c r="AC29" i="62"/>
  <c r="AB29" i="62"/>
  <c r="AS28" i="62"/>
  <c r="AG28" i="62"/>
  <c r="AC28" i="62"/>
  <c r="AB28" i="62"/>
  <c r="AS27" i="62"/>
  <c r="AG27" i="62"/>
  <c r="AC27" i="62"/>
  <c r="AB27" i="62"/>
  <c r="AS26" i="62"/>
  <c r="AG26" i="62"/>
  <c r="AC26" i="62"/>
  <c r="AB26" i="62"/>
  <c r="AS25" i="62"/>
  <c r="AG25" i="62"/>
  <c r="AC25" i="62"/>
  <c r="AB25" i="62"/>
  <c r="AS24" i="62"/>
  <c r="AG24" i="62"/>
  <c r="AC24" i="62"/>
  <c r="AB24" i="62"/>
  <c r="AS23" i="62"/>
  <c r="AG23" i="62"/>
  <c r="AC23" i="62"/>
  <c r="AB23" i="62"/>
  <c r="AS22" i="62"/>
  <c r="AG22" i="62"/>
  <c r="AC22" i="62"/>
  <c r="AB22" i="62"/>
  <c r="AS21" i="62"/>
  <c r="AG21" i="62"/>
  <c r="AC21" i="62"/>
  <c r="AB21" i="62"/>
  <c r="AS20" i="62"/>
  <c r="AG20" i="62"/>
  <c r="AC20" i="62"/>
  <c r="AB20" i="62"/>
  <c r="AS19" i="62"/>
  <c r="AG19" i="62"/>
  <c r="AC19" i="62"/>
  <c r="AB19" i="62"/>
  <c r="AS18" i="62"/>
  <c r="AG18" i="62"/>
  <c r="AC18" i="62"/>
  <c r="AB18" i="62"/>
  <c r="AS17" i="62"/>
  <c r="AG17" i="62"/>
  <c r="AC17" i="62"/>
  <c r="AB17" i="62"/>
  <c r="AS16" i="62"/>
  <c r="AG16" i="62"/>
  <c r="AC16" i="62"/>
  <c r="AB16" i="62"/>
  <c r="R15" i="62"/>
  <c r="N50" i="62" s="1"/>
  <c r="AK10" i="62"/>
  <c r="AN16" i="62" s="1"/>
  <c r="AN17" i="62" s="1"/>
  <c r="AK9" i="62"/>
  <c r="AR16" i="62" s="1"/>
  <c r="AR17" i="62" s="1"/>
  <c r="AR18" i="62" s="1"/>
  <c r="AR19" i="62" s="1"/>
  <c r="AR20" i="62" s="1"/>
  <c r="AR21" i="62" s="1"/>
  <c r="AR22" i="62" s="1"/>
  <c r="AR23" i="62" s="1"/>
  <c r="AR24" i="62" s="1"/>
  <c r="AR25" i="62" s="1"/>
  <c r="AR26" i="62" s="1"/>
  <c r="AR27" i="62" s="1"/>
  <c r="AR28" i="62" s="1"/>
  <c r="AR29" i="62" s="1"/>
  <c r="AR30" i="62" s="1"/>
  <c r="AR31" i="62" s="1"/>
  <c r="AR32" i="62" s="1"/>
  <c r="AR33" i="62" s="1"/>
  <c r="AR34" i="62" s="1"/>
  <c r="AR35" i="62" s="1"/>
  <c r="AR36" i="62" s="1"/>
  <c r="AR37" i="62" s="1"/>
  <c r="AR38" i="62" s="1"/>
  <c r="AR39" i="62" s="1"/>
  <c r="AK7" i="62"/>
  <c r="AL16" i="62" s="1"/>
  <c r="AL17" i="62" s="1"/>
  <c r="AL18" i="62" s="1"/>
  <c r="AL19" i="62" s="1"/>
  <c r="AL20" i="62" s="1"/>
  <c r="AL21" i="62" s="1"/>
  <c r="AL22" i="62" s="1"/>
  <c r="AL23" i="62" s="1"/>
  <c r="AL24" i="62" s="1"/>
  <c r="AL25" i="62" s="1"/>
  <c r="AL26" i="62" s="1"/>
  <c r="AL27" i="62" s="1"/>
  <c r="AL28" i="62" s="1"/>
  <c r="AL29" i="62" s="1"/>
  <c r="AL30" i="62" s="1"/>
  <c r="AL31" i="62" s="1"/>
  <c r="AL32" i="62" s="1"/>
  <c r="AL33" i="62" s="1"/>
  <c r="AL34" i="62" s="1"/>
  <c r="AL35" i="62" s="1"/>
  <c r="AL36" i="62" s="1"/>
  <c r="AL37" i="62" s="1"/>
  <c r="AL38" i="62" s="1"/>
  <c r="AL39" i="62" s="1"/>
  <c r="AK6" i="62"/>
  <c r="AK16" i="62" s="1"/>
  <c r="AK17" i="62" s="1"/>
  <c r="AK18" i="62" s="1"/>
  <c r="AK19" i="62" s="1"/>
  <c r="AK20" i="62" s="1"/>
  <c r="AK21" i="62" s="1"/>
  <c r="AK22" i="62" s="1"/>
  <c r="AK23" i="62" s="1"/>
  <c r="AK24" i="62" s="1"/>
  <c r="AK25" i="62" s="1"/>
  <c r="AK26" i="62" s="1"/>
  <c r="AK27" i="62" s="1"/>
  <c r="AK28" i="62" s="1"/>
  <c r="AK29" i="62" s="1"/>
  <c r="AK30" i="62" s="1"/>
  <c r="AK31" i="62" s="1"/>
  <c r="AK32" i="62" s="1"/>
  <c r="AK33" i="62" s="1"/>
  <c r="AK34" i="62" s="1"/>
  <c r="AK35" i="62" s="1"/>
  <c r="AK36" i="62" s="1"/>
  <c r="AK37" i="62" s="1"/>
  <c r="AK38" i="62" s="1"/>
  <c r="AK39" i="62" s="1"/>
  <c r="AK5" i="62"/>
  <c r="AJ16" i="62" s="1"/>
  <c r="L50" i="61"/>
  <c r="P53" i="61"/>
  <c r="Q43" i="61"/>
  <c r="P43" i="61"/>
  <c r="O43" i="61"/>
  <c r="N43" i="61"/>
  <c r="M43" i="61"/>
  <c r="L43" i="61"/>
  <c r="H43" i="61"/>
  <c r="G43" i="61"/>
  <c r="F43" i="61"/>
  <c r="E43" i="61"/>
  <c r="D43" i="61"/>
  <c r="C43" i="61"/>
  <c r="B43" i="61"/>
  <c r="R42" i="61"/>
  <c r="BV43" i="32" s="1"/>
  <c r="Q42" i="61"/>
  <c r="BS43" i="32" s="1"/>
  <c r="P42" i="61"/>
  <c r="BP43" i="32" s="1"/>
  <c r="O42" i="61"/>
  <c r="BM43" i="32" s="1"/>
  <c r="N42" i="61"/>
  <c r="BJ43" i="32" s="1"/>
  <c r="M42" i="61"/>
  <c r="BG43" i="32" s="1"/>
  <c r="L42" i="61"/>
  <c r="BD43" i="32" s="1"/>
  <c r="K42" i="61"/>
  <c r="AZ43" i="32" s="1"/>
  <c r="J42" i="61"/>
  <c r="J44" i="61" s="1"/>
  <c r="I42" i="61"/>
  <c r="AW43" i="32" s="1"/>
  <c r="H42" i="61"/>
  <c r="AT43" i="32" s="1"/>
  <c r="G42" i="61"/>
  <c r="AQ43" i="32" s="1"/>
  <c r="F42" i="61"/>
  <c r="AN43" i="32" s="1"/>
  <c r="AK43" i="32"/>
  <c r="AH43" i="32"/>
  <c r="AD43" i="32"/>
  <c r="AA43" i="32"/>
  <c r="R41" i="61"/>
  <c r="BU43" i="32" s="1"/>
  <c r="Q41" i="61"/>
  <c r="BR43" i="32" s="1"/>
  <c r="P41" i="61"/>
  <c r="BO43" i="32" s="1"/>
  <c r="O41" i="61"/>
  <c r="BL43" i="32" s="1"/>
  <c r="N41" i="61"/>
  <c r="BI43" i="32" s="1"/>
  <c r="M41" i="61"/>
  <c r="BF43" i="32" s="1"/>
  <c r="L41" i="61"/>
  <c r="BC43" i="32" s="1"/>
  <c r="K41" i="61"/>
  <c r="AY43" i="32" s="1"/>
  <c r="I41" i="61"/>
  <c r="AV43" i="32" s="1"/>
  <c r="H41" i="61"/>
  <c r="AS43" i="32" s="1"/>
  <c r="G41" i="61"/>
  <c r="AP43" i="32" s="1"/>
  <c r="F41" i="61"/>
  <c r="AM43" i="32" s="1"/>
  <c r="AJ43" i="32"/>
  <c r="AG43" i="32"/>
  <c r="AC43" i="32"/>
  <c r="Z43" i="32"/>
  <c r="R40" i="61"/>
  <c r="M50" i="61" s="1"/>
  <c r="L40" i="32" s="1"/>
  <c r="Q44" i="61"/>
  <c r="BT43" i="32" s="1"/>
  <c r="P40" i="61"/>
  <c r="O47" i="61" s="1"/>
  <c r="V26" i="39" s="1"/>
  <c r="O40" i="61"/>
  <c r="O46" i="61" s="1"/>
  <c r="U26" i="39" s="1"/>
  <c r="N40" i="61"/>
  <c r="M40" i="61"/>
  <c r="BH43" i="32" s="1"/>
  <c r="L40" i="61"/>
  <c r="BE43" i="32" s="1"/>
  <c r="BA43" i="32"/>
  <c r="I40" i="61"/>
  <c r="AX43" i="32" s="1"/>
  <c r="H40" i="61"/>
  <c r="AU43" i="32" s="1"/>
  <c r="G40" i="61"/>
  <c r="AR43" i="32" s="1"/>
  <c r="F40" i="61"/>
  <c r="F40" i="32"/>
  <c r="AS39" i="61"/>
  <c r="AG39" i="61"/>
  <c r="AC39" i="61"/>
  <c r="AB39" i="61"/>
  <c r="AS38" i="61"/>
  <c r="AG38" i="61"/>
  <c r="AC38" i="61"/>
  <c r="AB38" i="61"/>
  <c r="AS37" i="61"/>
  <c r="AG37" i="61"/>
  <c r="AC37" i="61"/>
  <c r="AB37" i="61"/>
  <c r="AS36" i="61"/>
  <c r="AG36" i="61"/>
  <c r="AC36" i="61"/>
  <c r="AB36" i="61"/>
  <c r="AS35" i="61"/>
  <c r="AG35" i="61"/>
  <c r="AC35" i="61"/>
  <c r="AB35" i="61"/>
  <c r="AS34" i="61"/>
  <c r="AG34" i="61"/>
  <c r="AC34" i="61"/>
  <c r="AB34" i="61"/>
  <c r="AS33" i="61"/>
  <c r="AG33" i="61"/>
  <c r="AC33" i="61"/>
  <c r="AB33" i="61"/>
  <c r="AS32" i="61"/>
  <c r="AG32" i="61"/>
  <c r="AC32" i="61"/>
  <c r="AB32" i="61"/>
  <c r="AS31" i="61"/>
  <c r="AG31" i="61"/>
  <c r="AC31" i="61"/>
  <c r="AB31" i="61"/>
  <c r="AS30" i="61"/>
  <c r="AG30" i="61"/>
  <c r="AC30" i="61"/>
  <c r="AB30" i="61"/>
  <c r="AS29" i="61"/>
  <c r="AG29" i="61"/>
  <c r="AC29" i="61"/>
  <c r="AB29" i="61"/>
  <c r="AS28" i="61"/>
  <c r="AG28" i="61"/>
  <c r="AC28" i="61"/>
  <c r="AB28" i="61"/>
  <c r="AS27" i="61"/>
  <c r="AG27" i="61"/>
  <c r="AC27" i="61"/>
  <c r="AB27" i="61"/>
  <c r="AS26" i="61"/>
  <c r="AG26" i="61"/>
  <c r="AC26" i="61"/>
  <c r="AB26" i="61"/>
  <c r="AS25" i="61"/>
  <c r="AG25" i="61"/>
  <c r="AC25" i="61"/>
  <c r="AB25" i="61"/>
  <c r="AS24" i="61"/>
  <c r="AG24" i="61"/>
  <c r="AC24" i="61"/>
  <c r="AB24" i="61"/>
  <c r="AS23" i="61"/>
  <c r="AG23" i="61"/>
  <c r="AC23" i="61"/>
  <c r="AB23" i="61"/>
  <c r="AS22" i="61"/>
  <c r="AG22" i="61"/>
  <c r="AC22" i="61"/>
  <c r="AB22" i="61"/>
  <c r="AS21" i="61"/>
  <c r="AG21" i="61"/>
  <c r="AC21" i="61"/>
  <c r="AB21" i="61"/>
  <c r="AS20" i="61"/>
  <c r="AG20" i="61"/>
  <c r="AC20" i="61"/>
  <c r="AB20" i="61"/>
  <c r="AS19" i="61"/>
  <c r="AG19" i="61"/>
  <c r="AC19" i="61"/>
  <c r="AB19" i="61"/>
  <c r="AS18" i="61"/>
  <c r="AG18" i="61"/>
  <c r="AC18" i="61"/>
  <c r="AB18" i="61"/>
  <c r="AS17" i="61"/>
  <c r="AG17" i="61"/>
  <c r="AC17" i="61"/>
  <c r="AB17" i="61"/>
  <c r="AS16" i="61"/>
  <c r="AG16" i="61"/>
  <c r="AC16" i="61"/>
  <c r="AB16" i="61"/>
  <c r="R15" i="61"/>
  <c r="N50" i="61" s="1"/>
  <c r="AK10" i="61"/>
  <c r="AN16" i="61" s="1"/>
  <c r="AK9" i="61"/>
  <c r="AR16" i="61" s="1"/>
  <c r="AR17" i="61" s="1"/>
  <c r="AR18" i="61" s="1"/>
  <c r="AR19" i="61" s="1"/>
  <c r="AR20" i="61" s="1"/>
  <c r="AR21" i="61" s="1"/>
  <c r="AR22" i="61" s="1"/>
  <c r="AR23" i="61" s="1"/>
  <c r="AR24" i="61" s="1"/>
  <c r="AR25" i="61" s="1"/>
  <c r="AR26" i="61" s="1"/>
  <c r="AR27" i="61" s="1"/>
  <c r="AR28" i="61" s="1"/>
  <c r="AR29" i="61" s="1"/>
  <c r="AR30" i="61" s="1"/>
  <c r="AR31" i="61" s="1"/>
  <c r="AR32" i="61" s="1"/>
  <c r="AR33" i="61" s="1"/>
  <c r="AR34" i="61" s="1"/>
  <c r="AR35" i="61" s="1"/>
  <c r="AR36" i="61" s="1"/>
  <c r="AR37" i="61" s="1"/>
  <c r="AR38" i="61" s="1"/>
  <c r="AR39" i="61" s="1"/>
  <c r="AK7" i="61"/>
  <c r="AL16" i="61" s="1"/>
  <c r="AL17" i="61" s="1"/>
  <c r="AL18" i="61" s="1"/>
  <c r="AL19" i="61" s="1"/>
  <c r="AL20" i="61" s="1"/>
  <c r="AL21" i="61" s="1"/>
  <c r="AL22" i="61" s="1"/>
  <c r="AL23" i="61" s="1"/>
  <c r="AL24" i="61" s="1"/>
  <c r="AL25" i="61" s="1"/>
  <c r="AL26" i="61" s="1"/>
  <c r="AL27" i="61" s="1"/>
  <c r="AL28" i="61" s="1"/>
  <c r="AL29" i="61" s="1"/>
  <c r="AL30" i="61" s="1"/>
  <c r="AL31" i="61" s="1"/>
  <c r="AL32" i="61" s="1"/>
  <c r="AL33" i="61" s="1"/>
  <c r="AL34" i="61" s="1"/>
  <c r="AL35" i="61" s="1"/>
  <c r="AL36" i="61" s="1"/>
  <c r="AL37" i="61" s="1"/>
  <c r="AL38" i="61" s="1"/>
  <c r="AL39" i="61" s="1"/>
  <c r="AK6" i="61"/>
  <c r="AK16" i="61" s="1"/>
  <c r="AK17" i="61" s="1"/>
  <c r="AK18" i="61" s="1"/>
  <c r="AK19" i="61" s="1"/>
  <c r="AK20" i="61" s="1"/>
  <c r="AK21" i="61" s="1"/>
  <c r="AK22" i="61" s="1"/>
  <c r="AK23" i="61" s="1"/>
  <c r="AK24" i="61" s="1"/>
  <c r="AK25" i="61" s="1"/>
  <c r="AK26" i="61" s="1"/>
  <c r="AK27" i="61" s="1"/>
  <c r="AK28" i="61" s="1"/>
  <c r="AK29" i="61" s="1"/>
  <c r="AK30" i="61" s="1"/>
  <c r="AK31" i="61" s="1"/>
  <c r="AK32" i="61" s="1"/>
  <c r="AK33" i="61" s="1"/>
  <c r="AK34" i="61" s="1"/>
  <c r="AK35" i="61" s="1"/>
  <c r="AK36" i="61" s="1"/>
  <c r="AK37" i="61" s="1"/>
  <c r="AK38" i="61" s="1"/>
  <c r="AK39" i="61" s="1"/>
  <c r="AK5" i="61"/>
  <c r="AJ16" i="61" s="1"/>
  <c r="L50" i="60"/>
  <c r="P53" i="60"/>
  <c r="Q43" i="60"/>
  <c r="P43" i="60"/>
  <c r="O43" i="60"/>
  <c r="N43" i="60"/>
  <c r="M43" i="60"/>
  <c r="L43" i="60"/>
  <c r="H43" i="60"/>
  <c r="G43" i="60"/>
  <c r="F43" i="60"/>
  <c r="E43" i="60"/>
  <c r="D43" i="60"/>
  <c r="C43" i="60"/>
  <c r="B43" i="60"/>
  <c r="R42" i="60"/>
  <c r="BV42" i="32" s="1"/>
  <c r="Q42" i="60"/>
  <c r="BS42" i="32" s="1"/>
  <c r="P42" i="60"/>
  <c r="BP42" i="32" s="1"/>
  <c r="O42" i="60"/>
  <c r="BM42" i="32" s="1"/>
  <c r="N42" i="60"/>
  <c r="BJ42" i="32" s="1"/>
  <c r="M42" i="60"/>
  <c r="BG42" i="32" s="1"/>
  <c r="L42" i="60"/>
  <c r="BD42" i="32" s="1"/>
  <c r="K42" i="60"/>
  <c r="AZ42" i="32" s="1"/>
  <c r="J42" i="60"/>
  <c r="J44" i="60" s="1"/>
  <c r="I42" i="60"/>
  <c r="AW42" i="32" s="1"/>
  <c r="H42" i="60"/>
  <c r="AT42" i="32" s="1"/>
  <c r="G42" i="60"/>
  <c r="AQ42" i="32" s="1"/>
  <c r="F42" i="60"/>
  <c r="AN42" i="32" s="1"/>
  <c r="AK42" i="32"/>
  <c r="AH42" i="32"/>
  <c r="AD42" i="32"/>
  <c r="AA42" i="32"/>
  <c r="R41" i="60"/>
  <c r="BU42" i="32" s="1"/>
  <c r="Q41" i="60"/>
  <c r="BR42" i="32" s="1"/>
  <c r="P41" i="60"/>
  <c r="BO42" i="32" s="1"/>
  <c r="O41" i="60"/>
  <c r="BL42" i="32" s="1"/>
  <c r="N41" i="60"/>
  <c r="BI42" i="32" s="1"/>
  <c r="M41" i="60"/>
  <c r="BF42" i="32" s="1"/>
  <c r="L41" i="60"/>
  <c r="BC42" i="32" s="1"/>
  <c r="K41" i="60"/>
  <c r="AY42" i="32" s="1"/>
  <c r="I41" i="60"/>
  <c r="AV42" i="32" s="1"/>
  <c r="H41" i="60"/>
  <c r="AS42" i="32" s="1"/>
  <c r="G41" i="60"/>
  <c r="AP42" i="32" s="1"/>
  <c r="F41" i="60"/>
  <c r="AM42" i="32" s="1"/>
  <c r="AJ42" i="32"/>
  <c r="AG42" i="32"/>
  <c r="AC42" i="32"/>
  <c r="Z42" i="32"/>
  <c r="R40" i="60"/>
  <c r="BW42" i="32" s="1"/>
  <c r="Q44" i="60"/>
  <c r="BT42" i="32" s="1"/>
  <c r="P40" i="60"/>
  <c r="O47" i="60" s="1"/>
  <c r="V25" i="39" s="1"/>
  <c r="O40" i="60"/>
  <c r="O46" i="60" s="1"/>
  <c r="U25" i="39" s="1"/>
  <c r="N40" i="60"/>
  <c r="M40" i="60"/>
  <c r="BH42" i="32" s="1"/>
  <c r="L40" i="60"/>
  <c r="BE42" i="32" s="1"/>
  <c r="BA42" i="32"/>
  <c r="I40" i="60"/>
  <c r="AX42" i="32" s="1"/>
  <c r="H40" i="60"/>
  <c r="AU42" i="32" s="1"/>
  <c r="G40" i="60"/>
  <c r="AR42" i="32" s="1"/>
  <c r="F40" i="60"/>
  <c r="AS39" i="60"/>
  <c r="AG39" i="60"/>
  <c r="AC39" i="60"/>
  <c r="AB39" i="60"/>
  <c r="AS38" i="60"/>
  <c r="AG38" i="60"/>
  <c r="AC38" i="60"/>
  <c r="AB38" i="60"/>
  <c r="AS37" i="60"/>
  <c r="AG37" i="60"/>
  <c r="AC37" i="60"/>
  <c r="AB37" i="60"/>
  <c r="AS36" i="60"/>
  <c r="AG36" i="60"/>
  <c r="AC36" i="60"/>
  <c r="AB36" i="60"/>
  <c r="AS35" i="60"/>
  <c r="AG35" i="60"/>
  <c r="AC35" i="60"/>
  <c r="AB35" i="60"/>
  <c r="AS34" i="60"/>
  <c r="AG34" i="60"/>
  <c r="AC34" i="60"/>
  <c r="AB34" i="60"/>
  <c r="AS33" i="60"/>
  <c r="AG33" i="60"/>
  <c r="AC33" i="60"/>
  <c r="AB33" i="60"/>
  <c r="AS32" i="60"/>
  <c r="AG32" i="60"/>
  <c r="AC32" i="60"/>
  <c r="AB32" i="60"/>
  <c r="AS31" i="60"/>
  <c r="AG31" i="60"/>
  <c r="AC31" i="60"/>
  <c r="AB31" i="60"/>
  <c r="AS30" i="60"/>
  <c r="AG30" i="60"/>
  <c r="AC30" i="60"/>
  <c r="AB30" i="60"/>
  <c r="AS29" i="60"/>
  <c r="AG29" i="60"/>
  <c r="AC29" i="60"/>
  <c r="AB29" i="60"/>
  <c r="AS28" i="60"/>
  <c r="AG28" i="60"/>
  <c r="AC28" i="60"/>
  <c r="AB28" i="60"/>
  <c r="AS27" i="60"/>
  <c r="AG27" i="60"/>
  <c r="AC27" i="60"/>
  <c r="AB27" i="60"/>
  <c r="AS26" i="60"/>
  <c r="AG26" i="60"/>
  <c r="AC26" i="60"/>
  <c r="AB26" i="60"/>
  <c r="AS25" i="60"/>
  <c r="AG25" i="60"/>
  <c r="AC25" i="60"/>
  <c r="AB25" i="60"/>
  <c r="AS24" i="60"/>
  <c r="AG24" i="60"/>
  <c r="AC24" i="60"/>
  <c r="AB24" i="60"/>
  <c r="AS23" i="60"/>
  <c r="AG23" i="60"/>
  <c r="AC23" i="60"/>
  <c r="AB23" i="60"/>
  <c r="AS22" i="60"/>
  <c r="AG22" i="60"/>
  <c r="AC22" i="60"/>
  <c r="AB22" i="60"/>
  <c r="AS21" i="60"/>
  <c r="AG21" i="60"/>
  <c r="AC21" i="60"/>
  <c r="AB21" i="60"/>
  <c r="AS20" i="60"/>
  <c r="AG20" i="60"/>
  <c r="AC20" i="60"/>
  <c r="AB20" i="60"/>
  <c r="AS19" i="60"/>
  <c r="AG19" i="60"/>
  <c r="AC19" i="60"/>
  <c r="AB19" i="60"/>
  <c r="AS18" i="60"/>
  <c r="AG18" i="60"/>
  <c r="AC18" i="60"/>
  <c r="AB18" i="60"/>
  <c r="AS17" i="60"/>
  <c r="AG17" i="60"/>
  <c r="AC17" i="60"/>
  <c r="AB17" i="60"/>
  <c r="AS16" i="60"/>
  <c r="AG16" i="60"/>
  <c r="AC16" i="60"/>
  <c r="AB16" i="60"/>
  <c r="R15" i="60"/>
  <c r="N50" i="60" s="1"/>
  <c r="AK10" i="60"/>
  <c r="AN16" i="60" s="1"/>
  <c r="AK9" i="60"/>
  <c r="AR16" i="60" s="1"/>
  <c r="AR17" i="60" s="1"/>
  <c r="AR18" i="60" s="1"/>
  <c r="AR19" i="60" s="1"/>
  <c r="AR20" i="60" s="1"/>
  <c r="AR21" i="60" s="1"/>
  <c r="AR22" i="60" s="1"/>
  <c r="AR23" i="60" s="1"/>
  <c r="AR24" i="60" s="1"/>
  <c r="AR25" i="60" s="1"/>
  <c r="AR26" i="60" s="1"/>
  <c r="AR27" i="60" s="1"/>
  <c r="AR28" i="60" s="1"/>
  <c r="AR29" i="60" s="1"/>
  <c r="AR30" i="60" s="1"/>
  <c r="AR31" i="60" s="1"/>
  <c r="AR32" i="60" s="1"/>
  <c r="AR33" i="60" s="1"/>
  <c r="AR34" i="60" s="1"/>
  <c r="AR35" i="60" s="1"/>
  <c r="AR36" i="60" s="1"/>
  <c r="AR37" i="60" s="1"/>
  <c r="AR38" i="60" s="1"/>
  <c r="AR39" i="60" s="1"/>
  <c r="AK7" i="60"/>
  <c r="AL16" i="60" s="1"/>
  <c r="AL17" i="60" s="1"/>
  <c r="AL18" i="60" s="1"/>
  <c r="AL19" i="60" s="1"/>
  <c r="AL20" i="60" s="1"/>
  <c r="AL21" i="60" s="1"/>
  <c r="AL22" i="60" s="1"/>
  <c r="AL23" i="60" s="1"/>
  <c r="AL24" i="60" s="1"/>
  <c r="AL25" i="60" s="1"/>
  <c r="AL26" i="60" s="1"/>
  <c r="AL27" i="60" s="1"/>
  <c r="AL28" i="60" s="1"/>
  <c r="AL29" i="60" s="1"/>
  <c r="AL30" i="60" s="1"/>
  <c r="AL31" i="60" s="1"/>
  <c r="AL32" i="60" s="1"/>
  <c r="AL33" i="60" s="1"/>
  <c r="AL34" i="60" s="1"/>
  <c r="AL35" i="60" s="1"/>
  <c r="AL36" i="60" s="1"/>
  <c r="AL37" i="60" s="1"/>
  <c r="AL38" i="60" s="1"/>
  <c r="AL39" i="60" s="1"/>
  <c r="AK6" i="60"/>
  <c r="AK16" i="60" s="1"/>
  <c r="AK17" i="60" s="1"/>
  <c r="AK18" i="60" s="1"/>
  <c r="AK19" i="60" s="1"/>
  <c r="AK20" i="60" s="1"/>
  <c r="AK21" i="60" s="1"/>
  <c r="AK22" i="60" s="1"/>
  <c r="AK23" i="60" s="1"/>
  <c r="AK24" i="60" s="1"/>
  <c r="AK25" i="60" s="1"/>
  <c r="AK26" i="60" s="1"/>
  <c r="AK27" i="60" s="1"/>
  <c r="AK28" i="60" s="1"/>
  <c r="AK29" i="60" s="1"/>
  <c r="AK30" i="60" s="1"/>
  <c r="AK31" i="60" s="1"/>
  <c r="AK32" i="60" s="1"/>
  <c r="AK33" i="60" s="1"/>
  <c r="AK34" i="60" s="1"/>
  <c r="AK35" i="60" s="1"/>
  <c r="AK36" i="60" s="1"/>
  <c r="AK37" i="60" s="1"/>
  <c r="AK38" i="60" s="1"/>
  <c r="AK39" i="60" s="1"/>
  <c r="AK5" i="60"/>
  <c r="AJ16" i="60" s="1"/>
  <c r="L50" i="59"/>
  <c r="P53" i="59"/>
  <c r="Q43" i="59"/>
  <c r="P43" i="59"/>
  <c r="O43" i="59"/>
  <c r="N43" i="59"/>
  <c r="M43" i="59"/>
  <c r="L43" i="59"/>
  <c r="H43" i="59"/>
  <c r="G43" i="59"/>
  <c r="F43" i="59"/>
  <c r="E43" i="59"/>
  <c r="D43" i="59"/>
  <c r="C43" i="59"/>
  <c r="B43" i="59"/>
  <c r="R42" i="59"/>
  <c r="BV41" i="32" s="1"/>
  <c r="Q42" i="59"/>
  <c r="BS41" i="32" s="1"/>
  <c r="P42" i="59"/>
  <c r="BP41" i="32" s="1"/>
  <c r="O42" i="59"/>
  <c r="BM41" i="32" s="1"/>
  <c r="N42" i="59"/>
  <c r="BJ41" i="32" s="1"/>
  <c r="M42" i="59"/>
  <c r="BG41" i="32" s="1"/>
  <c r="L42" i="59"/>
  <c r="BD41" i="32" s="1"/>
  <c r="K42" i="59"/>
  <c r="AZ41" i="32" s="1"/>
  <c r="J42" i="59"/>
  <c r="J44" i="59" s="1"/>
  <c r="I42" i="59"/>
  <c r="AW41" i="32" s="1"/>
  <c r="H42" i="59"/>
  <c r="AT41" i="32" s="1"/>
  <c r="G42" i="59"/>
  <c r="AQ41" i="32" s="1"/>
  <c r="F42" i="59"/>
  <c r="AN41" i="32" s="1"/>
  <c r="AK41" i="32"/>
  <c r="AH41" i="32"/>
  <c r="AD41" i="32"/>
  <c r="AA41" i="32"/>
  <c r="R41" i="59"/>
  <c r="BU41" i="32" s="1"/>
  <c r="Q41" i="59"/>
  <c r="BR41" i="32" s="1"/>
  <c r="P41" i="59"/>
  <c r="BO41" i="32" s="1"/>
  <c r="O41" i="59"/>
  <c r="BL41" i="32" s="1"/>
  <c r="N41" i="59"/>
  <c r="BI41" i="32" s="1"/>
  <c r="M41" i="59"/>
  <c r="BF41" i="32" s="1"/>
  <c r="L41" i="59"/>
  <c r="BC41" i="32" s="1"/>
  <c r="K41" i="59"/>
  <c r="AY41" i="32" s="1"/>
  <c r="I41" i="59"/>
  <c r="AV41" i="32" s="1"/>
  <c r="H41" i="59"/>
  <c r="AS41" i="32" s="1"/>
  <c r="G41" i="59"/>
  <c r="AP41" i="32" s="1"/>
  <c r="F41" i="59"/>
  <c r="AM41" i="32" s="1"/>
  <c r="AJ41" i="32"/>
  <c r="AG41" i="32"/>
  <c r="AC41" i="32"/>
  <c r="Z41" i="32"/>
  <c r="R40" i="59"/>
  <c r="BW41" i="32" s="1"/>
  <c r="Q44" i="59"/>
  <c r="BT41" i="32" s="1"/>
  <c r="P40" i="59"/>
  <c r="O47" i="59" s="1"/>
  <c r="V24" i="39" s="1"/>
  <c r="O40" i="59"/>
  <c r="O46" i="59" s="1"/>
  <c r="U24" i="39" s="1"/>
  <c r="N40" i="59"/>
  <c r="M40" i="59"/>
  <c r="BH41" i="32" s="1"/>
  <c r="L40" i="59"/>
  <c r="BE41" i="32" s="1"/>
  <c r="BA41" i="32"/>
  <c r="I40" i="59"/>
  <c r="AX41" i="32" s="1"/>
  <c r="H40" i="59"/>
  <c r="AU41" i="32" s="1"/>
  <c r="G40" i="59"/>
  <c r="AR41" i="32" s="1"/>
  <c r="F40" i="59"/>
  <c r="F38" i="32"/>
  <c r="AS39" i="59"/>
  <c r="AG39" i="59"/>
  <c r="AC39" i="59"/>
  <c r="AB39" i="59"/>
  <c r="AS38" i="59"/>
  <c r="AG38" i="59"/>
  <c r="AC38" i="59"/>
  <c r="AB38" i="59"/>
  <c r="AS37" i="59"/>
  <c r="AG37" i="59"/>
  <c r="AC37" i="59"/>
  <c r="AB37" i="59"/>
  <c r="AS36" i="59"/>
  <c r="AG36" i="59"/>
  <c r="AC36" i="59"/>
  <c r="AB36" i="59"/>
  <c r="AS35" i="59"/>
  <c r="AG35" i="59"/>
  <c r="AC35" i="59"/>
  <c r="AB35" i="59"/>
  <c r="AS34" i="59"/>
  <c r="AG34" i="59"/>
  <c r="AC34" i="59"/>
  <c r="AB34" i="59"/>
  <c r="AS33" i="59"/>
  <c r="AG33" i="59"/>
  <c r="AC33" i="59"/>
  <c r="AB33" i="59"/>
  <c r="AS32" i="59"/>
  <c r="AG32" i="59"/>
  <c r="AC32" i="59"/>
  <c r="AB32" i="59"/>
  <c r="AS31" i="59"/>
  <c r="AG31" i="59"/>
  <c r="AC31" i="59"/>
  <c r="AB31" i="59"/>
  <c r="AS30" i="59"/>
  <c r="AG30" i="59"/>
  <c r="AC30" i="59"/>
  <c r="AB30" i="59"/>
  <c r="AS29" i="59"/>
  <c r="AG29" i="59"/>
  <c r="AC29" i="59"/>
  <c r="AB29" i="59"/>
  <c r="AS28" i="59"/>
  <c r="AG28" i="59"/>
  <c r="AC28" i="59"/>
  <c r="AB28" i="59"/>
  <c r="AS27" i="59"/>
  <c r="AG27" i="59"/>
  <c r="AC27" i="59"/>
  <c r="AB27" i="59"/>
  <c r="AS26" i="59"/>
  <c r="AG26" i="59"/>
  <c r="AC26" i="59"/>
  <c r="AB26" i="59"/>
  <c r="AS25" i="59"/>
  <c r="AG25" i="59"/>
  <c r="AC25" i="59"/>
  <c r="AB25" i="59"/>
  <c r="AS24" i="59"/>
  <c r="AG24" i="59"/>
  <c r="AC24" i="59"/>
  <c r="AB24" i="59"/>
  <c r="AS23" i="59"/>
  <c r="AG23" i="59"/>
  <c r="AC23" i="59"/>
  <c r="AB23" i="59"/>
  <c r="AS22" i="59"/>
  <c r="AG22" i="59"/>
  <c r="AC22" i="59"/>
  <c r="AB22" i="59"/>
  <c r="AS21" i="59"/>
  <c r="AG21" i="59"/>
  <c r="AC21" i="59"/>
  <c r="AB21" i="59"/>
  <c r="AS20" i="59"/>
  <c r="AG20" i="59"/>
  <c r="AC20" i="59"/>
  <c r="AB20" i="59"/>
  <c r="AS19" i="59"/>
  <c r="AG19" i="59"/>
  <c r="AC19" i="59"/>
  <c r="AB19" i="59"/>
  <c r="AS18" i="59"/>
  <c r="AG18" i="59"/>
  <c r="AC18" i="59"/>
  <c r="AB18" i="59"/>
  <c r="AS17" i="59"/>
  <c r="AG17" i="59"/>
  <c r="AC17" i="59"/>
  <c r="AB17" i="59"/>
  <c r="AS16" i="59"/>
  <c r="AG16" i="59"/>
  <c r="AC16" i="59"/>
  <c r="AB16" i="59"/>
  <c r="R15" i="59"/>
  <c r="N50" i="59" s="1"/>
  <c r="AK10" i="59"/>
  <c r="AN16" i="59" s="1"/>
  <c r="AX16" i="59" s="1"/>
  <c r="AK9" i="59"/>
  <c r="AR16" i="59" s="1"/>
  <c r="AR17" i="59" s="1"/>
  <c r="AR18" i="59" s="1"/>
  <c r="AR19" i="59" s="1"/>
  <c r="AR20" i="59" s="1"/>
  <c r="AR21" i="59" s="1"/>
  <c r="AR22" i="59" s="1"/>
  <c r="AR23" i="59" s="1"/>
  <c r="AR24" i="59" s="1"/>
  <c r="AR25" i="59" s="1"/>
  <c r="AR26" i="59" s="1"/>
  <c r="AR27" i="59" s="1"/>
  <c r="AR28" i="59" s="1"/>
  <c r="AR29" i="59" s="1"/>
  <c r="AR30" i="59" s="1"/>
  <c r="AR31" i="59" s="1"/>
  <c r="AR32" i="59" s="1"/>
  <c r="AR33" i="59" s="1"/>
  <c r="AR34" i="59" s="1"/>
  <c r="AR35" i="59" s="1"/>
  <c r="AR36" i="59" s="1"/>
  <c r="AR37" i="59" s="1"/>
  <c r="AR38" i="59" s="1"/>
  <c r="AR39" i="59" s="1"/>
  <c r="AK7" i="59"/>
  <c r="AL16" i="59" s="1"/>
  <c r="AL17" i="59" s="1"/>
  <c r="AL18" i="59" s="1"/>
  <c r="AL19" i="59" s="1"/>
  <c r="AL20" i="59" s="1"/>
  <c r="AL21" i="59" s="1"/>
  <c r="AL22" i="59" s="1"/>
  <c r="AL23" i="59" s="1"/>
  <c r="AL24" i="59" s="1"/>
  <c r="AL25" i="59" s="1"/>
  <c r="AL26" i="59" s="1"/>
  <c r="AL27" i="59" s="1"/>
  <c r="AL28" i="59" s="1"/>
  <c r="AL29" i="59" s="1"/>
  <c r="AL30" i="59" s="1"/>
  <c r="AL31" i="59" s="1"/>
  <c r="AL32" i="59" s="1"/>
  <c r="AL33" i="59" s="1"/>
  <c r="AL34" i="59" s="1"/>
  <c r="AL35" i="59" s="1"/>
  <c r="AL36" i="59" s="1"/>
  <c r="AL37" i="59" s="1"/>
  <c r="AL38" i="59" s="1"/>
  <c r="AL39" i="59" s="1"/>
  <c r="AK6" i="59"/>
  <c r="AK16" i="59" s="1"/>
  <c r="AK17" i="59" s="1"/>
  <c r="AK18" i="59" s="1"/>
  <c r="AK19" i="59" s="1"/>
  <c r="AK20" i="59" s="1"/>
  <c r="AK21" i="59" s="1"/>
  <c r="AK22" i="59" s="1"/>
  <c r="AK23" i="59" s="1"/>
  <c r="AK24" i="59" s="1"/>
  <c r="AK25" i="59" s="1"/>
  <c r="AK26" i="59" s="1"/>
  <c r="AK27" i="59" s="1"/>
  <c r="AK28" i="59" s="1"/>
  <c r="AK29" i="59" s="1"/>
  <c r="AK30" i="59" s="1"/>
  <c r="AK31" i="59" s="1"/>
  <c r="AK32" i="59" s="1"/>
  <c r="AK33" i="59" s="1"/>
  <c r="AK34" i="59" s="1"/>
  <c r="AK35" i="59" s="1"/>
  <c r="AK36" i="59" s="1"/>
  <c r="AK37" i="59" s="1"/>
  <c r="AK38" i="59" s="1"/>
  <c r="AK39" i="59" s="1"/>
  <c r="AK5" i="59"/>
  <c r="AJ16" i="59" s="1"/>
  <c r="L50" i="58"/>
  <c r="P53" i="58"/>
  <c r="Q43" i="58"/>
  <c r="P43" i="58"/>
  <c r="O43" i="58"/>
  <c r="N43" i="58"/>
  <c r="M43" i="58"/>
  <c r="L43" i="58"/>
  <c r="H43" i="58"/>
  <c r="G43" i="58"/>
  <c r="F43" i="58"/>
  <c r="E43" i="58"/>
  <c r="D43" i="58"/>
  <c r="C43" i="58"/>
  <c r="B43" i="58"/>
  <c r="R42" i="58"/>
  <c r="BV40" i="32" s="1"/>
  <c r="Q42" i="58"/>
  <c r="BS40" i="32" s="1"/>
  <c r="P42" i="58"/>
  <c r="BP40" i="32" s="1"/>
  <c r="O42" i="58"/>
  <c r="BM40" i="32" s="1"/>
  <c r="N42" i="58"/>
  <c r="BJ40" i="32" s="1"/>
  <c r="M42" i="58"/>
  <c r="BG40" i="32" s="1"/>
  <c r="L42" i="58"/>
  <c r="BD40" i="32" s="1"/>
  <c r="K42" i="58"/>
  <c r="AZ40" i="32" s="1"/>
  <c r="J42" i="58"/>
  <c r="J44" i="58" s="1"/>
  <c r="I42" i="58"/>
  <c r="AW40" i="32" s="1"/>
  <c r="H42" i="58"/>
  <c r="AT40" i="32" s="1"/>
  <c r="G42" i="58"/>
  <c r="AQ40" i="32" s="1"/>
  <c r="F42" i="58"/>
  <c r="AN40" i="32" s="1"/>
  <c r="AK40" i="32"/>
  <c r="AH40" i="32"/>
  <c r="AD40" i="32"/>
  <c r="AA40" i="32"/>
  <c r="R41" i="58"/>
  <c r="BU40" i="32" s="1"/>
  <c r="Q41" i="58"/>
  <c r="BR40" i="32" s="1"/>
  <c r="P41" i="58"/>
  <c r="BO40" i="32" s="1"/>
  <c r="O41" i="58"/>
  <c r="BL40" i="32" s="1"/>
  <c r="N41" i="58"/>
  <c r="BI40" i="32" s="1"/>
  <c r="M41" i="58"/>
  <c r="BF40" i="32" s="1"/>
  <c r="L41" i="58"/>
  <c r="BC40" i="32" s="1"/>
  <c r="K41" i="58"/>
  <c r="AY40" i="32" s="1"/>
  <c r="I41" i="58"/>
  <c r="AV40" i="32" s="1"/>
  <c r="H41" i="58"/>
  <c r="AS40" i="32" s="1"/>
  <c r="G41" i="58"/>
  <c r="AP40" i="32" s="1"/>
  <c r="F41" i="58"/>
  <c r="AM40" i="32" s="1"/>
  <c r="AJ40" i="32"/>
  <c r="AG40" i="32"/>
  <c r="AC40" i="32"/>
  <c r="Z40" i="32"/>
  <c r="R40" i="58"/>
  <c r="M50" i="58" s="1"/>
  <c r="L37" i="32" s="1"/>
  <c r="Q44" i="58"/>
  <c r="BT40" i="32" s="1"/>
  <c r="P40" i="58"/>
  <c r="O47" i="58" s="1"/>
  <c r="V23" i="39" s="1"/>
  <c r="O40" i="58"/>
  <c r="O46" i="58" s="1"/>
  <c r="U23" i="39" s="1"/>
  <c r="N40" i="58"/>
  <c r="M40" i="58"/>
  <c r="BH40" i="32" s="1"/>
  <c r="L40" i="58"/>
  <c r="BE40" i="32" s="1"/>
  <c r="BA40" i="32"/>
  <c r="I40" i="58"/>
  <c r="AX40" i="32" s="1"/>
  <c r="H40" i="58"/>
  <c r="AU40" i="32" s="1"/>
  <c r="G40" i="58"/>
  <c r="AR40" i="32" s="1"/>
  <c r="F40" i="58"/>
  <c r="AS39" i="58"/>
  <c r="AG39" i="58"/>
  <c r="AC39" i="58"/>
  <c r="AB39" i="58"/>
  <c r="AS38" i="58"/>
  <c r="AG38" i="58"/>
  <c r="AC38" i="58"/>
  <c r="AB38" i="58"/>
  <c r="AS37" i="58"/>
  <c r="AG37" i="58"/>
  <c r="AC37" i="58"/>
  <c r="AB37" i="58"/>
  <c r="AS36" i="58"/>
  <c r="AG36" i="58"/>
  <c r="AC36" i="58"/>
  <c r="AB36" i="58"/>
  <c r="AS35" i="58"/>
  <c r="AG35" i="58"/>
  <c r="AC35" i="58"/>
  <c r="AB35" i="58"/>
  <c r="AS34" i="58"/>
  <c r="AG34" i="58"/>
  <c r="AC34" i="58"/>
  <c r="AB34" i="58"/>
  <c r="AS33" i="58"/>
  <c r="AG33" i="58"/>
  <c r="AC33" i="58"/>
  <c r="AB33" i="58"/>
  <c r="AS32" i="58"/>
  <c r="AG32" i="58"/>
  <c r="AC32" i="58"/>
  <c r="AB32" i="58"/>
  <c r="AS31" i="58"/>
  <c r="AG31" i="58"/>
  <c r="AC31" i="58"/>
  <c r="AB31" i="58"/>
  <c r="AS30" i="58"/>
  <c r="AG30" i="58"/>
  <c r="AC30" i="58"/>
  <c r="AB30" i="58"/>
  <c r="AS29" i="58"/>
  <c r="AG29" i="58"/>
  <c r="AC29" i="58"/>
  <c r="AB29" i="58"/>
  <c r="AS28" i="58"/>
  <c r="AG28" i="58"/>
  <c r="AC28" i="58"/>
  <c r="AB28" i="58"/>
  <c r="AS27" i="58"/>
  <c r="AG27" i="58"/>
  <c r="AC27" i="58"/>
  <c r="AB27" i="58"/>
  <c r="AS26" i="58"/>
  <c r="AG26" i="58"/>
  <c r="AC26" i="58"/>
  <c r="AB26" i="58"/>
  <c r="AS25" i="58"/>
  <c r="AG25" i="58"/>
  <c r="AC25" i="58"/>
  <c r="AB25" i="58"/>
  <c r="AS24" i="58"/>
  <c r="AG24" i="58"/>
  <c r="AC24" i="58"/>
  <c r="AB24" i="58"/>
  <c r="AS23" i="58"/>
  <c r="AG23" i="58"/>
  <c r="AC23" i="58"/>
  <c r="AB23" i="58"/>
  <c r="AS22" i="58"/>
  <c r="AG22" i="58"/>
  <c r="AC22" i="58"/>
  <c r="AB22" i="58"/>
  <c r="AS21" i="58"/>
  <c r="AG21" i="58"/>
  <c r="AC21" i="58"/>
  <c r="AB21" i="58"/>
  <c r="AS20" i="58"/>
  <c r="AG20" i="58"/>
  <c r="AC20" i="58"/>
  <c r="AB20" i="58"/>
  <c r="AS19" i="58"/>
  <c r="AG19" i="58"/>
  <c r="AC19" i="58"/>
  <c r="AB19" i="58"/>
  <c r="AS18" i="58"/>
  <c r="AG18" i="58"/>
  <c r="AC18" i="58"/>
  <c r="AB18" i="58"/>
  <c r="AS17" i="58"/>
  <c r="AG17" i="58"/>
  <c r="AC17" i="58"/>
  <c r="AB17" i="58"/>
  <c r="AS16" i="58"/>
  <c r="AG16" i="58"/>
  <c r="AC16" i="58"/>
  <c r="AB16" i="58"/>
  <c r="R15" i="58"/>
  <c r="N50" i="58" s="1"/>
  <c r="AK10" i="58"/>
  <c r="AN16" i="58" s="1"/>
  <c r="AK9" i="58"/>
  <c r="AR16" i="58" s="1"/>
  <c r="AR17" i="58" s="1"/>
  <c r="AR18" i="58" s="1"/>
  <c r="AR19" i="58" s="1"/>
  <c r="AR20" i="58" s="1"/>
  <c r="AR21" i="58" s="1"/>
  <c r="AR22" i="58" s="1"/>
  <c r="AR23" i="58" s="1"/>
  <c r="AR24" i="58" s="1"/>
  <c r="AR25" i="58" s="1"/>
  <c r="AR26" i="58" s="1"/>
  <c r="AR27" i="58" s="1"/>
  <c r="AR28" i="58" s="1"/>
  <c r="AR29" i="58" s="1"/>
  <c r="AR30" i="58" s="1"/>
  <c r="AR31" i="58" s="1"/>
  <c r="AR32" i="58" s="1"/>
  <c r="AR33" i="58" s="1"/>
  <c r="AR34" i="58" s="1"/>
  <c r="AR35" i="58" s="1"/>
  <c r="AR36" i="58" s="1"/>
  <c r="AR37" i="58" s="1"/>
  <c r="AR38" i="58" s="1"/>
  <c r="AR39" i="58" s="1"/>
  <c r="AK7" i="58"/>
  <c r="AL16" i="58" s="1"/>
  <c r="AL17" i="58" s="1"/>
  <c r="AL18" i="58" s="1"/>
  <c r="AL19" i="58" s="1"/>
  <c r="AL20" i="58" s="1"/>
  <c r="AL21" i="58" s="1"/>
  <c r="AL22" i="58" s="1"/>
  <c r="AL23" i="58" s="1"/>
  <c r="AL24" i="58" s="1"/>
  <c r="AL25" i="58" s="1"/>
  <c r="AL26" i="58" s="1"/>
  <c r="AL27" i="58" s="1"/>
  <c r="AL28" i="58" s="1"/>
  <c r="AL29" i="58" s="1"/>
  <c r="AL30" i="58" s="1"/>
  <c r="AL31" i="58" s="1"/>
  <c r="AL32" i="58" s="1"/>
  <c r="AL33" i="58" s="1"/>
  <c r="AL34" i="58" s="1"/>
  <c r="AL35" i="58" s="1"/>
  <c r="AL36" i="58" s="1"/>
  <c r="AL37" i="58" s="1"/>
  <c r="AL38" i="58" s="1"/>
  <c r="AL39" i="58" s="1"/>
  <c r="AK6" i="58"/>
  <c r="AK16" i="58" s="1"/>
  <c r="AK17" i="58" s="1"/>
  <c r="AK18" i="58" s="1"/>
  <c r="AK19" i="58" s="1"/>
  <c r="AK20" i="58" s="1"/>
  <c r="AK21" i="58" s="1"/>
  <c r="AK22" i="58" s="1"/>
  <c r="AK23" i="58" s="1"/>
  <c r="AK24" i="58" s="1"/>
  <c r="AK25" i="58" s="1"/>
  <c r="AK26" i="58" s="1"/>
  <c r="AK27" i="58" s="1"/>
  <c r="AK28" i="58" s="1"/>
  <c r="AK29" i="58" s="1"/>
  <c r="AK30" i="58" s="1"/>
  <c r="AK31" i="58" s="1"/>
  <c r="AK32" i="58" s="1"/>
  <c r="AK33" i="58" s="1"/>
  <c r="AK34" i="58" s="1"/>
  <c r="AK35" i="58" s="1"/>
  <c r="AK36" i="58" s="1"/>
  <c r="AK37" i="58" s="1"/>
  <c r="AK38" i="58" s="1"/>
  <c r="AK39" i="58" s="1"/>
  <c r="AK5" i="58"/>
  <c r="AJ16" i="58" s="1"/>
  <c r="L50" i="57"/>
  <c r="P53" i="57"/>
  <c r="Q43" i="57"/>
  <c r="P43" i="57"/>
  <c r="O43" i="57"/>
  <c r="N43" i="57"/>
  <c r="M43" i="57"/>
  <c r="L43" i="57"/>
  <c r="H43" i="57"/>
  <c r="G43" i="57"/>
  <c r="F43" i="57"/>
  <c r="E43" i="57"/>
  <c r="D43" i="57"/>
  <c r="C43" i="57"/>
  <c r="B43" i="57"/>
  <c r="R42" i="57"/>
  <c r="BV39" i="32" s="1"/>
  <c r="Q42" i="57"/>
  <c r="BS39" i="32" s="1"/>
  <c r="P42" i="57"/>
  <c r="BP39" i="32" s="1"/>
  <c r="O42" i="57"/>
  <c r="BM39" i="32" s="1"/>
  <c r="N42" i="57"/>
  <c r="BJ39" i="32" s="1"/>
  <c r="M42" i="57"/>
  <c r="BG39" i="32" s="1"/>
  <c r="L42" i="57"/>
  <c r="BD39" i="32" s="1"/>
  <c r="K42" i="57"/>
  <c r="AZ39" i="32" s="1"/>
  <c r="J42" i="57"/>
  <c r="J44" i="57" s="1"/>
  <c r="I42" i="57"/>
  <c r="AW39" i="32" s="1"/>
  <c r="H42" i="57"/>
  <c r="AT39" i="32" s="1"/>
  <c r="G42" i="57"/>
  <c r="AQ39" i="32" s="1"/>
  <c r="F42" i="57"/>
  <c r="AN39" i="32" s="1"/>
  <c r="AK39" i="32"/>
  <c r="AH39" i="32"/>
  <c r="AD39" i="32"/>
  <c r="AA39" i="32"/>
  <c r="R41" i="57"/>
  <c r="BU39" i="32" s="1"/>
  <c r="Q41" i="57"/>
  <c r="BR39" i="32" s="1"/>
  <c r="P41" i="57"/>
  <c r="BO39" i="32" s="1"/>
  <c r="O41" i="57"/>
  <c r="BL39" i="32" s="1"/>
  <c r="N41" i="57"/>
  <c r="BI39" i="32" s="1"/>
  <c r="M41" i="57"/>
  <c r="BF39" i="32" s="1"/>
  <c r="L41" i="57"/>
  <c r="BC39" i="32" s="1"/>
  <c r="K41" i="57"/>
  <c r="AY39" i="32" s="1"/>
  <c r="I41" i="57"/>
  <c r="AV39" i="32" s="1"/>
  <c r="H41" i="57"/>
  <c r="AS39" i="32" s="1"/>
  <c r="G41" i="57"/>
  <c r="AP39" i="32" s="1"/>
  <c r="F41" i="57"/>
  <c r="AM39" i="32" s="1"/>
  <c r="AJ39" i="32"/>
  <c r="AG39" i="32"/>
  <c r="AC39" i="32"/>
  <c r="Z39" i="32"/>
  <c r="R40" i="57"/>
  <c r="BW39" i="32" s="1"/>
  <c r="Q44" i="57"/>
  <c r="BT39" i="32" s="1"/>
  <c r="P40" i="57"/>
  <c r="O47" i="57" s="1"/>
  <c r="V22" i="39" s="1"/>
  <c r="O40" i="57"/>
  <c r="O46" i="57" s="1"/>
  <c r="U22" i="39" s="1"/>
  <c r="N40" i="57"/>
  <c r="M40" i="57"/>
  <c r="BH39" i="32" s="1"/>
  <c r="L40" i="57"/>
  <c r="BE39" i="32" s="1"/>
  <c r="BA39" i="32"/>
  <c r="I40" i="57"/>
  <c r="AX39" i="32" s="1"/>
  <c r="H40" i="57"/>
  <c r="AU39" i="32" s="1"/>
  <c r="G40" i="57"/>
  <c r="AR39" i="32" s="1"/>
  <c r="F40" i="57"/>
  <c r="F36" i="32"/>
  <c r="AS39" i="57"/>
  <c r="AG39" i="57"/>
  <c r="AC39" i="57"/>
  <c r="AB39" i="57"/>
  <c r="AS38" i="57"/>
  <c r="AG38" i="57"/>
  <c r="AC38" i="57"/>
  <c r="AB38" i="57"/>
  <c r="AS37" i="57"/>
  <c r="AG37" i="57"/>
  <c r="AC37" i="57"/>
  <c r="AB37" i="57"/>
  <c r="AS36" i="57"/>
  <c r="AG36" i="57"/>
  <c r="AC36" i="57"/>
  <c r="AB36" i="57"/>
  <c r="AS35" i="57"/>
  <c r="AG35" i="57"/>
  <c r="AC35" i="57"/>
  <c r="AB35" i="57"/>
  <c r="AS34" i="57"/>
  <c r="AG34" i="57"/>
  <c r="AC34" i="57"/>
  <c r="AB34" i="57"/>
  <c r="AS33" i="57"/>
  <c r="AG33" i="57"/>
  <c r="AC33" i="57"/>
  <c r="AB33" i="57"/>
  <c r="AS32" i="57"/>
  <c r="AG32" i="57"/>
  <c r="AC32" i="57"/>
  <c r="AB32" i="57"/>
  <c r="AS31" i="57"/>
  <c r="AG31" i="57"/>
  <c r="AC31" i="57"/>
  <c r="AB31" i="57"/>
  <c r="AS30" i="57"/>
  <c r="AG30" i="57"/>
  <c r="AC30" i="57"/>
  <c r="AB30" i="57"/>
  <c r="AS29" i="57"/>
  <c r="AG29" i="57"/>
  <c r="AC29" i="57"/>
  <c r="AB29" i="57"/>
  <c r="AS28" i="57"/>
  <c r="AG28" i="57"/>
  <c r="AC28" i="57"/>
  <c r="AB28" i="57"/>
  <c r="AS27" i="57"/>
  <c r="AG27" i="57"/>
  <c r="AC27" i="57"/>
  <c r="AB27" i="57"/>
  <c r="AS26" i="57"/>
  <c r="AG26" i="57"/>
  <c r="AC26" i="57"/>
  <c r="AB26" i="57"/>
  <c r="AS25" i="57"/>
  <c r="AG25" i="57"/>
  <c r="AC25" i="57"/>
  <c r="AB25" i="57"/>
  <c r="AS24" i="57"/>
  <c r="AG24" i="57"/>
  <c r="AC24" i="57"/>
  <c r="AB24" i="57"/>
  <c r="AS23" i="57"/>
  <c r="AG23" i="57"/>
  <c r="AC23" i="57"/>
  <c r="AB23" i="57"/>
  <c r="AS22" i="57"/>
  <c r="AG22" i="57"/>
  <c r="AC22" i="57"/>
  <c r="AB22" i="57"/>
  <c r="AS21" i="57"/>
  <c r="AG21" i="57"/>
  <c r="AC21" i="57"/>
  <c r="AB21" i="57"/>
  <c r="AS20" i="57"/>
  <c r="AG20" i="57"/>
  <c r="AC20" i="57"/>
  <c r="AB20" i="57"/>
  <c r="AS19" i="57"/>
  <c r="AG19" i="57"/>
  <c r="AC19" i="57"/>
  <c r="AB19" i="57"/>
  <c r="AS18" i="57"/>
  <c r="AG18" i="57"/>
  <c r="AC18" i="57"/>
  <c r="AB18" i="57"/>
  <c r="AS17" i="57"/>
  <c r="AG17" i="57"/>
  <c r="AC17" i="57"/>
  <c r="AB17" i="57"/>
  <c r="AS16" i="57"/>
  <c r="AG16" i="57"/>
  <c r="AC16" i="57"/>
  <c r="AB16" i="57"/>
  <c r="R15" i="57"/>
  <c r="N50" i="57" s="1"/>
  <c r="AK10" i="57"/>
  <c r="AN16" i="57" s="1"/>
  <c r="AK9" i="57"/>
  <c r="AR16" i="57" s="1"/>
  <c r="AR17" i="57" s="1"/>
  <c r="AR18" i="57" s="1"/>
  <c r="AR19" i="57" s="1"/>
  <c r="AR20" i="57" s="1"/>
  <c r="AR21" i="57" s="1"/>
  <c r="AR22" i="57" s="1"/>
  <c r="AR23" i="57" s="1"/>
  <c r="AR24" i="57" s="1"/>
  <c r="AR25" i="57" s="1"/>
  <c r="AR26" i="57" s="1"/>
  <c r="AR27" i="57" s="1"/>
  <c r="AR28" i="57" s="1"/>
  <c r="AR29" i="57" s="1"/>
  <c r="AR30" i="57" s="1"/>
  <c r="AR31" i="57" s="1"/>
  <c r="AR32" i="57" s="1"/>
  <c r="AR33" i="57" s="1"/>
  <c r="AR34" i="57" s="1"/>
  <c r="AR35" i="57" s="1"/>
  <c r="AR36" i="57" s="1"/>
  <c r="AR37" i="57" s="1"/>
  <c r="AR38" i="57" s="1"/>
  <c r="AR39" i="57" s="1"/>
  <c r="AK7" i="57"/>
  <c r="AL16" i="57" s="1"/>
  <c r="AL17" i="57" s="1"/>
  <c r="AL18" i="57" s="1"/>
  <c r="AL19" i="57" s="1"/>
  <c r="AL20" i="57" s="1"/>
  <c r="AL21" i="57" s="1"/>
  <c r="AL22" i="57" s="1"/>
  <c r="AL23" i="57" s="1"/>
  <c r="AL24" i="57" s="1"/>
  <c r="AL25" i="57" s="1"/>
  <c r="AL26" i="57" s="1"/>
  <c r="AL27" i="57" s="1"/>
  <c r="AL28" i="57" s="1"/>
  <c r="AL29" i="57" s="1"/>
  <c r="AL30" i="57" s="1"/>
  <c r="AL31" i="57" s="1"/>
  <c r="AL32" i="57" s="1"/>
  <c r="AL33" i="57" s="1"/>
  <c r="AL34" i="57" s="1"/>
  <c r="AL35" i="57" s="1"/>
  <c r="AL36" i="57" s="1"/>
  <c r="AL37" i="57" s="1"/>
  <c r="AL38" i="57" s="1"/>
  <c r="AL39" i="57" s="1"/>
  <c r="AK6" i="57"/>
  <c r="AK16" i="57" s="1"/>
  <c r="AK17" i="57" s="1"/>
  <c r="AK18" i="57" s="1"/>
  <c r="AK19" i="57" s="1"/>
  <c r="AK20" i="57" s="1"/>
  <c r="AK21" i="57" s="1"/>
  <c r="AK22" i="57" s="1"/>
  <c r="AK23" i="57" s="1"/>
  <c r="AK24" i="57" s="1"/>
  <c r="AK25" i="57" s="1"/>
  <c r="AK26" i="57" s="1"/>
  <c r="AK27" i="57" s="1"/>
  <c r="AK28" i="57" s="1"/>
  <c r="AK29" i="57" s="1"/>
  <c r="AK30" i="57" s="1"/>
  <c r="AK31" i="57" s="1"/>
  <c r="AK32" i="57" s="1"/>
  <c r="AK33" i="57" s="1"/>
  <c r="AK34" i="57" s="1"/>
  <c r="AK35" i="57" s="1"/>
  <c r="AK36" i="57" s="1"/>
  <c r="AK37" i="57" s="1"/>
  <c r="AK38" i="57" s="1"/>
  <c r="AK39" i="57" s="1"/>
  <c r="AK5" i="57"/>
  <c r="AJ16" i="57" s="1"/>
  <c r="AJ17" i="57" s="1"/>
  <c r="AJ18" i="57" s="1"/>
  <c r="AJ19" i="57" s="1"/>
  <c r="L50" i="56"/>
  <c r="P53" i="56"/>
  <c r="Q43" i="56"/>
  <c r="P43" i="56"/>
  <c r="O43" i="56"/>
  <c r="N43" i="56"/>
  <c r="M43" i="56"/>
  <c r="L43" i="56"/>
  <c r="H43" i="56"/>
  <c r="G43" i="56"/>
  <c r="F43" i="56"/>
  <c r="E43" i="56"/>
  <c r="D43" i="56"/>
  <c r="C43" i="56"/>
  <c r="B43" i="56"/>
  <c r="R42" i="56"/>
  <c r="BV38" i="32" s="1"/>
  <c r="Q42" i="56"/>
  <c r="BS38" i="32" s="1"/>
  <c r="P42" i="56"/>
  <c r="BP38" i="32" s="1"/>
  <c r="O42" i="56"/>
  <c r="BM38" i="32" s="1"/>
  <c r="N42" i="56"/>
  <c r="BJ38" i="32" s="1"/>
  <c r="M42" i="56"/>
  <c r="BG38" i="32" s="1"/>
  <c r="L42" i="56"/>
  <c r="BD38" i="32" s="1"/>
  <c r="K42" i="56"/>
  <c r="AZ38" i="32" s="1"/>
  <c r="J42" i="56"/>
  <c r="J44" i="56" s="1"/>
  <c r="I42" i="56"/>
  <c r="AW38" i="32" s="1"/>
  <c r="H42" i="56"/>
  <c r="AT38" i="32" s="1"/>
  <c r="G42" i="56"/>
  <c r="AQ38" i="32" s="1"/>
  <c r="F42" i="56"/>
  <c r="AN38" i="32" s="1"/>
  <c r="AK38" i="32"/>
  <c r="AH38" i="32"/>
  <c r="AD38" i="32"/>
  <c r="AA38" i="32"/>
  <c r="R41" i="56"/>
  <c r="BU38" i="32" s="1"/>
  <c r="Q41" i="56"/>
  <c r="BR38" i="32" s="1"/>
  <c r="P41" i="56"/>
  <c r="BO38" i="32" s="1"/>
  <c r="O41" i="56"/>
  <c r="BL38" i="32" s="1"/>
  <c r="N41" i="56"/>
  <c r="BI38" i="32" s="1"/>
  <c r="M41" i="56"/>
  <c r="BF38" i="32" s="1"/>
  <c r="L41" i="56"/>
  <c r="BC38" i="32" s="1"/>
  <c r="K41" i="56"/>
  <c r="AY38" i="32" s="1"/>
  <c r="I41" i="56"/>
  <c r="AV38" i="32" s="1"/>
  <c r="H41" i="56"/>
  <c r="AS38" i="32" s="1"/>
  <c r="G41" i="56"/>
  <c r="AP38" i="32" s="1"/>
  <c r="F41" i="56"/>
  <c r="AM38" i="32" s="1"/>
  <c r="AJ38" i="32"/>
  <c r="AG38" i="32"/>
  <c r="AC38" i="32"/>
  <c r="Z38" i="32"/>
  <c r="R40" i="56"/>
  <c r="M50" i="56" s="1"/>
  <c r="L35" i="32" s="1"/>
  <c r="Q44" i="56"/>
  <c r="BT38" i="32" s="1"/>
  <c r="P40" i="56"/>
  <c r="O40" i="56"/>
  <c r="O46" i="56" s="1"/>
  <c r="U21" i="39" s="1"/>
  <c r="N40" i="56"/>
  <c r="M40" i="56"/>
  <c r="BH38" i="32" s="1"/>
  <c r="L40" i="56"/>
  <c r="BE38" i="32" s="1"/>
  <c r="BA38" i="32"/>
  <c r="I40" i="56"/>
  <c r="AX38" i="32" s="1"/>
  <c r="H40" i="56"/>
  <c r="AU38" i="32" s="1"/>
  <c r="G40" i="56"/>
  <c r="AR38" i="32" s="1"/>
  <c r="F40" i="56"/>
  <c r="AS39" i="56"/>
  <c r="AG39" i="56"/>
  <c r="AC39" i="56"/>
  <c r="AB39" i="56"/>
  <c r="AS38" i="56"/>
  <c r="AG38" i="56"/>
  <c r="AC38" i="56"/>
  <c r="AB38" i="56"/>
  <c r="AS37" i="56"/>
  <c r="AG37" i="56"/>
  <c r="AC37" i="56"/>
  <c r="AB37" i="56"/>
  <c r="AS36" i="56"/>
  <c r="AG36" i="56"/>
  <c r="AC36" i="56"/>
  <c r="AB36" i="56"/>
  <c r="AS35" i="56"/>
  <c r="AG35" i="56"/>
  <c r="AC35" i="56"/>
  <c r="AB35" i="56"/>
  <c r="AS34" i="56"/>
  <c r="AG34" i="56"/>
  <c r="AC34" i="56"/>
  <c r="AB34" i="56"/>
  <c r="AS33" i="56"/>
  <c r="AG33" i="56"/>
  <c r="AC33" i="56"/>
  <c r="AB33" i="56"/>
  <c r="AS32" i="56"/>
  <c r="AG32" i="56"/>
  <c r="AC32" i="56"/>
  <c r="AB32" i="56"/>
  <c r="AS31" i="56"/>
  <c r="AG31" i="56"/>
  <c r="AC31" i="56"/>
  <c r="AB31" i="56"/>
  <c r="AS30" i="56"/>
  <c r="AG30" i="56"/>
  <c r="AC30" i="56"/>
  <c r="AB30" i="56"/>
  <c r="AS29" i="56"/>
  <c r="AG29" i="56"/>
  <c r="AC29" i="56"/>
  <c r="AB29" i="56"/>
  <c r="AS28" i="56"/>
  <c r="AG28" i="56"/>
  <c r="AC28" i="56"/>
  <c r="AB28" i="56"/>
  <c r="AS27" i="56"/>
  <c r="AG27" i="56"/>
  <c r="AC27" i="56"/>
  <c r="AB27" i="56"/>
  <c r="AS26" i="56"/>
  <c r="AG26" i="56"/>
  <c r="AC26" i="56"/>
  <c r="AB26" i="56"/>
  <c r="AS25" i="56"/>
  <c r="AG25" i="56"/>
  <c r="AC25" i="56"/>
  <c r="AB25" i="56"/>
  <c r="AS24" i="56"/>
  <c r="AG24" i="56"/>
  <c r="AC24" i="56"/>
  <c r="AB24" i="56"/>
  <c r="AS23" i="56"/>
  <c r="AG23" i="56"/>
  <c r="AC23" i="56"/>
  <c r="AB23" i="56"/>
  <c r="AS22" i="56"/>
  <c r="AG22" i="56"/>
  <c r="AC22" i="56"/>
  <c r="AB22" i="56"/>
  <c r="AS21" i="56"/>
  <c r="AG21" i="56"/>
  <c r="AC21" i="56"/>
  <c r="AB21" i="56"/>
  <c r="AS20" i="56"/>
  <c r="AG20" i="56"/>
  <c r="AC20" i="56"/>
  <c r="AB20" i="56"/>
  <c r="AS19" i="56"/>
  <c r="AG19" i="56"/>
  <c r="AC19" i="56"/>
  <c r="AB19" i="56"/>
  <c r="AS18" i="56"/>
  <c r="AG18" i="56"/>
  <c r="AC18" i="56"/>
  <c r="AB18" i="56"/>
  <c r="AS17" i="56"/>
  <c r="AG17" i="56"/>
  <c r="AC17" i="56"/>
  <c r="AB17" i="56"/>
  <c r="AS16" i="56"/>
  <c r="AG16" i="56"/>
  <c r="AC16" i="56"/>
  <c r="AB16" i="56"/>
  <c r="R15" i="56"/>
  <c r="N50" i="56" s="1"/>
  <c r="AK10" i="56"/>
  <c r="AN16" i="56" s="1"/>
  <c r="AK9" i="56"/>
  <c r="AR16" i="56" s="1"/>
  <c r="AR17" i="56" s="1"/>
  <c r="AR18" i="56" s="1"/>
  <c r="AR19" i="56" s="1"/>
  <c r="AR20" i="56" s="1"/>
  <c r="AR21" i="56" s="1"/>
  <c r="AR22" i="56" s="1"/>
  <c r="AR23" i="56" s="1"/>
  <c r="AR24" i="56" s="1"/>
  <c r="AR25" i="56" s="1"/>
  <c r="AR26" i="56" s="1"/>
  <c r="AR27" i="56" s="1"/>
  <c r="AR28" i="56" s="1"/>
  <c r="AR29" i="56" s="1"/>
  <c r="AR30" i="56" s="1"/>
  <c r="AR31" i="56" s="1"/>
  <c r="AR32" i="56" s="1"/>
  <c r="AR33" i="56" s="1"/>
  <c r="AR34" i="56" s="1"/>
  <c r="AR35" i="56" s="1"/>
  <c r="AR36" i="56" s="1"/>
  <c r="AR37" i="56" s="1"/>
  <c r="AR38" i="56" s="1"/>
  <c r="AR39" i="56" s="1"/>
  <c r="AK7" i="56"/>
  <c r="AL16" i="56" s="1"/>
  <c r="AL17" i="56" s="1"/>
  <c r="AL18" i="56" s="1"/>
  <c r="AL19" i="56" s="1"/>
  <c r="AL20" i="56" s="1"/>
  <c r="AL21" i="56" s="1"/>
  <c r="AL22" i="56" s="1"/>
  <c r="AL23" i="56" s="1"/>
  <c r="AL24" i="56" s="1"/>
  <c r="AL25" i="56" s="1"/>
  <c r="AL26" i="56" s="1"/>
  <c r="AL27" i="56" s="1"/>
  <c r="AL28" i="56" s="1"/>
  <c r="AL29" i="56" s="1"/>
  <c r="AL30" i="56" s="1"/>
  <c r="AL31" i="56" s="1"/>
  <c r="AL32" i="56" s="1"/>
  <c r="AL33" i="56" s="1"/>
  <c r="AL34" i="56" s="1"/>
  <c r="AL35" i="56" s="1"/>
  <c r="AL36" i="56" s="1"/>
  <c r="AL37" i="56" s="1"/>
  <c r="AL38" i="56" s="1"/>
  <c r="AL39" i="56" s="1"/>
  <c r="AK6" i="56"/>
  <c r="AK16" i="56" s="1"/>
  <c r="AK17" i="56" s="1"/>
  <c r="AK18" i="56" s="1"/>
  <c r="AK19" i="56" s="1"/>
  <c r="AK20" i="56" s="1"/>
  <c r="AK21" i="56" s="1"/>
  <c r="AK22" i="56" s="1"/>
  <c r="AK23" i="56" s="1"/>
  <c r="AK24" i="56" s="1"/>
  <c r="AK25" i="56" s="1"/>
  <c r="AK26" i="56" s="1"/>
  <c r="AK27" i="56" s="1"/>
  <c r="AK28" i="56" s="1"/>
  <c r="AK29" i="56" s="1"/>
  <c r="AK30" i="56" s="1"/>
  <c r="AK31" i="56" s="1"/>
  <c r="AK32" i="56" s="1"/>
  <c r="AK33" i="56" s="1"/>
  <c r="AK34" i="56" s="1"/>
  <c r="AK35" i="56" s="1"/>
  <c r="AK36" i="56" s="1"/>
  <c r="AK37" i="56" s="1"/>
  <c r="AK38" i="56" s="1"/>
  <c r="AK39" i="56" s="1"/>
  <c r="AK5" i="56"/>
  <c r="AJ16" i="56" s="1"/>
  <c r="L50" i="55"/>
  <c r="P53" i="55"/>
  <c r="Q43" i="55"/>
  <c r="P43" i="55"/>
  <c r="O43" i="55"/>
  <c r="N43" i="55"/>
  <c r="M43" i="55"/>
  <c r="L43" i="55"/>
  <c r="H43" i="55"/>
  <c r="G43" i="55"/>
  <c r="F43" i="55"/>
  <c r="E43" i="55"/>
  <c r="D43" i="55"/>
  <c r="C43" i="55"/>
  <c r="B43" i="55"/>
  <c r="R42" i="55"/>
  <c r="BV37" i="32" s="1"/>
  <c r="Q42" i="55"/>
  <c r="BS37" i="32" s="1"/>
  <c r="P42" i="55"/>
  <c r="BP37" i="32" s="1"/>
  <c r="O42" i="55"/>
  <c r="BM37" i="32" s="1"/>
  <c r="N42" i="55"/>
  <c r="BJ37" i="32" s="1"/>
  <c r="M42" i="55"/>
  <c r="BG37" i="32" s="1"/>
  <c r="L42" i="55"/>
  <c r="BD37" i="32" s="1"/>
  <c r="K42" i="55"/>
  <c r="AZ37" i="32" s="1"/>
  <c r="J42" i="55"/>
  <c r="J44" i="55" s="1"/>
  <c r="I42" i="55"/>
  <c r="AW37" i="32" s="1"/>
  <c r="H42" i="55"/>
  <c r="AT37" i="32" s="1"/>
  <c r="G42" i="55"/>
  <c r="AQ37" i="32" s="1"/>
  <c r="F42" i="55"/>
  <c r="AN37" i="32" s="1"/>
  <c r="AK37" i="32"/>
  <c r="AH37" i="32"/>
  <c r="AD37" i="32"/>
  <c r="AA37" i="32"/>
  <c r="R41" i="55"/>
  <c r="BU37" i="32" s="1"/>
  <c r="Q41" i="55"/>
  <c r="BR37" i="32" s="1"/>
  <c r="P41" i="55"/>
  <c r="BO37" i="32" s="1"/>
  <c r="O41" i="55"/>
  <c r="BL37" i="32" s="1"/>
  <c r="N41" i="55"/>
  <c r="BI37" i="32" s="1"/>
  <c r="M41" i="55"/>
  <c r="BF37" i="32" s="1"/>
  <c r="L41" i="55"/>
  <c r="BC37" i="32" s="1"/>
  <c r="K41" i="55"/>
  <c r="AY37" i="32" s="1"/>
  <c r="I41" i="55"/>
  <c r="AV37" i="32" s="1"/>
  <c r="H41" i="55"/>
  <c r="AS37" i="32" s="1"/>
  <c r="G41" i="55"/>
  <c r="AP37" i="32" s="1"/>
  <c r="F41" i="55"/>
  <c r="AM37" i="32" s="1"/>
  <c r="AJ37" i="32"/>
  <c r="AG37" i="32"/>
  <c r="AC37" i="32"/>
  <c r="Z37" i="32"/>
  <c r="R40" i="55"/>
  <c r="BW37" i="32" s="1"/>
  <c r="Q44" i="55"/>
  <c r="BT37" i="32" s="1"/>
  <c r="P40" i="55"/>
  <c r="O47" i="55" s="1"/>
  <c r="V20" i="39" s="1"/>
  <c r="O40" i="55"/>
  <c r="O46" i="55" s="1"/>
  <c r="U20" i="39" s="1"/>
  <c r="N40" i="55"/>
  <c r="M40" i="55"/>
  <c r="BH37" i="32" s="1"/>
  <c r="L40" i="55"/>
  <c r="BE37" i="32" s="1"/>
  <c r="BA37" i="32"/>
  <c r="I40" i="55"/>
  <c r="AX37" i="32" s="1"/>
  <c r="H40" i="55"/>
  <c r="AU37" i="32" s="1"/>
  <c r="G40" i="55"/>
  <c r="AR37" i="32" s="1"/>
  <c r="F40" i="55"/>
  <c r="F34" i="32"/>
  <c r="AS39" i="55"/>
  <c r="AG39" i="55"/>
  <c r="AC39" i="55"/>
  <c r="AB39" i="55"/>
  <c r="AS38" i="55"/>
  <c r="AG38" i="55"/>
  <c r="AC38" i="55"/>
  <c r="AB38" i="55"/>
  <c r="AS37" i="55"/>
  <c r="AG37" i="55"/>
  <c r="AC37" i="55"/>
  <c r="AB37" i="55"/>
  <c r="AS36" i="55"/>
  <c r="AG36" i="55"/>
  <c r="AC36" i="55"/>
  <c r="AB36" i="55"/>
  <c r="AS35" i="55"/>
  <c r="AG35" i="55"/>
  <c r="AC35" i="55"/>
  <c r="AB35" i="55"/>
  <c r="AS34" i="55"/>
  <c r="AG34" i="55"/>
  <c r="AC34" i="55"/>
  <c r="AB34" i="55"/>
  <c r="AS33" i="55"/>
  <c r="AG33" i="55"/>
  <c r="AC33" i="55"/>
  <c r="AB33" i="55"/>
  <c r="AS32" i="55"/>
  <c r="AG32" i="55"/>
  <c r="AC32" i="55"/>
  <c r="AB32" i="55"/>
  <c r="AS31" i="55"/>
  <c r="AG31" i="55"/>
  <c r="AC31" i="55"/>
  <c r="AB31" i="55"/>
  <c r="AS30" i="55"/>
  <c r="AG30" i="55"/>
  <c r="AC30" i="55"/>
  <c r="AB30" i="55"/>
  <c r="AS29" i="55"/>
  <c r="AG29" i="55"/>
  <c r="AC29" i="55"/>
  <c r="AB29" i="55"/>
  <c r="AS28" i="55"/>
  <c r="AG28" i="55"/>
  <c r="AC28" i="55"/>
  <c r="AB28" i="55"/>
  <c r="AS27" i="55"/>
  <c r="AG27" i="55"/>
  <c r="AC27" i="55"/>
  <c r="AB27" i="55"/>
  <c r="AS26" i="55"/>
  <c r="AG26" i="55"/>
  <c r="AC26" i="55"/>
  <c r="AB26" i="55"/>
  <c r="AS25" i="55"/>
  <c r="AG25" i="55"/>
  <c r="AC25" i="55"/>
  <c r="AB25" i="55"/>
  <c r="AS24" i="55"/>
  <c r="AG24" i="55"/>
  <c r="AC24" i="55"/>
  <c r="AB24" i="55"/>
  <c r="AS23" i="55"/>
  <c r="AG23" i="55"/>
  <c r="AC23" i="55"/>
  <c r="AB23" i="55"/>
  <c r="AS22" i="55"/>
  <c r="AG22" i="55"/>
  <c r="AC22" i="55"/>
  <c r="AB22" i="55"/>
  <c r="AS21" i="55"/>
  <c r="AG21" i="55"/>
  <c r="AC21" i="55"/>
  <c r="AB21" i="55"/>
  <c r="AS20" i="55"/>
  <c r="AG20" i="55"/>
  <c r="AC20" i="55"/>
  <c r="AB20" i="55"/>
  <c r="AS19" i="55"/>
  <c r="AG19" i="55"/>
  <c r="AC19" i="55"/>
  <c r="AB19" i="55"/>
  <c r="AS18" i="55"/>
  <c r="AG18" i="55"/>
  <c r="AC18" i="55"/>
  <c r="AB18" i="55"/>
  <c r="AS17" i="55"/>
  <c r="AG17" i="55"/>
  <c r="AC17" i="55"/>
  <c r="AB17" i="55"/>
  <c r="AS16" i="55"/>
  <c r="AG16" i="55"/>
  <c r="AC16" i="55"/>
  <c r="AB16" i="55"/>
  <c r="R15" i="55"/>
  <c r="N50" i="55" s="1"/>
  <c r="AK10" i="55"/>
  <c r="AN16" i="55" s="1"/>
  <c r="AN17" i="55" s="1"/>
  <c r="AK9" i="55"/>
  <c r="AR16" i="55" s="1"/>
  <c r="AR17" i="55" s="1"/>
  <c r="AR18" i="55" s="1"/>
  <c r="AR19" i="55" s="1"/>
  <c r="AR20" i="55" s="1"/>
  <c r="AR21" i="55" s="1"/>
  <c r="AR22" i="55" s="1"/>
  <c r="AR23" i="55" s="1"/>
  <c r="AR24" i="55" s="1"/>
  <c r="AR25" i="55" s="1"/>
  <c r="AR26" i="55" s="1"/>
  <c r="AR27" i="55" s="1"/>
  <c r="AR28" i="55" s="1"/>
  <c r="AR29" i="55" s="1"/>
  <c r="AR30" i="55" s="1"/>
  <c r="AR31" i="55" s="1"/>
  <c r="AR32" i="55" s="1"/>
  <c r="AR33" i="55" s="1"/>
  <c r="AR34" i="55" s="1"/>
  <c r="AR35" i="55" s="1"/>
  <c r="AR36" i="55" s="1"/>
  <c r="AR37" i="55" s="1"/>
  <c r="AR38" i="55" s="1"/>
  <c r="AR39" i="55" s="1"/>
  <c r="AK7" i="55"/>
  <c r="AL16" i="55" s="1"/>
  <c r="AL17" i="55" s="1"/>
  <c r="AL18" i="55" s="1"/>
  <c r="AL19" i="55" s="1"/>
  <c r="AL20" i="55" s="1"/>
  <c r="AL21" i="55" s="1"/>
  <c r="AL22" i="55" s="1"/>
  <c r="AL23" i="55" s="1"/>
  <c r="AL24" i="55" s="1"/>
  <c r="AL25" i="55" s="1"/>
  <c r="AL26" i="55" s="1"/>
  <c r="AL27" i="55" s="1"/>
  <c r="AL28" i="55" s="1"/>
  <c r="AL29" i="55" s="1"/>
  <c r="AL30" i="55" s="1"/>
  <c r="AL31" i="55" s="1"/>
  <c r="AL32" i="55" s="1"/>
  <c r="AL33" i="55" s="1"/>
  <c r="AL34" i="55" s="1"/>
  <c r="AL35" i="55" s="1"/>
  <c r="AL36" i="55" s="1"/>
  <c r="AL37" i="55" s="1"/>
  <c r="AL38" i="55" s="1"/>
  <c r="AL39" i="55" s="1"/>
  <c r="AK6" i="55"/>
  <c r="AK16" i="55" s="1"/>
  <c r="AK17" i="55" s="1"/>
  <c r="AK18" i="55" s="1"/>
  <c r="AK19" i="55" s="1"/>
  <c r="AK20" i="55" s="1"/>
  <c r="AK21" i="55" s="1"/>
  <c r="AK22" i="55" s="1"/>
  <c r="AK23" i="55" s="1"/>
  <c r="AK24" i="55" s="1"/>
  <c r="AK25" i="55" s="1"/>
  <c r="AK26" i="55" s="1"/>
  <c r="AK27" i="55" s="1"/>
  <c r="AK28" i="55" s="1"/>
  <c r="AK29" i="55" s="1"/>
  <c r="AK30" i="55" s="1"/>
  <c r="AK31" i="55" s="1"/>
  <c r="AK32" i="55" s="1"/>
  <c r="AK33" i="55" s="1"/>
  <c r="AK34" i="55" s="1"/>
  <c r="AK35" i="55" s="1"/>
  <c r="AK36" i="55" s="1"/>
  <c r="AK37" i="55" s="1"/>
  <c r="AK38" i="55" s="1"/>
  <c r="AK39" i="55" s="1"/>
  <c r="AK5" i="55"/>
  <c r="AJ16" i="55" s="1"/>
  <c r="L50" i="54"/>
  <c r="P53" i="54"/>
  <c r="Q43" i="54"/>
  <c r="P43" i="54"/>
  <c r="O43" i="54"/>
  <c r="N43" i="54"/>
  <c r="M43" i="54"/>
  <c r="L43" i="54"/>
  <c r="H43" i="54"/>
  <c r="G43" i="54"/>
  <c r="F43" i="54"/>
  <c r="E43" i="54"/>
  <c r="D43" i="54"/>
  <c r="C43" i="54"/>
  <c r="B43" i="54"/>
  <c r="R42" i="54"/>
  <c r="BV36" i="32" s="1"/>
  <c r="Q42" i="54"/>
  <c r="BS36" i="32" s="1"/>
  <c r="P42" i="54"/>
  <c r="BP36" i="32" s="1"/>
  <c r="O42" i="54"/>
  <c r="BM36" i="32" s="1"/>
  <c r="N42" i="54"/>
  <c r="BJ36" i="32" s="1"/>
  <c r="M42" i="54"/>
  <c r="BG36" i="32" s="1"/>
  <c r="L42" i="54"/>
  <c r="BD36" i="32" s="1"/>
  <c r="K42" i="54"/>
  <c r="AZ36" i="32" s="1"/>
  <c r="J42" i="54"/>
  <c r="J44" i="54" s="1"/>
  <c r="I42" i="54"/>
  <c r="AW36" i="32" s="1"/>
  <c r="H42" i="54"/>
  <c r="AT36" i="32" s="1"/>
  <c r="G42" i="54"/>
  <c r="AQ36" i="32" s="1"/>
  <c r="F42" i="54"/>
  <c r="AN36" i="32" s="1"/>
  <c r="AK36" i="32"/>
  <c r="AH36" i="32"/>
  <c r="AD36" i="32"/>
  <c r="AA36" i="32"/>
  <c r="R41" i="54"/>
  <c r="BU36" i="32" s="1"/>
  <c r="Q41" i="54"/>
  <c r="BR36" i="32" s="1"/>
  <c r="P41" i="54"/>
  <c r="BO36" i="32" s="1"/>
  <c r="O41" i="54"/>
  <c r="BL36" i="32" s="1"/>
  <c r="N41" i="54"/>
  <c r="BI36" i="32" s="1"/>
  <c r="M41" i="54"/>
  <c r="BF36" i="32" s="1"/>
  <c r="L41" i="54"/>
  <c r="BC36" i="32" s="1"/>
  <c r="K41" i="54"/>
  <c r="AY36" i="32" s="1"/>
  <c r="I41" i="54"/>
  <c r="AV36" i="32" s="1"/>
  <c r="H41" i="54"/>
  <c r="AS36" i="32" s="1"/>
  <c r="G41" i="54"/>
  <c r="AP36" i="32" s="1"/>
  <c r="F41" i="54"/>
  <c r="AM36" i="32" s="1"/>
  <c r="AJ36" i="32"/>
  <c r="AG36" i="32"/>
  <c r="AC36" i="32"/>
  <c r="Z36" i="32"/>
  <c r="R40" i="54"/>
  <c r="M50" i="54" s="1"/>
  <c r="L33" i="32" s="1"/>
  <c r="Q44" i="54"/>
  <c r="BT36" i="32" s="1"/>
  <c r="P40" i="54"/>
  <c r="O47" i="54" s="1"/>
  <c r="V19" i="39" s="1"/>
  <c r="O40" i="54"/>
  <c r="O46" i="54" s="1"/>
  <c r="U19" i="39" s="1"/>
  <c r="N40" i="54"/>
  <c r="M40" i="54"/>
  <c r="BH36" i="32" s="1"/>
  <c r="L40" i="54"/>
  <c r="BE36" i="32" s="1"/>
  <c r="BA36" i="32"/>
  <c r="I40" i="54"/>
  <c r="AX36" i="32" s="1"/>
  <c r="H40" i="54"/>
  <c r="AU36" i="32" s="1"/>
  <c r="G40" i="54"/>
  <c r="AR36" i="32" s="1"/>
  <c r="F40" i="54"/>
  <c r="AS39" i="54"/>
  <c r="AG39" i="54"/>
  <c r="AC39" i="54"/>
  <c r="AB39" i="54"/>
  <c r="AS38" i="54"/>
  <c r="AG38" i="54"/>
  <c r="AC38" i="54"/>
  <c r="AB38" i="54"/>
  <c r="AS37" i="54"/>
  <c r="AG37" i="54"/>
  <c r="AC37" i="54"/>
  <c r="AB37" i="54"/>
  <c r="AS36" i="54"/>
  <c r="AG36" i="54"/>
  <c r="AC36" i="54"/>
  <c r="AB36" i="54"/>
  <c r="AS35" i="54"/>
  <c r="AG35" i="54"/>
  <c r="AC35" i="54"/>
  <c r="AB35" i="54"/>
  <c r="AS34" i="54"/>
  <c r="AG34" i="54"/>
  <c r="AC34" i="54"/>
  <c r="AB34" i="54"/>
  <c r="AS33" i="54"/>
  <c r="AG33" i="54"/>
  <c r="AC33" i="54"/>
  <c r="AB33" i="54"/>
  <c r="AS32" i="54"/>
  <c r="AG32" i="54"/>
  <c r="AC32" i="54"/>
  <c r="AB32" i="54"/>
  <c r="AS31" i="54"/>
  <c r="AG31" i="54"/>
  <c r="AC31" i="54"/>
  <c r="AB31" i="54"/>
  <c r="AS30" i="54"/>
  <c r="AG30" i="54"/>
  <c r="AC30" i="54"/>
  <c r="AB30" i="54"/>
  <c r="AS29" i="54"/>
  <c r="AG29" i="54"/>
  <c r="AC29" i="54"/>
  <c r="AB29" i="54"/>
  <c r="AS28" i="54"/>
  <c r="AG28" i="54"/>
  <c r="AC28" i="54"/>
  <c r="AB28" i="54"/>
  <c r="AS27" i="54"/>
  <c r="AG27" i="54"/>
  <c r="AC27" i="54"/>
  <c r="AB27" i="54"/>
  <c r="AS26" i="54"/>
  <c r="AG26" i="54"/>
  <c r="AC26" i="54"/>
  <c r="AB26" i="54"/>
  <c r="AS25" i="54"/>
  <c r="AG25" i="54"/>
  <c r="AC25" i="54"/>
  <c r="AB25" i="54"/>
  <c r="AS24" i="54"/>
  <c r="AG24" i="54"/>
  <c r="AC24" i="54"/>
  <c r="AB24" i="54"/>
  <c r="AS23" i="54"/>
  <c r="AG23" i="54"/>
  <c r="AC23" i="54"/>
  <c r="AB23" i="54"/>
  <c r="AS22" i="54"/>
  <c r="AG22" i="54"/>
  <c r="AC22" i="54"/>
  <c r="AB22" i="54"/>
  <c r="AS21" i="54"/>
  <c r="AG21" i="54"/>
  <c r="AC21" i="54"/>
  <c r="AB21" i="54"/>
  <c r="AS20" i="54"/>
  <c r="AG20" i="54"/>
  <c r="AC20" i="54"/>
  <c r="AB20" i="54"/>
  <c r="AS19" i="54"/>
  <c r="AG19" i="54"/>
  <c r="AC19" i="54"/>
  <c r="AB19" i="54"/>
  <c r="AS18" i="54"/>
  <c r="AG18" i="54"/>
  <c r="AC18" i="54"/>
  <c r="AB18" i="54"/>
  <c r="AS17" i="54"/>
  <c r="AG17" i="54"/>
  <c r="AC17" i="54"/>
  <c r="AB17" i="54"/>
  <c r="AS16" i="54"/>
  <c r="AG16" i="54"/>
  <c r="AC16" i="54"/>
  <c r="AB16" i="54"/>
  <c r="R15" i="54"/>
  <c r="N50" i="54" s="1"/>
  <c r="AK10" i="54"/>
  <c r="AN16" i="54" s="1"/>
  <c r="AN17" i="54" s="1"/>
  <c r="AK9" i="54"/>
  <c r="AR16" i="54" s="1"/>
  <c r="AR17" i="54" s="1"/>
  <c r="AR18" i="54" s="1"/>
  <c r="AR19" i="54" s="1"/>
  <c r="AR20" i="54" s="1"/>
  <c r="AR21" i="54" s="1"/>
  <c r="AR22" i="54" s="1"/>
  <c r="AR23" i="54" s="1"/>
  <c r="AR24" i="54" s="1"/>
  <c r="AR25" i="54" s="1"/>
  <c r="AR26" i="54" s="1"/>
  <c r="AR27" i="54" s="1"/>
  <c r="AR28" i="54" s="1"/>
  <c r="AR29" i="54" s="1"/>
  <c r="AR30" i="54" s="1"/>
  <c r="AR31" i="54" s="1"/>
  <c r="AR32" i="54" s="1"/>
  <c r="AR33" i="54" s="1"/>
  <c r="AR34" i="54" s="1"/>
  <c r="AR35" i="54" s="1"/>
  <c r="AR36" i="54" s="1"/>
  <c r="AR37" i="54" s="1"/>
  <c r="AR38" i="54" s="1"/>
  <c r="AR39" i="54" s="1"/>
  <c r="AK7" i="54"/>
  <c r="AL16" i="54" s="1"/>
  <c r="AL17" i="54" s="1"/>
  <c r="AL18" i="54" s="1"/>
  <c r="AL19" i="54" s="1"/>
  <c r="AL20" i="54" s="1"/>
  <c r="AL21" i="54" s="1"/>
  <c r="AL22" i="54" s="1"/>
  <c r="AL23" i="54" s="1"/>
  <c r="AL24" i="54" s="1"/>
  <c r="AL25" i="54" s="1"/>
  <c r="AL26" i="54" s="1"/>
  <c r="AL27" i="54" s="1"/>
  <c r="AL28" i="54" s="1"/>
  <c r="AL29" i="54" s="1"/>
  <c r="AL30" i="54" s="1"/>
  <c r="AL31" i="54" s="1"/>
  <c r="AL32" i="54" s="1"/>
  <c r="AL33" i="54" s="1"/>
  <c r="AL34" i="54" s="1"/>
  <c r="AL35" i="54" s="1"/>
  <c r="AL36" i="54" s="1"/>
  <c r="AL37" i="54" s="1"/>
  <c r="AL38" i="54" s="1"/>
  <c r="AL39" i="54" s="1"/>
  <c r="AK6" i="54"/>
  <c r="AK16" i="54" s="1"/>
  <c r="AK17" i="54" s="1"/>
  <c r="AK18" i="54" s="1"/>
  <c r="AK19" i="54" s="1"/>
  <c r="AK20" i="54" s="1"/>
  <c r="AK21" i="54" s="1"/>
  <c r="AK22" i="54" s="1"/>
  <c r="AK23" i="54" s="1"/>
  <c r="AK24" i="54" s="1"/>
  <c r="AK25" i="54" s="1"/>
  <c r="AK26" i="54" s="1"/>
  <c r="AK27" i="54" s="1"/>
  <c r="AK28" i="54" s="1"/>
  <c r="AK29" i="54" s="1"/>
  <c r="AK30" i="54" s="1"/>
  <c r="AK31" i="54" s="1"/>
  <c r="AK32" i="54" s="1"/>
  <c r="AK33" i="54" s="1"/>
  <c r="AK34" i="54" s="1"/>
  <c r="AK35" i="54" s="1"/>
  <c r="AK36" i="54" s="1"/>
  <c r="AK37" i="54" s="1"/>
  <c r="AK38" i="54" s="1"/>
  <c r="AK39" i="54" s="1"/>
  <c r="AK5" i="54"/>
  <c r="AJ16" i="54" s="1"/>
  <c r="L50" i="53"/>
  <c r="P53" i="53"/>
  <c r="Q43" i="53"/>
  <c r="P43" i="53"/>
  <c r="O43" i="53"/>
  <c r="N43" i="53"/>
  <c r="M43" i="53"/>
  <c r="L43" i="53"/>
  <c r="H43" i="53"/>
  <c r="G43" i="53"/>
  <c r="F43" i="53"/>
  <c r="E43" i="53"/>
  <c r="D43" i="53"/>
  <c r="C43" i="53"/>
  <c r="B43" i="53"/>
  <c r="R42" i="53"/>
  <c r="BV32" i="32" s="1"/>
  <c r="Q42" i="53"/>
  <c r="BS32" i="32" s="1"/>
  <c r="P42" i="53"/>
  <c r="BP32" i="32" s="1"/>
  <c r="O42" i="53"/>
  <c r="BM32" i="32" s="1"/>
  <c r="N42" i="53"/>
  <c r="BJ32" i="32" s="1"/>
  <c r="M42" i="53"/>
  <c r="BG32" i="32" s="1"/>
  <c r="L42" i="53"/>
  <c r="BD32" i="32" s="1"/>
  <c r="K42" i="53"/>
  <c r="AZ32" i="32" s="1"/>
  <c r="J42" i="53"/>
  <c r="J44" i="53" s="1"/>
  <c r="I42" i="53"/>
  <c r="AW32" i="32" s="1"/>
  <c r="H42" i="53"/>
  <c r="AT32" i="32" s="1"/>
  <c r="G42" i="53"/>
  <c r="AQ32" i="32" s="1"/>
  <c r="F42" i="53"/>
  <c r="AN32" i="32" s="1"/>
  <c r="AK32" i="32"/>
  <c r="AH32" i="32"/>
  <c r="AD32" i="32"/>
  <c r="AA32" i="32"/>
  <c r="R41" i="53"/>
  <c r="BU32" i="32" s="1"/>
  <c r="Q41" i="53"/>
  <c r="BR32" i="32" s="1"/>
  <c r="P41" i="53"/>
  <c r="BO32" i="32" s="1"/>
  <c r="O41" i="53"/>
  <c r="BL32" i="32" s="1"/>
  <c r="N41" i="53"/>
  <c r="BI32" i="32" s="1"/>
  <c r="M41" i="53"/>
  <c r="BF32" i="32" s="1"/>
  <c r="L41" i="53"/>
  <c r="BC32" i="32" s="1"/>
  <c r="K41" i="53"/>
  <c r="AY32" i="32" s="1"/>
  <c r="I41" i="53"/>
  <c r="AV32" i="32" s="1"/>
  <c r="H41" i="53"/>
  <c r="AS32" i="32" s="1"/>
  <c r="G41" i="53"/>
  <c r="AP32" i="32" s="1"/>
  <c r="F41" i="53"/>
  <c r="AM32" i="32" s="1"/>
  <c r="AJ32" i="32"/>
  <c r="AG32" i="32"/>
  <c r="AC32" i="32"/>
  <c r="Z32" i="32"/>
  <c r="R40" i="53"/>
  <c r="M50" i="53" s="1"/>
  <c r="L32" i="32" s="1"/>
  <c r="Q44" i="53"/>
  <c r="BT32" i="32" s="1"/>
  <c r="P40" i="53"/>
  <c r="O47" i="53" s="1"/>
  <c r="V18" i="39" s="1"/>
  <c r="O40" i="53"/>
  <c r="O46" i="53" s="1"/>
  <c r="U18" i="39" s="1"/>
  <c r="N40" i="53"/>
  <c r="M40" i="53"/>
  <c r="BH32" i="32" s="1"/>
  <c r="L40" i="53"/>
  <c r="BE32" i="32" s="1"/>
  <c r="BA32" i="32"/>
  <c r="I40" i="53"/>
  <c r="AX32" i="32" s="1"/>
  <c r="H40" i="53"/>
  <c r="AU32" i="32" s="1"/>
  <c r="G40" i="53"/>
  <c r="AR32" i="32" s="1"/>
  <c r="F40" i="53"/>
  <c r="AS39" i="53"/>
  <c r="AG39" i="53"/>
  <c r="AC39" i="53"/>
  <c r="AB39" i="53"/>
  <c r="AS38" i="53"/>
  <c r="AG38" i="53"/>
  <c r="AC38" i="53"/>
  <c r="AB38" i="53"/>
  <c r="AS37" i="53"/>
  <c r="AG37" i="53"/>
  <c r="AC37" i="53"/>
  <c r="AB37" i="53"/>
  <c r="AS36" i="53"/>
  <c r="AG36" i="53"/>
  <c r="AC36" i="53"/>
  <c r="AB36" i="53"/>
  <c r="AS35" i="53"/>
  <c r="AG35" i="53"/>
  <c r="AC35" i="53"/>
  <c r="AB35" i="53"/>
  <c r="AS34" i="53"/>
  <c r="AG34" i="53"/>
  <c r="AC34" i="53"/>
  <c r="AB34" i="53"/>
  <c r="AS33" i="53"/>
  <c r="AG33" i="53"/>
  <c r="AC33" i="53"/>
  <c r="AB33" i="53"/>
  <c r="AS32" i="53"/>
  <c r="AG32" i="53"/>
  <c r="AC32" i="53"/>
  <c r="AB32" i="53"/>
  <c r="AS31" i="53"/>
  <c r="AG31" i="53"/>
  <c r="AC31" i="53"/>
  <c r="AB31" i="53"/>
  <c r="AS30" i="53"/>
  <c r="AG30" i="53"/>
  <c r="AC30" i="53"/>
  <c r="AB30" i="53"/>
  <c r="AS29" i="53"/>
  <c r="AG29" i="53"/>
  <c r="AC29" i="53"/>
  <c r="AB29" i="53"/>
  <c r="AS28" i="53"/>
  <c r="AG28" i="53"/>
  <c r="AC28" i="53"/>
  <c r="AB28" i="53"/>
  <c r="AS27" i="53"/>
  <c r="AG27" i="53"/>
  <c r="AC27" i="53"/>
  <c r="AB27" i="53"/>
  <c r="AS26" i="53"/>
  <c r="AG26" i="53"/>
  <c r="AC26" i="53"/>
  <c r="AB26" i="53"/>
  <c r="AS25" i="53"/>
  <c r="AG25" i="53"/>
  <c r="AC25" i="53"/>
  <c r="AB25" i="53"/>
  <c r="AS24" i="53"/>
  <c r="AG24" i="53"/>
  <c r="AC24" i="53"/>
  <c r="AB24" i="53"/>
  <c r="AS23" i="53"/>
  <c r="AG23" i="53"/>
  <c r="AC23" i="53"/>
  <c r="AB23" i="53"/>
  <c r="AS22" i="53"/>
  <c r="AG22" i="53"/>
  <c r="AC22" i="53"/>
  <c r="AB22" i="53"/>
  <c r="AS21" i="53"/>
  <c r="AG21" i="53"/>
  <c r="AC21" i="53"/>
  <c r="AB21" i="53"/>
  <c r="AS20" i="53"/>
  <c r="AG20" i="53"/>
  <c r="AC20" i="53"/>
  <c r="AB20" i="53"/>
  <c r="AS19" i="53"/>
  <c r="AG19" i="53"/>
  <c r="AC19" i="53"/>
  <c r="AB19" i="53"/>
  <c r="AS18" i="53"/>
  <c r="AG18" i="53"/>
  <c r="AC18" i="53"/>
  <c r="AB18" i="53"/>
  <c r="AS17" i="53"/>
  <c r="AG17" i="53"/>
  <c r="AC17" i="53"/>
  <c r="AB17" i="53"/>
  <c r="AS16" i="53"/>
  <c r="AG16" i="53"/>
  <c r="AC16" i="53"/>
  <c r="AB16" i="53"/>
  <c r="R15" i="53"/>
  <c r="N50" i="53" s="1"/>
  <c r="AK10" i="53"/>
  <c r="AN16" i="53" s="1"/>
  <c r="AK9" i="53"/>
  <c r="AR16" i="53" s="1"/>
  <c r="AR17" i="53" s="1"/>
  <c r="AR18" i="53" s="1"/>
  <c r="AR19" i="53" s="1"/>
  <c r="AR20" i="53" s="1"/>
  <c r="AR21" i="53" s="1"/>
  <c r="AR22" i="53" s="1"/>
  <c r="AR23" i="53" s="1"/>
  <c r="AR24" i="53" s="1"/>
  <c r="AR25" i="53" s="1"/>
  <c r="AR26" i="53" s="1"/>
  <c r="AR27" i="53" s="1"/>
  <c r="AR28" i="53" s="1"/>
  <c r="AR29" i="53" s="1"/>
  <c r="AR30" i="53" s="1"/>
  <c r="AR31" i="53" s="1"/>
  <c r="AR32" i="53" s="1"/>
  <c r="AR33" i="53" s="1"/>
  <c r="AR34" i="53" s="1"/>
  <c r="AR35" i="53" s="1"/>
  <c r="AR36" i="53" s="1"/>
  <c r="AR37" i="53" s="1"/>
  <c r="AR38" i="53" s="1"/>
  <c r="AR39" i="53" s="1"/>
  <c r="AK7" i="53"/>
  <c r="AL16" i="53" s="1"/>
  <c r="AL17" i="53" s="1"/>
  <c r="AL18" i="53" s="1"/>
  <c r="AL19" i="53" s="1"/>
  <c r="AL20" i="53" s="1"/>
  <c r="AL21" i="53" s="1"/>
  <c r="AL22" i="53" s="1"/>
  <c r="AL23" i="53" s="1"/>
  <c r="AL24" i="53" s="1"/>
  <c r="AL25" i="53" s="1"/>
  <c r="AL26" i="53" s="1"/>
  <c r="AL27" i="53" s="1"/>
  <c r="AL28" i="53" s="1"/>
  <c r="AL29" i="53" s="1"/>
  <c r="AL30" i="53" s="1"/>
  <c r="AL31" i="53" s="1"/>
  <c r="AL32" i="53" s="1"/>
  <c r="AL33" i="53" s="1"/>
  <c r="AL34" i="53" s="1"/>
  <c r="AL35" i="53" s="1"/>
  <c r="AL36" i="53" s="1"/>
  <c r="AL37" i="53" s="1"/>
  <c r="AL38" i="53" s="1"/>
  <c r="AL39" i="53" s="1"/>
  <c r="AK6" i="53"/>
  <c r="AK16" i="53" s="1"/>
  <c r="AK17" i="53" s="1"/>
  <c r="AK18" i="53" s="1"/>
  <c r="AK19" i="53" s="1"/>
  <c r="AK20" i="53" s="1"/>
  <c r="AK21" i="53" s="1"/>
  <c r="AK22" i="53" s="1"/>
  <c r="AK23" i="53" s="1"/>
  <c r="AK24" i="53" s="1"/>
  <c r="AK25" i="53" s="1"/>
  <c r="AK26" i="53" s="1"/>
  <c r="AK27" i="53" s="1"/>
  <c r="AK28" i="53" s="1"/>
  <c r="AK29" i="53" s="1"/>
  <c r="AK30" i="53" s="1"/>
  <c r="AK31" i="53" s="1"/>
  <c r="AK32" i="53" s="1"/>
  <c r="AK33" i="53" s="1"/>
  <c r="AK34" i="53" s="1"/>
  <c r="AK35" i="53" s="1"/>
  <c r="AK36" i="53" s="1"/>
  <c r="AK37" i="53" s="1"/>
  <c r="AK38" i="53" s="1"/>
  <c r="AK39" i="53" s="1"/>
  <c r="AK5" i="53"/>
  <c r="AJ16" i="53" s="1"/>
  <c r="L50" i="52"/>
  <c r="P53" i="52"/>
  <c r="Q43" i="52"/>
  <c r="P43" i="52"/>
  <c r="O43" i="52"/>
  <c r="N43" i="52"/>
  <c r="M43" i="52"/>
  <c r="L43" i="52"/>
  <c r="H43" i="52"/>
  <c r="G43" i="52"/>
  <c r="F43" i="52"/>
  <c r="E43" i="52"/>
  <c r="D43" i="52"/>
  <c r="C43" i="52"/>
  <c r="B43" i="52"/>
  <c r="R42" i="52"/>
  <c r="BV31" i="32" s="1"/>
  <c r="Q42" i="52"/>
  <c r="BS31" i="32" s="1"/>
  <c r="P42" i="52"/>
  <c r="BP31" i="32" s="1"/>
  <c r="O42" i="52"/>
  <c r="BM31" i="32" s="1"/>
  <c r="N42" i="52"/>
  <c r="BJ31" i="32" s="1"/>
  <c r="M42" i="52"/>
  <c r="BG31" i="32" s="1"/>
  <c r="L42" i="52"/>
  <c r="BD31" i="32" s="1"/>
  <c r="K42" i="52"/>
  <c r="AZ31" i="32" s="1"/>
  <c r="J42" i="52"/>
  <c r="J44" i="52" s="1"/>
  <c r="I42" i="52"/>
  <c r="AW31" i="32" s="1"/>
  <c r="H42" i="52"/>
  <c r="AT31" i="32" s="1"/>
  <c r="G42" i="52"/>
  <c r="AQ31" i="32" s="1"/>
  <c r="F42" i="52"/>
  <c r="AN31" i="32" s="1"/>
  <c r="AK31" i="32"/>
  <c r="AH31" i="32"/>
  <c r="AD31" i="32"/>
  <c r="AA31" i="32"/>
  <c r="R41" i="52"/>
  <c r="BU31" i="32" s="1"/>
  <c r="Q41" i="52"/>
  <c r="BR31" i="32" s="1"/>
  <c r="P41" i="52"/>
  <c r="BO31" i="32" s="1"/>
  <c r="O41" i="52"/>
  <c r="BL31" i="32" s="1"/>
  <c r="N41" i="52"/>
  <c r="BI31" i="32" s="1"/>
  <c r="M41" i="52"/>
  <c r="BF31" i="32" s="1"/>
  <c r="L41" i="52"/>
  <c r="BC31" i="32" s="1"/>
  <c r="K41" i="52"/>
  <c r="AY31" i="32" s="1"/>
  <c r="I41" i="52"/>
  <c r="AV31" i="32" s="1"/>
  <c r="H41" i="52"/>
  <c r="AS31" i="32" s="1"/>
  <c r="G41" i="52"/>
  <c r="AP31" i="32" s="1"/>
  <c r="F41" i="52"/>
  <c r="AM31" i="32" s="1"/>
  <c r="AJ31" i="32"/>
  <c r="AG31" i="32"/>
  <c r="AC31" i="32"/>
  <c r="Z31" i="32"/>
  <c r="R40" i="52"/>
  <c r="M50" i="52" s="1"/>
  <c r="L31" i="32" s="1"/>
  <c r="Q44" i="52"/>
  <c r="BT31" i="32" s="1"/>
  <c r="P40" i="52"/>
  <c r="O47" i="52" s="1"/>
  <c r="V17" i="39" s="1"/>
  <c r="O40" i="52"/>
  <c r="O46" i="52" s="1"/>
  <c r="U17" i="39" s="1"/>
  <c r="N40" i="52"/>
  <c r="M40" i="52"/>
  <c r="BH31" i="32" s="1"/>
  <c r="L40" i="52"/>
  <c r="BE31" i="32" s="1"/>
  <c r="BA31" i="32"/>
  <c r="I40" i="52"/>
  <c r="AX31" i="32" s="1"/>
  <c r="H40" i="52"/>
  <c r="AU31" i="32" s="1"/>
  <c r="G40" i="52"/>
  <c r="AR31" i="32" s="1"/>
  <c r="F40" i="52"/>
  <c r="AS39" i="52"/>
  <c r="AG39" i="52"/>
  <c r="AC39" i="52"/>
  <c r="AB39" i="52"/>
  <c r="AS38" i="52"/>
  <c r="AG38" i="52"/>
  <c r="AC38" i="52"/>
  <c r="AB38" i="52"/>
  <c r="AS37" i="52"/>
  <c r="AG37" i="52"/>
  <c r="AC37" i="52"/>
  <c r="AB37" i="52"/>
  <c r="AS36" i="52"/>
  <c r="AG36" i="52"/>
  <c r="AC36" i="52"/>
  <c r="AB36" i="52"/>
  <c r="AS35" i="52"/>
  <c r="AG35" i="52"/>
  <c r="AC35" i="52"/>
  <c r="AB35" i="52"/>
  <c r="AS34" i="52"/>
  <c r="AG34" i="52"/>
  <c r="AC34" i="52"/>
  <c r="AB34" i="52"/>
  <c r="AS33" i="52"/>
  <c r="AG33" i="52"/>
  <c r="AC33" i="52"/>
  <c r="AB33" i="52"/>
  <c r="AS32" i="52"/>
  <c r="AG32" i="52"/>
  <c r="AC32" i="52"/>
  <c r="AB32" i="52"/>
  <c r="AS31" i="52"/>
  <c r="AG31" i="52"/>
  <c r="AC31" i="52"/>
  <c r="AB31" i="52"/>
  <c r="AS30" i="52"/>
  <c r="AG30" i="52"/>
  <c r="AC30" i="52"/>
  <c r="AB30" i="52"/>
  <c r="AS29" i="52"/>
  <c r="AG29" i="52"/>
  <c r="AC29" i="52"/>
  <c r="AB29" i="52"/>
  <c r="AS28" i="52"/>
  <c r="AG28" i="52"/>
  <c r="AC28" i="52"/>
  <c r="AB28" i="52"/>
  <c r="AS27" i="52"/>
  <c r="AG27" i="52"/>
  <c r="AC27" i="52"/>
  <c r="AB27" i="52"/>
  <c r="AS26" i="52"/>
  <c r="AG26" i="52"/>
  <c r="AC26" i="52"/>
  <c r="AB26" i="52"/>
  <c r="AS25" i="52"/>
  <c r="AG25" i="52"/>
  <c r="AC25" i="52"/>
  <c r="AB25" i="52"/>
  <c r="AS24" i="52"/>
  <c r="AG24" i="52"/>
  <c r="AC24" i="52"/>
  <c r="AB24" i="52"/>
  <c r="AS23" i="52"/>
  <c r="AG23" i="52"/>
  <c r="AC23" i="52"/>
  <c r="AB23" i="52"/>
  <c r="AS22" i="52"/>
  <c r="AG22" i="52"/>
  <c r="AC22" i="52"/>
  <c r="AB22" i="52"/>
  <c r="AS21" i="52"/>
  <c r="AG21" i="52"/>
  <c r="AC21" i="52"/>
  <c r="AB21" i="52"/>
  <c r="AS20" i="52"/>
  <c r="AG20" i="52"/>
  <c r="AC20" i="52"/>
  <c r="AB20" i="52"/>
  <c r="AS19" i="52"/>
  <c r="AG19" i="52"/>
  <c r="AC19" i="52"/>
  <c r="AB19" i="52"/>
  <c r="AS18" i="52"/>
  <c r="AG18" i="52"/>
  <c r="AC18" i="52"/>
  <c r="AB18" i="52"/>
  <c r="AS17" i="52"/>
  <c r="AG17" i="52"/>
  <c r="AC17" i="52"/>
  <c r="AB17" i="52"/>
  <c r="AS16" i="52"/>
  <c r="AG16" i="52"/>
  <c r="AC16" i="52"/>
  <c r="AB16" i="52"/>
  <c r="R15" i="52"/>
  <c r="N50" i="52" s="1"/>
  <c r="AK10" i="52"/>
  <c r="AN16" i="52" s="1"/>
  <c r="AN17" i="52" s="1"/>
  <c r="AK9" i="52"/>
  <c r="AR16" i="52" s="1"/>
  <c r="AR17" i="52" s="1"/>
  <c r="AR18" i="52" s="1"/>
  <c r="AR19" i="52" s="1"/>
  <c r="AR20" i="52" s="1"/>
  <c r="AR21" i="52" s="1"/>
  <c r="AR22" i="52" s="1"/>
  <c r="AR23" i="52" s="1"/>
  <c r="AR24" i="52" s="1"/>
  <c r="AR25" i="52" s="1"/>
  <c r="AR26" i="52" s="1"/>
  <c r="AR27" i="52" s="1"/>
  <c r="AR28" i="52" s="1"/>
  <c r="AR29" i="52" s="1"/>
  <c r="AR30" i="52" s="1"/>
  <c r="AR31" i="52" s="1"/>
  <c r="AR32" i="52" s="1"/>
  <c r="AR33" i="52" s="1"/>
  <c r="AR34" i="52" s="1"/>
  <c r="AR35" i="52" s="1"/>
  <c r="AR36" i="52" s="1"/>
  <c r="AR37" i="52" s="1"/>
  <c r="AR38" i="52" s="1"/>
  <c r="AR39" i="52" s="1"/>
  <c r="AK7" i="52"/>
  <c r="AL16" i="52" s="1"/>
  <c r="AL17" i="52" s="1"/>
  <c r="AL18" i="52" s="1"/>
  <c r="AL19" i="52" s="1"/>
  <c r="AL20" i="52" s="1"/>
  <c r="AL21" i="52" s="1"/>
  <c r="AL22" i="52" s="1"/>
  <c r="AL23" i="52" s="1"/>
  <c r="AL24" i="52" s="1"/>
  <c r="AL25" i="52" s="1"/>
  <c r="AL26" i="52" s="1"/>
  <c r="AL27" i="52" s="1"/>
  <c r="AL28" i="52" s="1"/>
  <c r="AL29" i="52" s="1"/>
  <c r="AL30" i="52" s="1"/>
  <c r="AL31" i="52" s="1"/>
  <c r="AL32" i="52" s="1"/>
  <c r="AL33" i="52" s="1"/>
  <c r="AL34" i="52" s="1"/>
  <c r="AL35" i="52" s="1"/>
  <c r="AL36" i="52" s="1"/>
  <c r="AL37" i="52" s="1"/>
  <c r="AL38" i="52" s="1"/>
  <c r="AL39" i="52" s="1"/>
  <c r="AK6" i="52"/>
  <c r="AK16" i="52" s="1"/>
  <c r="AK17" i="52" s="1"/>
  <c r="AK18" i="52" s="1"/>
  <c r="AK19" i="52" s="1"/>
  <c r="AK20" i="52" s="1"/>
  <c r="AK21" i="52" s="1"/>
  <c r="AK22" i="52" s="1"/>
  <c r="AK23" i="52" s="1"/>
  <c r="AK24" i="52" s="1"/>
  <c r="AK25" i="52" s="1"/>
  <c r="AK26" i="52" s="1"/>
  <c r="AK27" i="52" s="1"/>
  <c r="AK28" i="52" s="1"/>
  <c r="AK29" i="52" s="1"/>
  <c r="AK30" i="52" s="1"/>
  <c r="AK31" i="52" s="1"/>
  <c r="AK32" i="52" s="1"/>
  <c r="AK33" i="52" s="1"/>
  <c r="AK34" i="52" s="1"/>
  <c r="AK35" i="52" s="1"/>
  <c r="AK36" i="52" s="1"/>
  <c r="AK37" i="52" s="1"/>
  <c r="AK38" i="52" s="1"/>
  <c r="AK39" i="52" s="1"/>
  <c r="AK5" i="52"/>
  <c r="AJ16" i="52" s="1"/>
  <c r="L50" i="51"/>
  <c r="P53" i="51"/>
  <c r="Q43" i="51"/>
  <c r="P43" i="51"/>
  <c r="O43" i="51"/>
  <c r="N43" i="51"/>
  <c r="M43" i="51"/>
  <c r="L43" i="51"/>
  <c r="H43" i="51"/>
  <c r="G43" i="51"/>
  <c r="F43" i="51"/>
  <c r="E43" i="51"/>
  <c r="D43" i="51"/>
  <c r="C43" i="51"/>
  <c r="B43" i="51"/>
  <c r="R42" i="51"/>
  <c r="BV30" i="32" s="1"/>
  <c r="Q42" i="51"/>
  <c r="BS30" i="32" s="1"/>
  <c r="P42" i="51"/>
  <c r="BP30" i="32" s="1"/>
  <c r="O42" i="51"/>
  <c r="BM30" i="32" s="1"/>
  <c r="N42" i="51"/>
  <c r="BJ30" i="32" s="1"/>
  <c r="M42" i="51"/>
  <c r="BG30" i="32" s="1"/>
  <c r="L42" i="51"/>
  <c r="BD30" i="32" s="1"/>
  <c r="K42" i="51"/>
  <c r="AZ30" i="32" s="1"/>
  <c r="J42" i="51"/>
  <c r="J44" i="51" s="1"/>
  <c r="I42" i="51"/>
  <c r="AW30" i="32" s="1"/>
  <c r="H42" i="51"/>
  <c r="AT30" i="32" s="1"/>
  <c r="G42" i="51"/>
  <c r="AQ30" i="32" s="1"/>
  <c r="F42" i="51"/>
  <c r="AN30" i="32" s="1"/>
  <c r="AK30" i="32"/>
  <c r="AH30" i="32"/>
  <c r="AD30" i="32"/>
  <c r="AA30" i="32"/>
  <c r="R41" i="51"/>
  <c r="BU30" i="32" s="1"/>
  <c r="Q41" i="51"/>
  <c r="BR30" i="32" s="1"/>
  <c r="P41" i="51"/>
  <c r="BO30" i="32" s="1"/>
  <c r="O41" i="51"/>
  <c r="BL30" i="32" s="1"/>
  <c r="N41" i="51"/>
  <c r="BI30" i="32" s="1"/>
  <c r="M41" i="51"/>
  <c r="BF30" i="32" s="1"/>
  <c r="L41" i="51"/>
  <c r="BC30" i="32" s="1"/>
  <c r="K41" i="51"/>
  <c r="AY30" i="32" s="1"/>
  <c r="I41" i="51"/>
  <c r="AV30" i="32" s="1"/>
  <c r="H41" i="51"/>
  <c r="AS30" i="32" s="1"/>
  <c r="G41" i="51"/>
  <c r="AP30" i="32" s="1"/>
  <c r="F41" i="51"/>
  <c r="AM30" i="32" s="1"/>
  <c r="AJ30" i="32"/>
  <c r="AG30" i="32"/>
  <c r="AC30" i="32"/>
  <c r="Z30" i="32"/>
  <c r="R40" i="51"/>
  <c r="M50" i="51" s="1"/>
  <c r="L30" i="32" s="1"/>
  <c r="Q44" i="51"/>
  <c r="BT30" i="32" s="1"/>
  <c r="P40" i="51"/>
  <c r="O47" i="51" s="1"/>
  <c r="V16" i="39" s="1"/>
  <c r="O40" i="51"/>
  <c r="O46" i="51" s="1"/>
  <c r="U16" i="39" s="1"/>
  <c r="N40" i="51"/>
  <c r="M40" i="51"/>
  <c r="BH30" i="32" s="1"/>
  <c r="L40" i="51"/>
  <c r="BE30" i="32" s="1"/>
  <c r="BA30" i="32"/>
  <c r="I40" i="51"/>
  <c r="AX30" i="32" s="1"/>
  <c r="H40" i="51"/>
  <c r="AU30" i="32" s="1"/>
  <c r="G40" i="51"/>
  <c r="AR30" i="32" s="1"/>
  <c r="F40" i="51"/>
  <c r="AS39" i="51"/>
  <c r="AG39" i="51"/>
  <c r="AC39" i="51"/>
  <c r="AB39" i="51"/>
  <c r="AS38" i="51"/>
  <c r="AG38" i="51"/>
  <c r="AC38" i="51"/>
  <c r="AB38" i="51"/>
  <c r="AS37" i="51"/>
  <c r="AG37" i="51"/>
  <c r="AC37" i="51"/>
  <c r="AB37" i="51"/>
  <c r="AS36" i="51"/>
  <c r="AG36" i="51"/>
  <c r="AC36" i="51"/>
  <c r="AB36" i="51"/>
  <c r="AS35" i="51"/>
  <c r="AG35" i="51"/>
  <c r="AC35" i="51"/>
  <c r="AB35" i="51"/>
  <c r="AS34" i="51"/>
  <c r="AG34" i="51"/>
  <c r="AC34" i="51"/>
  <c r="AB34" i="51"/>
  <c r="AS33" i="51"/>
  <c r="AG33" i="51"/>
  <c r="AC33" i="51"/>
  <c r="AB33" i="51"/>
  <c r="AS32" i="51"/>
  <c r="AG32" i="51"/>
  <c r="AC32" i="51"/>
  <c r="AB32" i="51"/>
  <c r="AS31" i="51"/>
  <c r="AG31" i="51"/>
  <c r="AC31" i="51"/>
  <c r="AB31" i="51"/>
  <c r="AS30" i="51"/>
  <c r="AG30" i="51"/>
  <c r="AC30" i="51"/>
  <c r="AB30" i="51"/>
  <c r="AS29" i="51"/>
  <c r="AG29" i="51"/>
  <c r="AC29" i="51"/>
  <c r="AB29" i="51"/>
  <c r="AS28" i="51"/>
  <c r="AG28" i="51"/>
  <c r="AC28" i="51"/>
  <c r="AB28" i="51"/>
  <c r="AS27" i="51"/>
  <c r="AG27" i="51"/>
  <c r="AC27" i="51"/>
  <c r="AB27" i="51"/>
  <c r="AS26" i="51"/>
  <c r="AG26" i="51"/>
  <c r="AC26" i="51"/>
  <c r="AB26" i="51"/>
  <c r="AS25" i="51"/>
  <c r="AG25" i="51"/>
  <c r="AC25" i="51"/>
  <c r="AB25" i="51"/>
  <c r="AS24" i="51"/>
  <c r="AG24" i="51"/>
  <c r="AC24" i="51"/>
  <c r="AB24" i="51"/>
  <c r="AS23" i="51"/>
  <c r="AG23" i="51"/>
  <c r="AC23" i="51"/>
  <c r="AB23" i="51"/>
  <c r="AS22" i="51"/>
  <c r="AG22" i="51"/>
  <c r="AC22" i="51"/>
  <c r="AB22" i="51"/>
  <c r="AS21" i="51"/>
  <c r="AG21" i="51"/>
  <c r="AC21" i="51"/>
  <c r="AB21" i="51"/>
  <c r="AS20" i="51"/>
  <c r="AG20" i="51"/>
  <c r="AC20" i="51"/>
  <c r="AB20" i="51"/>
  <c r="AS19" i="51"/>
  <c r="AG19" i="51"/>
  <c r="AC19" i="51"/>
  <c r="AB19" i="51"/>
  <c r="AS18" i="51"/>
  <c r="AG18" i="51"/>
  <c r="AC18" i="51"/>
  <c r="AB18" i="51"/>
  <c r="AS17" i="51"/>
  <c r="AG17" i="51"/>
  <c r="AC17" i="51"/>
  <c r="AB17" i="51"/>
  <c r="AS16" i="51"/>
  <c r="AG16" i="51"/>
  <c r="AC16" i="51"/>
  <c r="AB16" i="51"/>
  <c r="R15" i="51"/>
  <c r="N50" i="51" s="1"/>
  <c r="AK10" i="51"/>
  <c r="AN16" i="51" s="1"/>
  <c r="AX16" i="51" s="1"/>
  <c r="AY16" i="51" s="1"/>
  <c r="AK9" i="51"/>
  <c r="AR16" i="51" s="1"/>
  <c r="AR17" i="51" s="1"/>
  <c r="AR18" i="51" s="1"/>
  <c r="AR19" i="51" s="1"/>
  <c r="AR20" i="51" s="1"/>
  <c r="AR21" i="51" s="1"/>
  <c r="AR22" i="51" s="1"/>
  <c r="AR23" i="51" s="1"/>
  <c r="AR24" i="51" s="1"/>
  <c r="AR25" i="51" s="1"/>
  <c r="AR26" i="51" s="1"/>
  <c r="AR27" i="51" s="1"/>
  <c r="AR28" i="51" s="1"/>
  <c r="AR29" i="51" s="1"/>
  <c r="AR30" i="51" s="1"/>
  <c r="AR31" i="51" s="1"/>
  <c r="AR32" i="51" s="1"/>
  <c r="AR33" i="51" s="1"/>
  <c r="AR34" i="51" s="1"/>
  <c r="AR35" i="51" s="1"/>
  <c r="AR36" i="51" s="1"/>
  <c r="AR37" i="51" s="1"/>
  <c r="AR38" i="51" s="1"/>
  <c r="AR39" i="51" s="1"/>
  <c r="AK7" i="51"/>
  <c r="AL16" i="51" s="1"/>
  <c r="AL17" i="51" s="1"/>
  <c r="AL18" i="51" s="1"/>
  <c r="AL19" i="51" s="1"/>
  <c r="AL20" i="51" s="1"/>
  <c r="AL21" i="51" s="1"/>
  <c r="AL22" i="51" s="1"/>
  <c r="AL23" i="51" s="1"/>
  <c r="AL24" i="51" s="1"/>
  <c r="AL25" i="51" s="1"/>
  <c r="AL26" i="51" s="1"/>
  <c r="AL27" i="51" s="1"/>
  <c r="AL28" i="51" s="1"/>
  <c r="AL29" i="51" s="1"/>
  <c r="AL30" i="51" s="1"/>
  <c r="AL31" i="51" s="1"/>
  <c r="AL32" i="51" s="1"/>
  <c r="AL33" i="51" s="1"/>
  <c r="AL34" i="51" s="1"/>
  <c r="AL35" i="51" s="1"/>
  <c r="AL36" i="51" s="1"/>
  <c r="AL37" i="51" s="1"/>
  <c r="AL38" i="51" s="1"/>
  <c r="AL39" i="51" s="1"/>
  <c r="AK6" i="51"/>
  <c r="AK16" i="51" s="1"/>
  <c r="AK17" i="51" s="1"/>
  <c r="AK18" i="51" s="1"/>
  <c r="AK19" i="51" s="1"/>
  <c r="AK20" i="51" s="1"/>
  <c r="AK21" i="51" s="1"/>
  <c r="AK22" i="51" s="1"/>
  <c r="AK23" i="51" s="1"/>
  <c r="AK24" i="51" s="1"/>
  <c r="AK25" i="51" s="1"/>
  <c r="AK26" i="51" s="1"/>
  <c r="AK27" i="51" s="1"/>
  <c r="AK28" i="51" s="1"/>
  <c r="AK29" i="51" s="1"/>
  <c r="AK30" i="51" s="1"/>
  <c r="AK31" i="51" s="1"/>
  <c r="AK32" i="51" s="1"/>
  <c r="AK33" i="51" s="1"/>
  <c r="AK34" i="51" s="1"/>
  <c r="AK35" i="51" s="1"/>
  <c r="AK36" i="51" s="1"/>
  <c r="AK37" i="51" s="1"/>
  <c r="AK38" i="51" s="1"/>
  <c r="AK39" i="51" s="1"/>
  <c r="AK5" i="51"/>
  <c r="AJ16" i="51" s="1"/>
  <c r="L50" i="50"/>
  <c r="P53" i="50"/>
  <c r="Q43" i="50"/>
  <c r="P43" i="50"/>
  <c r="O43" i="50"/>
  <c r="N43" i="50"/>
  <c r="M43" i="50"/>
  <c r="L43" i="50"/>
  <c r="H43" i="50"/>
  <c r="G43" i="50"/>
  <c r="F43" i="50"/>
  <c r="E43" i="50"/>
  <c r="D43" i="50"/>
  <c r="C43" i="50"/>
  <c r="B43" i="50"/>
  <c r="R42" i="50"/>
  <c r="BV29" i="32" s="1"/>
  <c r="Q42" i="50"/>
  <c r="BS29" i="32" s="1"/>
  <c r="P42" i="50"/>
  <c r="BP29" i="32" s="1"/>
  <c r="O42" i="50"/>
  <c r="BM29" i="32" s="1"/>
  <c r="N42" i="50"/>
  <c r="BJ29" i="32" s="1"/>
  <c r="M42" i="50"/>
  <c r="BG29" i="32" s="1"/>
  <c r="L42" i="50"/>
  <c r="BD29" i="32" s="1"/>
  <c r="K42" i="50"/>
  <c r="AZ29" i="32" s="1"/>
  <c r="J42" i="50"/>
  <c r="J44" i="50" s="1"/>
  <c r="I42" i="50"/>
  <c r="AW29" i="32" s="1"/>
  <c r="H42" i="50"/>
  <c r="AT29" i="32" s="1"/>
  <c r="G42" i="50"/>
  <c r="AQ29" i="32" s="1"/>
  <c r="F42" i="50"/>
  <c r="AN29" i="32" s="1"/>
  <c r="AK29" i="32"/>
  <c r="AH29" i="32"/>
  <c r="AD29" i="32"/>
  <c r="AA29" i="32"/>
  <c r="R41" i="50"/>
  <c r="BU29" i="32" s="1"/>
  <c r="Q41" i="50"/>
  <c r="BR29" i="32" s="1"/>
  <c r="P41" i="50"/>
  <c r="BO29" i="32" s="1"/>
  <c r="O41" i="50"/>
  <c r="BL29" i="32" s="1"/>
  <c r="N41" i="50"/>
  <c r="BI29" i="32" s="1"/>
  <c r="M41" i="50"/>
  <c r="BF29" i="32" s="1"/>
  <c r="L41" i="50"/>
  <c r="BC29" i="32" s="1"/>
  <c r="K41" i="50"/>
  <c r="AY29" i="32" s="1"/>
  <c r="I41" i="50"/>
  <c r="AV29" i="32" s="1"/>
  <c r="H41" i="50"/>
  <c r="AS29" i="32" s="1"/>
  <c r="G41" i="50"/>
  <c r="AP29" i="32" s="1"/>
  <c r="F41" i="50"/>
  <c r="AM29" i="32" s="1"/>
  <c r="AJ29" i="32"/>
  <c r="AG29" i="32"/>
  <c r="AC29" i="32"/>
  <c r="Z29" i="32"/>
  <c r="R40" i="50"/>
  <c r="BW29" i="32" s="1"/>
  <c r="Q44" i="50"/>
  <c r="BT29" i="32" s="1"/>
  <c r="P40" i="50"/>
  <c r="O47" i="50" s="1"/>
  <c r="V15" i="39" s="1"/>
  <c r="O40" i="50"/>
  <c r="O46" i="50" s="1"/>
  <c r="U15" i="39" s="1"/>
  <c r="N40" i="50"/>
  <c r="M40" i="50"/>
  <c r="BH29" i="32" s="1"/>
  <c r="L40" i="50"/>
  <c r="BE29" i="32" s="1"/>
  <c r="BA29" i="32"/>
  <c r="I40" i="50"/>
  <c r="AX29" i="32" s="1"/>
  <c r="H40" i="50"/>
  <c r="AU29" i="32" s="1"/>
  <c r="G40" i="50"/>
  <c r="AR29" i="32" s="1"/>
  <c r="F40" i="50"/>
  <c r="AS39" i="50"/>
  <c r="AG39" i="50"/>
  <c r="AC39" i="50"/>
  <c r="AB39" i="50"/>
  <c r="AS38" i="50"/>
  <c r="AG38" i="50"/>
  <c r="AC38" i="50"/>
  <c r="AB38" i="50"/>
  <c r="AS37" i="50"/>
  <c r="AG37" i="50"/>
  <c r="AC37" i="50"/>
  <c r="AB37" i="50"/>
  <c r="AS36" i="50"/>
  <c r="AG36" i="50"/>
  <c r="AC36" i="50"/>
  <c r="AB36" i="50"/>
  <c r="AS35" i="50"/>
  <c r="AG35" i="50"/>
  <c r="AC35" i="50"/>
  <c r="AB35" i="50"/>
  <c r="AS34" i="50"/>
  <c r="AG34" i="50"/>
  <c r="AC34" i="50"/>
  <c r="AB34" i="50"/>
  <c r="AS33" i="50"/>
  <c r="AG33" i="50"/>
  <c r="AC33" i="50"/>
  <c r="AB33" i="50"/>
  <c r="AS32" i="50"/>
  <c r="AG32" i="50"/>
  <c r="AC32" i="50"/>
  <c r="AB32" i="50"/>
  <c r="AS31" i="50"/>
  <c r="AG31" i="50"/>
  <c r="AC31" i="50"/>
  <c r="AB31" i="50"/>
  <c r="AS30" i="50"/>
  <c r="AG30" i="50"/>
  <c r="AC30" i="50"/>
  <c r="AB30" i="50"/>
  <c r="AS29" i="50"/>
  <c r="AG29" i="50"/>
  <c r="AC29" i="50"/>
  <c r="AB29" i="50"/>
  <c r="AS28" i="50"/>
  <c r="AG28" i="50"/>
  <c r="AC28" i="50"/>
  <c r="AB28" i="50"/>
  <c r="AS27" i="50"/>
  <c r="AG27" i="50"/>
  <c r="AC27" i="50"/>
  <c r="AB27" i="50"/>
  <c r="AS26" i="50"/>
  <c r="AG26" i="50"/>
  <c r="AC26" i="50"/>
  <c r="AB26" i="50"/>
  <c r="AS25" i="50"/>
  <c r="AG25" i="50"/>
  <c r="AC25" i="50"/>
  <c r="AB25" i="50"/>
  <c r="AS24" i="50"/>
  <c r="AG24" i="50"/>
  <c r="AC24" i="50"/>
  <c r="AB24" i="50"/>
  <c r="AS23" i="50"/>
  <c r="AG23" i="50"/>
  <c r="AC23" i="50"/>
  <c r="AB23" i="50"/>
  <c r="AS22" i="50"/>
  <c r="AG22" i="50"/>
  <c r="AC22" i="50"/>
  <c r="AB22" i="50"/>
  <c r="AS21" i="50"/>
  <c r="AG21" i="50"/>
  <c r="AC21" i="50"/>
  <c r="AB21" i="50"/>
  <c r="AS20" i="50"/>
  <c r="AG20" i="50"/>
  <c r="AC20" i="50"/>
  <c r="AB20" i="50"/>
  <c r="AS19" i="50"/>
  <c r="AG19" i="50"/>
  <c r="AC19" i="50"/>
  <c r="AB19" i="50"/>
  <c r="AS18" i="50"/>
  <c r="AG18" i="50"/>
  <c r="AC18" i="50"/>
  <c r="AB18" i="50"/>
  <c r="AS17" i="50"/>
  <c r="AG17" i="50"/>
  <c r="AC17" i="50"/>
  <c r="AB17" i="50"/>
  <c r="AS16" i="50"/>
  <c r="AG16" i="50"/>
  <c r="AC16" i="50"/>
  <c r="AB16" i="50"/>
  <c r="R15" i="50"/>
  <c r="N50" i="50" s="1"/>
  <c r="AK10" i="50"/>
  <c r="AN16" i="50" s="1"/>
  <c r="AN17" i="50" s="1"/>
  <c r="AK9" i="50"/>
  <c r="AR16" i="50" s="1"/>
  <c r="AR17" i="50" s="1"/>
  <c r="AR18" i="50" s="1"/>
  <c r="AR19" i="50" s="1"/>
  <c r="AR20" i="50" s="1"/>
  <c r="AR21" i="50" s="1"/>
  <c r="AR22" i="50" s="1"/>
  <c r="AR23" i="50" s="1"/>
  <c r="AR24" i="50" s="1"/>
  <c r="AR25" i="50" s="1"/>
  <c r="AR26" i="50" s="1"/>
  <c r="AR27" i="50" s="1"/>
  <c r="AR28" i="50" s="1"/>
  <c r="AR29" i="50" s="1"/>
  <c r="AR30" i="50" s="1"/>
  <c r="AR31" i="50" s="1"/>
  <c r="AR32" i="50" s="1"/>
  <c r="AR33" i="50" s="1"/>
  <c r="AR34" i="50" s="1"/>
  <c r="AR35" i="50" s="1"/>
  <c r="AR36" i="50" s="1"/>
  <c r="AR37" i="50" s="1"/>
  <c r="AR38" i="50" s="1"/>
  <c r="AR39" i="50" s="1"/>
  <c r="AK7" i="50"/>
  <c r="AL16" i="50" s="1"/>
  <c r="AL17" i="50" s="1"/>
  <c r="AL18" i="50" s="1"/>
  <c r="AL19" i="50" s="1"/>
  <c r="AL20" i="50" s="1"/>
  <c r="AL21" i="50" s="1"/>
  <c r="AL22" i="50" s="1"/>
  <c r="AL23" i="50" s="1"/>
  <c r="AL24" i="50" s="1"/>
  <c r="AL25" i="50" s="1"/>
  <c r="AL26" i="50" s="1"/>
  <c r="AL27" i="50" s="1"/>
  <c r="AL28" i="50" s="1"/>
  <c r="AL29" i="50" s="1"/>
  <c r="AL30" i="50" s="1"/>
  <c r="AL31" i="50" s="1"/>
  <c r="AL32" i="50" s="1"/>
  <c r="AL33" i="50" s="1"/>
  <c r="AL34" i="50" s="1"/>
  <c r="AL35" i="50" s="1"/>
  <c r="AL36" i="50" s="1"/>
  <c r="AL37" i="50" s="1"/>
  <c r="AL38" i="50" s="1"/>
  <c r="AL39" i="50" s="1"/>
  <c r="AK6" i="50"/>
  <c r="AK16" i="50" s="1"/>
  <c r="AK17" i="50" s="1"/>
  <c r="AK18" i="50" s="1"/>
  <c r="AK19" i="50" s="1"/>
  <c r="AK20" i="50" s="1"/>
  <c r="AK21" i="50" s="1"/>
  <c r="AK22" i="50" s="1"/>
  <c r="AK23" i="50" s="1"/>
  <c r="AK24" i="50" s="1"/>
  <c r="AK25" i="50" s="1"/>
  <c r="AK26" i="50" s="1"/>
  <c r="AK27" i="50" s="1"/>
  <c r="AK28" i="50" s="1"/>
  <c r="AK29" i="50" s="1"/>
  <c r="AK30" i="50" s="1"/>
  <c r="AK31" i="50" s="1"/>
  <c r="AK32" i="50" s="1"/>
  <c r="AK33" i="50" s="1"/>
  <c r="AK34" i="50" s="1"/>
  <c r="AK35" i="50" s="1"/>
  <c r="AK36" i="50" s="1"/>
  <c r="AK37" i="50" s="1"/>
  <c r="AK38" i="50" s="1"/>
  <c r="AK39" i="50" s="1"/>
  <c r="AK5" i="50"/>
  <c r="AJ16" i="50" s="1"/>
  <c r="L50" i="49"/>
  <c r="P53" i="49"/>
  <c r="Q43" i="49"/>
  <c r="P43" i="49"/>
  <c r="O43" i="49"/>
  <c r="N43" i="49"/>
  <c r="M43" i="49"/>
  <c r="L43" i="49"/>
  <c r="H43" i="49"/>
  <c r="G43" i="49"/>
  <c r="F43" i="49"/>
  <c r="E43" i="49"/>
  <c r="D43" i="49"/>
  <c r="C43" i="49"/>
  <c r="B43" i="49"/>
  <c r="R42" i="49"/>
  <c r="BV28" i="32" s="1"/>
  <c r="Q42" i="49"/>
  <c r="BS28" i="32" s="1"/>
  <c r="P42" i="49"/>
  <c r="BP28" i="32" s="1"/>
  <c r="O42" i="49"/>
  <c r="BM28" i="32" s="1"/>
  <c r="N42" i="49"/>
  <c r="BJ28" i="32" s="1"/>
  <c r="M42" i="49"/>
  <c r="BG28" i="32" s="1"/>
  <c r="L42" i="49"/>
  <c r="BD28" i="32" s="1"/>
  <c r="K42" i="49"/>
  <c r="AZ28" i="32" s="1"/>
  <c r="J42" i="49"/>
  <c r="J44" i="49" s="1"/>
  <c r="I42" i="49"/>
  <c r="AW28" i="32" s="1"/>
  <c r="H42" i="49"/>
  <c r="AT28" i="32" s="1"/>
  <c r="G42" i="49"/>
  <c r="AQ28" i="32" s="1"/>
  <c r="F42" i="49"/>
  <c r="AN28" i="32" s="1"/>
  <c r="AK28" i="32"/>
  <c r="AH28" i="32"/>
  <c r="AD28" i="32"/>
  <c r="AA28" i="32"/>
  <c r="R41" i="49"/>
  <c r="BU28" i="32" s="1"/>
  <c r="Q41" i="49"/>
  <c r="BR28" i="32" s="1"/>
  <c r="P41" i="49"/>
  <c r="BO28" i="32" s="1"/>
  <c r="O41" i="49"/>
  <c r="BL28" i="32" s="1"/>
  <c r="N41" i="49"/>
  <c r="BI28" i="32" s="1"/>
  <c r="M41" i="49"/>
  <c r="BF28" i="32" s="1"/>
  <c r="L41" i="49"/>
  <c r="BC28" i="32" s="1"/>
  <c r="K41" i="49"/>
  <c r="AY28" i="32" s="1"/>
  <c r="I41" i="49"/>
  <c r="AV28" i="32" s="1"/>
  <c r="H41" i="49"/>
  <c r="AS28" i="32" s="1"/>
  <c r="G41" i="49"/>
  <c r="AP28" i="32" s="1"/>
  <c r="F41" i="49"/>
  <c r="AM28" i="32" s="1"/>
  <c r="AJ28" i="32"/>
  <c r="AG28" i="32"/>
  <c r="AC28" i="32"/>
  <c r="Z28" i="32"/>
  <c r="R40" i="49"/>
  <c r="M50" i="49" s="1"/>
  <c r="L28" i="32" s="1"/>
  <c r="Q44" i="49"/>
  <c r="BT28" i="32" s="1"/>
  <c r="P40" i="49"/>
  <c r="O47" i="49" s="1"/>
  <c r="O40" i="49"/>
  <c r="O46" i="49" s="1"/>
  <c r="U14" i="39" s="1"/>
  <c r="N40" i="49"/>
  <c r="M40" i="49"/>
  <c r="BH28" i="32" s="1"/>
  <c r="L40" i="49"/>
  <c r="BE28" i="32" s="1"/>
  <c r="BA28" i="32"/>
  <c r="I40" i="49"/>
  <c r="AX28" i="32" s="1"/>
  <c r="H40" i="49"/>
  <c r="AU28" i="32" s="1"/>
  <c r="G40" i="49"/>
  <c r="AR28" i="32" s="1"/>
  <c r="F40" i="49"/>
  <c r="AS39" i="49"/>
  <c r="AG39" i="49"/>
  <c r="AC39" i="49"/>
  <c r="AB39" i="49"/>
  <c r="AS38" i="49"/>
  <c r="AG38" i="49"/>
  <c r="AC38" i="49"/>
  <c r="AB38" i="49"/>
  <c r="AS37" i="49"/>
  <c r="AG37" i="49"/>
  <c r="AC37" i="49"/>
  <c r="AB37" i="49"/>
  <c r="AS36" i="49"/>
  <c r="AG36" i="49"/>
  <c r="AC36" i="49"/>
  <c r="AB36" i="49"/>
  <c r="AS35" i="49"/>
  <c r="AG35" i="49"/>
  <c r="AC35" i="49"/>
  <c r="AB35" i="49"/>
  <c r="AS34" i="49"/>
  <c r="AG34" i="49"/>
  <c r="AC34" i="49"/>
  <c r="AB34" i="49"/>
  <c r="AS33" i="49"/>
  <c r="AG33" i="49"/>
  <c r="AC33" i="49"/>
  <c r="AB33" i="49"/>
  <c r="AS32" i="49"/>
  <c r="AG32" i="49"/>
  <c r="AC32" i="49"/>
  <c r="AB32" i="49"/>
  <c r="AS31" i="49"/>
  <c r="AG31" i="49"/>
  <c r="AC31" i="49"/>
  <c r="AB31" i="49"/>
  <c r="AS30" i="49"/>
  <c r="AG30" i="49"/>
  <c r="AC30" i="49"/>
  <c r="AB30" i="49"/>
  <c r="AS29" i="49"/>
  <c r="AG29" i="49"/>
  <c r="AC29" i="49"/>
  <c r="AB29" i="49"/>
  <c r="AS28" i="49"/>
  <c r="AG28" i="49"/>
  <c r="AC28" i="49"/>
  <c r="AB28" i="49"/>
  <c r="AS27" i="49"/>
  <c r="AG27" i="49"/>
  <c r="AC27" i="49"/>
  <c r="AB27" i="49"/>
  <c r="AS26" i="49"/>
  <c r="AG26" i="49"/>
  <c r="AC26" i="49"/>
  <c r="AB26" i="49"/>
  <c r="AS25" i="49"/>
  <c r="AG25" i="49"/>
  <c r="AC25" i="49"/>
  <c r="AB25" i="49"/>
  <c r="AS24" i="49"/>
  <c r="AG24" i="49"/>
  <c r="AC24" i="49"/>
  <c r="AB24" i="49"/>
  <c r="AS23" i="49"/>
  <c r="AG23" i="49"/>
  <c r="AC23" i="49"/>
  <c r="AB23" i="49"/>
  <c r="AS22" i="49"/>
  <c r="AG22" i="49"/>
  <c r="AC22" i="49"/>
  <c r="AB22" i="49"/>
  <c r="AS21" i="49"/>
  <c r="AG21" i="49"/>
  <c r="AC21" i="49"/>
  <c r="AB21" i="49"/>
  <c r="AS20" i="49"/>
  <c r="AG20" i="49"/>
  <c r="AC20" i="49"/>
  <c r="AB20" i="49"/>
  <c r="AS19" i="49"/>
  <c r="AG19" i="49"/>
  <c r="AC19" i="49"/>
  <c r="AB19" i="49"/>
  <c r="AS18" i="49"/>
  <c r="AG18" i="49"/>
  <c r="AC18" i="49"/>
  <c r="AB18" i="49"/>
  <c r="AS17" i="49"/>
  <c r="AG17" i="49"/>
  <c r="AC17" i="49"/>
  <c r="AB17" i="49"/>
  <c r="AS16" i="49"/>
  <c r="AG16" i="49"/>
  <c r="AC16" i="49"/>
  <c r="AB16" i="49"/>
  <c r="R15" i="49"/>
  <c r="N50" i="49" s="1"/>
  <c r="AK10" i="49"/>
  <c r="AN16" i="49" s="1"/>
  <c r="AN17" i="49" s="1"/>
  <c r="AK9" i="49"/>
  <c r="AR16" i="49" s="1"/>
  <c r="AR17" i="49" s="1"/>
  <c r="AR18" i="49" s="1"/>
  <c r="AR19" i="49" s="1"/>
  <c r="AR20" i="49" s="1"/>
  <c r="AR21" i="49" s="1"/>
  <c r="AR22" i="49" s="1"/>
  <c r="AR23" i="49" s="1"/>
  <c r="AR24" i="49" s="1"/>
  <c r="AR25" i="49" s="1"/>
  <c r="AR26" i="49" s="1"/>
  <c r="AR27" i="49" s="1"/>
  <c r="AR28" i="49" s="1"/>
  <c r="AR29" i="49" s="1"/>
  <c r="AR30" i="49" s="1"/>
  <c r="AR31" i="49" s="1"/>
  <c r="AR32" i="49" s="1"/>
  <c r="AR33" i="49" s="1"/>
  <c r="AR34" i="49" s="1"/>
  <c r="AR35" i="49" s="1"/>
  <c r="AR36" i="49" s="1"/>
  <c r="AR37" i="49" s="1"/>
  <c r="AR38" i="49" s="1"/>
  <c r="AR39" i="49" s="1"/>
  <c r="AK7" i="49"/>
  <c r="AL16" i="49" s="1"/>
  <c r="AL17" i="49" s="1"/>
  <c r="AL18" i="49" s="1"/>
  <c r="AL19" i="49" s="1"/>
  <c r="AL20" i="49" s="1"/>
  <c r="AL21" i="49" s="1"/>
  <c r="AL22" i="49" s="1"/>
  <c r="AL23" i="49" s="1"/>
  <c r="AL24" i="49" s="1"/>
  <c r="AL25" i="49" s="1"/>
  <c r="AL26" i="49" s="1"/>
  <c r="AL27" i="49" s="1"/>
  <c r="AL28" i="49" s="1"/>
  <c r="AL29" i="49" s="1"/>
  <c r="AL30" i="49" s="1"/>
  <c r="AL31" i="49" s="1"/>
  <c r="AL32" i="49" s="1"/>
  <c r="AL33" i="49" s="1"/>
  <c r="AL34" i="49" s="1"/>
  <c r="AL35" i="49" s="1"/>
  <c r="AL36" i="49" s="1"/>
  <c r="AL37" i="49" s="1"/>
  <c r="AL38" i="49" s="1"/>
  <c r="AL39" i="49" s="1"/>
  <c r="AK6" i="49"/>
  <c r="AK16" i="49" s="1"/>
  <c r="AK17" i="49" s="1"/>
  <c r="AK18" i="49" s="1"/>
  <c r="AK19" i="49" s="1"/>
  <c r="AK20" i="49" s="1"/>
  <c r="AK21" i="49" s="1"/>
  <c r="AK22" i="49" s="1"/>
  <c r="AK23" i="49" s="1"/>
  <c r="AK24" i="49" s="1"/>
  <c r="AK25" i="49" s="1"/>
  <c r="AK26" i="49" s="1"/>
  <c r="AK27" i="49" s="1"/>
  <c r="AK28" i="49" s="1"/>
  <c r="AK29" i="49" s="1"/>
  <c r="AK30" i="49" s="1"/>
  <c r="AK31" i="49" s="1"/>
  <c r="AK32" i="49" s="1"/>
  <c r="AK33" i="49" s="1"/>
  <c r="AK34" i="49" s="1"/>
  <c r="AK35" i="49" s="1"/>
  <c r="AK36" i="49" s="1"/>
  <c r="AK37" i="49" s="1"/>
  <c r="AK38" i="49" s="1"/>
  <c r="AK39" i="49" s="1"/>
  <c r="AK5" i="49"/>
  <c r="AJ16" i="49" s="1"/>
  <c r="L50" i="48"/>
  <c r="P53" i="48"/>
  <c r="Q43" i="48"/>
  <c r="P43" i="48"/>
  <c r="O43" i="48"/>
  <c r="N43" i="48"/>
  <c r="M43" i="48"/>
  <c r="L43" i="48"/>
  <c r="H43" i="48"/>
  <c r="G43" i="48"/>
  <c r="F43" i="48"/>
  <c r="E43" i="48"/>
  <c r="D43" i="48"/>
  <c r="C43" i="48"/>
  <c r="B43" i="48"/>
  <c r="R42" i="48"/>
  <c r="BV27" i="32" s="1"/>
  <c r="Q42" i="48"/>
  <c r="BS27" i="32" s="1"/>
  <c r="P42" i="48"/>
  <c r="BP27" i="32" s="1"/>
  <c r="O42" i="48"/>
  <c r="BM27" i="32" s="1"/>
  <c r="N42" i="48"/>
  <c r="BJ27" i="32" s="1"/>
  <c r="M42" i="48"/>
  <c r="BG27" i="32" s="1"/>
  <c r="L42" i="48"/>
  <c r="BD27" i="32" s="1"/>
  <c r="K42" i="48"/>
  <c r="AZ27" i="32" s="1"/>
  <c r="J42" i="48"/>
  <c r="J44" i="48" s="1"/>
  <c r="I42" i="48"/>
  <c r="AW27" i="32" s="1"/>
  <c r="H42" i="48"/>
  <c r="AT27" i="32" s="1"/>
  <c r="G42" i="48"/>
  <c r="AQ27" i="32" s="1"/>
  <c r="F42" i="48"/>
  <c r="AN27" i="32" s="1"/>
  <c r="AK27" i="32"/>
  <c r="AH27" i="32"/>
  <c r="AD27" i="32"/>
  <c r="AA27" i="32"/>
  <c r="R41" i="48"/>
  <c r="BU27" i="32" s="1"/>
  <c r="Q41" i="48"/>
  <c r="BR27" i="32" s="1"/>
  <c r="P41" i="48"/>
  <c r="BO27" i="32" s="1"/>
  <c r="O41" i="48"/>
  <c r="BL27" i="32" s="1"/>
  <c r="N41" i="48"/>
  <c r="BI27" i="32" s="1"/>
  <c r="M41" i="48"/>
  <c r="BF27" i="32" s="1"/>
  <c r="L41" i="48"/>
  <c r="BC27" i="32" s="1"/>
  <c r="K41" i="48"/>
  <c r="AY27" i="32" s="1"/>
  <c r="I41" i="48"/>
  <c r="AV27" i="32" s="1"/>
  <c r="H41" i="48"/>
  <c r="AS27" i="32" s="1"/>
  <c r="G41" i="48"/>
  <c r="AP27" i="32" s="1"/>
  <c r="F41" i="48"/>
  <c r="AM27" i="32" s="1"/>
  <c r="AJ27" i="32"/>
  <c r="AG27" i="32"/>
  <c r="AC27" i="32"/>
  <c r="Z27" i="32"/>
  <c r="R40" i="48"/>
  <c r="M50" i="48" s="1"/>
  <c r="L27" i="32" s="1"/>
  <c r="Q44" i="48"/>
  <c r="BT27" i="32" s="1"/>
  <c r="P40" i="48"/>
  <c r="O47" i="48" s="1"/>
  <c r="O40" i="48"/>
  <c r="O46" i="48" s="1"/>
  <c r="N40" i="48"/>
  <c r="M40" i="48"/>
  <c r="BH27" i="32" s="1"/>
  <c r="L40" i="48"/>
  <c r="BE27" i="32" s="1"/>
  <c r="BA27" i="32"/>
  <c r="I40" i="48"/>
  <c r="AX27" i="32" s="1"/>
  <c r="H40" i="48"/>
  <c r="AU27" i="32" s="1"/>
  <c r="G40" i="48"/>
  <c r="AR27" i="32" s="1"/>
  <c r="F40" i="48"/>
  <c r="AS39" i="48"/>
  <c r="AG39" i="48"/>
  <c r="AC39" i="48"/>
  <c r="AB39" i="48"/>
  <c r="AS38" i="48"/>
  <c r="AG38" i="48"/>
  <c r="AC38" i="48"/>
  <c r="AB38" i="48"/>
  <c r="AS37" i="48"/>
  <c r="AG37" i="48"/>
  <c r="AC37" i="48"/>
  <c r="AB37" i="48"/>
  <c r="AS36" i="48"/>
  <c r="AG36" i="48"/>
  <c r="AC36" i="48"/>
  <c r="AB36" i="48"/>
  <c r="AS35" i="48"/>
  <c r="AG35" i="48"/>
  <c r="AC35" i="48"/>
  <c r="AB35" i="48"/>
  <c r="AS34" i="48"/>
  <c r="AG34" i="48"/>
  <c r="AC34" i="48"/>
  <c r="AB34" i="48"/>
  <c r="AS33" i="48"/>
  <c r="AG33" i="48"/>
  <c r="AC33" i="48"/>
  <c r="AB33" i="48"/>
  <c r="AS32" i="48"/>
  <c r="AG32" i="48"/>
  <c r="AC32" i="48"/>
  <c r="AB32" i="48"/>
  <c r="AS31" i="48"/>
  <c r="AG31" i="48"/>
  <c r="AC31" i="48"/>
  <c r="AB31" i="48"/>
  <c r="AS30" i="48"/>
  <c r="AG30" i="48"/>
  <c r="AC30" i="48"/>
  <c r="AB30" i="48"/>
  <c r="AS29" i="48"/>
  <c r="AG29" i="48"/>
  <c r="AC29" i="48"/>
  <c r="AB29" i="48"/>
  <c r="AS28" i="48"/>
  <c r="AG28" i="48"/>
  <c r="AC28" i="48"/>
  <c r="AB28" i="48"/>
  <c r="AS27" i="48"/>
  <c r="AG27" i="48"/>
  <c r="AC27" i="48"/>
  <c r="AB27" i="48"/>
  <c r="AS26" i="48"/>
  <c r="AG26" i="48"/>
  <c r="AC26" i="48"/>
  <c r="AB26" i="48"/>
  <c r="AS25" i="48"/>
  <c r="AG25" i="48"/>
  <c r="AC25" i="48"/>
  <c r="AB25" i="48"/>
  <c r="AS24" i="48"/>
  <c r="AG24" i="48"/>
  <c r="AC24" i="48"/>
  <c r="AB24" i="48"/>
  <c r="AS23" i="48"/>
  <c r="AG23" i="48"/>
  <c r="AC23" i="48"/>
  <c r="AB23" i="48"/>
  <c r="AS22" i="48"/>
  <c r="AG22" i="48"/>
  <c r="AC22" i="48"/>
  <c r="AB22" i="48"/>
  <c r="AS21" i="48"/>
  <c r="AG21" i="48"/>
  <c r="AC21" i="48"/>
  <c r="AB21" i="48"/>
  <c r="AS20" i="48"/>
  <c r="AG20" i="48"/>
  <c r="AC20" i="48"/>
  <c r="AB20" i="48"/>
  <c r="AS19" i="48"/>
  <c r="AG19" i="48"/>
  <c r="AC19" i="48"/>
  <c r="AB19" i="48"/>
  <c r="AS18" i="48"/>
  <c r="AG18" i="48"/>
  <c r="AC18" i="48"/>
  <c r="AB18" i="48"/>
  <c r="AS17" i="48"/>
  <c r="AG17" i="48"/>
  <c r="AC17" i="48"/>
  <c r="AB17" i="48"/>
  <c r="AS16" i="48"/>
  <c r="AG16" i="48"/>
  <c r="AC16" i="48"/>
  <c r="AB16" i="48"/>
  <c r="R15" i="48"/>
  <c r="N50" i="48" s="1"/>
  <c r="AK10" i="48"/>
  <c r="AN16" i="48" s="1"/>
  <c r="AN17" i="48" s="1"/>
  <c r="AK9" i="48"/>
  <c r="AR16" i="48" s="1"/>
  <c r="AR17" i="48" s="1"/>
  <c r="AR18" i="48" s="1"/>
  <c r="AR19" i="48" s="1"/>
  <c r="AR20" i="48" s="1"/>
  <c r="AR21" i="48" s="1"/>
  <c r="AR22" i="48" s="1"/>
  <c r="AR23" i="48" s="1"/>
  <c r="AR24" i="48" s="1"/>
  <c r="AR25" i="48" s="1"/>
  <c r="AR26" i="48" s="1"/>
  <c r="AR27" i="48" s="1"/>
  <c r="AR28" i="48" s="1"/>
  <c r="AR29" i="48" s="1"/>
  <c r="AR30" i="48" s="1"/>
  <c r="AR31" i="48" s="1"/>
  <c r="AR32" i="48" s="1"/>
  <c r="AR33" i="48" s="1"/>
  <c r="AR34" i="48" s="1"/>
  <c r="AR35" i="48" s="1"/>
  <c r="AR36" i="48" s="1"/>
  <c r="AR37" i="48" s="1"/>
  <c r="AR38" i="48" s="1"/>
  <c r="AR39" i="48" s="1"/>
  <c r="AK7" i="48"/>
  <c r="AL16" i="48" s="1"/>
  <c r="AL17" i="48" s="1"/>
  <c r="AL18" i="48" s="1"/>
  <c r="AL19" i="48" s="1"/>
  <c r="AL20" i="48" s="1"/>
  <c r="AL21" i="48" s="1"/>
  <c r="AL22" i="48" s="1"/>
  <c r="AL23" i="48" s="1"/>
  <c r="AL24" i="48" s="1"/>
  <c r="AL25" i="48" s="1"/>
  <c r="AL26" i="48" s="1"/>
  <c r="AL27" i="48" s="1"/>
  <c r="AL28" i="48" s="1"/>
  <c r="AL29" i="48" s="1"/>
  <c r="AL30" i="48" s="1"/>
  <c r="AL31" i="48" s="1"/>
  <c r="AL32" i="48" s="1"/>
  <c r="AL33" i="48" s="1"/>
  <c r="AL34" i="48" s="1"/>
  <c r="AL35" i="48" s="1"/>
  <c r="AL36" i="48" s="1"/>
  <c r="AL37" i="48" s="1"/>
  <c r="AL38" i="48" s="1"/>
  <c r="AL39" i="48" s="1"/>
  <c r="AK6" i="48"/>
  <c r="AK16" i="48" s="1"/>
  <c r="AK17" i="48" s="1"/>
  <c r="AK18" i="48" s="1"/>
  <c r="AK19" i="48" s="1"/>
  <c r="AK20" i="48" s="1"/>
  <c r="AK21" i="48" s="1"/>
  <c r="AK22" i="48" s="1"/>
  <c r="AK23" i="48" s="1"/>
  <c r="AK24" i="48" s="1"/>
  <c r="AK25" i="48" s="1"/>
  <c r="AK26" i="48" s="1"/>
  <c r="AK27" i="48" s="1"/>
  <c r="AK28" i="48" s="1"/>
  <c r="AK29" i="48" s="1"/>
  <c r="AK30" i="48" s="1"/>
  <c r="AK31" i="48" s="1"/>
  <c r="AK32" i="48" s="1"/>
  <c r="AK33" i="48" s="1"/>
  <c r="AK34" i="48" s="1"/>
  <c r="AK35" i="48" s="1"/>
  <c r="AK36" i="48" s="1"/>
  <c r="AK37" i="48" s="1"/>
  <c r="AK38" i="48" s="1"/>
  <c r="AK39" i="48" s="1"/>
  <c r="AK5" i="48"/>
  <c r="AJ16" i="48" s="1"/>
  <c r="L50" i="47"/>
  <c r="P53" i="47"/>
  <c r="Q43" i="47"/>
  <c r="P43" i="47"/>
  <c r="O43" i="47"/>
  <c r="N43" i="47"/>
  <c r="M43" i="47"/>
  <c r="L43" i="47"/>
  <c r="H43" i="47"/>
  <c r="G43" i="47"/>
  <c r="F43" i="47"/>
  <c r="E43" i="47"/>
  <c r="D43" i="47"/>
  <c r="C43" i="47"/>
  <c r="B43" i="47"/>
  <c r="R42" i="47"/>
  <c r="BV26" i="32" s="1"/>
  <c r="Q42" i="47"/>
  <c r="BS26" i="32" s="1"/>
  <c r="P42" i="47"/>
  <c r="BP26" i="32" s="1"/>
  <c r="O42" i="47"/>
  <c r="BM26" i="32" s="1"/>
  <c r="N42" i="47"/>
  <c r="BJ26" i="32" s="1"/>
  <c r="M42" i="47"/>
  <c r="BG26" i="32" s="1"/>
  <c r="L42" i="47"/>
  <c r="BD26" i="32" s="1"/>
  <c r="K42" i="47"/>
  <c r="AZ26" i="32" s="1"/>
  <c r="J42" i="47"/>
  <c r="J44" i="47" s="1"/>
  <c r="I42" i="47"/>
  <c r="AW26" i="32" s="1"/>
  <c r="H42" i="47"/>
  <c r="AT26" i="32" s="1"/>
  <c r="G42" i="47"/>
  <c r="AQ26" i="32" s="1"/>
  <c r="F42" i="47"/>
  <c r="AN26" i="32" s="1"/>
  <c r="AK26" i="32"/>
  <c r="AH26" i="32"/>
  <c r="AD26" i="32"/>
  <c r="AA26" i="32"/>
  <c r="R41" i="47"/>
  <c r="BU26" i="32" s="1"/>
  <c r="Q41" i="47"/>
  <c r="BR26" i="32" s="1"/>
  <c r="P41" i="47"/>
  <c r="BO26" i="32" s="1"/>
  <c r="O41" i="47"/>
  <c r="BL26" i="32" s="1"/>
  <c r="N41" i="47"/>
  <c r="BI26" i="32" s="1"/>
  <c r="M41" i="47"/>
  <c r="BF26" i="32" s="1"/>
  <c r="L41" i="47"/>
  <c r="BC26" i="32" s="1"/>
  <c r="K41" i="47"/>
  <c r="AY26" i="32" s="1"/>
  <c r="I41" i="47"/>
  <c r="AV26" i="32" s="1"/>
  <c r="H41" i="47"/>
  <c r="AS26" i="32" s="1"/>
  <c r="G41" i="47"/>
  <c r="AP26" i="32" s="1"/>
  <c r="F41" i="47"/>
  <c r="AM26" i="32" s="1"/>
  <c r="AJ26" i="32"/>
  <c r="AG26" i="32"/>
  <c r="AC26" i="32"/>
  <c r="Z26" i="32"/>
  <c r="R40" i="47"/>
  <c r="M50" i="47" s="1"/>
  <c r="L26" i="32" s="1"/>
  <c r="Q44" i="47"/>
  <c r="BT26" i="32" s="1"/>
  <c r="P40" i="47"/>
  <c r="O47" i="47" s="1"/>
  <c r="O40" i="47"/>
  <c r="O46" i="47" s="1"/>
  <c r="N40" i="47"/>
  <c r="M40" i="47"/>
  <c r="BH26" i="32" s="1"/>
  <c r="L40" i="47"/>
  <c r="BE26" i="32" s="1"/>
  <c r="BA26" i="32"/>
  <c r="I40" i="47"/>
  <c r="AX26" i="32" s="1"/>
  <c r="H40" i="47"/>
  <c r="AU26" i="32" s="1"/>
  <c r="G40" i="47"/>
  <c r="AR26" i="32" s="1"/>
  <c r="F40" i="47"/>
  <c r="AS39" i="47"/>
  <c r="AG39" i="47"/>
  <c r="AC39" i="47"/>
  <c r="AB39" i="47"/>
  <c r="AS38" i="47"/>
  <c r="AG38" i="47"/>
  <c r="AC38" i="47"/>
  <c r="AB38" i="47"/>
  <c r="AS37" i="47"/>
  <c r="AG37" i="47"/>
  <c r="AC37" i="47"/>
  <c r="AB37" i="47"/>
  <c r="AS36" i="47"/>
  <c r="AG36" i="47"/>
  <c r="AC36" i="47"/>
  <c r="AB36" i="47"/>
  <c r="AS35" i="47"/>
  <c r="AG35" i="47"/>
  <c r="AC35" i="47"/>
  <c r="AB35" i="47"/>
  <c r="AS34" i="47"/>
  <c r="AG34" i="47"/>
  <c r="AC34" i="47"/>
  <c r="AB34" i="47"/>
  <c r="AS33" i="47"/>
  <c r="AG33" i="47"/>
  <c r="AC33" i="47"/>
  <c r="AB33" i="47"/>
  <c r="AS32" i="47"/>
  <c r="AG32" i="47"/>
  <c r="AC32" i="47"/>
  <c r="AB32" i="47"/>
  <c r="AS31" i="47"/>
  <c r="AG31" i="47"/>
  <c r="AC31" i="47"/>
  <c r="AB31" i="47"/>
  <c r="AS30" i="47"/>
  <c r="AG30" i="47"/>
  <c r="AC30" i="47"/>
  <c r="AB30" i="47"/>
  <c r="AS29" i="47"/>
  <c r="AG29" i="47"/>
  <c r="AC29" i="47"/>
  <c r="AB29" i="47"/>
  <c r="AS28" i="47"/>
  <c r="AG28" i="47"/>
  <c r="AC28" i="47"/>
  <c r="AB28" i="47"/>
  <c r="AS27" i="47"/>
  <c r="AG27" i="47"/>
  <c r="AC27" i="47"/>
  <c r="AB27" i="47"/>
  <c r="AS26" i="47"/>
  <c r="AG26" i="47"/>
  <c r="AC26" i="47"/>
  <c r="AB26" i="47"/>
  <c r="AS25" i="47"/>
  <c r="AG25" i="47"/>
  <c r="AC25" i="47"/>
  <c r="AB25" i="47"/>
  <c r="AS24" i="47"/>
  <c r="AG24" i="47"/>
  <c r="AC24" i="47"/>
  <c r="AB24" i="47"/>
  <c r="AS23" i="47"/>
  <c r="AG23" i="47"/>
  <c r="AC23" i="47"/>
  <c r="AB23" i="47"/>
  <c r="AS22" i="47"/>
  <c r="AG22" i="47"/>
  <c r="AC22" i="47"/>
  <c r="AB22" i="47"/>
  <c r="AS21" i="47"/>
  <c r="AG21" i="47"/>
  <c r="AC21" i="47"/>
  <c r="AB21" i="47"/>
  <c r="AS20" i="47"/>
  <c r="AG20" i="47"/>
  <c r="AC20" i="47"/>
  <c r="AB20" i="47"/>
  <c r="AS19" i="47"/>
  <c r="AG19" i="47"/>
  <c r="AC19" i="47"/>
  <c r="AB19" i="47"/>
  <c r="AS18" i="47"/>
  <c r="AG18" i="47"/>
  <c r="AC18" i="47"/>
  <c r="AB18" i="47"/>
  <c r="AS17" i="47"/>
  <c r="AG17" i="47"/>
  <c r="AC17" i="47"/>
  <c r="AB17" i="47"/>
  <c r="AS16" i="47"/>
  <c r="AG16" i="47"/>
  <c r="AC16" i="47"/>
  <c r="AB16" i="47"/>
  <c r="R15" i="47"/>
  <c r="N50" i="47" s="1"/>
  <c r="AK10" i="47"/>
  <c r="AN16" i="47" s="1"/>
  <c r="AK9" i="47"/>
  <c r="AR16" i="47" s="1"/>
  <c r="AR17" i="47" s="1"/>
  <c r="AR18" i="47" s="1"/>
  <c r="AR19" i="47" s="1"/>
  <c r="AR20" i="47" s="1"/>
  <c r="AR21" i="47" s="1"/>
  <c r="AR22" i="47" s="1"/>
  <c r="AR23" i="47" s="1"/>
  <c r="AR24" i="47" s="1"/>
  <c r="AR25" i="47" s="1"/>
  <c r="AR26" i="47" s="1"/>
  <c r="AR27" i="47" s="1"/>
  <c r="AR28" i="47" s="1"/>
  <c r="AR29" i="47" s="1"/>
  <c r="AR30" i="47" s="1"/>
  <c r="AR31" i="47" s="1"/>
  <c r="AR32" i="47" s="1"/>
  <c r="AR33" i="47" s="1"/>
  <c r="AR34" i="47" s="1"/>
  <c r="AR35" i="47" s="1"/>
  <c r="AR36" i="47" s="1"/>
  <c r="AR37" i="47" s="1"/>
  <c r="AR38" i="47" s="1"/>
  <c r="AR39" i="47" s="1"/>
  <c r="AK7" i="47"/>
  <c r="AL16" i="47" s="1"/>
  <c r="AL17" i="47" s="1"/>
  <c r="AL18" i="47" s="1"/>
  <c r="AL19" i="47" s="1"/>
  <c r="AL20" i="47" s="1"/>
  <c r="AL21" i="47" s="1"/>
  <c r="AL22" i="47" s="1"/>
  <c r="AL23" i="47" s="1"/>
  <c r="AL24" i="47" s="1"/>
  <c r="AL25" i="47" s="1"/>
  <c r="AL26" i="47" s="1"/>
  <c r="AL27" i="47" s="1"/>
  <c r="AL28" i="47" s="1"/>
  <c r="AL29" i="47" s="1"/>
  <c r="AL30" i="47" s="1"/>
  <c r="AL31" i="47" s="1"/>
  <c r="AL32" i="47" s="1"/>
  <c r="AL33" i="47" s="1"/>
  <c r="AL34" i="47" s="1"/>
  <c r="AL35" i="47" s="1"/>
  <c r="AL36" i="47" s="1"/>
  <c r="AL37" i="47" s="1"/>
  <c r="AL38" i="47" s="1"/>
  <c r="AL39" i="47" s="1"/>
  <c r="AK6" i="47"/>
  <c r="AK16" i="47" s="1"/>
  <c r="AK17" i="47" s="1"/>
  <c r="AK18" i="47" s="1"/>
  <c r="AK19" i="47" s="1"/>
  <c r="AK20" i="47" s="1"/>
  <c r="AK21" i="47" s="1"/>
  <c r="AK22" i="47" s="1"/>
  <c r="AK23" i="47" s="1"/>
  <c r="AK24" i="47" s="1"/>
  <c r="AK25" i="47" s="1"/>
  <c r="AK26" i="47" s="1"/>
  <c r="AK27" i="47" s="1"/>
  <c r="AK28" i="47" s="1"/>
  <c r="AK29" i="47" s="1"/>
  <c r="AK30" i="47" s="1"/>
  <c r="AK31" i="47" s="1"/>
  <c r="AK32" i="47" s="1"/>
  <c r="AK33" i="47" s="1"/>
  <c r="AK34" i="47" s="1"/>
  <c r="AK35" i="47" s="1"/>
  <c r="AK36" i="47" s="1"/>
  <c r="AK37" i="47" s="1"/>
  <c r="AK38" i="47" s="1"/>
  <c r="AK39" i="47" s="1"/>
  <c r="AK5" i="47"/>
  <c r="AJ16" i="47" s="1"/>
  <c r="L50" i="46"/>
  <c r="P53" i="46"/>
  <c r="Q43" i="46"/>
  <c r="P43" i="46"/>
  <c r="O43" i="46"/>
  <c r="N43" i="46"/>
  <c r="M43" i="46"/>
  <c r="L43" i="46"/>
  <c r="H43" i="46"/>
  <c r="G43" i="46"/>
  <c r="F43" i="46"/>
  <c r="E43" i="46"/>
  <c r="D43" i="46"/>
  <c r="C43" i="46"/>
  <c r="B43" i="46"/>
  <c r="R42" i="46"/>
  <c r="BV25" i="32" s="1"/>
  <c r="Q42" i="46"/>
  <c r="BS25" i="32" s="1"/>
  <c r="P42" i="46"/>
  <c r="BP25" i="32" s="1"/>
  <c r="O42" i="46"/>
  <c r="BM25" i="32" s="1"/>
  <c r="N42" i="46"/>
  <c r="BJ25" i="32" s="1"/>
  <c r="M42" i="46"/>
  <c r="BG25" i="32" s="1"/>
  <c r="L42" i="46"/>
  <c r="BD25" i="32" s="1"/>
  <c r="K42" i="46"/>
  <c r="AZ25" i="32" s="1"/>
  <c r="J42" i="46"/>
  <c r="J44" i="46" s="1"/>
  <c r="I42" i="46"/>
  <c r="AW25" i="32" s="1"/>
  <c r="H42" i="46"/>
  <c r="AT25" i="32" s="1"/>
  <c r="G42" i="46"/>
  <c r="AQ25" i="32" s="1"/>
  <c r="F42" i="46"/>
  <c r="AN25" i="32" s="1"/>
  <c r="AK25" i="32"/>
  <c r="AH25" i="32"/>
  <c r="AD25" i="32"/>
  <c r="AA25" i="32"/>
  <c r="R41" i="46"/>
  <c r="BU25" i="32" s="1"/>
  <c r="Q41" i="46"/>
  <c r="BR25" i="32" s="1"/>
  <c r="P41" i="46"/>
  <c r="BO25" i="32" s="1"/>
  <c r="O41" i="46"/>
  <c r="BL25" i="32" s="1"/>
  <c r="N41" i="46"/>
  <c r="BI25" i="32" s="1"/>
  <c r="M41" i="46"/>
  <c r="BF25" i="32" s="1"/>
  <c r="L41" i="46"/>
  <c r="BC25" i="32" s="1"/>
  <c r="K41" i="46"/>
  <c r="AY25" i="32" s="1"/>
  <c r="I41" i="46"/>
  <c r="AV25" i="32" s="1"/>
  <c r="H41" i="46"/>
  <c r="AS25" i="32" s="1"/>
  <c r="G41" i="46"/>
  <c r="AP25" i="32" s="1"/>
  <c r="F41" i="46"/>
  <c r="AM25" i="32" s="1"/>
  <c r="AJ25" i="32"/>
  <c r="AG25" i="32"/>
  <c r="AC25" i="32"/>
  <c r="Z25" i="32"/>
  <c r="R40" i="46"/>
  <c r="M50" i="46" s="1"/>
  <c r="L25" i="32" s="1"/>
  <c r="Q44" i="46"/>
  <c r="BT25" i="32" s="1"/>
  <c r="P40" i="46"/>
  <c r="O47" i="46" s="1"/>
  <c r="O40" i="46"/>
  <c r="O46" i="46" s="1"/>
  <c r="N40" i="46"/>
  <c r="M40" i="46"/>
  <c r="BH25" i="32" s="1"/>
  <c r="L40" i="46"/>
  <c r="BE25" i="32" s="1"/>
  <c r="BA25" i="32"/>
  <c r="I40" i="46"/>
  <c r="AX25" i="32" s="1"/>
  <c r="H40" i="46"/>
  <c r="AU25" i="32" s="1"/>
  <c r="G40" i="46"/>
  <c r="AR25" i="32" s="1"/>
  <c r="F40" i="46"/>
  <c r="AS39" i="46"/>
  <c r="AG39" i="46"/>
  <c r="AC39" i="46"/>
  <c r="AB39" i="46"/>
  <c r="AS38" i="46"/>
  <c r="AG38" i="46"/>
  <c r="AC38" i="46"/>
  <c r="AB38" i="46"/>
  <c r="AS37" i="46"/>
  <c r="AG37" i="46"/>
  <c r="AC37" i="46"/>
  <c r="AB37" i="46"/>
  <c r="AS36" i="46"/>
  <c r="AG36" i="46"/>
  <c r="AC36" i="46"/>
  <c r="AB36" i="46"/>
  <c r="AS35" i="46"/>
  <c r="AG35" i="46"/>
  <c r="AC35" i="46"/>
  <c r="AB35" i="46"/>
  <c r="AS34" i="46"/>
  <c r="AG34" i="46"/>
  <c r="AC34" i="46"/>
  <c r="AB34" i="46"/>
  <c r="AS33" i="46"/>
  <c r="AG33" i="46"/>
  <c r="AC33" i="46"/>
  <c r="AB33" i="46"/>
  <c r="AS32" i="46"/>
  <c r="AG32" i="46"/>
  <c r="AC32" i="46"/>
  <c r="AB32" i="46"/>
  <c r="AS31" i="46"/>
  <c r="AG31" i="46"/>
  <c r="AC31" i="46"/>
  <c r="AB31" i="46"/>
  <c r="AS30" i="46"/>
  <c r="AG30" i="46"/>
  <c r="AC30" i="46"/>
  <c r="AB30" i="46"/>
  <c r="AS29" i="46"/>
  <c r="AG29" i="46"/>
  <c r="AC29" i="46"/>
  <c r="AB29" i="46"/>
  <c r="AS28" i="46"/>
  <c r="AG28" i="46"/>
  <c r="AC28" i="46"/>
  <c r="AB28" i="46"/>
  <c r="AS27" i="46"/>
  <c r="AG27" i="46"/>
  <c r="AC27" i="46"/>
  <c r="AB27" i="46"/>
  <c r="AS26" i="46"/>
  <c r="AG26" i="46"/>
  <c r="AC26" i="46"/>
  <c r="AB26" i="46"/>
  <c r="AS25" i="46"/>
  <c r="AG25" i="46"/>
  <c r="AC25" i="46"/>
  <c r="AB25" i="46"/>
  <c r="AS24" i="46"/>
  <c r="AG24" i="46"/>
  <c r="AC24" i="46"/>
  <c r="AB24" i="46"/>
  <c r="AS23" i="46"/>
  <c r="AG23" i="46"/>
  <c r="AC23" i="46"/>
  <c r="AB23" i="46"/>
  <c r="AS22" i="46"/>
  <c r="AG22" i="46"/>
  <c r="AC22" i="46"/>
  <c r="AB22" i="46"/>
  <c r="AS21" i="46"/>
  <c r="AG21" i="46"/>
  <c r="AC21" i="46"/>
  <c r="AB21" i="46"/>
  <c r="AS20" i="46"/>
  <c r="AG20" i="46"/>
  <c r="AC20" i="46"/>
  <c r="AB20" i="46"/>
  <c r="AS19" i="46"/>
  <c r="AG19" i="46"/>
  <c r="AC19" i="46"/>
  <c r="AB19" i="46"/>
  <c r="AS18" i="46"/>
  <c r="AG18" i="46"/>
  <c r="AC18" i="46"/>
  <c r="AB18" i="46"/>
  <c r="AS17" i="46"/>
  <c r="AG17" i="46"/>
  <c r="AC17" i="46"/>
  <c r="AB17" i="46"/>
  <c r="AS16" i="46"/>
  <c r="AG16" i="46"/>
  <c r="AC16" i="46"/>
  <c r="AB16" i="46"/>
  <c r="R15" i="46"/>
  <c r="N50" i="46" s="1"/>
  <c r="AK10" i="46"/>
  <c r="AN16" i="46" s="1"/>
  <c r="AT16" i="46" s="1"/>
  <c r="AK9" i="46"/>
  <c r="AR16" i="46" s="1"/>
  <c r="AR17" i="46" s="1"/>
  <c r="AR18" i="46" s="1"/>
  <c r="AR19" i="46" s="1"/>
  <c r="AR20" i="46" s="1"/>
  <c r="AR21" i="46" s="1"/>
  <c r="AR22" i="46" s="1"/>
  <c r="AR23" i="46" s="1"/>
  <c r="AR24" i="46" s="1"/>
  <c r="AR25" i="46" s="1"/>
  <c r="AR26" i="46" s="1"/>
  <c r="AR27" i="46" s="1"/>
  <c r="AR28" i="46" s="1"/>
  <c r="AR29" i="46" s="1"/>
  <c r="AR30" i="46" s="1"/>
  <c r="AR31" i="46" s="1"/>
  <c r="AR32" i="46" s="1"/>
  <c r="AR33" i="46" s="1"/>
  <c r="AR34" i="46" s="1"/>
  <c r="AR35" i="46" s="1"/>
  <c r="AR36" i="46" s="1"/>
  <c r="AR37" i="46" s="1"/>
  <c r="AR38" i="46" s="1"/>
  <c r="AR39" i="46" s="1"/>
  <c r="AK7" i="46"/>
  <c r="AL16" i="46" s="1"/>
  <c r="AL17" i="46" s="1"/>
  <c r="AL18" i="46" s="1"/>
  <c r="AL19" i="46" s="1"/>
  <c r="AL20" i="46" s="1"/>
  <c r="AL21" i="46" s="1"/>
  <c r="AL22" i="46" s="1"/>
  <c r="AL23" i="46" s="1"/>
  <c r="AL24" i="46" s="1"/>
  <c r="AL25" i="46" s="1"/>
  <c r="AL26" i="46" s="1"/>
  <c r="AL27" i="46" s="1"/>
  <c r="AL28" i="46" s="1"/>
  <c r="AL29" i="46" s="1"/>
  <c r="AL30" i="46" s="1"/>
  <c r="AL31" i="46" s="1"/>
  <c r="AL32" i="46" s="1"/>
  <c r="AL33" i="46" s="1"/>
  <c r="AL34" i="46" s="1"/>
  <c r="AL35" i="46" s="1"/>
  <c r="AL36" i="46" s="1"/>
  <c r="AL37" i="46" s="1"/>
  <c r="AL38" i="46" s="1"/>
  <c r="AL39" i="46" s="1"/>
  <c r="AK6" i="46"/>
  <c r="AK16" i="46" s="1"/>
  <c r="AK17" i="46" s="1"/>
  <c r="AK18" i="46" s="1"/>
  <c r="AK19" i="46" s="1"/>
  <c r="AK20" i="46" s="1"/>
  <c r="AK21" i="46" s="1"/>
  <c r="AK22" i="46" s="1"/>
  <c r="AK23" i="46" s="1"/>
  <c r="AK24" i="46" s="1"/>
  <c r="AK25" i="46" s="1"/>
  <c r="AK26" i="46" s="1"/>
  <c r="AK27" i="46" s="1"/>
  <c r="AK28" i="46" s="1"/>
  <c r="AK29" i="46" s="1"/>
  <c r="AK30" i="46" s="1"/>
  <c r="AK31" i="46" s="1"/>
  <c r="AK32" i="46" s="1"/>
  <c r="AK33" i="46" s="1"/>
  <c r="AK34" i="46" s="1"/>
  <c r="AK35" i="46" s="1"/>
  <c r="AK36" i="46" s="1"/>
  <c r="AK37" i="46" s="1"/>
  <c r="AK38" i="46" s="1"/>
  <c r="AK39" i="46" s="1"/>
  <c r="AK5" i="46"/>
  <c r="AJ16" i="46" s="1"/>
  <c r="L50" i="45"/>
  <c r="P53" i="45"/>
  <c r="Q43" i="45"/>
  <c r="P43" i="45"/>
  <c r="O43" i="45"/>
  <c r="N43" i="45"/>
  <c r="M43" i="45"/>
  <c r="L43" i="45"/>
  <c r="H43" i="45"/>
  <c r="G43" i="45"/>
  <c r="F43" i="45"/>
  <c r="E43" i="45"/>
  <c r="D43" i="45"/>
  <c r="C43" i="45"/>
  <c r="B43" i="45"/>
  <c r="R42" i="45"/>
  <c r="BV24" i="32" s="1"/>
  <c r="Q42" i="45"/>
  <c r="BS24" i="32" s="1"/>
  <c r="P42" i="45"/>
  <c r="BP24" i="32" s="1"/>
  <c r="O42" i="45"/>
  <c r="BM24" i="32" s="1"/>
  <c r="N42" i="45"/>
  <c r="BJ24" i="32" s="1"/>
  <c r="M42" i="45"/>
  <c r="BG24" i="32" s="1"/>
  <c r="L42" i="45"/>
  <c r="BD24" i="32" s="1"/>
  <c r="K42" i="45"/>
  <c r="AZ24" i="32" s="1"/>
  <c r="J42" i="45"/>
  <c r="J44" i="45" s="1"/>
  <c r="I42" i="45"/>
  <c r="AW24" i="32" s="1"/>
  <c r="H42" i="45"/>
  <c r="AT24" i="32" s="1"/>
  <c r="G42" i="45"/>
  <c r="AQ24" i="32" s="1"/>
  <c r="F42" i="45"/>
  <c r="AN24" i="32" s="1"/>
  <c r="AK24" i="32"/>
  <c r="AH24" i="32"/>
  <c r="AD24" i="32"/>
  <c r="AA24" i="32"/>
  <c r="R41" i="45"/>
  <c r="BU24" i="32" s="1"/>
  <c r="Q41" i="45"/>
  <c r="BR24" i="32" s="1"/>
  <c r="P41" i="45"/>
  <c r="BO24" i="32" s="1"/>
  <c r="O41" i="45"/>
  <c r="BL24" i="32" s="1"/>
  <c r="N41" i="45"/>
  <c r="BI24" i="32" s="1"/>
  <c r="M41" i="45"/>
  <c r="BF24" i="32" s="1"/>
  <c r="L41" i="45"/>
  <c r="BC24" i="32" s="1"/>
  <c r="K41" i="45"/>
  <c r="AY24" i="32" s="1"/>
  <c r="I41" i="45"/>
  <c r="AV24" i="32" s="1"/>
  <c r="H41" i="45"/>
  <c r="AS24" i="32" s="1"/>
  <c r="G41" i="45"/>
  <c r="AP24" i="32" s="1"/>
  <c r="F41" i="45"/>
  <c r="AM24" i="32" s="1"/>
  <c r="AJ24" i="32"/>
  <c r="AG24" i="32"/>
  <c r="AC24" i="32"/>
  <c r="Z24" i="32"/>
  <c r="R40" i="45"/>
  <c r="BW24" i="32" s="1"/>
  <c r="Q44" i="45"/>
  <c r="BT24" i="32" s="1"/>
  <c r="P40" i="45"/>
  <c r="O47" i="45" s="1"/>
  <c r="O40" i="45"/>
  <c r="O46" i="45" s="1"/>
  <c r="N40" i="45"/>
  <c r="M48" i="45" s="1"/>
  <c r="M40" i="45"/>
  <c r="BH24" i="32" s="1"/>
  <c r="L40" i="45"/>
  <c r="BE24" i="32" s="1"/>
  <c r="BA24" i="32"/>
  <c r="I40" i="45"/>
  <c r="AX24" i="32" s="1"/>
  <c r="H40" i="45"/>
  <c r="AU24" i="32" s="1"/>
  <c r="G40" i="45"/>
  <c r="AR24" i="32" s="1"/>
  <c r="F40" i="45"/>
  <c r="AS39" i="45"/>
  <c r="AG39" i="45"/>
  <c r="AC39" i="45"/>
  <c r="AB39" i="45"/>
  <c r="AS38" i="45"/>
  <c r="AG38" i="45"/>
  <c r="AC38" i="45"/>
  <c r="AB38" i="45"/>
  <c r="AS37" i="45"/>
  <c r="AG37" i="45"/>
  <c r="AC37" i="45"/>
  <c r="AB37" i="45"/>
  <c r="AS36" i="45"/>
  <c r="AG36" i="45"/>
  <c r="AC36" i="45"/>
  <c r="AB36" i="45"/>
  <c r="AS35" i="45"/>
  <c r="AG35" i="45"/>
  <c r="AC35" i="45"/>
  <c r="AB35" i="45"/>
  <c r="AS34" i="45"/>
  <c r="AG34" i="45"/>
  <c r="AC34" i="45"/>
  <c r="AB34" i="45"/>
  <c r="AS33" i="45"/>
  <c r="AG33" i="45"/>
  <c r="AC33" i="45"/>
  <c r="AB33" i="45"/>
  <c r="AS32" i="45"/>
  <c r="AG32" i="45"/>
  <c r="AC32" i="45"/>
  <c r="AB32" i="45"/>
  <c r="AS31" i="45"/>
  <c r="AG31" i="45"/>
  <c r="AC31" i="45"/>
  <c r="AB31" i="45"/>
  <c r="AS30" i="45"/>
  <c r="AG30" i="45"/>
  <c r="AC30" i="45"/>
  <c r="AB30" i="45"/>
  <c r="AS29" i="45"/>
  <c r="AG29" i="45"/>
  <c r="AC29" i="45"/>
  <c r="AB29" i="45"/>
  <c r="AS28" i="45"/>
  <c r="AG28" i="45"/>
  <c r="AC28" i="45"/>
  <c r="AB28" i="45"/>
  <c r="AS27" i="45"/>
  <c r="AG27" i="45"/>
  <c r="AC27" i="45"/>
  <c r="AB27" i="45"/>
  <c r="AS26" i="45"/>
  <c r="AG26" i="45"/>
  <c r="AC26" i="45"/>
  <c r="AB26" i="45"/>
  <c r="AS25" i="45"/>
  <c r="AG25" i="45"/>
  <c r="AC25" i="45"/>
  <c r="AB25" i="45"/>
  <c r="AS24" i="45"/>
  <c r="AG24" i="45"/>
  <c r="AC24" i="45"/>
  <c r="AB24" i="45"/>
  <c r="AS23" i="45"/>
  <c r="AG23" i="45"/>
  <c r="AC23" i="45"/>
  <c r="AB23" i="45"/>
  <c r="AS22" i="45"/>
  <c r="AG22" i="45"/>
  <c r="AC22" i="45"/>
  <c r="AB22" i="45"/>
  <c r="AS21" i="45"/>
  <c r="AG21" i="45"/>
  <c r="AC21" i="45"/>
  <c r="AB21" i="45"/>
  <c r="AS20" i="45"/>
  <c r="AG20" i="45"/>
  <c r="AC20" i="45"/>
  <c r="AB20" i="45"/>
  <c r="AS19" i="45"/>
  <c r="AG19" i="45"/>
  <c r="AC19" i="45"/>
  <c r="AB19" i="45"/>
  <c r="AS18" i="45"/>
  <c r="AG18" i="45"/>
  <c r="AC18" i="45"/>
  <c r="AB18" i="45"/>
  <c r="AS17" i="45"/>
  <c r="AG17" i="45"/>
  <c r="AC17" i="45"/>
  <c r="AB17" i="45"/>
  <c r="AS16" i="45"/>
  <c r="AG16" i="45"/>
  <c r="AC16" i="45"/>
  <c r="AB16" i="45"/>
  <c r="R15" i="45"/>
  <c r="N50" i="45" s="1"/>
  <c r="AK10" i="45"/>
  <c r="AN16" i="45" s="1"/>
  <c r="AK9" i="45"/>
  <c r="AR16" i="45" s="1"/>
  <c r="AR17" i="45" s="1"/>
  <c r="AR18" i="45" s="1"/>
  <c r="AR19" i="45" s="1"/>
  <c r="AR20" i="45" s="1"/>
  <c r="AR21" i="45" s="1"/>
  <c r="AR22" i="45" s="1"/>
  <c r="AR23" i="45" s="1"/>
  <c r="AR24" i="45" s="1"/>
  <c r="AR25" i="45" s="1"/>
  <c r="AR26" i="45" s="1"/>
  <c r="AR27" i="45" s="1"/>
  <c r="AR28" i="45" s="1"/>
  <c r="AR29" i="45" s="1"/>
  <c r="AR30" i="45" s="1"/>
  <c r="AR31" i="45" s="1"/>
  <c r="AR32" i="45" s="1"/>
  <c r="AR33" i="45" s="1"/>
  <c r="AR34" i="45" s="1"/>
  <c r="AR35" i="45" s="1"/>
  <c r="AR36" i="45" s="1"/>
  <c r="AR37" i="45" s="1"/>
  <c r="AR38" i="45" s="1"/>
  <c r="AR39" i="45" s="1"/>
  <c r="AK7" i="45"/>
  <c r="AL16" i="45" s="1"/>
  <c r="AL17" i="45" s="1"/>
  <c r="AL18" i="45" s="1"/>
  <c r="AL19" i="45" s="1"/>
  <c r="AL20" i="45" s="1"/>
  <c r="AL21" i="45" s="1"/>
  <c r="AL22" i="45" s="1"/>
  <c r="AL23" i="45" s="1"/>
  <c r="AL24" i="45" s="1"/>
  <c r="AL25" i="45" s="1"/>
  <c r="AL26" i="45" s="1"/>
  <c r="AL27" i="45" s="1"/>
  <c r="AL28" i="45" s="1"/>
  <c r="AL29" i="45" s="1"/>
  <c r="AL30" i="45" s="1"/>
  <c r="AL31" i="45" s="1"/>
  <c r="AL32" i="45" s="1"/>
  <c r="AL33" i="45" s="1"/>
  <c r="AL34" i="45" s="1"/>
  <c r="AL35" i="45" s="1"/>
  <c r="AL36" i="45" s="1"/>
  <c r="AL37" i="45" s="1"/>
  <c r="AL38" i="45" s="1"/>
  <c r="AL39" i="45" s="1"/>
  <c r="AK6" i="45"/>
  <c r="AK16" i="45" s="1"/>
  <c r="AK17" i="45" s="1"/>
  <c r="AK18" i="45" s="1"/>
  <c r="AK19" i="45" s="1"/>
  <c r="AK20" i="45" s="1"/>
  <c r="AK21" i="45" s="1"/>
  <c r="AK22" i="45" s="1"/>
  <c r="AK23" i="45" s="1"/>
  <c r="AK24" i="45" s="1"/>
  <c r="AK25" i="45" s="1"/>
  <c r="AK26" i="45" s="1"/>
  <c r="AK27" i="45" s="1"/>
  <c r="AK28" i="45" s="1"/>
  <c r="AK29" i="45" s="1"/>
  <c r="AK30" i="45" s="1"/>
  <c r="AK31" i="45" s="1"/>
  <c r="AK32" i="45" s="1"/>
  <c r="AK33" i="45" s="1"/>
  <c r="AK34" i="45" s="1"/>
  <c r="AK35" i="45" s="1"/>
  <c r="AK36" i="45" s="1"/>
  <c r="AK37" i="45" s="1"/>
  <c r="AK38" i="45" s="1"/>
  <c r="AK39" i="45" s="1"/>
  <c r="AK5" i="45"/>
  <c r="AJ16" i="45" s="1"/>
  <c r="AO16" i="45" s="1"/>
  <c r="L50" i="44"/>
  <c r="P53" i="44"/>
  <c r="Q43" i="44"/>
  <c r="P43" i="44"/>
  <c r="O43" i="44"/>
  <c r="N43" i="44"/>
  <c r="M43" i="44"/>
  <c r="L43" i="44"/>
  <c r="H43" i="44"/>
  <c r="G43" i="44"/>
  <c r="F43" i="44"/>
  <c r="E43" i="44"/>
  <c r="D43" i="44"/>
  <c r="C43" i="44"/>
  <c r="B43" i="44"/>
  <c r="R42" i="44"/>
  <c r="BV23" i="32" s="1"/>
  <c r="Q42" i="44"/>
  <c r="BS23" i="32" s="1"/>
  <c r="P42" i="44"/>
  <c r="BP23" i="32" s="1"/>
  <c r="O42" i="44"/>
  <c r="BM23" i="32" s="1"/>
  <c r="N42" i="44"/>
  <c r="BJ23" i="32" s="1"/>
  <c r="M42" i="44"/>
  <c r="BG23" i="32" s="1"/>
  <c r="L42" i="44"/>
  <c r="BD23" i="32" s="1"/>
  <c r="K42" i="44"/>
  <c r="AZ23" i="32" s="1"/>
  <c r="J42" i="44"/>
  <c r="J44" i="44" s="1"/>
  <c r="I42" i="44"/>
  <c r="AW23" i="32" s="1"/>
  <c r="H42" i="44"/>
  <c r="AT23" i="32" s="1"/>
  <c r="G42" i="44"/>
  <c r="AQ23" i="32" s="1"/>
  <c r="F42" i="44"/>
  <c r="AN23" i="32" s="1"/>
  <c r="AK23" i="32"/>
  <c r="AH23" i="32"/>
  <c r="AD23" i="32"/>
  <c r="AA23" i="32"/>
  <c r="R41" i="44"/>
  <c r="BU23" i="32" s="1"/>
  <c r="Q41" i="44"/>
  <c r="BR23" i="32" s="1"/>
  <c r="P41" i="44"/>
  <c r="BO23" i="32" s="1"/>
  <c r="O41" i="44"/>
  <c r="BL23" i="32" s="1"/>
  <c r="N41" i="44"/>
  <c r="BI23" i="32" s="1"/>
  <c r="M41" i="44"/>
  <c r="BF23" i="32" s="1"/>
  <c r="L41" i="44"/>
  <c r="BC23" i="32" s="1"/>
  <c r="K41" i="44"/>
  <c r="AY23" i="32" s="1"/>
  <c r="I41" i="44"/>
  <c r="AV23" i="32" s="1"/>
  <c r="H41" i="44"/>
  <c r="AS23" i="32" s="1"/>
  <c r="G41" i="44"/>
  <c r="AP23" i="32" s="1"/>
  <c r="F41" i="44"/>
  <c r="AM23" i="32" s="1"/>
  <c r="AJ23" i="32"/>
  <c r="AG23" i="32"/>
  <c r="AC23" i="32"/>
  <c r="Z23" i="32"/>
  <c r="R40" i="44"/>
  <c r="BW23" i="32" s="1"/>
  <c r="Q44" i="44"/>
  <c r="BT23" i="32" s="1"/>
  <c r="P40" i="44"/>
  <c r="O47" i="44" s="1"/>
  <c r="O40" i="44"/>
  <c r="O46" i="44" s="1"/>
  <c r="N40" i="44"/>
  <c r="M40" i="44"/>
  <c r="BH23" i="32" s="1"/>
  <c r="L40" i="44"/>
  <c r="BE23" i="32" s="1"/>
  <c r="BA23" i="32"/>
  <c r="I40" i="44"/>
  <c r="AX23" i="32" s="1"/>
  <c r="H40" i="44"/>
  <c r="AU23" i="32" s="1"/>
  <c r="G40" i="44"/>
  <c r="AR23" i="32" s="1"/>
  <c r="F40" i="44"/>
  <c r="AS39" i="44"/>
  <c r="AG39" i="44"/>
  <c r="AC39" i="44"/>
  <c r="AB39" i="44"/>
  <c r="AS38" i="44"/>
  <c r="AG38" i="44"/>
  <c r="AC38" i="44"/>
  <c r="AB38" i="44"/>
  <c r="AS37" i="44"/>
  <c r="AG37" i="44"/>
  <c r="AC37" i="44"/>
  <c r="AB37" i="44"/>
  <c r="AS36" i="44"/>
  <c r="AG36" i="44"/>
  <c r="AC36" i="44"/>
  <c r="AB36" i="44"/>
  <c r="AS35" i="44"/>
  <c r="AG35" i="44"/>
  <c r="AC35" i="44"/>
  <c r="AB35" i="44"/>
  <c r="AS34" i="44"/>
  <c r="AG34" i="44"/>
  <c r="AC34" i="44"/>
  <c r="AB34" i="44"/>
  <c r="AS33" i="44"/>
  <c r="AG33" i="44"/>
  <c r="AC33" i="44"/>
  <c r="AB33" i="44"/>
  <c r="AS32" i="44"/>
  <c r="AG32" i="44"/>
  <c r="AC32" i="44"/>
  <c r="AB32" i="44"/>
  <c r="AS31" i="44"/>
  <c r="AG31" i="44"/>
  <c r="AC31" i="44"/>
  <c r="AB31" i="44"/>
  <c r="AS30" i="44"/>
  <c r="AG30" i="44"/>
  <c r="AC30" i="44"/>
  <c r="AB30" i="44"/>
  <c r="AS29" i="44"/>
  <c r="AG29" i="44"/>
  <c r="AC29" i="44"/>
  <c r="AB29" i="44"/>
  <c r="AS28" i="44"/>
  <c r="AG28" i="44"/>
  <c r="AC28" i="44"/>
  <c r="AB28" i="44"/>
  <c r="AS27" i="44"/>
  <c r="AG27" i="44"/>
  <c r="AC27" i="44"/>
  <c r="AB27" i="44"/>
  <c r="AS26" i="44"/>
  <c r="AG26" i="44"/>
  <c r="AC26" i="44"/>
  <c r="AB26" i="44"/>
  <c r="AS25" i="44"/>
  <c r="AG25" i="44"/>
  <c r="AC25" i="44"/>
  <c r="AB25" i="44"/>
  <c r="AS24" i="44"/>
  <c r="AG24" i="44"/>
  <c r="AC24" i="44"/>
  <c r="AB24" i="44"/>
  <c r="AS23" i="44"/>
  <c r="AG23" i="44"/>
  <c r="AC23" i="44"/>
  <c r="AB23" i="44"/>
  <c r="AS22" i="44"/>
  <c r="AG22" i="44"/>
  <c r="AC22" i="44"/>
  <c r="AB22" i="44"/>
  <c r="AS21" i="44"/>
  <c r="AG21" i="44"/>
  <c r="AC21" i="44"/>
  <c r="AB21" i="44"/>
  <c r="AS20" i="44"/>
  <c r="AG20" i="44"/>
  <c r="AC20" i="44"/>
  <c r="AB20" i="44"/>
  <c r="AS19" i="44"/>
  <c r="AG19" i="44"/>
  <c r="AC19" i="44"/>
  <c r="AB19" i="44"/>
  <c r="AS18" i="44"/>
  <c r="AG18" i="44"/>
  <c r="AC18" i="44"/>
  <c r="AB18" i="44"/>
  <c r="AS17" i="44"/>
  <c r="AG17" i="44"/>
  <c r="AC17" i="44"/>
  <c r="AB17" i="44"/>
  <c r="AS16" i="44"/>
  <c r="AG16" i="44"/>
  <c r="AC16" i="44"/>
  <c r="AB16" i="44"/>
  <c r="R15" i="44"/>
  <c r="N50" i="44" s="1"/>
  <c r="AK10" i="44"/>
  <c r="AN16" i="44" s="1"/>
  <c r="AT16" i="44" s="1"/>
  <c r="AK9" i="44"/>
  <c r="AR16" i="44" s="1"/>
  <c r="AR17" i="44" s="1"/>
  <c r="AR18" i="44" s="1"/>
  <c r="AR19" i="44" s="1"/>
  <c r="AR20" i="44" s="1"/>
  <c r="AR21" i="44" s="1"/>
  <c r="AR22" i="44" s="1"/>
  <c r="AR23" i="44" s="1"/>
  <c r="AR24" i="44" s="1"/>
  <c r="AR25" i="44" s="1"/>
  <c r="AR26" i="44" s="1"/>
  <c r="AR27" i="44" s="1"/>
  <c r="AR28" i="44" s="1"/>
  <c r="AR29" i="44" s="1"/>
  <c r="AR30" i="44" s="1"/>
  <c r="AR31" i="44" s="1"/>
  <c r="AR32" i="44" s="1"/>
  <c r="AR33" i="44" s="1"/>
  <c r="AR34" i="44" s="1"/>
  <c r="AR35" i="44" s="1"/>
  <c r="AR36" i="44" s="1"/>
  <c r="AR37" i="44" s="1"/>
  <c r="AR38" i="44" s="1"/>
  <c r="AR39" i="44" s="1"/>
  <c r="AK7" i="44"/>
  <c r="AL16" i="44" s="1"/>
  <c r="AL17" i="44" s="1"/>
  <c r="AL18" i="44" s="1"/>
  <c r="AL19" i="44" s="1"/>
  <c r="AL20" i="44" s="1"/>
  <c r="AL21" i="44" s="1"/>
  <c r="AL22" i="44" s="1"/>
  <c r="AL23" i="44" s="1"/>
  <c r="AL24" i="44" s="1"/>
  <c r="AL25" i="44" s="1"/>
  <c r="AL26" i="44" s="1"/>
  <c r="AL27" i="44" s="1"/>
  <c r="AL28" i="44" s="1"/>
  <c r="AL29" i="44" s="1"/>
  <c r="AL30" i="44" s="1"/>
  <c r="AL31" i="44" s="1"/>
  <c r="AL32" i="44" s="1"/>
  <c r="AL33" i="44" s="1"/>
  <c r="AL34" i="44" s="1"/>
  <c r="AL35" i="44" s="1"/>
  <c r="AL36" i="44" s="1"/>
  <c r="AL37" i="44" s="1"/>
  <c r="AL38" i="44" s="1"/>
  <c r="AL39" i="44" s="1"/>
  <c r="AK6" i="44"/>
  <c r="AK16" i="44" s="1"/>
  <c r="AK17" i="44" s="1"/>
  <c r="AK18" i="44" s="1"/>
  <c r="AK19" i="44" s="1"/>
  <c r="AK20" i="44" s="1"/>
  <c r="AK21" i="44" s="1"/>
  <c r="AK22" i="44" s="1"/>
  <c r="AK23" i="44" s="1"/>
  <c r="AK24" i="44" s="1"/>
  <c r="AK25" i="44" s="1"/>
  <c r="AK26" i="44" s="1"/>
  <c r="AK27" i="44" s="1"/>
  <c r="AK28" i="44" s="1"/>
  <c r="AK29" i="44" s="1"/>
  <c r="AK30" i="44" s="1"/>
  <c r="AK31" i="44" s="1"/>
  <c r="AK32" i="44" s="1"/>
  <c r="AK33" i="44" s="1"/>
  <c r="AK34" i="44" s="1"/>
  <c r="AK35" i="44" s="1"/>
  <c r="AK36" i="44" s="1"/>
  <c r="AK37" i="44" s="1"/>
  <c r="AK38" i="44" s="1"/>
  <c r="AK39" i="44" s="1"/>
  <c r="AK5" i="44"/>
  <c r="AJ16" i="44" s="1"/>
  <c r="AO16" i="44" s="1"/>
  <c r="L50" i="43"/>
  <c r="P53" i="43"/>
  <c r="Q43" i="43"/>
  <c r="P43" i="43"/>
  <c r="O43" i="43"/>
  <c r="N43" i="43"/>
  <c r="M43" i="43"/>
  <c r="L43" i="43"/>
  <c r="H43" i="43"/>
  <c r="G43" i="43"/>
  <c r="F43" i="43"/>
  <c r="E43" i="43"/>
  <c r="D43" i="43"/>
  <c r="C43" i="43"/>
  <c r="B43" i="43"/>
  <c r="R42" i="43"/>
  <c r="BV22" i="32" s="1"/>
  <c r="Q42" i="43"/>
  <c r="BS22" i="32" s="1"/>
  <c r="P42" i="43"/>
  <c r="BP22" i="32" s="1"/>
  <c r="O42" i="43"/>
  <c r="BM22" i="32" s="1"/>
  <c r="N42" i="43"/>
  <c r="BJ22" i="32" s="1"/>
  <c r="M42" i="43"/>
  <c r="BG22" i="32" s="1"/>
  <c r="L42" i="43"/>
  <c r="BD22" i="32" s="1"/>
  <c r="K42" i="43"/>
  <c r="AZ22" i="32" s="1"/>
  <c r="J42" i="43"/>
  <c r="J44" i="43" s="1"/>
  <c r="I42" i="43"/>
  <c r="AW22" i="32" s="1"/>
  <c r="H42" i="43"/>
  <c r="AT22" i="32" s="1"/>
  <c r="G42" i="43"/>
  <c r="AQ22" i="32" s="1"/>
  <c r="F42" i="43"/>
  <c r="AN22" i="32" s="1"/>
  <c r="AK22" i="32"/>
  <c r="AH22" i="32"/>
  <c r="AD22" i="32"/>
  <c r="AA22" i="32"/>
  <c r="R41" i="43"/>
  <c r="BU22" i="32" s="1"/>
  <c r="Q41" i="43"/>
  <c r="BR22" i="32" s="1"/>
  <c r="P41" i="43"/>
  <c r="BO22" i="32" s="1"/>
  <c r="O41" i="43"/>
  <c r="BL22" i="32" s="1"/>
  <c r="N41" i="43"/>
  <c r="BI22" i="32" s="1"/>
  <c r="M41" i="43"/>
  <c r="BF22" i="32" s="1"/>
  <c r="L41" i="43"/>
  <c r="BC22" i="32" s="1"/>
  <c r="K41" i="43"/>
  <c r="AY22" i="32" s="1"/>
  <c r="I41" i="43"/>
  <c r="AV22" i="32" s="1"/>
  <c r="H41" i="43"/>
  <c r="AS22" i="32" s="1"/>
  <c r="G41" i="43"/>
  <c r="AP22" i="32" s="1"/>
  <c r="F41" i="43"/>
  <c r="AM22" i="32" s="1"/>
  <c r="AJ22" i="32"/>
  <c r="AG22" i="32"/>
  <c r="AC22" i="32"/>
  <c r="Z22" i="32"/>
  <c r="R40" i="43"/>
  <c r="BW22" i="32" s="1"/>
  <c r="Q44" i="43"/>
  <c r="BT22" i="32" s="1"/>
  <c r="P40" i="43"/>
  <c r="O47" i="43" s="1"/>
  <c r="O40" i="43"/>
  <c r="O46" i="43" s="1"/>
  <c r="N40" i="43"/>
  <c r="M40" i="43"/>
  <c r="BH22" i="32" s="1"/>
  <c r="L40" i="43"/>
  <c r="BE22" i="32" s="1"/>
  <c r="BA22" i="32"/>
  <c r="I40" i="43"/>
  <c r="AX22" i="32" s="1"/>
  <c r="H40" i="43"/>
  <c r="AU22" i="32" s="1"/>
  <c r="G40" i="43"/>
  <c r="AR22" i="32" s="1"/>
  <c r="F40" i="43"/>
  <c r="AS39" i="43"/>
  <c r="AG39" i="43"/>
  <c r="AC39" i="43"/>
  <c r="AB39" i="43"/>
  <c r="AS38" i="43"/>
  <c r="AG38" i="43"/>
  <c r="AC38" i="43"/>
  <c r="AB38" i="43"/>
  <c r="AS37" i="43"/>
  <c r="AG37" i="43"/>
  <c r="AC37" i="43"/>
  <c r="AB37" i="43"/>
  <c r="AS36" i="43"/>
  <c r="AG36" i="43"/>
  <c r="AC36" i="43"/>
  <c r="AB36" i="43"/>
  <c r="AS35" i="43"/>
  <c r="AG35" i="43"/>
  <c r="AC35" i="43"/>
  <c r="AB35" i="43"/>
  <c r="AS34" i="43"/>
  <c r="AG34" i="43"/>
  <c r="AC34" i="43"/>
  <c r="AB34" i="43"/>
  <c r="AS33" i="43"/>
  <c r="AG33" i="43"/>
  <c r="AC33" i="43"/>
  <c r="AB33" i="43"/>
  <c r="AS32" i="43"/>
  <c r="AG32" i="43"/>
  <c r="AC32" i="43"/>
  <c r="AB32" i="43"/>
  <c r="AS31" i="43"/>
  <c r="AG31" i="43"/>
  <c r="AC31" i="43"/>
  <c r="AB31" i="43"/>
  <c r="AS30" i="43"/>
  <c r="AG30" i="43"/>
  <c r="AC30" i="43"/>
  <c r="AB30" i="43"/>
  <c r="AS29" i="43"/>
  <c r="AG29" i="43"/>
  <c r="AC29" i="43"/>
  <c r="AB29" i="43"/>
  <c r="AS28" i="43"/>
  <c r="AG28" i="43"/>
  <c r="AC28" i="43"/>
  <c r="AB28" i="43"/>
  <c r="AS27" i="43"/>
  <c r="AG27" i="43"/>
  <c r="AC27" i="43"/>
  <c r="AB27" i="43"/>
  <c r="AS26" i="43"/>
  <c r="AG26" i="43"/>
  <c r="AC26" i="43"/>
  <c r="AB26" i="43"/>
  <c r="AS25" i="43"/>
  <c r="AG25" i="43"/>
  <c r="AC25" i="43"/>
  <c r="AB25" i="43"/>
  <c r="AS24" i="43"/>
  <c r="AG24" i="43"/>
  <c r="AC24" i="43"/>
  <c r="AB24" i="43"/>
  <c r="AS23" i="43"/>
  <c r="AG23" i="43"/>
  <c r="AC23" i="43"/>
  <c r="AB23" i="43"/>
  <c r="AS22" i="43"/>
  <c r="AG22" i="43"/>
  <c r="AC22" i="43"/>
  <c r="AB22" i="43"/>
  <c r="AS21" i="43"/>
  <c r="AG21" i="43"/>
  <c r="AC21" i="43"/>
  <c r="AB21" i="43"/>
  <c r="AS20" i="43"/>
  <c r="AG20" i="43"/>
  <c r="AC20" i="43"/>
  <c r="AB20" i="43"/>
  <c r="AS19" i="43"/>
  <c r="AG19" i="43"/>
  <c r="AC19" i="43"/>
  <c r="AB19" i="43"/>
  <c r="AS18" i="43"/>
  <c r="AG18" i="43"/>
  <c r="AC18" i="43"/>
  <c r="AB18" i="43"/>
  <c r="AS17" i="43"/>
  <c r="AG17" i="43"/>
  <c r="AC17" i="43"/>
  <c r="AB17" i="43"/>
  <c r="AS16" i="43"/>
  <c r="AG16" i="43"/>
  <c r="AC16" i="43"/>
  <c r="AB16" i="43"/>
  <c r="R15" i="43"/>
  <c r="N50" i="43" s="1"/>
  <c r="AK10" i="43"/>
  <c r="AN16" i="43" s="1"/>
  <c r="AX16" i="43" s="1"/>
  <c r="AK9" i="43"/>
  <c r="AR16" i="43" s="1"/>
  <c r="AR17" i="43" s="1"/>
  <c r="AR18" i="43" s="1"/>
  <c r="AR19" i="43" s="1"/>
  <c r="AR20" i="43" s="1"/>
  <c r="AR21" i="43" s="1"/>
  <c r="AR22" i="43" s="1"/>
  <c r="AR23" i="43" s="1"/>
  <c r="AR24" i="43" s="1"/>
  <c r="AR25" i="43" s="1"/>
  <c r="AR26" i="43" s="1"/>
  <c r="AR27" i="43" s="1"/>
  <c r="AR28" i="43" s="1"/>
  <c r="AR29" i="43" s="1"/>
  <c r="AR30" i="43" s="1"/>
  <c r="AR31" i="43" s="1"/>
  <c r="AR32" i="43" s="1"/>
  <c r="AR33" i="43" s="1"/>
  <c r="AR34" i="43" s="1"/>
  <c r="AR35" i="43" s="1"/>
  <c r="AR36" i="43" s="1"/>
  <c r="AR37" i="43" s="1"/>
  <c r="AR38" i="43" s="1"/>
  <c r="AR39" i="43" s="1"/>
  <c r="AK7" i="43"/>
  <c r="AL16" i="43" s="1"/>
  <c r="AL17" i="43" s="1"/>
  <c r="AL18" i="43" s="1"/>
  <c r="AL19" i="43" s="1"/>
  <c r="AL20" i="43" s="1"/>
  <c r="AL21" i="43" s="1"/>
  <c r="AL22" i="43" s="1"/>
  <c r="AL23" i="43" s="1"/>
  <c r="AL24" i="43" s="1"/>
  <c r="AL25" i="43" s="1"/>
  <c r="AL26" i="43" s="1"/>
  <c r="AL27" i="43" s="1"/>
  <c r="AL28" i="43" s="1"/>
  <c r="AL29" i="43" s="1"/>
  <c r="AL30" i="43" s="1"/>
  <c r="AL31" i="43" s="1"/>
  <c r="AL32" i="43" s="1"/>
  <c r="AL33" i="43" s="1"/>
  <c r="AL34" i="43" s="1"/>
  <c r="AL35" i="43" s="1"/>
  <c r="AL36" i="43" s="1"/>
  <c r="AL37" i="43" s="1"/>
  <c r="AL38" i="43" s="1"/>
  <c r="AL39" i="43" s="1"/>
  <c r="AK6" i="43"/>
  <c r="AK16" i="43" s="1"/>
  <c r="AK17" i="43" s="1"/>
  <c r="AK18" i="43" s="1"/>
  <c r="AK19" i="43" s="1"/>
  <c r="AK20" i="43" s="1"/>
  <c r="AK21" i="43" s="1"/>
  <c r="AK22" i="43" s="1"/>
  <c r="AK23" i="43" s="1"/>
  <c r="AK24" i="43" s="1"/>
  <c r="AK25" i="43" s="1"/>
  <c r="AK26" i="43" s="1"/>
  <c r="AK27" i="43" s="1"/>
  <c r="AK28" i="43" s="1"/>
  <c r="AK29" i="43" s="1"/>
  <c r="AK30" i="43" s="1"/>
  <c r="AK31" i="43" s="1"/>
  <c r="AK32" i="43" s="1"/>
  <c r="AK33" i="43" s="1"/>
  <c r="AK34" i="43" s="1"/>
  <c r="AK35" i="43" s="1"/>
  <c r="AK36" i="43" s="1"/>
  <c r="AK37" i="43" s="1"/>
  <c r="AK38" i="43" s="1"/>
  <c r="AK39" i="43" s="1"/>
  <c r="AK5" i="43"/>
  <c r="AJ16" i="43" s="1"/>
  <c r="L50" i="42"/>
  <c r="P53" i="42"/>
  <c r="Q43" i="42"/>
  <c r="P43" i="42"/>
  <c r="O43" i="42"/>
  <c r="N43" i="42"/>
  <c r="M43" i="42"/>
  <c r="L43" i="42"/>
  <c r="H43" i="42"/>
  <c r="G43" i="42"/>
  <c r="F43" i="42"/>
  <c r="E43" i="42"/>
  <c r="D43" i="42"/>
  <c r="C43" i="42"/>
  <c r="B43" i="42"/>
  <c r="R42" i="42"/>
  <c r="BV21" i="32" s="1"/>
  <c r="Q42" i="42"/>
  <c r="BS21" i="32" s="1"/>
  <c r="P42" i="42"/>
  <c r="BP21" i="32" s="1"/>
  <c r="O42" i="42"/>
  <c r="BM21" i="32" s="1"/>
  <c r="N42" i="42"/>
  <c r="BJ21" i="32" s="1"/>
  <c r="M42" i="42"/>
  <c r="BG21" i="32" s="1"/>
  <c r="L42" i="42"/>
  <c r="BD21" i="32" s="1"/>
  <c r="K42" i="42"/>
  <c r="AZ21" i="32" s="1"/>
  <c r="J42" i="42"/>
  <c r="J44" i="42" s="1"/>
  <c r="I42" i="42"/>
  <c r="AW21" i="32" s="1"/>
  <c r="H42" i="42"/>
  <c r="AT21" i="32" s="1"/>
  <c r="G42" i="42"/>
  <c r="AQ21" i="32" s="1"/>
  <c r="F42" i="42"/>
  <c r="AN21" i="32" s="1"/>
  <c r="AK21" i="32"/>
  <c r="AH21" i="32"/>
  <c r="AD21" i="32"/>
  <c r="AA21" i="32"/>
  <c r="R41" i="42"/>
  <c r="BU21" i="32" s="1"/>
  <c r="Q41" i="42"/>
  <c r="BR21" i="32" s="1"/>
  <c r="P41" i="42"/>
  <c r="BO21" i="32" s="1"/>
  <c r="O41" i="42"/>
  <c r="BL21" i="32" s="1"/>
  <c r="N41" i="42"/>
  <c r="BI21" i="32" s="1"/>
  <c r="M41" i="42"/>
  <c r="BF21" i="32" s="1"/>
  <c r="L41" i="42"/>
  <c r="BC21" i="32" s="1"/>
  <c r="K41" i="42"/>
  <c r="AY21" i="32" s="1"/>
  <c r="I41" i="42"/>
  <c r="AV21" i="32" s="1"/>
  <c r="H41" i="42"/>
  <c r="AS21" i="32" s="1"/>
  <c r="G41" i="42"/>
  <c r="AP21" i="32" s="1"/>
  <c r="F41" i="42"/>
  <c r="AM21" i="32" s="1"/>
  <c r="AJ21" i="32"/>
  <c r="AG21" i="32"/>
  <c r="AC21" i="32"/>
  <c r="Z21" i="32"/>
  <c r="R40" i="42"/>
  <c r="M50" i="42" s="1"/>
  <c r="L21" i="32" s="1"/>
  <c r="Q44" i="42"/>
  <c r="BT21" i="32" s="1"/>
  <c r="P40" i="42"/>
  <c r="O47" i="42" s="1"/>
  <c r="O40" i="42"/>
  <c r="O46" i="42" s="1"/>
  <c r="N40" i="42"/>
  <c r="M40" i="42"/>
  <c r="BH21" i="32" s="1"/>
  <c r="L40" i="42"/>
  <c r="BE21" i="32" s="1"/>
  <c r="BA21" i="32"/>
  <c r="I40" i="42"/>
  <c r="AX21" i="32" s="1"/>
  <c r="H40" i="42"/>
  <c r="AU21" i="32" s="1"/>
  <c r="G40" i="42"/>
  <c r="AR21" i="32" s="1"/>
  <c r="F40" i="42"/>
  <c r="AS39" i="42"/>
  <c r="AG39" i="42"/>
  <c r="AC39" i="42"/>
  <c r="AB39" i="42"/>
  <c r="AS38" i="42"/>
  <c r="AG38" i="42"/>
  <c r="AC38" i="42"/>
  <c r="AB38" i="42"/>
  <c r="AS37" i="42"/>
  <c r="AG37" i="42"/>
  <c r="AC37" i="42"/>
  <c r="AB37" i="42"/>
  <c r="AS36" i="42"/>
  <c r="AG36" i="42"/>
  <c r="AC36" i="42"/>
  <c r="AB36" i="42"/>
  <c r="AS35" i="42"/>
  <c r="AG35" i="42"/>
  <c r="AC35" i="42"/>
  <c r="AB35" i="42"/>
  <c r="AS34" i="42"/>
  <c r="AG34" i="42"/>
  <c r="AC34" i="42"/>
  <c r="AB34" i="42"/>
  <c r="AS33" i="42"/>
  <c r="AG33" i="42"/>
  <c r="AC33" i="42"/>
  <c r="AB33" i="42"/>
  <c r="AS32" i="42"/>
  <c r="AG32" i="42"/>
  <c r="AC32" i="42"/>
  <c r="AB32" i="42"/>
  <c r="AS31" i="42"/>
  <c r="AG31" i="42"/>
  <c r="AC31" i="42"/>
  <c r="AB31" i="42"/>
  <c r="AS30" i="42"/>
  <c r="AG30" i="42"/>
  <c r="AC30" i="42"/>
  <c r="AB30" i="42"/>
  <c r="AS29" i="42"/>
  <c r="AG29" i="42"/>
  <c r="AC29" i="42"/>
  <c r="AB29" i="42"/>
  <c r="AS28" i="42"/>
  <c r="AG28" i="42"/>
  <c r="AC28" i="42"/>
  <c r="AB28" i="42"/>
  <c r="AS27" i="42"/>
  <c r="AG27" i="42"/>
  <c r="AC27" i="42"/>
  <c r="AB27" i="42"/>
  <c r="AS26" i="42"/>
  <c r="AG26" i="42"/>
  <c r="AC26" i="42"/>
  <c r="AB26" i="42"/>
  <c r="AS25" i="42"/>
  <c r="AG25" i="42"/>
  <c r="AC25" i="42"/>
  <c r="AB25" i="42"/>
  <c r="AS24" i="42"/>
  <c r="AG24" i="42"/>
  <c r="AC24" i="42"/>
  <c r="AB24" i="42"/>
  <c r="AS23" i="42"/>
  <c r="AG23" i="42"/>
  <c r="AC23" i="42"/>
  <c r="AB23" i="42"/>
  <c r="AS22" i="42"/>
  <c r="AG22" i="42"/>
  <c r="AC22" i="42"/>
  <c r="AB22" i="42"/>
  <c r="AS21" i="42"/>
  <c r="AG21" i="42"/>
  <c r="AC21" i="42"/>
  <c r="AB21" i="42"/>
  <c r="AS20" i="42"/>
  <c r="AG20" i="42"/>
  <c r="AC20" i="42"/>
  <c r="AB20" i="42"/>
  <c r="AS19" i="42"/>
  <c r="AG19" i="42"/>
  <c r="AC19" i="42"/>
  <c r="AB19" i="42"/>
  <c r="AS18" i="42"/>
  <c r="AG18" i="42"/>
  <c r="AC18" i="42"/>
  <c r="AB18" i="42"/>
  <c r="AS17" i="42"/>
  <c r="AG17" i="42"/>
  <c r="AC17" i="42"/>
  <c r="AB17" i="42"/>
  <c r="AS16" i="42"/>
  <c r="AG16" i="42"/>
  <c r="AC16" i="42"/>
  <c r="AB16" i="42"/>
  <c r="R15" i="42"/>
  <c r="N50" i="42" s="1"/>
  <c r="AK10" i="42"/>
  <c r="AN16" i="42" s="1"/>
  <c r="AK9" i="42"/>
  <c r="AR16" i="42" s="1"/>
  <c r="AR17" i="42" s="1"/>
  <c r="AR18" i="42" s="1"/>
  <c r="AR19" i="42" s="1"/>
  <c r="AR20" i="42" s="1"/>
  <c r="AR21" i="42" s="1"/>
  <c r="AR22" i="42" s="1"/>
  <c r="AR23" i="42" s="1"/>
  <c r="AR24" i="42" s="1"/>
  <c r="AR25" i="42" s="1"/>
  <c r="AR26" i="42" s="1"/>
  <c r="AR27" i="42" s="1"/>
  <c r="AR28" i="42" s="1"/>
  <c r="AR29" i="42" s="1"/>
  <c r="AR30" i="42" s="1"/>
  <c r="AR31" i="42" s="1"/>
  <c r="AR32" i="42" s="1"/>
  <c r="AR33" i="42" s="1"/>
  <c r="AR34" i="42" s="1"/>
  <c r="AR35" i="42" s="1"/>
  <c r="AR36" i="42" s="1"/>
  <c r="AR37" i="42" s="1"/>
  <c r="AR38" i="42" s="1"/>
  <c r="AR39" i="42" s="1"/>
  <c r="AK7" i="42"/>
  <c r="AL16" i="42" s="1"/>
  <c r="AL17" i="42" s="1"/>
  <c r="AL18" i="42" s="1"/>
  <c r="AL19" i="42" s="1"/>
  <c r="AL20" i="42" s="1"/>
  <c r="AL21" i="42" s="1"/>
  <c r="AL22" i="42" s="1"/>
  <c r="AL23" i="42" s="1"/>
  <c r="AL24" i="42" s="1"/>
  <c r="AL25" i="42" s="1"/>
  <c r="AL26" i="42" s="1"/>
  <c r="AL27" i="42" s="1"/>
  <c r="AL28" i="42" s="1"/>
  <c r="AL29" i="42" s="1"/>
  <c r="AL30" i="42" s="1"/>
  <c r="AL31" i="42" s="1"/>
  <c r="AL32" i="42" s="1"/>
  <c r="AL33" i="42" s="1"/>
  <c r="AL34" i="42" s="1"/>
  <c r="AL35" i="42" s="1"/>
  <c r="AL36" i="42" s="1"/>
  <c r="AL37" i="42" s="1"/>
  <c r="AL38" i="42" s="1"/>
  <c r="AL39" i="42" s="1"/>
  <c r="AK6" i="42"/>
  <c r="AK16" i="42" s="1"/>
  <c r="AK17" i="42" s="1"/>
  <c r="AK18" i="42" s="1"/>
  <c r="AK19" i="42" s="1"/>
  <c r="AK20" i="42" s="1"/>
  <c r="AK21" i="42" s="1"/>
  <c r="AK22" i="42" s="1"/>
  <c r="AK23" i="42" s="1"/>
  <c r="AK24" i="42" s="1"/>
  <c r="AK25" i="42" s="1"/>
  <c r="AK26" i="42" s="1"/>
  <c r="AK27" i="42" s="1"/>
  <c r="AK28" i="42" s="1"/>
  <c r="AK29" i="42" s="1"/>
  <c r="AK30" i="42" s="1"/>
  <c r="AK31" i="42" s="1"/>
  <c r="AK32" i="42" s="1"/>
  <c r="AK33" i="42" s="1"/>
  <c r="AK34" i="42" s="1"/>
  <c r="AK35" i="42" s="1"/>
  <c r="AK36" i="42" s="1"/>
  <c r="AK37" i="42" s="1"/>
  <c r="AK38" i="42" s="1"/>
  <c r="AK39" i="42" s="1"/>
  <c r="AK5" i="42"/>
  <c r="AJ16" i="42" s="1"/>
  <c r="L50" i="41"/>
  <c r="P53" i="41"/>
  <c r="Q43" i="41"/>
  <c r="P43" i="41"/>
  <c r="O43" i="41"/>
  <c r="N43" i="41"/>
  <c r="M43" i="41"/>
  <c r="L43" i="41"/>
  <c r="H43" i="41"/>
  <c r="G43" i="41"/>
  <c r="F43" i="41"/>
  <c r="E43" i="41"/>
  <c r="D43" i="41"/>
  <c r="C43" i="41"/>
  <c r="B43" i="41"/>
  <c r="R42" i="41"/>
  <c r="BV20" i="32" s="1"/>
  <c r="Q42" i="41"/>
  <c r="BS20" i="32" s="1"/>
  <c r="P42" i="41"/>
  <c r="BP20" i="32" s="1"/>
  <c r="O42" i="41"/>
  <c r="BM20" i="32" s="1"/>
  <c r="N42" i="41"/>
  <c r="BJ20" i="32" s="1"/>
  <c r="M42" i="41"/>
  <c r="BG20" i="32" s="1"/>
  <c r="L42" i="41"/>
  <c r="BD20" i="32" s="1"/>
  <c r="K42" i="41"/>
  <c r="AZ20" i="32" s="1"/>
  <c r="J42" i="41"/>
  <c r="J44" i="41" s="1"/>
  <c r="I42" i="41"/>
  <c r="AW20" i="32" s="1"/>
  <c r="H42" i="41"/>
  <c r="AT20" i="32" s="1"/>
  <c r="G42" i="41"/>
  <c r="AQ20" i="32" s="1"/>
  <c r="F42" i="41"/>
  <c r="AN20" i="32" s="1"/>
  <c r="AK20" i="32"/>
  <c r="AH20" i="32"/>
  <c r="AD20" i="32"/>
  <c r="AA20" i="32"/>
  <c r="R41" i="41"/>
  <c r="BU20" i="32" s="1"/>
  <c r="Q41" i="41"/>
  <c r="BR20" i="32" s="1"/>
  <c r="P41" i="41"/>
  <c r="BO20" i="32" s="1"/>
  <c r="O41" i="41"/>
  <c r="BL20" i="32" s="1"/>
  <c r="N41" i="41"/>
  <c r="BI20" i="32" s="1"/>
  <c r="M41" i="41"/>
  <c r="BF20" i="32" s="1"/>
  <c r="L41" i="41"/>
  <c r="BC20" i="32" s="1"/>
  <c r="K41" i="41"/>
  <c r="AY20" i="32" s="1"/>
  <c r="I41" i="41"/>
  <c r="AV20" i="32" s="1"/>
  <c r="H41" i="41"/>
  <c r="AS20" i="32" s="1"/>
  <c r="G41" i="41"/>
  <c r="AP20" i="32" s="1"/>
  <c r="F41" i="41"/>
  <c r="AM20" i="32" s="1"/>
  <c r="AJ20" i="32"/>
  <c r="AG20" i="32"/>
  <c r="AC20" i="32"/>
  <c r="Z20" i="32"/>
  <c r="R40" i="41"/>
  <c r="M50" i="41" s="1"/>
  <c r="L20" i="32" s="1"/>
  <c r="Q44" i="41"/>
  <c r="BT20" i="32" s="1"/>
  <c r="P40" i="41"/>
  <c r="O47" i="41" s="1"/>
  <c r="O40" i="41"/>
  <c r="O46" i="41" s="1"/>
  <c r="N40" i="41"/>
  <c r="M40" i="41"/>
  <c r="BH20" i="32" s="1"/>
  <c r="L40" i="41"/>
  <c r="BE20" i="32" s="1"/>
  <c r="BA20" i="32"/>
  <c r="I40" i="41"/>
  <c r="AX20" i="32" s="1"/>
  <c r="H40" i="41"/>
  <c r="AU20" i="32" s="1"/>
  <c r="G40" i="41"/>
  <c r="AR20" i="32" s="1"/>
  <c r="F40" i="41"/>
  <c r="K20" i="32" s="1"/>
  <c r="AS39" i="41"/>
  <c r="AG39" i="41"/>
  <c r="AC39" i="41"/>
  <c r="AB39" i="41"/>
  <c r="AS38" i="41"/>
  <c r="AG38" i="41"/>
  <c r="AC38" i="41"/>
  <c r="AB38" i="41"/>
  <c r="AS37" i="41"/>
  <c r="AG37" i="41"/>
  <c r="AC37" i="41"/>
  <c r="AB37" i="41"/>
  <c r="AS36" i="41"/>
  <c r="AG36" i="41"/>
  <c r="AC36" i="41"/>
  <c r="AB36" i="41"/>
  <c r="AS35" i="41"/>
  <c r="AG35" i="41"/>
  <c r="AC35" i="41"/>
  <c r="AB35" i="41"/>
  <c r="AS34" i="41"/>
  <c r="AG34" i="41"/>
  <c r="AC34" i="41"/>
  <c r="AB34" i="41"/>
  <c r="AS33" i="41"/>
  <c r="AG33" i="41"/>
  <c r="AC33" i="41"/>
  <c r="AB33" i="41"/>
  <c r="AS32" i="41"/>
  <c r="AG32" i="41"/>
  <c r="AC32" i="41"/>
  <c r="AB32" i="41"/>
  <c r="AS31" i="41"/>
  <c r="AG31" i="41"/>
  <c r="AC31" i="41"/>
  <c r="AB31" i="41"/>
  <c r="AS30" i="41"/>
  <c r="AG30" i="41"/>
  <c r="AC30" i="41"/>
  <c r="AB30" i="41"/>
  <c r="AS29" i="41"/>
  <c r="AG29" i="41"/>
  <c r="AC29" i="41"/>
  <c r="AB29" i="41"/>
  <c r="AS28" i="41"/>
  <c r="AG28" i="41"/>
  <c r="AC28" i="41"/>
  <c r="AB28" i="41"/>
  <c r="AS27" i="41"/>
  <c r="AG27" i="41"/>
  <c r="AC27" i="41"/>
  <c r="AB27" i="41"/>
  <c r="AS26" i="41"/>
  <c r="AG26" i="41"/>
  <c r="AC26" i="41"/>
  <c r="AB26" i="41"/>
  <c r="AS25" i="41"/>
  <c r="AG25" i="41"/>
  <c r="AC25" i="41"/>
  <c r="AB25" i="41"/>
  <c r="AS24" i="41"/>
  <c r="AG24" i="41"/>
  <c r="AC24" i="41"/>
  <c r="AB24" i="41"/>
  <c r="AS23" i="41"/>
  <c r="AG23" i="41"/>
  <c r="AC23" i="41"/>
  <c r="AB23" i="41"/>
  <c r="AS22" i="41"/>
  <c r="AG22" i="41"/>
  <c r="AC22" i="41"/>
  <c r="AB22" i="41"/>
  <c r="AS21" i="41"/>
  <c r="AG21" i="41"/>
  <c r="AC21" i="41"/>
  <c r="AB21" i="41"/>
  <c r="AS20" i="41"/>
  <c r="AG20" i="41"/>
  <c r="AC20" i="41"/>
  <c r="AB20" i="41"/>
  <c r="AS19" i="41"/>
  <c r="AG19" i="41"/>
  <c r="AC19" i="41"/>
  <c r="AB19" i="41"/>
  <c r="AS18" i="41"/>
  <c r="AG18" i="41"/>
  <c r="AC18" i="41"/>
  <c r="AB18" i="41"/>
  <c r="AS17" i="41"/>
  <c r="AG17" i="41"/>
  <c r="AC17" i="41"/>
  <c r="AB17" i="41"/>
  <c r="AS16" i="41"/>
  <c r="AG16" i="41"/>
  <c r="AC16" i="41"/>
  <c r="AB16" i="41"/>
  <c r="R15" i="41"/>
  <c r="N50" i="41" s="1"/>
  <c r="AK10" i="41"/>
  <c r="AN16" i="41" s="1"/>
  <c r="AN17" i="41" s="1"/>
  <c r="AK9" i="41"/>
  <c r="AR16" i="41" s="1"/>
  <c r="AR17" i="41" s="1"/>
  <c r="AR18" i="41" s="1"/>
  <c r="AR19" i="41" s="1"/>
  <c r="AR20" i="41" s="1"/>
  <c r="AR21" i="41" s="1"/>
  <c r="AR22" i="41" s="1"/>
  <c r="AR23" i="41" s="1"/>
  <c r="AR24" i="41" s="1"/>
  <c r="AR25" i="41" s="1"/>
  <c r="AR26" i="41" s="1"/>
  <c r="AR27" i="41" s="1"/>
  <c r="AR28" i="41" s="1"/>
  <c r="AR29" i="41" s="1"/>
  <c r="AR30" i="41" s="1"/>
  <c r="AR31" i="41" s="1"/>
  <c r="AR32" i="41" s="1"/>
  <c r="AR33" i="41" s="1"/>
  <c r="AR34" i="41" s="1"/>
  <c r="AR35" i="41" s="1"/>
  <c r="AR36" i="41" s="1"/>
  <c r="AR37" i="41" s="1"/>
  <c r="AR38" i="41" s="1"/>
  <c r="AR39" i="41" s="1"/>
  <c r="AK7" i="41"/>
  <c r="AL16" i="41" s="1"/>
  <c r="AL17" i="41" s="1"/>
  <c r="AL18" i="41" s="1"/>
  <c r="AL19" i="41" s="1"/>
  <c r="AL20" i="41" s="1"/>
  <c r="AL21" i="41" s="1"/>
  <c r="AL22" i="41" s="1"/>
  <c r="AL23" i="41" s="1"/>
  <c r="AL24" i="41" s="1"/>
  <c r="AL25" i="41" s="1"/>
  <c r="AL26" i="41" s="1"/>
  <c r="AL27" i="41" s="1"/>
  <c r="AL28" i="41" s="1"/>
  <c r="AL29" i="41" s="1"/>
  <c r="AL30" i="41" s="1"/>
  <c r="AL31" i="41" s="1"/>
  <c r="AL32" i="41" s="1"/>
  <c r="AL33" i="41" s="1"/>
  <c r="AL34" i="41" s="1"/>
  <c r="AL35" i="41" s="1"/>
  <c r="AL36" i="41" s="1"/>
  <c r="AL37" i="41" s="1"/>
  <c r="AL38" i="41" s="1"/>
  <c r="AL39" i="41" s="1"/>
  <c r="AK6" i="41"/>
  <c r="AK16" i="41" s="1"/>
  <c r="AK17" i="41" s="1"/>
  <c r="AK18" i="41" s="1"/>
  <c r="AK19" i="41" s="1"/>
  <c r="AK20" i="41" s="1"/>
  <c r="AK21" i="41" s="1"/>
  <c r="AK22" i="41" s="1"/>
  <c r="AK23" i="41" s="1"/>
  <c r="AK24" i="41" s="1"/>
  <c r="AK25" i="41" s="1"/>
  <c r="AK26" i="41" s="1"/>
  <c r="AK27" i="41" s="1"/>
  <c r="AK28" i="41" s="1"/>
  <c r="AK29" i="41" s="1"/>
  <c r="AK30" i="41" s="1"/>
  <c r="AK31" i="41" s="1"/>
  <c r="AK32" i="41" s="1"/>
  <c r="AK33" i="41" s="1"/>
  <c r="AK34" i="41" s="1"/>
  <c r="AK35" i="41" s="1"/>
  <c r="AK36" i="41" s="1"/>
  <c r="AK37" i="41" s="1"/>
  <c r="AK38" i="41" s="1"/>
  <c r="AK39" i="41" s="1"/>
  <c r="AK5" i="41"/>
  <c r="AJ16" i="41" s="1"/>
  <c r="L50" i="40"/>
  <c r="P53" i="40"/>
  <c r="Q43" i="40"/>
  <c r="P43" i="40"/>
  <c r="O43" i="40"/>
  <c r="N43" i="40"/>
  <c r="M43" i="40"/>
  <c r="L43" i="40"/>
  <c r="H43" i="40"/>
  <c r="G43" i="40"/>
  <c r="F43" i="40"/>
  <c r="E43" i="40"/>
  <c r="D43" i="40"/>
  <c r="C43" i="40"/>
  <c r="B43" i="40"/>
  <c r="R42" i="40"/>
  <c r="BV19" i="32" s="1"/>
  <c r="Q42" i="40"/>
  <c r="BS19" i="32" s="1"/>
  <c r="P42" i="40"/>
  <c r="BP19" i="32" s="1"/>
  <c r="O42" i="40"/>
  <c r="BM19" i="32" s="1"/>
  <c r="N42" i="40"/>
  <c r="BJ19" i="32" s="1"/>
  <c r="M42" i="40"/>
  <c r="BG19" i="32" s="1"/>
  <c r="L42" i="40"/>
  <c r="BD19" i="32" s="1"/>
  <c r="K42" i="40"/>
  <c r="AZ19" i="32" s="1"/>
  <c r="J42" i="40"/>
  <c r="J44" i="40" s="1"/>
  <c r="I42" i="40"/>
  <c r="AW19" i="32" s="1"/>
  <c r="H42" i="40"/>
  <c r="AT19" i="32" s="1"/>
  <c r="G42" i="40"/>
  <c r="AQ19" i="32" s="1"/>
  <c r="F42" i="40"/>
  <c r="AN19" i="32" s="1"/>
  <c r="AK19" i="32"/>
  <c r="AH19" i="32"/>
  <c r="AD19" i="32"/>
  <c r="AA19" i="32"/>
  <c r="R41" i="40"/>
  <c r="BU19" i="32" s="1"/>
  <c r="Q41" i="40"/>
  <c r="BR19" i="32" s="1"/>
  <c r="P41" i="40"/>
  <c r="BO19" i="32" s="1"/>
  <c r="O41" i="40"/>
  <c r="BL19" i="32" s="1"/>
  <c r="N41" i="40"/>
  <c r="BI19" i="32" s="1"/>
  <c r="M41" i="40"/>
  <c r="BF19" i="32" s="1"/>
  <c r="L41" i="40"/>
  <c r="BC19" i="32" s="1"/>
  <c r="K41" i="40"/>
  <c r="AY19" i="32" s="1"/>
  <c r="I41" i="40"/>
  <c r="AV19" i="32" s="1"/>
  <c r="H41" i="40"/>
  <c r="AS19" i="32" s="1"/>
  <c r="G41" i="40"/>
  <c r="AP19" i="32" s="1"/>
  <c r="F41" i="40"/>
  <c r="AM19" i="32" s="1"/>
  <c r="AJ19" i="32"/>
  <c r="AG19" i="32"/>
  <c r="AC19" i="32"/>
  <c r="Z19" i="32"/>
  <c r="R40" i="40"/>
  <c r="M50" i="40" s="1"/>
  <c r="L19" i="32" s="1"/>
  <c r="Q44" i="40"/>
  <c r="BT19" i="32" s="1"/>
  <c r="P40" i="40"/>
  <c r="O47" i="40" s="1"/>
  <c r="O40" i="40"/>
  <c r="O46" i="40" s="1"/>
  <c r="N40" i="40"/>
  <c r="M40" i="40"/>
  <c r="BH19" i="32" s="1"/>
  <c r="L40" i="40"/>
  <c r="BE19" i="32" s="1"/>
  <c r="BA19" i="32"/>
  <c r="I40" i="40"/>
  <c r="AX19" i="32" s="1"/>
  <c r="H40" i="40"/>
  <c r="AU19" i="32" s="1"/>
  <c r="G40" i="40"/>
  <c r="AR19" i="32" s="1"/>
  <c r="F40" i="40"/>
  <c r="AS39" i="40"/>
  <c r="AG39" i="40"/>
  <c r="AC39" i="40"/>
  <c r="AB39" i="40"/>
  <c r="AS38" i="40"/>
  <c r="AG38" i="40"/>
  <c r="AC38" i="40"/>
  <c r="AB38" i="40"/>
  <c r="AS37" i="40"/>
  <c r="AG37" i="40"/>
  <c r="AC37" i="40"/>
  <c r="AB37" i="40"/>
  <c r="AS36" i="40"/>
  <c r="AG36" i="40"/>
  <c r="AC36" i="40"/>
  <c r="AB36" i="40"/>
  <c r="AS35" i="40"/>
  <c r="AG35" i="40"/>
  <c r="AC35" i="40"/>
  <c r="AB35" i="40"/>
  <c r="AS34" i="40"/>
  <c r="AG34" i="40"/>
  <c r="AC34" i="40"/>
  <c r="AB34" i="40"/>
  <c r="AS33" i="40"/>
  <c r="AG33" i="40"/>
  <c r="AC33" i="40"/>
  <c r="AB33" i="40"/>
  <c r="AS32" i="40"/>
  <c r="AG32" i="40"/>
  <c r="AC32" i="40"/>
  <c r="AB32" i="40"/>
  <c r="AS31" i="40"/>
  <c r="AG31" i="40"/>
  <c r="AC31" i="40"/>
  <c r="AB31" i="40"/>
  <c r="AS30" i="40"/>
  <c r="AG30" i="40"/>
  <c r="AC30" i="40"/>
  <c r="AB30" i="40"/>
  <c r="AS29" i="40"/>
  <c r="AG29" i="40"/>
  <c r="AC29" i="40"/>
  <c r="AB29" i="40"/>
  <c r="AS28" i="40"/>
  <c r="AG28" i="40"/>
  <c r="AC28" i="40"/>
  <c r="AB28" i="40"/>
  <c r="AS27" i="40"/>
  <c r="AG27" i="40"/>
  <c r="AC27" i="40"/>
  <c r="AB27" i="40"/>
  <c r="AS26" i="40"/>
  <c r="AG26" i="40"/>
  <c r="AC26" i="40"/>
  <c r="AB26" i="40"/>
  <c r="AS25" i="40"/>
  <c r="AG25" i="40"/>
  <c r="AC25" i="40"/>
  <c r="AB25" i="40"/>
  <c r="AS24" i="40"/>
  <c r="AG24" i="40"/>
  <c r="AC24" i="40"/>
  <c r="AB24" i="40"/>
  <c r="AS23" i="40"/>
  <c r="AG23" i="40"/>
  <c r="AC23" i="40"/>
  <c r="AB23" i="40"/>
  <c r="AS22" i="40"/>
  <c r="AG22" i="40"/>
  <c r="AC22" i="40"/>
  <c r="AB22" i="40"/>
  <c r="AS21" i="40"/>
  <c r="AG21" i="40"/>
  <c r="AC21" i="40"/>
  <c r="AB21" i="40"/>
  <c r="AS20" i="40"/>
  <c r="AG20" i="40"/>
  <c r="AC20" i="40"/>
  <c r="AB20" i="40"/>
  <c r="AS19" i="40"/>
  <c r="AG19" i="40"/>
  <c r="AC19" i="40"/>
  <c r="AB19" i="40"/>
  <c r="AS18" i="40"/>
  <c r="AG18" i="40"/>
  <c r="AC18" i="40"/>
  <c r="AB18" i="40"/>
  <c r="AS17" i="40"/>
  <c r="AG17" i="40"/>
  <c r="AC17" i="40"/>
  <c r="AB17" i="40"/>
  <c r="AS16" i="40"/>
  <c r="AG16" i="40"/>
  <c r="AC16" i="40"/>
  <c r="AB16" i="40"/>
  <c r="R15" i="40"/>
  <c r="N50" i="40" s="1"/>
  <c r="AK10" i="40"/>
  <c r="AN16" i="40" s="1"/>
  <c r="AX16" i="40" s="1"/>
  <c r="AY16" i="40" s="1"/>
  <c r="AK9" i="40"/>
  <c r="AR16" i="40" s="1"/>
  <c r="AR17" i="40" s="1"/>
  <c r="AR18" i="40" s="1"/>
  <c r="AR19" i="40" s="1"/>
  <c r="AR20" i="40" s="1"/>
  <c r="AR21" i="40" s="1"/>
  <c r="AR22" i="40" s="1"/>
  <c r="AR23" i="40" s="1"/>
  <c r="AR24" i="40" s="1"/>
  <c r="AR25" i="40" s="1"/>
  <c r="AR26" i="40" s="1"/>
  <c r="AR27" i="40" s="1"/>
  <c r="AR28" i="40" s="1"/>
  <c r="AR29" i="40" s="1"/>
  <c r="AR30" i="40" s="1"/>
  <c r="AR31" i="40" s="1"/>
  <c r="AR32" i="40" s="1"/>
  <c r="AR33" i="40" s="1"/>
  <c r="AR34" i="40" s="1"/>
  <c r="AR35" i="40" s="1"/>
  <c r="AR36" i="40" s="1"/>
  <c r="AR37" i="40" s="1"/>
  <c r="AR38" i="40" s="1"/>
  <c r="AR39" i="40" s="1"/>
  <c r="AK7" i="40"/>
  <c r="AL16" i="40" s="1"/>
  <c r="AL17" i="40" s="1"/>
  <c r="AL18" i="40" s="1"/>
  <c r="AL19" i="40" s="1"/>
  <c r="AL20" i="40" s="1"/>
  <c r="AL21" i="40" s="1"/>
  <c r="AL22" i="40" s="1"/>
  <c r="AL23" i="40" s="1"/>
  <c r="AL24" i="40" s="1"/>
  <c r="AL25" i="40" s="1"/>
  <c r="AL26" i="40" s="1"/>
  <c r="AL27" i="40" s="1"/>
  <c r="AL28" i="40" s="1"/>
  <c r="AL29" i="40" s="1"/>
  <c r="AL30" i="40" s="1"/>
  <c r="AL31" i="40" s="1"/>
  <c r="AL32" i="40" s="1"/>
  <c r="AL33" i="40" s="1"/>
  <c r="AL34" i="40" s="1"/>
  <c r="AL35" i="40" s="1"/>
  <c r="AL36" i="40" s="1"/>
  <c r="AL37" i="40" s="1"/>
  <c r="AL38" i="40" s="1"/>
  <c r="AL39" i="40" s="1"/>
  <c r="AK6" i="40"/>
  <c r="AK16" i="40" s="1"/>
  <c r="AK17" i="40" s="1"/>
  <c r="AK18" i="40" s="1"/>
  <c r="AK19" i="40" s="1"/>
  <c r="AK20" i="40" s="1"/>
  <c r="AK21" i="40" s="1"/>
  <c r="AK22" i="40" s="1"/>
  <c r="AK23" i="40" s="1"/>
  <c r="AK24" i="40" s="1"/>
  <c r="AK25" i="40" s="1"/>
  <c r="AK26" i="40" s="1"/>
  <c r="AK27" i="40" s="1"/>
  <c r="AK28" i="40" s="1"/>
  <c r="AK29" i="40" s="1"/>
  <c r="AK30" i="40" s="1"/>
  <c r="AK31" i="40" s="1"/>
  <c r="AK32" i="40" s="1"/>
  <c r="AK33" i="40" s="1"/>
  <c r="AK34" i="40" s="1"/>
  <c r="AK35" i="40" s="1"/>
  <c r="AK36" i="40" s="1"/>
  <c r="AK37" i="40" s="1"/>
  <c r="AK38" i="40" s="1"/>
  <c r="AK39" i="40" s="1"/>
  <c r="AK5" i="40"/>
  <c r="AJ16" i="40" s="1"/>
  <c r="AJ17" i="40" s="1"/>
  <c r="V14" i="39" l="1"/>
  <c r="M47" i="49"/>
  <c r="M46" i="49"/>
  <c r="M47" i="50"/>
  <c r="V9" i="39"/>
  <c r="M47" i="44"/>
  <c r="U6" i="39"/>
  <c r="M46" i="41"/>
  <c r="U8" i="39"/>
  <c r="M46" i="43"/>
  <c r="U10" i="39"/>
  <c r="M46" i="45"/>
  <c r="U12" i="39"/>
  <c r="M46" i="47"/>
  <c r="V5" i="39"/>
  <c r="M47" i="40"/>
  <c r="V7" i="39"/>
  <c r="M47" i="42"/>
  <c r="V6" i="39"/>
  <c r="M47" i="41"/>
  <c r="V8" i="39"/>
  <c r="M47" i="43"/>
  <c r="V10" i="39"/>
  <c r="M47" i="45"/>
  <c r="V12" i="39"/>
  <c r="M47" i="47"/>
  <c r="V11" i="39"/>
  <c r="M47" i="46"/>
  <c r="V13" i="39"/>
  <c r="M47" i="48"/>
  <c r="U5" i="39"/>
  <c r="M46" i="40"/>
  <c r="U7" i="39"/>
  <c r="M46" i="42"/>
  <c r="U9" i="39"/>
  <c r="M46" i="44"/>
  <c r="U11" i="39"/>
  <c r="M46" i="46"/>
  <c r="U13" i="39"/>
  <c r="M46" i="48"/>
  <c r="M47" i="51"/>
  <c r="M46" i="50"/>
  <c r="BQ38" i="32"/>
  <c r="O47" i="56"/>
  <c r="V21" i="39" s="1"/>
  <c r="AB28" i="32"/>
  <c r="C28" i="32"/>
  <c r="AE29" i="32"/>
  <c r="D29" i="32"/>
  <c r="AB32" i="32"/>
  <c r="C32" i="32"/>
  <c r="AE44" i="32"/>
  <c r="D41" i="32"/>
  <c r="AE21" i="32"/>
  <c r="D21" i="32"/>
  <c r="AB24" i="32"/>
  <c r="C24" i="32"/>
  <c r="AB43" i="32"/>
  <c r="C40" i="32"/>
  <c r="AB47" i="32"/>
  <c r="C44" i="32"/>
  <c r="AE48" i="32"/>
  <c r="D45" i="32"/>
  <c r="AB19" i="32"/>
  <c r="C19" i="32"/>
  <c r="AE20" i="32"/>
  <c r="D20" i="32"/>
  <c r="AB23" i="32"/>
  <c r="C23" i="32"/>
  <c r="AE24" i="32"/>
  <c r="D24" i="32"/>
  <c r="AB27" i="32"/>
  <c r="C27" i="32"/>
  <c r="AE28" i="32"/>
  <c r="D28" i="32"/>
  <c r="AB31" i="32"/>
  <c r="C31" i="32"/>
  <c r="AE32" i="32"/>
  <c r="D32" i="32"/>
  <c r="AB38" i="32"/>
  <c r="C35" i="32"/>
  <c r="AE39" i="32"/>
  <c r="D36" i="32"/>
  <c r="AB42" i="32"/>
  <c r="C39" i="32"/>
  <c r="AE43" i="32"/>
  <c r="D40" i="32"/>
  <c r="AB46" i="32"/>
  <c r="C43" i="32"/>
  <c r="AE47" i="32"/>
  <c r="D44" i="32"/>
  <c r="AB50" i="32"/>
  <c r="C47" i="32"/>
  <c r="AB20" i="32"/>
  <c r="C20" i="32"/>
  <c r="AE25" i="32"/>
  <c r="D25" i="32"/>
  <c r="AB39" i="32"/>
  <c r="C36" i="32"/>
  <c r="AE40" i="32"/>
  <c r="D37" i="32"/>
  <c r="AE19" i="32"/>
  <c r="D19" i="32"/>
  <c r="AB22" i="32"/>
  <c r="C22" i="32"/>
  <c r="AE23" i="32"/>
  <c r="D23" i="32"/>
  <c r="AB26" i="32"/>
  <c r="C26" i="32"/>
  <c r="AE27" i="32"/>
  <c r="D27" i="32"/>
  <c r="AB30" i="32"/>
  <c r="C30" i="32"/>
  <c r="AE31" i="32"/>
  <c r="D31" i="32"/>
  <c r="AB37" i="32"/>
  <c r="C34" i="32"/>
  <c r="AE38" i="32"/>
  <c r="D35" i="32"/>
  <c r="AB41" i="32"/>
  <c r="C38" i="32"/>
  <c r="AE42" i="32"/>
  <c r="D39" i="32"/>
  <c r="AB45" i="32"/>
  <c r="C42" i="32"/>
  <c r="AE46" i="32"/>
  <c r="D43" i="32"/>
  <c r="AB49" i="32"/>
  <c r="C46" i="32"/>
  <c r="AE50" i="32"/>
  <c r="D47" i="32"/>
  <c r="AE36" i="32"/>
  <c r="D33" i="32"/>
  <c r="AB21" i="32"/>
  <c r="C21" i="32"/>
  <c r="AE22" i="32"/>
  <c r="D22" i="32"/>
  <c r="AB25" i="32"/>
  <c r="C25" i="32"/>
  <c r="AE26" i="32"/>
  <c r="D26" i="32"/>
  <c r="AB29" i="32"/>
  <c r="C29" i="32"/>
  <c r="AE30" i="32"/>
  <c r="D30" i="32"/>
  <c r="AB36" i="32"/>
  <c r="C33" i="32"/>
  <c r="AE37" i="32"/>
  <c r="D34" i="32"/>
  <c r="AB40" i="32"/>
  <c r="C37" i="32"/>
  <c r="AE41" i="32"/>
  <c r="D38" i="32"/>
  <c r="AB44" i="32"/>
  <c r="C41" i="32"/>
  <c r="AE45" i="32"/>
  <c r="D42" i="32"/>
  <c r="AB48" i="32"/>
  <c r="C45" i="32"/>
  <c r="AE49" i="32"/>
  <c r="D46" i="32"/>
  <c r="AC40" i="57"/>
  <c r="I49" i="57" s="1"/>
  <c r="M50" i="50"/>
  <c r="L29" i="32" s="1"/>
  <c r="AW16" i="44"/>
  <c r="AJ17" i="44"/>
  <c r="AU17" i="44" s="1"/>
  <c r="M50" i="59"/>
  <c r="L38" i="32" s="1"/>
  <c r="M50" i="60"/>
  <c r="L39" i="32" s="1"/>
  <c r="BW19" i="32"/>
  <c r="M50" i="57"/>
  <c r="L36" i="32" s="1"/>
  <c r="M50" i="43"/>
  <c r="L22" i="32" s="1"/>
  <c r="AG40" i="67"/>
  <c r="W49" i="32" s="1"/>
  <c r="AN17" i="45"/>
  <c r="AN18" i="45" s="1"/>
  <c r="AX16" i="45"/>
  <c r="AT16" i="45"/>
  <c r="AT16" i="61"/>
  <c r="AN17" i="61"/>
  <c r="AN18" i="61" s="1"/>
  <c r="AN19" i="61" s="1"/>
  <c r="AX16" i="61"/>
  <c r="AY16" i="61" s="1"/>
  <c r="AT16" i="58"/>
  <c r="AN17" i="58"/>
  <c r="AN18" i="58" s="1"/>
  <c r="AN19" i="58" s="1"/>
  <c r="AX16" i="58"/>
  <c r="AY16" i="58" s="1"/>
  <c r="AZ16" i="58" s="1"/>
  <c r="AN17" i="40"/>
  <c r="AN18" i="40" s="1"/>
  <c r="AW16" i="45"/>
  <c r="AN17" i="51"/>
  <c r="AN18" i="51" s="1"/>
  <c r="AN19" i="51" s="1"/>
  <c r="AP16" i="44"/>
  <c r="AQ16" i="44" s="1"/>
  <c r="AF29" i="50"/>
  <c r="AD43" i="64"/>
  <c r="Y46" i="32" s="1"/>
  <c r="AD43" i="65"/>
  <c r="Y47" i="32" s="1"/>
  <c r="M50" i="67"/>
  <c r="L46" i="32" s="1"/>
  <c r="BW49" i="32"/>
  <c r="M50" i="68"/>
  <c r="L47" i="32" s="1"/>
  <c r="BW50" i="32"/>
  <c r="BW38" i="32"/>
  <c r="AT16" i="43"/>
  <c r="AT16" i="51"/>
  <c r="M50" i="55"/>
  <c r="L34" i="32" s="1"/>
  <c r="AT16" i="40"/>
  <c r="AG40" i="40"/>
  <c r="W19" i="32" s="1"/>
  <c r="AX16" i="44"/>
  <c r="AY16" i="44" s="1"/>
  <c r="M50" i="44"/>
  <c r="L23" i="32" s="1"/>
  <c r="M50" i="45"/>
  <c r="L24" i="32" s="1"/>
  <c r="BW20" i="32"/>
  <c r="BW21" i="32"/>
  <c r="BW25" i="32"/>
  <c r="BW26" i="32"/>
  <c r="BW27" i="32"/>
  <c r="BW28" i="32"/>
  <c r="BW30" i="32"/>
  <c r="BW31" i="32"/>
  <c r="BW32" i="32"/>
  <c r="BW36" i="32"/>
  <c r="BW40" i="32"/>
  <c r="BW43" i="32"/>
  <c r="BW44" i="32"/>
  <c r="BW45" i="32"/>
  <c r="BW46" i="32"/>
  <c r="BW47" i="32"/>
  <c r="BW48" i="32"/>
  <c r="AF21" i="53"/>
  <c r="AF34" i="46"/>
  <c r="AF37" i="47"/>
  <c r="AF35" i="51"/>
  <c r="AC40" i="42"/>
  <c r="I49" i="42" s="1"/>
  <c r="O21" i="32" s="1"/>
  <c r="AF34" i="49"/>
  <c r="AF33" i="53"/>
  <c r="AF20" i="57"/>
  <c r="AF24" i="57"/>
  <c r="AF28" i="57"/>
  <c r="AF32" i="57"/>
  <c r="AF36" i="57"/>
  <c r="AF39" i="51"/>
  <c r="AF34" i="47"/>
  <c r="AC40" i="48"/>
  <c r="I49" i="48" s="1"/>
  <c r="O27" i="32" s="1"/>
  <c r="AF38" i="49"/>
  <c r="AF37" i="49"/>
  <c r="AF36" i="46"/>
  <c r="AF35" i="47"/>
  <c r="AF39" i="47"/>
  <c r="AF33" i="51"/>
  <c r="AF37" i="51"/>
  <c r="AF18" i="53"/>
  <c r="AF20" i="53"/>
  <c r="AF17" i="57"/>
  <c r="AF21" i="57"/>
  <c r="AF33" i="57"/>
  <c r="AF35" i="60"/>
  <c r="AF31" i="51"/>
  <c r="AF36" i="53"/>
  <c r="AC40" i="41"/>
  <c r="I49" i="41" s="1"/>
  <c r="O20" i="32" s="1"/>
  <c r="AF35" i="49"/>
  <c r="AF34" i="51"/>
  <c r="AC40" i="53"/>
  <c r="I49" i="53" s="1"/>
  <c r="AF29" i="53"/>
  <c r="AF31" i="53"/>
  <c r="AC40" i="55"/>
  <c r="I49" i="55" s="1"/>
  <c r="O34" i="32" s="1"/>
  <c r="AF18" i="57"/>
  <c r="AF22" i="57"/>
  <c r="AF26" i="57"/>
  <c r="AF30" i="57"/>
  <c r="AF34" i="57"/>
  <c r="AF38" i="57"/>
  <c r="AC40" i="43"/>
  <c r="I49" i="43" s="1"/>
  <c r="AF39" i="45"/>
  <c r="AB40" i="46"/>
  <c r="I48" i="46" s="1"/>
  <c r="AC40" i="50"/>
  <c r="I49" i="50" s="1"/>
  <c r="O29" i="32" s="1"/>
  <c r="AF32" i="50"/>
  <c r="AF34" i="50"/>
  <c r="AF36" i="50"/>
  <c r="AF38" i="50"/>
  <c r="AF17" i="51"/>
  <c r="AF23" i="51"/>
  <c r="AF27" i="51"/>
  <c r="AB40" i="54"/>
  <c r="I48" i="54" s="1"/>
  <c r="N33" i="32" s="1"/>
  <c r="AB40" i="55"/>
  <c r="I48" i="55" s="1"/>
  <c r="N34" i="32" s="1"/>
  <c r="AF19" i="55"/>
  <c r="AF21" i="55"/>
  <c r="AF23" i="55"/>
  <c r="AF25" i="55"/>
  <c r="AF27" i="55"/>
  <c r="AF29" i="55"/>
  <c r="AF31" i="55"/>
  <c r="AF33" i="55"/>
  <c r="AF35" i="55"/>
  <c r="AF37" i="55"/>
  <c r="AF39" i="55"/>
  <c r="AF16" i="56"/>
  <c r="AF32" i="56"/>
  <c r="AB40" i="59"/>
  <c r="I48" i="59" s="1"/>
  <c r="AF32" i="60"/>
  <c r="AF38" i="46"/>
  <c r="AC40" i="47"/>
  <c r="I49" i="47" s="1"/>
  <c r="O26" i="32" s="1"/>
  <c r="AF36" i="47"/>
  <c r="AF38" i="47"/>
  <c r="AF37" i="48"/>
  <c r="AF39" i="49"/>
  <c r="AB40" i="51"/>
  <c r="I48" i="51" s="1"/>
  <c r="N30" i="32" s="1"/>
  <c r="AF36" i="51"/>
  <c r="AB40" i="52"/>
  <c r="I48" i="52" s="1"/>
  <c r="N31" i="32" s="1"/>
  <c r="AF28" i="52"/>
  <c r="AF35" i="53"/>
  <c r="AF37" i="53"/>
  <c r="AF39" i="53"/>
  <c r="AC40" i="54"/>
  <c r="I49" i="54" s="1"/>
  <c r="O33" i="32" s="1"/>
  <c r="AF17" i="55"/>
  <c r="AB40" i="56"/>
  <c r="I48" i="56" s="1"/>
  <c r="N35" i="32" s="1"/>
  <c r="AF33" i="56"/>
  <c r="AF23" i="57"/>
  <c r="AF29" i="57"/>
  <c r="AF31" i="57"/>
  <c r="AF35" i="57"/>
  <c r="AF37" i="57"/>
  <c r="AF39" i="57"/>
  <c r="AB40" i="58"/>
  <c r="I48" i="58" s="1"/>
  <c r="N37" i="32" s="1"/>
  <c r="AC40" i="59"/>
  <c r="I49" i="59" s="1"/>
  <c r="AF25" i="59"/>
  <c r="AF29" i="59"/>
  <c r="AB40" i="41"/>
  <c r="I48" i="41" s="1"/>
  <c r="N20" i="32" s="1"/>
  <c r="AB40" i="42"/>
  <c r="I48" i="42" s="1"/>
  <c r="N21" i="32" s="1"/>
  <c r="AF37" i="44"/>
  <c r="AF36" i="45"/>
  <c r="AF38" i="45"/>
  <c r="AF35" i="48"/>
  <c r="AF33" i="50"/>
  <c r="AF37" i="50"/>
  <c r="AF25" i="51"/>
  <c r="AC40" i="52"/>
  <c r="I49" i="52" s="1"/>
  <c r="O31" i="32" s="1"/>
  <c r="AF19" i="53"/>
  <c r="AF22" i="53"/>
  <c r="AF20" i="55"/>
  <c r="AF22" i="55"/>
  <c r="AF24" i="55"/>
  <c r="AF26" i="55"/>
  <c r="AF28" i="55"/>
  <c r="AF30" i="55"/>
  <c r="AF32" i="55"/>
  <c r="AF34" i="55"/>
  <c r="AF36" i="55"/>
  <c r="AF38" i="55"/>
  <c r="AF18" i="56"/>
  <c r="AF26" i="56"/>
  <c r="AC40" i="58"/>
  <c r="I49" i="58" s="1"/>
  <c r="O37" i="32" s="1"/>
  <c r="AF18" i="59"/>
  <c r="AF33" i="63"/>
  <c r="AF37" i="63"/>
  <c r="K19" i="32"/>
  <c r="AO19" i="32"/>
  <c r="BN19" i="32"/>
  <c r="AG40" i="41"/>
  <c r="W20" i="32" s="1"/>
  <c r="E20" i="32"/>
  <c r="AI20" i="32"/>
  <c r="F21" i="32"/>
  <c r="AL21" i="32"/>
  <c r="M48" i="42"/>
  <c r="BK21" i="32"/>
  <c r="J21" i="32"/>
  <c r="E22" i="32"/>
  <c r="AI22" i="32"/>
  <c r="BQ23" i="32"/>
  <c r="K24" i="32"/>
  <c r="AO24" i="32"/>
  <c r="BN24" i="32"/>
  <c r="K25" i="32"/>
  <c r="AO25" i="32"/>
  <c r="BN25" i="32"/>
  <c r="F26" i="32"/>
  <c r="AL26" i="32"/>
  <c r="M48" i="47"/>
  <c r="J26" i="32"/>
  <c r="BK26" i="32"/>
  <c r="F27" i="32"/>
  <c r="AL27" i="32"/>
  <c r="M48" i="48"/>
  <c r="BK27" i="32"/>
  <c r="J27" i="32"/>
  <c r="BQ28" i="32"/>
  <c r="K29" i="32"/>
  <c r="AO29" i="32"/>
  <c r="BN29" i="32"/>
  <c r="AI30" i="32"/>
  <c r="E30" i="32"/>
  <c r="K31" i="32"/>
  <c r="AO31" i="32"/>
  <c r="BN31" i="32"/>
  <c r="F32" i="32"/>
  <c r="AL32" i="32"/>
  <c r="M48" i="53"/>
  <c r="BK32" i="32"/>
  <c r="J32" i="32"/>
  <c r="AG40" i="54"/>
  <c r="W36" i="32" s="1"/>
  <c r="E33" i="32"/>
  <c r="AI36" i="32"/>
  <c r="AO37" i="32"/>
  <c r="K34" i="32"/>
  <c r="BN37" i="32"/>
  <c r="AI38" i="32"/>
  <c r="E35" i="32"/>
  <c r="AI39" i="32"/>
  <c r="E36" i="32"/>
  <c r="AO40" i="32"/>
  <c r="K37" i="32"/>
  <c r="BN40" i="32"/>
  <c r="AL41" i="32"/>
  <c r="M48" i="59"/>
  <c r="BK41" i="32"/>
  <c r="J38" i="32"/>
  <c r="AG40" i="60"/>
  <c r="W42" i="32" s="1"/>
  <c r="E39" i="32"/>
  <c r="AI42" i="32"/>
  <c r="BQ43" i="32"/>
  <c r="BQ44" i="32"/>
  <c r="AO45" i="32"/>
  <c r="K42" i="32"/>
  <c r="BN45" i="32"/>
  <c r="K43" i="32"/>
  <c r="AO46" i="32"/>
  <c r="BN46" i="32"/>
  <c r="K44" i="32"/>
  <c r="AO47" i="32"/>
  <c r="BN47" i="32"/>
  <c r="K45" i="32"/>
  <c r="AO48" i="32"/>
  <c r="BN48" i="32"/>
  <c r="F46" i="32"/>
  <c r="AL49" i="32"/>
  <c r="M48" i="67"/>
  <c r="BK49" i="32"/>
  <c r="J46" i="32"/>
  <c r="F47" i="32"/>
  <c r="AL50" i="32"/>
  <c r="M48" i="68"/>
  <c r="BK50" i="32"/>
  <c r="J47" i="32"/>
  <c r="BN20" i="32"/>
  <c r="BQ21" i="32"/>
  <c r="AL20" i="32"/>
  <c r="F20" i="32"/>
  <c r="M48" i="41"/>
  <c r="J20" i="32"/>
  <c r="BK20" i="32"/>
  <c r="K21" i="32"/>
  <c r="AO21" i="32"/>
  <c r="BN21" i="32"/>
  <c r="AL22" i="32"/>
  <c r="F22" i="32"/>
  <c r="M48" i="43"/>
  <c r="BK22" i="32"/>
  <c r="J22" i="32"/>
  <c r="AI23" i="32"/>
  <c r="E23" i="32"/>
  <c r="BQ24" i="32"/>
  <c r="BQ25" i="32"/>
  <c r="AO26" i="32"/>
  <c r="K26" i="32"/>
  <c r="BN26" i="32"/>
  <c r="K27" i="32"/>
  <c r="AO27" i="32"/>
  <c r="BN27" i="32"/>
  <c r="AI28" i="32"/>
  <c r="E28" i="32"/>
  <c r="BQ29" i="32"/>
  <c r="F30" i="32"/>
  <c r="AL30" i="32"/>
  <c r="M48" i="51"/>
  <c r="J30" i="32"/>
  <c r="BK30" i="32"/>
  <c r="AD43" i="51"/>
  <c r="Y30" i="32" s="1"/>
  <c r="AG40" i="52"/>
  <c r="W31" i="32" s="1"/>
  <c r="BQ31" i="32"/>
  <c r="K32" i="32"/>
  <c r="AO32" i="32"/>
  <c r="BN32" i="32"/>
  <c r="AL36" i="32"/>
  <c r="F33" i="32"/>
  <c r="M48" i="54"/>
  <c r="BK36" i="32"/>
  <c r="J33" i="32"/>
  <c r="BQ37" i="32"/>
  <c r="AL38" i="32"/>
  <c r="F35" i="32"/>
  <c r="M48" i="56"/>
  <c r="BK38" i="32"/>
  <c r="J35" i="32"/>
  <c r="AL39" i="32"/>
  <c r="M48" i="57"/>
  <c r="BK39" i="32"/>
  <c r="J36" i="32"/>
  <c r="BQ40" i="32"/>
  <c r="K38" i="32"/>
  <c r="AO41" i="32"/>
  <c r="BN41" i="32"/>
  <c r="AL42" i="32"/>
  <c r="F39" i="32"/>
  <c r="M48" i="60"/>
  <c r="BK42" i="32"/>
  <c r="J39" i="32"/>
  <c r="AD43" i="60"/>
  <c r="Y42" i="32" s="1"/>
  <c r="AI43" i="32"/>
  <c r="E40" i="32"/>
  <c r="AG40" i="62"/>
  <c r="W44" i="32" s="1"/>
  <c r="E41" i="32"/>
  <c r="AI44" i="32"/>
  <c r="BQ45" i="32"/>
  <c r="BQ46" i="32"/>
  <c r="BQ47" i="32"/>
  <c r="BQ48" i="32"/>
  <c r="AO49" i="32"/>
  <c r="K46" i="32"/>
  <c r="BN49" i="32"/>
  <c r="K47" i="32"/>
  <c r="AO50" i="32"/>
  <c r="BN50" i="32"/>
  <c r="E19" i="32"/>
  <c r="AI19" i="32"/>
  <c r="K22" i="32"/>
  <c r="AO22" i="32"/>
  <c r="BN22" i="32"/>
  <c r="F23" i="32"/>
  <c r="AL23" i="32"/>
  <c r="M48" i="44"/>
  <c r="J23" i="32"/>
  <c r="BK23" i="32"/>
  <c r="AI24" i="32"/>
  <c r="E24" i="32"/>
  <c r="E25" i="32"/>
  <c r="AI25" i="32"/>
  <c r="AG40" i="47"/>
  <c r="W26" i="32" s="1"/>
  <c r="BQ26" i="32"/>
  <c r="BQ27" i="32"/>
  <c r="F28" i="32"/>
  <c r="AL28" i="32"/>
  <c r="M48" i="49"/>
  <c r="BK28" i="32"/>
  <c r="J28" i="32"/>
  <c r="E29" i="32"/>
  <c r="AI29" i="32"/>
  <c r="AO30" i="32"/>
  <c r="K30" i="32"/>
  <c r="BN30" i="32"/>
  <c r="AI31" i="32"/>
  <c r="E31" i="32"/>
  <c r="BQ32" i="32"/>
  <c r="AO36" i="32"/>
  <c r="K33" i="32"/>
  <c r="BN36" i="32"/>
  <c r="AI37" i="32"/>
  <c r="E34" i="32"/>
  <c r="AO38" i="32"/>
  <c r="K35" i="32"/>
  <c r="BN38" i="32"/>
  <c r="AO39" i="32"/>
  <c r="K36" i="32"/>
  <c r="BN39" i="32"/>
  <c r="AI40" i="32"/>
  <c r="E37" i="32"/>
  <c r="BQ41" i="32"/>
  <c r="K39" i="32"/>
  <c r="AO42" i="32"/>
  <c r="BN42" i="32"/>
  <c r="AL43" i="32"/>
  <c r="M48" i="61"/>
  <c r="BK43" i="32"/>
  <c r="J40" i="32"/>
  <c r="AL44" i="32"/>
  <c r="F41" i="32"/>
  <c r="M48" i="62"/>
  <c r="BK44" i="32"/>
  <c r="J41" i="32"/>
  <c r="AD43" i="62"/>
  <c r="Y44" i="32" s="1"/>
  <c r="AG40" i="63"/>
  <c r="W45" i="32" s="1"/>
  <c r="AI45" i="32"/>
  <c r="E42" i="32"/>
  <c r="AG40" i="64"/>
  <c r="W46" i="32" s="1"/>
  <c r="AI46" i="32"/>
  <c r="E43" i="32"/>
  <c r="AG40" i="65"/>
  <c r="W47" i="32" s="1"/>
  <c r="AI47" i="32"/>
  <c r="E44" i="32"/>
  <c r="E45" i="32"/>
  <c r="AI48" i="32"/>
  <c r="BQ49" i="32"/>
  <c r="BQ50" i="32"/>
  <c r="BQ19" i="32"/>
  <c r="AO20" i="32"/>
  <c r="F19" i="32"/>
  <c r="AL19" i="32"/>
  <c r="M48" i="40"/>
  <c r="J19" i="32"/>
  <c r="BK19" i="32"/>
  <c r="BQ20" i="32"/>
  <c r="AI21" i="32"/>
  <c r="E21" i="32"/>
  <c r="BQ22" i="32"/>
  <c r="AO23" i="32"/>
  <c r="K23" i="32"/>
  <c r="BN23" i="32"/>
  <c r="F24" i="32"/>
  <c r="AL24" i="32"/>
  <c r="BK24" i="32"/>
  <c r="J24" i="32"/>
  <c r="AL25" i="32"/>
  <c r="F25" i="32"/>
  <c r="M48" i="46"/>
  <c r="BK25" i="32"/>
  <c r="J25" i="32"/>
  <c r="AI26" i="32"/>
  <c r="E26" i="32"/>
  <c r="AI27" i="32"/>
  <c r="E27" i="32"/>
  <c r="K28" i="32"/>
  <c r="AO28" i="32"/>
  <c r="BN28" i="32"/>
  <c r="AL29" i="32"/>
  <c r="F29" i="32"/>
  <c r="M48" i="50"/>
  <c r="BK29" i="32"/>
  <c r="J29" i="32"/>
  <c r="BQ30" i="32"/>
  <c r="F31" i="32"/>
  <c r="AL31" i="32"/>
  <c r="M48" i="52"/>
  <c r="BK31" i="32"/>
  <c r="J31" i="32"/>
  <c r="AI32" i="32"/>
  <c r="E32" i="32"/>
  <c r="BQ36" i="32"/>
  <c r="AL37" i="32"/>
  <c r="M48" i="55"/>
  <c r="J34" i="32"/>
  <c r="BK37" i="32"/>
  <c r="BQ39" i="32"/>
  <c r="AL40" i="32"/>
  <c r="F37" i="32"/>
  <c r="M48" i="58"/>
  <c r="BK40" i="32"/>
  <c r="J37" i="32"/>
  <c r="AI41" i="32"/>
  <c r="E38" i="32"/>
  <c r="BQ42" i="32"/>
  <c r="K40" i="32"/>
  <c r="AO43" i="32"/>
  <c r="BN43" i="32"/>
  <c r="K41" i="32"/>
  <c r="AO44" i="32"/>
  <c r="BN44" i="32"/>
  <c r="AL45" i="32"/>
  <c r="M48" i="63"/>
  <c r="J42" i="32"/>
  <c r="BK45" i="32"/>
  <c r="F43" i="32"/>
  <c r="AL46" i="32"/>
  <c r="M48" i="64"/>
  <c r="BK46" i="32"/>
  <c r="J43" i="32"/>
  <c r="F44" i="32"/>
  <c r="AL47" i="32"/>
  <c r="M48" i="65"/>
  <c r="BK47" i="32"/>
  <c r="J44" i="32"/>
  <c r="AL48" i="32"/>
  <c r="F45" i="32"/>
  <c r="M48" i="66"/>
  <c r="BK48" i="32"/>
  <c r="J45" i="32"/>
  <c r="AI49" i="32"/>
  <c r="E46" i="32"/>
  <c r="AI50" i="32"/>
  <c r="E47" i="32"/>
  <c r="AD43" i="56"/>
  <c r="Y38" i="32" s="1"/>
  <c r="AG40" i="58"/>
  <c r="W40" i="32" s="1"/>
  <c r="AG40" i="59"/>
  <c r="W41" i="32" s="1"/>
  <c r="AD43" i="59"/>
  <c r="Y41" i="32" s="1"/>
  <c r="AG40" i="55"/>
  <c r="W37" i="32" s="1"/>
  <c r="AD43" i="55"/>
  <c r="Y37" i="32" s="1"/>
  <c r="AD43" i="57"/>
  <c r="Y39" i="32" s="1"/>
  <c r="AF32" i="61"/>
  <c r="AB40" i="60"/>
  <c r="I48" i="60" s="1"/>
  <c r="N39" i="32" s="1"/>
  <c r="AF36" i="60"/>
  <c r="AF38" i="60"/>
  <c r="AF30" i="61"/>
  <c r="AF36" i="62"/>
  <c r="AF35" i="63"/>
  <c r="AF24" i="61"/>
  <c r="AF35" i="61"/>
  <c r="AF37" i="61"/>
  <c r="AF39" i="61"/>
  <c r="AF33" i="62"/>
  <c r="AF38" i="62"/>
  <c r="AF23" i="63"/>
  <c r="AF31" i="63"/>
  <c r="AF39" i="63"/>
  <c r="AF37" i="60"/>
  <c r="AF39" i="60"/>
  <c r="AF26" i="61"/>
  <c r="AF33" i="61"/>
  <c r="AF34" i="61"/>
  <c r="AF36" i="61"/>
  <c r="AF38" i="61"/>
  <c r="AF35" i="62"/>
  <c r="AF37" i="62"/>
  <c r="AF39" i="62"/>
  <c r="AF36" i="63"/>
  <c r="AF38" i="63"/>
  <c r="AF22" i="60"/>
  <c r="AF26" i="60"/>
  <c r="AF28" i="60"/>
  <c r="AF28" i="61"/>
  <c r="AF23" i="62"/>
  <c r="AF25" i="62"/>
  <c r="AF27" i="62"/>
  <c r="AF29" i="62"/>
  <c r="AF27" i="63"/>
  <c r="AF29" i="63"/>
  <c r="AF30" i="60"/>
  <c r="AF34" i="60"/>
  <c r="AF27" i="61"/>
  <c r="AF29" i="61"/>
  <c r="AF31" i="62"/>
  <c r="AF25" i="63"/>
  <c r="AF24" i="60"/>
  <c r="AF25" i="60"/>
  <c r="AF27" i="60"/>
  <c r="AF29" i="60"/>
  <c r="AF31" i="60"/>
  <c r="AF33" i="60"/>
  <c r="AF31" i="61"/>
  <c r="AF22" i="62"/>
  <c r="AF24" i="62"/>
  <c r="AF26" i="62"/>
  <c r="AF28" i="62"/>
  <c r="AF30" i="62"/>
  <c r="AF32" i="62"/>
  <c r="AF34" i="62"/>
  <c r="AF26" i="63"/>
  <c r="AF28" i="63"/>
  <c r="AF30" i="63"/>
  <c r="AF32" i="63"/>
  <c r="AF34" i="63"/>
  <c r="AC40" i="60"/>
  <c r="AF17" i="60"/>
  <c r="AF22" i="61"/>
  <c r="AB40" i="62"/>
  <c r="AB40" i="63"/>
  <c r="AF19" i="60"/>
  <c r="AF23" i="60"/>
  <c r="AC40" i="62"/>
  <c r="AC40" i="63"/>
  <c r="I49" i="63" s="1"/>
  <c r="O42" i="32" s="1"/>
  <c r="AF22" i="63"/>
  <c r="AF24" i="63"/>
  <c r="AF18" i="62"/>
  <c r="AF20" i="62"/>
  <c r="AF16" i="63"/>
  <c r="AF21" i="60"/>
  <c r="AF17" i="62"/>
  <c r="AF16" i="60"/>
  <c r="AF18" i="60"/>
  <c r="AF20" i="60"/>
  <c r="AF18" i="61"/>
  <c r="AF21" i="62"/>
  <c r="AD43" i="61"/>
  <c r="Y43" i="32" s="1"/>
  <c r="AF26" i="67"/>
  <c r="AF30" i="67"/>
  <c r="AF34" i="67"/>
  <c r="AF38" i="67"/>
  <c r="AF26" i="68"/>
  <c r="AF30" i="68"/>
  <c r="AB40" i="64"/>
  <c r="I48" i="64" s="1"/>
  <c r="N43" i="32" s="1"/>
  <c r="AF20" i="64"/>
  <c r="AF24" i="64"/>
  <c r="AF28" i="64"/>
  <c r="AF36" i="64"/>
  <c r="AF31" i="67"/>
  <c r="AF23" i="68"/>
  <c r="AF31" i="68"/>
  <c r="AF34" i="68"/>
  <c r="AF38" i="68"/>
  <c r="AF24" i="67"/>
  <c r="AF21" i="64"/>
  <c r="AF25" i="64"/>
  <c r="AF29" i="64"/>
  <c r="AF33" i="64"/>
  <c r="AF37" i="64"/>
  <c r="AF37" i="65"/>
  <c r="AF37" i="66"/>
  <c r="AF29" i="67"/>
  <c r="AF37" i="67"/>
  <c r="AF29" i="68"/>
  <c r="AF37" i="68"/>
  <c r="AF24" i="68"/>
  <c r="AF26" i="64"/>
  <c r="AF30" i="64"/>
  <c r="AF34" i="64"/>
  <c r="AF27" i="67"/>
  <c r="AF28" i="67"/>
  <c r="AF35" i="67"/>
  <c r="AF28" i="68"/>
  <c r="AF35" i="68"/>
  <c r="AF36" i="68"/>
  <c r="AF32" i="67"/>
  <c r="AF23" i="64"/>
  <c r="AF27" i="64"/>
  <c r="AF31" i="64"/>
  <c r="AF35" i="64"/>
  <c r="AF33" i="67"/>
  <c r="AF21" i="65"/>
  <c r="AF25" i="65"/>
  <c r="AF29" i="65"/>
  <c r="AF25" i="66"/>
  <c r="AF29" i="66"/>
  <c r="AF33" i="66"/>
  <c r="AF18" i="64"/>
  <c r="AF26" i="65"/>
  <c r="AF30" i="65"/>
  <c r="AF34" i="66"/>
  <c r="AF16" i="68"/>
  <c r="AF23" i="65"/>
  <c r="AF31" i="65"/>
  <c r="AF35" i="65"/>
  <c r="AF27" i="66"/>
  <c r="AF31" i="66"/>
  <c r="AF35" i="66"/>
  <c r="AC40" i="64"/>
  <c r="AF22" i="64"/>
  <c r="AF32" i="64"/>
  <c r="AF38" i="64"/>
  <c r="AB40" i="65"/>
  <c r="AF20" i="65"/>
  <c r="AC40" i="66"/>
  <c r="I49" i="66" s="1"/>
  <c r="O45" i="32" s="1"/>
  <c r="AF17" i="66"/>
  <c r="AF21" i="66"/>
  <c r="AB40" i="67"/>
  <c r="AB40" i="68"/>
  <c r="I48" i="68" s="1"/>
  <c r="N47" i="32" s="1"/>
  <c r="AF32" i="68"/>
  <c r="AC40" i="65"/>
  <c r="AF39" i="65"/>
  <c r="AF39" i="66"/>
  <c r="AC40" i="67"/>
  <c r="AC40" i="68"/>
  <c r="AF17" i="68"/>
  <c r="AF21" i="68"/>
  <c r="AF16" i="67"/>
  <c r="AF39" i="64"/>
  <c r="AF18" i="65"/>
  <c r="AF22" i="65"/>
  <c r="AF24" i="65"/>
  <c r="AF28" i="65"/>
  <c r="AF32" i="65"/>
  <c r="AF34" i="65"/>
  <c r="AF36" i="65"/>
  <c r="AF38" i="65"/>
  <c r="AF16" i="66"/>
  <c r="AF23" i="66"/>
  <c r="AF24" i="66"/>
  <c r="AF26" i="66"/>
  <c r="AF30" i="66"/>
  <c r="AF36" i="66"/>
  <c r="AF38" i="66"/>
  <c r="AF25" i="67"/>
  <c r="AF39" i="67"/>
  <c r="AF39" i="68"/>
  <c r="AD43" i="66"/>
  <c r="Y48" i="32" s="1"/>
  <c r="AD43" i="67"/>
  <c r="Y49" i="32" s="1"/>
  <c r="AG40" i="68"/>
  <c r="W50" i="32" s="1"/>
  <c r="AD43" i="68"/>
  <c r="Y50" i="32" s="1"/>
  <c r="AD43" i="40"/>
  <c r="Y19" i="32" s="1"/>
  <c r="AD43" i="42"/>
  <c r="Y21" i="32" s="1"/>
  <c r="AD43" i="43"/>
  <c r="Y22" i="32" s="1"/>
  <c r="AD43" i="45"/>
  <c r="Y24" i="32" s="1"/>
  <c r="AD43" i="44"/>
  <c r="Y23" i="32" s="1"/>
  <c r="AG40" i="42"/>
  <c r="W21" i="32" s="1"/>
  <c r="AG40" i="49"/>
  <c r="W28" i="32" s="1"/>
  <c r="AD43" i="47"/>
  <c r="Y26" i="32" s="1"/>
  <c r="AD43" i="46"/>
  <c r="Y25" i="32" s="1"/>
  <c r="AG40" i="48"/>
  <c r="W27" i="32" s="1"/>
  <c r="AD43" i="49"/>
  <c r="Y28" i="32" s="1"/>
  <c r="AD43" i="50"/>
  <c r="Y29" i="32" s="1"/>
  <c r="AG40" i="51"/>
  <c r="W30" i="32" s="1"/>
  <c r="AD43" i="53"/>
  <c r="Y32" i="32" s="1"/>
  <c r="AD43" i="54"/>
  <c r="Y36" i="32" s="1"/>
  <c r="AF33" i="45"/>
  <c r="AF22" i="47"/>
  <c r="AF24" i="47"/>
  <c r="AF26" i="47"/>
  <c r="AF28" i="47"/>
  <c r="AF30" i="47"/>
  <c r="AF32" i="47"/>
  <c r="AF29" i="49"/>
  <c r="AF23" i="44"/>
  <c r="AF22" i="46"/>
  <c r="AF16" i="47"/>
  <c r="AF27" i="49"/>
  <c r="AF33" i="49"/>
  <c r="AF30" i="46"/>
  <c r="AF22" i="48"/>
  <c r="AF33" i="48"/>
  <c r="AF21" i="45"/>
  <c r="AF32" i="46"/>
  <c r="AF21" i="47"/>
  <c r="AF23" i="47"/>
  <c r="AF25" i="47"/>
  <c r="AF27" i="47"/>
  <c r="AF29" i="47"/>
  <c r="AF31" i="47"/>
  <c r="AF33" i="47"/>
  <c r="AF23" i="49"/>
  <c r="AF25" i="49"/>
  <c r="AB40" i="45"/>
  <c r="I48" i="45" s="1"/>
  <c r="N24" i="32" s="1"/>
  <c r="AF18" i="47"/>
  <c r="AF20" i="47"/>
  <c r="AB40" i="49"/>
  <c r="AF16" i="49"/>
  <c r="AC40" i="49"/>
  <c r="AB40" i="47"/>
  <c r="I48" i="47" s="1"/>
  <c r="N26" i="32" s="1"/>
  <c r="AF19" i="47"/>
  <c r="AF26" i="40"/>
  <c r="AF30" i="40"/>
  <c r="AF38" i="40"/>
  <c r="AF24" i="41"/>
  <c r="AF26" i="41"/>
  <c r="AF28" i="41"/>
  <c r="AF32" i="41"/>
  <c r="AF36" i="41"/>
  <c r="AF24" i="42"/>
  <c r="AF26" i="42"/>
  <c r="AF28" i="42"/>
  <c r="AF38" i="42"/>
  <c r="AF39" i="43"/>
  <c r="AF36" i="40"/>
  <c r="AF16" i="41"/>
  <c r="AF25" i="43"/>
  <c r="AF25" i="40"/>
  <c r="AF29" i="40"/>
  <c r="AF33" i="40"/>
  <c r="AF35" i="40"/>
  <c r="AF37" i="40"/>
  <c r="AF35" i="41"/>
  <c r="AF39" i="41"/>
  <c r="AF25" i="42"/>
  <c r="AF29" i="42"/>
  <c r="AJ17" i="55"/>
  <c r="AO16" i="55"/>
  <c r="AU16" i="55"/>
  <c r="AN17" i="56"/>
  <c r="AX16" i="56"/>
  <c r="AT16" i="56"/>
  <c r="AN18" i="55"/>
  <c r="AX17" i="55"/>
  <c r="AT17" i="55"/>
  <c r="AO16" i="56"/>
  <c r="AJ17" i="56"/>
  <c r="AU16" i="56"/>
  <c r="AD40" i="55"/>
  <c r="X37" i="32" s="1"/>
  <c r="AG40" i="56"/>
  <c r="W38" i="32" s="1"/>
  <c r="AF17" i="56"/>
  <c r="AF19" i="56"/>
  <c r="AF21" i="56"/>
  <c r="AF23" i="56"/>
  <c r="AF25" i="56"/>
  <c r="AF27" i="56"/>
  <c r="AF29" i="56"/>
  <c r="AN17" i="57"/>
  <c r="AX16" i="57"/>
  <c r="AT16" i="57"/>
  <c r="AG40" i="57"/>
  <c r="W39" i="32" s="1"/>
  <c r="AU18" i="57"/>
  <c r="AF25" i="57"/>
  <c r="AY16" i="59"/>
  <c r="AF20" i="56"/>
  <c r="AF22" i="56"/>
  <c r="AF24" i="56"/>
  <c r="AO16" i="57"/>
  <c r="AU16" i="59"/>
  <c r="AO16" i="59"/>
  <c r="AJ17" i="59"/>
  <c r="AF16" i="55"/>
  <c r="AF18" i="55"/>
  <c r="AC40" i="56"/>
  <c r="AF30" i="56"/>
  <c r="AF31" i="56"/>
  <c r="AF34" i="56"/>
  <c r="AF35" i="56"/>
  <c r="AF36" i="56"/>
  <c r="AF37" i="56"/>
  <c r="AF38" i="56"/>
  <c r="AF39" i="56"/>
  <c r="AB40" i="57"/>
  <c r="AU17" i="57"/>
  <c r="AO18" i="57"/>
  <c r="AF19" i="57"/>
  <c r="AF27" i="57"/>
  <c r="AF28" i="56"/>
  <c r="AD40" i="56"/>
  <c r="X38" i="32" s="1"/>
  <c r="AU19" i="57"/>
  <c r="AJ20" i="57"/>
  <c r="AO19" i="57"/>
  <c r="AT16" i="55"/>
  <c r="AX16" i="55"/>
  <c r="AU16" i="57"/>
  <c r="AO17" i="57"/>
  <c r="AU16" i="58"/>
  <c r="AJ17" i="58"/>
  <c r="AO16" i="58"/>
  <c r="AF16" i="57"/>
  <c r="O36" i="32"/>
  <c r="AF18" i="58"/>
  <c r="AF20" i="58"/>
  <c r="AF22" i="58"/>
  <c r="AF24" i="58"/>
  <c r="AF26" i="58"/>
  <c r="AF28" i="58"/>
  <c r="AF30" i="58"/>
  <c r="AF32" i="58"/>
  <c r="AF34" i="58"/>
  <c r="AF36" i="58"/>
  <c r="AF39" i="58"/>
  <c r="AT16" i="59"/>
  <c r="AF17" i="59"/>
  <c r="AN17" i="59"/>
  <c r="AF19" i="59"/>
  <c r="AN17" i="60"/>
  <c r="AX16" i="60"/>
  <c r="AT16" i="60"/>
  <c r="AD40" i="58"/>
  <c r="X40" i="32" s="1"/>
  <c r="AF16" i="58"/>
  <c r="AF38" i="58"/>
  <c r="O38" i="32"/>
  <c r="AF16" i="59"/>
  <c r="N38" i="32"/>
  <c r="AD40" i="59"/>
  <c r="X41" i="32" s="1"/>
  <c r="AF20" i="59"/>
  <c r="AF21" i="59"/>
  <c r="AO16" i="61"/>
  <c r="AU16" i="61"/>
  <c r="AJ17" i="61"/>
  <c r="AZ16" i="61"/>
  <c r="AD40" i="57"/>
  <c r="X39" i="32" s="1"/>
  <c r="AF17" i="58"/>
  <c r="AF19" i="58"/>
  <c r="AF21" i="58"/>
  <c r="AF23" i="58"/>
  <c r="AF25" i="58"/>
  <c r="AF27" i="58"/>
  <c r="AF29" i="58"/>
  <c r="AF31" i="58"/>
  <c r="AF33" i="58"/>
  <c r="AF35" i="58"/>
  <c r="AF37" i="58"/>
  <c r="AF23" i="59"/>
  <c r="AD43" i="58"/>
  <c r="Y40" i="32" s="1"/>
  <c r="AJ17" i="60"/>
  <c r="AO16" i="60"/>
  <c r="AU16" i="60"/>
  <c r="AF27" i="59"/>
  <c r="AF31" i="59"/>
  <c r="AF33" i="59"/>
  <c r="AF35" i="59"/>
  <c r="AF37" i="59"/>
  <c r="AF39" i="59"/>
  <c r="AD40" i="61"/>
  <c r="X43" i="32" s="1"/>
  <c r="AF20" i="61"/>
  <c r="AN18" i="62"/>
  <c r="AX17" i="62"/>
  <c r="AT17" i="62"/>
  <c r="AF22" i="59"/>
  <c r="AF24" i="59"/>
  <c r="AF26" i="59"/>
  <c r="AF28" i="59"/>
  <c r="AF30" i="59"/>
  <c r="AF32" i="59"/>
  <c r="AF34" i="59"/>
  <c r="AF36" i="59"/>
  <c r="AF38" i="59"/>
  <c r="AD40" i="60"/>
  <c r="X42" i="32" s="1"/>
  <c r="AB40" i="61"/>
  <c r="AG40" i="61"/>
  <c r="W43" i="32" s="1"/>
  <c r="AF17" i="61"/>
  <c r="AF19" i="61"/>
  <c r="AF21" i="61"/>
  <c r="AF23" i="61"/>
  <c r="AF25" i="61"/>
  <c r="AJ17" i="64"/>
  <c r="AO16" i="64"/>
  <c r="AU16" i="64"/>
  <c r="AC40" i="61"/>
  <c r="AJ17" i="63"/>
  <c r="AO16" i="63"/>
  <c r="AU16" i="63"/>
  <c r="AF16" i="61"/>
  <c r="AU16" i="62"/>
  <c r="AJ17" i="62"/>
  <c r="AO16" i="62"/>
  <c r="AN18" i="63"/>
  <c r="AX17" i="63"/>
  <c r="AT17" i="63"/>
  <c r="AF19" i="62"/>
  <c r="AD40" i="62"/>
  <c r="X44" i="32" s="1"/>
  <c r="AF17" i="63"/>
  <c r="AF19" i="63"/>
  <c r="AF21" i="63"/>
  <c r="AO16" i="65"/>
  <c r="AU16" i="65"/>
  <c r="AJ17" i="65"/>
  <c r="AF16" i="62"/>
  <c r="AD40" i="63"/>
  <c r="X45" i="32" s="1"/>
  <c r="AN18" i="65"/>
  <c r="AX17" i="65"/>
  <c r="AT17" i="65"/>
  <c r="AT16" i="62"/>
  <c r="AX16" i="62"/>
  <c r="AF18" i="63"/>
  <c r="AF20" i="63"/>
  <c r="AD43" i="63"/>
  <c r="Y45" i="32" s="1"/>
  <c r="AN18" i="64"/>
  <c r="AX17" i="64"/>
  <c r="AT17" i="64"/>
  <c r="AT16" i="63"/>
  <c r="AX16" i="63"/>
  <c r="AF17" i="64"/>
  <c r="AF19" i="64"/>
  <c r="AD40" i="65"/>
  <c r="X47" i="32" s="1"/>
  <c r="AT16" i="65"/>
  <c r="AX16" i="65"/>
  <c r="AD40" i="64"/>
  <c r="X46" i="32" s="1"/>
  <c r="AF17" i="65"/>
  <c r="AF19" i="65"/>
  <c r="AF27" i="65"/>
  <c r="AF33" i="65"/>
  <c r="AU16" i="66"/>
  <c r="AJ17" i="66"/>
  <c r="AO16" i="66"/>
  <c r="AF16" i="64"/>
  <c r="AN18" i="66"/>
  <c r="AX17" i="66"/>
  <c r="AT17" i="66"/>
  <c r="AT16" i="64"/>
  <c r="AX16" i="64"/>
  <c r="AF16" i="65"/>
  <c r="AF19" i="66"/>
  <c r="AN18" i="67"/>
  <c r="AX17" i="67"/>
  <c r="AT17" i="67"/>
  <c r="AF18" i="66"/>
  <c r="AF20" i="66"/>
  <c r="AF22" i="66"/>
  <c r="AF32" i="66"/>
  <c r="AD40" i="66"/>
  <c r="X48" i="32" s="1"/>
  <c r="AT16" i="66"/>
  <c r="AX16" i="66"/>
  <c r="AF28" i="66"/>
  <c r="AB40" i="66"/>
  <c r="AG40" i="66"/>
  <c r="W48" i="32" s="1"/>
  <c r="AJ17" i="67"/>
  <c r="AO16" i="67"/>
  <c r="AU16" i="67"/>
  <c r="AF17" i="67"/>
  <c r="AF19" i="67"/>
  <c r="AF21" i="67"/>
  <c r="AF23" i="67"/>
  <c r="AF36" i="67"/>
  <c r="AU16" i="68"/>
  <c r="AJ17" i="68"/>
  <c r="AO16" i="68"/>
  <c r="AF18" i="67"/>
  <c r="AF20" i="67"/>
  <c r="AF22" i="67"/>
  <c r="AN18" i="68"/>
  <c r="AX17" i="68"/>
  <c r="AT17" i="68"/>
  <c r="AD40" i="67"/>
  <c r="X49" i="32" s="1"/>
  <c r="AT16" i="67"/>
  <c r="AX16" i="67"/>
  <c r="AF19" i="68"/>
  <c r="AF18" i="68"/>
  <c r="AF20" i="68"/>
  <c r="AF22" i="68"/>
  <c r="AF27" i="68"/>
  <c r="AD40" i="68"/>
  <c r="X50" i="32" s="1"/>
  <c r="AT16" i="68"/>
  <c r="AX16" i="68"/>
  <c r="AF25" i="68"/>
  <c r="AF33" i="68"/>
  <c r="AN17" i="47"/>
  <c r="AX16" i="47"/>
  <c r="AT16" i="47"/>
  <c r="AO16" i="48"/>
  <c r="AU16" i="48"/>
  <c r="AJ17" i="48"/>
  <c r="AJ17" i="47"/>
  <c r="AO16" i="47"/>
  <c r="AU16" i="47"/>
  <c r="AN18" i="48"/>
  <c r="AX17" i="48"/>
  <c r="AT17" i="48"/>
  <c r="AF17" i="47"/>
  <c r="AD40" i="48"/>
  <c r="X27" i="32" s="1"/>
  <c r="AT16" i="48"/>
  <c r="AX16" i="48"/>
  <c r="AF18" i="48"/>
  <c r="AF20" i="48"/>
  <c r="AF24" i="48"/>
  <c r="AF26" i="48"/>
  <c r="AF28" i="48"/>
  <c r="AF29" i="48"/>
  <c r="AN18" i="49"/>
  <c r="AX17" i="49"/>
  <c r="AT17" i="49"/>
  <c r="AD40" i="47"/>
  <c r="X26" i="32" s="1"/>
  <c r="AB40" i="48"/>
  <c r="AF17" i="48"/>
  <c r="AF19" i="48"/>
  <c r="AF21" i="48"/>
  <c r="AF23" i="48"/>
  <c r="AF25" i="48"/>
  <c r="AF27" i="48"/>
  <c r="AF30" i="48"/>
  <c r="AF31" i="48"/>
  <c r="AF36" i="48"/>
  <c r="AF38" i="48"/>
  <c r="AF39" i="48"/>
  <c r="AD43" i="48"/>
  <c r="Y27" i="32" s="1"/>
  <c r="AF16" i="48"/>
  <c r="AF32" i="48"/>
  <c r="AF34" i="48"/>
  <c r="AJ17" i="49"/>
  <c r="AO16" i="49"/>
  <c r="AU16" i="49"/>
  <c r="AF17" i="49"/>
  <c r="AF19" i="49"/>
  <c r="AF21" i="49"/>
  <c r="AJ17" i="50"/>
  <c r="AO16" i="50"/>
  <c r="AU16" i="50"/>
  <c r="AF30" i="49"/>
  <c r="AN18" i="50"/>
  <c r="AX17" i="50"/>
  <c r="AT17" i="50"/>
  <c r="AF18" i="49"/>
  <c r="AF20" i="49"/>
  <c r="AF22" i="49"/>
  <c r="AF24" i="49"/>
  <c r="AF26" i="49"/>
  <c r="AF28" i="49"/>
  <c r="AF32" i="49"/>
  <c r="AF36" i="49"/>
  <c r="AD40" i="49"/>
  <c r="X28" i="32" s="1"/>
  <c r="AT16" i="49"/>
  <c r="AX16" i="49"/>
  <c r="AF31" i="49"/>
  <c r="AB40" i="50"/>
  <c r="I48" i="50" s="1"/>
  <c r="N29" i="32" s="1"/>
  <c r="AG40" i="50"/>
  <c r="W29" i="32" s="1"/>
  <c r="AF17" i="50"/>
  <c r="AF19" i="50"/>
  <c r="AF21" i="50"/>
  <c r="AF23" i="50"/>
  <c r="AF25" i="50"/>
  <c r="AF27" i="50"/>
  <c r="AF30" i="50"/>
  <c r="AF31" i="50"/>
  <c r="AF35" i="50"/>
  <c r="AF39" i="50"/>
  <c r="AU16" i="51"/>
  <c r="AJ17" i="51"/>
  <c r="AO16" i="51"/>
  <c r="AZ16" i="51"/>
  <c r="AT18" i="51"/>
  <c r="AF18" i="50"/>
  <c r="AF20" i="50"/>
  <c r="AF22" i="50"/>
  <c r="AF24" i="50"/>
  <c r="AF26" i="50"/>
  <c r="AF28" i="50"/>
  <c r="AF29" i="51"/>
  <c r="AD40" i="50"/>
  <c r="X29" i="32" s="1"/>
  <c r="AF16" i="50"/>
  <c r="AT16" i="50"/>
  <c r="AX16" i="50"/>
  <c r="AC40" i="51"/>
  <c r="AX17" i="51"/>
  <c r="AF19" i="51"/>
  <c r="AF21" i="51"/>
  <c r="AF32" i="51"/>
  <c r="AF18" i="51"/>
  <c r="AF20" i="51"/>
  <c r="AF22" i="51"/>
  <c r="AF24" i="51"/>
  <c r="AF26" i="51"/>
  <c r="AF28" i="51"/>
  <c r="AF30" i="51"/>
  <c r="AD40" i="51"/>
  <c r="X30" i="32" s="1"/>
  <c r="AF16" i="51"/>
  <c r="AO16" i="52"/>
  <c r="AU16" i="52"/>
  <c r="AJ17" i="52"/>
  <c r="AF38" i="51"/>
  <c r="AN18" i="52"/>
  <c r="AX17" i="52"/>
  <c r="AT17" i="52"/>
  <c r="AD40" i="52"/>
  <c r="X31" i="32" s="1"/>
  <c r="AT16" i="52"/>
  <c r="AX16" i="52"/>
  <c r="AF18" i="52"/>
  <c r="AF20" i="52"/>
  <c r="AF22" i="52"/>
  <c r="AF24" i="52"/>
  <c r="AF26" i="52"/>
  <c r="AF30" i="52"/>
  <c r="AF32" i="52"/>
  <c r="AF34" i="52"/>
  <c r="AF35" i="52"/>
  <c r="AF36" i="52"/>
  <c r="AD43" i="52"/>
  <c r="Y31" i="32" s="1"/>
  <c r="AU16" i="53"/>
  <c r="AJ17" i="53"/>
  <c r="AO16" i="53"/>
  <c r="AF17" i="52"/>
  <c r="AF19" i="52"/>
  <c r="AF21" i="52"/>
  <c r="AF23" i="52"/>
  <c r="AF25" i="52"/>
  <c r="AF27" i="52"/>
  <c r="AF29" i="52"/>
  <c r="AF31" i="52"/>
  <c r="AF33" i="52"/>
  <c r="AF37" i="52"/>
  <c r="AF38" i="52"/>
  <c r="AN17" i="53"/>
  <c r="AX16" i="53"/>
  <c r="AT16" i="53"/>
  <c r="AF16" i="52"/>
  <c r="AF39" i="52"/>
  <c r="AF17" i="53"/>
  <c r="AD40" i="53"/>
  <c r="X32" i="32" s="1"/>
  <c r="O32" i="32"/>
  <c r="AF16" i="53"/>
  <c r="AB40" i="53"/>
  <c r="AG40" i="53"/>
  <c r="W32" i="32" s="1"/>
  <c r="AF23" i="53"/>
  <c r="AF25" i="53"/>
  <c r="AF27" i="53"/>
  <c r="AF38" i="53"/>
  <c r="AN18" i="54"/>
  <c r="AX17" i="54"/>
  <c r="AT17" i="54"/>
  <c r="AF24" i="53"/>
  <c r="AF26" i="53"/>
  <c r="AF28" i="53"/>
  <c r="AF30" i="53"/>
  <c r="AF32" i="53"/>
  <c r="AF34" i="53"/>
  <c r="AU16" i="54"/>
  <c r="AJ17" i="54"/>
  <c r="AO16" i="54"/>
  <c r="AF18" i="54"/>
  <c r="AF20" i="54"/>
  <c r="AF22" i="54"/>
  <c r="AF24" i="54"/>
  <c r="AF27" i="54"/>
  <c r="AD40" i="54"/>
  <c r="X36" i="32" s="1"/>
  <c r="AF16" i="54"/>
  <c r="AT16" i="54"/>
  <c r="AX16" i="54"/>
  <c r="AF17" i="54"/>
  <c r="AF19" i="54"/>
  <c r="AF21" i="54"/>
  <c r="AF23" i="54"/>
  <c r="AF25" i="54"/>
  <c r="AF26" i="54"/>
  <c r="AF28" i="54"/>
  <c r="AF30" i="54"/>
  <c r="AF32" i="54"/>
  <c r="AF34" i="54"/>
  <c r="AF36" i="54"/>
  <c r="AF38" i="54"/>
  <c r="AF29" i="54"/>
  <c r="AF31" i="54"/>
  <c r="AF33" i="54"/>
  <c r="AF35" i="54"/>
  <c r="AF37" i="54"/>
  <c r="AF39" i="54"/>
  <c r="AY16" i="43"/>
  <c r="AN17" i="43"/>
  <c r="AF18" i="43"/>
  <c r="AF19" i="43"/>
  <c r="AF26" i="43"/>
  <c r="AF27" i="43"/>
  <c r="AF20" i="44"/>
  <c r="AF22" i="44"/>
  <c r="AF18" i="44"/>
  <c r="AU16" i="43"/>
  <c r="AD40" i="43"/>
  <c r="X22" i="32" s="1"/>
  <c r="O22" i="32"/>
  <c r="AF16" i="43"/>
  <c r="AO16" i="43"/>
  <c r="AJ17" i="43"/>
  <c r="AF22" i="43"/>
  <c r="AF23" i="43"/>
  <c r="AF24" i="43"/>
  <c r="AF32" i="43"/>
  <c r="AF34" i="43"/>
  <c r="AF33" i="43"/>
  <c r="AF38" i="43"/>
  <c r="AB40" i="43"/>
  <c r="AF20" i="43"/>
  <c r="AF21" i="43"/>
  <c r="AF28" i="43"/>
  <c r="AF29" i="43"/>
  <c r="AF30" i="43"/>
  <c r="AF31" i="43"/>
  <c r="AG40" i="43"/>
  <c r="W22" i="32" s="1"/>
  <c r="AF17" i="43"/>
  <c r="AF35" i="43"/>
  <c r="AF36" i="43"/>
  <c r="AF37" i="43"/>
  <c r="AC40" i="44"/>
  <c r="I49" i="44" s="1"/>
  <c r="O23" i="32" s="1"/>
  <c r="AN17" i="44"/>
  <c r="AF29" i="44"/>
  <c r="AF35" i="44"/>
  <c r="AF34" i="44"/>
  <c r="AF33" i="44"/>
  <c r="AF32" i="44"/>
  <c r="AF31" i="44"/>
  <c r="AF30" i="44"/>
  <c r="AY16" i="45"/>
  <c r="AU16" i="44"/>
  <c r="AF24" i="44"/>
  <c r="AF25" i="44"/>
  <c r="AF26" i="44"/>
  <c r="AF28" i="44"/>
  <c r="AG40" i="45"/>
  <c r="W24" i="32" s="1"/>
  <c r="AD40" i="44"/>
  <c r="X23" i="32" s="1"/>
  <c r="AF16" i="44"/>
  <c r="AF36" i="44"/>
  <c r="AF38" i="44"/>
  <c r="AF39" i="44"/>
  <c r="AJ17" i="45"/>
  <c r="AF20" i="45"/>
  <c r="AB40" i="44"/>
  <c r="AG40" i="44"/>
  <c r="W23" i="32" s="1"/>
  <c r="AF17" i="44"/>
  <c r="AF19" i="44"/>
  <c r="AF21" i="44"/>
  <c r="AF27" i="44"/>
  <c r="AD40" i="45"/>
  <c r="X24" i="32" s="1"/>
  <c r="AF16" i="45"/>
  <c r="AP16" i="45"/>
  <c r="AQ16" i="45" s="1"/>
  <c r="AU16" i="45"/>
  <c r="AF17" i="45"/>
  <c r="AF18" i="45"/>
  <c r="AF19" i="45"/>
  <c r="AF23" i="45"/>
  <c r="AF25" i="45"/>
  <c r="AF31" i="45"/>
  <c r="AF30" i="45"/>
  <c r="AC40" i="45"/>
  <c r="AF27" i="45"/>
  <c r="AF32" i="45"/>
  <c r="AF34" i="45"/>
  <c r="AF35" i="45"/>
  <c r="AN17" i="46"/>
  <c r="AX16" i="46"/>
  <c r="AF22" i="45"/>
  <c r="AF24" i="45"/>
  <c r="AF26" i="45"/>
  <c r="AF28" i="45"/>
  <c r="AF29" i="45"/>
  <c r="AO16" i="46"/>
  <c r="AU16" i="46"/>
  <c r="AJ17" i="46"/>
  <c r="AF20" i="46"/>
  <c r="AF37" i="45"/>
  <c r="N25" i="32"/>
  <c r="AD40" i="46"/>
  <c r="X25" i="32" s="1"/>
  <c r="AF16" i="46"/>
  <c r="AF24" i="46"/>
  <c r="AC40" i="46"/>
  <c r="AF18" i="46"/>
  <c r="AG40" i="46"/>
  <c r="W25" i="32" s="1"/>
  <c r="AF17" i="46"/>
  <c r="AF19" i="46"/>
  <c r="AF21" i="46"/>
  <c r="AF23" i="46"/>
  <c r="AF25" i="46"/>
  <c r="AF26" i="46"/>
  <c r="AF28" i="46"/>
  <c r="AF27" i="46"/>
  <c r="AF29" i="46"/>
  <c r="AF31" i="46"/>
  <c r="AF33" i="46"/>
  <c r="AF35" i="46"/>
  <c r="AF37" i="46"/>
  <c r="AF39" i="46"/>
  <c r="AN18" i="41"/>
  <c r="AX17" i="41"/>
  <c r="AT17" i="41"/>
  <c r="AU16" i="41"/>
  <c r="AJ17" i="41"/>
  <c r="AO16" i="41"/>
  <c r="AF18" i="41"/>
  <c r="AF20" i="41"/>
  <c r="AF22" i="41"/>
  <c r="AF27" i="41"/>
  <c r="AF31" i="41"/>
  <c r="AJ17" i="42"/>
  <c r="AO16" i="42"/>
  <c r="AU16" i="42"/>
  <c r="AF30" i="41"/>
  <c r="AF34" i="41"/>
  <c r="AD40" i="41"/>
  <c r="X20" i="32" s="1"/>
  <c r="AT16" i="41"/>
  <c r="AX16" i="41"/>
  <c r="AF17" i="41"/>
  <c r="AF19" i="41"/>
  <c r="AF21" i="41"/>
  <c r="AF23" i="41"/>
  <c r="AF25" i="41"/>
  <c r="AF29" i="41"/>
  <c r="AF33" i="41"/>
  <c r="AF37" i="41"/>
  <c r="AF38" i="41"/>
  <c r="AN17" i="42"/>
  <c r="AX16" i="42"/>
  <c r="AT16" i="42"/>
  <c r="AD43" i="41"/>
  <c r="Y20" i="32" s="1"/>
  <c r="AF17" i="42"/>
  <c r="AF19" i="42"/>
  <c r="AF21" i="42"/>
  <c r="AF23" i="42"/>
  <c r="AF27" i="42"/>
  <c r="AF30" i="42"/>
  <c r="AF32" i="42"/>
  <c r="AF34" i="42"/>
  <c r="AF36" i="42"/>
  <c r="AF18" i="42"/>
  <c r="AF20" i="42"/>
  <c r="AF22" i="42"/>
  <c r="AD40" i="42"/>
  <c r="X21" i="32" s="1"/>
  <c r="AF16" i="42"/>
  <c r="AF31" i="42"/>
  <c r="AF33" i="42"/>
  <c r="AF35" i="42"/>
  <c r="AF37" i="42"/>
  <c r="AF39" i="42"/>
  <c r="AU17" i="40"/>
  <c r="AJ18" i="40"/>
  <c r="AO17" i="40"/>
  <c r="AD40" i="40"/>
  <c r="X19" i="32" s="1"/>
  <c r="AF16" i="40"/>
  <c r="AX17" i="40"/>
  <c r="AO16" i="40"/>
  <c r="AU16" i="40"/>
  <c r="AZ16" i="40"/>
  <c r="AF18" i="40"/>
  <c r="AF20" i="40"/>
  <c r="AB40" i="40"/>
  <c r="AF17" i="40"/>
  <c r="AF19" i="40"/>
  <c r="AF21" i="40"/>
  <c r="AF23" i="40"/>
  <c r="AF28" i="40"/>
  <c r="AF32" i="40"/>
  <c r="AC40" i="40"/>
  <c r="AF27" i="40"/>
  <c r="AF31" i="40"/>
  <c r="AF34" i="40"/>
  <c r="AF22" i="40"/>
  <c r="AF24" i="40"/>
  <c r="AF39" i="40"/>
  <c r="I48" i="67" l="1"/>
  <c r="N46" i="32" s="1"/>
  <c r="I48" i="66"/>
  <c r="N45" i="32" s="1"/>
  <c r="I49" i="68"/>
  <c r="O47" i="32" s="1"/>
  <c r="I49" i="67"/>
  <c r="O46" i="32" s="1"/>
  <c r="I48" i="65"/>
  <c r="N44" i="32" s="1"/>
  <c r="I49" i="64"/>
  <c r="O43" i="32" s="1"/>
  <c r="I49" i="65"/>
  <c r="O44" i="32" s="1"/>
  <c r="I48" i="63"/>
  <c r="N42" i="32" s="1"/>
  <c r="I49" i="62"/>
  <c r="O41" i="32" s="1"/>
  <c r="I48" i="62"/>
  <c r="N41" i="32" s="1"/>
  <c r="I49" i="56"/>
  <c r="O35" i="32" s="1"/>
  <c r="I49" i="61"/>
  <c r="O40" i="32" s="1"/>
  <c r="I49" i="60"/>
  <c r="O39" i="32" s="1"/>
  <c r="I48" i="61"/>
  <c r="N40" i="32" s="1"/>
  <c r="I48" i="57"/>
  <c r="N36" i="32" s="1"/>
  <c r="I49" i="40"/>
  <c r="O19" i="32" s="1"/>
  <c r="I49" i="46"/>
  <c r="O25" i="32" s="1"/>
  <c r="I48" i="53"/>
  <c r="N32" i="32" s="1"/>
  <c r="I48" i="48"/>
  <c r="N27" i="32" s="1"/>
  <c r="I48" i="49"/>
  <c r="N28" i="32" s="1"/>
  <c r="I48" i="40"/>
  <c r="N19" i="32" s="1"/>
  <c r="I49" i="45"/>
  <c r="O24" i="32" s="1"/>
  <c r="I48" i="44"/>
  <c r="N23" i="32" s="1"/>
  <c r="I48" i="43"/>
  <c r="N22" i="32" s="1"/>
  <c r="I49" i="51"/>
  <c r="O30" i="32" s="1"/>
  <c r="I49" i="49"/>
  <c r="O28" i="32" s="1"/>
  <c r="M47" i="52"/>
  <c r="M46" i="51"/>
  <c r="AT17" i="61"/>
  <c r="AT18" i="58"/>
  <c r="AO17" i="44"/>
  <c r="AW17" i="44" s="1"/>
  <c r="AT17" i="51"/>
  <c r="AX18" i="51"/>
  <c r="AY18" i="51" s="1"/>
  <c r="AX17" i="58"/>
  <c r="AY17" i="58" s="1"/>
  <c r="AX18" i="58"/>
  <c r="AY18" i="58" s="1"/>
  <c r="AX17" i="45"/>
  <c r="AY17" i="45" s="1"/>
  <c r="AT17" i="58"/>
  <c r="AV16" i="44"/>
  <c r="AT17" i="45"/>
  <c r="AT18" i="61"/>
  <c r="AX18" i="61"/>
  <c r="AY18" i="61" s="1"/>
  <c r="AJ18" i="44"/>
  <c r="AU18" i="44" s="1"/>
  <c r="AX17" i="61"/>
  <c r="AY17" i="61" s="1"/>
  <c r="AT17" i="40"/>
  <c r="AV16" i="45"/>
  <c r="R34" i="32"/>
  <c r="R21" i="32"/>
  <c r="R43" i="32"/>
  <c r="R31" i="32"/>
  <c r="R45" i="32"/>
  <c r="R40" i="32"/>
  <c r="R29" i="32"/>
  <c r="R32" i="32"/>
  <c r="R27" i="32"/>
  <c r="R47" i="32"/>
  <c r="R46" i="32"/>
  <c r="R41" i="32"/>
  <c r="R37" i="32"/>
  <c r="R28" i="32"/>
  <c r="R24" i="32"/>
  <c r="R30" i="32"/>
  <c r="R25" i="32"/>
  <c r="R23" i="32"/>
  <c r="R22" i="32"/>
  <c r="R26" i="32"/>
  <c r="R38" i="32"/>
  <c r="R36" i="32"/>
  <c r="R20" i="32"/>
  <c r="R33" i="32"/>
  <c r="R44" i="32"/>
  <c r="R35" i="32"/>
  <c r="R39" i="32"/>
  <c r="R42" i="32"/>
  <c r="I47" i="42"/>
  <c r="M51" i="42" s="1"/>
  <c r="R19" i="32"/>
  <c r="AP16" i="66"/>
  <c r="AQ16" i="66" s="1"/>
  <c r="AV16" i="66" s="1"/>
  <c r="AW16" i="66"/>
  <c r="AY16" i="62"/>
  <c r="AU17" i="65"/>
  <c r="AJ18" i="65"/>
  <c r="AO17" i="65"/>
  <c r="AP16" i="62"/>
  <c r="AQ16" i="62" s="1"/>
  <c r="AV16" i="62" s="1"/>
  <c r="AW16" i="62"/>
  <c r="AU17" i="63"/>
  <c r="AJ18" i="63"/>
  <c r="AO17" i="63"/>
  <c r="AP16" i="64"/>
  <c r="AQ16" i="64" s="1"/>
  <c r="AV16" i="64" s="1"/>
  <c r="AW16" i="64"/>
  <c r="AY17" i="62"/>
  <c r="AU17" i="60"/>
  <c r="AJ18" i="60"/>
  <c r="AO17" i="60"/>
  <c r="AN20" i="61"/>
  <c r="AX19" i="61"/>
  <c r="AT19" i="61"/>
  <c r="AU17" i="61"/>
  <c r="AJ18" i="61"/>
  <c r="AO17" i="61"/>
  <c r="AP19" i="57"/>
  <c r="AQ19" i="57" s="1"/>
  <c r="AN18" i="56"/>
  <c r="AX17" i="56"/>
  <c r="AT17" i="56"/>
  <c r="AY16" i="68"/>
  <c r="AY17" i="68"/>
  <c r="AO17" i="68"/>
  <c r="AU17" i="68"/>
  <c r="AJ18" i="68"/>
  <c r="AY16" i="63"/>
  <c r="AY17" i="65"/>
  <c r="AU17" i="64"/>
  <c r="AJ18" i="64"/>
  <c r="AO17" i="64"/>
  <c r="AN19" i="62"/>
  <c r="AX18" i="62"/>
  <c r="AT18" i="62"/>
  <c r="AY16" i="55"/>
  <c r="AO20" i="57"/>
  <c r="AJ21" i="57"/>
  <c r="AU20" i="57"/>
  <c r="AN20" i="58"/>
  <c r="AX19" i="58"/>
  <c r="AT19" i="58"/>
  <c r="AZ16" i="59"/>
  <c r="AY16" i="57"/>
  <c r="I47" i="55"/>
  <c r="AW16" i="56"/>
  <c r="AP16" i="56"/>
  <c r="AQ16" i="56" s="1"/>
  <c r="AV16" i="56" s="1"/>
  <c r="AN19" i="55"/>
  <c r="AX18" i="55"/>
  <c r="AT18" i="55"/>
  <c r="AY16" i="67"/>
  <c r="AN19" i="68"/>
  <c r="AX18" i="68"/>
  <c r="AT18" i="68"/>
  <c r="AU17" i="67"/>
  <c r="AJ18" i="67"/>
  <c r="AO17" i="67"/>
  <c r="AY16" i="66"/>
  <c r="AN19" i="65"/>
  <c r="AX18" i="65"/>
  <c r="AT18" i="65"/>
  <c r="AW16" i="65"/>
  <c r="AP16" i="65"/>
  <c r="AQ16" i="65" s="1"/>
  <c r="AV16" i="65" s="1"/>
  <c r="AY17" i="63"/>
  <c r="AW16" i="61"/>
  <c r="BA16" i="61" s="1"/>
  <c r="AP16" i="61"/>
  <c r="AQ16" i="61" s="1"/>
  <c r="AV16" i="61" s="1"/>
  <c r="AY16" i="60"/>
  <c r="AP17" i="57"/>
  <c r="AQ17" i="57" s="1"/>
  <c r="AW17" i="57"/>
  <c r="AN18" i="57"/>
  <c r="AW18" i="57" s="1"/>
  <c r="AX17" i="57"/>
  <c r="AT17" i="57"/>
  <c r="AP16" i="55"/>
  <c r="AQ16" i="55" s="1"/>
  <c r="AV16" i="55" s="1"/>
  <c r="AW16" i="55"/>
  <c r="AP16" i="68"/>
  <c r="AQ16" i="68" s="1"/>
  <c r="AV16" i="68" s="1"/>
  <c r="AW16" i="68"/>
  <c r="AN19" i="67"/>
  <c r="AX18" i="67"/>
  <c r="AT18" i="67"/>
  <c r="AN19" i="66"/>
  <c r="AX18" i="66"/>
  <c r="AT18" i="66"/>
  <c r="AN19" i="64"/>
  <c r="AX18" i="64"/>
  <c r="AT18" i="64"/>
  <c r="AJ18" i="58"/>
  <c r="AO17" i="58"/>
  <c r="AU17" i="58"/>
  <c r="AW16" i="59"/>
  <c r="AP16" i="59"/>
  <c r="AQ16" i="59" s="1"/>
  <c r="AV16" i="59" s="1"/>
  <c r="AU17" i="56"/>
  <c r="AJ18" i="56"/>
  <c r="AO17" i="56"/>
  <c r="AY17" i="55"/>
  <c r="AP16" i="67"/>
  <c r="AQ16" i="67" s="1"/>
  <c r="AV16" i="67" s="1"/>
  <c r="AW16" i="67"/>
  <c r="AO17" i="66"/>
  <c r="AU17" i="66"/>
  <c r="AJ18" i="66"/>
  <c r="AY16" i="65"/>
  <c r="AO17" i="62"/>
  <c r="AU17" i="62"/>
  <c r="AJ18" i="62"/>
  <c r="AY17" i="67"/>
  <c r="AY16" i="64"/>
  <c r="AY17" i="66"/>
  <c r="AY17" i="64"/>
  <c r="AN19" i="63"/>
  <c r="AX18" i="63"/>
  <c r="AT18" i="63"/>
  <c r="AP16" i="63"/>
  <c r="AQ16" i="63" s="1"/>
  <c r="AV16" i="63" s="1"/>
  <c r="AW16" i="63"/>
  <c r="AP16" i="60"/>
  <c r="AQ16" i="60" s="1"/>
  <c r="AV16" i="60" s="1"/>
  <c r="AW16" i="60"/>
  <c r="I47" i="59"/>
  <c r="I47" i="58"/>
  <c r="AN18" i="60"/>
  <c r="AX17" i="60"/>
  <c r="AT17" i="60"/>
  <c r="AX17" i="59"/>
  <c r="AN18" i="59"/>
  <c r="AT17" i="59"/>
  <c r="AP16" i="58"/>
  <c r="AQ16" i="58" s="1"/>
  <c r="AV16" i="58" s="1"/>
  <c r="AW16" i="58"/>
  <c r="BA16" i="58" s="1"/>
  <c r="AP18" i="57"/>
  <c r="AQ18" i="57" s="1"/>
  <c r="AO17" i="59"/>
  <c r="AU17" i="59"/>
  <c r="AJ18" i="59"/>
  <c r="AP16" i="57"/>
  <c r="AQ16" i="57" s="1"/>
  <c r="AV16" i="57" s="1"/>
  <c r="AW16" i="57"/>
  <c r="AY16" i="56"/>
  <c r="AU17" i="55"/>
  <c r="AJ18" i="55"/>
  <c r="AO17" i="55"/>
  <c r="AN19" i="54"/>
  <c r="AX18" i="54"/>
  <c r="AT18" i="54"/>
  <c r="AY17" i="52"/>
  <c r="AN20" i="51"/>
  <c r="AX19" i="51"/>
  <c r="AT19" i="51"/>
  <c r="AN19" i="49"/>
  <c r="AX18" i="49"/>
  <c r="AT18" i="49"/>
  <c r="AP16" i="47"/>
  <c r="AQ16" i="47" s="1"/>
  <c r="AV16" i="47" s="1"/>
  <c r="AW16" i="47"/>
  <c r="AW16" i="48"/>
  <c r="AP16" i="48"/>
  <c r="AQ16" i="48" s="1"/>
  <c r="AV16" i="48" s="1"/>
  <c r="AY16" i="54"/>
  <c r="AN18" i="53"/>
  <c r="AX17" i="53"/>
  <c r="AT17" i="53"/>
  <c r="AY16" i="52"/>
  <c r="AN19" i="52"/>
  <c r="AX18" i="52"/>
  <c r="AT18" i="52"/>
  <c r="AU17" i="52"/>
  <c r="AJ18" i="52"/>
  <c r="AO17" i="52"/>
  <c r="AO17" i="51"/>
  <c r="AU17" i="51"/>
  <c r="AJ18" i="51"/>
  <c r="AU17" i="50"/>
  <c r="AJ18" i="50"/>
  <c r="AO17" i="50"/>
  <c r="AP16" i="49"/>
  <c r="AQ16" i="49" s="1"/>
  <c r="AV16" i="49" s="1"/>
  <c r="AW16" i="49"/>
  <c r="AY17" i="48"/>
  <c r="AU17" i="47"/>
  <c r="AJ18" i="47"/>
  <c r="AO17" i="47"/>
  <c r="AP16" i="53"/>
  <c r="AQ16" i="53" s="1"/>
  <c r="AV16" i="53" s="1"/>
  <c r="AW16" i="53"/>
  <c r="I47" i="52"/>
  <c r="AY17" i="51"/>
  <c r="AY17" i="50"/>
  <c r="AU17" i="49"/>
  <c r="AJ18" i="49"/>
  <c r="AO17" i="49"/>
  <c r="I47" i="47"/>
  <c r="AY16" i="48"/>
  <c r="AN19" i="48"/>
  <c r="AX18" i="48"/>
  <c r="AT18" i="48"/>
  <c r="AU17" i="48"/>
  <c r="AJ18" i="48"/>
  <c r="AO17" i="48"/>
  <c r="AY16" i="47"/>
  <c r="AY16" i="53"/>
  <c r="I47" i="50"/>
  <c r="AP16" i="51"/>
  <c r="AQ16" i="51" s="1"/>
  <c r="AV16" i="51" s="1"/>
  <c r="AW16" i="51"/>
  <c r="BA16" i="51" s="1"/>
  <c r="AP16" i="50"/>
  <c r="AQ16" i="50" s="1"/>
  <c r="AV16" i="50" s="1"/>
  <c r="AW16" i="50"/>
  <c r="I47" i="54"/>
  <c r="AP16" i="54"/>
  <c r="AQ16" i="54" s="1"/>
  <c r="AV16" i="54" s="1"/>
  <c r="AW16" i="54"/>
  <c r="AJ18" i="54"/>
  <c r="AO17" i="54"/>
  <c r="AU17" i="54"/>
  <c r="AY17" i="54"/>
  <c r="AO17" i="53"/>
  <c r="AU17" i="53"/>
  <c r="AJ18" i="53"/>
  <c r="AW16" i="52"/>
  <c r="AP16" i="52"/>
  <c r="AQ16" i="52" s="1"/>
  <c r="AV16" i="52" s="1"/>
  <c r="AY16" i="50"/>
  <c r="AY16" i="49"/>
  <c r="AN19" i="50"/>
  <c r="AX18" i="50"/>
  <c r="AT18" i="50"/>
  <c r="AY17" i="49"/>
  <c r="AN18" i="47"/>
  <c r="AX17" i="47"/>
  <c r="AT17" i="47"/>
  <c r="AN18" i="44"/>
  <c r="AX17" i="44"/>
  <c r="AT17" i="44"/>
  <c r="AP16" i="43"/>
  <c r="AQ16" i="43" s="1"/>
  <c r="AV16" i="43" s="1"/>
  <c r="AW16" i="43"/>
  <c r="AN18" i="43"/>
  <c r="AX17" i="43"/>
  <c r="AT17" i="43"/>
  <c r="AY16" i="46"/>
  <c r="AW16" i="46"/>
  <c r="AP16" i="46"/>
  <c r="AQ16" i="46" s="1"/>
  <c r="AV16" i="46" s="1"/>
  <c r="AN18" i="46"/>
  <c r="AX17" i="46"/>
  <c r="AT17" i="46"/>
  <c r="AX18" i="45"/>
  <c r="AN19" i="45"/>
  <c r="AT18" i="45"/>
  <c r="AU17" i="45"/>
  <c r="AJ18" i="45"/>
  <c r="AO17" i="45"/>
  <c r="AP17" i="44"/>
  <c r="AQ17" i="44" s="1"/>
  <c r="AJ18" i="43"/>
  <c r="AO17" i="43"/>
  <c r="AU17" i="43"/>
  <c r="AU17" i="46"/>
  <c r="AJ18" i="46"/>
  <c r="AO17" i="46"/>
  <c r="AZ16" i="45"/>
  <c r="BA16" i="45" s="1"/>
  <c r="BB16" i="45" s="1"/>
  <c r="AZ16" i="44"/>
  <c r="BA16" i="44" s="1"/>
  <c r="BB16" i="44" s="1"/>
  <c r="AZ16" i="43"/>
  <c r="AP16" i="42"/>
  <c r="AQ16" i="42" s="1"/>
  <c r="AV16" i="42" s="1"/>
  <c r="AW16" i="42"/>
  <c r="AY16" i="42"/>
  <c r="AU17" i="42"/>
  <c r="AJ18" i="42"/>
  <c r="AO17" i="42"/>
  <c r="AP16" i="41"/>
  <c r="AQ16" i="41" s="1"/>
  <c r="AV16" i="41" s="1"/>
  <c r="AW16" i="41"/>
  <c r="AN18" i="42"/>
  <c r="AX17" i="42"/>
  <c r="AT17" i="42"/>
  <c r="AJ18" i="41"/>
  <c r="AO17" i="41"/>
  <c r="AU17" i="41"/>
  <c r="AY17" i="41"/>
  <c r="AY16" i="41"/>
  <c r="I47" i="41"/>
  <c r="AX18" i="41"/>
  <c r="AN19" i="41"/>
  <c r="AT18" i="41"/>
  <c r="AY17" i="40"/>
  <c r="AW16" i="40"/>
  <c r="BA16" i="40" s="1"/>
  <c r="AP16" i="40"/>
  <c r="AQ16" i="40" s="1"/>
  <c r="AV16" i="40" s="1"/>
  <c r="AN19" i="40"/>
  <c r="AT18" i="40"/>
  <c r="AX18" i="40"/>
  <c r="AP17" i="40"/>
  <c r="AQ17" i="40" s="1"/>
  <c r="AW17" i="40"/>
  <c r="AO18" i="40"/>
  <c r="AU18" i="40"/>
  <c r="AJ19" i="40"/>
  <c r="I47" i="51" l="1"/>
  <c r="H46" i="51" s="1"/>
  <c r="I47" i="56"/>
  <c r="H46" i="56" s="1"/>
  <c r="I47" i="68"/>
  <c r="H46" i="68" s="1"/>
  <c r="I47" i="67"/>
  <c r="H46" i="67" s="1"/>
  <c r="I47" i="64"/>
  <c r="M43" i="32" s="1"/>
  <c r="I47" i="61"/>
  <c r="H46" i="61" s="1"/>
  <c r="I47" i="45"/>
  <c r="H46" i="45" s="1"/>
  <c r="I47" i="63"/>
  <c r="M51" i="63" s="1"/>
  <c r="I47" i="48"/>
  <c r="H46" i="48" s="1"/>
  <c r="I47" i="60"/>
  <c r="M39" i="32" s="1"/>
  <c r="I47" i="65"/>
  <c r="M44" i="32" s="1"/>
  <c r="I47" i="62"/>
  <c r="H46" i="62" s="1"/>
  <c r="I47" i="66"/>
  <c r="H46" i="66" s="1"/>
  <c r="I47" i="57"/>
  <c r="H46" i="57" s="1"/>
  <c r="I47" i="40"/>
  <c r="M19" i="32" s="1"/>
  <c r="I47" i="43"/>
  <c r="M22" i="32" s="1"/>
  <c r="I47" i="46"/>
  <c r="H46" i="46" s="1"/>
  <c r="I47" i="44"/>
  <c r="H46" i="44" s="1"/>
  <c r="I47" i="49"/>
  <c r="H46" i="49" s="1"/>
  <c r="I47" i="53"/>
  <c r="H46" i="53" s="1"/>
  <c r="M51" i="52"/>
  <c r="M49" i="52" s="1"/>
  <c r="M47" i="53"/>
  <c r="M46" i="52"/>
  <c r="X7" i="39"/>
  <c r="Z7" i="39"/>
  <c r="X17" i="39"/>
  <c r="Z17" i="39"/>
  <c r="K7" i="39"/>
  <c r="M33" i="32"/>
  <c r="Q33" i="32" s="1"/>
  <c r="M38" i="32"/>
  <c r="Q38" i="32" s="1"/>
  <c r="M49" i="42"/>
  <c r="G21" i="32" s="1"/>
  <c r="M51" i="41"/>
  <c r="AV17" i="40"/>
  <c r="AJ19" i="44"/>
  <c r="AO18" i="44"/>
  <c r="AW18" i="44" s="1"/>
  <c r="BA16" i="59"/>
  <c r="BB16" i="59" s="1"/>
  <c r="AV17" i="44"/>
  <c r="BC16" i="44"/>
  <c r="BA16" i="43"/>
  <c r="H46" i="50"/>
  <c r="M29" i="32"/>
  <c r="H46" i="52"/>
  <c r="M31" i="32"/>
  <c r="M32" i="32"/>
  <c r="BC16" i="45"/>
  <c r="H46" i="47"/>
  <c r="M26" i="32"/>
  <c r="H46" i="64"/>
  <c r="H46" i="55"/>
  <c r="M34" i="32"/>
  <c r="H46" i="42"/>
  <c r="M21" i="32"/>
  <c r="H46" i="58"/>
  <c r="M37" i="32"/>
  <c r="M36" i="32"/>
  <c r="M51" i="66"/>
  <c r="M51" i="50"/>
  <c r="H46" i="41"/>
  <c r="M20" i="32"/>
  <c r="AZ16" i="64"/>
  <c r="BA16" i="64" s="1"/>
  <c r="BB16" i="64" s="1"/>
  <c r="AN20" i="67"/>
  <c r="AX19" i="67"/>
  <c r="AT19" i="67"/>
  <c r="AZ16" i="60"/>
  <c r="BA16" i="60" s="1"/>
  <c r="AN20" i="65"/>
  <c r="AX19" i="65"/>
  <c r="AT19" i="65"/>
  <c r="AP20" i="57"/>
  <c r="AQ20" i="57" s="1"/>
  <c r="AZ16" i="62"/>
  <c r="BA16" i="62" s="1"/>
  <c r="BB16" i="62" s="1"/>
  <c r="AW17" i="55"/>
  <c r="AP17" i="55"/>
  <c r="AQ17" i="55" s="1"/>
  <c r="AV17" i="55" s="1"/>
  <c r="AX18" i="59"/>
  <c r="AN19" i="59"/>
  <c r="AT18" i="59"/>
  <c r="AN19" i="60"/>
  <c r="AX18" i="60"/>
  <c r="AT18" i="60"/>
  <c r="AZ17" i="64"/>
  <c r="AU18" i="66"/>
  <c r="AJ19" i="66"/>
  <c r="AO18" i="66"/>
  <c r="AZ17" i="55"/>
  <c r="AY18" i="64"/>
  <c r="AN20" i="66"/>
  <c r="AX19" i="66"/>
  <c r="AT19" i="66"/>
  <c r="AN19" i="57"/>
  <c r="AX18" i="57"/>
  <c r="AT18" i="57"/>
  <c r="AV18" i="57" s="1"/>
  <c r="AZ17" i="61"/>
  <c r="AP17" i="67"/>
  <c r="AQ17" i="67" s="1"/>
  <c r="AV17" i="67" s="1"/>
  <c r="AW17" i="67"/>
  <c r="AY18" i="68"/>
  <c r="AY18" i="55"/>
  <c r="AN21" i="58"/>
  <c r="AX20" i="58"/>
  <c r="AT20" i="58"/>
  <c r="AZ16" i="55"/>
  <c r="BA16" i="55" s="1"/>
  <c r="AN20" i="62"/>
  <c r="AX19" i="62"/>
  <c r="AT19" i="62"/>
  <c r="AU18" i="68"/>
  <c r="AJ19" i="68"/>
  <c r="AO18" i="68"/>
  <c r="AZ17" i="68"/>
  <c r="AY17" i="56"/>
  <c r="AP17" i="61"/>
  <c r="AQ17" i="61" s="1"/>
  <c r="AV17" i="61" s="1"/>
  <c r="AW17" i="61"/>
  <c r="AY19" i="61"/>
  <c r="AP17" i="60"/>
  <c r="AQ17" i="60" s="1"/>
  <c r="AV17" i="60" s="1"/>
  <c r="AW17" i="60"/>
  <c r="AZ17" i="62"/>
  <c r="AJ19" i="63"/>
  <c r="AO18" i="63"/>
  <c r="AU18" i="63"/>
  <c r="M51" i="56"/>
  <c r="AZ16" i="56"/>
  <c r="BA16" i="56" s="1"/>
  <c r="AU18" i="59"/>
  <c r="AO18" i="59"/>
  <c r="AJ19" i="59"/>
  <c r="AY17" i="60"/>
  <c r="AY17" i="57"/>
  <c r="AY19" i="58"/>
  <c r="AP17" i="63"/>
  <c r="AQ17" i="63" s="1"/>
  <c r="AV17" i="63" s="1"/>
  <c r="AW17" i="63"/>
  <c r="AJ19" i="55"/>
  <c r="AO18" i="55"/>
  <c r="AU18" i="55"/>
  <c r="AW17" i="59"/>
  <c r="AP17" i="59"/>
  <c r="AQ17" i="59" s="1"/>
  <c r="AV17" i="59" s="1"/>
  <c r="BB16" i="58"/>
  <c r="BC16" i="58" s="1"/>
  <c r="AY17" i="59"/>
  <c r="M51" i="58"/>
  <c r="AZ18" i="61"/>
  <c r="AY18" i="63"/>
  <c r="AU18" i="62"/>
  <c r="AJ19" i="62"/>
  <c r="AO18" i="62"/>
  <c r="AZ16" i="65"/>
  <c r="BA16" i="65" s="1"/>
  <c r="AP17" i="56"/>
  <c r="AQ17" i="56" s="1"/>
  <c r="AV17" i="56" s="1"/>
  <c r="AW17" i="56"/>
  <c r="AZ18" i="58"/>
  <c r="AP17" i="58"/>
  <c r="AQ17" i="58" s="1"/>
  <c r="AV17" i="58" s="1"/>
  <c r="AW17" i="58"/>
  <c r="AN20" i="64"/>
  <c r="AX19" i="64"/>
  <c r="AT19" i="64"/>
  <c r="AJ19" i="67"/>
  <c r="AO18" i="67"/>
  <c r="AU18" i="67"/>
  <c r="AN20" i="68"/>
  <c r="AX19" i="68"/>
  <c r="AT19" i="68"/>
  <c r="AN20" i="55"/>
  <c r="AX19" i="55"/>
  <c r="AT19" i="55"/>
  <c r="M51" i="55"/>
  <c r="AP17" i="64"/>
  <c r="AQ17" i="64" s="1"/>
  <c r="AV17" i="64" s="1"/>
  <c r="AW17" i="64"/>
  <c r="AZ17" i="65"/>
  <c r="AN19" i="56"/>
  <c r="AX18" i="56"/>
  <c r="AT18" i="56"/>
  <c r="AO18" i="61"/>
  <c r="AU18" i="61"/>
  <c r="AJ19" i="61"/>
  <c r="AN21" i="61"/>
  <c r="AX20" i="61"/>
  <c r="AT20" i="61"/>
  <c r="AJ19" i="60"/>
  <c r="AO18" i="60"/>
  <c r="AU18" i="60"/>
  <c r="M51" i="61"/>
  <c r="M51" i="57"/>
  <c r="H46" i="59"/>
  <c r="M51" i="59"/>
  <c r="AW17" i="62"/>
  <c r="AP17" i="62"/>
  <c r="AQ17" i="62" s="1"/>
  <c r="AV17" i="62" s="1"/>
  <c r="AY18" i="66"/>
  <c r="AZ16" i="66"/>
  <c r="BA16" i="66" s="1"/>
  <c r="AY18" i="62"/>
  <c r="AO18" i="65"/>
  <c r="AU18" i="65"/>
  <c r="AJ19" i="65"/>
  <c r="AN20" i="63"/>
  <c r="AX19" i="63"/>
  <c r="AT19" i="63"/>
  <c r="AZ17" i="66"/>
  <c r="AZ17" i="67"/>
  <c r="AW17" i="66"/>
  <c r="AP17" i="66"/>
  <c r="AQ17" i="66" s="1"/>
  <c r="AV17" i="66" s="1"/>
  <c r="AO18" i="56"/>
  <c r="AU18" i="56"/>
  <c r="AJ19" i="56"/>
  <c r="AU18" i="58"/>
  <c r="AJ19" i="58"/>
  <c r="AO18" i="58"/>
  <c r="AY18" i="67"/>
  <c r="AV17" i="57"/>
  <c r="BB16" i="61"/>
  <c r="BC16" i="61" s="1"/>
  <c r="AZ17" i="63"/>
  <c r="AY18" i="65"/>
  <c r="AZ16" i="67"/>
  <c r="BA16" i="67" s="1"/>
  <c r="AZ16" i="57"/>
  <c r="BA16" i="57" s="1"/>
  <c r="AU21" i="57"/>
  <c r="AJ22" i="57"/>
  <c r="AO21" i="57"/>
  <c r="AJ19" i="64"/>
  <c r="AO18" i="64"/>
  <c r="AU18" i="64"/>
  <c r="AZ16" i="63"/>
  <c r="BA16" i="63" s="1"/>
  <c r="AW17" i="68"/>
  <c r="AP17" i="68"/>
  <c r="AQ17" i="68" s="1"/>
  <c r="AV17" i="68" s="1"/>
  <c r="AZ16" i="68"/>
  <c r="BA16" i="68" s="1"/>
  <c r="AZ17" i="58"/>
  <c r="AP17" i="65"/>
  <c r="AQ17" i="65" s="1"/>
  <c r="AV17" i="65" s="1"/>
  <c r="AW17" i="65"/>
  <c r="AZ17" i="54"/>
  <c r="AU18" i="54"/>
  <c r="AJ19" i="54"/>
  <c r="AO18" i="54"/>
  <c r="AP17" i="52"/>
  <c r="AQ17" i="52" s="1"/>
  <c r="AV17" i="52" s="1"/>
  <c r="AW17" i="52"/>
  <c r="AZ16" i="54"/>
  <c r="BA16" i="54" s="1"/>
  <c r="AZ17" i="49"/>
  <c r="M51" i="51"/>
  <c r="AU18" i="53"/>
  <c r="AJ19" i="53"/>
  <c r="AO18" i="53"/>
  <c r="AZ16" i="48"/>
  <c r="BA16" i="48" s="1"/>
  <c r="BB16" i="48" s="1"/>
  <c r="AJ19" i="49"/>
  <c r="AO18" i="49"/>
  <c r="AU18" i="49"/>
  <c r="AU18" i="51"/>
  <c r="AJ19" i="51"/>
  <c r="AO18" i="51"/>
  <c r="AO18" i="52"/>
  <c r="AU18" i="52"/>
  <c r="AJ19" i="52"/>
  <c r="AN20" i="52"/>
  <c r="AX19" i="52"/>
  <c r="AT19" i="52"/>
  <c r="AY17" i="53"/>
  <c r="AY19" i="51"/>
  <c r="AN20" i="50"/>
  <c r="AX19" i="50"/>
  <c r="AT19" i="50"/>
  <c r="AP17" i="49"/>
  <c r="AQ17" i="49" s="1"/>
  <c r="AV17" i="49" s="1"/>
  <c r="AW17" i="49"/>
  <c r="AY17" i="47"/>
  <c r="AZ18" i="51"/>
  <c r="BB16" i="51"/>
  <c r="BC16" i="51" s="1"/>
  <c r="AP17" i="48"/>
  <c r="AQ17" i="48" s="1"/>
  <c r="AV17" i="48" s="1"/>
  <c r="AW17" i="48"/>
  <c r="AY18" i="48"/>
  <c r="M51" i="47"/>
  <c r="AZ17" i="51"/>
  <c r="AP17" i="50"/>
  <c r="AQ17" i="50" s="1"/>
  <c r="AV17" i="50" s="1"/>
  <c r="AW17" i="50"/>
  <c r="AX18" i="53"/>
  <c r="AT18" i="53"/>
  <c r="AN19" i="53"/>
  <c r="AY18" i="49"/>
  <c r="AN21" i="51"/>
  <c r="AX20" i="51"/>
  <c r="AT20" i="51"/>
  <c r="AY18" i="54"/>
  <c r="AZ16" i="47"/>
  <c r="BA16" i="47" s="1"/>
  <c r="AZ17" i="50"/>
  <c r="AJ19" i="47"/>
  <c r="AO18" i="47"/>
  <c r="AU18" i="47"/>
  <c r="AY18" i="52"/>
  <c r="AZ17" i="52"/>
  <c r="AN19" i="47"/>
  <c r="AX18" i="47"/>
  <c r="AT18" i="47"/>
  <c r="AY18" i="50"/>
  <c r="AZ16" i="49"/>
  <c r="BA16" i="49" s="1"/>
  <c r="AZ16" i="50"/>
  <c r="BA16" i="50" s="1"/>
  <c r="AW17" i="53"/>
  <c r="AP17" i="53"/>
  <c r="AQ17" i="53" s="1"/>
  <c r="AV17" i="53" s="1"/>
  <c r="AP17" i="54"/>
  <c r="AQ17" i="54" s="1"/>
  <c r="AV17" i="54" s="1"/>
  <c r="AW17" i="54"/>
  <c r="H46" i="54"/>
  <c r="M51" i="54"/>
  <c r="AZ16" i="53"/>
  <c r="BA16" i="53" s="1"/>
  <c r="AO18" i="48"/>
  <c r="AU18" i="48"/>
  <c r="AJ19" i="48"/>
  <c r="AN20" i="48"/>
  <c r="AX19" i="48"/>
  <c r="AT19" i="48"/>
  <c r="AP17" i="47"/>
  <c r="AQ17" i="47" s="1"/>
  <c r="AV17" i="47" s="1"/>
  <c r="AW17" i="47"/>
  <c r="AZ17" i="48"/>
  <c r="AJ19" i="50"/>
  <c r="AO18" i="50"/>
  <c r="AU18" i="50"/>
  <c r="AW17" i="51"/>
  <c r="AP17" i="51"/>
  <c r="AQ17" i="51" s="1"/>
  <c r="AV17" i="51" s="1"/>
  <c r="AZ16" i="52"/>
  <c r="BA16" i="52" s="1"/>
  <c r="AN20" i="49"/>
  <c r="AX19" i="49"/>
  <c r="AT19" i="49"/>
  <c r="AN20" i="54"/>
  <c r="AX19" i="54"/>
  <c r="AT19" i="54"/>
  <c r="AY18" i="45"/>
  <c r="M51" i="45"/>
  <c r="M51" i="44"/>
  <c r="AO18" i="46"/>
  <c r="AU18" i="46"/>
  <c r="AJ19" i="46"/>
  <c r="AY17" i="46"/>
  <c r="AY17" i="43"/>
  <c r="AZ17" i="45"/>
  <c r="AU18" i="43"/>
  <c r="AJ19" i="43"/>
  <c r="AO18" i="43"/>
  <c r="AO18" i="45"/>
  <c r="AU18" i="45"/>
  <c r="AJ19" i="45"/>
  <c r="AX18" i="44"/>
  <c r="AT18" i="44"/>
  <c r="AN19" i="44"/>
  <c r="AJ20" i="44"/>
  <c r="AO19" i="44"/>
  <c r="AU19" i="44"/>
  <c r="AP17" i="46"/>
  <c r="AQ17" i="46" s="1"/>
  <c r="AV17" i="46" s="1"/>
  <c r="AW17" i="46"/>
  <c r="AP17" i="43"/>
  <c r="AQ17" i="43" s="1"/>
  <c r="AV17" i="43" s="1"/>
  <c r="AW17" i="43"/>
  <c r="AP17" i="45"/>
  <c r="AQ17" i="45" s="1"/>
  <c r="AV17" i="45" s="1"/>
  <c r="AW17" i="45"/>
  <c r="AN20" i="45"/>
  <c r="AX19" i="45"/>
  <c r="AT19" i="45"/>
  <c r="AN19" i="46"/>
  <c r="AT18" i="46"/>
  <c r="AX18" i="46"/>
  <c r="AZ16" i="46"/>
  <c r="BA16" i="46" s="1"/>
  <c r="AN19" i="43"/>
  <c r="AX18" i="43"/>
  <c r="AT18" i="43"/>
  <c r="AY17" i="44"/>
  <c r="AZ16" i="42"/>
  <c r="BA16" i="42" s="1"/>
  <c r="BB16" i="42" s="1"/>
  <c r="AN20" i="41"/>
  <c r="AX19" i="41"/>
  <c r="AT19" i="41"/>
  <c r="AY17" i="42"/>
  <c r="AP17" i="42"/>
  <c r="AQ17" i="42" s="1"/>
  <c r="AV17" i="42" s="1"/>
  <c r="AW17" i="42"/>
  <c r="AY18" i="41"/>
  <c r="AZ16" i="41"/>
  <c r="BA16" i="41" s="1"/>
  <c r="AP17" i="41"/>
  <c r="AQ17" i="41" s="1"/>
  <c r="AV17" i="41" s="1"/>
  <c r="AW17" i="41"/>
  <c r="AN19" i="42"/>
  <c r="AX18" i="42"/>
  <c r="AT18" i="42"/>
  <c r="AJ19" i="42"/>
  <c r="AO18" i="42"/>
  <c r="AU18" i="42"/>
  <c r="AZ17" i="41"/>
  <c r="AU18" i="41"/>
  <c r="AJ19" i="41"/>
  <c r="AO18" i="41"/>
  <c r="AU19" i="40"/>
  <c r="AJ20" i="40"/>
  <c r="AO19" i="40"/>
  <c r="AW18" i="40"/>
  <c r="AP18" i="40"/>
  <c r="AQ18" i="40" s="1"/>
  <c r="AV18" i="40" s="1"/>
  <c r="AY18" i="40"/>
  <c r="AN20" i="40"/>
  <c r="AX19" i="40"/>
  <c r="AT19" i="40"/>
  <c r="AZ17" i="40"/>
  <c r="BA17" i="40" s="1"/>
  <c r="BB17" i="40" s="1"/>
  <c r="BC17" i="40" s="1"/>
  <c r="BB16" i="40"/>
  <c r="BC16" i="40" s="1"/>
  <c r="M51" i="49" l="1"/>
  <c r="K14" i="39" s="1"/>
  <c r="M35" i="32"/>
  <c r="H46" i="60"/>
  <c r="K17" i="39"/>
  <c r="M30" i="32"/>
  <c r="BA17" i="51"/>
  <c r="BB17" i="51" s="1"/>
  <c r="M51" i="48"/>
  <c r="K13" i="39" s="1"/>
  <c r="M25" i="32"/>
  <c r="P25" i="32" s="1"/>
  <c r="M23" i="32"/>
  <c r="P23" i="32" s="1"/>
  <c r="M51" i="43"/>
  <c r="H46" i="43"/>
  <c r="M51" i="68"/>
  <c r="K33" i="39" s="1"/>
  <c r="M46" i="32"/>
  <c r="Q46" i="32" s="1"/>
  <c r="M51" i="67"/>
  <c r="K32" i="39" s="1"/>
  <c r="M47" i="32"/>
  <c r="Q47" i="32" s="1"/>
  <c r="M45" i="32"/>
  <c r="Q45" i="32" s="1"/>
  <c r="M51" i="64"/>
  <c r="K29" i="39" s="1"/>
  <c r="M51" i="46"/>
  <c r="K11" i="39" s="1"/>
  <c r="M24" i="32"/>
  <c r="P24" i="32" s="1"/>
  <c r="H46" i="40"/>
  <c r="H46" i="65"/>
  <c r="M51" i="65"/>
  <c r="K30" i="39" s="1"/>
  <c r="M42" i="32"/>
  <c r="P42" i="32" s="1"/>
  <c r="H46" i="63"/>
  <c r="M51" i="62"/>
  <c r="M49" i="62" s="1"/>
  <c r="M41" i="32"/>
  <c r="Q41" i="32" s="1"/>
  <c r="M40" i="32"/>
  <c r="P40" i="32" s="1"/>
  <c r="P33" i="32"/>
  <c r="M27" i="32"/>
  <c r="Q27" i="32" s="1"/>
  <c r="M51" i="60"/>
  <c r="M49" i="60" s="1"/>
  <c r="BA17" i="54"/>
  <c r="BB17" i="54" s="1"/>
  <c r="M28" i="32"/>
  <c r="Q28" i="32" s="1"/>
  <c r="M51" i="40"/>
  <c r="K5" i="39" s="1"/>
  <c r="M51" i="53"/>
  <c r="K18" i="39" s="1"/>
  <c r="G31" i="32"/>
  <c r="Q40" i="52"/>
  <c r="Q40" i="42"/>
  <c r="M47" i="54"/>
  <c r="M46" i="53"/>
  <c r="P38" i="32"/>
  <c r="X15" i="39"/>
  <c r="Z15" i="39"/>
  <c r="X6" i="39"/>
  <c r="Z6" i="39"/>
  <c r="X11" i="39"/>
  <c r="Z11" i="39"/>
  <c r="X16" i="39"/>
  <c r="Z16" i="39"/>
  <c r="X8" i="39"/>
  <c r="Z8" i="39"/>
  <c r="X9" i="39"/>
  <c r="Z9" i="39"/>
  <c r="X13" i="39"/>
  <c r="Z13" i="39"/>
  <c r="X12" i="39"/>
  <c r="Z12" i="39"/>
  <c r="X18" i="39"/>
  <c r="Z18" i="39"/>
  <c r="Z20" i="39"/>
  <c r="X5" i="39"/>
  <c r="Z5" i="39"/>
  <c r="X10" i="39"/>
  <c r="Z10" i="39"/>
  <c r="X19" i="39"/>
  <c r="Z19" i="39"/>
  <c r="X14" i="39"/>
  <c r="Z14" i="39"/>
  <c r="K26" i="39"/>
  <c r="K15" i="39"/>
  <c r="K6" i="39"/>
  <c r="K16" i="39"/>
  <c r="K24" i="39"/>
  <c r="K27" i="39"/>
  <c r="K31" i="39"/>
  <c r="K8" i="39"/>
  <c r="K9" i="39"/>
  <c r="K12" i="39"/>
  <c r="K20" i="39"/>
  <c r="K23" i="39"/>
  <c r="K10" i="39"/>
  <c r="K19" i="39"/>
  <c r="K22" i="39"/>
  <c r="K21" i="39"/>
  <c r="K28" i="39"/>
  <c r="BA17" i="64"/>
  <c r="BB17" i="64" s="1"/>
  <c r="M49" i="51"/>
  <c r="M49" i="59"/>
  <c r="M49" i="66"/>
  <c r="M49" i="43"/>
  <c r="M49" i="44"/>
  <c r="M49" i="47"/>
  <c r="M49" i="55"/>
  <c r="M49" i="65"/>
  <c r="M49" i="58"/>
  <c r="M49" i="41"/>
  <c r="M49" i="45"/>
  <c r="M49" i="54"/>
  <c r="M49" i="64"/>
  <c r="M49" i="57"/>
  <c r="M49" i="56"/>
  <c r="M49" i="49"/>
  <c r="M49" i="63"/>
  <c r="M49" i="68"/>
  <c r="M49" i="61"/>
  <c r="M49" i="50"/>
  <c r="BA17" i="45"/>
  <c r="BB17" i="45" s="1"/>
  <c r="AP18" i="44"/>
  <c r="AQ18" i="44" s="1"/>
  <c r="AV18" i="44" s="1"/>
  <c r="BC16" i="59"/>
  <c r="BA17" i="61"/>
  <c r="BB17" i="61" s="1"/>
  <c r="BA17" i="65"/>
  <c r="BB17" i="65" s="1"/>
  <c r="BA17" i="68"/>
  <c r="BB17" i="68" s="1"/>
  <c r="BA17" i="62"/>
  <c r="BB17" i="62" s="1"/>
  <c r="BB16" i="41"/>
  <c r="BC16" i="41" s="1"/>
  <c r="BB16" i="68"/>
  <c r="BC16" i="68" s="1"/>
  <c r="BA17" i="55"/>
  <c r="Q36" i="32"/>
  <c r="P36" i="32"/>
  <c r="P37" i="32"/>
  <c r="Q37" i="32"/>
  <c r="P47" i="32"/>
  <c r="P31" i="32"/>
  <c r="Q31" i="32"/>
  <c r="BB16" i="43"/>
  <c r="BC16" i="43" s="1"/>
  <c r="Q30" i="32"/>
  <c r="P30" i="32"/>
  <c r="Q23" i="32"/>
  <c r="Q21" i="32"/>
  <c r="P21" i="32"/>
  <c r="Q43" i="32"/>
  <c r="P43" i="32"/>
  <c r="P35" i="32"/>
  <c r="Q35" i="32"/>
  <c r="Q26" i="32"/>
  <c r="P26" i="32"/>
  <c r="Q25" i="32"/>
  <c r="BC16" i="42"/>
  <c r="BA17" i="49"/>
  <c r="BB17" i="49" s="1"/>
  <c r="BC16" i="62"/>
  <c r="Q44" i="32"/>
  <c r="P44" i="32"/>
  <c r="Q32" i="32"/>
  <c r="P32" i="32"/>
  <c r="Q39" i="32"/>
  <c r="P39" i="32"/>
  <c r="Q29" i="32"/>
  <c r="P29" i="32"/>
  <c r="Q24" i="32"/>
  <c r="Q34" i="32"/>
  <c r="P34" i="32"/>
  <c r="Q22" i="32"/>
  <c r="P22" i="32"/>
  <c r="P20" i="32"/>
  <c r="Q20" i="32"/>
  <c r="P19" i="32"/>
  <c r="Q19" i="32"/>
  <c r="BB16" i="66"/>
  <c r="BC16" i="66" s="1"/>
  <c r="BB16" i="56"/>
  <c r="BC16" i="56" s="1"/>
  <c r="BB16" i="55"/>
  <c r="BC16" i="55" s="1"/>
  <c r="BB16" i="57"/>
  <c r="BC16" i="57" s="1"/>
  <c r="BB16" i="63"/>
  <c r="BC16" i="63" s="1"/>
  <c r="BB16" i="65"/>
  <c r="BC16" i="65" s="1"/>
  <c r="BB16" i="67"/>
  <c r="BC16" i="67" s="1"/>
  <c r="BB16" i="60"/>
  <c r="BC16" i="60" s="1"/>
  <c r="AZ18" i="65"/>
  <c r="AY19" i="63"/>
  <c r="AP18" i="63"/>
  <c r="AQ18" i="63" s="1"/>
  <c r="AV18" i="63" s="1"/>
  <c r="AW18" i="63"/>
  <c r="AY18" i="60"/>
  <c r="AO22" i="57"/>
  <c r="AJ23" i="57"/>
  <c r="AU22" i="57"/>
  <c r="AJ20" i="58"/>
  <c r="AO19" i="58"/>
  <c r="AU19" i="58"/>
  <c r="AW18" i="56"/>
  <c r="AP18" i="56"/>
  <c r="AQ18" i="56" s="1"/>
  <c r="AV18" i="56" s="1"/>
  <c r="AN21" i="63"/>
  <c r="AX20" i="63"/>
  <c r="AT20" i="63"/>
  <c r="AU19" i="65"/>
  <c r="AJ20" i="65"/>
  <c r="AO19" i="65"/>
  <c r="AZ18" i="66"/>
  <c r="AN20" i="56"/>
  <c r="AX19" i="56"/>
  <c r="AT19" i="56"/>
  <c r="AY19" i="55"/>
  <c r="AP18" i="67"/>
  <c r="AQ18" i="67" s="1"/>
  <c r="AV18" i="67" s="1"/>
  <c r="AW18" i="67"/>
  <c r="AP18" i="62"/>
  <c r="AQ18" i="62" s="1"/>
  <c r="AV18" i="62" s="1"/>
  <c r="AW18" i="62"/>
  <c r="AP18" i="55"/>
  <c r="AQ18" i="55" s="1"/>
  <c r="AV18" i="55" s="1"/>
  <c r="AW18" i="55"/>
  <c r="AW18" i="59"/>
  <c r="AP18" i="59"/>
  <c r="AQ18" i="59" s="1"/>
  <c r="AV18" i="59" s="1"/>
  <c r="AU19" i="63"/>
  <c r="AJ20" i="63"/>
  <c r="AO19" i="63"/>
  <c r="AZ18" i="55"/>
  <c r="AY18" i="57"/>
  <c r="AO19" i="66"/>
  <c r="AU19" i="66"/>
  <c r="AJ20" i="66"/>
  <c r="AN20" i="60"/>
  <c r="AX19" i="60"/>
  <c r="AT19" i="60"/>
  <c r="AY19" i="65"/>
  <c r="AY19" i="67"/>
  <c r="BC16" i="64"/>
  <c r="AP21" i="57"/>
  <c r="AQ21" i="57" s="1"/>
  <c r="AP18" i="58"/>
  <c r="AQ18" i="58" s="1"/>
  <c r="AV18" i="58" s="1"/>
  <c r="AW18" i="58"/>
  <c r="BA18" i="58" s="1"/>
  <c r="AU19" i="60"/>
  <c r="AJ20" i="60"/>
  <c r="AO19" i="60"/>
  <c r="AO19" i="59"/>
  <c r="AU19" i="59"/>
  <c r="AJ20" i="59"/>
  <c r="AP18" i="66"/>
  <c r="AQ18" i="66" s="1"/>
  <c r="AV18" i="66" s="1"/>
  <c r="AW18" i="66"/>
  <c r="AP18" i="64"/>
  <c r="AQ18" i="64" s="1"/>
  <c r="AV18" i="64" s="1"/>
  <c r="AW18" i="64"/>
  <c r="AZ18" i="67"/>
  <c r="AZ18" i="62"/>
  <c r="AY20" i="61"/>
  <c r="AW18" i="61"/>
  <c r="BA18" i="61" s="1"/>
  <c r="AP18" i="61"/>
  <c r="AQ18" i="61" s="1"/>
  <c r="AV18" i="61" s="1"/>
  <c r="AN21" i="55"/>
  <c r="AX20" i="55"/>
  <c r="AT20" i="55"/>
  <c r="AY19" i="68"/>
  <c r="AU19" i="67"/>
  <c r="AJ20" i="67"/>
  <c r="AO19" i="67"/>
  <c r="AY19" i="64"/>
  <c r="AO19" i="62"/>
  <c r="AU19" i="62"/>
  <c r="AJ20" i="62"/>
  <c r="AZ17" i="59"/>
  <c r="BA17" i="59" s="1"/>
  <c r="AU19" i="55"/>
  <c r="AO19" i="55"/>
  <c r="AJ20" i="55"/>
  <c r="AZ19" i="58"/>
  <c r="AP18" i="68"/>
  <c r="AQ18" i="68" s="1"/>
  <c r="AV18" i="68" s="1"/>
  <c r="AW18" i="68"/>
  <c r="AY19" i="62"/>
  <c r="AZ18" i="68"/>
  <c r="AN20" i="57"/>
  <c r="AX19" i="57"/>
  <c r="AT19" i="57"/>
  <c r="AV19" i="57" s="1"/>
  <c r="AW19" i="57"/>
  <c r="AY19" i="66"/>
  <c r="AN21" i="65"/>
  <c r="AX20" i="65"/>
  <c r="AT20" i="65"/>
  <c r="AN21" i="67"/>
  <c r="AX20" i="67"/>
  <c r="AT20" i="67"/>
  <c r="AU19" i="61"/>
  <c r="AJ20" i="61"/>
  <c r="AO19" i="61"/>
  <c r="AY18" i="56"/>
  <c r="BA17" i="58"/>
  <c r="AZ18" i="63"/>
  <c r="AZ17" i="57"/>
  <c r="BA17" i="57" s="1"/>
  <c r="BB17" i="57" s="1"/>
  <c r="AN22" i="58"/>
  <c r="AX21" i="58"/>
  <c r="AT21" i="58"/>
  <c r="AZ18" i="64"/>
  <c r="AY18" i="59"/>
  <c r="AU19" i="64"/>
  <c r="AJ20" i="64"/>
  <c r="AO19" i="64"/>
  <c r="AU19" i="56"/>
  <c r="AJ20" i="56"/>
  <c r="AO19" i="56"/>
  <c r="BA17" i="66"/>
  <c r="AW18" i="65"/>
  <c r="AP18" i="65"/>
  <c r="AQ18" i="65" s="1"/>
  <c r="AV18" i="65" s="1"/>
  <c r="AP18" i="60"/>
  <c r="AQ18" i="60" s="1"/>
  <c r="AV18" i="60" s="1"/>
  <c r="AW18" i="60"/>
  <c r="AN22" i="61"/>
  <c r="AX21" i="61"/>
  <c r="AT21" i="61"/>
  <c r="AN21" i="68"/>
  <c r="AX20" i="68"/>
  <c r="AT20" i="68"/>
  <c r="AN21" i="64"/>
  <c r="AX20" i="64"/>
  <c r="AT20" i="64"/>
  <c r="BA17" i="63"/>
  <c r="AZ17" i="60"/>
  <c r="BA17" i="60" s="1"/>
  <c r="AZ19" i="61"/>
  <c r="AZ17" i="56"/>
  <c r="BA17" i="56" s="1"/>
  <c r="AO19" i="68"/>
  <c r="AU19" i="68"/>
  <c r="AJ20" i="68"/>
  <c r="AN21" i="62"/>
  <c r="AX20" i="62"/>
  <c r="AT20" i="62"/>
  <c r="AY20" i="58"/>
  <c r="BA17" i="67"/>
  <c r="AN21" i="66"/>
  <c r="AX20" i="66"/>
  <c r="AT20" i="66"/>
  <c r="AX19" i="59"/>
  <c r="AN20" i="59"/>
  <c r="AT19" i="59"/>
  <c r="BB16" i="52"/>
  <c r="BC16" i="52" s="1"/>
  <c r="BB16" i="54"/>
  <c r="BC16" i="54" s="1"/>
  <c r="BB16" i="50"/>
  <c r="BC16" i="50" s="1"/>
  <c r="BB16" i="47"/>
  <c r="BC16" i="47" s="1"/>
  <c r="BB16" i="53"/>
  <c r="BC16" i="53" s="1"/>
  <c r="BB16" i="49"/>
  <c r="BC16" i="49" s="1"/>
  <c r="AY18" i="47"/>
  <c r="AN22" i="51"/>
  <c r="AX21" i="51"/>
  <c r="AT21" i="51"/>
  <c r="AT19" i="53"/>
  <c r="AN20" i="53"/>
  <c r="AX19" i="53"/>
  <c r="AZ17" i="53"/>
  <c r="BA17" i="53" s="1"/>
  <c r="BB17" i="53" s="1"/>
  <c r="AO19" i="51"/>
  <c r="AU19" i="51"/>
  <c r="AJ20" i="51"/>
  <c r="AP18" i="49"/>
  <c r="AQ18" i="49" s="1"/>
  <c r="AV18" i="49" s="1"/>
  <c r="AW18" i="49"/>
  <c r="AJ20" i="54"/>
  <c r="AO19" i="54"/>
  <c r="AU19" i="54"/>
  <c r="AY19" i="49"/>
  <c r="AP18" i="50"/>
  <c r="AQ18" i="50" s="1"/>
  <c r="AV18" i="50" s="1"/>
  <c r="AW18" i="50"/>
  <c r="AN21" i="48"/>
  <c r="AX20" i="48"/>
  <c r="AT20" i="48"/>
  <c r="AZ18" i="50"/>
  <c r="AN20" i="47"/>
  <c r="AX19" i="47"/>
  <c r="AT19" i="47"/>
  <c r="AZ18" i="52"/>
  <c r="AZ18" i="54"/>
  <c r="AZ18" i="49"/>
  <c r="BC17" i="51"/>
  <c r="AZ18" i="48"/>
  <c r="AU19" i="49"/>
  <c r="AJ20" i="49"/>
  <c r="AO19" i="49"/>
  <c r="AP18" i="53"/>
  <c r="AQ18" i="53" s="1"/>
  <c r="AV18" i="53" s="1"/>
  <c r="AW18" i="53"/>
  <c r="BA17" i="52"/>
  <c r="AW18" i="48"/>
  <c r="AP18" i="48"/>
  <c r="AQ18" i="48" s="1"/>
  <c r="AV18" i="48" s="1"/>
  <c r="AY19" i="54"/>
  <c r="AN21" i="49"/>
  <c r="AX20" i="49"/>
  <c r="AT20" i="49"/>
  <c r="AU19" i="50"/>
  <c r="AJ20" i="50"/>
  <c r="AO19" i="50"/>
  <c r="AU19" i="48"/>
  <c r="AJ20" i="48"/>
  <c r="AO19" i="48"/>
  <c r="AY18" i="53"/>
  <c r="BA17" i="48"/>
  <c r="AY19" i="50"/>
  <c r="AZ19" i="51"/>
  <c r="AY19" i="52"/>
  <c r="AW18" i="52"/>
  <c r="AP18" i="52"/>
  <c r="AQ18" i="52" s="1"/>
  <c r="AV18" i="52" s="1"/>
  <c r="BC16" i="48"/>
  <c r="AU19" i="53"/>
  <c r="AJ20" i="53"/>
  <c r="AO19" i="53"/>
  <c r="AY19" i="48"/>
  <c r="AU19" i="47"/>
  <c r="AJ20" i="47"/>
  <c r="AO19" i="47"/>
  <c r="AZ17" i="47"/>
  <c r="BA17" i="47" s="1"/>
  <c r="AU19" i="52"/>
  <c r="AJ20" i="52"/>
  <c r="AO19" i="52"/>
  <c r="AN21" i="54"/>
  <c r="AX20" i="54"/>
  <c r="AT20" i="54"/>
  <c r="AP18" i="47"/>
  <c r="AQ18" i="47" s="1"/>
  <c r="AV18" i="47" s="1"/>
  <c r="AW18" i="47"/>
  <c r="AY20" i="51"/>
  <c r="BA17" i="50"/>
  <c r="AN21" i="50"/>
  <c r="AX20" i="50"/>
  <c r="AT20" i="50"/>
  <c r="AN21" i="52"/>
  <c r="AX20" i="52"/>
  <c r="AT20" i="52"/>
  <c r="AP18" i="51"/>
  <c r="AQ18" i="51" s="1"/>
  <c r="AV18" i="51" s="1"/>
  <c r="AW18" i="51"/>
  <c r="BA18" i="51" s="1"/>
  <c r="AP18" i="54"/>
  <c r="AQ18" i="54" s="1"/>
  <c r="AV18" i="54" s="1"/>
  <c r="AW18" i="54"/>
  <c r="BB16" i="46"/>
  <c r="BC16" i="46" s="1"/>
  <c r="AZ17" i="44"/>
  <c r="BA17" i="44" s="1"/>
  <c r="BB17" i="44" s="1"/>
  <c r="AX20" i="45"/>
  <c r="AN21" i="45"/>
  <c r="AT20" i="45"/>
  <c r="AN20" i="44"/>
  <c r="AX19" i="44"/>
  <c r="AT19" i="44"/>
  <c r="AN20" i="46"/>
  <c r="AX19" i="46"/>
  <c r="AT19" i="46"/>
  <c r="AU20" i="44"/>
  <c r="AJ21" i="44"/>
  <c r="AO20" i="44"/>
  <c r="AW18" i="45"/>
  <c r="AP18" i="45"/>
  <c r="AQ18" i="45" s="1"/>
  <c r="AV18" i="45" s="1"/>
  <c r="AW18" i="46"/>
  <c r="AP18" i="46"/>
  <c r="AQ18" i="46" s="1"/>
  <c r="AV18" i="46" s="1"/>
  <c r="AN20" i="43"/>
  <c r="AX19" i="43"/>
  <c r="AT19" i="43"/>
  <c r="AP19" i="44"/>
  <c r="AQ19" i="44" s="1"/>
  <c r="AW19" i="44"/>
  <c r="AY18" i="44"/>
  <c r="AP18" i="43"/>
  <c r="AQ18" i="43" s="1"/>
  <c r="AV18" i="43" s="1"/>
  <c r="AW18" i="43"/>
  <c r="AZ17" i="46"/>
  <c r="BA17" i="46" s="1"/>
  <c r="AZ18" i="45"/>
  <c r="AY18" i="43"/>
  <c r="AY18" i="46"/>
  <c r="AY19" i="45"/>
  <c r="AU19" i="45"/>
  <c r="AJ20" i="45"/>
  <c r="AO19" i="45"/>
  <c r="AJ20" i="43"/>
  <c r="AO19" i="43"/>
  <c r="AU19" i="43"/>
  <c r="AZ17" i="43"/>
  <c r="BA17" i="43" s="1"/>
  <c r="AU19" i="46"/>
  <c r="AJ20" i="46"/>
  <c r="AO19" i="46"/>
  <c r="AP18" i="42"/>
  <c r="AQ18" i="42" s="1"/>
  <c r="AV18" i="42" s="1"/>
  <c r="AW18" i="42"/>
  <c r="AN20" i="42"/>
  <c r="AX19" i="42"/>
  <c r="AT19" i="42"/>
  <c r="AY19" i="41"/>
  <c r="AU19" i="42"/>
  <c r="AJ20" i="42"/>
  <c r="AO19" i="42"/>
  <c r="BA17" i="41"/>
  <c r="AN21" i="41"/>
  <c r="AX20" i="41"/>
  <c r="AT20" i="41"/>
  <c r="AP18" i="41"/>
  <c r="AQ18" i="41" s="1"/>
  <c r="AV18" i="41" s="1"/>
  <c r="AW18" i="41"/>
  <c r="AJ20" i="41"/>
  <c r="AO19" i="41"/>
  <c r="AU19" i="41"/>
  <c r="AZ18" i="41"/>
  <c r="AZ17" i="42"/>
  <c r="BA17" i="42" s="1"/>
  <c r="AY18" i="42"/>
  <c r="AP19" i="40"/>
  <c r="AQ19" i="40" s="1"/>
  <c r="AV19" i="40" s="1"/>
  <c r="AW19" i="40"/>
  <c r="AY19" i="40"/>
  <c r="AZ18" i="40"/>
  <c r="BA18" i="40" s="1"/>
  <c r="AO20" i="40"/>
  <c r="AU20" i="40"/>
  <c r="AJ21" i="40"/>
  <c r="AN21" i="40"/>
  <c r="AT20" i="40"/>
  <c r="AX20" i="40"/>
  <c r="Q40" i="32" l="1"/>
  <c r="M49" i="67"/>
  <c r="G46" i="32" s="1"/>
  <c r="P28" i="32"/>
  <c r="Q42" i="32"/>
  <c r="M49" i="48"/>
  <c r="Q40" i="48" s="1"/>
  <c r="M49" i="46"/>
  <c r="Q40" i="46" s="1"/>
  <c r="P27" i="32"/>
  <c r="P41" i="32"/>
  <c r="K25" i="39"/>
  <c r="P46" i="32"/>
  <c r="P45" i="32"/>
  <c r="M49" i="53"/>
  <c r="G32" i="32" s="1"/>
  <c r="BC17" i="54"/>
  <c r="M49" i="40"/>
  <c r="G19" i="32" s="1"/>
  <c r="G45" i="32"/>
  <c r="Q40" i="66"/>
  <c r="G47" i="32"/>
  <c r="Q40" i="68"/>
  <c r="G44" i="32"/>
  <c r="Q40" i="65"/>
  <c r="G43" i="32"/>
  <c r="Q40" i="64"/>
  <c r="G38" i="32"/>
  <c r="Q40" i="59"/>
  <c r="G37" i="32"/>
  <c r="Q40" i="58"/>
  <c r="G42" i="32"/>
  <c r="Q40" i="63"/>
  <c r="G41" i="32"/>
  <c r="Q40" i="62"/>
  <c r="G40" i="32"/>
  <c r="Q40" i="61"/>
  <c r="G39" i="32"/>
  <c r="Q40" i="60"/>
  <c r="G36" i="32"/>
  <c r="Q40" i="57"/>
  <c r="G35" i="32"/>
  <c r="Q40" i="56"/>
  <c r="G34" i="32"/>
  <c r="Q40" i="55"/>
  <c r="G33" i="32"/>
  <c r="Q40" i="54"/>
  <c r="G30" i="32"/>
  <c r="Q40" i="51"/>
  <c r="G29" i="32"/>
  <c r="Q40" i="50"/>
  <c r="G28" i="32"/>
  <c r="Q40" i="49"/>
  <c r="G27" i="32"/>
  <c r="G26" i="32"/>
  <c r="Q40" i="47"/>
  <c r="G24" i="32"/>
  <c r="Q40" i="45"/>
  <c r="G23" i="32"/>
  <c r="Q40" i="44"/>
  <c r="G22" i="32"/>
  <c r="Q40" i="43"/>
  <c r="Z21" i="39"/>
  <c r="M47" i="55"/>
  <c r="X20" i="39"/>
  <c r="M46" i="54"/>
  <c r="BC17" i="45"/>
  <c r="BC17" i="65"/>
  <c r="BC17" i="68"/>
  <c r="BC17" i="64"/>
  <c r="G20" i="32"/>
  <c r="Q40" i="41"/>
  <c r="BA18" i="48"/>
  <c r="BB18" i="48" s="1"/>
  <c r="BA18" i="65"/>
  <c r="BB18" i="65" s="1"/>
  <c r="BC18" i="65" s="1"/>
  <c r="BC17" i="49"/>
  <c r="BC17" i="61"/>
  <c r="BA18" i="52"/>
  <c r="BB18" i="52" s="1"/>
  <c r="BC17" i="62"/>
  <c r="AV19" i="44"/>
  <c r="BA18" i="66"/>
  <c r="BB18" i="66" s="1"/>
  <c r="BB17" i="42"/>
  <c r="BC17" i="42" s="1"/>
  <c r="BA18" i="50"/>
  <c r="BB18" i="50" s="1"/>
  <c r="BB17" i="55"/>
  <c r="BC17" i="55" s="1"/>
  <c r="BC17" i="53"/>
  <c r="BB17" i="60"/>
  <c r="BC17" i="60" s="1"/>
  <c r="BB17" i="56"/>
  <c r="BC17" i="56" s="1"/>
  <c r="BB17" i="59"/>
  <c r="BC17" i="59" s="1"/>
  <c r="BB17" i="67"/>
  <c r="BC17" i="67" s="1"/>
  <c r="AJ21" i="55"/>
  <c r="AU20" i="55"/>
  <c r="AO20" i="55"/>
  <c r="BB18" i="61"/>
  <c r="BC18" i="61" s="1"/>
  <c r="AY19" i="60"/>
  <c r="AY19" i="56"/>
  <c r="AY20" i="63"/>
  <c r="AY20" i="66"/>
  <c r="AN22" i="62"/>
  <c r="AX21" i="62"/>
  <c r="AT21" i="62"/>
  <c r="AY20" i="64"/>
  <c r="AN22" i="68"/>
  <c r="AX21" i="68"/>
  <c r="AT21" i="68"/>
  <c r="AY21" i="61"/>
  <c r="BB17" i="66"/>
  <c r="BC17" i="66" s="1"/>
  <c r="AP19" i="64"/>
  <c r="AQ19" i="64" s="1"/>
  <c r="AV19" i="64" s="1"/>
  <c r="AW19" i="64"/>
  <c r="AZ18" i="59"/>
  <c r="BA18" i="59" s="1"/>
  <c r="AY21" i="58"/>
  <c r="AZ18" i="56"/>
  <c r="BA18" i="56" s="1"/>
  <c r="BB18" i="56" s="1"/>
  <c r="AY19" i="57"/>
  <c r="AW19" i="55"/>
  <c r="AP19" i="55"/>
  <c r="AQ19" i="55" s="1"/>
  <c r="AV19" i="55" s="1"/>
  <c r="AY20" i="55"/>
  <c r="AW19" i="59"/>
  <c r="AP19" i="59"/>
  <c r="AQ19" i="59" s="1"/>
  <c r="AV19" i="59" s="1"/>
  <c r="BB18" i="58"/>
  <c r="BC18" i="58" s="1"/>
  <c r="AZ19" i="65"/>
  <c r="AN21" i="60"/>
  <c r="AX20" i="60"/>
  <c r="AT20" i="60"/>
  <c r="AW19" i="66"/>
  <c r="AP19" i="66"/>
  <c r="AQ19" i="66" s="1"/>
  <c r="AV19" i="66" s="1"/>
  <c r="BA18" i="62"/>
  <c r="AN21" i="56"/>
  <c r="AX20" i="56"/>
  <c r="AT20" i="56"/>
  <c r="AJ21" i="65"/>
  <c r="AO20" i="65"/>
  <c r="AU20" i="65"/>
  <c r="AN22" i="63"/>
  <c r="AX21" i="63"/>
  <c r="AT21" i="63"/>
  <c r="AP19" i="58"/>
  <c r="AQ19" i="58" s="1"/>
  <c r="AV19" i="58" s="1"/>
  <c r="AW19" i="58"/>
  <c r="BA19" i="58" s="1"/>
  <c r="AZ18" i="60"/>
  <c r="BA18" i="60" s="1"/>
  <c r="BB18" i="60" s="1"/>
  <c r="AY20" i="62"/>
  <c r="AN22" i="65"/>
  <c r="AX21" i="65"/>
  <c r="AT21" i="65"/>
  <c r="AW19" i="62"/>
  <c r="AP19" i="62"/>
  <c r="AQ19" i="62" s="1"/>
  <c r="AV19" i="62" s="1"/>
  <c r="AP19" i="65"/>
  <c r="AQ19" i="65" s="1"/>
  <c r="AV19" i="65" s="1"/>
  <c r="AW19" i="65"/>
  <c r="AX20" i="59"/>
  <c r="AN21" i="59"/>
  <c r="AT20" i="59"/>
  <c r="AN22" i="66"/>
  <c r="AX21" i="66"/>
  <c r="AT21" i="66"/>
  <c r="AZ20" i="58"/>
  <c r="AU20" i="68"/>
  <c r="AJ21" i="68"/>
  <c r="AO20" i="68"/>
  <c r="AN22" i="64"/>
  <c r="AX21" i="64"/>
  <c r="AT21" i="64"/>
  <c r="AN23" i="61"/>
  <c r="AX22" i="61"/>
  <c r="AT22" i="61"/>
  <c r="AP19" i="56"/>
  <c r="AQ19" i="56" s="1"/>
  <c r="AV19" i="56" s="1"/>
  <c r="AW19" i="56"/>
  <c r="AJ21" i="64"/>
  <c r="AO20" i="64"/>
  <c r="AU20" i="64"/>
  <c r="AN23" i="58"/>
  <c r="AX22" i="58"/>
  <c r="AT22" i="58"/>
  <c r="AP19" i="61"/>
  <c r="AQ19" i="61" s="1"/>
  <c r="AV19" i="61" s="1"/>
  <c r="AW19" i="61"/>
  <c r="BA19" i="61" s="1"/>
  <c r="AY20" i="67"/>
  <c r="AZ19" i="66"/>
  <c r="AN21" i="57"/>
  <c r="AX20" i="57"/>
  <c r="AT20" i="57"/>
  <c r="AV20" i="57" s="1"/>
  <c r="AW20" i="57"/>
  <c r="AZ19" i="62"/>
  <c r="AU20" i="62"/>
  <c r="AJ21" i="62"/>
  <c r="AO20" i="62"/>
  <c r="AZ19" i="64"/>
  <c r="AN22" i="55"/>
  <c r="AX21" i="55"/>
  <c r="AT21" i="55"/>
  <c r="AZ20" i="61"/>
  <c r="BA18" i="64"/>
  <c r="AP19" i="60"/>
  <c r="AQ19" i="60" s="1"/>
  <c r="AV19" i="60" s="1"/>
  <c r="AW19" i="60"/>
  <c r="AZ18" i="57"/>
  <c r="BA18" i="57" s="1"/>
  <c r="BB18" i="57" s="1"/>
  <c r="AP19" i="63"/>
  <c r="AQ19" i="63" s="1"/>
  <c r="AV19" i="63" s="1"/>
  <c r="AW19" i="63"/>
  <c r="AZ19" i="55"/>
  <c r="AU20" i="58"/>
  <c r="AJ21" i="58"/>
  <c r="AO20" i="58"/>
  <c r="AU23" i="57"/>
  <c r="AJ24" i="57"/>
  <c r="AO23" i="57"/>
  <c r="AW19" i="68"/>
  <c r="AP19" i="68"/>
  <c r="AQ19" i="68" s="1"/>
  <c r="AV19" i="68" s="1"/>
  <c r="AY20" i="68"/>
  <c r="AJ21" i="67"/>
  <c r="AO20" i="67"/>
  <c r="AU20" i="67"/>
  <c r="AY19" i="59"/>
  <c r="BB17" i="63"/>
  <c r="BC17" i="63" s="1"/>
  <c r="AO20" i="56"/>
  <c r="AJ21" i="56"/>
  <c r="AU20" i="56"/>
  <c r="BC17" i="57"/>
  <c r="BB17" i="58"/>
  <c r="BC17" i="58" s="1"/>
  <c r="AO20" i="61"/>
  <c r="AU20" i="61"/>
  <c r="AJ21" i="61"/>
  <c r="AN22" i="67"/>
  <c r="AX21" i="67"/>
  <c r="AT21" i="67"/>
  <c r="AY20" i="65"/>
  <c r="BA18" i="68"/>
  <c r="AP19" i="67"/>
  <c r="AQ19" i="67" s="1"/>
  <c r="AV19" i="67" s="1"/>
  <c r="AW19" i="67"/>
  <c r="AZ19" i="68"/>
  <c r="AU20" i="59"/>
  <c r="AO20" i="59"/>
  <c r="AJ21" i="59"/>
  <c r="AJ21" i="60"/>
  <c r="AO20" i="60"/>
  <c r="AU20" i="60"/>
  <c r="AZ19" i="67"/>
  <c r="AU20" i="66"/>
  <c r="AJ21" i="66"/>
  <c r="AO20" i="66"/>
  <c r="AJ21" i="63"/>
  <c r="AO20" i="63"/>
  <c r="AU20" i="63"/>
  <c r="BA18" i="55"/>
  <c r="BA18" i="67"/>
  <c r="AP22" i="57"/>
  <c r="AQ22" i="57" s="1"/>
  <c r="BA18" i="63"/>
  <c r="AZ19" i="63"/>
  <c r="BB17" i="47"/>
  <c r="BC17" i="47" s="1"/>
  <c r="AY20" i="52"/>
  <c r="AN22" i="50"/>
  <c r="AX21" i="50"/>
  <c r="AT21" i="50"/>
  <c r="AN22" i="54"/>
  <c r="AX21" i="54"/>
  <c r="AT21" i="54"/>
  <c r="AZ19" i="52"/>
  <c r="AZ19" i="50"/>
  <c r="AP19" i="48"/>
  <c r="AQ19" i="48" s="1"/>
  <c r="AV19" i="48" s="1"/>
  <c r="AW19" i="48"/>
  <c r="AJ21" i="50"/>
  <c r="AO20" i="50"/>
  <c r="AU20" i="50"/>
  <c r="AN22" i="49"/>
  <c r="AX21" i="49"/>
  <c r="AT21" i="49"/>
  <c r="AN22" i="48"/>
  <c r="AX21" i="48"/>
  <c r="AT21" i="48"/>
  <c r="AU20" i="54"/>
  <c r="AJ21" i="54"/>
  <c r="AO20" i="54"/>
  <c r="AY19" i="53"/>
  <c r="AY21" i="51"/>
  <c r="BB18" i="51"/>
  <c r="BC18" i="51" s="1"/>
  <c r="AN22" i="52"/>
  <c r="AX21" i="52"/>
  <c r="AT21" i="52"/>
  <c r="BB17" i="50"/>
  <c r="BC17" i="50" s="1"/>
  <c r="AP19" i="52"/>
  <c r="AQ19" i="52" s="1"/>
  <c r="AV19" i="52" s="1"/>
  <c r="AW19" i="52"/>
  <c r="AP19" i="53"/>
  <c r="AQ19" i="53" s="1"/>
  <c r="AV19" i="53" s="1"/>
  <c r="AW19" i="53"/>
  <c r="BB17" i="48"/>
  <c r="BC17" i="48" s="1"/>
  <c r="AO20" i="48"/>
  <c r="AU20" i="48"/>
  <c r="AJ21" i="48"/>
  <c r="AZ19" i="54"/>
  <c r="BB17" i="52"/>
  <c r="BC17" i="52" s="1"/>
  <c r="AP19" i="49"/>
  <c r="AQ19" i="49" s="1"/>
  <c r="AV19" i="49" s="1"/>
  <c r="AW19" i="49"/>
  <c r="AZ19" i="49"/>
  <c r="BA18" i="49"/>
  <c r="AW19" i="51"/>
  <c r="BA19" i="51" s="1"/>
  <c r="AP19" i="51"/>
  <c r="AQ19" i="51" s="1"/>
  <c r="AV19" i="51" s="1"/>
  <c r="AT20" i="53"/>
  <c r="AN21" i="53"/>
  <c r="AX20" i="53"/>
  <c r="AN23" i="51"/>
  <c r="AX22" i="51"/>
  <c r="AT22" i="51"/>
  <c r="AO20" i="52"/>
  <c r="AU20" i="52"/>
  <c r="AJ21" i="52"/>
  <c r="AP19" i="47"/>
  <c r="AQ19" i="47" s="1"/>
  <c r="AV19" i="47" s="1"/>
  <c r="AW19" i="47"/>
  <c r="AO20" i="53"/>
  <c r="AJ21" i="53"/>
  <c r="AU20" i="53"/>
  <c r="AJ21" i="49"/>
  <c r="AO20" i="49"/>
  <c r="AU20" i="49"/>
  <c r="AY19" i="47"/>
  <c r="AZ18" i="47"/>
  <c r="BA18" i="47" s="1"/>
  <c r="BA18" i="54"/>
  <c r="AY20" i="50"/>
  <c r="AZ20" i="51"/>
  <c r="AY20" i="54"/>
  <c r="AJ21" i="47"/>
  <c r="AU20" i="47"/>
  <c r="AO20" i="47"/>
  <c r="AZ19" i="48"/>
  <c r="AZ18" i="53"/>
  <c r="BA18" i="53" s="1"/>
  <c r="BB18" i="53" s="1"/>
  <c r="AP19" i="50"/>
  <c r="AQ19" i="50" s="1"/>
  <c r="AV19" i="50" s="1"/>
  <c r="AW19" i="50"/>
  <c r="AY20" i="49"/>
  <c r="AN21" i="47"/>
  <c r="AX20" i="47"/>
  <c r="AT20" i="47"/>
  <c r="AY20" i="48"/>
  <c r="AP19" i="54"/>
  <c r="AQ19" i="54" s="1"/>
  <c r="AV19" i="54" s="1"/>
  <c r="AW19" i="54"/>
  <c r="AU20" i="51"/>
  <c r="AJ21" i="51"/>
  <c r="AO20" i="51"/>
  <c r="BB17" i="43"/>
  <c r="BC17" i="43" s="1"/>
  <c r="BB17" i="46"/>
  <c r="BC17" i="46" s="1"/>
  <c r="AZ18" i="44"/>
  <c r="BA18" i="44" s="1"/>
  <c r="BB18" i="44" s="1"/>
  <c r="AP19" i="45"/>
  <c r="AQ19" i="45" s="1"/>
  <c r="AV19" i="45" s="1"/>
  <c r="AW19" i="45"/>
  <c r="AZ18" i="46"/>
  <c r="BA18" i="46" s="1"/>
  <c r="BB18" i="46" s="1"/>
  <c r="AY19" i="43"/>
  <c r="AX20" i="46"/>
  <c r="AN21" i="46"/>
  <c r="AT20" i="46"/>
  <c r="BC17" i="44"/>
  <c r="AU20" i="43"/>
  <c r="AJ21" i="43"/>
  <c r="AO20" i="43"/>
  <c r="AJ22" i="44"/>
  <c r="AO21" i="44"/>
  <c r="AU21" i="44"/>
  <c r="AY19" i="46"/>
  <c r="AN21" i="44"/>
  <c r="AX20" i="44"/>
  <c r="AT20" i="44"/>
  <c r="AP19" i="46"/>
  <c r="AQ19" i="46" s="1"/>
  <c r="AV19" i="46" s="1"/>
  <c r="AW19" i="46"/>
  <c r="AO20" i="46"/>
  <c r="AU20" i="46"/>
  <c r="AJ21" i="46"/>
  <c r="AO20" i="45"/>
  <c r="AJ21" i="45"/>
  <c r="AU20" i="45"/>
  <c r="AT20" i="43"/>
  <c r="AN21" i="43"/>
  <c r="AX20" i="43"/>
  <c r="BA18" i="45"/>
  <c r="AN22" i="45"/>
  <c r="AX21" i="45"/>
  <c r="AT21" i="45"/>
  <c r="AP19" i="43"/>
  <c r="AQ19" i="43" s="1"/>
  <c r="AV19" i="43" s="1"/>
  <c r="AW19" i="43"/>
  <c r="AZ19" i="45"/>
  <c r="AZ18" i="43"/>
  <c r="BA18" i="43" s="1"/>
  <c r="AP20" i="44"/>
  <c r="AQ20" i="44" s="1"/>
  <c r="AW20" i="44"/>
  <c r="AY19" i="44"/>
  <c r="AY20" i="45"/>
  <c r="AY20" i="41"/>
  <c r="BA18" i="41"/>
  <c r="AN22" i="41"/>
  <c r="AX21" i="41"/>
  <c r="AT21" i="41"/>
  <c r="AY19" i="42"/>
  <c r="BB17" i="41"/>
  <c r="BC17" i="41" s="1"/>
  <c r="AZ19" i="41"/>
  <c r="AN21" i="42"/>
  <c r="AX20" i="42"/>
  <c r="AT20" i="42"/>
  <c r="AP19" i="41"/>
  <c r="AQ19" i="41" s="1"/>
  <c r="AV19" i="41" s="1"/>
  <c r="AW19" i="41"/>
  <c r="AP19" i="42"/>
  <c r="AQ19" i="42" s="1"/>
  <c r="AV19" i="42" s="1"/>
  <c r="AW19" i="42"/>
  <c r="AZ18" i="42"/>
  <c r="BA18" i="42" s="1"/>
  <c r="AU20" i="41"/>
  <c r="AJ21" i="41"/>
  <c r="AO20" i="41"/>
  <c r="AJ21" i="42"/>
  <c r="AO20" i="42"/>
  <c r="AU20" i="42"/>
  <c r="BB18" i="40"/>
  <c r="BC18" i="40" s="1"/>
  <c r="AZ19" i="40"/>
  <c r="BA19" i="40" s="1"/>
  <c r="AW20" i="40"/>
  <c r="AP20" i="40"/>
  <c r="AQ20" i="40" s="1"/>
  <c r="AV20" i="40" s="1"/>
  <c r="AN22" i="40"/>
  <c r="AX21" i="40"/>
  <c r="AT21" i="40"/>
  <c r="AU21" i="40"/>
  <c r="AJ22" i="40"/>
  <c r="AO21" i="40"/>
  <c r="AY20" i="40"/>
  <c r="Q40" i="67" l="1"/>
  <c r="G25" i="32"/>
  <c r="Q40" i="53"/>
  <c r="Q40" i="40"/>
  <c r="BA19" i="50"/>
  <c r="BB19" i="50" s="1"/>
  <c r="BC18" i="50"/>
  <c r="M47" i="56"/>
  <c r="M46" i="55"/>
  <c r="BC18" i="48"/>
  <c r="BC18" i="52"/>
  <c r="BC18" i="66"/>
  <c r="BC18" i="53"/>
  <c r="BA19" i="41"/>
  <c r="BB19" i="41" s="1"/>
  <c r="BA19" i="52"/>
  <c r="BB19" i="52" s="1"/>
  <c r="BC18" i="57"/>
  <c r="BC18" i="56"/>
  <c r="BB18" i="59"/>
  <c r="BC18" i="59" s="1"/>
  <c r="AZ20" i="65"/>
  <c r="AU21" i="61"/>
  <c r="AJ22" i="61"/>
  <c r="AO21" i="61"/>
  <c r="AW20" i="56"/>
  <c r="AP20" i="56"/>
  <c r="AQ20" i="56" s="1"/>
  <c r="AV20" i="56" s="1"/>
  <c r="AZ19" i="59"/>
  <c r="BA19" i="59" s="1"/>
  <c r="BB19" i="59" s="1"/>
  <c r="BB18" i="64"/>
  <c r="BC18" i="64" s="1"/>
  <c r="AY21" i="63"/>
  <c r="AZ20" i="55"/>
  <c r="AY21" i="68"/>
  <c r="AZ20" i="66"/>
  <c r="AZ19" i="56"/>
  <c r="BA19" i="56" s="1"/>
  <c r="BB19" i="56" s="1"/>
  <c r="BB18" i="63"/>
  <c r="BC18" i="63" s="1"/>
  <c r="AO21" i="66"/>
  <c r="AU21" i="66"/>
  <c r="AJ22" i="66"/>
  <c r="AW20" i="59"/>
  <c r="AP20" i="59"/>
  <c r="AQ20" i="59" s="1"/>
  <c r="AV20" i="59" s="1"/>
  <c r="BB18" i="68"/>
  <c r="BC18" i="68" s="1"/>
  <c r="AU21" i="67"/>
  <c r="AJ22" i="67"/>
  <c r="AO21" i="67"/>
  <c r="BA19" i="68"/>
  <c r="AP23" i="57"/>
  <c r="AQ23" i="57" s="1"/>
  <c r="AJ22" i="58"/>
  <c r="AO21" i="58"/>
  <c r="AU21" i="58"/>
  <c r="AN23" i="55"/>
  <c r="AX22" i="55"/>
  <c r="AT22" i="55"/>
  <c r="AO21" i="62"/>
  <c r="AU21" i="62"/>
  <c r="AJ22" i="62"/>
  <c r="BB19" i="61"/>
  <c r="BC19" i="61" s="1"/>
  <c r="AN24" i="58"/>
  <c r="AX23" i="58"/>
  <c r="AT23" i="58"/>
  <c r="AP20" i="68"/>
  <c r="AQ20" i="68" s="1"/>
  <c r="AV20" i="68" s="1"/>
  <c r="AW20" i="68"/>
  <c r="BA19" i="65"/>
  <c r="BA19" i="62"/>
  <c r="BB19" i="58"/>
  <c r="BC19" i="58" s="1"/>
  <c r="AN23" i="63"/>
  <c r="AX22" i="63"/>
  <c r="AT22" i="63"/>
  <c r="AN22" i="60"/>
  <c r="AX21" i="60"/>
  <c r="AT21" i="60"/>
  <c r="AZ19" i="57"/>
  <c r="BA19" i="57" s="1"/>
  <c r="BB19" i="57" s="1"/>
  <c r="AN23" i="68"/>
  <c r="AX22" i="68"/>
  <c r="AT22" i="68"/>
  <c r="AY21" i="62"/>
  <c r="AZ20" i="63"/>
  <c r="AO21" i="55"/>
  <c r="AU21" i="55"/>
  <c r="AJ22" i="55"/>
  <c r="AP20" i="66"/>
  <c r="AQ20" i="66" s="1"/>
  <c r="AV20" i="66" s="1"/>
  <c r="AW20" i="66"/>
  <c r="AO21" i="59"/>
  <c r="AU21" i="59"/>
  <c r="AJ22" i="59"/>
  <c r="AP20" i="58"/>
  <c r="AQ20" i="58" s="1"/>
  <c r="AV20" i="58" s="1"/>
  <c r="AW20" i="58"/>
  <c r="BA20" i="58" s="1"/>
  <c r="AP20" i="62"/>
  <c r="AQ20" i="62" s="1"/>
  <c r="AV20" i="62" s="1"/>
  <c r="AW20" i="62"/>
  <c r="AN23" i="66"/>
  <c r="AX22" i="66"/>
  <c r="AT22" i="66"/>
  <c r="AN23" i="65"/>
  <c r="AX22" i="65"/>
  <c r="AT22" i="65"/>
  <c r="BB18" i="62"/>
  <c r="BC18" i="62" s="1"/>
  <c r="AP20" i="63"/>
  <c r="AQ20" i="63" s="1"/>
  <c r="AV20" i="63" s="1"/>
  <c r="AW20" i="63"/>
  <c r="AP20" i="60"/>
  <c r="AQ20" i="60" s="1"/>
  <c r="AV20" i="60" s="1"/>
  <c r="AW20" i="60"/>
  <c r="AY21" i="67"/>
  <c r="AW20" i="61"/>
  <c r="BA20" i="61" s="1"/>
  <c r="AP20" i="61"/>
  <c r="AQ20" i="61" s="1"/>
  <c r="AV20" i="61" s="1"/>
  <c r="AO24" i="57"/>
  <c r="AJ25" i="57"/>
  <c r="AU24" i="57"/>
  <c r="BA19" i="63"/>
  <c r="AY22" i="61"/>
  <c r="AO21" i="68"/>
  <c r="AU21" i="68"/>
  <c r="AJ22" i="68"/>
  <c r="AN22" i="59"/>
  <c r="AX21" i="59"/>
  <c r="AT21" i="59"/>
  <c r="AZ20" i="62"/>
  <c r="AY20" i="56"/>
  <c r="BA19" i="66"/>
  <c r="AZ21" i="58"/>
  <c r="BA19" i="64"/>
  <c r="AZ21" i="61"/>
  <c r="AZ20" i="64"/>
  <c r="AN23" i="62"/>
  <c r="AX22" i="62"/>
  <c r="AT22" i="62"/>
  <c r="AZ19" i="60"/>
  <c r="BA19" i="60" s="1"/>
  <c r="BB18" i="55"/>
  <c r="BC18" i="55" s="1"/>
  <c r="AP20" i="67"/>
  <c r="AQ20" i="67" s="1"/>
  <c r="AV20" i="67" s="1"/>
  <c r="AW20" i="67"/>
  <c r="AY21" i="55"/>
  <c r="AN22" i="57"/>
  <c r="AX21" i="57"/>
  <c r="AT21" i="57"/>
  <c r="AV21" i="57" s="1"/>
  <c r="AW21" i="57"/>
  <c r="AY22" i="58"/>
  <c r="AU21" i="64"/>
  <c r="AJ22" i="64"/>
  <c r="AO21" i="64"/>
  <c r="AN23" i="64"/>
  <c r="AX22" i="64"/>
  <c r="AT22" i="64"/>
  <c r="AJ22" i="65"/>
  <c r="AO21" i="65"/>
  <c r="AU21" i="65"/>
  <c r="AY20" i="60"/>
  <c r="BB18" i="67"/>
  <c r="BC18" i="67" s="1"/>
  <c r="AU21" i="63"/>
  <c r="AJ22" i="63"/>
  <c r="AO21" i="63"/>
  <c r="AU21" i="60"/>
  <c r="AJ22" i="60"/>
  <c r="AO21" i="60"/>
  <c r="BA19" i="67"/>
  <c r="AN23" i="67"/>
  <c r="AX22" i="67"/>
  <c r="AT22" i="67"/>
  <c r="AU21" i="56"/>
  <c r="AJ22" i="56"/>
  <c r="AO21" i="56"/>
  <c r="AZ20" i="68"/>
  <c r="AY20" i="57"/>
  <c r="AZ20" i="67"/>
  <c r="AP20" i="64"/>
  <c r="AQ20" i="64" s="1"/>
  <c r="AV20" i="64" s="1"/>
  <c r="AW20" i="64"/>
  <c r="AN24" i="61"/>
  <c r="AX23" i="61"/>
  <c r="AT23" i="61"/>
  <c r="AY21" i="64"/>
  <c r="AY21" i="66"/>
  <c r="AY20" i="59"/>
  <c r="AY21" i="65"/>
  <c r="BC18" i="60"/>
  <c r="AW20" i="65"/>
  <c r="AP20" i="65"/>
  <c r="AQ20" i="65" s="1"/>
  <c r="AV20" i="65" s="1"/>
  <c r="AN22" i="56"/>
  <c r="AX21" i="56"/>
  <c r="AT21" i="56"/>
  <c r="BA19" i="55"/>
  <c r="AP20" i="55"/>
  <c r="AQ20" i="55" s="1"/>
  <c r="AV20" i="55" s="1"/>
  <c r="AW20" i="55"/>
  <c r="BB18" i="47"/>
  <c r="BC18" i="47" s="1"/>
  <c r="AO21" i="51"/>
  <c r="AU21" i="51"/>
  <c r="AJ22" i="51"/>
  <c r="AN22" i="47"/>
  <c r="AX21" i="47"/>
  <c r="AT21" i="47"/>
  <c r="BB18" i="54"/>
  <c r="BC18" i="54" s="1"/>
  <c r="AN22" i="53"/>
  <c r="AX21" i="53"/>
  <c r="AT21" i="53"/>
  <c r="BB18" i="49"/>
  <c r="BC18" i="49" s="1"/>
  <c r="AZ19" i="53"/>
  <c r="BA19" i="53" s="1"/>
  <c r="BB19" i="53" s="1"/>
  <c r="AZ20" i="48"/>
  <c r="AJ22" i="47"/>
  <c r="AO21" i="47"/>
  <c r="AU21" i="47"/>
  <c r="AU21" i="53"/>
  <c r="AJ22" i="53"/>
  <c r="AO21" i="53"/>
  <c r="AU21" i="52"/>
  <c r="AJ22" i="52"/>
  <c r="AO21" i="52"/>
  <c r="AY22" i="51"/>
  <c r="AU21" i="48"/>
  <c r="AJ22" i="48"/>
  <c r="AO21" i="48"/>
  <c r="AY21" i="52"/>
  <c r="AP20" i="54"/>
  <c r="AQ20" i="54" s="1"/>
  <c r="AV20" i="54" s="1"/>
  <c r="AW20" i="54"/>
  <c r="AY21" i="48"/>
  <c r="AP20" i="50"/>
  <c r="AQ20" i="50" s="1"/>
  <c r="AV20" i="50" s="1"/>
  <c r="AW20" i="50"/>
  <c r="AZ20" i="52"/>
  <c r="BA19" i="54"/>
  <c r="AZ20" i="50"/>
  <c r="AP20" i="49"/>
  <c r="AQ20" i="49" s="1"/>
  <c r="AV20" i="49" s="1"/>
  <c r="AW20" i="49"/>
  <c r="AW20" i="53"/>
  <c r="AP20" i="53"/>
  <c r="AQ20" i="53" s="1"/>
  <c r="AV20" i="53" s="1"/>
  <c r="AN24" i="51"/>
  <c r="AX23" i="51"/>
  <c r="AT23" i="51"/>
  <c r="AN23" i="52"/>
  <c r="AX22" i="52"/>
  <c r="AT22" i="52"/>
  <c r="AZ21" i="51"/>
  <c r="AJ22" i="54"/>
  <c r="AO21" i="54"/>
  <c r="AU21" i="54"/>
  <c r="AN23" i="48"/>
  <c r="AX22" i="48"/>
  <c r="AT22" i="48"/>
  <c r="AY21" i="49"/>
  <c r="AU21" i="50"/>
  <c r="AJ22" i="50"/>
  <c r="AO21" i="50"/>
  <c r="AY21" i="54"/>
  <c r="AY21" i="50"/>
  <c r="AP20" i="51"/>
  <c r="AQ20" i="51" s="1"/>
  <c r="AV20" i="51" s="1"/>
  <c r="AW20" i="51"/>
  <c r="BA20" i="51" s="1"/>
  <c r="AY20" i="47"/>
  <c r="AZ20" i="49"/>
  <c r="AP20" i="47"/>
  <c r="AQ20" i="47" s="1"/>
  <c r="AV20" i="47" s="1"/>
  <c r="AW20" i="47"/>
  <c r="AZ20" i="54"/>
  <c r="AZ19" i="47"/>
  <c r="BA19" i="47" s="1"/>
  <c r="BB19" i="47" s="1"/>
  <c r="AU21" i="49"/>
  <c r="AJ22" i="49"/>
  <c r="AO21" i="49"/>
  <c r="AW20" i="52"/>
  <c r="AP20" i="52"/>
  <c r="AQ20" i="52" s="1"/>
  <c r="AV20" i="52" s="1"/>
  <c r="AY20" i="53"/>
  <c r="BB19" i="51"/>
  <c r="BC19" i="51" s="1"/>
  <c r="BA19" i="49"/>
  <c r="AW20" i="48"/>
  <c r="AP20" i="48"/>
  <c r="AQ20" i="48" s="1"/>
  <c r="AV20" i="48" s="1"/>
  <c r="AN23" i="49"/>
  <c r="AX22" i="49"/>
  <c r="AT22" i="49"/>
  <c r="BA19" i="48"/>
  <c r="AN23" i="54"/>
  <c r="AX22" i="54"/>
  <c r="AT22" i="54"/>
  <c r="AN23" i="50"/>
  <c r="AX22" i="50"/>
  <c r="AT22" i="50"/>
  <c r="BB18" i="43"/>
  <c r="BC18" i="43" s="1"/>
  <c r="AZ20" i="45"/>
  <c r="AV20" i="44"/>
  <c r="AY21" i="45"/>
  <c r="AN22" i="43"/>
  <c r="AX21" i="43"/>
  <c r="AT21" i="43"/>
  <c r="AU21" i="45"/>
  <c r="AJ22" i="45"/>
  <c r="AO21" i="45"/>
  <c r="AW20" i="46"/>
  <c r="AP20" i="46"/>
  <c r="AQ20" i="46" s="1"/>
  <c r="AV20" i="46" s="1"/>
  <c r="AY20" i="44"/>
  <c r="AP20" i="43"/>
  <c r="AQ20" i="43" s="1"/>
  <c r="AV20" i="43" s="1"/>
  <c r="AW20" i="43"/>
  <c r="BA19" i="45"/>
  <c r="AZ19" i="44"/>
  <c r="BA19" i="44" s="1"/>
  <c r="BB19" i="44" s="1"/>
  <c r="AN23" i="45"/>
  <c r="AX22" i="45"/>
  <c r="AT22" i="45"/>
  <c r="AW20" i="45"/>
  <c r="AP20" i="45"/>
  <c r="AQ20" i="45" s="1"/>
  <c r="AV20" i="45" s="1"/>
  <c r="AN22" i="44"/>
  <c r="AX21" i="44"/>
  <c r="AT21" i="44"/>
  <c r="AP21" i="44"/>
  <c r="AQ21" i="44" s="1"/>
  <c r="AW21" i="44"/>
  <c r="AJ22" i="43"/>
  <c r="AO21" i="43"/>
  <c r="AU21" i="43"/>
  <c r="AN22" i="46"/>
  <c r="AX21" i="46"/>
  <c r="AT21" i="46"/>
  <c r="BB18" i="45"/>
  <c r="BC18" i="45" s="1"/>
  <c r="AU21" i="46"/>
  <c r="AJ22" i="46"/>
  <c r="AO21" i="46"/>
  <c r="AU22" i="44"/>
  <c r="AO22" i="44"/>
  <c r="AJ23" i="44"/>
  <c r="AY20" i="46"/>
  <c r="BC18" i="46"/>
  <c r="BC18" i="44"/>
  <c r="AY20" i="43"/>
  <c r="AZ19" i="46"/>
  <c r="BA19" i="46" s="1"/>
  <c r="AZ19" i="43"/>
  <c r="BA19" i="43" s="1"/>
  <c r="BB18" i="42"/>
  <c r="BC18" i="42" s="1"/>
  <c r="AJ22" i="41"/>
  <c r="AO21" i="41"/>
  <c r="AU21" i="41"/>
  <c r="AN23" i="41"/>
  <c r="AX22" i="41"/>
  <c r="AT22" i="41"/>
  <c r="AP20" i="42"/>
  <c r="AQ20" i="42" s="1"/>
  <c r="AV20" i="42" s="1"/>
  <c r="AW20" i="42"/>
  <c r="AZ19" i="42"/>
  <c r="BA19" i="42" s="1"/>
  <c r="BB18" i="41"/>
  <c r="BC18" i="41" s="1"/>
  <c r="AU21" i="42"/>
  <c r="AJ22" i="42"/>
  <c r="AO21" i="42"/>
  <c r="AY20" i="42"/>
  <c r="AP20" i="41"/>
  <c r="AQ20" i="41" s="1"/>
  <c r="AV20" i="41" s="1"/>
  <c r="AW20" i="41"/>
  <c r="AN22" i="42"/>
  <c r="AX21" i="42"/>
  <c r="AT21" i="42"/>
  <c r="AY21" i="41"/>
  <c r="AZ20" i="41"/>
  <c r="BB19" i="40"/>
  <c r="BC19" i="40" s="1"/>
  <c r="AO22" i="40"/>
  <c r="AJ23" i="40"/>
  <c r="AU22" i="40"/>
  <c r="AY21" i="40"/>
  <c r="AN23" i="40"/>
  <c r="AX22" i="40"/>
  <c r="AT22" i="40"/>
  <c r="AZ20" i="40"/>
  <c r="BA20" i="40" s="1"/>
  <c r="BB20" i="40" s="1"/>
  <c r="AP21" i="40"/>
  <c r="AQ21" i="40" s="1"/>
  <c r="AV21" i="40" s="1"/>
  <c r="AW21" i="40"/>
  <c r="BA20" i="65" l="1"/>
  <c r="BB20" i="65" s="1"/>
  <c r="BC19" i="50"/>
  <c r="BA20" i="66"/>
  <c r="BB20" i="66" s="1"/>
  <c r="BA20" i="45"/>
  <c r="BB20" i="45" s="1"/>
  <c r="M47" i="57"/>
  <c r="Z22" i="39"/>
  <c r="M46" i="56"/>
  <c r="X21" i="39"/>
  <c r="BC19" i="41"/>
  <c r="BC19" i="52"/>
  <c r="BA20" i="55"/>
  <c r="BB20" i="55" s="1"/>
  <c r="BA20" i="48"/>
  <c r="BB20" i="48" s="1"/>
  <c r="AV21" i="44"/>
  <c r="BA20" i="63"/>
  <c r="BB20" i="63" s="1"/>
  <c r="BA20" i="54"/>
  <c r="BA20" i="64"/>
  <c r="BB20" i="64" s="1"/>
  <c r="BA20" i="41"/>
  <c r="BB20" i="41" s="1"/>
  <c r="BC19" i="44"/>
  <c r="BC19" i="59"/>
  <c r="BA20" i="49"/>
  <c r="BB19" i="60"/>
  <c r="BC19" i="60" s="1"/>
  <c r="AZ21" i="65"/>
  <c r="AP21" i="56"/>
  <c r="AQ21" i="56" s="1"/>
  <c r="AV21" i="56" s="1"/>
  <c r="AW21" i="56"/>
  <c r="AZ20" i="60"/>
  <c r="BA20" i="60" s="1"/>
  <c r="BB20" i="60" s="1"/>
  <c r="BB19" i="66"/>
  <c r="BC19" i="66" s="1"/>
  <c r="AZ22" i="61"/>
  <c r="AZ21" i="62"/>
  <c r="AN25" i="58"/>
  <c r="AX24" i="58"/>
  <c r="AT24" i="58"/>
  <c r="AU22" i="62"/>
  <c r="AJ23" i="62"/>
  <c r="AO22" i="62"/>
  <c r="AP21" i="67"/>
  <c r="AQ21" i="67" s="1"/>
  <c r="AV21" i="67" s="1"/>
  <c r="AW21" i="67"/>
  <c r="AO22" i="61"/>
  <c r="AU22" i="61"/>
  <c r="AJ23" i="61"/>
  <c r="AZ21" i="66"/>
  <c r="AY23" i="61"/>
  <c r="AO22" i="56"/>
  <c r="AJ23" i="56"/>
  <c r="AU22" i="56"/>
  <c r="AN24" i="67"/>
  <c r="AX23" i="67"/>
  <c r="AT23" i="67"/>
  <c r="AJ23" i="64"/>
  <c r="AO22" i="64"/>
  <c r="AU22" i="64"/>
  <c r="BB19" i="64"/>
  <c r="BC19" i="64" s="1"/>
  <c r="AZ20" i="56"/>
  <c r="BA20" i="56" s="1"/>
  <c r="BB20" i="56" s="1"/>
  <c r="AP24" i="57"/>
  <c r="AQ24" i="57" s="1"/>
  <c r="BB20" i="61"/>
  <c r="BC20" i="61" s="1"/>
  <c r="AN24" i="65"/>
  <c r="AX23" i="65"/>
  <c r="AT23" i="65"/>
  <c r="BA20" i="62"/>
  <c r="AU22" i="59"/>
  <c r="AJ23" i="59"/>
  <c r="AO22" i="59"/>
  <c r="BC19" i="57"/>
  <c r="AY22" i="63"/>
  <c r="BB19" i="62"/>
  <c r="BC19" i="62" s="1"/>
  <c r="AN24" i="55"/>
  <c r="AX23" i="55"/>
  <c r="AT23" i="55"/>
  <c r="AJ23" i="67"/>
  <c r="AO22" i="67"/>
  <c r="AU22" i="67"/>
  <c r="AU22" i="66"/>
  <c r="AJ23" i="66"/>
  <c r="AO22" i="66"/>
  <c r="BC20" i="66"/>
  <c r="AJ23" i="60"/>
  <c r="AO22" i="60"/>
  <c r="AU22" i="60"/>
  <c r="AP21" i="64"/>
  <c r="AQ21" i="64" s="1"/>
  <c r="AV21" i="64" s="1"/>
  <c r="AW21" i="64"/>
  <c r="AN23" i="57"/>
  <c r="AX22" i="57"/>
  <c r="AT22" i="57"/>
  <c r="AV22" i="57" s="1"/>
  <c r="AW22" i="57"/>
  <c r="AN24" i="62"/>
  <c r="AX23" i="62"/>
  <c r="AT23" i="62"/>
  <c r="AU22" i="68"/>
  <c r="AJ23" i="68"/>
  <c r="AO22" i="68"/>
  <c r="AU25" i="57"/>
  <c r="AJ26" i="57"/>
  <c r="AO25" i="57"/>
  <c r="AY22" i="65"/>
  <c r="AU22" i="58"/>
  <c r="AJ23" i="58"/>
  <c r="AO22" i="58"/>
  <c r="BB19" i="55"/>
  <c r="BC19" i="55" s="1"/>
  <c r="AN25" i="61"/>
  <c r="AX24" i="61"/>
  <c r="AT24" i="61"/>
  <c r="BB19" i="67"/>
  <c r="BC19" i="67" s="1"/>
  <c r="AP21" i="63"/>
  <c r="AQ21" i="63" s="1"/>
  <c r="AV21" i="63" s="1"/>
  <c r="AW21" i="63"/>
  <c r="AY22" i="64"/>
  <c r="AZ21" i="55"/>
  <c r="AY21" i="59"/>
  <c r="AW21" i="68"/>
  <c r="AP21" i="68"/>
  <c r="AQ21" i="68" s="1"/>
  <c r="AV21" i="68" s="1"/>
  <c r="BB19" i="63"/>
  <c r="BC19" i="63" s="1"/>
  <c r="AJ23" i="55"/>
  <c r="AO22" i="55"/>
  <c r="AU22" i="55"/>
  <c r="AY22" i="68"/>
  <c r="AY21" i="60"/>
  <c r="AN24" i="63"/>
  <c r="AX23" i="63"/>
  <c r="AT23" i="63"/>
  <c r="BB19" i="65"/>
  <c r="BC19" i="65" s="1"/>
  <c r="AW21" i="62"/>
  <c r="AP21" i="62"/>
  <c r="AQ21" i="62" s="1"/>
  <c r="AV21" i="62" s="1"/>
  <c r="BC20" i="65"/>
  <c r="AT22" i="56"/>
  <c r="AN23" i="56"/>
  <c r="AX22" i="56"/>
  <c r="AY22" i="67"/>
  <c r="AJ23" i="65"/>
  <c r="AO22" i="65"/>
  <c r="AU22" i="65"/>
  <c r="AZ22" i="58"/>
  <c r="AN24" i="66"/>
  <c r="AX23" i="66"/>
  <c r="AT23" i="66"/>
  <c r="AW21" i="55"/>
  <c r="AP21" i="55"/>
  <c r="AQ21" i="55" s="1"/>
  <c r="AV21" i="55" s="1"/>
  <c r="AY22" i="55"/>
  <c r="AY21" i="56"/>
  <c r="AZ20" i="59"/>
  <c r="BA20" i="59" s="1"/>
  <c r="AZ21" i="64"/>
  <c r="AZ20" i="57"/>
  <c r="BA20" i="57" s="1"/>
  <c r="BB20" i="57" s="1"/>
  <c r="AP21" i="60"/>
  <c r="AQ21" i="60" s="1"/>
  <c r="AV21" i="60" s="1"/>
  <c r="AW21" i="60"/>
  <c r="AJ23" i="63"/>
  <c r="AO22" i="63"/>
  <c r="AU22" i="63"/>
  <c r="AP21" i="65"/>
  <c r="AQ21" i="65" s="1"/>
  <c r="AV21" i="65" s="1"/>
  <c r="AW21" i="65"/>
  <c r="AN24" i="64"/>
  <c r="AX23" i="64"/>
  <c r="AT23" i="64"/>
  <c r="AY21" i="57"/>
  <c r="BA20" i="67"/>
  <c r="AY22" i="62"/>
  <c r="AN23" i="59"/>
  <c r="AX22" i="59"/>
  <c r="AT22" i="59"/>
  <c r="AZ21" i="67"/>
  <c r="AY22" i="66"/>
  <c r="BB20" i="58"/>
  <c r="BC20" i="58" s="1"/>
  <c r="AW21" i="59"/>
  <c r="AP21" i="59"/>
  <c r="AQ21" i="59" s="1"/>
  <c r="AV21" i="59" s="1"/>
  <c r="AN24" i="68"/>
  <c r="AX23" i="68"/>
  <c r="AT23" i="68"/>
  <c r="AN23" i="60"/>
  <c r="AX22" i="60"/>
  <c r="AT22" i="60"/>
  <c r="BA20" i="68"/>
  <c r="AY23" i="58"/>
  <c r="AP21" i="58"/>
  <c r="AQ21" i="58" s="1"/>
  <c r="AV21" i="58" s="1"/>
  <c r="AW21" i="58"/>
  <c r="BA21" i="58" s="1"/>
  <c r="BB19" i="68"/>
  <c r="BC19" i="68" s="1"/>
  <c r="AW21" i="66"/>
  <c r="AP21" i="66"/>
  <c r="AQ21" i="66" s="1"/>
  <c r="AV21" i="66" s="1"/>
  <c r="BC19" i="56"/>
  <c r="AZ21" i="68"/>
  <c r="AZ21" i="63"/>
  <c r="AP21" i="61"/>
  <c r="AQ21" i="61" s="1"/>
  <c r="AV21" i="61" s="1"/>
  <c r="AW21" i="61"/>
  <c r="BA21" i="61" s="1"/>
  <c r="AP21" i="50"/>
  <c r="AQ21" i="50" s="1"/>
  <c r="AV21" i="50" s="1"/>
  <c r="AW21" i="50"/>
  <c r="AO22" i="52"/>
  <c r="AU22" i="52"/>
  <c r="AJ23" i="52"/>
  <c r="AY21" i="53"/>
  <c r="AY22" i="54"/>
  <c r="BB19" i="49"/>
  <c r="BC19" i="49" s="1"/>
  <c r="AP21" i="49"/>
  <c r="AQ21" i="49" s="1"/>
  <c r="AV21" i="49" s="1"/>
  <c r="AW21" i="49"/>
  <c r="AP21" i="54"/>
  <c r="AQ21" i="54" s="1"/>
  <c r="AV21" i="54" s="1"/>
  <c r="AW21" i="54"/>
  <c r="AZ21" i="48"/>
  <c r="AZ21" i="52"/>
  <c r="AN23" i="53"/>
  <c r="AX22" i="53"/>
  <c r="AT22" i="53"/>
  <c r="AY21" i="47"/>
  <c r="AW21" i="51"/>
  <c r="BA21" i="51" s="1"/>
  <c r="AP21" i="51"/>
  <c r="AQ21" i="51" s="1"/>
  <c r="AV21" i="51" s="1"/>
  <c r="BC19" i="47"/>
  <c r="AZ20" i="47"/>
  <c r="BA20" i="47" s="1"/>
  <c r="AZ21" i="49"/>
  <c r="BC19" i="53"/>
  <c r="AY22" i="49"/>
  <c r="AZ20" i="53"/>
  <c r="BA20" i="53" s="1"/>
  <c r="AZ21" i="50"/>
  <c r="AJ23" i="50"/>
  <c r="AO22" i="50"/>
  <c r="AU22" i="50"/>
  <c r="AY22" i="50"/>
  <c r="AN24" i="54"/>
  <c r="AX23" i="54"/>
  <c r="AT23" i="54"/>
  <c r="AN24" i="49"/>
  <c r="AX23" i="49"/>
  <c r="AT23" i="49"/>
  <c r="AJ23" i="49"/>
  <c r="AO22" i="49"/>
  <c r="AU22" i="49"/>
  <c r="BB20" i="51"/>
  <c r="BC20" i="51" s="1"/>
  <c r="AZ21" i="54"/>
  <c r="AY22" i="48"/>
  <c r="AY23" i="51"/>
  <c r="AU22" i="54"/>
  <c r="AJ23" i="54"/>
  <c r="AO22" i="54"/>
  <c r="AY22" i="52"/>
  <c r="BB19" i="54"/>
  <c r="BC19" i="54" s="1"/>
  <c r="BA20" i="50"/>
  <c r="AP21" i="48"/>
  <c r="AQ21" i="48" s="1"/>
  <c r="AV21" i="48" s="1"/>
  <c r="AW21" i="48"/>
  <c r="AZ22" i="51"/>
  <c r="AP21" i="53"/>
  <c r="AQ21" i="53" s="1"/>
  <c r="AV21" i="53" s="1"/>
  <c r="AW21" i="53"/>
  <c r="AP21" i="47"/>
  <c r="AQ21" i="47" s="1"/>
  <c r="AV21" i="47" s="1"/>
  <c r="AW21" i="47"/>
  <c r="AN23" i="47"/>
  <c r="AX22" i="47"/>
  <c r="AT22" i="47"/>
  <c r="AN24" i="50"/>
  <c r="AX23" i="50"/>
  <c r="AT23" i="50"/>
  <c r="BB19" i="48"/>
  <c r="BC19" i="48" s="1"/>
  <c r="BA20" i="52"/>
  <c r="AN24" i="48"/>
  <c r="AX23" i="48"/>
  <c r="AT23" i="48"/>
  <c r="AN24" i="52"/>
  <c r="AX23" i="52"/>
  <c r="AT23" i="52"/>
  <c r="AN25" i="51"/>
  <c r="AX24" i="51"/>
  <c r="AT24" i="51"/>
  <c r="AO22" i="48"/>
  <c r="AU22" i="48"/>
  <c r="AJ23" i="48"/>
  <c r="AP21" i="52"/>
  <c r="AQ21" i="52" s="1"/>
  <c r="AV21" i="52" s="1"/>
  <c r="AW21" i="52"/>
  <c r="AJ23" i="53"/>
  <c r="AO22" i="53"/>
  <c r="AU22" i="53"/>
  <c r="AJ23" i="47"/>
  <c r="AO22" i="47"/>
  <c r="AU22" i="47"/>
  <c r="AU22" i="51"/>
  <c r="AJ23" i="51"/>
  <c r="AO22" i="51"/>
  <c r="BB19" i="46"/>
  <c r="BC19" i="46" s="1"/>
  <c r="BB19" i="43"/>
  <c r="BC19" i="43" s="1"/>
  <c r="AJ24" i="44"/>
  <c r="AO23" i="44"/>
  <c r="AU23" i="44"/>
  <c r="AO22" i="46"/>
  <c r="AU22" i="46"/>
  <c r="AJ23" i="46"/>
  <c r="AP21" i="43"/>
  <c r="AQ21" i="43" s="1"/>
  <c r="AV21" i="43" s="1"/>
  <c r="AW21" i="43"/>
  <c r="AN24" i="45"/>
  <c r="AX23" i="45"/>
  <c r="AT23" i="45"/>
  <c r="BB19" i="45"/>
  <c r="BC19" i="45" s="1"/>
  <c r="AZ20" i="44"/>
  <c r="BA20" i="44" s="1"/>
  <c r="BB20" i="44" s="1"/>
  <c r="BC20" i="44" s="1"/>
  <c r="AJ23" i="45"/>
  <c r="AO22" i="45"/>
  <c r="AU22" i="45"/>
  <c r="AT22" i="43"/>
  <c r="AN23" i="43"/>
  <c r="AX22" i="43"/>
  <c r="BC20" i="45"/>
  <c r="AP22" i="44"/>
  <c r="AQ22" i="44" s="1"/>
  <c r="AW22" i="44"/>
  <c r="AY21" i="46"/>
  <c r="AU22" i="43"/>
  <c r="AJ23" i="43"/>
  <c r="AO22" i="43"/>
  <c r="AY21" i="44"/>
  <c r="AZ20" i="43"/>
  <c r="BA20" i="43" s="1"/>
  <c r="BB20" i="43" s="1"/>
  <c r="AX22" i="46"/>
  <c r="AN23" i="46"/>
  <c r="AT22" i="46"/>
  <c r="AT22" i="44"/>
  <c r="AN23" i="44"/>
  <c r="AX22" i="44"/>
  <c r="AZ21" i="45"/>
  <c r="AZ20" i="46"/>
  <c r="BA20" i="46" s="1"/>
  <c r="BB20" i="46" s="1"/>
  <c r="BC20" i="46" s="1"/>
  <c r="AP21" i="46"/>
  <c r="AQ21" i="46" s="1"/>
  <c r="AV21" i="46" s="1"/>
  <c r="AW21" i="46"/>
  <c r="AY22" i="45"/>
  <c r="AP21" i="45"/>
  <c r="AQ21" i="45" s="1"/>
  <c r="AV21" i="45" s="1"/>
  <c r="AW21" i="45"/>
  <c r="AY21" i="43"/>
  <c r="BB19" i="42"/>
  <c r="BC19" i="42" s="1"/>
  <c r="AZ20" i="42"/>
  <c r="BA20" i="42" s="1"/>
  <c r="BB20" i="42" s="1"/>
  <c r="AZ21" i="41"/>
  <c r="AN23" i="42"/>
  <c r="AX22" i="42"/>
  <c r="AT22" i="42"/>
  <c r="AY22" i="41"/>
  <c r="AP21" i="41"/>
  <c r="AQ21" i="41" s="1"/>
  <c r="AV21" i="41" s="1"/>
  <c r="AW21" i="41"/>
  <c r="AN24" i="41"/>
  <c r="AX23" i="41"/>
  <c r="AT23" i="41"/>
  <c r="AU22" i="41"/>
  <c r="AJ23" i="41"/>
  <c r="AO22" i="41"/>
  <c r="AP21" i="42"/>
  <c r="AQ21" i="42" s="1"/>
  <c r="AV21" i="42" s="1"/>
  <c r="AW21" i="42"/>
  <c r="AJ23" i="42"/>
  <c r="AO22" i="42"/>
  <c r="AU22" i="42"/>
  <c r="AY21" i="42"/>
  <c r="BC20" i="40"/>
  <c r="AN24" i="40"/>
  <c r="AX23" i="40"/>
  <c r="AT23" i="40"/>
  <c r="AU23" i="40"/>
  <c r="AJ24" i="40"/>
  <c r="AO23" i="40"/>
  <c r="AW22" i="40"/>
  <c r="AP22" i="40"/>
  <c r="AQ22" i="40" s="1"/>
  <c r="AV22" i="40" s="1"/>
  <c r="AZ21" i="40"/>
  <c r="BA21" i="40" s="1"/>
  <c r="AY22" i="40"/>
  <c r="M47" i="58" l="1"/>
  <c r="Z23" i="39"/>
  <c r="M46" i="57"/>
  <c r="X22" i="39"/>
  <c r="BC20" i="55"/>
  <c r="BC20" i="48"/>
  <c r="BA21" i="55"/>
  <c r="BB21" i="55" s="1"/>
  <c r="BA21" i="52"/>
  <c r="BB21" i="52" s="1"/>
  <c r="BC20" i="41"/>
  <c r="BA21" i="62"/>
  <c r="BB21" i="62" s="1"/>
  <c r="BC20" i="63"/>
  <c r="BC20" i="64"/>
  <c r="BA21" i="45"/>
  <c r="BB21" i="45" s="1"/>
  <c r="BA21" i="65"/>
  <c r="BB21" i="65" s="1"/>
  <c r="BC21" i="65" s="1"/>
  <c r="BA21" i="41"/>
  <c r="BB21" i="41" s="1"/>
  <c r="BC21" i="41" s="1"/>
  <c r="BB20" i="49"/>
  <c r="BC20" i="49" s="1"/>
  <c r="BC20" i="43"/>
  <c r="BC20" i="57"/>
  <c r="BC20" i="60"/>
  <c r="BB20" i="54"/>
  <c r="BC20" i="54" s="1"/>
  <c r="BA21" i="49"/>
  <c r="BB21" i="49" s="1"/>
  <c r="BB20" i="59"/>
  <c r="BC20" i="59" s="1"/>
  <c r="AZ23" i="58"/>
  <c r="AJ24" i="65"/>
  <c r="AU23" i="65"/>
  <c r="AO23" i="65"/>
  <c r="AN24" i="56"/>
  <c r="AX23" i="56"/>
  <c r="AT23" i="56"/>
  <c r="AJ24" i="58"/>
  <c r="AO23" i="58"/>
  <c r="AU23" i="58"/>
  <c r="AP22" i="67"/>
  <c r="AQ22" i="67" s="1"/>
  <c r="AV22" i="67" s="1"/>
  <c r="AW22" i="67"/>
  <c r="AN25" i="55"/>
  <c r="AX24" i="55"/>
  <c r="AT24" i="55"/>
  <c r="AO23" i="59"/>
  <c r="AU23" i="59"/>
  <c r="AJ24" i="59"/>
  <c r="AY23" i="67"/>
  <c r="AW22" i="56"/>
  <c r="AP22" i="56"/>
  <c r="AQ22" i="56" s="1"/>
  <c r="AV22" i="56" s="1"/>
  <c r="AO23" i="62"/>
  <c r="AU23" i="62"/>
  <c r="AJ24" i="62"/>
  <c r="AN26" i="58"/>
  <c r="AX25" i="58"/>
  <c r="AT25" i="58"/>
  <c r="AN24" i="60"/>
  <c r="AX23" i="60"/>
  <c r="AT23" i="60"/>
  <c r="AY23" i="68"/>
  <c r="AN24" i="59"/>
  <c r="AT23" i="59"/>
  <c r="AX23" i="59"/>
  <c r="AP22" i="63"/>
  <c r="AQ22" i="63" s="1"/>
  <c r="AV22" i="63" s="1"/>
  <c r="AW22" i="63"/>
  <c r="AZ22" i="67"/>
  <c r="AY23" i="63"/>
  <c r="AU23" i="55"/>
  <c r="AO23" i="55"/>
  <c r="AJ24" i="55"/>
  <c r="AZ21" i="59"/>
  <c r="BA21" i="59" s="1"/>
  <c r="AO26" i="57"/>
  <c r="AJ27" i="57"/>
  <c r="AU26" i="57"/>
  <c r="BA21" i="64"/>
  <c r="AJ24" i="66"/>
  <c r="AU23" i="66"/>
  <c r="AO23" i="66"/>
  <c r="AJ24" i="67"/>
  <c r="AU23" i="67"/>
  <c r="AO23" i="67"/>
  <c r="AN25" i="65"/>
  <c r="AX24" i="65"/>
  <c r="AT24" i="65"/>
  <c r="AP22" i="64"/>
  <c r="AQ22" i="64" s="1"/>
  <c r="AV22" i="64" s="1"/>
  <c r="AW22" i="64"/>
  <c r="AN25" i="67"/>
  <c r="AX24" i="67"/>
  <c r="AT24" i="67"/>
  <c r="AU23" i="61"/>
  <c r="AJ24" i="61"/>
  <c r="AO23" i="61"/>
  <c r="BA21" i="67"/>
  <c r="AP22" i="55"/>
  <c r="AQ22" i="55" s="1"/>
  <c r="AV22" i="55" s="1"/>
  <c r="AW22" i="55"/>
  <c r="AZ22" i="64"/>
  <c r="AN26" i="61"/>
  <c r="AX25" i="61"/>
  <c r="AT25" i="61"/>
  <c r="AN25" i="62"/>
  <c r="AX24" i="62"/>
  <c r="AT24" i="62"/>
  <c r="AU23" i="60"/>
  <c r="AJ24" i="60"/>
  <c r="AO23" i="60"/>
  <c r="BA21" i="66"/>
  <c r="AN25" i="68"/>
  <c r="AX24" i="68"/>
  <c r="AT24" i="68"/>
  <c r="BB20" i="67"/>
  <c r="BC20" i="67" s="1"/>
  <c r="AY23" i="64"/>
  <c r="AU23" i="63"/>
  <c r="AJ24" i="63"/>
  <c r="AO23" i="63"/>
  <c r="AZ22" i="55"/>
  <c r="AY23" i="66"/>
  <c r="AN25" i="63"/>
  <c r="AX24" i="63"/>
  <c r="AT24" i="63"/>
  <c r="AZ22" i="68"/>
  <c r="BA21" i="63"/>
  <c r="AZ22" i="65"/>
  <c r="BB20" i="62"/>
  <c r="BC20" i="62" s="1"/>
  <c r="BC20" i="56"/>
  <c r="AU23" i="64"/>
  <c r="AJ24" i="64"/>
  <c r="AO23" i="64"/>
  <c r="AZ23" i="61"/>
  <c r="AY22" i="60"/>
  <c r="AZ22" i="66"/>
  <c r="AY22" i="59"/>
  <c r="AZ21" i="57"/>
  <c r="BA21" i="57" s="1"/>
  <c r="BB21" i="57" s="1"/>
  <c r="AZ21" i="60"/>
  <c r="BA21" i="60" s="1"/>
  <c r="AP25" i="57"/>
  <c r="AQ25" i="57" s="1"/>
  <c r="AJ24" i="68"/>
  <c r="AO23" i="68"/>
  <c r="AU23" i="68"/>
  <c r="AN24" i="57"/>
  <c r="AX23" i="57"/>
  <c r="AT23" i="57"/>
  <c r="AV23" i="57" s="1"/>
  <c r="AW23" i="57"/>
  <c r="AP22" i="66"/>
  <c r="AQ22" i="66" s="1"/>
  <c r="AV22" i="66" s="1"/>
  <c r="AW22" i="66"/>
  <c r="AY23" i="65"/>
  <c r="BB21" i="61"/>
  <c r="BC21" i="61" s="1"/>
  <c r="BB21" i="58"/>
  <c r="BC21" i="58" s="1"/>
  <c r="BB20" i="68"/>
  <c r="BC20" i="68" s="1"/>
  <c r="AZ22" i="62"/>
  <c r="AN25" i="64"/>
  <c r="AX24" i="64"/>
  <c r="AT24" i="64"/>
  <c r="AZ21" i="56"/>
  <c r="BA21" i="56" s="1"/>
  <c r="AN25" i="66"/>
  <c r="AX24" i="66"/>
  <c r="AT24" i="66"/>
  <c r="AP22" i="65"/>
  <c r="AQ22" i="65" s="1"/>
  <c r="AV22" i="65" s="1"/>
  <c r="AW22" i="65"/>
  <c r="AY22" i="56"/>
  <c r="BA21" i="68"/>
  <c r="AY24" i="61"/>
  <c r="AP22" i="58"/>
  <c r="AQ22" i="58" s="1"/>
  <c r="AV22" i="58" s="1"/>
  <c r="AW22" i="58"/>
  <c r="BA22" i="58" s="1"/>
  <c r="AP22" i="68"/>
  <c r="AQ22" i="68" s="1"/>
  <c r="AV22" i="68" s="1"/>
  <c r="AW22" i="68"/>
  <c r="AY23" i="62"/>
  <c r="AY22" i="57"/>
  <c r="AP22" i="60"/>
  <c r="AQ22" i="60" s="1"/>
  <c r="AV22" i="60" s="1"/>
  <c r="AW22" i="60"/>
  <c r="AY23" i="55"/>
  <c r="AZ22" i="63"/>
  <c r="AP22" i="59"/>
  <c r="AQ22" i="59" s="1"/>
  <c r="AV22" i="59" s="1"/>
  <c r="AW22" i="59"/>
  <c r="AU23" i="56"/>
  <c r="AJ24" i="56"/>
  <c r="AO23" i="56"/>
  <c r="AW22" i="61"/>
  <c r="BA22" i="61" s="1"/>
  <c r="AP22" i="61"/>
  <c r="AQ22" i="61" s="1"/>
  <c r="AV22" i="61" s="1"/>
  <c r="AP22" i="62"/>
  <c r="AQ22" i="62" s="1"/>
  <c r="AV22" i="62" s="1"/>
  <c r="AW22" i="62"/>
  <c r="AY24" i="58"/>
  <c r="BB20" i="53"/>
  <c r="BC20" i="53" s="1"/>
  <c r="BB20" i="47"/>
  <c r="BC20" i="47" s="1"/>
  <c r="AW22" i="53"/>
  <c r="AP22" i="53"/>
  <c r="AQ22" i="53" s="1"/>
  <c r="AV22" i="53" s="1"/>
  <c r="AU23" i="48"/>
  <c r="AJ24" i="48"/>
  <c r="AO23" i="48"/>
  <c r="AY24" i="51"/>
  <c r="AN25" i="52"/>
  <c r="AX24" i="52"/>
  <c r="AT24" i="52"/>
  <c r="BB20" i="52"/>
  <c r="BC20" i="52" s="1"/>
  <c r="AY23" i="50"/>
  <c r="AN24" i="47"/>
  <c r="AX23" i="47"/>
  <c r="AT23" i="47"/>
  <c r="AZ22" i="48"/>
  <c r="AY23" i="54"/>
  <c r="BB21" i="51"/>
  <c r="BC21" i="51" s="1"/>
  <c r="AY22" i="53"/>
  <c r="AZ21" i="53"/>
  <c r="BA21" i="53" s="1"/>
  <c r="AW22" i="52"/>
  <c r="AP22" i="52"/>
  <c r="AQ22" i="52" s="1"/>
  <c r="AV22" i="52" s="1"/>
  <c r="AP22" i="51"/>
  <c r="AQ22" i="51" s="1"/>
  <c r="AV22" i="51" s="1"/>
  <c r="AW22" i="51"/>
  <c r="BA22" i="51" s="1"/>
  <c r="AP22" i="47"/>
  <c r="AQ22" i="47" s="1"/>
  <c r="AV22" i="47" s="1"/>
  <c r="AW22" i="47"/>
  <c r="AU23" i="53"/>
  <c r="AJ24" i="53"/>
  <c r="AO23" i="53"/>
  <c r="AN26" i="51"/>
  <c r="AX25" i="51"/>
  <c r="AT25" i="51"/>
  <c r="AN25" i="50"/>
  <c r="AX24" i="50"/>
  <c r="AT24" i="50"/>
  <c r="BB20" i="50"/>
  <c r="BC20" i="50" s="1"/>
  <c r="AZ22" i="52"/>
  <c r="AY23" i="49"/>
  <c r="AN25" i="54"/>
  <c r="AX24" i="54"/>
  <c r="AT24" i="54"/>
  <c r="AP22" i="50"/>
  <c r="AQ22" i="50" s="1"/>
  <c r="AV22" i="50" s="1"/>
  <c r="AW22" i="50"/>
  <c r="AN24" i="53"/>
  <c r="AX23" i="53"/>
  <c r="AT23" i="53"/>
  <c r="BA21" i="50"/>
  <c r="AO23" i="51"/>
  <c r="AU23" i="51"/>
  <c r="AJ24" i="51"/>
  <c r="AU23" i="47"/>
  <c r="AJ24" i="47"/>
  <c r="AO23" i="47"/>
  <c r="AW22" i="48"/>
  <c r="AP22" i="48"/>
  <c r="AQ22" i="48" s="1"/>
  <c r="AV22" i="48" s="1"/>
  <c r="AY23" i="48"/>
  <c r="AP22" i="54"/>
  <c r="AQ22" i="54" s="1"/>
  <c r="AV22" i="54" s="1"/>
  <c r="AW22" i="54"/>
  <c r="AZ23" i="51"/>
  <c r="AP22" i="49"/>
  <c r="AQ22" i="49" s="1"/>
  <c r="AV22" i="49" s="1"/>
  <c r="AW22" i="49"/>
  <c r="AN25" i="49"/>
  <c r="AX24" i="49"/>
  <c r="AT24" i="49"/>
  <c r="AZ22" i="50"/>
  <c r="AU23" i="50"/>
  <c r="AJ24" i="50"/>
  <c r="AO23" i="50"/>
  <c r="AZ21" i="47"/>
  <c r="BA21" i="47" s="1"/>
  <c r="AZ22" i="54"/>
  <c r="AU23" i="52"/>
  <c r="AJ24" i="52"/>
  <c r="AO23" i="52"/>
  <c r="AY23" i="52"/>
  <c r="AN25" i="48"/>
  <c r="AX24" i="48"/>
  <c r="AT24" i="48"/>
  <c r="AY22" i="47"/>
  <c r="BA21" i="48"/>
  <c r="AJ24" i="54"/>
  <c r="AO23" i="54"/>
  <c r="AU23" i="54"/>
  <c r="AU23" i="49"/>
  <c r="AJ24" i="49"/>
  <c r="AO23" i="49"/>
  <c r="AZ22" i="49"/>
  <c r="BA21" i="54"/>
  <c r="AN24" i="44"/>
  <c r="AX23" i="44"/>
  <c r="AT23" i="44"/>
  <c r="AN24" i="46"/>
  <c r="AX23" i="46"/>
  <c r="AT23" i="46"/>
  <c r="AJ24" i="43"/>
  <c r="AO23" i="43"/>
  <c r="AU23" i="43"/>
  <c r="AN24" i="43"/>
  <c r="AX23" i="43"/>
  <c r="AT23" i="43"/>
  <c r="AU23" i="45"/>
  <c r="AJ24" i="45"/>
  <c r="AO23" i="45"/>
  <c r="AW22" i="46"/>
  <c r="AP22" i="46"/>
  <c r="AQ22" i="46" s="1"/>
  <c r="AV22" i="46" s="1"/>
  <c r="AY22" i="46"/>
  <c r="AZ21" i="44"/>
  <c r="BA21" i="44" s="1"/>
  <c r="BB21" i="44" s="1"/>
  <c r="AV22" i="44"/>
  <c r="AZ22" i="45"/>
  <c r="AY23" i="45"/>
  <c r="AU23" i="46"/>
  <c r="AJ24" i="46"/>
  <c r="AO23" i="46"/>
  <c r="AP23" i="44"/>
  <c r="AQ23" i="44" s="1"/>
  <c r="AV23" i="44" s="1"/>
  <c r="AW23" i="44"/>
  <c r="AZ21" i="43"/>
  <c r="BA21" i="43" s="1"/>
  <c r="AY22" i="44"/>
  <c r="AW22" i="43"/>
  <c r="AP22" i="43"/>
  <c r="AQ22" i="43" s="1"/>
  <c r="AV22" i="43" s="1"/>
  <c r="AZ21" i="46"/>
  <c r="BA21" i="46" s="1"/>
  <c r="AY22" i="43"/>
  <c r="AP22" i="45"/>
  <c r="AQ22" i="45" s="1"/>
  <c r="AV22" i="45" s="1"/>
  <c r="AW22" i="45"/>
  <c r="AN25" i="45"/>
  <c r="AX24" i="45"/>
  <c r="AT24" i="45"/>
  <c r="AU24" i="44"/>
  <c r="AJ25" i="44"/>
  <c r="AO24" i="44"/>
  <c r="AP22" i="42"/>
  <c r="AQ22" i="42" s="1"/>
  <c r="AV22" i="42" s="1"/>
  <c r="AW22" i="42"/>
  <c r="AU23" i="42"/>
  <c r="AJ24" i="42"/>
  <c r="AO23" i="42"/>
  <c r="AJ24" i="41"/>
  <c r="AO23" i="41"/>
  <c r="AU23" i="41"/>
  <c r="AN25" i="41"/>
  <c r="AX24" i="41"/>
  <c r="AT24" i="41"/>
  <c r="AN24" i="42"/>
  <c r="AX23" i="42"/>
  <c r="AT23" i="42"/>
  <c r="AZ22" i="41"/>
  <c r="AZ21" i="42"/>
  <c r="BA21" i="42" s="1"/>
  <c r="AP22" i="41"/>
  <c r="AQ22" i="41" s="1"/>
  <c r="AV22" i="41" s="1"/>
  <c r="AW22" i="41"/>
  <c r="AY23" i="41"/>
  <c r="AY22" i="42"/>
  <c r="BC20" i="42"/>
  <c r="BB21" i="40"/>
  <c r="BC21" i="40" s="1"/>
  <c r="AY23" i="40"/>
  <c r="AP23" i="40"/>
  <c r="AQ23" i="40" s="1"/>
  <c r="AV23" i="40" s="1"/>
  <c r="AW23" i="40"/>
  <c r="AZ22" i="40"/>
  <c r="BA22" i="40" s="1"/>
  <c r="AO24" i="40"/>
  <c r="AJ25" i="40"/>
  <c r="AU24" i="40"/>
  <c r="AN25" i="40"/>
  <c r="AX24" i="40"/>
  <c r="AT24" i="40"/>
  <c r="BC21" i="45" l="1"/>
  <c r="BC21" i="52"/>
  <c r="BC21" i="55"/>
  <c r="M47" i="59"/>
  <c r="Z24" i="39"/>
  <c r="M46" i="58"/>
  <c r="X23" i="39"/>
  <c r="BA22" i="48"/>
  <c r="BB22" i="48" s="1"/>
  <c r="BC21" i="49"/>
  <c r="BA22" i="62"/>
  <c r="BB22" i="62" s="1"/>
  <c r="BA22" i="45"/>
  <c r="BB22" i="45" s="1"/>
  <c r="BC21" i="62"/>
  <c r="BA22" i="66"/>
  <c r="BB22" i="66" s="1"/>
  <c r="BA22" i="68"/>
  <c r="BB22" i="68" s="1"/>
  <c r="BA22" i="65"/>
  <c r="BB22" i="65" s="1"/>
  <c r="BA22" i="41"/>
  <c r="BB22" i="41" s="1"/>
  <c r="BA22" i="52"/>
  <c r="BB22" i="52" s="1"/>
  <c r="BC21" i="57"/>
  <c r="BB21" i="56"/>
  <c r="BC21" i="56" s="1"/>
  <c r="BB21" i="60"/>
  <c r="BC21" i="60" s="1"/>
  <c r="BB21" i="59"/>
  <c r="BC21" i="59" s="1"/>
  <c r="AN26" i="66"/>
  <c r="AX25" i="66"/>
  <c r="AT25" i="66"/>
  <c r="AY24" i="63"/>
  <c r="AY24" i="65"/>
  <c r="AJ25" i="67"/>
  <c r="AU24" i="67"/>
  <c r="AO24" i="67"/>
  <c r="AU27" i="57"/>
  <c r="AJ28" i="57"/>
  <c r="AO27" i="57"/>
  <c r="AZ23" i="63"/>
  <c r="AY24" i="55"/>
  <c r="AU24" i="58"/>
  <c r="AJ25" i="58"/>
  <c r="AO24" i="58"/>
  <c r="AP23" i="65"/>
  <c r="AQ23" i="65" s="1"/>
  <c r="AV23" i="65" s="1"/>
  <c r="AW23" i="65"/>
  <c r="AZ24" i="58"/>
  <c r="BB22" i="61"/>
  <c r="BC22" i="61" s="1"/>
  <c r="AZ22" i="57"/>
  <c r="BA22" i="57" s="1"/>
  <c r="BB22" i="57" s="1"/>
  <c r="BB21" i="68"/>
  <c r="BC21" i="68" s="1"/>
  <c r="AN26" i="64"/>
  <c r="AX25" i="64"/>
  <c r="AT25" i="64"/>
  <c r="AN25" i="57"/>
  <c r="AX24" i="57"/>
  <c r="AT24" i="57"/>
  <c r="AV24" i="57" s="1"/>
  <c r="AW24" i="57"/>
  <c r="AZ22" i="60"/>
  <c r="BA22" i="60" s="1"/>
  <c r="BB22" i="60" s="1"/>
  <c r="AN26" i="63"/>
  <c r="AX25" i="63"/>
  <c r="AT25" i="63"/>
  <c r="AZ23" i="66"/>
  <c r="AP23" i="63"/>
  <c r="AQ23" i="63" s="1"/>
  <c r="AV23" i="63" s="1"/>
  <c r="AW23" i="63"/>
  <c r="AZ23" i="64"/>
  <c r="AY24" i="68"/>
  <c r="AJ25" i="60"/>
  <c r="AO24" i="60"/>
  <c r="AU24" i="60"/>
  <c r="AN26" i="62"/>
  <c r="AX25" i="62"/>
  <c r="AT25" i="62"/>
  <c r="BA22" i="64"/>
  <c r="AN26" i="65"/>
  <c r="AX25" i="65"/>
  <c r="AT25" i="65"/>
  <c r="AP23" i="66"/>
  <c r="AQ23" i="66" s="1"/>
  <c r="AV23" i="66" s="1"/>
  <c r="AW23" i="66"/>
  <c r="BA23" i="66" s="1"/>
  <c r="BB23" i="66" s="1"/>
  <c r="BB21" i="64"/>
  <c r="BC21" i="64" s="1"/>
  <c r="AP26" i="57"/>
  <c r="AQ26" i="57" s="1"/>
  <c r="AP23" i="55"/>
  <c r="AQ23" i="55" s="1"/>
  <c r="AV23" i="55" s="1"/>
  <c r="AW23" i="55"/>
  <c r="AZ23" i="67"/>
  <c r="AN26" i="55"/>
  <c r="AX25" i="55"/>
  <c r="AT25" i="55"/>
  <c r="AZ23" i="62"/>
  <c r="AY24" i="64"/>
  <c r="AP23" i="60"/>
  <c r="AQ23" i="60" s="1"/>
  <c r="AV23" i="60" s="1"/>
  <c r="AW23" i="60"/>
  <c r="AU24" i="62"/>
  <c r="AJ25" i="62"/>
  <c r="AO24" i="62"/>
  <c r="AP23" i="56"/>
  <c r="AQ23" i="56" s="1"/>
  <c r="AV23" i="56" s="1"/>
  <c r="AW23" i="56"/>
  <c r="AZ23" i="55"/>
  <c r="AZ24" i="61"/>
  <c r="AZ22" i="56"/>
  <c r="BA22" i="56" s="1"/>
  <c r="AZ23" i="65"/>
  <c r="AZ22" i="59"/>
  <c r="BA22" i="59" s="1"/>
  <c r="AP23" i="64"/>
  <c r="AQ23" i="64" s="1"/>
  <c r="AV23" i="64" s="1"/>
  <c r="AW23" i="64"/>
  <c r="BB21" i="63"/>
  <c r="BC21" i="63" s="1"/>
  <c r="BC22" i="68"/>
  <c r="AJ25" i="63"/>
  <c r="AO24" i="63"/>
  <c r="AU24" i="63"/>
  <c r="AN26" i="68"/>
  <c r="AX25" i="68"/>
  <c r="AT25" i="68"/>
  <c r="BB21" i="67"/>
  <c r="BC21" i="67" s="1"/>
  <c r="AP23" i="67"/>
  <c r="AQ23" i="67" s="1"/>
  <c r="AV23" i="67" s="1"/>
  <c r="AW23" i="67"/>
  <c r="BA22" i="63"/>
  <c r="AN25" i="59"/>
  <c r="AX24" i="59"/>
  <c r="AT24" i="59"/>
  <c r="AY23" i="60"/>
  <c r="AY25" i="58"/>
  <c r="AW23" i="62"/>
  <c r="AP23" i="62"/>
  <c r="AQ23" i="62" s="1"/>
  <c r="AV23" i="62" s="1"/>
  <c r="AW23" i="59"/>
  <c r="AP23" i="59"/>
  <c r="AQ23" i="59" s="1"/>
  <c r="AV23" i="59" s="1"/>
  <c r="BA22" i="67"/>
  <c r="AY23" i="56"/>
  <c r="AJ25" i="65"/>
  <c r="AO24" i="65"/>
  <c r="AU24" i="65"/>
  <c r="AY23" i="57"/>
  <c r="AJ25" i="68"/>
  <c r="AO24" i="68"/>
  <c r="AU24" i="68"/>
  <c r="AY24" i="62"/>
  <c r="AN27" i="61"/>
  <c r="AX26" i="61"/>
  <c r="AT26" i="61"/>
  <c r="AO24" i="61"/>
  <c r="AU24" i="61"/>
  <c r="AJ25" i="61"/>
  <c r="AN26" i="67"/>
  <c r="AX25" i="67"/>
  <c r="AT25" i="67"/>
  <c r="AJ25" i="55"/>
  <c r="AU24" i="55"/>
  <c r="AO24" i="55"/>
  <c r="AY23" i="59"/>
  <c r="AU24" i="59"/>
  <c r="AJ25" i="59"/>
  <c r="AO24" i="59"/>
  <c r="AO24" i="56"/>
  <c r="AJ25" i="56"/>
  <c r="AU24" i="56"/>
  <c r="BB22" i="58"/>
  <c r="BC22" i="58" s="1"/>
  <c r="AY24" i="66"/>
  <c r="AW23" i="68"/>
  <c r="AP23" i="68"/>
  <c r="AQ23" i="68" s="1"/>
  <c r="AV23" i="68" s="1"/>
  <c r="AJ25" i="64"/>
  <c r="AO24" i="64"/>
  <c r="AU24" i="64"/>
  <c r="BB21" i="66"/>
  <c r="BC21" i="66" s="1"/>
  <c r="AY25" i="61"/>
  <c r="BA22" i="55"/>
  <c r="AP23" i="61"/>
  <c r="AQ23" i="61" s="1"/>
  <c r="AV23" i="61" s="1"/>
  <c r="AW23" i="61"/>
  <c r="BA23" i="61" s="1"/>
  <c r="AY24" i="67"/>
  <c r="AJ25" i="66"/>
  <c r="AO24" i="66"/>
  <c r="AU24" i="66"/>
  <c r="AZ23" i="68"/>
  <c r="AN25" i="60"/>
  <c r="AX24" i="60"/>
  <c r="AT24" i="60"/>
  <c r="AN27" i="58"/>
  <c r="AX26" i="58"/>
  <c r="AT26" i="58"/>
  <c r="AP23" i="58"/>
  <c r="AQ23" i="58" s="1"/>
  <c r="AV23" i="58" s="1"/>
  <c r="AW23" i="58"/>
  <c r="BA23" i="58" s="1"/>
  <c r="AN25" i="56"/>
  <c r="AX24" i="56"/>
  <c r="AT24" i="56"/>
  <c r="BB21" i="47"/>
  <c r="BC21" i="47" s="1"/>
  <c r="BB21" i="53"/>
  <c r="BC21" i="53" s="1"/>
  <c r="AJ25" i="49"/>
  <c r="AO24" i="49"/>
  <c r="AU24" i="49"/>
  <c r="AP23" i="47"/>
  <c r="AQ23" i="47" s="1"/>
  <c r="AV23" i="47" s="1"/>
  <c r="AW23" i="47"/>
  <c r="AY23" i="53"/>
  <c r="AN26" i="50"/>
  <c r="AX25" i="50"/>
  <c r="AT25" i="50"/>
  <c r="AY23" i="47"/>
  <c r="AW23" i="51"/>
  <c r="BA23" i="51" s="1"/>
  <c r="AP23" i="51"/>
  <c r="AQ23" i="51" s="1"/>
  <c r="AV23" i="51" s="1"/>
  <c r="AN25" i="53"/>
  <c r="AX24" i="53"/>
  <c r="AT24" i="53"/>
  <c r="AJ25" i="53"/>
  <c r="AO24" i="53"/>
  <c r="AU24" i="53"/>
  <c r="AN25" i="47"/>
  <c r="AX24" i="47"/>
  <c r="AT24" i="47"/>
  <c r="AY24" i="48"/>
  <c r="AP23" i="52"/>
  <c r="AQ23" i="52" s="1"/>
  <c r="AV23" i="52" s="1"/>
  <c r="AW23" i="52"/>
  <c r="AP23" i="50"/>
  <c r="AQ23" i="50" s="1"/>
  <c r="AV23" i="50" s="1"/>
  <c r="AW23" i="50"/>
  <c r="BA22" i="49"/>
  <c r="BA22" i="54"/>
  <c r="BB21" i="50"/>
  <c r="BC21" i="50" s="1"/>
  <c r="BA22" i="50"/>
  <c r="AT25" i="54"/>
  <c r="AN26" i="54"/>
  <c r="AX25" i="54"/>
  <c r="AY25" i="51"/>
  <c r="AZ24" i="51"/>
  <c r="AJ25" i="54"/>
  <c r="AU24" i="54"/>
  <c r="AO24" i="54"/>
  <c r="AY24" i="49"/>
  <c r="AZ23" i="49"/>
  <c r="AP23" i="53"/>
  <c r="AQ23" i="53" s="1"/>
  <c r="AV23" i="53" s="1"/>
  <c r="AW23" i="53"/>
  <c r="AN26" i="52"/>
  <c r="AX25" i="52"/>
  <c r="AT25" i="52"/>
  <c r="AO24" i="48"/>
  <c r="AU24" i="48"/>
  <c r="AJ25" i="48"/>
  <c r="BB21" i="48"/>
  <c r="BC21" i="48" s="1"/>
  <c r="AZ23" i="52"/>
  <c r="AN26" i="49"/>
  <c r="AX25" i="49"/>
  <c r="AT25" i="49"/>
  <c r="AZ23" i="48"/>
  <c r="AJ25" i="47"/>
  <c r="AO24" i="47"/>
  <c r="AU24" i="47"/>
  <c r="AY24" i="54"/>
  <c r="BB22" i="51"/>
  <c r="BC22" i="51" s="1"/>
  <c r="BB21" i="54"/>
  <c r="BC21" i="54" s="1"/>
  <c r="AP23" i="49"/>
  <c r="AQ23" i="49" s="1"/>
  <c r="AV23" i="49" s="1"/>
  <c r="AW23" i="49"/>
  <c r="AP23" i="54"/>
  <c r="AQ23" i="54" s="1"/>
  <c r="AV23" i="54" s="1"/>
  <c r="AW23" i="54"/>
  <c r="AZ22" i="47"/>
  <c r="BA22" i="47" s="1"/>
  <c r="AN26" i="48"/>
  <c r="AX25" i="48"/>
  <c r="AT25" i="48"/>
  <c r="AO24" i="52"/>
  <c r="AU24" i="52"/>
  <c r="AJ25" i="52"/>
  <c r="AJ25" i="50"/>
  <c r="AO24" i="50"/>
  <c r="AU24" i="50"/>
  <c r="AU24" i="51"/>
  <c r="AJ25" i="51"/>
  <c r="AO24" i="51"/>
  <c r="AY24" i="50"/>
  <c r="AN27" i="51"/>
  <c r="AX26" i="51"/>
  <c r="AT26" i="51"/>
  <c r="AZ22" i="53"/>
  <c r="BA22" i="53" s="1"/>
  <c r="AZ23" i="54"/>
  <c r="AZ23" i="50"/>
  <c r="AY24" i="52"/>
  <c r="AP23" i="48"/>
  <c r="AQ23" i="48" s="1"/>
  <c r="AV23" i="48" s="1"/>
  <c r="AW23" i="48"/>
  <c r="BB21" i="46"/>
  <c r="BC21" i="46" s="1"/>
  <c r="BB21" i="43"/>
  <c r="BC21" i="43" s="1"/>
  <c r="AY24" i="45"/>
  <c r="AJ26" i="44"/>
  <c r="AO25" i="44"/>
  <c r="AU25" i="44"/>
  <c r="AN26" i="45"/>
  <c r="AX25" i="45"/>
  <c r="AT25" i="45"/>
  <c r="AZ22" i="43"/>
  <c r="BA22" i="43" s="1"/>
  <c r="AO24" i="46"/>
  <c r="AU24" i="46"/>
  <c r="AJ25" i="46"/>
  <c r="BC21" i="44"/>
  <c r="AJ25" i="45"/>
  <c r="AO24" i="45"/>
  <c r="AU24" i="45"/>
  <c r="AX24" i="43"/>
  <c r="AT24" i="43"/>
  <c r="AN25" i="43"/>
  <c r="AU24" i="43"/>
  <c r="AJ25" i="43"/>
  <c r="AO24" i="43"/>
  <c r="AY23" i="44"/>
  <c r="AZ22" i="44"/>
  <c r="BA22" i="44" s="1"/>
  <c r="BB22" i="44" s="1"/>
  <c r="AZ22" i="46"/>
  <c r="BA22" i="46" s="1"/>
  <c r="AY23" i="46"/>
  <c r="AT24" i="44"/>
  <c r="AN25" i="44"/>
  <c r="AX24" i="44"/>
  <c r="AW24" i="44"/>
  <c r="AP24" i="44"/>
  <c r="AQ24" i="44" s="1"/>
  <c r="AV24" i="44" s="1"/>
  <c r="AP23" i="46"/>
  <c r="AQ23" i="46" s="1"/>
  <c r="AV23" i="46" s="1"/>
  <c r="AW23" i="46"/>
  <c r="AZ23" i="45"/>
  <c r="AP23" i="45"/>
  <c r="AQ23" i="45" s="1"/>
  <c r="AV23" i="45" s="1"/>
  <c r="AW23" i="45"/>
  <c r="AY23" i="43"/>
  <c r="AP23" i="43"/>
  <c r="AQ23" i="43" s="1"/>
  <c r="AV23" i="43" s="1"/>
  <c r="AW23" i="43"/>
  <c r="AX24" i="46"/>
  <c r="AN25" i="46"/>
  <c r="AT24" i="46"/>
  <c r="BB21" i="42"/>
  <c r="BC21" i="42" s="1"/>
  <c r="AZ22" i="42"/>
  <c r="BA22" i="42" s="1"/>
  <c r="BB22" i="42" s="1"/>
  <c r="AP23" i="41"/>
  <c r="AQ23" i="41" s="1"/>
  <c r="AV23" i="41" s="1"/>
  <c r="AW23" i="41"/>
  <c r="AZ23" i="41"/>
  <c r="AY24" i="41"/>
  <c r="AJ25" i="41"/>
  <c r="AO24" i="41"/>
  <c r="AU24" i="41"/>
  <c r="AY23" i="42"/>
  <c r="AN26" i="41"/>
  <c r="AX25" i="41"/>
  <c r="AT25" i="41"/>
  <c r="AP23" i="42"/>
  <c r="AQ23" i="42" s="1"/>
  <c r="AV23" i="42" s="1"/>
  <c r="AW23" i="42"/>
  <c r="AN25" i="42"/>
  <c r="AX24" i="42"/>
  <c r="AT24" i="42"/>
  <c r="AJ25" i="42"/>
  <c r="AO24" i="42"/>
  <c r="AU24" i="42"/>
  <c r="BB22" i="40"/>
  <c r="BC22" i="40" s="1"/>
  <c r="AZ23" i="40"/>
  <c r="BA23" i="40" s="1"/>
  <c r="AJ26" i="40"/>
  <c r="AU25" i="40"/>
  <c r="AO25" i="40"/>
  <c r="AY24" i="40"/>
  <c r="AW24" i="40"/>
  <c r="AP24" i="40"/>
  <c r="AQ24" i="40" s="1"/>
  <c r="AV24" i="40" s="1"/>
  <c r="AN26" i="40"/>
  <c r="AX25" i="40"/>
  <c r="AT25" i="40"/>
  <c r="BC22" i="62" l="1"/>
  <c r="BC22" i="45"/>
  <c r="M47" i="60"/>
  <c r="Z25" i="39"/>
  <c r="M46" i="59"/>
  <c r="X24" i="39"/>
  <c r="BC22" i="52"/>
  <c r="BC22" i="66"/>
  <c r="BC22" i="48"/>
  <c r="BC22" i="65"/>
  <c r="BC22" i="41"/>
  <c r="BA23" i="45"/>
  <c r="BB23" i="45" s="1"/>
  <c r="BC22" i="57"/>
  <c r="BA23" i="52"/>
  <c r="BA23" i="55"/>
  <c r="BA23" i="54"/>
  <c r="BC23" i="66"/>
  <c r="BA23" i="67"/>
  <c r="BA23" i="64"/>
  <c r="BB23" i="64" s="1"/>
  <c r="BA23" i="48"/>
  <c r="BB23" i="48" s="1"/>
  <c r="BB22" i="56"/>
  <c r="BC22" i="56" s="1"/>
  <c r="BB22" i="59"/>
  <c r="BC22" i="59" s="1"/>
  <c r="AN28" i="58"/>
  <c r="AX27" i="58"/>
  <c r="AT27" i="58"/>
  <c r="BB23" i="61"/>
  <c r="BC23" i="61" s="1"/>
  <c r="AO25" i="59"/>
  <c r="AU25" i="59"/>
  <c r="AJ26" i="59"/>
  <c r="AW24" i="61"/>
  <c r="BA24" i="61" s="1"/>
  <c r="AP24" i="61"/>
  <c r="AQ24" i="61" s="1"/>
  <c r="AV24" i="61" s="1"/>
  <c r="AP24" i="62"/>
  <c r="AQ24" i="62" s="1"/>
  <c r="AV24" i="62" s="1"/>
  <c r="AW24" i="62"/>
  <c r="AP24" i="60"/>
  <c r="AQ24" i="60" s="1"/>
  <c r="AV24" i="60" s="1"/>
  <c r="AW24" i="60"/>
  <c r="AP24" i="67"/>
  <c r="AQ24" i="67" s="1"/>
  <c r="AV24" i="67" s="1"/>
  <c r="AW24" i="67"/>
  <c r="AY25" i="66"/>
  <c r="AJ26" i="66"/>
  <c r="AU25" i="66"/>
  <c r="AO25" i="66"/>
  <c r="BA23" i="68"/>
  <c r="AU25" i="56"/>
  <c r="AJ26" i="56"/>
  <c r="AO25" i="56"/>
  <c r="AN27" i="67"/>
  <c r="AX26" i="67"/>
  <c r="AT26" i="67"/>
  <c r="AZ24" i="62"/>
  <c r="AJ26" i="68"/>
  <c r="AO25" i="68"/>
  <c r="AU25" i="68"/>
  <c r="AY24" i="59"/>
  <c r="AN27" i="68"/>
  <c r="AX26" i="68"/>
  <c r="AT26" i="68"/>
  <c r="AO25" i="62"/>
  <c r="AU25" i="62"/>
  <c r="AJ26" i="62"/>
  <c r="AZ24" i="64"/>
  <c r="AY25" i="65"/>
  <c r="AY25" i="62"/>
  <c r="AU25" i="60"/>
  <c r="AJ26" i="60"/>
  <c r="AO25" i="60"/>
  <c r="BC22" i="60"/>
  <c r="AY25" i="64"/>
  <c r="AP24" i="58"/>
  <c r="AQ24" i="58" s="1"/>
  <c r="AV24" i="58" s="1"/>
  <c r="AW24" i="58"/>
  <c r="BA24" i="58" s="1"/>
  <c r="AP27" i="57"/>
  <c r="AQ27" i="57" s="1"/>
  <c r="AZ24" i="63"/>
  <c r="AN27" i="66"/>
  <c r="AX26" i="66"/>
  <c r="AT26" i="66"/>
  <c r="AY25" i="67"/>
  <c r="AP24" i="68"/>
  <c r="AQ24" i="68" s="1"/>
  <c r="AV24" i="68" s="1"/>
  <c r="AW24" i="68"/>
  <c r="AZ25" i="58"/>
  <c r="AN27" i="63"/>
  <c r="AX26" i="63"/>
  <c r="AT26" i="63"/>
  <c r="AZ24" i="55"/>
  <c r="AZ24" i="67"/>
  <c r="BB22" i="55"/>
  <c r="BC22" i="55" s="1"/>
  <c r="AP24" i="64"/>
  <c r="AQ24" i="64" s="1"/>
  <c r="AV24" i="64" s="1"/>
  <c r="AW24" i="64"/>
  <c r="AW24" i="56"/>
  <c r="AP24" i="56"/>
  <c r="AQ24" i="56" s="1"/>
  <c r="AV24" i="56" s="1"/>
  <c r="AU25" i="55"/>
  <c r="AJ26" i="55"/>
  <c r="AO25" i="55"/>
  <c r="AJ26" i="61"/>
  <c r="AU25" i="61"/>
  <c r="AO25" i="61"/>
  <c r="AY26" i="61"/>
  <c r="AZ23" i="56"/>
  <c r="BA23" i="56" s="1"/>
  <c r="AN26" i="59"/>
  <c r="AX25" i="59"/>
  <c r="AT25" i="59"/>
  <c r="AY25" i="55"/>
  <c r="AN27" i="65"/>
  <c r="AX26" i="65"/>
  <c r="AT26" i="65"/>
  <c r="AN27" i="62"/>
  <c r="AX26" i="62"/>
  <c r="AT26" i="62"/>
  <c r="AZ24" i="68"/>
  <c r="BA23" i="63"/>
  <c r="AY24" i="57"/>
  <c r="AN27" i="64"/>
  <c r="AX26" i="64"/>
  <c r="AT26" i="64"/>
  <c r="AJ26" i="58"/>
  <c r="AO25" i="58"/>
  <c r="AU25" i="58"/>
  <c r="AO28" i="57"/>
  <c r="AJ29" i="57"/>
  <c r="AU28" i="57"/>
  <c r="AJ26" i="67"/>
  <c r="AO25" i="67"/>
  <c r="AU25" i="67"/>
  <c r="BB23" i="58"/>
  <c r="BC23" i="58" s="1"/>
  <c r="AP24" i="66"/>
  <c r="AQ24" i="66" s="1"/>
  <c r="AV24" i="66" s="1"/>
  <c r="AW24" i="66"/>
  <c r="AP24" i="55"/>
  <c r="AQ24" i="55" s="1"/>
  <c r="AV24" i="55" s="1"/>
  <c r="AW24" i="55"/>
  <c r="AJ26" i="65"/>
  <c r="AO25" i="65"/>
  <c r="AU25" i="65"/>
  <c r="AY25" i="68"/>
  <c r="AU25" i="63"/>
  <c r="AJ26" i="63"/>
  <c r="AO25" i="63"/>
  <c r="AY24" i="56"/>
  <c r="AY24" i="60"/>
  <c r="AN26" i="56"/>
  <c r="AX25" i="56"/>
  <c r="AT25" i="56"/>
  <c r="AY26" i="58"/>
  <c r="AN26" i="60"/>
  <c r="AX25" i="60"/>
  <c r="AT25" i="60"/>
  <c r="AZ25" i="61"/>
  <c r="AU25" i="64"/>
  <c r="AJ26" i="64"/>
  <c r="AO25" i="64"/>
  <c r="AZ24" i="66"/>
  <c r="AP24" i="59"/>
  <c r="AQ24" i="59" s="1"/>
  <c r="AV24" i="59" s="1"/>
  <c r="AW24" i="59"/>
  <c r="AZ23" i="59"/>
  <c r="BA23" i="59" s="1"/>
  <c r="AN28" i="61"/>
  <c r="AX27" i="61"/>
  <c r="AT27" i="61"/>
  <c r="AZ23" i="57"/>
  <c r="BA23" i="57" s="1"/>
  <c r="BB23" i="57" s="1"/>
  <c r="AP24" i="65"/>
  <c r="AQ24" i="65" s="1"/>
  <c r="AV24" i="65" s="1"/>
  <c r="AW24" i="65"/>
  <c r="BB22" i="67"/>
  <c r="BC22" i="67" s="1"/>
  <c r="BA23" i="62"/>
  <c r="AZ23" i="60"/>
  <c r="BB22" i="63"/>
  <c r="BC22" i="63" s="1"/>
  <c r="AP24" i="63"/>
  <c r="AQ24" i="63" s="1"/>
  <c r="AV24" i="63" s="1"/>
  <c r="AW24" i="63"/>
  <c r="BA23" i="60"/>
  <c r="BB23" i="60" s="1"/>
  <c r="AN27" i="55"/>
  <c r="AX26" i="55"/>
  <c r="AT26" i="55"/>
  <c r="BB22" i="64"/>
  <c r="BC22" i="64" s="1"/>
  <c r="AY25" i="63"/>
  <c r="AN26" i="57"/>
  <c r="AX25" i="57"/>
  <c r="AT25" i="57"/>
  <c r="AV25" i="57" s="1"/>
  <c r="AW25" i="57"/>
  <c r="BA23" i="65"/>
  <c r="AZ24" i="65"/>
  <c r="BB22" i="53"/>
  <c r="BC22" i="53" s="1"/>
  <c r="BB22" i="47"/>
  <c r="BC22" i="47" s="1"/>
  <c r="AO25" i="51"/>
  <c r="AU25" i="51"/>
  <c r="AJ26" i="51"/>
  <c r="AU25" i="50"/>
  <c r="AJ26" i="50"/>
  <c r="AO25" i="50"/>
  <c r="AP24" i="47"/>
  <c r="AQ24" i="47" s="1"/>
  <c r="AV24" i="47" s="1"/>
  <c r="AW24" i="47"/>
  <c r="AN27" i="52"/>
  <c r="AX26" i="52"/>
  <c r="AT26" i="52"/>
  <c r="AP24" i="53"/>
  <c r="AQ24" i="53" s="1"/>
  <c r="AV24" i="53" s="1"/>
  <c r="AW24" i="53"/>
  <c r="AN27" i="50"/>
  <c r="AX26" i="50"/>
  <c r="AT26" i="50"/>
  <c r="AZ24" i="50"/>
  <c r="AZ25" i="51"/>
  <c r="BB22" i="50"/>
  <c r="BC22" i="50" s="1"/>
  <c r="BB22" i="49"/>
  <c r="BC22" i="49" s="1"/>
  <c r="AY24" i="47"/>
  <c r="AZ23" i="47"/>
  <c r="BA23" i="47" s="1"/>
  <c r="AZ24" i="52"/>
  <c r="AN27" i="48"/>
  <c r="AX26" i="48"/>
  <c r="AT26" i="48"/>
  <c r="AZ24" i="54"/>
  <c r="AN27" i="49"/>
  <c r="AX26" i="49"/>
  <c r="AT26" i="49"/>
  <c r="AY25" i="54"/>
  <c r="BA23" i="50"/>
  <c r="AN26" i="47"/>
  <c r="AX25" i="47"/>
  <c r="AT25" i="47"/>
  <c r="AZ23" i="53"/>
  <c r="BA23" i="53" s="1"/>
  <c r="AP24" i="49"/>
  <c r="AQ24" i="49" s="1"/>
  <c r="AV24" i="49" s="1"/>
  <c r="AW24" i="49"/>
  <c r="AN28" i="51"/>
  <c r="AX27" i="51"/>
  <c r="AT27" i="51"/>
  <c r="BB22" i="54"/>
  <c r="BC22" i="54" s="1"/>
  <c r="AY24" i="53"/>
  <c r="AU25" i="52"/>
  <c r="AJ26" i="52"/>
  <c r="AO25" i="52"/>
  <c r="AY25" i="48"/>
  <c r="AU25" i="47"/>
  <c r="AJ26" i="47"/>
  <c r="AO25" i="47"/>
  <c r="AY25" i="49"/>
  <c r="AW24" i="48"/>
  <c r="AP24" i="48"/>
  <c r="AQ24" i="48" s="1"/>
  <c r="AV24" i="48" s="1"/>
  <c r="AZ24" i="49"/>
  <c r="AU25" i="54"/>
  <c r="AJ26" i="54"/>
  <c r="AO25" i="54"/>
  <c r="AU25" i="53"/>
  <c r="AJ26" i="53"/>
  <c r="AO25" i="53"/>
  <c r="AN26" i="53"/>
  <c r="AX25" i="53"/>
  <c r="AT25" i="53"/>
  <c r="AY26" i="51"/>
  <c r="AP24" i="51"/>
  <c r="AQ24" i="51" s="1"/>
  <c r="AV24" i="51" s="1"/>
  <c r="AW24" i="51"/>
  <c r="BA24" i="51" s="1"/>
  <c r="AP24" i="50"/>
  <c r="AQ24" i="50" s="1"/>
  <c r="AV24" i="50" s="1"/>
  <c r="AW24" i="50"/>
  <c r="AW24" i="52"/>
  <c r="AP24" i="52"/>
  <c r="AQ24" i="52" s="1"/>
  <c r="AV24" i="52" s="1"/>
  <c r="BA23" i="49"/>
  <c r="AU25" i="48"/>
  <c r="AJ26" i="48"/>
  <c r="AO25" i="48"/>
  <c r="AY25" i="52"/>
  <c r="AP24" i="54"/>
  <c r="AQ24" i="54" s="1"/>
  <c r="AV24" i="54" s="1"/>
  <c r="AW24" i="54"/>
  <c r="AN27" i="54"/>
  <c r="AX26" i="54"/>
  <c r="AT26" i="54"/>
  <c r="AZ24" i="48"/>
  <c r="BB23" i="51"/>
  <c r="BC23" i="51" s="1"/>
  <c r="AY25" i="50"/>
  <c r="AU25" i="49"/>
  <c r="AJ26" i="49"/>
  <c r="AO25" i="49"/>
  <c r="BB22" i="46"/>
  <c r="BC22" i="46" s="1"/>
  <c r="BB22" i="43"/>
  <c r="BC22" i="43" s="1"/>
  <c r="AN26" i="44"/>
  <c r="AX25" i="44"/>
  <c r="AT25" i="44"/>
  <c r="AN26" i="46"/>
  <c r="AX25" i="46"/>
  <c r="AT25" i="46"/>
  <c r="AZ23" i="43"/>
  <c r="BA23" i="43" s="1"/>
  <c r="BB23" i="43" s="1"/>
  <c r="AJ26" i="43"/>
  <c r="AO25" i="43"/>
  <c r="AU25" i="43"/>
  <c r="AY24" i="43"/>
  <c r="AW24" i="46"/>
  <c r="AP24" i="46"/>
  <c r="AQ24" i="46" s="1"/>
  <c r="AV24" i="46" s="1"/>
  <c r="AP25" i="44"/>
  <c r="AQ25" i="44" s="1"/>
  <c r="AW25" i="44"/>
  <c r="AY24" i="46"/>
  <c r="BC22" i="44"/>
  <c r="AY25" i="45"/>
  <c r="AU26" i="44"/>
  <c r="AJ27" i="44"/>
  <c r="AO26" i="44"/>
  <c r="AY24" i="44"/>
  <c r="AZ23" i="46"/>
  <c r="BA23" i="46" s="1"/>
  <c r="AN26" i="43"/>
  <c r="AX25" i="43"/>
  <c r="AT25" i="43"/>
  <c r="AP24" i="45"/>
  <c r="AQ24" i="45" s="1"/>
  <c r="AV24" i="45" s="1"/>
  <c r="AW24" i="45"/>
  <c r="AJ26" i="46"/>
  <c r="AU25" i="46"/>
  <c r="AO25" i="46"/>
  <c r="AN27" i="45"/>
  <c r="AX26" i="45"/>
  <c r="AT26" i="45"/>
  <c r="AZ24" i="45"/>
  <c r="AZ23" i="44"/>
  <c r="BA23" i="44" s="1"/>
  <c r="BB23" i="44" s="1"/>
  <c r="AP24" i="43"/>
  <c r="AQ24" i="43" s="1"/>
  <c r="AV24" i="43" s="1"/>
  <c r="AW24" i="43"/>
  <c r="AU25" i="45"/>
  <c r="AJ26" i="45"/>
  <c r="AO25" i="45"/>
  <c r="AN27" i="41"/>
  <c r="AX26" i="41"/>
  <c r="AT26" i="41"/>
  <c r="AY24" i="42"/>
  <c r="AP24" i="41"/>
  <c r="AQ24" i="41" s="1"/>
  <c r="AV24" i="41" s="1"/>
  <c r="AW24" i="41"/>
  <c r="BC22" i="42"/>
  <c r="AP24" i="42"/>
  <c r="AQ24" i="42" s="1"/>
  <c r="AV24" i="42" s="1"/>
  <c r="AW24" i="42"/>
  <c r="AN26" i="42"/>
  <c r="AT25" i="42"/>
  <c r="AX25" i="42"/>
  <c r="AZ23" i="42"/>
  <c r="BA23" i="42" s="1"/>
  <c r="BB23" i="42" s="1"/>
  <c r="AJ26" i="41"/>
  <c r="AO25" i="41"/>
  <c r="AU25" i="41"/>
  <c r="AJ26" i="42"/>
  <c r="AU25" i="42"/>
  <c r="AO25" i="42"/>
  <c r="AY25" i="41"/>
  <c r="AZ24" i="41"/>
  <c r="BA23" i="41"/>
  <c r="BB23" i="40"/>
  <c r="BC23" i="40" s="1"/>
  <c r="AP25" i="40"/>
  <c r="AQ25" i="40" s="1"/>
  <c r="AV25" i="40" s="1"/>
  <c r="AW25" i="40"/>
  <c r="AY25" i="40"/>
  <c r="AZ24" i="40"/>
  <c r="BA24" i="40" s="1"/>
  <c r="AN27" i="40"/>
  <c r="AX26" i="40"/>
  <c r="AT26" i="40"/>
  <c r="AJ27" i="40"/>
  <c r="AO26" i="40"/>
  <c r="AU26" i="40"/>
  <c r="BA24" i="63" l="1"/>
  <c r="BB24" i="63" s="1"/>
  <c r="BA24" i="55"/>
  <c r="BB24" i="55" s="1"/>
  <c r="AV25" i="44"/>
  <c r="BC23" i="45"/>
  <c r="M47" i="61"/>
  <c r="Z26" i="39"/>
  <c r="M46" i="60"/>
  <c r="X25" i="39"/>
  <c r="BA24" i="54"/>
  <c r="BB24" i="54" s="1"/>
  <c r="BA24" i="52"/>
  <c r="BB24" i="52" s="1"/>
  <c r="BC23" i="64"/>
  <c r="BA24" i="50"/>
  <c r="BB24" i="50" s="1"/>
  <c r="BC23" i="48"/>
  <c r="BA24" i="64"/>
  <c r="BB24" i="64" s="1"/>
  <c r="BB23" i="53"/>
  <c r="BC23" i="53" s="1"/>
  <c r="BB23" i="54"/>
  <c r="BC23" i="54" s="1"/>
  <c r="BB23" i="55"/>
  <c r="BC23" i="55" s="1"/>
  <c r="BC24" i="52"/>
  <c r="BB23" i="52"/>
  <c r="BC23" i="52" s="1"/>
  <c r="BB23" i="67"/>
  <c r="BC23" i="67" s="1"/>
  <c r="BB23" i="59"/>
  <c r="BC23" i="59" s="1"/>
  <c r="BB23" i="56"/>
  <c r="BC23" i="56" s="1"/>
  <c r="BC23" i="60"/>
  <c r="BC23" i="57"/>
  <c r="AN27" i="56"/>
  <c r="AT26" i="56"/>
  <c r="AX26" i="56"/>
  <c r="AJ27" i="63"/>
  <c r="AO26" i="63"/>
  <c r="AU26" i="63"/>
  <c r="AJ27" i="65"/>
  <c r="AO26" i="65"/>
  <c r="AU26" i="65"/>
  <c r="AP25" i="58"/>
  <c r="AQ25" i="58" s="1"/>
  <c r="AV25" i="58" s="1"/>
  <c r="AW25" i="58"/>
  <c r="BA25" i="58" s="1"/>
  <c r="AN28" i="64"/>
  <c r="AX27" i="64"/>
  <c r="AT27" i="64"/>
  <c r="AN28" i="62"/>
  <c r="AX27" i="62"/>
  <c r="AT27" i="62"/>
  <c r="AN27" i="59"/>
  <c r="AX26" i="59"/>
  <c r="AT26" i="59"/>
  <c r="AP25" i="55"/>
  <c r="AQ25" i="55" s="1"/>
  <c r="AV25" i="55" s="1"/>
  <c r="AW25" i="55"/>
  <c r="AZ25" i="67"/>
  <c r="AN28" i="66"/>
  <c r="AX27" i="66"/>
  <c r="AT27" i="66"/>
  <c r="AW25" i="62"/>
  <c r="AP25" i="62"/>
  <c r="AQ25" i="62" s="1"/>
  <c r="AV25" i="62" s="1"/>
  <c r="AP25" i="56"/>
  <c r="AQ25" i="56" s="1"/>
  <c r="AV25" i="56" s="1"/>
  <c r="AW25" i="56"/>
  <c r="AP25" i="66"/>
  <c r="AQ25" i="66" s="1"/>
  <c r="AV25" i="66" s="1"/>
  <c r="AW25" i="66"/>
  <c r="BA24" i="62"/>
  <c r="AU26" i="59"/>
  <c r="AJ27" i="59"/>
  <c r="AO26" i="59"/>
  <c r="AY25" i="57"/>
  <c r="BA24" i="65"/>
  <c r="AZ26" i="58"/>
  <c r="AZ24" i="60"/>
  <c r="BA24" i="60" s="1"/>
  <c r="BB24" i="60" s="1"/>
  <c r="BA24" i="66"/>
  <c r="AU29" i="57"/>
  <c r="AJ30" i="57"/>
  <c r="AO29" i="57"/>
  <c r="AU26" i="58"/>
  <c r="AJ27" i="58"/>
  <c r="AO26" i="58"/>
  <c r="AZ24" i="57"/>
  <c r="BA24" i="57" s="1"/>
  <c r="BB24" i="57" s="1"/>
  <c r="AP25" i="61"/>
  <c r="AQ25" i="61" s="1"/>
  <c r="AV25" i="61" s="1"/>
  <c r="AW25" i="61"/>
  <c r="BA25" i="61" s="1"/>
  <c r="AJ27" i="55"/>
  <c r="AO26" i="55"/>
  <c r="AU26" i="55"/>
  <c r="AY26" i="63"/>
  <c r="BB24" i="58"/>
  <c r="BC24" i="58" s="1"/>
  <c r="AP25" i="60"/>
  <c r="AQ25" i="60" s="1"/>
  <c r="AV25" i="60" s="1"/>
  <c r="AW25" i="60"/>
  <c r="AZ25" i="62"/>
  <c r="AP25" i="68"/>
  <c r="AQ25" i="68" s="1"/>
  <c r="AV25" i="68" s="1"/>
  <c r="AW25" i="68"/>
  <c r="AO26" i="56"/>
  <c r="AJ27" i="56"/>
  <c r="AU26" i="56"/>
  <c r="AZ25" i="66"/>
  <c r="BB23" i="65"/>
  <c r="BC23" i="65" s="1"/>
  <c r="AN27" i="57"/>
  <c r="AX26" i="57"/>
  <c r="AT26" i="57"/>
  <c r="AV26" i="57" s="1"/>
  <c r="AW26" i="57"/>
  <c r="AZ25" i="63"/>
  <c r="AY26" i="55"/>
  <c r="BB23" i="62"/>
  <c r="BC23" i="62" s="1"/>
  <c r="AY27" i="61"/>
  <c r="AP25" i="64"/>
  <c r="AQ25" i="64" s="1"/>
  <c r="AV25" i="64" s="1"/>
  <c r="AW25" i="64"/>
  <c r="AY25" i="60"/>
  <c r="AZ25" i="68"/>
  <c r="AP25" i="67"/>
  <c r="AQ25" i="67" s="1"/>
  <c r="AV25" i="67" s="1"/>
  <c r="AW25" i="67"/>
  <c r="AP28" i="57"/>
  <c r="AQ28" i="57" s="1"/>
  <c r="AY26" i="65"/>
  <c r="AN28" i="63"/>
  <c r="AX27" i="63"/>
  <c r="AT27" i="63"/>
  <c r="BA24" i="68"/>
  <c r="AJ27" i="60"/>
  <c r="AO26" i="60"/>
  <c r="AU26" i="60"/>
  <c r="AZ25" i="65"/>
  <c r="AU26" i="62"/>
  <c r="AJ27" i="62"/>
  <c r="AO26" i="62"/>
  <c r="AY26" i="68"/>
  <c r="AZ24" i="59"/>
  <c r="BA24" i="59" s="1"/>
  <c r="AJ27" i="68"/>
  <c r="AO26" i="68"/>
  <c r="AU26" i="68"/>
  <c r="AY26" i="67"/>
  <c r="AJ27" i="66"/>
  <c r="AO26" i="66"/>
  <c r="AU26" i="66"/>
  <c r="AW25" i="59"/>
  <c r="AP25" i="59"/>
  <c r="AQ25" i="59" s="1"/>
  <c r="AV25" i="59" s="1"/>
  <c r="AY27" i="58"/>
  <c r="AN28" i="55"/>
  <c r="AX27" i="55"/>
  <c r="AT27" i="55"/>
  <c r="AN29" i="61"/>
  <c r="AX28" i="61"/>
  <c r="AT28" i="61"/>
  <c r="AJ27" i="64"/>
  <c r="AO26" i="64"/>
  <c r="AU26" i="64"/>
  <c r="AN27" i="60"/>
  <c r="AX26" i="60"/>
  <c r="AT26" i="60"/>
  <c r="AY25" i="56"/>
  <c r="AZ24" i="56"/>
  <c r="BA24" i="56" s="1"/>
  <c r="AP25" i="63"/>
  <c r="AQ25" i="63" s="1"/>
  <c r="AV25" i="63" s="1"/>
  <c r="AW25" i="63"/>
  <c r="AP25" i="65"/>
  <c r="AQ25" i="65" s="1"/>
  <c r="AV25" i="65" s="1"/>
  <c r="AW25" i="65"/>
  <c r="AJ27" i="67"/>
  <c r="AO26" i="67"/>
  <c r="AU26" i="67"/>
  <c r="AY26" i="64"/>
  <c r="BB23" i="63"/>
  <c r="BC23" i="63" s="1"/>
  <c r="AY26" i="62"/>
  <c r="AN28" i="65"/>
  <c r="AX27" i="65"/>
  <c r="AT27" i="65"/>
  <c r="AZ25" i="55"/>
  <c r="AY25" i="59"/>
  <c r="AZ26" i="61"/>
  <c r="AJ27" i="61"/>
  <c r="AO26" i="61"/>
  <c r="AU26" i="61"/>
  <c r="AY26" i="66"/>
  <c r="AZ25" i="64"/>
  <c r="AN28" i="68"/>
  <c r="AX27" i="68"/>
  <c r="AT27" i="68"/>
  <c r="AN28" i="67"/>
  <c r="AX27" i="67"/>
  <c r="AT27" i="67"/>
  <c r="BB23" i="68"/>
  <c r="BC23" i="68" s="1"/>
  <c r="BA24" i="67"/>
  <c r="BB24" i="61"/>
  <c r="BC24" i="61" s="1"/>
  <c r="AN29" i="58"/>
  <c r="AX28" i="58"/>
  <c r="AT28" i="58"/>
  <c r="BB23" i="47"/>
  <c r="BC23" i="47" s="1"/>
  <c r="AJ27" i="49"/>
  <c r="AO26" i="49"/>
  <c r="AU26" i="49"/>
  <c r="AZ25" i="50"/>
  <c r="AP25" i="48"/>
  <c r="AQ25" i="48" s="1"/>
  <c r="AV25" i="48" s="1"/>
  <c r="AW25" i="48"/>
  <c r="BB23" i="49"/>
  <c r="BC23" i="49" s="1"/>
  <c r="AZ26" i="51"/>
  <c r="AP25" i="53"/>
  <c r="AQ25" i="53" s="1"/>
  <c r="AV25" i="53" s="1"/>
  <c r="AW25" i="53"/>
  <c r="AU26" i="54"/>
  <c r="AJ27" i="54"/>
  <c r="AO26" i="54"/>
  <c r="AP25" i="47"/>
  <c r="AQ25" i="47" s="1"/>
  <c r="AV25" i="47" s="1"/>
  <c r="AW25" i="47"/>
  <c r="AZ24" i="53"/>
  <c r="BA24" i="53" s="1"/>
  <c r="BB24" i="53" s="1"/>
  <c r="AY25" i="47"/>
  <c r="BA24" i="48"/>
  <c r="AJ27" i="47"/>
  <c r="AO26" i="47"/>
  <c r="AU26" i="47"/>
  <c r="AY27" i="51"/>
  <c r="AN27" i="47"/>
  <c r="AX26" i="47"/>
  <c r="AT26" i="47"/>
  <c r="AZ24" i="47"/>
  <c r="BA24" i="47" s="1"/>
  <c r="BB24" i="47" s="1"/>
  <c r="AY26" i="50"/>
  <c r="AY26" i="54"/>
  <c r="AY25" i="53"/>
  <c r="AO26" i="52"/>
  <c r="AU26" i="52"/>
  <c r="AJ27" i="52"/>
  <c r="AN29" i="51"/>
  <c r="AX28" i="51"/>
  <c r="AT28" i="51"/>
  <c r="BB23" i="50"/>
  <c r="BC23" i="50" s="1"/>
  <c r="AY26" i="49"/>
  <c r="AN28" i="50"/>
  <c r="AX27" i="50"/>
  <c r="AT27" i="50"/>
  <c r="AY26" i="52"/>
  <c r="AP25" i="50"/>
  <c r="AQ25" i="50" s="1"/>
  <c r="AV25" i="50" s="1"/>
  <c r="AW25" i="50"/>
  <c r="AZ25" i="48"/>
  <c r="AZ25" i="54"/>
  <c r="AN28" i="48"/>
  <c r="AX27" i="48"/>
  <c r="AT27" i="48"/>
  <c r="AO26" i="48"/>
  <c r="AU26" i="48"/>
  <c r="AJ27" i="48"/>
  <c r="BB24" i="51"/>
  <c r="BC24" i="51" s="1"/>
  <c r="AJ27" i="53"/>
  <c r="AO26" i="53"/>
  <c r="AU26" i="53"/>
  <c r="AP25" i="52"/>
  <c r="AQ25" i="52" s="1"/>
  <c r="AV25" i="52" s="1"/>
  <c r="AW25" i="52"/>
  <c r="AU26" i="51"/>
  <c r="AJ27" i="51"/>
  <c r="AO26" i="51"/>
  <c r="AP25" i="49"/>
  <c r="AQ25" i="49" s="1"/>
  <c r="AV25" i="49" s="1"/>
  <c r="AW25" i="49"/>
  <c r="AX27" i="54"/>
  <c r="AN28" i="54"/>
  <c r="AT27" i="54"/>
  <c r="AZ25" i="52"/>
  <c r="AN27" i="53"/>
  <c r="AX26" i="53"/>
  <c r="AT26" i="53"/>
  <c r="AW25" i="54"/>
  <c r="AP25" i="54"/>
  <c r="AQ25" i="54" s="1"/>
  <c r="AV25" i="54" s="1"/>
  <c r="AZ25" i="49"/>
  <c r="BA24" i="49"/>
  <c r="AN28" i="49"/>
  <c r="AX27" i="49"/>
  <c r="AT27" i="49"/>
  <c r="AY26" i="48"/>
  <c r="AN28" i="52"/>
  <c r="AX27" i="52"/>
  <c r="AT27" i="52"/>
  <c r="AJ27" i="50"/>
  <c r="AO26" i="50"/>
  <c r="AU26" i="50"/>
  <c r="AW25" i="51"/>
  <c r="BA25" i="51" s="1"/>
  <c r="AP25" i="51"/>
  <c r="AQ25" i="51" s="1"/>
  <c r="AV25" i="51" s="1"/>
  <c r="BB23" i="46"/>
  <c r="BC23" i="46" s="1"/>
  <c r="AP25" i="45"/>
  <c r="AQ25" i="45" s="1"/>
  <c r="AV25" i="45" s="1"/>
  <c r="AW25" i="45"/>
  <c r="AJ27" i="45"/>
  <c r="AU26" i="45"/>
  <c r="AO26" i="45"/>
  <c r="AP26" i="44"/>
  <c r="AQ26" i="44" s="1"/>
  <c r="AW26" i="44"/>
  <c r="AZ25" i="45"/>
  <c r="AZ24" i="46"/>
  <c r="BA24" i="46" s="1"/>
  <c r="BB24" i="46" s="1"/>
  <c r="AP25" i="43"/>
  <c r="AQ25" i="43" s="1"/>
  <c r="AV25" i="43" s="1"/>
  <c r="AW25" i="43"/>
  <c r="BC23" i="43"/>
  <c r="BC23" i="44"/>
  <c r="AY26" i="45"/>
  <c r="AU26" i="46"/>
  <c r="AJ27" i="46"/>
  <c r="AO26" i="46"/>
  <c r="AY25" i="43"/>
  <c r="AJ28" i="44"/>
  <c r="AO27" i="44"/>
  <c r="AU27" i="44"/>
  <c r="AU26" i="43"/>
  <c r="AJ27" i="43"/>
  <c r="AO26" i="43"/>
  <c r="AY25" i="44"/>
  <c r="AN28" i="45"/>
  <c r="AT27" i="45"/>
  <c r="AX27" i="45"/>
  <c r="BA24" i="45"/>
  <c r="AN27" i="43"/>
  <c r="AX26" i="43"/>
  <c r="AT26" i="43"/>
  <c r="AZ24" i="44"/>
  <c r="BA24" i="44" s="1"/>
  <c r="BB24" i="44" s="1"/>
  <c r="AZ24" i="43"/>
  <c r="BA24" i="43" s="1"/>
  <c r="AY25" i="46"/>
  <c r="AN27" i="44"/>
  <c r="AX26" i="44"/>
  <c r="AT26" i="44"/>
  <c r="AP25" i="46"/>
  <c r="AQ25" i="46" s="1"/>
  <c r="AV25" i="46" s="1"/>
  <c r="AW25" i="46"/>
  <c r="AN27" i="46"/>
  <c r="AX26" i="46"/>
  <c r="AT26" i="46"/>
  <c r="AP25" i="42"/>
  <c r="AQ25" i="42" s="1"/>
  <c r="AV25" i="42" s="1"/>
  <c r="AW25" i="42"/>
  <c r="AY25" i="42"/>
  <c r="AJ27" i="41"/>
  <c r="AU26" i="41"/>
  <c r="AO26" i="41"/>
  <c r="AZ25" i="41"/>
  <c r="AJ27" i="42"/>
  <c r="AO26" i="42"/>
  <c r="AU26" i="42"/>
  <c r="BC23" i="42"/>
  <c r="AN27" i="42"/>
  <c r="AX26" i="42"/>
  <c r="AT26" i="42"/>
  <c r="BA24" i="41"/>
  <c r="BB23" i="41"/>
  <c r="BC23" i="41" s="1"/>
  <c r="AY26" i="41"/>
  <c r="AP25" i="41"/>
  <c r="AQ25" i="41" s="1"/>
  <c r="AV25" i="41" s="1"/>
  <c r="AW25" i="41"/>
  <c r="AZ24" i="42"/>
  <c r="BA24" i="42" s="1"/>
  <c r="AN28" i="41"/>
  <c r="AX27" i="41"/>
  <c r="AT27" i="41"/>
  <c r="BB24" i="40"/>
  <c r="BC24" i="40" s="1"/>
  <c r="AY26" i="40"/>
  <c r="AP26" i="40"/>
  <c r="AQ26" i="40" s="1"/>
  <c r="AV26" i="40" s="1"/>
  <c r="AW26" i="40"/>
  <c r="AN28" i="40"/>
  <c r="AX27" i="40"/>
  <c r="AT27" i="40"/>
  <c r="AZ25" i="40"/>
  <c r="BA25" i="40" s="1"/>
  <c r="AJ28" i="40"/>
  <c r="AU27" i="40"/>
  <c r="AO27" i="40"/>
  <c r="BC24" i="50" l="1"/>
  <c r="BC24" i="63"/>
  <c r="BC24" i="55"/>
  <c r="BC24" i="54"/>
  <c r="M47" i="62"/>
  <c r="Z27" i="39"/>
  <c r="M46" i="61"/>
  <c r="X26" i="39"/>
  <c r="BA25" i="67"/>
  <c r="BB25" i="67" s="1"/>
  <c r="BA25" i="65"/>
  <c r="BB25" i="65" s="1"/>
  <c r="BA25" i="50"/>
  <c r="BB25" i="50" s="1"/>
  <c r="BC24" i="64"/>
  <c r="BA25" i="54"/>
  <c r="BB25" i="54" s="1"/>
  <c r="BA25" i="41"/>
  <c r="BB25" i="41" s="1"/>
  <c r="BC25" i="41" s="1"/>
  <c r="BA25" i="63"/>
  <c r="BB25" i="63" s="1"/>
  <c r="BA25" i="49"/>
  <c r="BB25" i="49" s="1"/>
  <c r="BC25" i="49" s="1"/>
  <c r="BB24" i="56"/>
  <c r="BC24" i="56" s="1"/>
  <c r="BB24" i="59"/>
  <c r="BC24" i="59" s="1"/>
  <c r="AN29" i="67"/>
  <c r="AX28" i="67"/>
  <c r="AT28" i="67"/>
  <c r="AP26" i="61"/>
  <c r="AQ26" i="61" s="1"/>
  <c r="AV26" i="61" s="1"/>
  <c r="AW26" i="61"/>
  <c r="BA26" i="61" s="1"/>
  <c r="AP26" i="67"/>
  <c r="AQ26" i="67" s="1"/>
  <c r="AV26" i="67" s="1"/>
  <c r="AW26" i="67"/>
  <c r="AJ28" i="61"/>
  <c r="AO27" i="61"/>
  <c r="AU27" i="61"/>
  <c r="AZ25" i="59"/>
  <c r="BA25" i="59" s="1"/>
  <c r="BB25" i="59" s="1"/>
  <c r="AZ26" i="64"/>
  <c r="AJ28" i="67"/>
  <c r="AO27" i="67"/>
  <c r="AU27" i="67"/>
  <c r="AZ25" i="56"/>
  <c r="AY28" i="61"/>
  <c r="AN29" i="55"/>
  <c r="AX28" i="55"/>
  <c r="AT28" i="55"/>
  <c r="AP26" i="66"/>
  <c r="AQ26" i="66" s="1"/>
  <c r="AV26" i="66" s="1"/>
  <c r="AW26" i="66"/>
  <c r="AO27" i="62"/>
  <c r="AU27" i="62"/>
  <c r="AJ28" i="62"/>
  <c r="AZ25" i="60"/>
  <c r="BA25" i="60" s="1"/>
  <c r="BB25" i="60" s="1"/>
  <c r="AZ27" i="61"/>
  <c r="AU27" i="56"/>
  <c r="AJ28" i="56"/>
  <c r="AO27" i="56"/>
  <c r="AP26" i="58"/>
  <c r="AQ26" i="58" s="1"/>
  <c r="AV26" i="58" s="1"/>
  <c r="AW26" i="58"/>
  <c r="BA26" i="58" s="1"/>
  <c r="AO30" i="57"/>
  <c r="AU30" i="57"/>
  <c r="AJ31" i="57"/>
  <c r="BA25" i="56"/>
  <c r="BB25" i="56" s="1"/>
  <c r="AN29" i="66"/>
  <c r="AX28" i="66"/>
  <c r="AT28" i="66"/>
  <c r="AY27" i="64"/>
  <c r="BB24" i="67"/>
  <c r="BC24" i="67" s="1"/>
  <c r="AY27" i="68"/>
  <c r="AZ26" i="62"/>
  <c r="AP26" i="64"/>
  <c r="AQ26" i="64" s="1"/>
  <c r="AV26" i="64" s="1"/>
  <c r="AW26" i="64"/>
  <c r="AN30" i="61"/>
  <c r="AX29" i="61"/>
  <c r="AT29" i="61"/>
  <c r="AJ28" i="66"/>
  <c r="AO27" i="66"/>
  <c r="AU27" i="66"/>
  <c r="AP26" i="68"/>
  <c r="AQ26" i="68" s="1"/>
  <c r="AV26" i="68" s="1"/>
  <c r="AW26" i="68"/>
  <c r="AZ26" i="68"/>
  <c r="AP26" i="60"/>
  <c r="AQ26" i="60" s="1"/>
  <c r="AV26" i="60" s="1"/>
  <c r="AW26" i="60"/>
  <c r="AY27" i="63"/>
  <c r="BA25" i="64"/>
  <c r="AY26" i="57"/>
  <c r="AW26" i="56"/>
  <c r="AP26" i="56"/>
  <c r="AQ26" i="56" s="1"/>
  <c r="AV26" i="56" s="1"/>
  <c r="AP26" i="55"/>
  <c r="AQ26" i="55" s="1"/>
  <c r="AV26" i="55" s="1"/>
  <c r="AW26" i="55"/>
  <c r="AJ28" i="58"/>
  <c r="AO27" i="58"/>
  <c r="AU27" i="58"/>
  <c r="BC24" i="60"/>
  <c r="BB24" i="65"/>
  <c r="BC24" i="65" s="1"/>
  <c r="AZ25" i="57"/>
  <c r="BA25" i="57" s="1"/>
  <c r="BB25" i="57" s="1"/>
  <c r="BB24" i="62"/>
  <c r="BC24" i="62" s="1"/>
  <c r="BA25" i="62"/>
  <c r="AY27" i="62"/>
  <c r="AN29" i="64"/>
  <c r="AX28" i="64"/>
  <c r="AT28" i="64"/>
  <c r="AP26" i="65"/>
  <c r="AQ26" i="65" s="1"/>
  <c r="AV26" i="65" s="1"/>
  <c r="AW26" i="65"/>
  <c r="AP26" i="63"/>
  <c r="AQ26" i="63" s="1"/>
  <c r="AV26" i="63" s="1"/>
  <c r="AW26" i="63"/>
  <c r="AN28" i="56"/>
  <c r="AX27" i="56"/>
  <c r="AT27" i="56"/>
  <c r="AY28" i="58"/>
  <c r="AZ26" i="66"/>
  <c r="AN30" i="58"/>
  <c r="AX29" i="58"/>
  <c r="AT29" i="58"/>
  <c r="AY27" i="67"/>
  <c r="AN29" i="68"/>
  <c r="AX28" i="68"/>
  <c r="AT28" i="68"/>
  <c r="AY27" i="65"/>
  <c r="AY26" i="60"/>
  <c r="AU27" i="64"/>
  <c r="AJ28" i="64"/>
  <c r="AO27" i="64"/>
  <c r="AZ27" i="58"/>
  <c r="AZ26" i="67"/>
  <c r="AJ28" i="68"/>
  <c r="AU27" i="68"/>
  <c r="AO27" i="68"/>
  <c r="AU27" i="60"/>
  <c r="AJ28" i="60"/>
  <c r="AO27" i="60"/>
  <c r="AN29" i="63"/>
  <c r="AX28" i="63"/>
  <c r="AT28" i="63"/>
  <c r="AN28" i="57"/>
  <c r="AX27" i="57"/>
  <c r="AT27" i="57"/>
  <c r="AV27" i="57" s="1"/>
  <c r="AW27" i="57"/>
  <c r="BA25" i="68"/>
  <c r="AZ26" i="63"/>
  <c r="AO27" i="55"/>
  <c r="AU27" i="55"/>
  <c r="AJ28" i="55"/>
  <c r="BC24" i="57"/>
  <c r="BB24" i="66"/>
  <c r="BC24" i="66" s="1"/>
  <c r="AP26" i="59"/>
  <c r="AQ26" i="59" s="1"/>
  <c r="AV26" i="59" s="1"/>
  <c r="AW26" i="59"/>
  <c r="BA25" i="66"/>
  <c r="AY26" i="59"/>
  <c r="AN29" i="62"/>
  <c r="AX28" i="62"/>
  <c r="AT28" i="62"/>
  <c r="BB25" i="58"/>
  <c r="BC25" i="58" s="1"/>
  <c r="AJ28" i="65"/>
  <c r="AU27" i="65"/>
  <c r="AO27" i="65"/>
  <c r="AU27" i="63"/>
  <c r="AJ28" i="63"/>
  <c r="AO27" i="63"/>
  <c r="AN29" i="65"/>
  <c r="AX28" i="65"/>
  <c r="AT28" i="65"/>
  <c r="AN28" i="60"/>
  <c r="AX27" i="60"/>
  <c r="AT27" i="60"/>
  <c r="AY27" i="55"/>
  <c r="AP26" i="62"/>
  <c r="AQ26" i="62" s="1"/>
  <c r="AV26" i="62" s="1"/>
  <c r="AW26" i="62"/>
  <c r="BB24" i="68"/>
  <c r="BC24" i="68" s="1"/>
  <c r="AZ26" i="65"/>
  <c r="AZ26" i="55"/>
  <c r="BB25" i="61"/>
  <c r="BC25" i="61" s="1"/>
  <c r="AP29" i="57"/>
  <c r="AQ29" i="57" s="1"/>
  <c r="AO27" i="59"/>
  <c r="AU27" i="59"/>
  <c r="AJ28" i="59"/>
  <c r="AY27" i="66"/>
  <c r="BA25" i="55"/>
  <c r="AN28" i="59"/>
  <c r="AX27" i="59"/>
  <c r="AT27" i="59"/>
  <c r="AY26" i="56"/>
  <c r="AY27" i="52"/>
  <c r="AZ26" i="48"/>
  <c r="BB24" i="49"/>
  <c r="BC24" i="49" s="1"/>
  <c r="AP26" i="47"/>
  <c r="AQ26" i="47" s="1"/>
  <c r="AV26" i="47" s="1"/>
  <c r="AW26" i="47"/>
  <c r="AP26" i="50"/>
  <c r="AQ26" i="50" s="1"/>
  <c r="AV26" i="50" s="1"/>
  <c r="AW26" i="50"/>
  <c r="AP26" i="53"/>
  <c r="AQ26" i="53" s="1"/>
  <c r="AV26" i="53" s="1"/>
  <c r="AW26" i="53"/>
  <c r="AW26" i="52"/>
  <c r="AP26" i="52"/>
  <c r="AQ26" i="52" s="1"/>
  <c r="AV26" i="52" s="1"/>
  <c r="AU27" i="47"/>
  <c r="AJ28" i="47"/>
  <c r="AO27" i="47"/>
  <c r="AU27" i="49"/>
  <c r="AJ28" i="49"/>
  <c r="AO27" i="49"/>
  <c r="AU27" i="50"/>
  <c r="AJ28" i="50"/>
  <c r="AO27" i="50"/>
  <c r="AY27" i="49"/>
  <c r="AY26" i="53"/>
  <c r="BA25" i="52"/>
  <c r="AU27" i="53"/>
  <c r="AJ28" i="53"/>
  <c r="AO27" i="53"/>
  <c r="AY27" i="48"/>
  <c r="AN29" i="50"/>
  <c r="AX28" i="50"/>
  <c r="AT28" i="50"/>
  <c r="AN30" i="51"/>
  <c r="AX29" i="51"/>
  <c r="AT29" i="51"/>
  <c r="AZ26" i="50"/>
  <c r="AZ27" i="51"/>
  <c r="BB24" i="48"/>
  <c r="BC24" i="48" s="1"/>
  <c r="BC24" i="53"/>
  <c r="AP26" i="54"/>
  <c r="AQ26" i="54" s="1"/>
  <c r="AV26" i="54" s="1"/>
  <c r="AW26" i="54"/>
  <c r="AY27" i="54"/>
  <c r="AO27" i="51"/>
  <c r="AU27" i="51"/>
  <c r="AJ28" i="51"/>
  <c r="AZ26" i="49"/>
  <c r="BC24" i="47"/>
  <c r="AN28" i="47"/>
  <c r="AX27" i="47"/>
  <c r="AT27" i="47"/>
  <c r="AZ25" i="47"/>
  <c r="BA25" i="47" s="1"/>
  <c r="AP26" i="49"/>
  <c r="AQ26" i="49" s="1"/>
  <c r="AV26" i="49" s="1"/>
  <c r="AW26" i="49"/>
  <c r="AN29" i="52"/>
  <c r="AX28" i="52"/>
  <c r="AT28" i="52"/>
  <c r="AU27" i="48"/>
  <c r="AJ28" i="48"/>
  <c r="AO27" i="48"/>
  <c r="AY27" i="50"/>
  <c r="AY28" i="51"/>
  <c r="AZ26" i="54"/>
  <c r="BB25" i="51"/>
  <c r="BC25" i="51" s="1"/>
  <c r="AX28" i="49"/>
  <c r="AT28" i="49"/>
  <c r="AN29" i="49"/>
  <c r="AN28" i="53"/>
  <c r="AX27" i="53"/>
  <c r="AT27" i="53"/>
  <c r="AN29" i="54"/>
  <c r="AX28" i="54"/>
  <c r="AT28" i="54"/>
  <c r="AP26" i="51"/>
  <c r="AQ26" i="51" s="1"/>
  <c r="AV26" i="51" s="1"/>
  <c r="AW26" i="51"/>
  <c r="BA26" i="51" s="1"/>
  <c r="AW26" i="48"/>
  <c r="AP26" i="48"/>
  <c r="AQ26" i="48" s="1"/>
  <c r="AV26" i="48" s="1"/>
  <c r="AN29" i="48"/>
  <c r="AX28" i="48"/>
  <c r="AT28" i="48"/>
  <c r="AZ26" i="52"/>
  <c r="AU27" i="52"/>
  <c r="AJ28" i="52"/>
  <c r="AO27" i="52"/>
  <c r="AZ25" i="53"/>
  <c r="BA25" i="53" s="1"/>
  <c r="AY26" i="47"/>
  <c r="AO27" i="54"/>
  <c r="AU27" i="54"/>
  <c r="AJ28" i="54"/>
  <c r="BA25" i="48"/>
  <c r="BB24" i="43"/>
  <c r="BC24" i="43" s="1"/>
  <c r="AY27" i="45"/>
  <c r="AZ25" i="46"/>
  <c r="BA25" i="46" s="1"/>
  <c r="BB25" i="46" s="1"/>
  <c r="BC24" i="44"/>
  <c r="AN28" i="43"/>
  <c r="AX27" i="43"/>
  <c r="AT27" i="43"/>
  <c r="AN29" i="45"/>
  <c r="AX28" i="45"/>
  <c r="AT28" i="45"/>
  <c r="AP26" i="43"/>
  <c r="AQ26" i="43" s="1"/>
  <c r="AV26" i="43" s="1"/>
  <c r="AW26" i="43"/>
  <c r="AZ26" i="45"/>
  <c r="AV26" i="44"/>
  <c r="BA25" i="45"/>
  <c r="AY26" i="44"/>
  <c r="AY26" i="46"/>
  <c r="BB24" i="45"/>
  <c r="BC24" i="45" s="1"/>
  <c r="AJ28" i="43"/>
  <c r="AO27" i="43"/>
  <c r="AU27" i="43"/>
  <c r="AP27" i="44"/>
  <c r="AQ27" i="44" s="1"/>
  <c r="AW27" i="44"/>
  <c r="AP26" i="46"/>
  <c r="AQ26" i="46" s="1"/>
  <c r="AV26" i="46" s="1"/>
  <c r="AW26" i="46"/>
  <c r="AP26" i="45"/>
  <c r="AQ26" i="45" s="1"/>
  <c r="AV26" i="45" s="1"/>
  <c r="AW26" i="45"/>
  <c r="AZ25" i="44"/>
  <c r="BA25" i="44" s="1"/>
  <c r="BB25" i="44" s="1"/>
  <c r="AJ29" i="44"/>
  <c r="AU28" i="44"/>
  <c r="AO28" i="44"/>
  <c r="AJ28" i="46"/>
  <c r="AO27" i="46"/>
  <c r="AU27" i="46"/>
  <c r="AN28" i="46"/>
  <c r="AX27" i="46"/>
  <c r="AT27" i="46"/>
  <c r="AX27" i="44"/>
  <c r="AT27" i="44"/>
  <c r="AN28" i="44"/>
  <c r="AY26" i="43"/>
  <c r="AZ25" i="43"/>
  <c r="BA25" i="43" s="1"/>
  <c r="BC24" i="46"/>
  <c r="AO27" i="45"/>
  <c r="AJ28" i="45"/>
  <c r="AU27" i="45"/>
  <c r="BB24" i="42"/>
  <c r="BC24" i="42" s="1"/>
  <c r="BB24" i="41"/>
  <c r="BC24" i="41" s="1"/>
  <c r="AY27" i="41"/>
  <c r="AY26" i="42"/>
  <c r="AP26" i="42"/>
  <c r="AQ26" i="42" s="1"/>
  <c r="AV26" i="42" s="1"/>
  <c r="AW26" i="42"/>
  <c r="AP26" i="41"/>
  <c r="AQ26" i="41" s="1"/>
  <c r="AV26" i="41" s="1"/>
  <c r="AW26" i="41"/>
  <c r="AZ25" i="42"/>
  <c r="BA25" i="42" s="1"/>
  <c r="AN29" i="41"/>
  <c r="AX28" i="41"/>
  <c r="AT28" i="41"/>
  <c r="AZ26" i="41"/>
  <c r="AN28" i="42"/>
  <c r="AX27" i="42"/>
  <c r="AT27" i="42"/>
  <c r="AJ28" i="42"/>
  <c r="AU27" i="42"/>
  <c r="AO27" i="42"/>
  <c r="AJ28" i="41"/>
  <c r="AO27" i="41"/>
  <c r="AU27" i="41"/>
  <c r="BB25" i="40"/>
  <c r="BC25" i="40" s="1"/>
  <c r="AN29" i="40"/>
  <c r="AX28" i="40"/>
  <c r="AT28" i="40"/>
  <c r="AP27" i="40"/>
  <c r="AQ27" i="40" s="1"/>
  <c r="AV27" i="40" s="1"/>
  <c r="AW27" i="40"/>
  <c r="AJ29" i="40"/>
  <c r="AU28" i="40"/>
  <c r="AO28" i="40"/>
  <c r="AY27" i="40"/>
  <c r="AZ26" i="40"/>
  <c r="BA26" i="40" s="1"/>
  <c r="BC25" i="67" l="1"/>
  <c r="BC25" i="65"/>
  <c r="BA26" i="62"/>
  <c r="BB26" i="62" s="1"/>
  <c r="BC25" i="54"/>
  <c r="M47" i="63"/>
  <c r="Z28" i="39"/>
  <c r="M46" i="62"/>
  <c r="X27" i="39"/>
  <c r="BC25" i="50"/>
  <c r="BC25" i="63"/>
  <c r="BA26" i="45"/>
  <c r="BB26" i="45" s="1"/>
  <c r="BA26" i="50"/>
  <c r="BB26" i="50" s="1"/>
  <c r="BA26" i="52"/>
  <c r="BA26" i="64"/>
  <c r="BB26" i="64" s="1"/>
  <c r="BB25" i="55"/>
  <c r="BC25" i="55" s="1"/>
  <c r="AP27" i="65"/>
  <c r="AQ27" i="65" s="1"/>
  <c r="AV27" i="65" s="1"/>
  <c r="AW27" i="65"/>
  <c r="AZ26" i="56"/>
  <c r="AW27" i="59"/>
  <c r="AP27" i="59"/>
  <c r="AQ27" i="59" s="1"/>
  <c r="AV27" i="59" s="1"/>
  <c r="AN29" i="60"/>
  <c r="AX28" i="60"/>
  <c r="AT28" i="60"/>
  <c r="AP27" i="63"/>
  <c r="AQ27" i="63" s="1"/>
  <c r="AV27" i="63" s="1"/>
  <c r="AW27" i="63"/>
  <c r="AZ26" i="59"/>
  <c r="AN30" i="63"/>
  <c r="AX29" i="63"/>
  <c r="AT29" i="63"/>
  <c r="AP27" i="64"/>
  <c r="AQ27" i="64" s="1"/>
  <c r="AV27" i="64" s="1"/>
  <c r="AW27" i="64"/>
  <c r="AY28" i="68"/>
  <c r="AN31" i="58"/>
  <c r="AX30" i="58"/>
  <c r="AT30" i="58"/>
  <c r="AZ28" i="58"/>
  <c r="BA26" i="63"/>
  <c r="AZ27" i="62"/>
  <c r="AU28" i="58"/>
  <c r="AJ29" i="58"/>
  <c r="AO28" i="58"/>
  <c r="AZ27" i="64"/>
  <c r="AU31" i="57"/>
  <c r="AJ32" i="57"/>
  <c r="AO31" i="57"/>
  <c r="AP27" i="67"/>
  <c r="AQ27" i="67" s="1"/>
  <c r="AV27" i="67" s="1"/>
  <c r="AW27" i="67"/>
  <c r="BC25" i="59"/>
  <c r="AJ29" i="61"/>
  <c r="AO28" i="61"/>
  <c r="AU28" i="61"/>
  <c r="AY27" i="59"/>
  <c r="AZ27" i="55"/>
  <c r="AJ29" i="63"/>
  <c r="AO28" i="63"/>
  <c r="AU28" i="63"/>
  <c r="AJ29" i="65"/>
  <c r="AO28" i="65"/>
  <c r="AU28" i="65"/>
  <c r="AY28" i="62"/>
  <c r="BB25" i="66"/>
  <c r="BC25" i="66" s="1"/>
  <c r="AJ29" i="55"/>
  <c r="AO28" i="55"/>
  <c r="AU28" i="55"/>
  <c r="AY27" i="57"/>
  <c r="AP27" i="60"/>
  <c r="AQ27" i="60" s="1"/>
  <c r="AV27" i="60" s="1"/>
  <c r="AW27" i="60"/>
  <c r="AP27" i="68"/>
  <c r="AQ27" i="68" s="1"/>
  <c r="AV27" i="68" s="1"/>
  <c r="AW27" i="68"/>
  <c r="AJ29" i="64"/>
  <c r="AO28" i="64"/>
  <c r="AU28" i="64"/>
  <c r="AZ27" i="65"/>
  <c r="AN30" i="68"/>
  <c r="AX29" i="68"/>
  <c r="AT29" i="68"/>
  <c r="AY28" i="64"/>
  <c r="BA26" i="55"/>
  <c r="AZ27" i="63"/>
  <c r="AP27" i="66"/>
  <c r="AQ27" i="66" s="1"/>
  <c r="AV27" i="66" s="1"/>
  <c r="AW27" i="66"/>
  <c r="AY29" i="61"/>
  <c r="AY28" i="66"/>
  <c r="BC25" i="60"/>
  <c r="AW27" i="62"/>
  <c r="AP27" i="62"/>
  <c r="AQ27" i="62" s="1"/>
  <c r="AV27" i="62" s="1"/>
  <c r="AY28" i="55"/>
  <c r="AJ29" i="67"/>
  <c r="AU28" i="67"/>
  <c r="AO28" i="67"/>
  <c r="BA26" i="67"/>
  <c r="AN29" i="59"/>
  <c r="AX28" i="59"/>
  <c r="AT28" i="59"/>
  <c r="AZ27" i="66"/>
  <c r="AU28" i="59"/>
  <c r="AJ29" i="59"/>
  <c r="AO28" i="59"/>
  <c r="AY28" i="65"/>
  <c r="AN30" i="62"/>
  <c r="AX29" i="62"/>
  <c r="AT29" i="62"/>
  <c r="BA26" i="59"/>
  <c r="BB26" i="59" s="1"/>
  <c r="BB25" i="68"/>
  <c r="BC25" i="68" s="1"/>
  <c r="AN29" i="57"/>
  <c r="AX28" i="57"/>
  <c r="AT28" i="57"/>
  <c r="AV28" i="57" s="1"/>
  <c r="AW28" i="57"/>
  <c r="AJ29" i="60"/>
  <c r="AO28" i="60"/>
  <c r="AU28" i="60"/>
  <c r="AZ27" i="67"/>
  <c r="AY27" i="56"/>
  <c r="BA26" i="65"/>
  <c r="AN30" i="64"/>
  <c r="AX29" i="64"/>
  <c r="AT29" i="64"/>
  <c r="BB25" i="62"/>
  <c r="BC25" i="62" s="1"/>
  <c r="BC25" i="57"/>
  <c r="BA26" i="56"/>
  <c r="BB26" i="56" s="1"/>
  <c r="BB25" i="64"/>
  <c r="BC25" i="64" s="1"/>
  <c r="BA26" i="68"/>
  <c r="AJ29" i="66"/>
  <c r="AO28" i="66"/>
  <c r="AU28" i="66"/>
  <c r="AN31" i="61"/>
  <c r="AX30" i="61"/>
  <c r="AT30" i="61"/>
  <c r="BC26" i="62"/>
  <c r="AN30" i="66"/>
  <c r="AX29" i="66"/>
  <c r="AT29" i="66"/>
  <c r="AP30" i="57"/>
  <c r="AQ30" i="57" s="1"/>
  <c r="AP27" i="56"/>
  <c r="AQ27" i="56" s="1"/>
  <c r="AV27" i="56" s="1"/>
  <c r="AW27" i="56"/>
  <c r="BA26" i="66"/>
  <c r="AN30" i="55"/>
  <c r="AX29" i="55"/>
  <c r="AT29" i="55"/>
  <c r="BC25" i="56"/>
  <c r="AY28" i="67"/>
  <c r="AY27" i="60"/>
  <c r="AN30" i="65"/>
  <c r="AX29" i="65"/>
  <c r="AT29" i="65"/>
  <c r="AW27" i="55"/>
  <c r="AP27" i="55"/>
  <c r="AQ27" i="55" s="1"/>
  <c r="AV27" i="55" s="1"/>
  <c r="AY28" i="63"/>
  <c r="AJ29" i="68"/>
  <c r="AO28" i="68"/>
  <c r="AU28" i="68"/>
  <c r="AZ26" i="60"/>
  <c r="BA26" i="60" s="1"/>
  <c r="AY29" i="58"/>
  <c r="AN29" i="56"/>
  <c r="AX28" i="56"/>
  <c r="AT28" i="56"/>
  <c r="AP27" i="58"/>
  <c r="AQ27" i="58" s="1"/>
  <c r="AV27" i="58" s="1"/>
  <c r="AW27" i="58"/>
  <c r="BA27" i="58" s="1"/>
  <c r="AZ26" i="57"/>
  <c r="BA26" i="57" s="1"/>
  <c r="BB26" i="57" s="1"/>
  <c r="AZ27" i="68"/>
  <c r="BB26" i="58"/>
  <c r="BC26" i="58" s="1"/>
  <c r="AO28" i="56"/>
  <c r="AJ29" i="56"/>
  <c r="AU28" i="56"/>
  <c r="AU28" i="62"/>
  <c r="AJ29" i="62"/>
  <c r="AO28" i="62"/>
  <c r="AZ28" i="61"/>
  <c r="AP27" i="61"/>
  <c r="AQ27" i="61" s="1"/>
  <c r="AV27" i="61" s="1"/>
  <c r="AW27" i="61"/>
  <c r="BA27" i="61" s="1"/>
  <c r="BB26" i="61"/>
  <c r="BC26" i="61" s="1"/>
  <c r="AN30" i="67"/>
  <c r="AX29" i="67"/>
  <c r="AT29" i="67"/>
  <c r="BB25" i="47"/>
  <c r="BC25" i="47" s="1"/>
  <c r="BB25" i="53"/>
  <c r="BC25" i="53" s="1"/>
  <c r="AZ27" i="50"/>
  <c r="AY27" i="47"/>
  <c r="AY29" i="51"/>
  <c r="AW27" i="54"/>
  <c r="AP27" i="54"/>
  <c r="AQ27" i="54" s="1"/>
  <c r="AV27" i="54" s="1"/>
  <c r="AN30" i="48"/>
  <c r="AT29" i="48"/>
  <c r="AX29" i="48"/>
  <c r="AY28" i="52"/>
  <c r="AN29" i="47"/>
  <c r="AX28" i="47"/>
  <c r="AT28" i="47"/>
  <c r="AN31" i="51"/>
  <c r="AX30" i="51"/>
  <c r="AT30" i="51"/>
  <c r="AP27" i="47"/>
  <c r="AQ27" i="47" s="1"/>
  <c r="AV27" i="47" s="1"/>
  <c r="AW27" i="47"/>
  <c r="BB25" i="48"/>
  <c r="BC25" i="48" s="1"/>
  <c r="AZ26" i="47"/>
  <c r="BA26" i="47" s="1"/>
  <c r="AP27" i="52"/>
  <c r="AQ27" i="52" s="1"/>
  <c r="AV27" i="52" s="1"/>
  <c r="AW27" i="52"/>
  <c r="AY27" i="53"/>
  <c r="AY28" i="49"/>
  <c r="AZ28" i="51"/>
  <c r="AJ29" i="48"/>
  <c r="AO28" i="48"/>
  <c r="AU28" i="48"/>
  <c r="AN30" i="52"/>
  <c r="AX29" i="52"/>
  <c r="AT29" i="52"/>
  <c r="BA26" i="54"/>
  <c r="AZ27" i="48"/>
  <c r="BB25" i="52"/>
  <c r="BC25" i="52" s="1"/>
  <c r="AZ27" i="49"/>
  <c r="AP27" i="49"/>
  <c r="AQ27" i="49" s="1"/>
  <c r="AV27" i="49" s="1"/>
  <c r="AW27" i="49"/>
  <c r="AJ29" i="47"/>
  <c r="AO28" i="47"/>
  <c r="AU28" i="47"/>
  <c r="AY28" i="48"/>
  <c r="BB26" i="51"/>
  <c r="BC26" i="51" s="1"/>
  <c r="AN30" i="54"/>
  <c r="AX29" i="54"/>
  <c r="AT29" i="54"/>
  <c r="AN30" i="49"/>
  <c r="AX29" i="49"/>
  <c r="AT29" i="49"/>
  <c r="AN30" i="50"/>
  <c r="AT29" i="50"/>
  <c r="AX29" i="50"/>
  <c r="AJ29" i="53"/>
  <c r="AO28" i="53"/>
  <c r="AU28" i="53"/>
  <c r="AJ29" i="50"/>
  <c r="AO28" i="50"/>
  <c r="AU28" i="50"/>
  <c r="AP27" i="48"/>
  <c r="AQ27" i="48" s="1"/>
  <c r="AV27" i="48" s="1"/>
  <c r="AW27" i="48"/>
  <c r="AU28" i="51"/>
  <c r="AJ29" i="51"/>
  <c r="AO28" i="51"/>
  <c r="AZ27" i="54"/>
  <c r="AU28" i="54"/>
  <c r="AJ29" i="54"/>
  <c r="AO28" i="54"/>
  <c r="AO28" i="52"/>
  <c r="AU28" i="52"/>
  <c r="AJ29" i="52"/>
  <c r="BA26" i="48"/>
  <c r="AY28" i="54"/>
  <c r="AN29" i="53"/>
  <c r="AX28" i="53"/>
  <c r="AT28" i="53"/>
  <c r="BA26" i="49"/>
  <c r="AW27" i="51"/>
  <c r="BA27" i="51" s="1"/>
  <c r="AP27" i="51"/>
  <c r="AQ27" i="51" s="1"/>
  <c r="AV27" i="51" s="1"/>
  <c r="AY28" i="50"/>
  <c r="AP27" i="53"/>
  <c r="AQ27" i="53" s="1"/>
  <c r="AV27" i="53" s="1"/>
  <c r="AW27" i="53"/>
  <c r="AZ26" i="53"/>
  <c r="BA26" i="53" s="1"/>
  <c r="AP27" i="50"/>
  <c r="AQ27" i="50" s="1"/>
  <c r="AV27" i="50" s="1"/>
  <c r="AW27" i="50"/>
  <c r="AJ29" i="49"/>
  <c r="AO28" i="49"/>
  <c r="AU28" i="49"/>
  <c r="AZ27" i="52"/>
  <c r="BB25" i="43"/>
  <c r="BC25" i="43" s="1"/>
  <c r="AN29" i="44"/>
  <c r="AX28" i="44"/>
  <c r="AT28" i="44"/>
  <c r="AY27" i="46"/>
  <c r="AU28" i="46"/>
  <c r="AJ29" i="46"/>
  <c r="AO28" i="46"/>
  <c r="AY27" i="44"/>
  <c r="AN29" i="46"/>
  <c r="AX28" i="46"/>
  <c r="AT28" i="46"/>
  <c r="AP28" i="44"/>
  <c r="AQ28" i="44" s="1"/>
  <c r="AW28" i="44"/>
  <c r="BC25" i="44"/>
  <c r="AP27" i="43"/>
  <c r="AQ27" i="43" s="1"/>
  <c r="AV27" i="43" s="1"/>
  <c r="AW27" i="43"/>
  <c r="BB25" i="45"/>
  <c r="BC25" i="45" s="1"/>
  <c r="AY28" i="45"/>
  <c r="AT28" i="43"/>
  <c r="AN29" i="43"/>
  <c r="AX28" i="43"/>
  <c r="AZ26" i="43"/>
  <c r="BA26" i="43" s="1"/>
  <c r="BB26" i="43" s="1"/>
  <c r="AU28" i="43"/>
  <c r="AJ29" i="43"/>
  <c r="AO28" i="43"/>
  <c r="AZ26" i="46"/>
  <c r="BA26" i="46" s="1"/>
  <c r="BB26" i="46" s="1"/>
  <c r="AX29" i="45"/>
  <c r="AT29" i="45"/>
  <c r="AN30" i="45"/>
  <c r="AZ27" i="45"/>
  <c r="AP27" i="46"/>
  <c r="AQ27" i="46" s="1"/>
  <c r="AV27" i="46" s="1"/>
  <c r="AW27" i="46"/>
  <c r="AJ30" i="44"/>
  <c r="AU29" i="44"/>
  <c r="AO29" i="44"/>
  <c r="AV27" i="44"/>
  <c r="AJ29" i="45"/>
  <c r="AU28" i="45"/>
  <c r="AO28" i="45"/>
  <c r="AW27" i="45"/>
  <c r="AP27" i="45"/>
  <c r="AQ27" i="45" s="1"/>
  <c r="AV27" i="45" s="1"/>
  <c r="AZ26" i="44"/>
  <c r="BA26" i="44" s="1"/>
  <c r="BB26" i="44" s="1"/>
  <c r="AY27" i="43"/>
  <c r="BC25" i="46"/>
  <c r="BB25" i="42"/>
  <c r="BC25" i="42" s="1"/>
  <c r="AP27" i="42"/>
  <c r="AQ27" i="42" s="1"/>
  <c r="AV27" i="42" s="1"/>
  <c r="AW27" i="42"/>
  <c r="AP27" i="41"/>
  <c r="AQ27" i="41" s="1"/>
  <c r="AV27" i="41" s="1"/>
  <c r="AW27" i="41"/>
  <c r="AN29" i="42"/>
  <c r="AX28" i="42"/>
  <c r="AT28" i="42"/>
  <c r="AY28" i="41"/>
  <c r="BA26" i="41"/>
  <c r="AZ26" i="42"/>
  <c r="BA26" i="42" s="1"/>
  <c r="AJ29" i="41"/>
  <c r="AO28" i="41"/>
  <c r="AU28" i="41"/>
  <c r="AU28" i="42"/>
  <c r="AJ29" i="42"/>
  <c r="AO28" i="42"/>
  <c r="AN30" i="41"/>
  <c r="AX29" i="41"/>
  <c r="AT29" i="41"/>
  <c r="AZ27" i="41"/>
  <c r="AY27" i="42"/>
  <c r="BB26" i="40"/>
  <c r="BC26" i="40" s="1"/>
  <c r="AY28" i="40"/>
  <c r="AP28" i="40"/>
  <c r="AQ28" i="40" s="1"/>
  <c r="AV28" i="40" s="1"/>
  <c r="AW28" i="40"/>
  <c r="AN30" i="40"/>
  <c r="AX29" i="40"/>
  <c r="AT29" i="40"/>
  <c r="AZ27" i="40"/>
  <c r="BA27" i="40" s="1"/>
  <c r="AJ30" i="40"/>
  <c r="AO29" i="40"/>
  <c r="AU29" i="40"/>
  <c r="M47" i="64" l="1"/>
  <c r="Z29" i="39"/>
  <c r="M46" i="63"/>
  <c r="X28" i="39"/>
  <c r="BC26" i="50"/>
  <c r="BC26" i="45"/>
  <c r="BA27" i="50"/>
  <c r="BB27" i="50" s="1"/>
  <c r="BA27" i="55"/>
  <c r="BB27" i="55" s="1"/>
  <c r="BC26" i="64"/>
  <c r="BA27" i="62"/>
  <c r="BB27" i="62" s="1"/>
  <c r="AV28" i="44"/>
  <c r="BC26" i="57"/>
  <c r="BB26" i="53"/>
  <c r="BC26" i="53" s="1"/>
  <c r="BA27" i="54"/>
  <c r="BB27" i="54" s="1"/>
  <c r="BB26" i="52"/>
  <c r="BC26" i="52" s="1"/>
  <c r="BA27" i="49"/>
  <c r="BB27" i="49" s="1"/>
  <c r="BB26" i="60"/>
  <c r="BC26" i="60" s="1"/>
  <c r="BB27" i="61"/>
  <c r="BC27" i="61" s="1"/>
  <c r="AJ30" i="56"/>
  <c r="AU29" i="56"/>
  <c r="AO29" i="56"/>
  <c r="AN31" i="67"/>
  <c r="AX30" i="67"/>
  <c r="AT30" i="67"/>
  <c r="AO29" i="62"/>
  <c r="AU29" i="62"/>
  <c r="AJ30" i="62"/>
  <c r="AW28" i="56"/>
  <c r="AP28" i="56"/>
  <c r="AQ28" i="56" s="1"/>
  <c r="AV28" i="56" s="1"/>
  <c r="AZ29" i="58"/>
  <c r="AY29" i="65"/>
  <c r="AZ28" i="67"/>
  <c r="AN31" i="66"/>
  <c r="AX30" i="66"/>
  <c r="AT30" i="66"/>
  <c r="AN32" i="61"/>
  <c r="AX31" i="61"/>
  <c r="AT31" i="61"/>
  <c r="BB26" i="68"/>
  <c r="BC26" i="68" s="1"/>
  <c r="AN31" i="62"/>
  <c r="AX30" i="62"/>
  <c r="AT30" i="62"/>
  <c r="AO29" i="59"/>
  <c r="AU29" i="59"/>
  <c r="AJ30" i="59"/>
  <c r="BB26" i="67"/>
  <c r="BC26" i="67" s="1"/>
  <c r="AZ28" i="55"/>
  <c r="BA27" i="66"/>
  <c r="BB26" i="55"/>
  <c r="BC26" i="55" s="1"/>
  <c r="AY29" i="68"/>
  <c r="AP28" i="65"/>
  <c r="AQ28" i="65" s="1"/>
  <c r="AV28" i="65" s="1"/>
  <c r="AW28" i="65"/>
  <c r="AU29" i="63"/>
  <c r="AJ30" i="63"/>
  <c r="AO29" i="63"/>
  <c r="AZ27" i="59"/>
  <c r="BA27" i="59" s="1"/>
  <c r="BB27" i="59" s="1"/>
  <c r="AO32" i="57"/>
  <c r="AU32" i="57"/>
  <c r="AJ33" i="57"/>
  <c r="AP28" i="58"/>
  <c r="AQ28" i="58" s="1"/>
  <c r="AV28" i="58" s="1"/>
  <c r="AW28" i="58"/>
  <c r="BA28" i="58" s="1"/>
  <c r="AY29" i="63"/>
  <c r="BC26" i="59"/>
  <c r="AY28" i="60"/>
  <c r="BC26" i="56"/>
  <c r="AP28" i="68"/>
  <c r="AQ28" i="68" s="1"/>
  <c r="AV28" i="68" s="1"/>
  <c r="AW28" i="68"/>
  <c r="AN31" i="65"/>
  <c r="AX30" i="65"/>
  <c r="AT30" i="65"/>
  <c r="AY29" i="55"/>
  <c r="AY29" i="64"/>
  <c r="AZ27" i="56"/>
  <c r="BA27" i="56" s="1"/>
  <c r="BB27" i="56" s="1"/>
  <c r="AP28" i="60"/>
  <c r="AQ28" i="60" s="1"/>
  <c r="AV28" i="60" s="1"/>
  <c r="AW28" i="60"/>
  <c r="AY28" i="57"/>
  <c r="AZ28" i="65"/>
  <c r="AY28" i="59"/>
  <c r="AP28" i="67"/>
  <c r="AQ28" i="67" s="1"/>
  <c r="AV28" i="67" s="1"/>
  <c r="AW28" i="67"/>
  <c r="BA28" i="67" s="1"/>
  <c r="BB28" i="67" s="1"/>
  <c r="AZ28" i="66"/>
  <c r="AZ28" i="64"/>
  <c r="AN31" i="68"/>
  <c r="AX30" i="68"/>
  <c r="AT30" i="68"/>
  <c r="AP28" i="64"/>
  <c r="AQ28" i="64" s="1"/>
  <c r="AV28" i="64" s="1"/>
  <c r="AW28" i="64"/>
  <c r="AP28" i="55"/>
  <c r="AQ28" i="55" s="1"/>
  <c r="AV28" i="55" s="1"/>
  <c r="AW28" i="55"/>
  <c r="AJ30" i="65"/>
  <c r="AO29" i="65"/>
  <c r="AU29" i="65"/>
  <c r="BA27" i="67"/>
  <c r="AJ30" i="58"/>
  <c r="AO29" i="58"/>
  <c r="AU29" i="58"/>
  <c r="BB26" i="63"/>
  <c r="BC26" i="63" s="1"/>
  <c r="AY30" i="58"/>
  <c r="BA27" i="64"/>
  <c r="AN31" i="63"/>
  <c r="AX30" i="63"/>
  <c r="AT30" i="63"/>
  <c r="BA27" i="63"/>
  <c r="AN30" i="60"/>
  <c r="AX29" i="60"/>
  <c r="AT29" i="60"/>
  <c r="AY28" i="56"/>
  <c r="AJ30" i="68"/>
  <c r="AO29" i="68"/>
  <c r="AU29" i="68"/>
  <c r="AN31" i="55"/>
  <c r="AX30" i="55"/>
  <c r="AT30" i="55"/>
  <c r="AP28" i="66"/>
  <c r="AQ28" i="66" s="1"/>
  <c r="AV28" i="66" s="1"/>
  <c r="AW28" i="66"/>
  <c r="AN31" i="64"/>
  <c r="AX30" i="64"/>
  <c r="AT30" i="64"/>
  <c r="AU29" i="60"/>
  <c r="AJ30" i="60"/>
  <c r="AO29" i="60"/>
  <c r="AN30" i="57"/>
  <c r="AX29" i="57"/>
  <c r="AT29" i="57"/>
  <c r="AV29" i="57" s="1"/>
  <c r="AW29" i="57"/>
  <c r="AN30" i="59"/>
  <c r="AX29" i="59"/>
  <c r="AT29" i="59"/>
  <c r="AZ29" i="61"/>
  <c r="AU29" i="64"/>
  <c r="AJ30" i="64"/>
  <c r="AO29" i="64"/>
  <c r="AO29" i="55"/>
  <c r="AU29" i="55"/>
  <c r="AJ30" i="55"/>
  <c r="AZ28" i="62"/>
  <c r="AP28" i="61"/>
  <c r="AQ28" i="61" s="1"/>
  <c r="AV28" i="61" s="1"/>
  <c r="AW28" i="61"/>
  <c r="BA28" i="61" s="1"/>
  <c r="AN32" i="58"/>
  <c r="AX31" i="58"/>
  <c r="AT31" i="58"/>
  <c r="BA27" i="65"/>
  <c r="AY29" i="67"/>
  <c r="AP28" i="62"/>
  <c r="AQ28" i="62" s="1"/>
  <c r="AV28" i="62" s="1"/>
  <c r="AW28" i="62"/>
  <c r="BB27" i="58"/>
  <c r="BC27" i="58" s="1"/>
  <c r="AN30" i="56"/>
  <c r="AX29" i="56"/>
  <c r="AT29" i="56"/>
  <c r="AZ28" i="63"/>
  <c r="AZ27" i="60"/>
  <c r="BA27" i="60" s="1"/>
  <c r="BB26" i="66"/>
  <c r="BC26" i="66" s="1"/>
  <c r="AY29" i="66"/>
  <c r="AY30" i="61"/>
  <c r="AJ30" i="66"/>
  <c r="AU29" i="66"/>
  <c r="AO29" i="66"/>
  <c r="BB26" i="65"/>
  <c r="BC26" i="65" s="1"/>
  <c r="AY29" i="62"/>
  <c r="AP28" i="59"/>
  <c r="AQ28" i="59" s="1"/>
  <c r="AV28" i="59" s="1"/>
  <c r="AW28" i="59"/>
  <c r="AJ30" i="67"/>
  <c r="AO29" i="67"/>
  <c r="AU29" i="67"/>
  <c r="BA27" i="68"/>
  <c r="AZ27" i="57"/>
  <c r="BA27" i="57" s="1"/>
  <c r="BB27" i="57" s="1"/>
  <c r="BC27" i="57" s="1"/>
  <c r="AP28" i="63"/>
  <c r="AQ28" i="63" s="1"/>
  <c r="AV28" i="63" s="1"/>
  <c r="AW28" i="63"/>
  <c r="AJ30" i="61"/>
  <c r="AO29" i="61"/>
  <c r="AU29" i="61"/>
  <c r="AP31" i="57"/>
  <c r="AQ31" i="57" s="1"/>
  <c r="AZ28" i="68"/>
  <c r="BB26" i="47"/>
  <c r="BC26" i="47" s="1"/>
  <c r="BB26" i="49"/>
  <c r="BC26" i="49" s="1"/>
  <c r="AZ27" i="53"/>
  <c r="BA27" i="53" s="1"/>
  <c r="BB27" i="53" s="1"/>
  <c r="AW28" i="52"/>
  <c r="AP28" i="52"/>
  <c r="AQ28" i="52" s="1"/>
  <c r="AV28" i="52" s="1"/>
  <c r="AP28" i="53"/>
  <c r="AQ28" i="53" s="1"/>
  <c r="AV28" i="53" s="1"/>
  <c r="AW28" i="53"/>
  <c r="AN31" i="50"/>
  <c r="AX30" i="50"/>
  <c r="AT30" i="50"/>
  <c r="AW28" i="48"/>
  <c r="AP28" i="48"/>
  <c r="AQ28" i="48" s="1"/>
  <c r="AV28" i="48" s="1"/>
  <c r="AZ28" i="49"/>
  <c r="AY28" i="47"/>
  <c r="AY29" i="48"/>
  <c r="AZ27" i="47"/>
  <c r="BA27" i="47" s="1"/>
  <c r="BB27" i="47" s="1"/>
  <c r="AZ28" i="48"/>
  <c r="AP28" i="49"/>
  <c r="AQ28" i="49" s="1"/>
  <c r="AV28" i="49" s="1"/>
  <c r="AW28" i="49"/>
  <c r="AZ28" i="50"/>
  <c r="AP28" i="51"/>
  <c r="AQ28" i="51" s="1"/>
  <c r="AV28" i="51" s="1"/>
  <c r="AW28" i="51"/>
  <c r="BA28" i="51" s="1"/>
  <c r="AN31" i="49"/>
  <c r="AT30" i="49"/>
  <c r="AX30" i="49"/>
  <c r="BB26" i="54"/>
  <c r="BC26" i="54" s="1"/>
  <c r="AZ28" i="52"/>
  <c r="AJ30" i="49"/>
  <c r="AU29" i="49"/>
  <c r="AO29" i="49"/>
  <c r="AZ28" i="54"/>
  <c r="AO29" i="51"/>
  <c r="AU29" i="51"/>
  <c r="AJ30" i="51"/>
  <c r="BA27" i="52"/>
  <c r="AY28" i="53"/>
  <c r="BB26" i="48"/>
  <c r="BC26" i="48" s="1"/>
  <c r="AP28" i="54"/>
  <c r="AQ28" i="54" s="1"/>
  <c r="AV28" i="54" s="1"/>
  <c r="AW28" i="54"/>
  <c r="AP28" i="50"/>
  <c r="AQ28" i="50" s="1"/>
  <c r="AV28" i="50" s="1"/>
  <c r="AW28" i="50"/>
  <c r="AU29" i="53"/>
  <c r="AJ30" i="53"/>
  <c r="AO29" i="53"/>
  <c r="AY29" i="54"/>
  <c r="AP28" i="47"/>
  <c r="AQ28" i="47" s="1"/>
  <c r="AV28" i="47" s="1"/>
  <c r="AW28" i="47"/>
  <c r="AY29" i="52"/>
  <c r="AJ30" i="48"/>
  <c r="AU29" i="48"/>
  <c r="AO29" i="48"/>
  <c r="AY30" i="51"/>
  <c r="AN30" i="47"/>
  <c r="AX29" i="47"/>
  <c r="AT29" i="47"/>
  <c r="BB27" i="51"/>
  <c r="BC27" i="51" s="1"/>
  <c r="AN30" i="53"/>
  <c r="AX29" i="53"/>
  <c r="AT29" i="53"/>
  <c r="AU29" i="52"/>
  <c r="AJ30" i="52"/>
  <c r="AO29" i="52"/>
  <c r="AJ30" i="54"/>
  <c r="AO29" i="54"/>
  <c r="AU29" i="54"/>
  <c r="BA27" i="48"/>
  <c r="AJ30" i="50"/>
  <c r="AU29" i="50"/>
  <c r="AO29" i="50"/>
  <c r="AY29" i="50"/>
  <c r="AY29" i="49"/>
  <c r="AN31" i="54"/>
  <c r="AX30" i="54"/>
  <c r="AT30" i="54"/>
  <c r="AU29" i="47"/>
  <c r="AJ30" i="47"/>
  <c r="AO29" i="47"/>
  <c r="AN31" i="52"/>
  <c r="AX30" i="52"/>
  <c r="AT30" i="52"/>
  <c r="AX31" i="51"/>
  <c r="AN32" i="51"/>
  <c r="AT31" i="51"/>
  <c r="AN31" i="48"/>
  <c r="AX30" i="48"/>
  <c r="AT30" i="48"/>
  <c r="AZ29" i="51"/>
  <c r="AJ30" i="45"/>
  <c r="AU29" i="45"/>
  <c r="AO29" i="45"/>
  <c r="AJ31" i="44"/>
  <c r="AU30" i="44"/>
  <c r="AO30" i="44"/>
  <c r="AJ30" i="43"/>
  <c r="AO29" i="43"/>
  <c r="AU29" i="43"/>
  <c r="AZ28" i="45"/>
  <c r="AZ27" i="44"/>
  <c r="BA27" i="44" s="1"/>
  <c r="BB27" i="44" s="1"/>
  <c r="AY28" i="44"/>
  <c r="AZ27" i="43"/>
  <c r="BA27" i="43" s="1"/>
  <c r="BC26" i="44"/>
  <c r="BA27" i="45"/>
  <c r="AN31" i="45"/>
  <c r="AX30" i="45"/>
  <c r="AT30" i="45"/>
  <c r="BC26" i="46"/>
  <c r="AY28" i="43"/>
  <c r="AZ27" i="46"/>
  <c r="BA27" i="46" s="1"/>
  <c r="AN30" i="44"/>
  <c r="AT29" i="44"/>
  <c r="AX29" i="44"/>
  <c r="AP28" i="45"/>
  <c r="AQ28" i="45" s="1"/>
  <c r="AV28" i="45" s="1"/>
  <c r="AW28" i="45"/>
  <c r="BA28" i="45" s="1"/>
  <c r="BB28" i="45" s="1"/>
  <c r="AP29" i="44"/>
  <c r="AQ29" i="44" s="1"/>
  <c r="AV29" i="44" s="1"/>
  <c r="AW29" i="44"/>
  <c r="AN30" i="43"/>
  <c r="AX29" i="43"/>
  <c r="AT29" i="43"/>
  <c r="AY28" i="46"/>
  <c r="AP28" i="46"/>
  <c r="AQ28" i="46" s="1"/>
  <c r="AV28" i="46" s="1"/>
  <c r="AW28" i="46"/>
  <c r="AY29" i="45"/>
  <c r="AP28" i="43"/>
  <c r="AQ28" i="43" s="1"/>
  <c r="AV28" i="43" s="1"/>
  <c r="AW28" i="43"/>
  <c r="BC26" i="43"/>
  <c r="AN30" i="46"/>
  <c r="AX29" i="46"/>
  <c r="AT29" i="46"/>
  <c r="AJ30" i="46"/>
  <c r="AO29" i="46"/>
  <c r="AU29" i="46"/>
  <c r="BB26" i="42"/>
  <c r="BC26" i="42" s="1"/>
  <c r="AZ27" i="42"/>
  <c r="BA27" i="42" s="1"/>
  <c r="BB27" i="42" s="1"/>
  <c r="AP28" i="42"/>
  <c r="AQ28" i="42" s="1"/>
  <c r="AV28" i="42" s="1"/>
  <c r="AW28" i="42"/>
  <c r="AP28" i="41"/>
  <c r="AQ28" i="41" s="1"/>
  <c r="AV28" i="41" s="1"/>
  <c r="AW28" i="41"/>
  <c r="BB26" i="41"/>
  <c r="BC26" i="41" s="1"/>
  <c r="AY28" i="42"/>
  <c r="AJ30" i="42"/>
  <c r="AO29" i="42"/>
  <c r="AU29" i="42"/>
  <c r="AJ30" i="41"/>
  <c r="AO29" i="41"/>
  <c r="AU29" i="41"/>
  <c r="AZ28" i="41"/>
  <c r="AN30" i="42"/>
  <c r="AX29" i="42"/>
  <c r="AT29" i="42"/>
  <c r="AY29" i="41"/>
  <c r="BA27" i="41"/>
  <c r="AN31" i="41"/>
  <c r="AX30" i="41"/>
  <c r="AT30" i="41"/>
  <c r="BB27" i="40"/>
  <c r="BC27" i="40" s="1"/>
  <c r="AZ28" i="40"/>
  <c r="BA28" i="40" s="1"/>
  <c r="AN31" i="40"/>
  <c r="AX30" i="40"/>
  <c r="AT30" i="40"/>
  <c r="AJ31" i="40"/>
  <c r="AO30" i="40"/>
  <c r="AU30" i="40"/>
  <c r="AP29" i="40"/>
  <c r="AQ29" i="40" s="1"/>
  <c r="AV29" i="40" s="1"/>
  <c r="AW29" i="40"/>
  <c r="AY29" i="40"/>
  <c r="M47" i="65" l="1"/>
  <c r="Z30" i="39"/>
  <c r="M46" i="64"/>
  <c r="X29" i="39"/>
  <c r="BC27" i="50"/>
  <c r="BA28" i="63"/>
  <c r="BB28" i="63" s="1"/>
  <c r="BC27" i="49"/>
  <c r="BC27" i="54"/>
  <c r="BC27" i="62"/>
  <c r="BC27" i="55"/>
  <c r="BA28" i="55"/>
  <c r="BB28" i="55" s="1"/>
  <c r="BA28" i="66"/>
  <c r="BB28" i="66" s="1"/>
  <c r="BA28" i="50"/>
  <c r="BB28" i="50" s="1"/>
  <c r="BC28" i="50" s="1"/>
  <c r="BA28" i="62"/>
  <c r="BB28" i="62" s="1"/>
  <c r="BA28" i="64"/>
  <c r="BB28" i="64" s="1"/>
  <c r="BB27" i="60"/>
  <c r="BC27" i="60" s="1"/>
  <c r="AP29" i="61"/>
  <c r="AQ29" i="61" s="1"/>
  <c r="AV29" i="61" s="1"/>
  <c r="AW29" i="61"/>
  <c r="BA29" i="61" s="1"/>
  <c r="AZ29" i="66"/>
  <c r="AN33" i="58"/>
  <c r="AX32" i="58"/>
  <c r="AT32" i="58"/>
  <c r="AP29" i="64"/>
  <c r="AQ29" i="64" s="1"/>
  <c r="AV29" i="64" s="1"/>
  <c r="AW29" i="64"/>
  <c r="AP29" i="60"/>
  <c r="AQ29" i="60" s="1"/>
  <c r="AV29" i="60" s="1"/>
  <c r="AW29" i="60"/>
  <c r="AY30" i="64"/>
  <c r="BB27" i="63"/>
  <c r="BC27" i="63" s="1"/>
  <c r="AY30" i="63"/>
  <c r="AZ30" i="58"/>
  <c r="AP29" i="58"/>
  <c r="AQ29" i="58" s="1"/>
  <c r="AV29" i="58" s="1"/>
  <c r="AW29" i="58"/>
  <c r="BA29" i="58" s="1"/>
  <c r="AY30" i="68"/>
  <c r="AZ28" i="57"/>
  <c r="BA28" i="57" s="1"/>
  <c r="BB28" i="57" s="1"/>
  <c r="AN32" i="65"/>
  <c r="AX31" i="65"/>
  <c r="AT31" i="65"/>
  <c r="AZ28" i="60"/>
  <c r="BA28" i="60" s="1"/>
  <c r="BB28" i="60" s="1"/>
  <c r="AZ29" i="63"/>
  <c r="AP29" i="63"/>
  <c r="AQ29" i="63" s="1"/>
  <c r="AV29" i="63" s="1"/>
  <c r="AW29" i="63"/>
  <c r="BC28" i="55"/>
  <c r="AN32" i="62"/>
  <c r="AX31" i="62"/>
  <c r="AT31" i="62"/>
  <c r="AY31" i="61"/>
  <c r="AN32" i="66"/>
  <c r="AX31" i="66"/>
  <c r="AT31" i="66"/>
  <c r="AN32" i="67"/>
  <c r="AX31" i="67"/>
  <c r="AT31" i="67"/>
  <c r="AU30" i="61"/>
  <c r="AJ31" i="61"/>
  <c r="AO30" i="61"/>
  <c r="AU30" i="66"/>
  <c r="AJ31" i="66"/>
  <c r="AO30" i="66"/>
  <c r="AY29" i="56"/>
  <c r="BB27" i="65"/>
  <c r="BC27" i="65" s="1"/>
  <c r="BB28" i="61"/>
  <c r="BC28" i="61" s="1"/>
  <c r="AJ31" i="55"/>
  <c r="AO30" i="55"/>
  <c r="AU30" i="55"/>
  <c r="AJ31" i="64"/>
  <c r="AO30" i="64"/>
  <c r="AU30" i="64"/>
  <c r="AJ31" i="60"/>
  <c r="AO30" i="60"/>
  <c r="AU30" i="60"/>
  <c r="AN32" i="64"/>
  <c r="AX31" i="64"/>
  <c r="AT31" i="64"/>
  <c r="AP29" i="68"/>
  <c r="AQ29" i="68" s="1"/>
  <c r="AV29" i="68" s="1"/>
  <c r="AW29" i="68"/>
  <c r="AN32" i="63"/>
  <c r="AX31" i="63"/>
  <c r="AT31" i="63"/>
  <c r="AU30" i="58"/>
  <c r="AJ31" i="58"/>
  <c r="AO30" i="58"/>
  <c r="AP29" i="65"/>
  <c r="AQ29" i="65" s="1"/>
  <c r="AV29" i="65" s="1"/>
  <c r="AW29" i="65"/>
  <c r="AN32" i="68"/>
  <c r="AX31" i="68"/>
  <c r="AT31" i="68"/>
  <c r="AZ28" i="59"/>
  <c r="BA28" i="59" s="1"/>
  <c r="BC27" i="56"/>
  <c r="AZ29" i="55"/>
  <c r="BA28" i="68"/>
  <c r="BB28" i="58"/>
  <c r="BC28" i="58" s="1"/>
  <c r="AP32" i="57"/>
  <c r="AQ32" i="57" s="1"/>
  <c r="AJ31" i="63"/>
  <c r="AO30" i="63"/>
  <c r="AU30" i="63"/>
  <c r="AW29" i="59"/>
  <c r="AP29" i="59"/>
  <c r="AQ29" i="59" s="1"/>
  <c r="AV29" i="59" s="1"/>
  <c r="AN33" i="61"/>
  <c r="AX32" i="61"/>
  <c r="AT32" i="61"/>
  <c r="AZ29" i="65"/>
  <c r="AW29" i="62"/>
  <c r="AP29" i="62"/>
  <c r="AQ29" i="62" s="1"/>
  <c r="AV29" i="62" s="1"/>
  <c r="AP29" i="56"/>
  <c r="AQ29" i="56" s="1"/>
  <c r="AV29" i="56" s="1"/>
  <c r="AW29" i="56"/>
  <c r="BB27" i="68"/>
  <c r="BC27" i="68" s="1"/>
  <c r="AP29" i="67"/>
  <c r="AQ29" i="67" s="1"/>
  <c r="AV29" i="67" s="1"/>
  <c r="AW29" i="67"/>
  <c r="AX30" i="56"/>
  <c r="AN31" i="56"/>
  <c r="AT30" i="56"/>
  <c r="AY29" i="59"/>
  <c r="AY29" i="57"/>
  <c r="AY30" i="55"/>
  <c r="AJ31" i="68"/>
  <c r="AO30" i="68"/>
  <c r="AU30" i="68"/>
  <c r="AY29" i="60"/>
  <c r="BB27" i="64"/>
  <c r="BC27" i="64" s="1"/>
  <c r="BB27" i="67"/>
  <c r="BC27" i="67" s="1"/>
  <c r="AJ31" i="65"/>
  <c r="AO30" i="65"/>
  <c r="AU30" i="65"/>
  <c r="BC27" i="59"/>
  <c r="AJ31" i="67"/>
  <c r="AO30" i="67"/>
  <c r="AU30" i="67"/>
  <c r="AZ29" i="62"/>
  <c r="AP29" i="66"/>
  <c r="AQ29" i="66" s="1"/>
  <c r="AV29" i="66" s="1"/>
  <c r="AW29" i="66"/>
  <c r="AZ30" i="61"/>
  <c r="AZ29" i="67"/>
  <c r="AY31" i="58"/>
  <c r="AW29" i="55"/>
  <c r="AP29" i="55"/>
  <c r="AQ29" i="55" s="1"/>
  <c r="AV29" i="55" s="1"/>
  <c r="AN31" i="59"/>
  <c r="AX30" i="59"/>
  <c r="AT30" i="59"/>
  <c r="AN31" i="57"/>
  <c r="AX30" i="57"/>
  <c r="AT30" i="57"/>
  <c r="AV30" i="57" s="1"/>
  <c r="AW30" i="57"/>
  <c r="AN32" i="55"/>
  <c r="AX31" i="55"/>
  <c r="AT31" i="55"/>
  <c r="AZ28" i="56"/>
  <c r="BA28" i="56" s="1"/>
  <c r="AN31" i="60"/>
  <c r="AX30" i="60"/>
  <c r="AT30" i="60"/>
  <c r="AZ29" i="64"/>
  <c r="AY30" i="65"/>
  <c r="AU33" i="57"/>
  <c r="AJ34" i="57"/>
  <c r="AO33" i="57"/>
  <c r="BA28" i="65"/>
  <c r="AZ29" i="68"/>
  <c r="BB27" i="66"/>
  <c r="BC27" i="66" s="1"/>
  <c r="AU30" i="59"/>
  <c r="AJ31" i="59"/>
  <c r="AO30" i="59"/>
  <c r="AY30" i="62"/>
  <c r="AY30" i="66"/>
  <c r="BC28" i="67"/>
  <c r="AU30" i="62"/>
  <c r="AJ31" i="62"/>
  <c r="AO30" i="62"/>
  <c r="AY30" i="67"/>
  <c r="AO30" i="56"/>
  <c r="AU30" i="56"/>
  <c r="AJ31" i="56"/>
  <c r="AJ31" i="47"/>
  <c r="AO30" i="47"/>
  <c r="AU30" i="47"/>
  <c r="AN32" i="54"/>
  <c r="AX31" i="54"/>
  <c r="AT31" i="54"/>
  <c r="BB27" i="48"/>
  <c r="BC27" i="48" s="1"/>
  <c r="AY29" i="53"/>
  <c r="AZ30" i="51"/>
  <c r="AW29" i="51"/>
  <c r="BA29" i="51" s="1"/>
  <c r="AP29" i="51"/>
  <c r="AQ29" i="51" s="1"/>
  <c r="AV29" i="51" s="1"/>
  <c r="AN32" i="49"/>
  <c r="AX31" i="49"/>
  <c r="AT31" i="49"/>
  <c r="AZ29" i="48"/>
  <c r="AY30" i="50"/>
  <c r="AN33" i="51"/>
  <c r="AX32" i="51"/>
  <c r="AT32" i="51"/>
  <c r="AY30" i="52"/>
  <c r="AZ29" i="49"/>
  <c r="AW29" i="50"/>
  <c r="AP29" i="50"/>
  <c r="AQ29" i="50" s="1"/>
  <c r="AV29" i="50" s="1"/>
  <c r="AO30" i="52"/>
  <c r="AU30" i="52"/>
  <c r="AJ31" i="52"/>
  <c r="AN31" i="53"/>
  <c r="AX30" i="53"/>
  <c r="AT30" i="53"/>
  <c r="AJ31" i="53"/>
  <c r="AO30" i="53"/>
  <c r="AU30" i="53"/>
  <c r="BB27" i="52"/>
  <c r="BC27" i="52" s="1"/>
  <c r="AO30" i="49"/>
  <c r="AJ31" i="49"/>
  <c r="AU30" i="49"/>
  <c r="BB28" i="51"/>
  <c r="BC28" i="51" s="1"/>
  <c r="BA28" i="49"/>
  <c r="BC27" i="47"/>
  <c r="AZ28" i="47"/>
  <c r="BA28" i="47" s="1"/>
  <c r="BB28" i="47" s="1"/>
  <c r="AN32" i="50"/>
  <c r="AT31" i="50"/>
  <c r="AX31" i="50"/>
  <c r="BA28" i="52"/>
  <c r="AY30" i="48"/>
  <c r="AY31" i="51"/>
  <c r="AN32" i="52"/>
  <c r="AX31" i="52"/>
  <c r="AT31" i="52"/>
  <c r="AP29" i="54"/>
  <c r="AQ29" i="54" s="1"/>
  <c r="AV29" i="54" s="1"/>
  <c r="AW29" i="54"/>
  <c r="AY29" i="47"/>
  <c r="AP29" i="48"/>
  <c r="AQ29" i="48" s="1"/>
  <c r="AV29" i="48" s="1"/>
  <c r="AW29" i="48"/>
  <c r="AZ29" i="52"/>
  <c r="AZ29" i="54"/>
  <c r="BA28" i="54"/>
  <c r="AZ28" i="53"/>
  <c r="BA28" i="53" s="1"/>
  <c r="AJ31" i="51"/>
  <c r="AU30" i="51"/>
  <c r="AO30" i="51"/>
  <c r="AY30" i="49"/>
  <c r="BA28" i="48"/>
  <c r="BC27" i="53"/>
  <c r="AP29" i="52"/>
  <c r="AQ29" i="52" s="1"/>
  <c r="AV29" i="52" s="1"/>
  <c r="AW29" i="52"/>
  <c r="AJ31" i="48"/>
  <c r="AU30" i="48"/>
  <c r="AO30" i="48"/>
  <c r="AP29" i="53"/>
  <c r="AQ29" i="53" s="1"/>
  <c r="AV29" i="53" s="1"/>
  <c r="AW29" i="53"/>
  <c r="AN32" i="48"/>
  <c r="AT31" i="48"/>
  <c r="AX31" i="48"/>
  <c r="AP29" i="47"/>
  <c r="AQ29" i="47" s="1"/>
  <c r="AV29" i="47" s="1"/>
  <c r="AW29" i="47"/>
  <c r="AY30" i="54"/>
  <c r="AZ29" i="50"/>
  <c r="AJ31" i="50"/>
  <c r="AU30" i="50"/>
  <c r="AO30" i="50"/>
  <c r="AU30" i="54"/>
  <c r="AJ31" i="54"/>
  <c r="AO30" i="54"/>
  <c r="AN31" i="47"/>
  <c r="AX30" i="47"/>
  <c r="AT30" i="47"/>
  <c r="AP29" i="49"/>
  <c r="AQ29" i="49" s="1"/>
  <c r="AV29" i="49" s="1"/>
  <c r="AW29" i="49"/>
  <c r="BB27" i="46"/>
  <c r="BC27" i="46" s="1"/>
  <c r="BB27" i="43"/>
  <c r="BC27" i="43" s="1"/>
  <c r="AN31" i="46"/>
  <c r="AX30" i="46"/>
  <c r="AT30" i="46"/>
  <c r="AZ28" i="46"/>
  <c r="BA28" i="46" s="1"/>
  <c r="BB28" i="46" s="1"/>
  <c r="AY29" i="44"/>
  <c r="BB27" i="45"/>
  <c r="BC27" i="45" s="1"/>
  <c r="AZ28" i="44"/>
  <c r="BA28" i="44" s="1"/>
  <c r="BB28" i="44" s="1"/>
  <c r="AP29" i="43"/>
  <c r="AQ29" i="43" s="1"/>
  <c r="AV29" i="43" s="1"/>
  <c r="AW29" i="43"/>
  <c r="AO31" i="44"/>
  <c r="AU31" i="44"/>
  <c r="AJ32" i="44"/>
  <c r="AY29" i="46"/>
  <c r="AY30" i="45"/>
  <c r="AU30" i="43"/>
  <c r="AJ31" i="43"/>
  <c r="AO30" i="43"/>
  <c r="AW29" i="45"/>
  <c r="AP29" i="45"/>
  <c r="AQ29" i="45" s="1"/>
  <c r="AV29" i="45" s="1"/>
  <c r="AY29" i="43"/>
  <c r="AN31" i="44"/>
  <c r="AX30" i="44"/>
  <c r="AT30" i="44"/>
  <c r="AZ28" i="43"/>
  <c r="BA28" i="43" s="1"/>
  <c r="AN32" i="45"/>
  <c r="AT31" i="45"/>
  <c r="AX31" i="45"/>
  <c r="BC27" i="44"/>
  <c r="BC28" i="45"/>
  <c r="AP30" i="44"/>
  <c r="AQ30" i="44" s="1"/>
  <c r="AW30" i="44"/>
  <c r="AP29" i="46"/>
  <c r="AQ29" i="46" s="1"/>
  <c r="AV29" i="46" s="1"/>
  <c r="AW29" i="46"/>
  <c r="AU30" i="46"/>
  <c r="AJ31" i="46"/>
  <c r="AO30" i="46"/>
  <c r="AZ29" i="45"/>
  <c r="AT30" i="43"/>
  <c r="AN31" i="43"/>
  <c r="AX30" i="43"/>
  <c r="AJ31" i="45"/>
  <c r="AU30" i="45"/>
  <c r="AO30" i="45"/>
  <c r="AN32" i="41"/>
  <c r="AX31" i="41"/>
  <c r="AT31" i="41"/>
  <c r="BA28" i="41"/>
  <c r="BC27" i="42"/>
  <c r="BB27" i="41"/>
  <c r="BC27" i="41" s="1"/>
  <c r="AY29" i="42"/>
  <c r="AP29" i="42"/>
  <c r="AQ29" i="42" s="1"/>
  <c r="AV29" i="42" s="1"/>
  <c r="AW29" i="42"/>
  <c r="AZ28" i="42"/>
  <c r="BA28" i="42" s="1"/>
  <c r="BB28" i="42" s="1"/>
  <c r="AZ29" i="41"/>
  <c r="AN31" i="42"/>
  <c r="AX30" i="42"/>
  <c r="AT30" i="42"/>
  <c r="AP29" i="41"/>
  <c r="AQ29" i="41" s="1"/>
  <c r="AV29" i="41" s="1"/>
  <c r="AW29" i="41"/>
  <c r="AU30" i="42"/>
  <c r="AJ31" i="42"/>
  <c r="AO30" i="42"/>
  <c r="AY30" i="41"/>
  <c r="AJ31" i="41"/>
  <c r="AU30" i="41"/>
  <c r="AO30" i="41"/>
  <c r="BB28" i="40"/>
  <c r="BC28" i="40" s="1"/>
  <c r="AZ29" i="40"/>
  <c r="BA29" i="40" s="1"/>
  <c r="AJ32" i="40"/>
  <c r="AU31" i="40"/>
  <c r="AO31" i="40"/>
  <c r="AY30" i="40"/>
  <c r="AP30" i="40"/>
  <c r="AQ30" i="40" s="1"/>
  <c r="AV30" i="40" s="1"/>
  <c r="AW30" i="40"/>
  <c r="AN32" i="40"/>
  <c r="AX31" i="40"/>
  <c r="AT31" i="40"/>
  <c r="BA29" i="66" l="1"/>
  <c r="BB29" i="66" s="1"/>
  <c r="BC28" i="63"/>
  <c r="M47" i="66"/>
  <c r="Z31" i="39"/>
  <c r="M46" i="65"/>
  <c r="X30" i="39"/>
  <c r="BC28" i="66"/>
  <c r="BC28" i="62"/>
  <c r="BA29" i="48"/>
  <c r="BB29" i="48" s="1"/>
  <c r="BC28" i="64"/>
  <c r="BA29" i="55"/>
  <c r="BB29" i="55" s="1"/>
  <c r="AV30" i="44"/>
  <c r="BB28" i="53"/>
  <c r="BC28" i="53" s="1"/>
  <c r="BA29" i="54"/>
  <c r="BC28" i="42"/>
  <c r="BC28" i="57"/>
  <c r="BA29" i="52"/>
  <c r="BB29" i="52" s="1"/>
  <c r="BB28" i="56"/>
  <c r="BC28" i="56" s="1"/>
  <c r="BB28" i="59"/>
  <c r="BC28" i="59" s="1"/>
  <c r="AP30" i="62"/>
  <c r="AQ30" i="62" s="1"/>
  <c r="AV30" i="62" s="1"/>
  <c r="AW30" i="62"/>
  <c r="AP30" i="59"/>
  <c r="AQ30" i="59" s="1"/>
  <c r="AV30" i="59" s="1"/>
  <c r="AW30" i="59"/>
  <c r="AP33" i="57"/>
  <c r="AQ33" i="57" s="1"/>
  <c r="AZ30" i="65"/>
  <c r="AY30" i="60"/>
  <c r="AY30" i="59"/>
  <c r="AZ31" i="58"/>
  <c r="AJ32" i="67"/>
  <c r="AO31" i="67"/>
  <c r="AU31" i="67"/>
  <c r="AZ29" i="60"/>
  <c r="BA29" i="60" s="1"/>
  <c r="BB29" i="60" s="1"/>
  <c r="AZ29" i="57"/>
  <c r="BA29" i="57" s="1"/>
  <c r="BB29" i="57" s="1"/>
  <c r="AN32" i="56"/>
  <c r="AT31" i="56"/>
  <c r="AX31" i="56"/>
  <c r="AN34" i="61"/>
  <c r="AX33" i="61"/>
  <c r="AT33" i="61"/>
  <c r="AY31" i="64"/>
  <c r="AU31" i="60"/>
  <c r="AJ32" i="60"/>
  <c r="AO31" i="60"/>
  <c r="AP30" i="66"/>
  <c r="AQ30" i="66" s="1"/>
  <c r="AV30" i="66" s="1"/>
  <c r="AW30" i="66"/>
  <c r="AJ32" i="61"/>
  <c r="AO31" i="61"/>
  <c r="AU31" i="61"/>
  <c r="AN33" i="67"/>
  <c r="AX32" i="67"/>
  <c r="AT32" i="67"/>
  <c r="AZ31" i="61"/>
  <c r="AN33" i="62"/>
  <c r="AX32" i="62"/>
  <c r="AT32" i="62"/>
  <c r="BB29" i="58"/>
  <c r="BC29" i="58" s="1"/>
  <c r="AZ30" i="63"/>
  <c r="AZ30" i="64"/>
  <c r="BB29" i="61"/>
  <c r="BC29" i="61" s="1"/>
  <c r="AW30" i="56"/>
  <c r="AP30" i="56"/>
  <c r="AQ30" i="56" s="1"/>
  <c r="AV30" i="56" s="1"/>
  <c r="AO31" i="62"/>
  <c r="AU31" i="62"/>
  <c r="AJ32" i="62"/>
  <c r="AZ30" i="66"/>
  <c r="AO31" i="59"/>
  <c r="AU31" i="59"/>
  <c r="AJ32" i="59"/>
  <c r="AO34" i="57"/>
  <c r="AU34" i="57"/>
  <c r="AJ35" i="57"/>
  <c r="AN32" i="60"/>
  <c r="AX31" i="60"/>
  <c r="AT31" i="60"/>
  <c r="AY31" i="55"/>
  <c r="AY30" i="57"/>
  <c r="AN32" i="59"/>
  <c r="AX31" i="59"/>
  <c r="AT31" i="59"/>
  <c r="AP30" i="65"/>
  <c r="AQ30" i="65" s="1"/>
  <c r="AV30" i="65" s="1"/>
  <c r="AW30" i="65"/>
  <c r="AZ30" i="55"/>
  <c r="AY30" i="56"/>
  <c r="AY31" i="68"/>
  <c r="AP30" i="58"/>
  <c r="AQ30" i="58" s="1"/>
  <c r="AV30" i="58" s="1"/>
  <c r="AW30" i="58"/>
  <c r="BA30" i="58" s="1"/>
  <c r="AY31" i="63"/>
  <c r="BA29" i="68"/>
  <c r="AN33" i="64"/>
  <c r="AX32" i="64"/>
  <c r="AT32" i="64"/>
  <c r="AP30" i="55"/>
  <c r="AQ30" i="55" s="1"/>
  <c r="AV30" i="55" s="1"/>
  <c r="AW30" i="55"/>
  <c r="AO31" i="66"/>
  <c r="AJ32" i="66"/>
  <c r="AU31" i="66"/>
  <c r="AY31" i="65"/>
  <c r="BA29" i="64"/>
  <c r="AY32" i="58"/>
  <c r="AZ30" i="67"/>
  <c r="AN33" i="55"/>
  <c r="AX32" i="55"/>
  <c r="AT32" i="55"/>
  <c r="AN32" i="57"/>
  <c r="AX31" i="57"/>
  <c r="AT31" i="57"/>
  <c r="AV31" i="57" s="1"/>
  <c r="AW31" i="57"/>
  <c r="AJ32" i="65"/>
  <c r="AU31" i="65"/>
  <c r="AO31" i="65"/>
  <c r="AP30" i="68"/>
  <c r="AQ30" i="68" s="1"/>
  <c r="AV30" i="68" s="1"/>
  <c r="AW30" i="68"/>
  <c r="AZ29" i="59"/>
  <c r="BA29" i="59" s="1"/>
  <c r="BB29" i="59" s="1"/>
  <c r="AP30" i="63"/>
  <c r="AQ30" i="63" s="1"/>
  <c r="AV30" i="63" s="1"/>
  <c r="AW30" i="63"/>
  <c r="BB28" i="68"/>
  <c r="BC28" i="68" s="1"/>
  <c r="AN33" i="68"/>
  <c r="AX32" i="68"/>
  <c r="AT32" i="68"/>
  <c r="AJ32" i="58"/>
  <c r="AO31" i="58"/>
  <c r="AU31" i="58"/>
  <c r="AN33" i="63"/>
  <c r="AX32" i="63"/>
  <c r="AT32" i="63"/>
  <c r="AP30" i="64"/>
  <c r="AQ30" i="64" s="1"/>
  <c r="AV30" i="64" s="1"/>
  <c r="AW30" i="64"/>
  <c r="BA30" i="64" s="1"/>
  <c r="BB30" i="64" s="1"/>
  <c r="AO31" i="55"/>
  <c r="AU31" i="55"/>
  <c r="AJ32" i="55"/>
  <c r="AY31" i="66"/>
  <c r="BA29" i="63"/>
  <c r="BC28" i="60"/>
  <c r="AN33" i="65"/>
  <c r="AX32" i="65"/>
  <c r="AT32" i="65"/>
  <c r="AZ30" i="68"/>
  <c r="AN34" i="58"/>
  <c r="AX33" i="58"/>
  <c r="AT33" i="58"/>
  <c r="AU31" i="56"/>
  <c r="AO31" i="56"/>
  <c r="AJ32" i="56"/>
  <c r="AZ30" i="62"/>
  <c r="BB28" i="65"/>
  <c r="BC28" i="65" s="1"/>
  <c r="AP30" i="67"/>
  <c r="AQ30" i="67" s="1"/>
  <c r="AV30" i="67" s="1"/>
  <c r="AW30" i="67"/>
  <c r="AJ32" i="68"/>
  <c r="AU31" i="68"/>
  <c r="AO31" i="68"/>
  <c r="BA29" i="67"/>
  <c r="BA29" i="62"/>
  <c r="AY32" i="61"/>
  <c r="AU31" i="63"/>
  <c r="AJ32" i="63"/>
  <c r="AO31" i="63"/>
  <c r="BA29" i="65"/>
  <c r="AP30" i="60"/>
  <c r="AQ30" i="60" s="1"/>
  <c r="AV30" i="60" s="1"/>
  <c r="AW30" i="60"/>
  <c r="AU31" i="64"/>
  <c r="AJ32" i="64"/>
  <c r="AO31" i="64"/>
  <c r="AZ29" i="56"/>
  <c r="BA29" i="56" s="1"/>
  <c r="AP30" i="61"/>
  <c r="AQ30" i="61" s="1"/>
  <c r="AV30" i="61" s="1"/>
  <c r="AW30" i="61"/>
  <c r="BA30" i="61" s="1"/>
  <c r="AY31" i="67"/>
  <c r="AN33" i="66"/>
  <c r="AX32" i="66"/>
  <c r="AT32" i="66"/>
  <c r="AY31" i="62"/>
  <c r="AJ32" i="50"/>
  <c r="AU31" i="50"/>
  <c r="AO31" i="50"/>
  <c r="AZ29" i="47"/>
  <c r="BA29" i="47" s="1"/>
  <c r="AZ30" i="48"/>
  <c r="AY31" i="49"/>
  <c r="AN33" i="48"/>
  <c r="AX32" i="48"/>
  <c r="AT32" i="48"/>
  <c r="AP30" i="48"/>
  <c r="AQ30" i="48" s="1"/>
  <c r="AV30" i="48" s="1"/>
  <c r="AW30" i="48"/>
  <c r="AJ32" i="51"/>
  <c r="AU31" i="51"/>
  <c r="AO31" i="51"/>
  <c r="BB28" i="49"/>
  <c r="BC28" i="49" s="1"/>
  <c r="AJ32" i="49"/>
  <c r="AU31" i="49"/>
  <c r="AO31" i="49"/>
  <c r="AW30" i="52"/>
  <c r="AP30" i="52"/>
  <c r="AQ30" i="52" s="1"/>
  <c r="AV30" i="52" s="1"/>
  <c r="AY32" i="51"/>
  <c r="AX32" i="49"/>
  <c r="AN33" i="49"/>
  <c r="AT32" i="49"/>
  <c r="BA29" i="49"/>
  <c r="AN32" i="47"/>
  <c r="AX31" i="47"/>
  <c r="AT31" i="47"/>
  <c r="AP30" i="50"/>
  <c r="AQ30" i="50" s="1"/>
  <c r="AV30" i="50" s="1"/>
  <c r="AW30" i="50"/>
  <c r="AZ30" i="49"/>
  <c r="AZ31" i="51"/>
  <c r="BB28" i="52"/>
  <c r="BC28" i="52" s="1"/>
  <c r="BC28" i="47"/>
  <c r="AW30" i="49"/>
  <c r="BA30" i="49" s="1"/>
  <c r="BB30" i="49" s="1"/>
  <c r="AP30" i="49"/>
  <c r="AQ30" i="49" s="1"/>
  <c r="AV30" i="49" s="1"/>
  <c r="AP30" i="53"/>
  <c r="AQ30" i="53" s="1"/>
  <c r="AV30" i="53" s="1"/>
  <c r="AW30" i="53"/>
  <c r="AN32" i="53"/>
  <c r="AX31" i="53"/>
  <c r="AT31" i="53"/>
  <c r="AN34" i="51"/>
  <c r="AX33" i="51"/>
  <c r="AT33" i="51"/>
  <c r="AP30" i="47"/>
  <c r="AQ30" i="47" s="1"/>
  <c r="AV30" i="47" s="1"/>
  <c r="AW30" i="47"/>
  <c r="AJ32" i="54"/>
  <c r="AO31" i="54"/>
  <c r="AU31" i="54"/>
  <c r="AZ30" i="54"/>
  <c r="BB28" i="48"/>
  <c r="BC28" i="48" s="1"/>
  <c r="BB28" i="54"/>
  <c r="BC28" i="54" s="1"/>
  <c r="AY31" i="52"/>
  <c r="AN33" i="54"/>
  <c r="AX32" i="54"/>
  <c r="AT32" i="54"/>
  <c r="AY30" i="47"/>
  <c r="AN33" i="52"/>
  <c r="AX32" i="52"/>
  <c r="AT32" i="52"/>
  <c r="AN33" i="50"/>
  <c r="AX32" i="50"/>
  <c r="AT32" i="50"/>
  <c r="AY30" i="53"/>
  <c r="AP30" i="54"/>
  <c r="AQ30" i="54" s="1"/>
  <c r="AV30" i="54" s="1"/>
  <c r="AW30" i="54"/>
  <c r="BA30" i="54" s="1"/>
  <c r="BB30" i="54" s="1"/>
  <c r="AY31" i="48"/>
  <c r="AO31" i="48"/>
  <c r="AJ32" i="48"/>
  <c r="AU31" i="48"/>
  <c r="AP30" i="51"/>
  <c r="AQ30" i="51" s="1"/>
  <c r="AV30" i="51" s="1"/>
  <c r="AW30" i="51"/>
  <c r="BA30" i="51" s="1"/>
  <c r="AY31" i="50"/>
  <c r="AU31" i="53"/>
  <c r="AJ32" i="53"/>
  <c r="AO31" i="53"/>
  <c r="AU31" i="52"/>
  <c r="AJ32" i="52"/>
  <c r="AO31" i="52"/>
  <c r="BA29" i="50"/>
  <c r="AZ30" i="52"/>
  <c r="AZ30" i="50"/>
  <c r="BB29" i="51"/>
  <c r="BC29" i="51" s="1"/>
  <c r="AZ29" i="53"/>
  <c r="BA29" i="53" s="1"/>
  <c r="AY31" i="54"/>
  <c r="AU31" i="47"/>
  <c r="AJ32" i="47"/>
  <c r="AO31" i="47"/>
  <c r="BB28" i="43"/>
  <c r="BC28" i="43" s="1"/>
  <c r="AP30" i="45"/>
  <c r="AQ30" i="45" s="1"/>
  <c r="AV30" i="45" s="1"/>
  <c r="AW30" i="45"/>
  <c r="AN32" i="43"/>
  <c r="AX31" i="43"/>
  <c r="AT31" i="43"/>
  <c r="AY30" i="43"/>
  <c r="AN33" i="45"/>
  <c r="AX32" i="45"/>
  <c r="AT32" i="45"/>
  <c r="AY30" i="44"/>
  <c r="BC28" i="44"/>
  <c r="AN32" i="44"/>
  <c r="AT31" i="44"/>
  <c r="AX31" i="44"/>
  <c r="BA29" i="45"/>
  <c r="AZ30" i="45"/>
  <c r="AZ29" i="46"/>
  <c r="BA29" i="46" s="1"/>
  <c r="BB29" i="46" s="1"/>
  <c r="AW31" i="44"/>
  <c r="AP31" i="44"/>
  <c r="AQ31" i="44" s="1"/>
  <c r="AZ29" i="44"/>
  <c r="BA29" i="44" s="1"/>
  <c r="BB29" i="44" s="1"/>
  <c r="AY31" i="45"/>
  <c r="AZ29" i="43"/>
  <c r="BA29" i="43" s="1"/>
  <c r="AW30" i="43"/>
  <c r="AP30" i="43"/>
  <c r="AQ30" i="43" s="1"/>
  <c r="AV30" i="43" s="1"/>
  <c r="AY30" i="46"/>
  <c r="AP30" i="46"/>
  <c r="AQ30" i="46" s="1"/>
  <c r="AV30" i="46" s="1"/>
  <c r="AW30" i="46"/>
  <c r="AJ32" i="46"/>
  <c r="AO31" i="46"/>
  <c r="AU31" i="46"/>
  <c r="AJ32" i="45"/>
  <c r="AU31" i="45"/>
  <c r="AO31" i="45"/>
  <c r="AJ32" i="43"/>
  <c r="AO31" i="43"/>
  <c r="AU31" i="43"/>
  <c r="AJ33" i="44"/>
  <c r="AO32" i="44"/>
  <c r="AU32" i="44"/>
  <c r="BC28" i="46"/>
  <c r="AN32" i="46"/>
  <c r="AX31" i="46"/>
  <c r="AT31" i="46"/>
  <c r="AP30" i="41"/>
  <c r="AQ30" i="41" s="1"/>
  <c r="AV30" i="41" s="1"/>
  <c r="AW30" i="41"/>
  <c r="BA29" i="41"/>
  <c r="AN32" i="42"/>
  <c r="AX31" i="42"/>
  <c r="AT31" i="42"/>
  <c r="BB28" i="41"/>
  <c r="BC28" i="41" s="1"/>
  <c r="AJ32" i="41"/>
  <c r="AO31" i="41"/>
  <c r="AU31" i="41"/>
  <c r="AP30" i="42"/>
  <c r="AQ30" i="42" s="1"/>
  <c r="AV30" i="42" s="1"/>
  <c r="AW30" i="42"/>
  <c r="AZ30" i="41"/>
  <c r="AJ32" i="42"/>
  <c r="AO31" i="42"/>
  <c r="AU31" i="42"/>
  <c r="AY31" i="41"/>
  <c r="AY30" i="42"/>
  <c r="AZ29" i="42"/>
  <c r="BA29" i="42" s="1"/>
  <c r="AN33" i="41"/>
  <c r="AX32" i="41"/>
  <c r="AT32" i="41"/>
  <c r="BB29" i="40"/>
  <c r="BC29" i="40" s="1"/>
  <c r="AP31" i="40"/>
  <c r="AQ31" i="40" s="1"/>
  <c r="AV31" i="40" s="1"/>
  <c r="AW31" i="40"/>
  <c r="AY31" i="40"/>
  <c r="AZ30" i="40"/>
  <c r="BA30" i="40" s="1"/>
  <c r="AU32" i="40"/>
  <c r="AJ33" i="40"/>
  <c r="AO32" i="40"/>
  <c r="AN33" i="40"/>
  <c r="AX32" i="40"/>
  <c r="AT32" i="40"/>
  <c r="BC29" i="66" l="1"/>
  <c r="M47" i="67"/>
  <c r="Z32" i="39"/>
  <c r="M46" i="66"/>
  <c r="X31" i="39"/>
  <c r="BC29" i="48"/>
  <c r="BC29" i="55"/>
  <c r="BA30" i="55"/>
  <c r="BB30" i="55" s="1"/>
  <c r="BA30" i="65"/>
  <c r="BB30" i="65" s="1"/>
  <c r="BA30" i="63"/>
  <c r="BB30" i="63" s="1"/>
  <c r="AV31" i="44"/>
  <c r="BC29" i="52"/>
  <c r="BA30" i="67"/>
  <c r="BB30" i="67" s="1"/>
  <c r="BA30" i="48"/>
  <c r="BB30" i="48" s="1"/>
  <c r="BB29" i="53"/>
  <c r="BC29" i="53" s="1"/>
  <c r="BB29" i="54"/>
  <c r="BC29" i="54" s="1"/>
  <c r="BA30" i="52"/>
  <c r="BB30" i="52" s="1"/>
  <c r="BB29" i="56"/>
  <c r="BC29" i="56" s="1"/>
  <c r="AZ31" i="62"/>
  <c r="AZ32" i="61"/>
  <c r="AP31" i="64"/>
  <c r="AQ31" i="64" s="1"/>
  <c r="AV31" i="64" s="1"/>
  <c r="AW31" i="64"/>
  <c r="AJ33" i="63"/>
  <c r="AO32" i="63"/>
  <c r="AU32" i="63"/>
  <c r="BB29" i="62"/>
  <c r="BC29" i="62" s="1"/>
  <c r="AJ33" i="68"/>
  <c r="AO32" i="68"/>
  <c r="AU32" i="68"/>
  <c r="AN34" i="65"/>
  <c r="AX33" i="65"/>
  <c r="AT33" i="65"/>
  <c r="AP31" i="58"/>
  <c r="AQ31" i="58" s="1"/>
  <c r="AV31" i="58" s="1"/>
  <c r="AW31" i="58"/>
  <c r="BA31" i="58" s="1"/>
  <c r="AN34" i="68"/>
  <c r="AX33" i="68"/>
  <c r="AT33" i="68"/>
  <c r="BA30" i="68"/>
  <c r="AJ33" i="65"/>
  <c r="AO32" i="65"/>
  <c r="AU32" i="65"/>
  <c r="AY32" i="55"/>
  <c r="AN34" i="64"/>
  <c r="AX33" i="64"/>
  <c r="AT33" i="64"/>
  <c r="BB30" i="58"/>
  <c r="BC30" i="58" s="1"/>
  <c r="AN33" i="59"/>
  <c r="AX32" i="59"/>
  <c r="AT32" i="59"/>
  <c r="AZ31" i="55"/>
  <c r="AU32" i="59"/>
  <c r="AJ33" i="59"/>
  <c r="AO32" i="59"/>
  <c r="BC30" i="64"/>
  <c r="AN34" i="62"/>
  <c r="AX33" i="62"/>
  <c r="AT33" i="62"/>
  <c r="AY32" i="67"/>
  <c r="AU32" i="61"/>
  <c r="AJ33" i="61"/>
  <c r="AO32" i="61"/>
  <c r="AJ33" i="60"/>
  <c r="AO32" i="60"/>
  <c r="AU32" i="60"/>
  <c r="AN35" i="61"/>
  <c r="AX34" i="61"/>
  <c r="AT34" i="61"/>
  <c r="AN33" i="56"/>
  <c r="AT32" i="56"/>
  <c r="AX32" i="56"/>
  <c r="AZ30" i="60"/>
  <c r="BA30" i="60" s="1"/>
  <c r="BB30" i="61"/>
  <c r="BC30" i="61" s="1"/>
  <c r="AJ33" i="64"/>
  <c r="AO32" i="64"/>
  <c r="AU32" i="64"/>
  <c r="BB29" i="67"/>
  <c r="BC29" i="67" s="1"/>
  <c r="AY33" i="58"/>
  <c r="AW31" i="55"/>
  <c r="AP31" i="55"/>
  <c r="AQ31" i="55" s="1"/>
  <c r="AV31" i="55" s="1"/>
  <c r="AY32" i="63"/>
  <c r="AU32" i="58"/>
  <c r="AJ33" i="58"/>
  <c r="AO32" i="58"/>
  <c r="AY31" i="57"/>
  <c r="AN34" i="55"/>
  <c r="AX33" i="55"/>
  <c r="AT33" i="55"/>
  <c r="AZ32" i="58"/>
  <c r="BB29" i="68"/>
  <c r="BC29" i="68" s="1"/>
  <c r="AZ30" i="56"/>
  <c r="BA30" i="56" s="1"/>
  <c r="AU35" i="57"/>
  <c r="AJ36" i="57"/>
  <c r="AO35" i="57"/>
  <c r="AU32" i="62"/>
  <c r="AJ33" i="62"/>
  <c r="AO32" i="62"/>
  <c r="AN34" i="67"/>
  <c r="AX33" i="67"/>
  <c r="AT33" i="67"/>
  <c r="BA30" i="66"/>
  <c r="AY32" i="66"/>
  <c r="BB29" i="65"/>
  <c r="BC29" i="65" s="1"/>
  <c r="AO32" i="56"/>
  <c r="AU32" i="56"/>
  <c r="AJ33" i="56"/>
  <c r="AN34" i="66"/>
  <c r="AX33" i="66"/>
  <c r="AT33" i="66"/>
  <c r="AP31" i="68"/>
  <c r="AQ31" i="68" s="1"/>
  <c r="AV31" i="68" s="1"/>
  <c r="AW31" i="68"/>
  <c r="AW31" i="56"/>
  <c r="AP31" i="56"/>
  <c r="AQ31" i="56" s="1"/>
  <c r="AV31" i="56" s="1"/>
  <c r="AN35" i="58"/>
  <c r="AX34" i="58"/>
  <c r="AT34" i="58"/>
  <c r="BB29" i="63"/>
  <c r="BC29" i="63" s="1"/>
  <c r="AN34" i="63"/>
  <c r="AX33" i="63"/>
  <c r="AT33" i="63"/>
  <c r="BC29" i="59"/>
  <c r="AP31" i="65"/>
  <c r="AQ31" i="65" s="1"/>
  <c r="AV31" i="65" s="1"/>
  <c r="AW31" i="65"/>
  <c r="AN33" i="57"/>
  <c r="AX32" i="57"/>
  <c r="AT32" i="57"/>
  <c r="AV32" i="57" s="1"/>
  <c r="AW32" i="57"/>
  <c r="BB29" i="64"/>
  <c r="BC29" i="64" s="1"/>
  <c r="AU32" i="66"/>
  <c r="AJ33" i="66"/>
  <c r="AO32" i="66"/>
  <c r="AZ31" i="68"/>
  <c r="AZ30" i="57"/>
  <c r="BA30" i="57" s="1"/>
  <c r="BB30" i="57" s="1"/>
  <c r="AY31" i="60"/>
  <c r="AW31" i="59"/>
  <c r="AP31" i="59"/>
  <c r="AQ31" i="59" s="1"/>
  <c r="AV31" i="59" s="1"/>
  <c r="AY31" i="56"/>
  <c r="BC29" i="57"/>
  <c r="AP31" i="67"/>
  <c r="AQ31" i="67" s="1"/>
  <c r="AV31" i="67" s="1"/>
  <c r="AW31" i="67"/>
  <c r="BA30" i="62"/>
  <c r="AZ31" i="67"/>
  <c r="AP31" i="63"/>
  <c r="AQ31" i="63" s="1"/>
  <c r="AV31" i="63" s="1"/>
  <c r="AW31" i="63"/>
  <c r="AY32" i="65"/>
  <c r="AZ31" i="66"/>
  <c r="AJ33" i="55"/>
  <c r="AU32" i="55"/>
  <c r="AO32" i="55"/>
  <c r="AY32" i="68"/>
  <c r="AZ31" i="65"/>
  <c r="AW31" i="66"/>
  <c r="AP31" i="66"/>
  <c r="AQ31" i="66" s="1"/>
  <c r="AV31" i="66" s="1"/>
  <c r="AY32" i="64"/>
  <c r="AZ31" i="63"/>
  <c r="AY31" i="59"/>
  <c r="AN33" i="60"/>
  <c r="AX32" i="60"/>
  <c r="AT32" i="60"/>
  <c r="AP34" i="57"/>
  <c r="AQ34" i="57" s="1"/>
  <c r="AW31" i="62"/>
  <c r="AP31" i="62"/>
  <c r="AQ31" i="62" s="1"/>
  <c r="AV31" i="62" s="1"/>
  <c r="AY32" i="62"/>
  <c r="AP31" i="61"/>
  <c r="AQ31" i="61" s="1"/>
  <c r="AV31" i="61" s="1"/>
  <c r="AW31" i="61"/>
  <c r="BA31" i="61" s="1"/>
  <c r="AP31" i="60"/>
  <c r="AQ31" i="60" s="1"/>
  <c r="AV31" i="60" s="1"/>
  <c r="AW31" i="60"/>
  <c r="AZ31" i="64"/>
  <c r="AY33" i="61"/>
  <c r="BC29" i="60"/>
  <c r="AJ33" i="67"/>
  <c r="AU32" i="67"/>
  <c r="AO32" i="67"/>
  <c r="AZ30" i="59"/>
  <c r="BA30" i="59" s="1"/>
  <c r="BB29" i="47"/>
  <c r="BC29" i="47" s="1"/>
  <c r="AJ33" i="47"/>
  <c r="AO32" i="47"/>
  <c r="AU32" i="47"/>
  <c r="AP31" i="53"/>
  <c r="AQ31" i="53" s="1"/>
  <c r="AV31" i="53" s="1"/>
  <c r="AW31" i="53"/>
  <c r="AZ31" i="50"/>
  <c r="AJ33" i="48"/>
  <c r="AU32" i="48"/>
  <c r="AO32" i="48"/>
  <c r="AZ30" i="47"/>
  <c r="BA30" i="47" s="1"/>
  <c r="BB30" i="47" s="1"/>
  <c r="AN34" i="54"/>
  <c r="AX33" i="54"/>
  <c r="AT33" i="54"/>
  <c r="BC30" i="54"/>
  <c r="AP31" i="52"/>
  <c r="AQ31" i="52" s="1"/>
  <c r="AV31" i="52" s="1"/>
  <c r="AW31" i="52"/>
  <c r="AU32" i="53"/>
  <c r="AJ33" i="53"/>
  <c r="AO32" i="53"/>
  <c r="AN33" i="47"/>
  <c r="AX32" i="47"/>
  <c r="AT32" i="47"/>
  <c r="BB29" i="50"/>
  <c r="BC29" i="50" s="1"/>
  <c r="AU32" i="54"/>
  <c r="AJ33" i="54"/>
  <c r="AO32" i="54"/>
  <c r="AY33" i="51"/>
  <c r="AN33" i="53"/>
  <c r="AX32" i="53"/>
  <c r="AT32" i="53"/>
  <c r="AY31" i="47"/>
  <c r="AN34" i="49"/>
  <c r="AX33" i="49"/>
  <c r="AT33" i="49"/>
  <c r="AJ33" i="49"/>
  <c r="AU32" i="49"/>
  <c r="AO32" i="49"/>
  <c r="BB30" i="51"/>
  <c r="BC30" i="51" s="1"/>
  <c r="AW31" i="48"/>
  <c r="AP31" i="48"/>
  <c r="AQ31" i="48" s="1"/>
  <c r="AV31" i="48" s="1"/>
  <c r="AY32" i="52"/>
  <c r="AN35" i="51"/>
  <c r="AX34" i="51"/>
  <c r="AT34" i="51"/>
  <c r="BA30" i="50"/>
  <c r="AY32" i="49"/>
  <c r="AJ33" i="51"/>
  <c r="AU32" i="51"/>
  <c r="AO32" i="51"/>
  <c r="AY32" i="48"/>
  <c r="AP31" i="50"/>
  <c r="AQ31" i="50" s="1"/>
  <c r="AV31" i="50" s="1"/>
  <c r="AW31" i="50"/>
  <c r="AO32" i="52"/>
  <c r="AU32" i="52"/>
  <c r="AJ33" i="52"/>
  <c r="AY32" i="50"/>
  <c r="AN34" i="52"/>
  <c r="AX33" i="52"/>
  <c r="AT33" i="52"/>
  <c r="AZ31" i="52"/>
  <c r="BC30" i="49"/>
  <c r="BB29" i="49"/>
  <c r="BC29" i="49" s="1"/>
  <c r="AZ32" i="51"/>
  <c r="AP31" i="49"/>
  <c r="AQ31" i="49" s="1"/>
  <c r="AV31" i="49" s="1"/>
  <c r="AW31" i="49"/>
  <c r="AX33" i="48"/>
  <c r="AN34" i="48"/>
  <c r="AT33" i="48"/>
  <c r="AZ31" i="54"/>
  <c r="AP31" i="47"/>
  <c r="AQ31" i="47" s="1"/>
  <c r="AV31" i="47" s="1"/>
  <c r="AW31" i="47"/>
  <c r="AZ31" i="48"/>
  <c r="AZ30" i="53"/>
  <c r="BA30" i="53" s="1"/>
  <c r="BB30" i="53" s="1"/>
  <c r="AN34" i="50"/>
  <c r="AX33" i="50"/>
  <c r="AT33" i="50"/>
  <c r="AY32" i="54"/>
  <c r="AP31" i="54"/>
  <c r="AQ31" i="54" s="1"/>
  <c r="AV31" i="54" s="1"/>
  <c r="AW31" i="54"/>
  <c r="AY31" i="53"/>
  <c r="AW31" i="51"/>
  <c r="BA31" i="51" s="1"/>
  <c r="AP31" i="51"/>
  <c r="AQ31" i="51" s="1"/>
  <c r="AV31" i="51" s="1"/>
  <c r="AZ31" i="49"/>
  <c r="AJ33" i="50"/>
  <c r="AU32" i="50"/>
  <c r="AO32" i="50"/>
  <c r="BB29" i="43"/>
  <c r="BC29" i="43" s="1"/>
  <c r="AN33" i="46"/>
  <c r="AX32" i="46"/>
  <c r="AT32" i="46"/>
  <c r="AW31" i="45"/>
  <c r="AP31" i="45"/>
  <c r="AQ31" i="45" s="1"/>
  <c r="AV31" i="45" s="1"/>
  <c r="AY31" i="43"/>
  <c r="AZ30" i="46"/>
  <c r="BA30" i="46" s="1"/>
  <c r="BB30" i="46" s="1"/>
  <c r="AN33" i="44"/>
  <c r="AX32" i="44"/>
  <c r="AT32" i="44"/>
  <c r="AX32" i="43"/>
  <c r="AN33" i="43"/>
  <c r="AT32" i="43"/>
  <c r="AP31" i="43"/>
  <c r="AQ31" i="43" s="1"/>
  <c r="AV31" i="43" s="1"/>
  <c r="AW31" i="43"/>
  <c r="AJ33" i="45"/>
  <c r="AU32" i="45"/>
  <c r="AO32" i="45"/>
  <c r="BC29" i="44"/>
  <c r="BC29" i="46"/>
  <c r="BB29" i="45"/>
  <c r="BC29" i="45" s="1"/>
  <c r="AY32" i="45"/>
  <c r="AZ30" i="43"/>
  <c r="BA30" i="43" s="1"/>
  <c r="BA30" i="45"/>
  <c r="AJ34" i="44"/>
  <c r="AU33" i="44"/>
  <c r="AO33" i="44"/>
  <c r="AP31" i="46"/>
  <c r="AQ31" i="46" s="1"/>
  <c r="AV31" i="46" s="1"/>
  <c r="AW31" i="46"/>
  <c r="AU32" i="46"/>
  <c r="AJ33" i="46"/>
  <c r="AO32" i="46"/>
  <c r="AY31" i="46"/>
  <c r="AP32" i="44"/>
  <c r="AQ32" i="44" s="1"/>
  <c r="AW32" i="44"/>
  <c r="AJ33" i="43"/>
  <c r="AU32" i="43"/>
  <c r="AO32" i="43"/>
  <c r="AZ31" i="45"/>
  <c r="AY31" i="44"/>
  <c r="AZ30" i="44"/>
  <c r="BA30" i="44" s="1"/>
  <c r="BB30" i="44" s="1"/>
  <c r="AN34" i="45"/>
  <c r="AT33" i="45"/>
  <c r="AX33" i="45"/>
  <c r="BB29" i="42"/>
  <c r="BC29" i="42" s="1"/>
  <c r="AN33" i="42"/>
  <c r="AX32" i="42"/>
  <c r="AT32" i="42"/>
  <c r="BB29" i="41"/>
  <c r="BC29" i="41" s="1"/>
  <c r="AY32" i="41"/>
  <c r="AN34" i="41"/>
  <c r="AX33" i="41"/>
  <c r="AT33" i="41"/>
  <c r="AZ30" i="42"/>
  <c r="BA30" i="42" s="1"/>
  <c r="BB30" i="42" s="1"/>
  <c r="AP31" i="42"/>
  <c r="AQ31" i="42" s="1"/>
  <c r="AV31" i="42" s="1"/>
  <c r="AW31" i="42"/>
  <c r="AP31" i="41"/>
  <c r="AQ31" i="41" s="1"/>
  <c r="AV31" i="41" s="1"/>
  <c r="AW31" i="41"/>
  <c r="BA30" i="41"/>
  <c r="AZ31" i="41"/>
  <c r="AU32" i="42"/>
  <c r="AJ33" i="42"/>
  <c r="AO32" i="42"/>
  <c r="AJ33" i="41"/>
  <c r="AO32" i="41"/>
  <c r="AU32" i="41"/>
  <c r="AY31" i="42"/>
  <c r="BB30" i="40"/>
  <c r="BC30" i="40" s="1"/>
  <c r="AY32" i="40"/>
  <c r="AN34" i="40"/>
  <c r="AX33" i="40"/>
  <c r="AT33" i="40"/>
  <c r="AP32" i="40"/>
  <c r="AQ32" i="40" s="1"/>
  <c r="AV32" i="40" s="1"/>
  <c r="AW32" i="40"/>
  <c r="AJ34" i="40"/>
  <c r="AO33" i="40"/>
  <c r="AU33" i="40"/>
  <c r="AZ31" i="40"/>
  <c r="BA31" i="40" s="1"/>
  <c r="M47" i="68" l="1"/>
  <c r="Z33" i="39"/>
  <c r="M46" i="67"/>
  <c r="X32" i="39"/>
  <c r="BC30" i="63"/>
  <c r="AV32" i="44"/>
  <c r="BA31" i="62"/>
  <c r="BB31" i="62" s="1"/>
  <c r="BC30" i="52"/>
  <c r="BC30" i="55"/>
  <c r="BC30" i="65"/>
  <c r="BC30" i="67"/>
  <c r="BA31" i="66"/>
  <c r="BB31" i="66" s="1"/>
  <c r="BA31" i="67"/>
  <c r="BB31" i="67" s="1"/>
  <c r="BC30" i="57"/>
  <c r="BC30" i="48"/>
  <c r="BA31" i="68"/>
  <c r="BB31" i="68" s="1"/>
  <c r="BB30" i="56"/>
  <c r="BC30" i="56" s="1"/>
  <c r="BB30" i="60"/>
  <c r="BC30" i="60" s="1"/>
  <c r="BB30" i="59"/>
  <c r="BC30" i="59" s="1"/>
  <c r="BB31" i="61"/>
  <c r="BC31" i="61" s="1"/>
  <c r="AP32" i="55"/>
  <c r="AQ32" i="55" s="1"/>
  <c r="AV32" i="55" s="1"/>
  <c r="AW32" i="55"/>
  <c r="AZ31" i="56"/>
  <c r="BA31" i="56" s="1"/>
  <c r="BB31" i="56" s="1"/>
  <c r="AN35" i="63"/>
  <c r="AX34" i="63"/>
  <c r="AT34" i="63"/>
  <c r="AZ32" i="64"/>
  <c r="AZ32" i="65"/>
  <c r="AZ31" i="60"/>
  <c r="BA31" i="60" s="1"/>
  <c r="AY32" i="57"/>
  <c r="AN36" i="58"/>
  <c r="AX35" i="58"/>
  <c r="AT35" i="58"/>
  <c r="AY33" i="66"/>
  <c r="AW32" i="56"/>
  <c r="AP32" i="56"/>
  <c r="AQ32" i="56" s="1"/>
  <c r="AV32" i="56" s="1"/>
  <c r="AY33" i="67"/>
  <c r="AO33" i="62"/>
  <c r="AU33" i="62"/>
  <c r="AJ34" i="62"/>
  <c r="AZ31" i="57"/>
  <c r="BA31" i="57" s="1"/>
  <c r="BB31" i="57" s="1"/>
  <c r="BA31" i="55"/>
  <c r="AP32" i="64"/>
  <c r="AQ32" i="64" s="1"/>
  <c r="AV32" i="64" s="1"/>
  <c r="AW32" i="64"/>
  <c r="AY32" i="56"/>
  <c r="AY34" i="61"/>
  <c r="AU33" i="60"/>
  <c r="AJ34" i="60"/>
  <c r="AO33" i="60"/>
  <c r="AZ32" i="67"/>
  <c r="AN35" i="62"/>
  <c r="AX34" i="62"/>
  <c r="AT34" i="62"/>
  <c r="BB30" i="68"/>
  <c r="BC30" i="68" s="1"/>
  <c r="BB31" i="58"/>
  <c r="BC31" i="58" s="1"/>
  <c r="AN35" i="65"/>
  <c r="AX34" i="65"/>
  <c r="AT34" i="65"/>
  <c r="AP32" i="68"/>
  <c r="AQ32" i="68" s="1"/>
  <c r="AV32" i="68" s="1"/>
  <c r="AW32" i="68"/>
  <c r="AZ31" i="59"/>
  <c r="AZ32" i="68"/>
  <c r="BB30" i="62"/>
  <c r="BC30" i="62" s="1"/>
  <c r="AN34" i="57"/>
  <c r="AX33" i="57"/>
  <c r="AT33" i="57"/>
  <c r="AV33" i="57" s="1"/>
  <c r="AW33" i="57"/>
  <c r="AN35" i="66"/>
  <c r="AX34" i="66"/>
  <c r="AT34" i="66"/>
  <c r="AN35" i="67"/>
  <c r="AX34" i="67"/>
  <c r="AT34" i="67"/>
  <c r="AY33" i="55"/>
  <c r="AZ32" i="63"/>
  <c r="AU33" i="64"/>
  <c r="AJ34" i="64"/>
  <c r="AO33" i="64"/>
  <c r="AN36" i="61"/>
  <c r="AX35" i="61"/>
  <c r="AT35" i="61"/>
  <c r="AP32" i="61"/>
  <c r="AQ32" i="61" s="1"/>
  <c r="AV32" i="61" s="1"/>
  <c r="AW32" i="61"/>
  <c r="BA32" i="61" s="1"/>
  <c r="AY32" i="59"/>
  <c r="AJ34" i="68"/>
  <c r="AO33" i="68"/>
  <c r="AU33" i="68"/>
  <c r="AP32" i="63"/>
  <c r="AQ32" i="63" s="1"/>
  <c r="AV32" i="63" s="1"/>
  <c r="AW32" i="63"/>
  <c r="AP32" i="67"/>
  <c r="AQ32" i="67" s="1"/>
  <c r="AV32" i="67" s="1"/>
  <c r="AW32" i="67"/>
  <c r="AZ33" i="61"/>
  <c r="AU33" i="55"/>
  <c r="AO33" i="55"/>
  <c r="AJ34" i="55"/>
  <c r="AP32" i="66"/>
  <c r="AQ32" i="66" s="1"/>
  <c r="AV32" i="66" s="1"/>
  <c r="AW32" i="66"/>
  <c r="AZ32" i="62"/>
  <c r="AY32" i="60"/>
  <c r="BA31" i="63"/>
  <c r="BA31" i="59"/>
  <c r="BB31" i="59" s="1"/>
  <c r="AO33" i="66"/>
  <c r="AJ34" i="66"/>
  <c r="AU33" i="66"/>
  <c r="BA31" i="65"/>
  <c r="AY33" i="63"/>
  <c r="AU33" i="56"/>
  <c r="AO33" i="56"/>
  <c r="AJ34" i="56"/>
  <c r="BB30" i="66"/>
  <c r="BC30" i="66" s="1"/>
  <c r="AP35" i="57"/>
  <c r="AQ35" i="57" s="1"/>
  <c r="AN35" i="55"/>
  <c r="AX34" i="55"/>
  <c r="AT34" i="55"/>
  <c r="AP32" i="58"/>
  <c r="AQ32" i="58" s="1"/>
  <c r="AV32" i="58" s="1"/>
  <c r="AW32" i="58"/>
  <c r="BA32" i="58" s="1"/>
  <c r="AN34" i="56"/>
  <c r="AT33" i="56"/>
  <c r="AX33" i="56"/>
  <c r="AJ34" i="61"/>
  <c r="AO33" i="61"/>
  <c r="AU33" i="61"/>
  <c r="AP32" i="59"/>
  <c r="AQ32" i="59" s="1"/>
  <c r="AV32" i="59" s="1"/>
  <c r="AW32" i="59"/>
  <c r="AN34" i="59"/>
  <c r="AX33" i="59"/>
  <c r="AT33" i="59"/>
  <c r="AY33" i="64"/>
  <c r="AP32" i="65"/>
  <c r="AQ32" i="65" s="1"/>
  <c r="AV32" i="65" s="1"/>
  <c r="AW32" i="65"/>
  <c r="AY33" i="68"/>
  <c r="AU33" i="63"/>
  <c r="AJ34" i="63"/>
  <c r="AO33" i="63"/>
  <c r="AJ34" i="67"/>
  <c r="AO33" i="67"/>
  <c r="AU33" i="67"/>
  <c r="AN34" i="60"/>
  <c r="AX33" i="60"/>
  <c r="AT33" i="60"/>
  <c r="AY34" i="58"/>
  <c r="AZ32" i="66"/>
  <c r="AP32" i="62"/>
  <c r="AQ32" i="62" s="1"/>
  <c r="AV32" i="62" s="1"/>
  <c r="AW32" i="62"/>
  <c r="AO36" i="57"/>
  <c r="AU36" i="57"/>
  <c r="AJ37" i="57"/>
  <c r="AJ34" i="58"/>
  <c r="AO33" i="58"/>
  <c r="AU33" i="58"/>
  <c r="AZ33" i="58"/>
  <c r="AP32" i="60"/>
  <c r="AQ32" i="60" s="1"/>
  <c r="AV32" i="60" s="1"/>
  <c r="AW32" i="60"/>
  <c r="AY33" i="62"/>
  <c r="AO33" i="59"/>
  <c r="AU33" i="59"/>
  <c r="AJ34" i="59"/>
  <c r="AN35" i="64"/>
  <c r="AX34" i="64"/>
  <c r="AT34" i="64"/>
  <c r="AZ32" i="55"/>
  <c r="AJ34" i="65"/>
  <c r="AU33" i="65"/>
  <c r="AO33" i="65"/>
  <c r="AN35" i="68"/>
  <c r="AX34" i="68"/>
  <c r="AT34" i="68"/>
  <c r="AY33" i="65"/>
  <c r="BA31" i="64"/>
  <c r="BB31" i="51"/>
  <c r="BC31" i="51" s="1"/>
  <c r="AY33" i="50"/>
  <c r="AY33" i="48"/>
  <c r="AN35" i="52"/>
  <c r="AT34" i="52"/>
  <c r="AX34" i="52"/>
  <c r="AY33" i="49"/>
  <c r="AN34" i="47"/>
  <c r="AX33" i="47"/>
  <c r="AT33" i="47"/>
  <c r="AY33" i="54"/>
  <c r="AP32" i="47"/>
  <c r="AQ32" i="47" s="1"/>
  <c r="AV32" i="47" s="1"/>
  <c r="AW32" i="47"/>
  <c r="AW32" i="52"/>
  <c r="AP32" i="52"/>
  <c r="AQ32" i="52" s="1"/>
  <c r="AV32" i="52" s="1"/>
  <c r="BA31" i="48"/>
  <c r="AN35" i="49"/>
  <c r="AX34" i="49"/>
  <c r="AT34" i="49"/>
  <c r="AP32" i="53"/>
  <c r="AQ32" i="53" s="1"/>
  <c r="AV32" i="53" s="1"/>
  <c r="AW32" i="53"/>
  <c r="AN35" i="54"/>
  <c r="AX34" i="54"/>
  <c r="AT34" i="54"/>
  <c r="AZ32" i="54"/>
  <c r="AJ34" i="50"/>
  <c r="AO33" i="50"/>
  <c r="AU33" i="50"/>
  <c r="BB30" i="50"/>
  <c r="BC30" i="50" s="1"/>
  <c r="AN36" i="51"/>
  <c r="AX35" i="51"/>
  <c r="AT35" i="51"/>
  <c r="AW32" i="49"/>
  <c r="AP32" i="49"/>
  <c r="AQ32" i="49" s="1"/>
  <c r="AV32" i="49" s="1"/>
  <c r="BA31" i="52"/>
  <c r="AP32" i="48"/>
  <c r="AQ32" i="48" s="1"/>
  <c r="AV32" i="48" s="1"/>
  <c r="AW32" i="48"/>
  <c r="AN35" i="50"/>
  <c r="AX34" i="50"/>
  <c r="AT34" i="50"/>
  <c r="BA31" i="49"/>
  <c r="AZ32" i="50"/>
  <c r="AZ32" i="48"/>
  <c r="AJ34" i="51"/>
  <c r="AU33" i="51"/>
  <c r="AO33" i="51"/>
  <c r="AY32" i="53"/>
  <c r="AP32" i="54"/>
  <c r="AQ32" i="54" s="1"/>
  <c r="AV32" i="54" s="1"/>
  <c r="AW32" i="54"/>
  <c r="AU33" i="47"/>
  <c r="AJ34" i="47"/>
  <c r="AO33" i="47"/>
  <c r="AP32" i="50"/>
  <c r="AQ32" i="50" s="1"/>
  <c r="AV32" i="50" s="1"/>
  <c r="AW32" i="50"/>
  <c r="AZ31" i="53"/>
  <c r="BA31" i="53" s="1"/>
  <c r="BC30" i="53"/>
  <c r="AZ32" i="49"/>
  <c r="AJ34" i="49"/>
  <c r="AU33" i="49"/>
  <c r="AO33" i="49"/>
  <c r="AN34" i="53"/>
  <c r="AX33" i="53"/>
  <c r="AT33" i="53"/>
  <c r="AJ34" i="54"/>
  <c r="AO33" i="54"/>
  <c r="AU33" i="54"/>
  <c r="AO33" i="53"/>
  <c r="AU33" i="53"/>
  <c r="AJ34" i="53"/>
  <c r="BC30" i="47"/>
  <c r="AJ34" i="48"/>
  <c r="AU33" i="48"/>
  <c r="AO33" i="48"/>
  <c r="BA31" i="54"/>
  <c r="AN35" i="48"/>
  <c r="AX34" i="48"/>
  <c r="AT34" i="48"/>
  <c r="AY33" i="52"/>
  <c r="AJ34" i="52"/>
  <c r="AU33" i="52"/>
  <c r="AO33" i="52"/>
  <c r="BA31" i="50"/>
  <c r="AP32" i="51"/>
  <c r="AQ32" i="51" s="1"/>
  <c r="AV32" i="51" s="1"/>
  <c r="AW32" i="51"/>
  <c r="BA32" i="51" s="1"/>
  <c r="AY34" i="51"/>
  <c r="AZ32" i="52"/>
  <c r="AZ31" i="47"/>
  <c r="BA31" i="47" s="1"/>
  <c r="AZ33" i="51"/>
  <c r="AY32" i="47"/>
  <c r="BB30" i="43"/>
  <c r="BC30" i="43" s="1"/>
  <c r="AN35" i="45"/>
  <c r="AX34" i="45"/>
  <c r="AT34" i="45"/>
  <c r="AP32" i="45"/>
  <c r="AQ32" i="45" s="1"/>
  <c r="AV32" i="45" s="1"/>
  <c r="AW32" i="45"/>
  <c r="BC30" i="46"/>
  <c r="AY32" i="46"/>
  <c r="AW33" i="44"/>
  <c r="AP33" i="44"/>
  <c r="AQ33" i="44" s="1"/>
  <c r="AY32" i="43"/>
  <c r="AZ31" i="44"/>
  <c r="BA31" i="44" s="1"/>
  <c r="BB31" i="44" s="1"/>
  <c r="AZ31" i="46"/>
  <c r="BA31" i="46" s="1"/>
  <c r="BB31" i="46" s="1"/>
  <c r="BC30" i="44"/>
  <c r="AJ34" i="43"/>
  <c r="AU33" i="43"/>
  <c r="AO33" i="43"/>
  <c r="AJ35" i="44"/>
  <c r="AU34" i="44"/>
  <c r="AO34" i="44"/>
  <c r="AZ32" i="45"/>
  <c r="AY32" i="44"/>
  <c r="AN34" i="46"/>
  <c r="AX33" i="46"/>
  <c r="AT33" i="46"/>
  <c r="AW32" i="43"/>
  <c r="AP32" i="43"/>
  <c r="AQ32" i="43" s="1"/>
  <c r="AV32" i="43" s="1"/>
  <c r="AJ34" i="46"/>
  <c r="AO33" i="46"/>
  <c r="AU33" i="46"/>
  <c r="AY33" i="45"/>
  <c r="AP32" i="46"/>
  <c r="AQ32" i="46" s="1"/>
  <c r="AV32" i="46" s="1"/>
  <c r="AW32" i="46"/>
  <c r="BB30" i="45"/>
  <c r="BC30" i="45" s="1"/>
  <c r="AJ34" i="45"/>
  <c r="AU33" i="45"/>
  <c r="AO33" i="45"/>
  <c r="AN34" i="43"/>
  <c r="AX33" i="43"/>
  <c r="AT33" i="43"/>
  <c r="AX33" i="44"/>
  <c r="AN34" i="44"/>
  <c r="AT33" i="44"/>
  <c r="AZ31" i="43"/>
  <c r="BA31" i="43" s="1"/>
  <c r="BA31" i="45"/>
  <c r="AP32" i="42"/>
  <c r="AQ32" i="42" s="1"/>
  <c r="AV32" i="42" s="1"/>
  <c r="AW32" i="42"/>
  <c r="AY32" i="42"/>
  <c r="AJ34" i="42"/>
  <c r="AO33" i="42"/>
  <c r="AU33" i="42"/>
  <c r="BB30" i="41"/>
  <c r="BC30" i="41" s="1"/>
  <c r="AY33" i="41"/>
  <c r="AN34" i="42"/>
  <c r="AX33" i="42"/>
  <c r="AT33" i="42"/>
  <c r="AP32" i="41"/>
  <c r="AQ32" i="41" s="1"/>
  <c r="AV32" i="41" s="1"/>
  <c r="AW32" i="41"/>
  <c r="AZ31" i="42"/>
  <c r="BA31" i="42" s="1"/>
  <c r="AJ34" i="41"/>
  <c r="AO33" i="41"/>
  <c r="AU33" i="41"/>
  <c r="BA31" i="41"/>
  <c r="BC30" i="42"/>
  <c r="AN35" i="41"/>
  <c r="AX34" i="41"/>
  <c r="AT34" i="41"/>
  <c r="AZ32" i="41"/>
  <c r="BB31" i="40"/>
  <c r="BC31" i="40" s="1"/>
  <c r="AY33" i="40"/>
  <c r="AP33" i="40"/>
  <c r="AQ33" i="40" s="1"/>
  <c r="AV33" i="40" s="1"/>
  <c r="AW33" i="40"/>
  <c r="AU34" i="40"/>
  <c r="AJ35" i="40"/>
  <c r="AO34" i="40"/>
  <c r="AZ32" i="40"/>
  <c r="BA32" i="40" s="1"/>
  <c r="AN35" i="40"/>
  <c r="AX34" i="40"/>
  <c r="AT34" i="40"/>
  <c r="BA32" i="65" l="1"/>
  <c r="BB32" i="65" s="1"/>
  <c r="BC31" i="62"/>
  <c r="Y35" i="39"/>
  <c r="Y34" i="39"/>
  <c r="Y37" i="39"/>
  <c r="Y36" i="39"/>
  <c r="M46" i="68"/>
  <c r="X33" i="39"/>
  <c r="BC31" i="66"/>
  <c r="BA32" i="50"/>
  <c r="BB32" i="50" s="1"/>
  <c r="BA32" i="63"/>
  <c r="BB32" i="63" s="1"/>
  <c r="BC31" i="67"/>
  <c r="BA32" i="62"/>
  <c r="BB32" i="62" s="1"/>
  <c r="BA32" i="64"/>
  <c r="BB32" i="64" s="1"/>
  <c r="BA32" i="67"/>
  <c r="BB32" i="67" s="1"/>
  <c r="BC31" i="44"/>
  <c r="BC31" i="68"/>
  <c r="BC31" i="57"/>
  <c r="BA32" i="49"/>
  <c r="BB32" i="49" s="1"/>
  <c r="BC32" i="49" s="1"/>
  <c r="BA32" i="54"/>
  <c r="BB32" i="54" s="1"/>
  <c r="BA32" i="52"/>
  <c r="BB31" i="60"/>
  <c r="BC31" i="60" s="1"/>
  <c r="AP33" i="65"/>
  <c r="AQ33" i="65" s="1"/>
  <c r="AV33" i="65" s="1"/>
  <c r="AW33" i="65"/>
  <c r="AP33" i="63"/>
  <c r="AQ33" i="63" s="1"/>
  <c r="AV33" i="63" s="1"/>
  <c r="AW33" i="63"/>
  <c r="AP33" i="61"/>
  <c r="AQ33" i="61" s="1"/>
  <c r="AV33" i="61" s="1"/>
  <c r="AW33" i="61"/>
  <c r="BA33" i="61" s="1"/>
  <c r="AY34" i="55"/>
  <c r="AW33" i="59"/>
  <c r="AP33" i="59"/>
  <c r="AQ33" i="59" s="1"/>
  <c r="AV33" i="59" s="1"/>
  <c r="AP33" i="58"/>
  <c r="AQ33" i="58" s="1"/>
  <c r="AV33" i="58" s="1"/>
  <c r="AW33" i="58"/>
  <c r="BA33" i="58" s="1"/>
  <c r="AP36" i="57"/>
  <c r="AQ36" i="57" s="1"/>
  <c r="AJ35" i="63"/>
  <c r="AO34" i="63"/>
  <c r="AU34" i="63"/>
  <c r="AY33" i="59"/>
  <c r="AU34" i="61"/>
  <c r="AJ35" i="61"/>
  <c r="AO34" i="61"/>
  <c r="BB32" i="58"/>
  <c r="BC32" i="58" s="1"/>
  <c r="AN36" i="55"/>
  <c r="AX35" i="55"/>
  <c r="AT35" i="55"/>
  <c r="AO34" i="56"/>
  <c r="AU34" i="56"/>
  <c r="AJ35" i="56"/>
  <c r="AP33" i="68"/>
  <c r="AQ33" i="68" s="1"/>
  <c r="AV33" i="68" s="1"/>
  <c r="AW33" i="68"/>
  <c r="AY33" i="57"/>
  <c r="AY34" i="62"/>
  <c r="AP33" i="60"/>
  <c r="AQ33" i="60" s="1"/>
  <c r="AV33" i="60" s="1"/>
  <c r="AW33" i="60"/>
  <c r="AZ34" i="61"/>
  <c r="AU34" i="62"/>
  <c r="AJ35" i="62"/>
  <c r="AO34" i="62"/>
  <c r="BC32" i="65"/>
  <c r="BC31" i="56"/>
  <c r="BB31" i="64"/>
  <c r="BC31" i="64" s="1"/>
  <c r="AU34" i="65"/>
  <c r="AJ35" i="65"/>
  <c r="AO34" i="65"/>
  <c r="AP33" i="67"/>
  <c r="AQ33" i="67" s="1"/>
  <c r="AV33" i="67" s="1"/>
  <c r="AW33" i="67"/>
  <c r="AN35" i="59"/>
  <c r="AX34" i="59"/>
  <c r="AT34" i="59"/>
  <c r="AW33" i="56"/>
  <c r="AP33" i="56"/>
  <c r="AQ33" i="56" s="1"/>
  <c r="AV33" i="56" s="1"/>
  <c r="AZ33" i="63"/>
  <c r="AU34" i="66"/>
  <c r="AJ35" i="66"/>
  <c r="AO34" i="66"/>
  <c r="AZ32" i="60"/>
  <c r="BA32" i="60" s="1"/>
  <c r="BB32" i="60" s="1"/>
  <c r="BA32" i="66"/>
  <c r="AJ35" i="55"/>
  <c r="AO34" i="55"/>
  <c r="AU34" i="55"/>
  <c r="AJ35" i="68"/>
  <c r="AO34" i="68"/>
  <c r="AU34" i="68"/>
  <c r="AY34" i="67"/>
  <c r="AN35" i="57"/>
  <c r="AX34" i="57"/>
  <c r="AT34" i="57"/>
  <c r="AV34" i="57" s="1"/>
  <c r="AW34" i="57"/>
  <c r="AY34" i="65"/>
  <c r="AN36" i="62"/>
  <c r="AX35" i="62"/>
  <c r="AT35" i="62"/>
  <c r="AJ35" i="60"/>
  <c r="AO34" i="60"/>
  <c r="AU34" i="60"/>
  <c r="BB31" i="55"/>
  <c r="BC31" i="55" s="1"/>
  <c r="AZ32" i="57"/>
  <c r="BA32" i="57" s="1"/>
  <c r="BB32" i="57" s="1"/>
  <c r="AY34" i="63"/>
  <c r="AY34" i="68"/>
  <c r="AY34" i="64"/>
  <c r="AU34" i="58"/>
  <c r="AJ35" i="58"/>
  <c r="AO34" i="58"/>
  <c r="AY33" i="56"/>
  <c r="AZ33" i="65"/>
  <c r="AN36" i="68"/>
  <c r="AX35" i="68"/>
  <c r="AT35" i="68"/>
  <c r="AN36" i="64"/>
  <c r="AX35" i="64"/>
  <c r="AT35" i="64"/>
  <c r="AU34" i="59"/>
  <c r="AJ35" i="59"/>
  <c r="AO34" i="59"/>
  <c r="AZ33" i="62"/>
  <c r="AU37" i="57"/>
  <c r="AJ38" i="57"/>
  <c r="AO37" i="57"/>
  <c r="AZ34" i="58"/>
  <c r="AY33" i="60"/>
  <c r="AJ35" i="67"/>
  <c r="AO34" i="67"/>
  <c r="AU34" i="67"/>
  <c r="AZ33" i="68"/>
  <c r="AZ33" i="64"/>
  <c r="BB31" i="65"/>
  <c r="BC31" i="65" s="1"/>
  <c r="AW33" i="66"/>
  <c r="AP33" i="66"/>
  <c r="AQ33" i="66" s="1"/>
  <c r="AV33" i="66" s="1"/>
  <c r="AW33" i="55"/>
  <c r="AP33" i="55"/>
  <c r="AQ33" i="55" s="1"/>
  <c r="AV33" i="55" s="1"/>
  <c r="AZ32" i="59"/>
  <c r="BA32" i="59" s="1"/>
  <c r="AY35" i="61"/>
  <c r="AP33" i="64"/>
  <c r="AQ33" i="64" s="1"/>
  <c r="AV33" i="64" s="1"/>
  <c r="AW33" i="64"/>
  <c r="BC32" i="63"/>
  <c r="AN36" i="67"/>
  <c r="AX35" i="67"/>
  <c r="AT35" i="67"/>
  <c r="AY34" i="66"/>
  <c r="BC31" i="59"/>
  <c r="BA32" i="68"/>
  <c r="AN36" i="65"/>
  <c r="AX35" i="65"/>
  <c r="AT35" i="65"/>
  <c r="AZ32" i="56"/>
  <c r="BA32" i="56" s="1"/>
  <c r="AW33" i="62"/>
  <c r="AP33" i="62"/>
  <c r="AQ33" i="62" s="1"/>
  <c r="AV33" i="62" s="1"/>
  <c r="AY35" i="58"/>
  <c r="AN36" i="63"/>
  <c r="AX35" i="63"/>
  <c r="AT35" i="63"/>
  <c r="BA32" i="55"/>
  <c r="AN35" i="60"/>
  <c r="AX34" i="60"/>
  <c r="AT34" i="60"/>
  <c r="AX34" i="56"/>
  <c r="AN35" i="56"/>
  <c r="AT34" i="56"/>
  <c r="BB31" i="63"/>
  <c r="BC31" i="63" s="1"/>
  <c r="BB32" i="61"/>
  <c r="BC32" i="61" s="1"/>
  <c r="AN37" i="61"/>
  <c r="AX36" i="61"/>
  <c r="AT36" i="61"/>
  <c r="AJ35" i="64"/>
  <c r="AO34" i="64"/>
  <c r="AU34" i="64"/>
  <c r="AZ33" i="55"/>
  <c r="AN36" i="66"/>
  <c r="AX35" i="66"/>
  <c r="AT35" i="66"/>
  <c r="AZ33" i="67"/>
  <c r="AZ33" i="66"/>
  <c r="AN37" i="58"/>
  <c r="AX36" i="58"/>
  <c r="AT36" i="58"/>
  <c r="BB31" i="47"/>
  <c r="BC31" i="47" s="1"/>
  <c r="BB31" i="53"/>
  <c r="BC31" i="53" s="1"/>
  <c r="AP33" i="52"/>
  <c r="AQ33" i="52" s="1"/>
  <c r="AV33" i="52" s="1"/>
  <c r="AW33" i="52"/>
  <c r="BB31" i="54"/>
  <c r="BC31" i="54" s="1"/>
  <c r="AY34" i="54"/>
  <c r="AZ33" i="54"/>
  <c r="AN35" i="47"/>
  <c r="AX34" i="47"/>
  <c r="AT34" i="47"/>
  <c r="AU34" i="53"/>
  <c r="AJ35" i="53"/>
  <c r="AO34" i="53"/>
  <c r="AY34" i="50"/>
  <c r="BB31" i="52"/>
  <c r="BC31" i="52" s="1"/>
  <c r="AY35" i="51"/>
  <c r="AN36" i="54"/>
  <c r="AX35" i="54"/>
  <c r="AT35" i="54"/>
  <c r="AY34" i="49"/>
  <c r="AZ33" i="49"/>
  <c r="AN36" i="52"/>
  <c r="AX35" i="52"/>
  <c r="AT35" i="52"/>
  <c r="AJ35" i="52"/>
  <c r="AU34" i="52"/>
  <c r="AO34" i="52"/>
  <c r="AY34" i="48"/>
  <c r="AU34" i="54"/>
  <c r="AJ35" i="54"/>
  <c r="AO34" i="54"/>
  <c r="AP33" i="49"/>
  <c r="AQ33" i="49" s="1"/>
  <c r="AV33" i="49" s="1"/>
  <c r="AW33" i="49"/>
  <c r="AJ35" i="47"/>
  <c r="AO34" i="47"/>
  <c r="AU34" i="47"/>
  <c r="AJ35" i="51"/>
  <c r="AO34" i="51"/>
  <c r="AU34" i="51"/>
  <c r="AN36" i="50"/>
  <c r="AX35" i="50"/>
  <c r="AT35" i="50"/>
  <c r="AN37" i="51"/>
  <c r="AX36" i="51"/>
  <c r="AT36" i="51"/>
  <c r="AP33" i="50"/>
  <c r="AQ33" i="50" s="1"/>
  <c r="AV33" i="50" s="1"/>
  <c r="AW33" i="50"/>
  <c r="AN36" i="49"/>
  <c r="AX35" i="49"/>
  <c r="AT35" i="49"/>
  <c r="AZ33" i="48"/>
  <c r="AY33" i="53"/>
  <c r="AJ35" i="49"/>
  <c r="AO34" i="49"/>
  <c r="AU34" i="49"/>
  <c r="AW33" i="51"/>
  <c r="BA33" i="51" s="1"/>
  <c r="AP33" i="51"/>
  <c r="AQ33" i="51" s="1"/>
  <c r="AV33" i="51" s="1"/>
  <c r="AZ33" i="50"/>
  <c r="BB32" i="51"/>
  <c r="BC32" i="51" s="1"/>
  <c r="AW33" i="48"/>
  <c r="AP33" i="48"/>
  <c r="AQ33" i="48" s="1"/>
  <c r="AV33" i="48" s="1"/>
  <c r="AP33" i="54"/>
  <c r="AQ33" i="54" s="1"/>
  <c r="AV33" i="54" s="1"/>
  <c r="AW33" i="54"/>
  <c r="AN35" i="53"/>
  <c r="AX34" i="53"/>
  <c r="AT34" i="53"/>
  <c r="AP33" i="47"/>
  <c r="AQ33" i="47" s="1"/>
  <c r="AV33" i="47" s="1"/>
  <c r="AW33" i="47"/>
  <c r="AZ32" i="47"/>
  <c r="BA32" i="47" s="1"/>
  <c r="AZ34" i="51"/>
  <c r="BB31" i="50"/>
  <c r="BC31" i="50" s="1"/>
  <c r="AZ33" i="52"/>
  <c r="AN36" i="48"/>
  <c r="AT35" i="48"/>
  <c r="AX35" i="48"/>
  <c r="AJ35" i="48"/>
  <c r="AU34" i="48"/>
  <c r="AO34" i="48"/>
  <c r="AW33" i="53"/>
  <c r="AP33" i="53"/>
  <c r="AQ33" i="53" s="1"/>
  <c r="AV33" i="53" s="1"/>
  <c r="AZ32" i="53"/>
  <c r="BA32" i="53" s="1"/>
  <c r="BB31" i="49"/>
  <c r="BC31" i="49" s="1"/>
  <c r="BA32" i="48"/>
  <c r="AJ35" i="50"/>
  <c r="AU34" i="50"/>
  <c r="AO34" i="50"/>
  <c r="BB31" i="48"/>
  <c r="BC31" i="48" s="1"/>
  <c r="AY33" i="47"/>
  <c r="AY34" i="52"/>
  <c r="BB31" i="43"/>
  <c r="BC31" i="43" s="1"/>
  <c r="AZ33" i="45"/>
  <c r="AN35" i="46"/>
  <c r="AX34" i="46"/>
  <c r="AT34" i="46"/>
  <c r="BA32" i="45"/>
  <c r="AT35" i="45"/>
  <c r="AN36" i="45"/>
  <c r="AX35" i="45"/>
  <c r="AY33" i="43"/>
  <c r="AJ35" i="45"/>
  <c r="AU34" i="45"/>
  <c r="AO34" i="45"/>
  <c r="AZ32" i="44"/>
  <c r="BA32" i="44" s="1"/>
  <c r="BB32" i="44" s="1"/>
  <c r="AP34" i="44"/>
  <c r="AQ34" i="44" s="1"/>
  <c r="AW34" i="44"/>
  <c r="AP33" i="43"/>
  <c r="AQ33" i="43" s="1"/>
  <c r="AV33" i="43" s="1"/>
  <c r="AW33" i="43"/>
  <c r="BC31" i="46"/>
  <c r="AZ32" i="43"/>
  <c r="BA32" i="43" s="1"/>
  <c r="BB31" i="45"/>
  <c r="BC31" i="45" s="1"/>
  <c r="AN35" i="44"/>
  <c r="AX34" i="44"/>
  <c r="AT34" i="44"/>
  <c r="AN35" i="43"/>
  <c r="AT34" i="43"/>
  <c r="AX34" i="43"/>
  <c r="AP33" i="46"/>
  <c r="AQ33" i="46" s="1"/>
  <c r="AV33" i="46" s="1"/>
  <c r="AW33" i="46"/>
  <c r="AZ32" i="46"/>
  <c r="BA32" i="46" s="1"/>
  <c r="AY33" i="44"/>
  <c r="AP33" i="45"/>
  <c r="AQ33" i="45" s="1"/>
  <c r="AV33" i="45" s="1"/>
  <c r="AW33" i="45"/>
  <c r="AU34" i="46"/>
  <c r="AJ35" i="46"/>
  <c r="AO34" i="46"/>
  <c r="AY33" i="46"/>
  <c r="AJ36" i="44"/>
  <c r="AU35" i="44"/>
  <c r="AO35" i="44"/>
  <c r="AJ35" i="43"/>
  <c r="AU34" i="43"/>
  <c r="AO34" i="43"/>
  <c r="AV33" i="44"/>
  <c r="AY34" i="45"/>
  <c r="BB31" i="42"/>
  <c r="BC31" i="42" s="1"/>
  <c r="AU34" i="41"/>
  <c r="AJ35" i="41"/>
  <c r="AO34" i="41"/>
  <c r="AZ33" i="41"/>
  <c r="AZ32" i="42"/>
  <c r="BA32" i="42" s="1"/>
  <c r="BB32" i="42" s="1"/>
  <c r="BB31" i="41"/>
  <c r="BC31" i="41" s="1"/>
  <c r="AP33" i="42"/>
  <c r="AQ33" i="42" s="1"/>
  <c r="AV33" i="42" s="1"/>
  <c r="AW33" i="42"/>
  <c r="AY34" i="41"/>
  <c r="AY33" i="42"/>
  <c r="AU34" i="42"/>
  <c r="AJ35" i="42"/>
  <c r="AO34" i="42"/>
  <c r="AN36" i="41"/>
  <c r="AX35" i="41"/>
  <c r="AT35" i="41"/>
  <c r="AP33" i="41"/>
  <c r="AQ33" i="41" s="1"/>
  <c r="AV33" i="41" s="1"/>
  <c r="AW33" i="41"/>
  <c r="BA32" i="41"/>
  <c r="AN35" i="42"/>
  <c r="AX34" i="42"/>
  <c r="AT34" i="42"/>
  <c r="BB32" i="40"/>
  <c r="BC32" i="40" s="1"/>
  <c r="AZ33" i="40"/>
  <c r="BA33" i="40" s="1"/>
  <c r="BB33" i="40" s="1"/>
  <c r="AY34" i="40"/>
  <c r="AP34" i="40"/>
  <c r="AQ34" i="40" s="1"/>
  <c r="AV34" i="40" s="1"/>
  <c r="AW34" i="40"/>
  <c r="AN36" i="40"/>
  <c r="AX35" i="40"/>
  <c r="AT35" i="40"/>
  <c r="AJ36" i="40"/>
  <c r="AO35" i="40"/>
  <c r="AU35" i="40"/>
  <c r="BC32" i="67" l="1"/>
  <c r="BC32" i="62"/>
  <c r="BC32" i="50"/>
  <c r="W35" i="39"/>
  <c r="W36" i="39"/>
  <c r="W34" i="39"/>
  <c r="W37" i="39"/>
  <c r="BC32" i="54"/>
  <c r="BC32" i="64"/>
  <c r="BA33" i="64"/>
  <c r="BB33" i="64" s="1"/>
  <c r="BA33" i="45"/>
  <c r="BB33" i="45" s="1"/>
  <c r="BA33" i="48"/>
  <c r="BB33" i="48" s="1"/>
  <c r="BB32" i="47"/>
  <c r="BC32" i="47" s="1"/>
  <c r="BB32" i="52"/>
  <c r="BC32" i="52" s="1"/>
  <c r="BA33" i="41"/>
  <c r="BB33" i="41" s="1"/>
  <c r="BC32" i="44"/>
  <c r="BA33" i="55"/>
  <c r="BA33" i="50"/>
  <c r="BB33" i="50" s="1"/>
  <c r="BC33" i="50" s="1"/>
  <c r="BA33" i="62"/>
  <c r="BB32" i="59"/>
  <c r="BC32" i="59" s="1"/>
  <c r="BB32" i="56"/>
  <c r="BC32" i="56" s="1"/>
  <c r="AX35" i="56"/>
  <c r="AN36" i="56"/>
  <c r="AT35" i="56"/>
  <c r="AY35" i="63"/>
  <c r="AY35" i="67"/>
  <c r="AY36" i="58"/>
  <c r="AN37" i="66"/>
  <c r="AX36" i="66"/>
  <c r="AT36" i="66"/>
  <c r="AP34" i="64"/>
  <c r="AQ34" i="64" s="1"/>
  <c r="AV34" i="64" s="1"/>
  <c r="AW34" i="64"/>
  <c r="AN38" i="61"/>
  <c r="AX37" i="61"/>
  <c r="AT37" i="61"/>
  <c r="AY34" i="56"/>
  <c r="AN37" i="63"/>
  <c r="AX36" i="63"/>
  <c r="AT36" i="63"/>
  <c r="AN37" i="65"/>
  <c r="AX36" i="65"/>
  <c r="AT36" i="65"/>
  <c r="AN37" i="67"/>
  <c r="AX36" i="67"/>
  <c r="AT36" i="67"/>
  <c r="AZ35" i="61"/>
  <c r="BA33" i="66"/>
  <c r="AP34" i="67"/>
  <c r="AQ34" i="67" s="1"/>
  <c r="AV34" i="67" s="1"/>
  <c r="AW34" i="67"/>
  <c r="AO35" i="59"/>
  <c r="AU35" i="59"/>
  <c r="AJ36" i="59"/>
  <c r="AN37" i="64"/>
  <c r="AX36" i="64"/>
  <c r="AT36" i="64"/>
  <c r="AZ34" i="64"/>
  <c r="AZ34" i="63"/>
  <c r="AU35" i="60"/>
  <c r="AJ36" i="60"/>
  <c r="AO35" i="60"/>
  <c r="AY34" i="57"/>
  <c r="AP34" i="55"/>
  <c r="AQ34" i="55" s="1"/>
  <c r="AV34" i="55" s="1"/>
  <c r="AW34" i="55"/>
  <c r="AP34" i="62"/>
  <c r="AQ34" i="62" s="1"/>
  <c r="AV34" i="62" s="1"/>
  <c r="AW34" i="62"/>
  <c r="AZ34" i="62"/>
  <c r="AW34" i="56"/>
  <c r="AP34" i="56"/>
  <c r="AQ34" i="56" s="1"/>
  <c r="AV34" i="56" s="1"/>
  <c r="AP34" i="63"/>
  <c r="AQ34" i="63" s="1"/>
  <c r="AV34" i="63" s="1"/>
  <c r="AW34" i="63"/>
  <c r="BB33" i="58"/>
  <c r="BC33" i="58" s="1"/>
  <c r="BB33" i="61"/>
  <c r="BC33" i="61" s="1"/>
  <c r="BA33" i="63"/>
  <c r="BA33" i="65"/>
  <c r="AU35" i="64"/>
  <c r="AJ36" i="64"/>
  <c r="AO35" i="64"/>
  <c r="BB32" i="55"/>
  <c r="BC32" i="55" s="1"/>
  <c r="BB32" i="68"/>
  <c r="BC32" i="68" s="1"/>
  <c r="AZ34" i="66"/>
  <c r="AJ36" i="67"/>
  <c r="AO35" i="67"/>
  <c r="AU35" i="67"/>
  <c r="AZ33" i="56"/>
  <c r="AZ34" i="65"/>
  <c r="AN36" i="57"/>
  <c r="AX35" i="57"/>
  <c r="AT35" i="57"/>
  <c r="AV35" i="57" s="1"/>
  <c r="AW35" i="57"/>
  <c r="AP34" i="68"/>
  <c r="AQ34" i="68" s="1"/>
  <c r="AV34" i="68" s="1"/>
  <c r="AW34" i="68"/>
  <c r="AO35" i="55"/>
  <c r="AU35" i="55"/>
  <c r="AJ36" i="55"/>
  <c r="AP34" i="66"/>
  <c r="AQ34" i="66" s="1"/>
  <c r="AV34" i="66" s="1"/>
  <c r="AW34" i="66"/>
  <c r="AY34" i="59"/>
  <c r="AP34" i="65"/>
  <c r="AQ34" i="65" s="1"/>
  <c r="AV34" i="65" s="1"/>
  <c r="AW34" i="65"/>
  <c r="AO35" i="62"/>
  <c r="AU35" i="62"/>
  <c r="AJ36" i="62"/>
  <c r="AU35" i="63"/>
  <c r="AJ36" i="63"/>
  <c r="AO35" i="63"/>
  <c r="AX37" i="58"/>
  <c r="AT37" i="58"/>
  <c r="AN38" i="58"/>
  <c r="AY34" i="60"/>
  <c r="AZ35" i="58"/>
  <c r="AP37" i="57"/>
  <c r="AQ37" i="57" s="1"/>
  <c r="AY35" i="68"/>
  <c r="AP34" i="58"/>
  <c r="AQ34" i="58" s="1"/>
  <c r="AV34" i="58" s="1"/>
  <c r="AW34" i="58"/>
  <c r="BA34" i="58" s="1"/>
  <c r="AZ34" i="68"/>
  <c r="BC32" i="57"/>
  <c r="AY35" i="62"/>
  <c r="AZ34" i="67"/>
  <c r="AJ36" i="68"/>
  <c r="AO35" i="68"/>
  <c r="AU35" i="68"/>
  <c r="BB32" i="66"/>
  <c r="BC32" i="66" s="1"/>
  <c r="AO35" i="66"/>
  <c r="AJ36" i="66"/>
  <c r="AU35" i="66"/>
  <c r="AN36" i="59"/>
  <c r="AX35" i="59"/>
  <c r="AT35" i="59"/>
  <c r="AJ36" i="65"/>
  <c r="AO35" i="65"/>
  <c r="AU35" i="65"/>
  <c r="AZ33" i="57"/>
  <c r="BA33" i="57" s="1"/>
  <c r="BB33" i="57" s="1"/>
  <c r="AU35" i="56"/>
  <c r="AO35" i="56"/>
  <c r="AJ36" i="56"/>
  <c r="AY35" i="55"/>
  <c r="AP34" i="61"/>
  <c r="AQ34" i="61" s="1"/>
  <c r="AV34" i="61" s="1"/>
  <c r="AW34" i="61"/>
  <c r="BA34" i="61" s="1"/>
  <c r="AZ34" i="55"/>
  <c r="AY35" i="66"/>
  <c r="AY36" i="61"/>
  <c r="AN36" i="60"/>
  <c r="AX35" i="60"/>
  <c r="AT35" i="60"/>
  <c r="AY35" i="65"/>
  <c r="AZ33" i="60"/>
  <c r="BA33" i="60" s="1"/>
  <c r="AO38" i="57"/>
  <c r="AU38" i="57"/>
  <c r="AJ39" i="57"/>
  <c r="AP34" i="59"/>
  <c r="AQ34" i="59" s="1"/>
  <c r="AV34" i="59" s="1"/>
  <c r="AW34" i="59"/>
  <c r="AY35" i="64"/>
  <c r="AN37" i="68"/>
  <c r="AX36" i="68"/>
  <c r="AT36" i="68"/>
  <c r="AJ36" i="58"/>
  <c r="AO35" i="58"/>
  <c r="AU35" i="58"/>
  <c r="AP34" i="60"/>
  <c r="AQ34" i="60" s="1"/>
  <c r="AV34" i="60" s="1"/>
  <c r="AW34" i="60"/>
  <c r="AN37" i="62"/>
  <c r="AX36" i="62"/>
  <c r="AT36" i="62"/>
  <c r="BC32" i="60"/>
  <c r="BA33" i="56"/>
  <c r="BB33" i="56" s="1"/>
  <c r="BA33" i="67"/>
  <c r="BA33" i="68"/>
  <c r="AN37" i="55"/>
  <c r="AX36" i="55"/>
  <c r="AT36" i="55"/>
  <c r="AJ36" i="61"/>
  <c r="AO35" i="61"/>
  <c r="AU35" i="61"/>
  <c r="AZ33" i="59"/>
  <c r="BA33" i="59" s="1"/>
  <c r="BB32" i="53"/>
  <c r="BC32" i="53" s="1"/>
  <c r="AZ34" i="52"/>
  <c r="AZ34" i="48"/>
  <c r="AZ33" i="53"/>
  <c r="BA33" i="53" s="1"/>
  <c r="BB33" i="53" s="1"/>
  <c r="AJ36" i="52"/>
  <c r="AU35" i="52"/>
  <c r="AO35" i="52"/>
  <c r="AN38" i="51"/>
  <c r="AX37" i="51"/>
  <c r="AT37" i="51"/>
  <c r="AP34" i="47"/>
  <c r="AQ34" i="47" s="1"/>
  <c r="AV34" i="47" s="1"/>
  <c r="AW34" i="47"/>
  <c r="AY35" i="54"/>
  <c r="AP34" i="53"/>
  <c r="AQ34" i="53" s="1"/>
  <c r="AV34" i="53" s="1"/>
  <c r="AW34" i="53"/>
  <c r="AP34" i="50"/>
  <c r="AQ34" i="50" s="1"/>
  <c r="AV34" i="50" s="1"/>
  <c r="AW34" i="50"/>
  <c r="AJ36" i="48"/>
  <c r="AU35" i="48"/>
  <c r="AO35" i="48"/>
  <c r="AN36" i="53"/>
  <c r="AT35" i="53"/>
  <c r="AX35" i="53"/>
  <c r="AP34" i="49"/>
  <c r="AQ34" i="49" s="1"/>
  <c r="AV34" i="49" s="1"/>
  <c r="AW34" i="49"/>
  <c r="AY35" i="49"/>
  <c r="AP34" i="51"/>
  <c r="AQ34" i="51" s="1"/>
  <c r="AV34" i="51" s="1"/>
  <c r="AW34" i="51"/>
  <c r="BA34" i="51" s="1"/>
  <c r="AU35" i="47"/>
  <c r="AJ36" i="47"/>
  <c r="AO35" i="47"/>
  <c r="AJ36" i="54"/>
  <c r="AO35" i="54"/>
  <c r="AU35" i="54"/>
  <c r="AW34" i="52"/>
  <c r="AP34" i="52"/>
  <c r="AQ34" i="52" s="1"/>
  <c r="AV34" i="52" s="1"/>
  <c r="AY35" i="52"/>
  <c r="AZ34" i="49"/>
  <c r="AN37" i="54"/>
  <c r="AX36" i="54"/>
  <c r="AT36" i="54"/>
  <c r="AJ36" i="53"/>
  <c r="AU35" i="53"/>
  <c r="AO35" i="53"/>
  <c r="AN36" i="47"/>
  <c r="AX35" i="47"/>
  <c r="AT35" i="47"/>
  <c r="AZ34" i="54"/>
  <c r="BA33" i="52"/>
  <c r="AJ36" i="50"/>
  <c r="AO35" i="50"/>
  <c r="AU35" i="50"/>
  <c r="AP34" i="48"/>
  <c r="AQ34" i="48" s="1"/>
  <c r="AV34" i="48" s="1"/>
  <c r="AW34" i="48"/>
  <c r="BB33" i="51"/>
  <c r="BC33" i="51" s="1"/>
  <c r="AY36" i="51"/>
  <c r="AN37" i="50"/>
  <c r="AX36" i="50"/>
  <c r="AT36" i="50"/>
  <c r="BB32" i="48"/>
  <c r="BC32" i="48" s="1"/>
  <c r="AN37" i="48"/>
  <c r="AX36" i="48"/>
  <c r="AT36" i="48"/>
  <c r="AY34" i="53"/>
  <c r="AP34" i="54"/>
  <c r="AQ34" i="54" s="1"/>
  <c r="AV34" i="54" s="1"/>
  <c r="AW34" i="54"/>
  <c r="AY34" i="47"/>
  <c r="AZ33" i="47"/>
  <c r="BA33" i="47" s="1"/>
  <c r="AY35" i="48"/>
  <c r="BA33" i="54"/>
  <c r="AJ36" i="49"/>
  <c r="AO35" i="49"/>
  <c r="AU35" i="49"/>
  <c r="AN37" i="49"/>
  <c r="AX36" i="49"/>
  <c r="AT36" i="49"/>
  <c r="AY35" i="50"/>
  <c r="AJ36" i="51"/>
  <c r="AO35" i="51"/>
  <c r="AU35" i="51"/>
  <c r="BA33" i="49"/>
  <c r="AN37" i="52"/>
  <c r="AT36" i="52"/>
  <c r="AX36" i="52"/>
  <c r="AZ35" i="51"/>
  <c r="AZ34" i="50"/>
  <c r="BB32" i="46"/>
  <c r="BC32" i="46" s="1"/>
  <c r="BB32" i="43"/>
  <c r="BC32" i="43" s="1"/>
  <c r="AO35" i="45"/>
  <c r="AJ36" i="45"/>
  <c r="AU35" i="45"/>
  <c r="AN37" i="45"/>
  <c r="AT36" i="45"/>
  <c r="AX36" i="45"/>
  <c r="AW34" i="43"/>
  <c r="AP34" i="43"/>
  <c r="AQ34" i="43" s="1"/>
  <c r="AV34" i="43" s="1"/>
  <c r="AP34" i="46"/>
  <c r="AQ34" i="46" s="1"/>
  <c r="AV34" i="46" s="1"/>
  <c r="AW34" i="46"/>
  <c r="AN36" i="44"/>
  <c r="AT35" i="44"/>
  <c r="AX35" i="44"/>
  <c r="AZ33" i="43"/>
  <c r="AY34" i="46"/>
  <c r="AY34" i="44"/>
  <c r="AZ34" i="45"/>
  <c r="AJ37" i="44"/>
  <c r="AU36" i="44"/>
  <c r="AO36" i="44"/>
  <c r="AJ36" i="46"/>
  <c r="AO35" i="46"/>
  <c r="AU35" i="46"/>
  <c r="AZ33" i="44"/>
  <c r="BA33" i="44" s="1"/>
  <c r="BB33" i="44" s="1"/>
  <c r="AN36" i="43"/>
  <c r="AX35" i="43"/>
  <c r="AT35" i="43"/>
  <c r="AV34" i="44"/>
  <c r="AP34" i="45"/>
  <c r="AQ34" i="45" s="1"/>
  <c r="AV34" i="45" s="1"/>
  <c r="AW34" i="45"/>
  <c r="BB32" i="45"/>
  <c r="BC32" i="45" s="1"/>
  <c r="AN36" i="46"/>
  <c r="AX35" i="46"/>
  <c r="AT35" i="46"/>
  <c r="AW35" i="44"/>
  <c r="AP35" i="44"/>
  <c r="AQ35" i="44" s="1"/>
  <c r="AV35" i="44" s="1"/>
  <c r="AY34" i="43"/>
  <c r="AJ36" i="43"/>
  <c r="AU35" i="43"/>
  <c r="AO35" i="43"/>
  <c r="AZ33" i="46"/>
  <c r="BA33" i="46" s="1"/>
  <c r="BA33" i="43"/>
  <c r="BB33" i="43" s="1"/>
  <c r="AY35" i="45"/>
  <c r="AY34" i="42"/>
  <c r="AN36" i="42"/>
  <c r="AX35" i="42"/>
  <c r="AT35" i="42"/>
  <c r="AP34" i="42"/>
  <c r="AQ34" i="42" s="1"/>
  <c r="AV34" i="42" s="1"/>
  <c r="AW34" i="42"/>
  <c r="AU35" i="41"/>
  <c r="AJ36" i="41"/>
  <c r="AO35" i="41"/>
  <c r="BB32" i="41"/>
  <c r="BC32" i="41" s="1"/>
  <c r="AY35" i="41"/>
  <c r="AJ36" i="42"/>
  <c r="AO35" i="42"/>
  <c r="AU35" i="42"/>
  <c r="AN37" i="41"/>
  <c r="AX36" i="41"/>
  <c r="AT36" i="41"/>
  <c r="AZ34" i="41"/>
  <c r="AZ33" i="42"/>
  <c r="BA33" i="42" s="1"/>
  <c r="BC32" i="42"/>
  <c r="AP34" i="41"/>
  <c r="AQ34" i="41" s="1"/>
  <c r="AV34" i="41" s="1"/>
  <c r="AW34" i="41"/>
  <c r="BC33" i="40"/>
  <c r="AY35" i="40"/>
  <c r="AP35" i="40"/>
  <c r="AQ35" i="40" s="1"/>
  <c r="AV35" i="40" s="1"/>
  <c r="AW35" i="40"/>
  <c r="AN37" i="40"/>
  <c r="AX36" i="40"/>
  <c r="AT36" i="40"/>
  <c r="AU36" i="40"/>
  <c r="AJ37" i="40"/>
  <c r="AO36" i="40"/>
  <c r="AZ34" i="40"/>
  <c r="BA34" i="40" s="1"/>
  <c r="BC33" i="45" l="1"/>
  <c r="BC33" i="64"/>
  <c r="BC33" i="41"/>
  <c r="BC33" i="48"/>
  <c r="BA34" i="63"/>
  <c r="BB34" i="63" s="1"/>
  <c r="BA34" i="52"/>
  <c r="BB34" i="52" s="1"/>
  <c r="BA34" i="41"/>
  <c r="BB34" i="41" s="1"/>
  <c r="BA34" i="54"/>
  <c r="BB34" i="54" s="1"/>
  <c r="BB33" i="60"/>
  <c r="BC33" i="60" s="1"/>
  <c r="BC33" i="53"/>
  <c r="BB33" i="42"/>
  <c r="BC33" i="42" s="1"/>
  <c r="BB33" i="62"/>
  <c r="BC33" i="62" s="1"/>
  <c r="BA34" i="48"/>
  <c r="BB34" i="48" s="1"/>
  <c r="BA34" i="66"/>
  <c r="BB34" i="66" s="1"/>
  <c r="BA34" i="65"/>
  <c r="BB34" i="65" s="1"/>
  <c r="BA34" i="45"/>
  <c r="BB34" i="45" s="1"/>
  <c r="BC34" i="52"/>
  <c r="BC33" i="57"/>
  <c r="BB33" i="55"/>
  <c r="BC33" i="55" s="1"/>
  <c r="BB33" i="59"/>
  <c r="BC33" i="59" s="1"/>
  <c r="AY36" i="55"/>
  <c r="AU36" i="66"/>
  <c r="AJ37" i="66"/>
  <c r="AO36" i="66"/>
  <c r="AP35" i="61"/>
  <c r="AQ35" i="61" s="1"/>
  <c r="AV35" i="61" s="1"/>
  <c r="AW35" i="61"/>
  <c r="BA35" i="61" s="1"/>
  <c r="AN38" i="55"/>
  <c r="AX37" i="55"/>
  <c r="AT37" i="55"/>
  <c r="AU39" i="57"/>
  <c r="AO39" i="57"/>
  <c r="AY35" i="60"/>
  <c r="AW35" i="56"/>
  <c r="AP35" i="56"/>
  <c r="AQ35" i="56" s="1"/>
  <c r="AV35" i="56" s="1"/>
  <c r="AY35" i="59"/>
  <c r="AW35" i="66"/>
  <c r="AP35" i="66"/>
  <c r="AQ35" i="66" s="1"/>
  <c r="AV35" i="66" s="1"/>
  <c r="AP35" i="68"/>
  <c r="AQ35" i="68" s="1"/>
  <c r="AV35" i="68" s="1"/>
  <c r="AW35" i="68"/>
  <c r="AZ35" i="68"/>
  <c r="AP35" i="63"/>
  <c r="AQ35" i="63" s="1"/>
  <c r="AV35" i="63" s="1"/>
  <c r="AW35" i="63"/>
  <c r="AW35" i="62"/>
  <c r="AP35" i="62"/>
  <c r="AQ35" i="62" s="1"/>
  <c r="AV35" i="62" s="1"/>
  <c r="AZ34" i="59"/>
  <c r="BA34" i="59" s="1"/>
  <c r="BB34" i="59" s="1"/>
  <c r="BC34" i="65"/>
  <c r="AP35" i="67"/>
  <c r="AQ35" i="67" s="1"/>
  <c r="AV35" i="67" s="1"/>
  <c r="AW35" i="67"/>
  <c r="AP35" i="64"/>
  <c r="AQ35" i="64" s="1"/>
  <c r="AV35" i="64" s="1"/>
  <c r="AW35" i="64"/>
  <c r="BB33" i="63"/>
  <c r="BC33" i="63" s="1"/>
  <c r="AZ34" i="57"/>
  <c r="BA34" i="57" s="1"/>
  <c r="BB34" i="57" s="1"/>
  <c r="BC34" i="57" s="1"/>
  <c r="BC34" i="63"/>
  <c r="BB33" i="66"/>
  <c r="BC33" i="66" s="1"/>
  <c r="AY36" i="63"/>
  <c r="AY37" i="61"/>
  <c r="AZ36" i="58"/>
  <c r="AZ35" i="63"/>
  <c r="BB33" i="68"/>
  <c r="BC33" i="68" s="1"/>
  <c r="AP35" i="58"/>
  <c r="AQ35" i="58" s="1"/>
  <c r="AV35" i="58" s="1"/>
  <c r="AW35" i="58"/>
  <c r="BA35" i="58" s="1"/>
  <c r="AZ35" i="65"/>
  <c r="AN37" i="60"/>
  <c r="AX36" i="60"/>
  <c r="AT36" i="60"/>
  <c r="AU36" i="68"/>
  <c r="AJ37" i="68"/>
  <c r="AO36" i="68"/>
  <c r="AN39" i="58"/>
  <c r="AX38" i="58"/>
  <c r="AT38" i="58"/>
  <c r="AJ37" i="63"/>
  <c r="AO36" i="63"/>
  <c r="AU36" i="63"/>
  <c r="AW35" i="55"/>
  <c r="AP35" i="55"/>
  <c r="AQ35" i="55" s="1"/>
  <c r="AV35" i="55" s="1"/>
  <c r="AJ37" i="67"/>
  <c r="AU36" i="67"/>
  <c r="AO36" i="67"/>
  <c r="AJ37" i="64"/>
  <c r="AO36" i="64"/>
  <c r="AU36" i="64"/>
  <c r="BA34" i="55"/>
  <c r="AP35" i="60"/>
  <c r="AQ35" i="60" s="1"/>
  <c r="AV35" i="60" s="1"/>
  <c r="AW35" i="60"/>
  <c r="AY36" i="64"/>
  <c r="AW35" i="59"/>
  <c r="AP35" i="59"/>
  <c r="AQ35" i="59" s="1"/>
  <c r="AV35" i="59" s="1"/>
  <c r="AY36" i="65"/>
  <c r="AN38" i="63"/>
  <c r="AX37" i="63"/>
  <c r="AT37" i="63"/>
  <c r="AN39" i="61"/>
  <c r="AX38" i="61"/>
  <c r="AT38" i="61"/>
  <c r="AY36" i="66"/>
  <c r="AZ35" i="67"/>
  <c r="AU36" i="61"/>
  <c r="AJ37" i="61"/>
  <c r="AO36" i="61"/>
  <c r="AZ35" i="64"/>
  <c r="AZ36" i="61"/>
  <c r="AP35" i="65"/>
  <c r="AQ35" i="65" s="1"/>
  <c r="AV35" i="65" s="1"/>
  <c r="AW35" i="65"/>
  <c r="AN37" i="59"/>
  <c r="AX36" i="59"/>
  <c r="AT36" i="59"/>
  <c r="BB33" i="67"/>
  <c r="BC33" i="67" s="1"/>
  <c r="AY36" i="62"/>
  <c r="AU36" i="58"/>
  <c r="AJ37" i="58"/>
  <c r="AO36" i="58"/>
  <c r="AY36" i="68"/>
  <c r="AP38" i="57"/>
  <c r="AQ38" i="57" s="1"/>
  <c r="AZ35" i="66"/>
  <c r="AZ35" i="55"/>
  <c r="AU36" i="65"/>
  <c r="AJ37" i="65"/>
  <c r="AO36" i="65"/>
  <c r="AZ35" i="62"/>
  <c r="BB34" i="58"/>
  <c r="BC34" i="58" s="1"/>
  <c r="AU36" i="62"/>
  <c r="AJ37" i="62"/>
  <c r="AO36" i="62"/>
  <c r="BA34" i="68"/>
  <c r="AY35" i="57"/>
  <c r="BC33" i="56"/>
  <c r="AJ37" i="60"/>
  <c r="AO36" i="60"/>
  <c r="AU36" i="60"/>
  <c r="AN38" i="64"/>
  <c r="AX37" i="64"/>
  <c r="AT37" i="64"/>
  <c r="BA34" i="67"/>
  <c r="AY36" i="67"/>
  <c r="AN38" i="65"/>
  <c r="AX37" i="65"/>
  <c r="AT37" i="65"/>
  <c r="BA34" i="64"/>
  <c r="AN38" i="66"/>
  <c r="AX37" i="66"/>
  <c r="AT37" i="66"/>
  <c r="AX36" i="56"/>
  <c r="AN37" i="56"/>
  <c r="AT36" i="56"/>
  <c r="AN38" i="62"/>
  <c r="AX37" i="62"/>
  <c r="AT37" i="62"/>
  <c r="AN38" i="68"/>
  <c r="AX37" i="68"/>
  <c r="AT37" i="68"/>
  <c r="BB34" i="61"/>
  <c r="BC34" i="61" s="1"/>
  <c r="AO36" i="56"/>
  <c r="AU36" i="56"/>
  <c r="AJ37" i="56"/>
  <c r="AZ34" i="60"/>
  <c r="BA34" i="60" s="1"/>
  <c r="AY37" i="58"/>
  <c r="AJ37" i="55"/>
  <c r="AO36" i="55"/>
  <c r="AU36" i="55"/>
  <c r="AN37" i="57"/>
  <c r="AX36" i="57"/>
  <c r="AT36" i="57"/>
  <c r="AV36" i="57" s="1"/>
  <c r="AW36" i="57"/>
  <c r="BC34" i="66"/>
  <c r="BB33" i="65"/>
  <c r="BC33" i="65" s="1"/>
  <c r="BA34" i="62"/>
  <c r="AU36" i="59"/>
  <c r="AJ37" i="59"/>
  <c r="AO36" i="59"/>
  <c r="AN38" i="67"/>
  <c r="AX37" i="67"/>
  <c r="AT37" i="67"/>
  <c r="AZ34" i="56"/>
  <c r="BA34" i="56" s="1"/>
  <c r="AY35" i="56"/>
  <c r="BB33" i="47"/>
  <c r="BC33" i="47" s="1"/>
  <c r="AY36" i="52"/>
  <c r="AY36" i="48"/>
  <c r="AP35" i="51"/>
  <c r="AQ35" i="51" s="1"/>
  <c r="AV35" i="51" s="1"/>
  <c r="AW35" i="51"/>
  <c r="BA35" i="51" s="1"/>
  <c r="AP35" i="49"/>
  <c r="AQ35" i="49" s="1"/>
  <c r="AV35" i="49" s="1"/>
  <c r="AW35" i="49"/>
  <c r="AZ34" i="47"/>
  <c r="BA34" i="47" s="1"/>
  <c r="AN38" i="48"/>
  <c r="AT37" i="48"/>
  <c r="AX37" i="48"/>
  <c r="AY36" i="50"/>
  <c r="AN37" i="47"/>
  <c r="AX36" i="47"/>
  <c r="AT36" i="47"/>
  <c r="AP35" i="47"/>
  <c r="AQ35" i="47" s="1"/>
  <c r="AV35" i="47" s="1"/>
  <c r="AW35" i="47"/>
  <c r="BA34" i="49"/>
  <c r="AN37" i="53"/>
  <c r="AX36" i="53"/>
  <c r="AT36" i="53"/>
  <c r="AJ37" i="48"/>
  <c r="AU36" i="48"/>
  <c r="AO36" i="48"/>
  <c r="AP35" i="52"/>
  <c r="AQ35" i="52" s="1"/>
  <c r="AV35" i="52" s="1"/>
  <c r="AW35" i="52"/>
  <c r="BB33" i="52"/>
  <c r="BC33" i="52" s="1"/>
  <c r="AU36" i="54"/>
  <c r="AJ37" i="54"/>
  <c r="AO36" i="54"/>
  <c r="AN38" i="52"/>
  <c r="AX37" i="52"/>
  <c r="AT37" i="52"/>
  <c r="AY36" i="49"/>
  <c r="AJ37" i="49"/>
  <c r="AO36" i="49"/>
  <c r="AU36" i="49"/>
  <c r="AZ34" i="53"/>
  <c r="BA34" i="53" s="1"/>
  <c r="AN38" i="50"/>
  <c r="AX37" i="50"/>
  <c r="AT37" i="50"/>
  <c r="AP35" i="50"/>
  <c r="AQ35" i="50" s="1"/>
  <c r="AV35" i="50" s="1"/>
  <c r="AW35" i="50"/>
  <c r="AP35" i="53"/>
  <c r="AQ35" i="53" s="1"/>
  <c r="AV35" i="53" s="1"/>
  <c r="AW35" i="53"/>
  <c r="AY36" i="54"/>
  <c r="AZ35" i="52"/>
  <c r="AJ37" i="47"/>
  <c r="AO36" i="47"/>
  <c r="AU36" i="47"/>
  <c r="AZ35" i="49"/>
  <c r="BA34" i="50"/>
  <c r="AZ35" i="54"/>
  <c r="AZ35" i="48"/>
  <c r="AY35" i="47"/>
  <c r="AJ37" i="53"/>
  <c r="AO36" i="53"/>
  <c r="AU36" i="53"/>
  <c r="BB34" i="51"/>
  <c r="BC34" i="51" s="1"/>
  <c r="AN39" i="51"/>
  <c r="AX38" i="51"/>
  <c r="AT38" i="51"/>
  <c r="AJ37" i="51"/>
  <c r="AU36" i="51"/>
  <c r="AO36" i="51"/>
  <c r="BB33" i="49"/>
  <c r="BC33" i="49" s="1"/>
  <c r="AZ35" i="50"/>
  <c r="AN38" i="49"/>
  <c r="AX37" i="49"/>
  <c r="AT37" i="49"/>
  <c r="BB33" i="54"/>
  <c r="BC33" i="54" s="1"/>
  <c r="AZ36" i="51"/>
  <c r="AJ37" i="50"/>
  <c r="AO36" i="50"/>
  <c r="AU36" i="50"/>
  <c r="AN38" i="54"/>
  <c r="AX37" i="54"/>
  <c r="AT37" i="54"/>
  <c r="AP35" i="54"/>
  <c r="AQ35" i="54" s="1"/>
  <c r="AV35" i="54" s="1"/>
  <c r="AW35" i="54"/>
  <c r="AY35" i="53"/>
  <c r="AW35" i="48"/>
  <c r="AP35" i="48"/>
  <c r="AQ35" i="48" s="1"/>
  <c r="AV35" i="48" s="1"/>
  <c r="AY37" i="51"/>
  <c r="AJ37" i="52"/>
  <c r="AU36" i="52"/>
  <c r="AO36" i="52"/>
  <c r="BB33" i="46"/>
  <c r="BC33" i="46" s="1"/>
  <c r="AZ35" i="45"/>
  <c r="AN37" i="46"/>
  <c r="AX36" i="46"/>
  <c r="AT36" i="46"/>
  <c r="AT36" i="43"/>
  <c r="AX36" i="43"/>
  <c r="AN37" i="43"/>
  <c r="AZ34" i="44"/>
  <c r="BA34" i="44" s="1"/>
  <c r="BB34" i="44" s="1"/>
  <c r="AN38" i="45"/>
  <c r="AX37" i="45"/>
  <c r="AT37" i="45"/>
  <c r="AY35" i="46"/>
  <c r="AO36" i="43"/>
  <c r="AJ37" i="43"/>
  <c r="AU36" i="43"/>
  <c r="AP35" i="46"/>
  <c r="AQ35" i="46" s="1"/>
  <c r="AV35" i="46" s="1"/>
  <c r="AW35" i="46"/>
  <c r="AJ38" i="44"/>
  <c r="AU37" i="44"/>
  <c r="AO37" i="44"/>
  <c r="BC33" i="43"/>
  <c r="AN37" i="44"/>
  <c r="AX36" i="44"/>
  <c r="AT36" i="44"/>
  <c r="AP35" i="43"/>
  <c r="AQ35" i="43" s="1"/>
  <c r="AV35" i="43" s="1"/>
  <c r="AW35" i="43"/>
  <c r="AZ34" i="43"/>
  <c r="BA34" i="43" s="1"/>
  <c r="BC33" i="44"/>
  <c r="AU36" i="46"/>
  <c r="AJ37" i="46"/>
  <c r="AO36" i="46"/>
  <c r="AY36" i="45"/>
  <c r="AJ37" i="45"/>
  <c r="AU36" i="45"/>
  <c r="AO36" i="45"/>
  <c r="AY35" i="43"/>
  <c r="AP36" i="44"/>
  <c r="AQ36" i="44" s="1"/>
  <c r="AW36" i="44"/>
  <c r="AZ34" i="46"/>
  <c r="BA34" i="46" s="1"/>
  <c r="BB34" i="46" s="1"/>
  <c r="AY35" i="44"/>
  <c r="AW35" i="45"/>
  <c r="AP35" i="45"/>
  <c r="AQ35" i="45" s="1"/>
  <c r="AV35" i="45" s="1"/>
  <c r="AY36" i="41"/>
  <c r="AP35" i="42"/>
  <c r="AQ35" i="42" s="1"/>
  <c r="AV35" i="42" s="1"/>
  <c r="AW35" i="42"/>
  <c r="AY35" i="42"/>
  <c r="AN38" i="41"/>
  <c r="AX37" i="41"/>
  <c r="AT37" i="41"/>
  <c r="AU36" i="42"/>
  <c r="AJ37" i="42"/>
  <c r="AO36" i="42"/>
  <c r="AN37" i="42"/>
  <c r="AX36" i="42"/>
  <c r="AT36" i="42"/>
  <c r="AP35" i="41"/>
  <c r="AQ35" i="41" s="1"/>
  <c r="AV35" i="41" s="1"/>
  <c r="AW35" i="41"/>
  <c r="AZ35" i="41"/>
  <c r="AJ37" i="41"/>
  <c r="AO36" i="41"/>
  <c r="AU36" i="41"/>
  <c r="AZ34" i="42"/>
  <c r="BA34" i="42" s="1"/>
  <c r="BB34" i="40"/>
  <c r="BC34" i="40" s="1"/>
  <c r="AZ35" i="40"/>
  <c r="BA35" i="40" s="1"/>
  <c r="BB35" i="40" s="1"/>
  <c r="AP36" i="40"/>
  <c r="AQ36" i="40" s="1"/>
  <c r="AV36" i="40" s="1"/>
  <c r="AW36" i="40"/>
  <c r="AY36" i="40"/>
  <c r="AJ38" i="40"/>
  <c r="AO37" i="40"/>
  <c r="AU37" i="40"/>
  <c r="AN38" i="40"/>
  <c r="AX37" i="40"/>
  <c r="AT37" i="40"/>
  <c r="BC34" i="45" l="1"/>
  <c r="BC34" i="48"/>
  <c r="BC34" i="41"/>
  <c r="BC34" i="54"/>
  <c r="BA35" i="54"/>
  <c r="BB35" i="54" s="1"/>
  <c r="BA35" i="65"/>
  <c r="BB35" i="65" s="1"/>
  <c r="BA35" i="41"/>
  <c r="BB35" i="41" s="1"/>
  <c r="BA35" i="68"/>
  <c r="BB35" i="68" s="1"/>
  <c r="BA35" i="45"/>
  <c r="BB35" i="45" s="1"/>
  <c r="BB34" i="60"/>
  <c r="BC34" i="60" s="1"/>
  <c r="BB34" i="56"/>
  <c r="BC34" i="56" s="1"/>
  <c r="AN39" i="67"/>
  <c r="AX38" i="67"/>
  <c r="AT38" i="67"/>
  <c r="BB34" i="62"/>
  <c r="BC34" i="62" s="1"/>
  <c r="AU37" i="56"/>
  <c r="AO37" i="56"/>
  <c r="AJ38" i="56"/>
  <c r="AY37" i="66"/>
  <c r="AN39" i="65"/>
  <c r="AX38" i="65"/>
  <c r="AT38" i="65"/>
  <c r="AP36" i="60"/>
  <c r="AQ36" i="60" s="1"/>
  <c r="AV36" i="60" s="1"/>
  <c r="AW36" i="60"/>
  <c r="AP36" i="62"/>
  <c r="AQ36" i="62" s="1"/>
  <c r="AV36" i="62" s="1"/>
  <c r="AW36" i="62"/>
  <c r="AJ38" i="65"/>
  <c r="AO37" i="65"/>
  <c r="AU37" i="65"/>
  <c r="AJ38" i="58"/>
  <c r="AO37" i="58"/>
  <c r="AU37" i="58"/>
  <c r="AN38" i="59"/>
  <c r="AX37" i="59"/>
  <c r="AT37" i="59"/>
  <c r="AJ38" i="61"/>
  <c r="AO37" i="61"/>
  <c r="AU37" i="61"/>
  <c r="AX39" i="61"/>
  <c r="AT39" i="61"/>
  <c r="AY37" i="63"/>
  <c r="AZ36" i="64"/>
  <c r="BB34" i="55"/>
  <c r="BC34" i="55" s="1"/>
  <c r="AP36" i="67"/>
  <c r="AQ36" i="67" s="1"/>
  <c r="AV36" i="67" s="1"/>
  <c r="AW36" i="67"/>
  <c r="BA35" i="55"/>
  <c r="AU37" i="68"/>
  <c r="AJ38" i="68"/>
  <c r="AO37" i="68"/>
  <c r="BA35" i="66"/>
  <c r="AZ35" i="60"/>
  <c r="BA35" i="60" s="1"/>
  <c r="BB35" i="60" s="1"/>
  <c r="AZ36" i="55"/>
  <c r="AP36" i="59"/>
  <c r="AQ36" i="59" s="1"/>
  <c r="AV36" i="59" s="1"/>
  <c r="AW36" i="59"/>
  <c r="AP36" i="55"/>
  <c r="AQ36" i="55" s="1"/>
  <c r="AV36" i="55" s="1"/>
  <c r="AW36" i="55"/>
  <c r="BA36" i="55" s="1"/>
  <c r="BB36" i="55" s="1"/>
  <c r="AZ37" i="58"/>
  <c r="AX37" i="56"/>
  <c r="AN38" i="56"/>
  <c r="AT37" i="56"/>
  <c r="AN39" i="66"/>
  <c r="AX38" i="66"/>
  <c r="AT38" i="66"/>
  <c r="AZ36" i="67"/>
  <c r="AY37" i="64"/>
  <c r="AU37" i="60"/>
  <c r="AJ38" i="60"/>
  <c r="AO37" i="60"/>
  <c r="AO37" i="62"/>
  <c r="AU37" i="62"/>
  <c r="AJ38" i="62"/>
  <c r="AZ36" i="66"/>
  <c r="AN39" i="63"/>
  <c r="AX38" i="63"/>
  <c r="AT38" i="63"/>
  <c r="AY38" i="58"/>
  <c r="AY36" i="60"/>
  <c r="BB35" i="58"/>
  <c r="BC35" i="58" s="1"/>
  <c r="AZ37" i="61"/>
  <c r="BA35" i="64"/>
  <c r="BA35" i="62"/>
  <c r="AP39" i="57"/>
  <c r="AQ39" i="57" s="1"/>
  <c r="AY37" i="55"/>
  <c r="AP36" i="66"/>
  <c r="AQ36" i="66" s="1"/>
  <c r="AV36" i="66" s="1"/>
  <c r="AW36" i="66"/>
  <c r="BA36" i="66" s="1"/>
  <c r="BB36" i="66" s="1"/>
  <c r="AO37" i="59"/>
  <c r="AU37" i="59"/>
  <c r="AJ38" i="59"/>
  <c r="AY36" i="57"/>
  <c r="AO37" i="55"/>
  <c r="AU37" i="55"/>
  <c r="AJ38" i="55"/>
  <c r="AW36" i="56"/>
  <c r="AP36" i="56"/>
  <c r="AQ36" i="56" s="1"/>
  <c r="AV36" i="56" s="1"/>
  <c r="AY37" i="68"/>
  <c r="AY37" i="62"/>
  <c r="AY36" i="56"/>
  <c r="BB34" i="64"/>
  <c r="BC34" i="64" s="1"/>
  <c r="AN39" i="64"/>
  <c r="AX38" i="64"/>
  <c r="AT38" i="64"/>
  <c r="AZ35" i="57"/>
  <c r="BA35" i="57" s="1"/>
  <c r="BB35" i="57" s="1"/>
  <c r="AZ36" i="68"/>
  <c r="AP36" i="64"/>
  <c r="AQ36" i="64" s="1"/>
  <c r="AV36" i="64" s="1"/>
  <c r="AW36" i="64"/>
  <c r="AJ38" i="67"/>
  <c r="AO37" i="67"/>
  <c r="AU37" i="67"/>
  <c r="AP36" i="63"/>
  <c r="AQ36" i="63" s="1"/>
  <c r="AV36" i="63" s="1"/>
  <c r="AW36" i="63"/>
  <c r="AX39" i="58"/>
  <c r="AT39" i="58"/>
  <c r="AN38" i="60"/>
  <c r="AX37" i="60"/>
  <c r="AT37" i="60"/>
  <c r="BA35" i="63"/>
  <c r="AZ35" i="59"/>
  <c r="BA35" i="59" s="1"/>
  <c r="BB35" i="59" s="1"/>
  <c r="AN39" i="55"/>
  <c r="AX38" i="55"/>
  <c r="AT38" i="55"/>
  <c r="AO37" i="66"/>
  <c r="AU37" i="66"/>
  <c r="AJ38" i="66"/>
  <c r="AZ35" i="56"/>
  <c r="BA35" i="56" s="1"/>
  <c r="AY37" i="67"/>
  <c r="AN38" i="57"/>
  <c r="AX37" i="57"/>
  <c r="AT37" i="57"/>
  <c r="AV37" i="57" s="1"/>
  <c r="AW37" i="57"/>
  <c r="AN39" i="68"/>
  <c r="AX38" i="68"/>
  <c r="AT38" i="68"/>
  <c r="AN39" i="62"/>
  <c r="AX38" i="62"/>
  <c r="AT38" i="62"/>
  <c r="AY37" i="65"/>
  <c r="BB34" i="67"/>
  <c r="BC34" i="67" s="1"/>
  <c r="BB34" i="68"/>
  <c r="BC34" i="68" s="1"/>
  <c r="AP36" i="65"/>
  <c r="AQ36" i="65" s="1"/>
  <c r="AV36" i="65" s="1"/>
  <c r="AW36" i="65"/>
  <c r="AP36" i="58"/>
  <c r="AQ36" i="58" s="1"/>
  <c r="AV36" i="58" s="1"/>
  <c r="AW36" i="58"/>
  <c r="BA36" i="58" s="1"/>
  <c r="AZ36" i="62"/>
  <c r="AY36" i="59"/>
  <c r="AP36" i="61"/>
  <c r="AQ36" i="61" s="1"/>
  <c r="AV36" i="61" s="1"/>
  <c r="AW36" i="61"/>
  <c r="BA36" i="61" s="1"/>
  <c r="AY38" i="61"/>
  <c r="AZ36" i="65"/>
  <c r="AU37" i="64"/>
  <c r="AJ38" i="64"/>
  <c r="AO37" i="64"/>
  <c r="AU37" i="63"/>
  <c r="AJ38" i="63"/>
  <c r="AO37" i="63"/>
  <c r="AP36" i="68"/>
  <c r="AQ36" i="68" s="1"/>
  <c r="AV36" i="68" s="1"/>
  <c r="AW36" i="68"/>
  <c r="BA36" i="68" s="1"/>
  <c r="BB36" i="68" s="1"/>
  <c r="AZ36" i="63"/>
  <c r="BA35" i="67"/>
  <c r="BC34" i="59"/>
  <c r="BB35" i="61"/>
  <c r="BC35" i="61" s="1"/>
  <c r="BB34" i="53"/>
  <c r="BC34" i="53" s="1"/>
  <c r="BB34" i="47"/>
  <c r="BC34" i="47" s="1"/>
  <c r="AN39" i="49"/>
  <c r="AX38" i="49"/>
  <c r="AT38" i="49"/>
  <c r="AJ38" i="53"/>
  <c r="AU37" i="53"/>
  <c r="AO37" i="53"/>
  <c r="AZ36" i="54"/>
  <c r="AJ38" i="49"/>
  <c r="AU37" i="49"/>
  <c r="AO37" i="49"/>
  <c r="AN38" i="47"/>
  <c r="AX37" i="47"/>
  <c r="AT37" i="47"/>
  <c r="AY37" i="48"/>
  <c r="AP36" i="52"/>
  <c r="AQ36" i="52" s="1"/>
  <c r="AV36" i="52" s="1"/>
  <c r="AW36" i="52"/>
  <c r="AZ35" i="53"/>
  <c r="BA35" i="53" s="1"/>
  <c r="BB35" i="53" s="1"/>
  <c r="AY37" i="54"/>
  <c r="AJ38" i="50"/>
  <c r="AO37" i="50"/>
  <c r="AU37" i="50"/>
  <c r="AP36" i="51"/>
  <c r="AQ36" i="51" s="1"/>
  <c r="AV36" i="51" s="1"/>
  <c r="AW36" i="51"/>
  <c r="BA36" i="51" s="1"/>
  <c r="AY38" i="51"/>
  <c r="AZ36" i="49"/>
  <c r="AN39" i="52"/>
  <c r="AT38" i="52"/>
  <c r="AX38" i="52"/>
  <c r="AP36" i="48"/>
  <c r="AQ36" i="48" s="1"/>
  <c r="AV36" i="48" s="1"/>
  <c r="AW36" i="48"/>
  <c r="AY36" i="53"/>
  <c r="BA35" i="49"/>
  <c r="AZ36" i="52"/>
  <c r="AU37" i="47"/>
  <c r="AJ38" i="47"/>
  <c r="AO37" i="47"/>
  <c r="AY37" i="52"/>
  <c r="AX39" i="51"/>
  <c r="AT39" i="51"/>
  <c r="AZ35" i="47"/>
  <c r="BA35" i="47" s="1"/>
  <c r="AY37" i="50"/>
  <c r="AP36" i="54"/>
  <c r="AQ36" i="54" s="1"/>
  <c r="AV36" i="54" s="1"/>
  <c r="AW36" i="54"/>
  <c r="AN38" i="53"/>
  <c r="AX37" i="53"/>
  <c r="AT37" i="53"/>
  <c r="AZ36" i="50"/>
  <c r="AN39" i="48"/>
  <c r="AX38" i="48"/>
  <c r="AT38" i="48"/>
  <c r="AZ36" i="48"/>
  <c r="AZ37" i="51"/>
  <c r="AP36" i="50"/>
  <c r="AQ36" i="50" s="1"/>
  <c r="AV36" i="50" s="1"/>
  <c r="AW36" i="50"/>
  <c r="AN39" i="54"/>
  <c r="AX38" i="54"/>
  <c r="AT38" i="54"/>
  <c r="AJ38" i="52"/>
  <c r="AU37" i="52"/>
  <c r="AO37" i="52"/>
  <c r="BA35" i="48"/>
  <c r="AY37" i="49"/>
  <c r="AJ38" i="51"/>
  <c r="AO37" i="51"/>
  <c r="AU37" i="51"/>
  <c r="AP36" i="53"/>
  <c r="AQ36" i="53" s="1"/>
  <c r="AV36" i="53" s="1"/>
  <c r="AW36" i="53"/>
  <c r="BB34" i="50"/>
  <c r="BC34" i="50" s="1"/>
  <c r="AP36" i="47"/>
  <c r="AQ36" i="47" s="1"/>
  <c r="AV36" i="47" s="1"/>
  <c r="AW36" i="47"/>
  <c r="BA35" i="50"/>
  <c r="AN39" i="50"/>
  <c r="AX38" i="50"/>
  <c r="AT38" i="50"/>
  <c r="AP36" i="49"/>
  <c r="AQ36" i="49" s="1"/>
  <c r="AV36" i="49" s="1"/>
  <c r="AW36" i="49"/>
  <c r="AJ38" i="54"/>
  <c r="AO37" i="54"/>
  <c r="AU37" i="54"/>
  <c r="BA35" i="52"/>
  <c r="AJ38" i="48"/>
  <c r="AU37" i="48"/>
  <c r="AO37" i="48"/>
  <c r="BB34" i="49"/>
  <c r="BC34" i="49" s="1"/>
  <c r="AY36" i="47"/>
  <c r="BB35" i="51"/>
  <c r="BC35" i="51" s="1"/>
  <c r="BB34" i="43"/>
  <c r="BC34" i="43" s="1"/>
  <c r="AP36" i="45"/>
  <c r="AQ36" i="45" s="1"/>
  <c r="AV36" i="45" s="1"/>
  <c r="AW36" i="45"/>
  <c r="AJ38" i="46"/>
  <c r="AO37" i="46"/>
  <c r="AU37" i="46"/>
  <c r="BC34" i="46"/>
  <c r="AZ35" i="43"/>
  <c r="BA35" i="43" s="1"/>
  <c r="BB35" i="43" s="1"/>
  <c r="AJ38" i="45"/>
  <c r="AO37" i="45"/>
  <c r="AU37" i="45"/>
  <c r="AN38" i="44"/>
  <c r="AT37" i="44"/>
  <c r="AX37" i="44"/>
  <c r="AJ39" i="44"/>
  <c r="AU38" i="44"/>
  <c r="AO38" i="44"/>
  <c r="AZ36" i="45"/>
  <c r="AV36" i="44"/>
  <c r="AP36" i="46"/>
  <c r="AQ36" i="46" s="1"/>
  <c r="AV36" i="46" s="1"/>
  <c r="AW36" i="46"/>
  <c r="AU37" i="43"/>
  <c r="AJ38" i="43"/>
  <c r="AO37" i="43"/>
  <c r="BC34" i="44"/>
  <c r="AP37" i="44"/>
  <c r="AQ37" i="44" s="1"/>
  <c r="AW37" i="44"/>
  <c r="AW36" i="43"/>
  <c r="AP36" i="43"/>
  <c r="AQ36" i="43" s="1"/>
  <c r="AV36" i="43" s="1"/>
  <c r="AY37" i="45"/>
  <c r="AN38" i="43"/>
  <c r="AX37" i="43"/>
  <c r="AT37" i="43"/>
  <c r="AY36" i="46"/>
  <c r="AZ35" i="44"/>
  <c r="BA35" i="44" s="1"/>
  <c r="BB35" i="44" s="1"/>
  <c r="AY36" i="44"/>
  <c r="AZ35" i="46"/>
  <c r="BA35" i="46" s="1"/>
  <c r="AN39" i="45"/>
  <c r="AX38" i="45"/>
  <c r="AT38" i="45"/>
  <c r="AY36" i="43"/>
  <c r="AN38" i="46"/>
  <c r="AX37" i="46"/>
  <c r="AT37" i="46"/>
  <c r="BB34" i="42"/>
  <c r="BC34" i="42" s="1"/>
  <c r="AN38" i="42"/>
  <c r="AX37" i="42"/>
  <c r="AT37" i="42"/>
  <c r="AY36" i="42"/>
  <c r="AJ38" i="42"/>
  <c r="AO37" i="42"/>
  <c r="AU37" i="42"/>
  <c r="AN39" i="41"/>
  <c r="AX38" i="41"/>
  <c r="AT38" i="41"/>
  <c r="AW36" i="41"/>
  <c r="AP36" i="41"/>
  <c r="AQ36" i="41" s="1"/>
  <c r="AV36" i="41" s="1"/>
  <c r="AJ38" i="41"/>
  <c r="AU37" i="41"/>
  <c r="AO37" i="41"/>
  <c r="AZ35" i="42"/>
  <c r="BA35" i="42" s="1"/>
  <c r="AZ36" i="41"/>
  <c r="AP36" i="42"/>
  <c r="AQ36" i="42" s="1"/>
  <c r="AV36" i="42" s="1"/>
  <c r="AW36" i="42"/>
  <c r="AY37" i="41"/>
  <c r="AN39" i="40"/>
  <c r="AX38" i="40"/>
  <c r="AT38" i="40"/>
  <c r="BC35" i="40"/>
  <c r="AZ36" i="40"/>
  <c r="BA36" i="40" s="1"/>
  <c r="BB36" i="40" s="1"/>
  <c r="AP37" i="40"/>
  <c r="AQ37" i="40" s="1"/>
  <c r="AV37" i="40" s="1"/>
  <c r="AW37" i="40"/>
  <c r="AY37" i="40"/>
  <c r="AU38" i="40"/>
  <c r="AJ39" i="40"/>
  <c r="AO38" i="40"/>
  <c r="BC35" i="65" l="1"/>
  <c r="BA36" i="49"/>
  <c r="BB36" i="49" s="1"/>
  <c r="BA36" i="50"/>
  <c r="BB36" i="50" s="1"/>
  <c r="BC35" i="45"/>
  <c r="BC35" i="54"/>
  <c r="BA36" i="64"/>
  <c r="BB36" i="64" s="1"/>
  <c r="BC36" i="50"/>
  <c r="BC35" i="68"/>
  <c r="BC35" i="41"/>
  <c r="AV37" i="44"/>
  <c r="BA36" i="54"/>
  <c r="BA36" i="67"/>
  <c r="BB36" i="67" s="1"/>
  <c r="BA36" i="45"/>
  <c r="BB36" i="45" s="1"/>
  <c r="BB35" i="56"/>
  <c r="BC35" i="56" s="1"/>
  <c r="AJ39" i="63"/>
  <c r="AO38" i="63"/>
  <c r="AU38" i="63"/>
  <c r="BB36" i="58"/>
  <c r="BC36" i="58" s="1"/>
  <c r="AZ37" i="65"/>
  <c r="AY38" i="68"/>
  <c r="AY37" i="57"/>
  <c r="AW37" i="66"/>
  <c r="AP37" i="66"/>
  <c r="AQ37" i="66" s="1"/>
  <c r="AV37" i="66" s="1"/>
  <c r="BC35" i="59"/>
  <c r="AN39" i="60"/>
  <c r="AX38" i="60"/>
  <c r="AT38" i="60"/>
  <c r="AY38" i="64"/>
  <c r="AJ39" i="55"/>
  <c r="AO38" i="55"/>
  <c r="AU38" i="55"/>
  <c r="AZ36" i="57"/>
  <c r="BA36" i="57" s="1"/>
  <c r="BB36" i="57" s="1"/>
  <c r="BB35" i="62"/>
  <c r="BC35" i="62" s="1"/>
  <c r="AZ36" i="60"/>
  <c r="BA36" i="60" s="1"/>
  <c r="BB36" i="60" s="1"/>
  <c r="AW37" i="62"/>
  <c r="AP37" i="62"/>
  <c r="AQ37" i="62" s="1"/>
  <c r="AV37" i="62" s="1"/>
  <c r="AN39" i="56"/>
  <c r="AT38" i="56"/>
  <c r="AX38" i="56"/>
  <c r="BC35" i="60"/>
  <c r="AP37" i="68"/>
  <c r="AQ37" i="68" s="1"/>
  <c r="AV37" i="68" s="1"/>
  <c r="AW37" i="68"/>
  <c r="AZ37" i="63"/>
  <c r="AP37" i="61"/>
  <c r="AQ37" i="61" s="1"/>
  <c r="AV37" i="61" s="1"/>
  <c r="AW37" i="61"/>
  <c r="BA37" i="61" s="1"/>
  <c r="AN39" i="59"/>
  <c r="AX38" i="59"/>
  <c r="AT38" i="59"/>
  <c r="AY38" i="65"/>
  <c r="AW37" i="56"/>
  <c r="AP37" i="56"/>
  <c r="AQ37" i="56" s="1"/>
  <c r="AV37" i="56" s="1"/>
  <c r="AZ38" i="61"/>
  <c r="AY38" i="62"/>
  <c r="AX39" i="68"/>
  <c r="AT39" i="68"/>
  <c r="AN39" i="57"/>
  <c r="AX38" i="57"/>
  <c r="AT38" i="57"/>
  <c r="AV38" i="57" s="1"/>
  <c r="AW38" i="57"/>
  <c r="BB35" i="63"/>
  <c r="BC35" i="63" s="1"/>
  <c r="AX39" i="64"/>
  <c r="AT39" i="64"/>
  <c r="AZ36" i="56"/>
  <c r="BA36" i="56" s="1"/>
  <c r="BB36" i="56" s="1"/>
  <c r="AZ37" i="68"/>
  <c r="AU38" i="59"/>
  <c r="AJ39" i="59"/>
  <c r="AO38" i="59"/>
  <c r="AY38" i="63"/>
  <c r="BC36" i="66"/>
  <c r="AP37" i="60"/>
  <c r="AQ37" i="60" s="1"/>
  <c r="AV37" i="60" s="1"/>
  <c r="AW37" i="60"/>
  <c r="AZ37" i="64"/>
  <c r="AY38" i="66"/>
  <c r="AY37" i="56"/>
  <c r="AO38" i="68"/>
  <c r="AU38" i="68"/>
  <c r="AJ39" i="68"/>
  <c r="AU38" i="61"/>
  <c r="AJ39" i="61"/>
  <c r="AO38" i="61"/>
  <c r="AP37" i="65"/>
  <c r="AQ37" i="65" s="1"/>
  <c r="AV37" i="65" s="1"/>
  <c r="AW37" i="65"/>
  <c r="AX39" i="65"/>
  <c r="AT39" i="65"/>
  <c r="AP37" i="64"/>
  <c r="AQ37" i="64" s="1"/>
  <c r="AV37" i="64" s="1"/>
  <c r="AW37" i="64"/>
  <c r="BB36" i="61"/>
  <c r="BC36" i="61" s="1"/>
  <c r="BA36" i="65"/>
  <c r="AX39" i="62"/>
  <c r="AT39" i="62"/>
  <c r="AZ37" i="67"/>
  <c r="AU38" i="66"/>
  <c r="AJ39" i="66"/>
  <c r="AO38" i="66"/>
  <c r="AY38" i="55"/>
  <c r="AY39" i="58"/>
  <c r="AP37" i="67"/>
  <c r="AQ37" i="67" s="1"/>
  <c r="AV37" i="67" s="1"/>
  <c r="AW37" i="67"/>
  <c r="BC35" i="57"/>
  <c r="AW37" i="55"/>
  <c r="AP37" i="55"/>
  <c r="AQ37" i="55" s="1"/>
  <c r="AV37" i="55" s="1"/>
  <c r="AZ38" i="58"/>
  <c r="AX39" i="63"/>
  <c r="AT39" i="63"/>
  <c r="AU38" i="62"/>
  <c r="AJ39" i="62"/>
  <c r="AO38" i="62"/>
  <c r="AJ39" i="60"/>
  <c r="AO38" i="60"/>
  <c r="AU38" i="60"/>
  <c r="AX39" i="66"/>
  <c r="AT39" i="66"/>
  <c r="AY39" i="61"/>
  <c r="AP37" i="58"/>
  <c r="AQ37" i="58" s="1"/>
  <c r="AV37" i="58" s="1"/>
  <c r="AW37" i="58"/>
  <c r="BA37" i="58" s="1"/>
  <c r="AU38" i="65"/>
  <c r="AJ39" i="65"/>
  <c r="AO38" i="65"/>
  <c r="AZ37" i="66"/>
  <c r="AY38" i="67"/>
  <c r="AZ36" i="59"/>
  <c r="BA36" i="59" s="1"/>
  <c r="BB35" i="67"/>
  <c r="BC35" i="67" s="1"/>
  <c r="AP37" i="63"/>
  <c r="AQ37" i="63" s="1"/>
  <c r="AV37" i="63" s="1"/>
  <c r="AW37" i="63"/>
  <c r="AJ39" i="64"/>
  <c r="AO38" i="64"/>
  <c r="AU38" i="64"/>
  <c r="AX39" i="55"/>
  <c r="AT39" i="55"/>
  <c r="AY37" i="60"/>
  <c r="BA36" i="63"/>
  <c r="AU38" i="67"/>
  <c r="AJ39" i="67"/>
  <c r="AO38" i="67"/>
  <c r="BC36" i="68"/>
  <c r="AZ37" i="62"/>
  <c r="AW37" i="59"/>
  <c r="AP37" i="59"/>
  <c r="AQ37" i="59" s="1"/>
  <c r="AV37" i="59" s="1"/>
  <c r="AZ37" i="55"/>
  <c r="BB35" i="64"/>
  <c r="BC35" i="64" s="1"/>
  <c r="BC36" i="55"/>
  <c r="BB35" i="66"/>
  <c r="BC35" i="66" s="1"/>
  <c r="BB35" i="55"/>
  <c r="BC35" i="55" s="1"/>
  <c r="AY37" i="59"/>
  <c r="AJ39" i="58"/>
  <c r="AU38" i="58"/>
  <c r="AO38" i="58"/>
  <c r="BA36" i="62"/>
  <c r="AO38" i="56"/>
  <c r="AU38" i="56"/>
  <c r="AJ39" i="56"/>
  <c r="AX39" i="67"/>
  <c r="AT39" i="67"/>
  <c r="BB35" i="47"/>
  <c r="BC35" i="47" s="1"/>
  <c r="AJ39" i="50"/>
  <c r="AU38" i="50"/>
  <c r="AO38" i="50"/>
  <c r="AZ37" i="48"/>
  <c r="AJ39" i="53"/>
  <c r="AO38" i="53"/>
  <c r="AU38" i="53"/>
  <c r="BB35" i="52"/>
  <c r="BC35" i="52" s="1"/>
  <c r="AX39" i="50"/>
  <c r="AT39" i="50"/>
  <c r="AO38" i="52"/>
  <c r="AJ39" i="52"/>
  <c r="AU38" i="52"/>
  <c r="AX39" i="48"/>
  <c r="AT39" i="48"/>
  <c r="AY37" i="53"/>
  <c r="AZ37" i="50"/>
  <c r="AP37" i="47"/>
  <c r="AQ37" i="47" s="1"/>
  <c r="AV37" i="47" s="1"/>
  <c r="AW37" i="47"/>
  <c r="BA36" i="48"/>
  <c r="AX39" i="52"/>
  <c r="AT39" i="52"/>
  <c r="AZ37" i="54"/>
  <c r="BA36" i="52"/>
  <c r="AP37" i="49"/>
  <c r="AQ37" i="49" s="1"/>
  <c r="AV37" i="49" s="1"/>
  <c r="AW37" i="49"/>
  <c r="AU38" i="54"/>
  <c r="AJ39" i="54"/>
  <c r="AO38" i="54"/>
  <c r="AY38" i="50"/>
  <c r="AZ37" i="49"/>
  <c r="AZ36" i="47"/>
  <c r="BA36" i="47" s="1"/>
  <c r="BB36" i="47" s="1"/>
  <c r="AP37" i="51"/>
  <c r="AQ37" i="51" s="1"/>
  <c r="AV37" i="51" s="1"/>
  <c r="AW37" i="51"/>
  <c r="BA37" i="51" s="1"/>
  <c r="BB35" i="48"/>
  <c r="BC35" i="48" s="1"/>
  <c r="AN39" i="53"/>
  <c r="AX38" i="53"/>
  <c r="AT38" i="53"/>
  <c r="AY39" i="51"/>
  <c r="AJ39" i="47"/>
  <c r="AO38" i="47"/>
  <c r="AU38" i="47"/>
  <c r="BB35" i="49"/>
  <c r="BC35" i="49" s="1"/>
  <c r="AZ38" i="51"/>
  <c r="AY37" i="47"/>
  <c r="AP37" i="53"/>
  <c r="AQ37" i="53" s="1"/>
  <c r="AV37" i="53" s="1"/>
  <c r="AW37" i="53"/>
  <c r="AY38" i="49"/>
  <c r="AJ39" i="48"/>
  <c r="AU38" i="48"/>
  <c r="AO38" i="48"/>
  <c r="AX39" i="54"/>
  <c r="AT39" i="54"/>
  <c r="AY38" i="48"/>
  <c r="BB36" i="51"/>
  <c r="BC36" i="51" s="1"/>
  <c r="AP37" i="48"/>
  <c r="AQ37" i="48" s="1"/>
  <c r="AV37" i="48" s="1"/>
  <c r="AW37" i="48"/>
  <c r="BB35" i="50"/>
  <c r="BC35" i="50" s="1"/>
  <c r="AP37" i="54"/>
  <c r="AQ37" i="54" s="1"/>
  <c r="AV37" i="54" s="1"/>
  <c r="AW37" i="54"/>
  <c r="AJ39" i="51"/>
  <c r="AO38" i="51"/>
  <c r="AU38" i="51"/>
  <c r="AP37" i="52"/>
  <c r="AQ37" i="52" s="1"/>
  <c r="AV37" i="52" s="1"/>
  <c r="AW37" i="52"/>
  <c r="AY38" i="54"/>
  <c r="AZ37" i="52"/>
  <c r="AZ36" i="53"/>
  <c r="BA36" i="53" s="1"/>
  <c r="AY38" i="52"/>
  <c r="AP37" i="50"/>
  <c r="AQ37" i="50" s="1"/>
  <c r="AV37" i="50" s="1"/>
  <c r="AW37" i="50"/>
  <c r="BC35" i="53"/>
  <c r="AN39" i="47"/>
  <c r="AX38" i="47"/>
  <c r="AT38" i="47"/>
  <c r="AJ39" i="49"/>
  <c r="AO38" i="49"/>
  <c r="AU38" i="49"/>
  <c r="AX39" i="49"/>
  <c r="AT39" i="49"/>
  <c r="BB35" i="46"/>
  <c r="BC35" i="46" s="1"/>
  <c r="AN39" i="46"/>
  <c r="AX38" i="46"/>
  <c r="AT38" i="46"/>
  <c r="AY38" i="45"/>
  <c r="AZ36" i="44"/>
  <c r="BA36" i="44" s="1"/>
  <c r="BB36" i="44" s="1"/>
  <c r="AN39" i="43"/>
  <c r="AT38" i="43"/>
  <c r="AX38" i="43"/>
  <c r="AP38" i="44"/>
  <c r="AQ38" i="44" s="1"/>
  <c r="AW38" i="44"/>
  <c r="AJ39" i="45"/>
  <c r="AU38" i="45"/>
  <c r="AO38" i="45"/>
  <c r="AP37" i="45"/>
  <c r="AQ37" i="45" s="1"/>
  <c r="AV37" i="45" s="1"/>
  <c r="AW37" i="45"/>
  <c r="AZ36" i="43"/>
  <c r="BA36" i="43" s="1"/>
  <c r="AX39" i="45"/>
  <c r="AT39" i="45"/>
  <c r="AZ36" i="46"/>
  <c r="BA36" i="46" s="1"/>
  <c r="BB36" i="46" s="1"/>
  <c r="AZ37" i="45"/>
  <c r="AP37" i="43"/>
  <c r="AQ37" i="43" s="1"/>
  <c r="AV37" i="43" s="1"/>
  <c r="AW37" i="43"/>
  <c r="AN39" i="44"/>
  <c r="AX38" i="44"/>
  <c r="AT38" i="44"/>
  <c r="BC35" i="43"/>
  <c r="AP37" i="46"/>
  <c r="AQ37" i="46" s="1"/>
  <c r="AV37" i="46" s="1"/>
  <c r="AW37" i="46"/>
  <c r="AY37" i="46"/>
  <c r="AY37" i="43"/>
  <c r="AY37" i="44"/>
  <c r="BC35" i="44"/>
  <c r="AO38" i="43"/>
  <c r="AU38" i="43"/>
  <c r="AJ39" i="43"/>
  <c r="AU39" i="44"/>
  <c r="AO39" i="44"/>
  <c r="AU38" i="46"/>
  <c r="AJ39" i="46"/>
  <c r="AO38" i="46"/>
  <c r="BB35" i="42"/>
  <c r="BC35" i="42" s="1"/>
  <c r="AZ37" i="41"/>
  <c r="AP37" i="41"/>
  <c r="AQ37" i="41" s="1"/>
  <c r="AV37" i="41" s="1"/>
  <c r="AW37" i="41"/>
  <c r="BA36" i="41"/>
  <c r="AX39" i="41"/>
  <c r="AT39" i="41"/>
  <c r="AY37" i="42"/>
  <c r="AZ36" i="42"/>
  <c r="BA36" i="42" s="1"/>
  <c r="BB36" i="42" s="1"/>
  <c r="AN39" i="42"/>
  <c r="AX38" i="42"/>
  <c r="AT38" i="42"/>
  <c r="AJ39" i="41"/>
  <c r="AO38" i="41"/>
  <c r="AU38" i="41"/>
  <c r="AP37" i="42"/>
  <c r="AQ37" i="42" s="1"/>
  <c r="AV37" i="42" s="1"/>
  <c r="AW37" i="42"/>
  <c r="AY38" i="41"/>
  <c r="AU38" i="42"/>
  <c r="AJ39" i="42"/>
  <c r="AO38" i="42"/>
  <c r="AZ37" i="40"/>
  <c r="BA37" i="40" s="1"/>
  <c r="BB37" i="40" s="1"/>
  <c r="AP38" i="40"/>
  <c r="AQ38" i="40" s="1"/>
  <c r="AV38" i="40" s="1"/>
  <c r="AW38" i="40"/>
  <c r="BC36" i="40"/>
  <c r="AY38" i="40"/>
  <c r="AO39" i="40"/>
  <c r="AU39" i="40"/>
  <c r="AX39" i="40"/>
  <c r="AT39" i="40"/>
  <c r="BC36" i="49" l="1"/>
  <c r="BC36" i="64"/>
  <c r="BA37" i="54"/>
  <c r="BB37" i="54" s="1"/>
  <c r="BA37" i="63"/>
  <c r="BB37" i="63" s="1"/>
  <c r="BC36" i="67"/>
  <c r="BA37" i="50"/>
  <c r="BB37" i="50" s="1"/>
  <c r="BC36" i="45"/>
  <c r="BA37" i="64"/>
  <c r="BB37" i="64" s="1"/>
  <c r="BA37" i="65"/>
  <c r="BB37" i="65" s="1"/>
  <c r="BA37" i="49"/>
  <c r="BA37" i="45"/>
  <c r="BB37" i="45" s="1"/>
  <c r="BA37" i="52"/>
  <c r="BA37" i="48"/>
  <c r="BB37" i="48" s="1"/>
  <c r="BA37" i="68"/>
  <c r="BB36" i="54"/>
  <c r="BC36" i="54" s="1"/>
  <c r="BB36" i="59"/>
  <c r="BC36" i="59" s="1"/>
  <c r="AU39" i="56"/>
  <c r="AO39" i="56"/>
  <c r="AO39" i="58"/>
  <c r="AU39" i="58"/>
  <c r="BB37" i="58"/>
  <c r="BC37" i="58" s="1"/>
  <c r="AO39" i="62"/>
  <c r="AU39" i="62"/>
  <c r="AY39" i="62"/>
  <c r="AO39" i="61"/>
  <c r="AU39" i="61"/>
  <c r="AW38" i="68"/>
  <c r="AP38" i="68"/>
  <c r="AQ38" i="68" s="1"/>
  <c r="AV38" i="68" s="1"/>
  <c r="AZ38" i="66"/>
  <c r="AZ38" i="65"/>
  <c r="BB37" i="61"/>
  <c r="BC37" i="61" s="1"/>
  <c r="BC36" i="60"/>
  <c r="BC36" i="57"/>
  <c r="AO39" i="55"/>
  <c r="AU39" i="55"/>
  <c r="BA37" i="66"/>
  <c r="AZ38" i="68"/>
  <c r="BB36" i="62"/>
  <c r="BC36" i="62" s="1"/>
  <c r="BB36" i="63"/>
  <c r="BC36" i="63" s="1"/>
  <c r="AP38" i="64"/>
  <c r="AQ38" i="64" s="1"/>
  <c r="AV38" i="64" s="1"/>
  <c r="AW38" i="64"/>
  <c r="AP38" i="65"/>
  <c r="AQ38" i="65" s="1"/>
  <c r="AV38" i="65" s="1"/>
  <c r="AW38" i="65"/>
  <c r="AP38" i="60"/>
  <c r="AQ38" i="60" s="1"/>
  <c r="AV38" i="60" s="1"/>
  <c r="AW38" i="60"/>
  <c r="BA37" i="55"/>
  <c r="AZ39" i="58"/>
  <c r="AP38" i="66"/>
  <c r="AQ38" i="66" s="1"/>
  <c r="AV38" i="66" s="1"/>
  <c r="AW38" i="66"/>
  <c r="BC37" i="64"/>
  <c r="AP38" i="59"/>
  <c r="AQ38" i="59" s="1"/>
  <c r="AV38" i="59" s="1"/>
  <c r="AW38" i="59"/>
  <c r="AY39" i="64"/>
  <c r="AY39" i="68"/>
  <c r="AY38" i="56"/>
  <c r="BA37" i="62"/>
  <c r="AZ38" i="64"/>
  <c r="BC37" i="65"/>
  <c r="AW38" i="56"/>
  <c r="AP38" i="56"/>
  <c r="AQ38" i="56" s="1"/>
  <c r="AV38" i="56" s="1"/>
  <c r="AP38" i="58"/>
  <c r="AQ38" i="58" s="1"/>
  <c r="AV38" i="58" s="1"/>
  <c r="AW38" i="58"/>
  <c r="BA38" i="58" s="1"/>
  <c r="AZ37" i="59"/>
  <c r="BA37" i="59" s="1"/>
  <c r="AP38" i="67"/>
  <c r="AQ38" i="67" s="1"/>
  <c r="AV38" i="67" s="1"/>
  <c r="AW38" i="67"/>
  <c r="AU39" i="64"/>
  <c r="AO39" i="64"/>
  <c r="AZ38" i="67"/>
  <c r="AO39" i="65"/>
  <c r="AU39" i="65"/>
  <c r="AZ39" i="61"/>
  <c r="AY39" i="66"/>
  <c r="AU39" i="60"/>
  <c r="AO39" i="60"/>
  <c r="AO39" i="66"/>
  <c r="AU39" i="66"/>
  <c r="BB36" i="65"/>
  <c r="BC36" i="65" s="1"/>
  <c r="AU39" i="68"/>
  <c r="AO39" i="68"/>
  <c r="AZ37" i="56"/>
  <c r="BA37" i="56" s="1"/>
  <c r="BB37" i="56" s="1"/>
  <c r="AZ38" i="63"/>
  <c r="AO39" i="59"/>
  <c r="AU39" i="59"/>
  <c r="AY38" i="57"/>
  <c r="AY38" i="59"/>
  <c r="AY38" i="60"/>
  <c r="AZ37" i="57"/>
  <c r="BA37" i="57" s="1"/>
  <c r="BB37" i="57" s="1"/>
  <c r="AP38" i="63"/>
  <c r="AQ38" i="63" s="1"/>
  <c r="AV38" i="63" s="1"/>
  <c r="AW38" i="63"/>
  <c r="AY39" i="67"/>
  <c r="AO39" i="67"/>
  <c r="AU39" i="67"/>
  <c r="AZ37" i="60"/>
  <c r="BA37" i="60" s="1"/>
  <c r="BB37" i="60" s="1"/>
  <c r="AY39" i="55"/>
  <c r="AP38" i="62"/>
  <c r="AQ38" i="62" s="1"/>
  <c r="AV38" i="62" s="1"/>
  <c r="AW38" i="62"/>
  <c r="AY39" i="63"/>
  <c r="BA37" i="67"/>
  <c r="AZ38" i="55"/>
  <c r="AY39" i="65"/>
  <c r="AP38" i="61"/>
  <c r="AQ38" i="61" s="1"/>
  <c r="AV38" i="61" s="1"/>
  <c r="AW38" i="61"/>
  <c r="BA38" i="61" s="1"/>
  <c r="BC36" i="56"/>
  <c r="AX39" i="57"/>
  <c r="AT39" i="57"/>
  <c r="AV39" i="57" s="1"/>
  <c r="AW39" i="57"/>
  <c r="AZ38" i="62"/>
  <c r="AX39" i="59"/>
  <c r="AT39" i="59"/>
  <c r="AT39" i="56"/>
  <c r="AX39" i="56"/>
  <c r="AP38" i="55"/>
  <c r="AQ38" i="55" s="1"/>
  <c r="AV38" i="55" s="1"/>
  <c r="AW38" i="55"/>
  <c r="AX39" i="60"/>
  <c r="AT39" i="60"/>
  <c r="AU39" i="63"/>
  <c r="AO39" i="63"/>
  <c r="BB36" i="53"/>
  <c r="BC36" i="53" s="1"/>
  <c r="AP38" i="48"/>
  <c r="AQ38" i="48" s="1"/>
  <c r="AV38" i="48" s="1"/>
  <c r="AW38" i="48"/>
  <c r="AZ37" i="47"/>
  <c r="BA37" i="47" s="1"/>
  <c r="BB37" i="47" s="1"/>
  <c r="AU39" i="47"/>
  <c r="AO39" i="47"/>
  <c r="AP38" i="54"/>
  <c r="AQ38" i="54" s="1"/>
  <c r="AV38" i="54" s="1"/>
  <c r="AW38" i="54"/>
  <c r="AP38" i="49"/>
  <c r="AQ38" i="49" s="1"/>
  <c r="AV38" i="49" s="1"/>
  <c r="AW38" i="49"/>
  <c r="AX39" i="47"/>
  <c r="AT39" i="47"/>
  <c r="AO39" i="51"/>
  <c r="AU39" i="51"/>
  <c r="AZ39" i="51"/>
  <c r="AX39" i="53"/>
  <c r="AT39" i="53"/>
  <c r="AO39" i="54"/>
  <c r="AU39" i="54"/>
  <c r="BB36" i="52"/>
  <c r="BC36" i="52" s="1"/>
  <c r="AY39" i="52"/>
  <c r="AW38" i="52"/>
  <c r="AP38" i="52"/>
  <c r="AQ38" i="52" s="1"/>
  <c r="AV38" i="52" s="1"/>
  <c r="AO39" i="50"/>
  <c r="AU39" i="50"/>
  <c r="AY38" i="47"/>
  <c r="AZ38" i="54"/>
  <c r="AP38" i="51"/>
  <c r="AQ38" i="51" s="1"/>
  <c r="AV38" i="51" s="1"/>
  <c r="AW38" i="51"/>
  <c r="BA38" i="51" s="1"/>
  <c r="AZ38" i="48"/>
  <c r="BB37" i="51"/>
  <c r="BC37" i="51" s="1"/>
  <c r="AO39" i="49"/>
  <c r="AU39" i="49"/>
  <c r="AZ38" i="52"/>
  <c r="AO39" i="48"/>
  <c r="AU39" i="48"/>
  <c r="BC36" i="47"/>
  <c r="AZ38" i="50"/>
  <c r="BB36" i="48"/>
  <c r="BC36" i="48" s="1"/>
  <c r="AY39" i="48"/>
  <c r="AY38" i="53"/>
  <c r="AU39" i="52"/>
  <c r="AO39" i="52"/>
  <c r="AO39" i="53"/>
  <c r="AU39" i="53"/>
  <c r="AY39" i="49"/>
  <c r="AY39" i="54"/>
  <c r="AZ38" i="49"/>
  <c r="AP38" i="47"/>
  <c r="AQ38" i="47" s="1"/>
  <c r="AV38" i="47" s="1"/>
  <c r="AW38" i="47"/>
  <c r="AZ37" i="53"/>
  <c r="BA37" i="53" s="1"/>
  <c r="AY39" i="50"/>
  <c r="AP38" i="53"/>
  <c r="AQ38" i="53" s="1"/>
  <c r="AV38" i="53" s="1"/>
  <c r="AW38" i="53"/>
  <c r="AP38" i="50"/>
  <c r="AQ38" i="50" s="1"/>
  <c r="AV38" i="50" s="1"/>
  <c r="AW38" i="50"/>
  <c r="BB36" i="43"/>
  <c r="BC36" i="43" s="1"/>
  <c r="AZ37" i="44"/>
  <c r="BA37" i="44" s="1"/>
  <c r="BB37" i="44" s="1"/>
  <c r="AY38" i="46"/>
  <c r="AP39" i="44"/>
  <c r="AQ39" i="44" s="1"/>
  <c r="AW39" i="44"/>
  <c r="AW38" i="43"/>
  <c r="AP38" i="43"/>
  <c r="AQ38" i="43" s="1"/>
  <c r="AV38" i="43" s="1"/>
  <c r="AY38" i="44"/>
  <c r="AY39" i="45"/>
  <c r="AZ38" i="45"/>
  <c r="AX39" i="46"/>
  <c r="AT39" i="46"/>
  <c r="AO39" i="45"/>
  <c r="AU39" i="45"/>
  <c r="AP38" i="46"/>
  <c r="AQ38" i="46" s="1"/>
  <c r="AV38" i="46" s="1"/>
  <c r="AW38" i="46"/>
  <c r="AZ37" i="43"/>
  <c r="BA37" i="43" s="1"/>
  <c r="AX39" i="44"/>
  <c r="AT39" i="44"/>
  <c r="BC36" i="46"/>
  <c r="AP38" i="45"/>
  <c r="AQ38" i="45" s="1"/>
  <c r="AV38" i="45" s="1"/>
  <c r="AW38" i="45"/>
  <c r="AV38" i="44"/>
  <c r="AX39" i="43"/>
  <c r="AT39" i="43"/>
  <c r="AY38" i="43"/>
  <c r="AO39" i="46"/>
  <c r="AU39" i="46"/>
  <c r="AU39" i="43"/>
  <c r="AO39" i="43"/>
  <c r="AZ37" i="46"/>
  <c r="BA37" i="46" s="1"/>
  <c r="BC36" i="44"/>
  <c r="AZ38" i="41"/>
  <c r="AY39" i="41"/>
  <c r="AP38" i="42"/>
  <c r="AQ38" i="42" s="1"/>
  <c r="AV38" i="42" s="1"/>
  <c r="AW38" i="42"/>
  <c r="AP38" i="41"/>
  <c r="AQ38" i="41" s="1"/>
  <c r="AV38" i="41" s="1"/>
  <c r="AW38" i="41"/>
  <c r="AY38" i="42"/>
  <c r="AZ37" i="42"/>
  <c r="BA37" i="42" s="1"/>
  <c r="BB37" i="42" s="1"/>
  <c r="BB36" i="41"/>
  <c r="BC36" i="41" s="1"/>
  <c r="AO39" i="42"/>
  <c r="AU39" i="42"/>
  <c r="AO39" i="41"/>
  <c r="AU39" i="41"/>
  <c r="AX39" i="42"/>
  <c r="AT39" i="42"/>
  <c r="BA37" i="41"/>
  <c r="BC36" i="42"/>
  <c r="AY39" i="40"/>
  <c r="AZ38" i="40"/>
  <c r="BA38" i="40" s="1"/>
  <c r="BC37" i="40"/>
  <c r="AP39" i="40"/>
  <c r="AQ39" i="40" s="1"/>
  <c r="AV39" i="40" s="1"/>
  <c r="AW39" i="40"/>
  <c r="BC37" i="54" l="1"/>
  <c r="BC37" i="45"/>
  <c r="BC37" i="63"/>
  <c r="BA38" i="66"/>
  <c r="BB38" i="66" s="1"/>
  <c r="BC37" i="50"/>
  <c r="BC37" i="48"/>
  <c r="BC37" i="57"/>
  <c r="BA38" i="65"/>
  <c r="BB38" i="65" s="1"/>
  <c r="BA38" i="55"/>
  <c r="BB38" i="55" s="1"/>
  <c r="BC37" i="44"/>
  <c r="BA38" i="50"/>
  <c r="BB38" i="50" s="1"/>
  <c r="BB37" i="52"/>
  <c r="BC37" i="52" s="1"/>
  <c r="BB37" i="68"/>
  <c r="BC37" i="68" s="1"/>
  <c r="BB37" i="49"/>
  <c r="BC37" i="49" s="1"/>
  <c r="BB37" i="59"/>
  <c r="BC37" i="59" s="1"/>
  <c r="AP39" i="63"/>
  <c r="AQ39" i="63" s="1"/>
  <c r="AV39" i="63" s="1"/>
  <c r="AW39" i="63"/>
  <c r="AY39" i="60"/>
  <c r="AY39" i="57"/>
  <c r="BA38" i="62"/>
  <c r="BC37" i="60"/>
  <c r="AZ38" i="59"/>
  <c r="BA38" i="59" s="1"/>
  <c r="AW39" i="59"/>
  <c r="AP39" i="59"/>
  <c r="AQ39" i="59" s="1"/>
  <c r="AV39" i="59" s="1"/>
  <c r="BC37" i="56"/>
  <c r="BB37" i="62"/>
  <c r="BC37" i="62" s="1"/>
  <c r="AZ39" i="64"/>
  <c r="BB37" i="55"/>
  <c r="BC37" i="55" s="1"/>
  <c r="AW39" i="56"/>
  <c r="AP39" i="56"/>
  <c r="AQ39" i="56" s="1"/>
  <c r="AV39" i="56" s="1"/>
  <c r="AZ39" i="65"/>
  <c r="BB37" i="67"/>
  <c r="BC37" i="67" s="1"/>
  <c r="AZ39" i="67"/>
  <c r="AP39" i="68"/>
  <c r="AQ39" i="68" s="1"/>
  <c r="AV39" i="68" s="1"/>
  <c r="AW39" i="68"/>
  <c r="AP39" i="64"/>
  <c r="AQ39" i="64" s="1"/>
  <c r="AV39" i="64" s="1"/>
  <c r="AW39" i="64"/>
  <c r="BA38" i="64"/>
  <c r="AP39" i="61"/>
  <c r="AQ39" i="61" s="1"/>
  <c r="AV39" i="61" s="1"/>
  <c r="AW39" i="61"/>
  <c r="BA39" i="61" s="1"/>
  <c r="AZ39" i="62"/>
  <c r="AY39" i="59"/>
  <c r="AZ38" i="57"/>
  <c r="BA38" i="57" s="1"/>
  <c r="BB38" i="57" s="1"/>
  <c r="AW39" i="66"/>
  <c r="AP39" i="66"/>
  <c r="AQ39" i="66" s="1"/>
  <c r="AV39" i="66" s="1"/>
  <c r="AZ39" i="66"/>
  <c r="AP39" i="65"/>
  <c r="AQ39" i="65" s="1"/>
  <c r="AV39" i="65" s="1"/>
  <c r="AW39" i="65"/>
  <c r="AZ38" i="56"/>
  <c r="BA38" i="56" s="1"/>
  <c r="AZ39" i="68"/>
  <c r="BB37" i="66"/>
  <c r="BC37" i="66" s="1"/>
  <c r="AW39" i="55"/>
  <c r="AP39" i="55"/>
  <c r="AQ39" i="55" s="1"/>
  <c r="AV39" i="55" s="1"/>
  <c r="AY39" i="56"/>
  <c r="BB38" i="61"/>
  <c r="BC38" i="61" s="1"/>
  <c r="AZ39" i="63"/>
  <c r="AZ39" i="55"/>
  <c r="AP39" i="67"/>
  <c r="AQ39" i="67" s="1"/>
  <c r="AV39" i="67" s="1"/>
  <c r="AW39" i="67"/>
  <c r="BA38" i="63"/>
  <c r="AZ38" i="60"/>
  <c r="BA38" i="60" s="1"/>
  <c r="AP39" i="60"/>
  <c r="AQ39" i="60" s="1"/>
  <c r="AV39" i="60" s="1"/>
  <c r="AW39" i="60"/>
  <c r="BA38" i="67"/>
  <c r="BB38" i="58"/>
  <c r="BC38" i="58" s="1"/>
  <c r="BA38" i="68"/>
  <c r="AW39" i="62"/>
  <c r="AP39" i="62"/>
  <c r="AQ39" i="62" s="1"/>
  <c r="AV39" i="62" s="1"/>
  <c r="AP39" i="58"/>
  <c r="AQ39" i="58" s="1"/>
  <c r="AV39" i="58" s="1"/>
  <c r="AW39" i="58"/>
  <c r="BA39" i="58" s="1"/>
  <c r="BB37" i="53"/>
  <c r="BC37" i="53" s="1"/>
  <c r="BA38" i="48"/>
  <c r="BB38" i="51"/>
  <c r="BC38" i="51" s="1"/>
  <c r="AZ38" i="47"/>
  <c r="BA38" i="47" s="1"/>
  <c r="BB38" i="47" s="1"/>
  <c r="AZ39" i="52"/>
  <c r="AP39" i="51"/>
  <c r="AQ39" i="51" s="1"/>
  <c r="AV39" i="51" s="1"/>
  <c r="AW39" i="51"/>
  <c r="BA39" i="51" s="1"/>
  <c r="AP39" i="49"/>
  <c r="AQ39" i="49" s="1"/>
  <c r="AV39" i="49" s="1"/>
  <c r="AW39" i="49"/>
  <c r="AP39" i="50"/>
  <c r="AQ39" i="50" s="1"/>
  <c r="AV39" i="50" s="1"/>
  <c r="AW39" i="50"/>
  <c r="AY39" i="53"/>
  <c r="AZ39" i="54"/>
  <c r="AP39" i="53"/>
  <c r="AQ39" i="53" s="1"/>
  <c r="AV39" i="53" s="1"/>
  <c r="AW39" i="53"/>
  <c r="AP39" i="54"/>
  <c r="AQ39" i="54" s="1"/>
  <c r="AV39" i="54" s="1"/>
  <c r="AW39" i="54"/>
  <c r="BA38" i="54"/>
  <c r="BC37" i="47"/>
  <c r="AZ39" i="50"/>
  <c r="AW39" i="48"/>
  <c r="AP39" i="48"/>
  <c r="AQ39" i="48" s="1"/>
  <c r="AV39" i="48" s="1"/>
  <c r="BA38" i="49"/>
  <c r="AP39" i="47"/>
  <c r="AQ39" i="47" s="1"/>
  <c r="AV39" i="47" s="1"/>
  <c r="AW39" i="47"/>
  <c r="AZ38" i="53"/>
  <c r="BA38" i="53" s="1"/>
  <c r="AZ39" i="49"/>
  <c r="AP39" i="52"/>
  <c r="AQ39" i="52" s="1"/>
  <c r="AV39" i="52" s="1"/>
  <c r="AW39" i="52"/>
  <c r="AZ39" i="48"/>
  <c r="BA38" i="52"/>
  <c r="AY39" i="47"/>
  <c r="BB37" i="43"/>
  <c r="BC37" i="43" s="1"/>
  <c r="BB37" i="46"/>
  <c r="BC37" i="46" s="1"/>
  <c r="AY39" i="46"/>
  <c r="AP39" i="46"/>
  <c r="AQ39" i="46" s="1"/>
  <c r="AV39" i="46" s="1"/>
  <c r="AW39" i="46"/>
  <c r="AY39" i="43"/>
  <c r="AP39" i="45"/>
  <c r="AQ39" i="45" s="1"/>
  <c r="AV39" i="45" s="1"/>
  <c r="AW39" i="45"/>
  <c r="AV39" i="44"/>
  <c r="AP39" i="43"/>
  <c r="AQ39" i="43" s="1"/>
  <c r="AV39" i="43" s="1"/>
  <c r="AW39" i="43"/>
  <c r="AZ39" i="45"/>
  <c r="AZ38" i="43"/>
  <c r="BA38" i="43" s="1"/>
  <c r="BA38" i="45"/>
  <c r="AY39" i="44"/>
  <c r="AZ38" i="44"/>
  <c r="BA38" i="44" s="1"/>
  <c r="BB38" i="44" s="1"/>
  <c r="AZ38" i="46"/>
  <c r="BA38" i="46" s="1"/>
  <c r="AY39" i="42"/>
  <c r="BC37" i="42"/>
  <c r="BA38" i="41"/>
  <c r="AZ39" i="41"/>
  <c r="AP39" i="42"/>
  <c r="AQ39" i="42" s="1"/>
  <c r="AV39" i="42" s="1"/>
  <c r="AW39" i="42"/>
  <c r="BB37" i="41"/>
  <c r="BC37" i="41" s="1"/>
  <c r="AP39" i="41"/>
  <c r="AQ39" i="41" s="1"/>
  <c r="AV39" i="41" s="1"/>
  <c r="AW39" i="41"/>
  <c r="AZ38" i="42"/>
  <c r="BA38" i="42" s="1"/>
  <c r="BB38" i="42" s="1"/>
  <c r="BC38" i="42" s="1"/>
  <c r="BB38" i="40"/>
  <c r="BC38" i="40" s="1"/>
  <c r="AZ39" i="40"/>
  <c r="BA39" i="40" s="1"/>
  <c r="BC38" i="66" l="1"/>
  <c r="BC38" i="50"/>
  <c r="BA39" i="62"/>
  <c r="BB39" i="62" s="1"/>
  <c r="BC38" i="55"/>
  <c r="BC38" i="65"/>
  <c r="BA39" i="67"/>
  <c r="BB39" i="67" s="1"/>
  <c r="BC38" i="44"/>
  <c r="BC38" i="47"/>
  <c r="BA39" i="55"/>
  <c r="BA39" i="65"/>
  <c r="BB39" i="65" s="1"/>
  <c r="BA39" i="64"/>
  <c r="BB39" i="64" s="1"/>
  <c r="BA39" i="66"/>
  <c r="BA39" i="41"/>
  <c r="BB39" i="41" s="1"/>
  <c r="BA39" i="52"/>
  <c r="BB39" i="52" s="1"/>
  <c r="BC38" i="57"/>
  <c r="BA39" i="68"/>
  <c r="BB39" i="68" s="1"/>
  <c r="BC39" i="68" s="1"/>
  <c r="BB38" i="60"/>
  <c r="BC38" i="60" s="1"/>
  <c r="BB38" i="56"/>
  <c r="BC38" i="56" s="1"/>
  <c r="BB38" i="59"/>
  <c r="BC38" i="59" s="1"/>
  <c r="BB38" i="68"/>
  <c r="BC38" i="68" s="1"/>
  <c r="BB39" i="61"/>
  <c r="BC39" i="61" s="1"/>
  <c r="AZ39" i="57"/>
  <c r="BA39" i="57" s="1"/>
  <c r="BB39" i="57" s="1"/>
  <c r="BA39" i="63"/>
  <c r="AZ39" i="56"/>
  <c r="BA39" i="56" s="1"/>
  <c r="AZ39" i="59"/>
  <c r="BA39" i="59" s="1"/>
  <c r="BB39" i="59" s="1"/>
  <c r="BB38" i="62"/>
  <c r="BC38" i="62" s="1"/>
  <c r="BB39" i="58"/>
  <c r="BC39" i="58" s="1"/>
  <c r="BB38" i="67"/>
  <c r="BC38" i="67" s="1"/>
  <c r="BC39" i="62"/>
  <c r="AZ39" i="60"/>
  <c r="BA39" i="60" s="1"/>
  <c r="BB39" i="60" s="1"/>
  <c r="BB38" i="63"/>
  <c r="BC38" i="63" s="1"/>
  <c r="BB38" i="64"/>
  <c r="BC38" i="64" s="1"/>
  <c r="BB38" i="53"/>
  <c r="BC38" i="53" s="1"/>
  <c r="BB38" i="52"/>
  <c r="BC38" i="52" s="1"/>
  <c r="BB38" i="49"/>
  <c r="BC38" i="49" s="1"/>
  <c r="BA39" i="50"/>
  <c r="BA39" i="48"/>
  <c r="BB38" i="54"/>
  <c r="BC38" i="54" s="1"/>
  <c r="AZ39" i="53"/>
  <c r="BA39" i="53" s="1"/>
  <c r="BB39" i="53" s="1"/>
  <c r="BA39" i="49"/>
  <c r="BB39" i="51"/>
  <c r="BC39" i="51" s="1"/>
  <c r="BB38" i="48"/>
  <c r="BC38" i="48" s="1"/>
  <c r="AZ39" i="47"/>
  <c r="BA39" i="47" s="1"/>
  <c r="BA39" i="54"/>
  <c r="BB38" i="46"/>
  <c r="BC38" i="46" s="1"/>
  <c r="BB38" i="43"/>
  <c r="BC38" i="43" s="1"/>
  <c r="AZ39" i="44"/>
  <c r="BA39" i="44" s="1"/>
  <c r="BB39" i="44" s="1"/>
  <c r="AZ39" i="43"/>
  <c r="BA39" i="43" s="1"/>
  <c r="AZ39" i="46"/>
  <c r="BA39" i="46" s="1"/>
  <c r="BB38" i="45"/>
  <c r="BC38" i="45" s="1"/>
  <c r="BA39" i="45"/>
  <c r="BB38" i="41"/>
  <c r="BC38" i="41" s="1"/>
  <c r="AZ39" i="42"/>
  <c r="BA39" i="42" s="1"/>
  <c r="BB39" i="40"/>
  <c r="BC39" i="40" s="1"/>
  <c r="BC39" i="64" l="1"/>
  <c r="BC39" i="41"/>
  <c r="BC39" i="52"/>
  <c r="BC39" i="67"/>
  <c r="BC39" i="65"/>
  <c r="BC39" i="44"/>
  <c r="BB39" i="56"/>
  <c r="BC39" i="56" s="1"/>
  <c r="BB39" i="55"/>
  <c r="BC39" i="55" s="1"/>
  <c r="BB39" i="66"/>
  <c r="BC39" i="66" s="1"/>
  <c r="BC39" i="59"/>
  <c r="BC39" i="60"/>
  <c r="BB39" i="63"/>
  <c r="BC39" i="63" s="1"/>
  <c r="BC39" i="57"/>
  <c r="BB39" i="47"/>
  <c r="BC39" i="47" s="1"/>
  <c r="BB39" i="50"/>
  <c r="BC39" i="50" s="1"/>
  <c r="BB39" i="54"/>
  <c r="BC39" i="54" s="1"/>
  <c r="BC39" i="53"/>
  <c r="BB39" i="48"/>
  <c r="BC39" i="48" s="1"/>
  <c r="BB39" i="49"/>
  <c r="BC39" i="49" s="1"/>
  <c r="BB39" i="46"/>
  <c r="BC39" i="46" s="1"/>
  <c r="BB39" i="43"/>
  <c r="BC39" i="43" s="1"/>
  <c r="BB39" i="45"/>
  <c r="BC39" i="45" s="1"/>
  <c r="BB39" i="42"/>
  <c r="BC39" i="42" s="1"/>
  <c r="E57" i="33" l="1"/>
  <c r="R17" i="33"/>
  <c r="Q17" i="33"/>
  <c r="P17" i="33"/>
  <c r="O17" i="33"/>
  <c r="N17" i="33"/>
  <c r="M17" i="33"/>
  <c r="L17" i="33"/>
  <c r="K17" i="33"/>
  <c r="J17" i="33"/>
  <c r="H17" i="33"/>
  <c r="F17" i="33"/>
  <c r="E17" i="33"/>
  <c r="D17" i="33"/>
  <c r="C17" i="33"/>
  <c r="B17" i="33"/>
  <c r="R16" i="33"/>
  <c r="Q16" i="33"/>
  <c r="P16" i="33"/>
  <c r="O16" i="33"/>
  <c r="N16" i="33"/>
  <c r="M16" i="33"/>
  <c r="L16" i="33"/>
  <c r="K16" i="33"/>
  <c r="J16" i="33"/>
  <c r="I16" i="33"/>
  <c r="H16" i="33"/>
  <c r="G16" i="33"/>
  <c r="F16" i="33"/>
  <c r="E16" i="33"/>
  <c r="D16" i="33"/>
  <c r="C16" i="33"/>
  <c r="B16" i="33"/>
  <c r="F13" i="33"/>
  <c r="F14" i="33"/>
  <c r="G10" i="33"/>
  <c r="F10" i="33"/>
  <c r="F11" i="33"/>
  <c r="F12" i="33"/>
  <c r="R13" i="33"/>
  <c r="D35" i="37"/>
  <c r="K25" i="36" s="1"/>
  <c r="D47" i="33" l="1"/>
  <c r="D46" i="33"/>
  <c r="D45" i="33"/>
  <c r="D44" i="33"/>
  <c r="D43" i="33"/>
  <c r="D42" i="33"/>
  <c r="D41" i="33"/>
  <c r="D40" i="33"/>
  <c r="D39" i="33"/>
  <c r="D38" i="33"/>
  <c r="D37" i="33"/>
  <c r="D36" i="33"/>
  <c r="D35" i="33"/>
  <c r="D34" i="33"/>
  <c r="D33" i="33"/>
  <c r="D32" i="33"/>
  <c r="D31" i="33"/>
  <c r="D30" i="33"/>
  <c r="D29" i="33"/>
  <c r="D28" i="33"/>
  <c r="D27" i="33"/>
  <c r="D26" i="33"/>
  <c r="D25" i="33"/>
  <c r="D24" i="33"/>
  <c r="D23" i="33"/>
  <c r="D22" i="33"/>
  <c r="D21" i="33"/>
  <c r="D20" i="33"/>
  <c r="D19" i="33"/>
  <c r="M33" i="39"/>
  <c r="M32" i="39"/>
  <c r="M31" i="39"/>
  <c r="M30" i="39"/>
  <c r="M29" i="39"/>
  <c r="M28" i="39"/>
  <c r="M27" i="39"/>
  <c r="M26" i="39"/>
  <c r="M25" i="39"/>
  <c r="M24" i="39"/>
  <c r="M23" i="39"/>
  <c r="M22" i="39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L3" i="39"/>
  <c r="L37" i="39"/>
  <c r="L36" i="39" l="1"/>
  <c r="B4" i="39" l="1"/>
  <c r="B5" i="39" s="1"/>
  <c r="B6" i="36"/>
  <c r="B5" i="34"/>
  <c r="B5" i="37"/>
  <c r="R10" i="32"/>
  <c r="V12" i="1"/>
  <c r="S12" i="1"/>
  <c r="O12" i="1"/>
  <c r="H12" i="1"/>
  <c r="R11" i="32"/>
  <c r="C3" i="70" s="1"/>
  <c r="F15" i="33" l="1"/>
  <c r="C2" i="34"/>
  <c r="R10" i="33"/>
  <c r="AK748" i="39"/>
  <c r="AK747" i="39"/>
  <c r="AK746" i="39"/>
  <c r="AK745" i="39"/>
  <c r="AK744" i="39"/>
  <c r="AK743" i="39"/>
  <c r="AK742" i="39"/>
  <c r="AK741" i="39"/>
  <c r="AK740" i="39"/>
  <c r="AK739" i="39"/>
  <c r="AK738" i="39"/>
  <c r="AK737" i="39"/>
  <c r="AK736" i="39"/>
  <c r="AK735" i="39"/>
  <c r="AK734" i="39"/>
  <c r="AK733" i="39"/>
  <c r="AK732" i="39"/>
  <c r="AK731" i="39"/>
  <c r="AK730" i="39"/>
  <c r="AK729" i="39"/>
  <c r="AK728" i="39"/>
  <c r="AK727" i="39"/>
  <c r="AK726" i="39"/>
  <c r="AK725" i="39"/>
  <c r="AK724" i="39"/>
  <c r="AK723" i="39"/>
  <c r="AK722" i="39"/>
  <c r="AK721" i="39"/>
  <c r="AK720" i="39"/>
  <c r="AK719" i="39"/>
  <c r="AK718" i="39"/>
  <c r="AK717" i="39"/>
  <c r="AK716" i="39"/>
  <c r="AK715" i="39"/>
  <c r="AK714" i="39"/>
  <c r="AK713" i="39"/>
  <c r="AK712" i="39"/>
  <c r="AK711" i="39"/>
  <c r="AK710" i="39"/>
  <c r="AK709" i="39"/>
  <c r="AK708" i="39"/>
  <c r="AK707" i="39"/>
  <c r="AK706" i="39"/>
  <c r="AK705" i="39"/>
  <c r="AK704" i="39"/>
  <c r="AK703" i="39"/>
  <c r="AK702" i="39"/>
  <c r="AK701" i="39"/>
  <c r="AK700" i="39"/>
  <c r="AK698" i="39"/>
  <c r="AK697" i="39"/>
  <c r="AK696" i="39"/>
  <c r="AK695" i="39"/>
  <c r="AK694" i="39"/>
  <c r="AK693" i="39"/>
  <c r="AK692" i="39"/>
  <c r="AK691" i="39"/>
  <c r="AK690" i="39"/>
  <c r="AK689" i="39"/>
  <c r="AK688" i="39"/>
  <c r="AK687" i="39"/>
  <c r="AK686" i="39"/>
  <c r="AK685" i="39"/>
  <c r="AK684" i="39"/>
  <c r="AK683" i="39"/>
  <c r="AK682" i="39"/>
  <c r="AK681" i="39"/>
  <c r="AK680" i="39"/>
  <c r="AK679" i="39"/>
  <c r="AK678" i="39"/>
  <c r="AK677" i="39"/>
  <c r="AK676" i="39"/>
  <c r="AK675" i="39"/>
  <c r="AK674" i="39"/>
  <c r="AK673" i="39"/>
  <c r="AK672" i="39"/>
  <c r="AK671" i="39"/>
  <c r="AK670" i="39"/>
  <c r="AK669" i="39"/>
  <c r="AK668" i="39"/>
  <c r="AK667" i="39"/>
  <c r="AK666" i="39"/>
  <c r="AK665" i="39"/>
  <c r="AK664" i="39"/>
  <c r="AK663" i="39"/>
  <c r="AK662" i="39"/>
  <c r="AK661" i="39"/>
  <c r="AK660" i="39"/>
  <c r="AK659" i="39"/>
  <c r="AK658" i="39"/>
  <c r="AK657" i="39"/>
  <c r="AK656" i="39"/>
  <c r="AK655" i="39"/>
  <c r="AK654" i="39"/>
  <c r="AK653" i="39"/>
  <c r="AK652" i="39"/>
  <c r="AK651" i="39"/>
  <c r="AK650" i="39"/>
  <c r="AK599" i="39"/>
  <c r="AK598" i="39"/>
  <c r="AK545" i="39"/>
  <c r="AK544" i="39"/>
  <c r="AK489" i="39"/>
  <c r="AK488" i="39"/>
  <c r="AK432" i="39"/>
  <c r="AK431" i="39"/>
  <c r="AK381" i="39"/>
  <c r="AK380" i="39"/>
  <c r="AK379" i="39"/>
  <c r="AK324" i="39"/>
  <c r="AK323" i="39"/>
  <c r="AK322" i="39"/>
  <c r="AK321" i="39"/>
  <c r="AK320" i="39"/>
  <c r="AK319" i="39"/>
  <c r="AK317" i="39"/>
  <c r="AK316" i="39"/>
  <c r="AK315" i="39"/>
  <c r="AK314" i="39"/>
  <c r="AK313" i="39"/>
  <c r="AK312" i="39"/>
  <c r="AK311" i="39"/>
  <c r="AK310" i="39"/>
  <c r="AK309" i="39"/>
  <c r="AK308" i="39"/>
  <c r="AK307" i="39"/>
  <c r="AK306" i="39"/>
  <c r="AK305" i="39"/>
  <c r="AK304" i="39"/>
  <c r="AK303" i="39"/>
  <c r="AK302" i="39"/>
  <c r="AK301" i="39"/>
  <c r="AK300" i="39"/>
  <c r="AK299" i="39"/>
  <c r="AK298" i="39"/>
  <c r="AK297" i="39"/>
  <c r="AK296" i="39"/>
  <c r="AK295" i="39"/>
  <c r="AK294" i="39"/>
  <c r="AK293" i="39"/>
  <c r="AK289" i="39"/>
  <c r="AK288" i="39"/>
  <c r="AK287" i="39"/>
  <c r="AK285" i="39"/>
  <c r="AK284" i="39"/>
  <c r="AK283" i="39"/>
  <c r="AK282" i="39"/>
  <c r="AK281" i="39"/>
  <c r="AK280" i="39"/>
  <c r="AK278" i="39"/>
  <c r="AK277" i="39"/>
  <c r="AK276" i="39"/>
  <c r="AK275" i="39"/>
  <c r="AK274" i="39"/>
  <c r="AK273" i="39"/>
  <c r="AK271" i="39"/>
  <c r="AK270" i="39"/>
  <c r="AK269" i="39"/>
  <c r="AK268" i="39"/>
  <c r="AK267" i="39"/>
  <c r="AK266" i="39"/>
  <c r="AK265" i="39"/>
  <c r="AK264" i="39"/>
  <c r="AK263" i="39"/>
  <c r="AK262" i="39"/>
  <c r="AK261" i="39"/>
  <c r="AK260" i="39"/>
  <c r="AK259" i="39"/>
  <c r="AK258" i="39"/>
  <c r="AK257" i="39"/>
  <c r="AK256" i="39"/>
  <c r="AK254" i="39"/>
  <c r="AK253" i="39"/>
  <c r="AK252" i="39"/>
  <c r="AK251" i="39"/>
  <c r="AK250" i="39"/>
  <c r="AK249" i="39"/>
  <c r="AK248" i="39"/>
  <c r="AK247" i="39"/>
  <c r="AK246" i="39"/>
  <c r="AK245" i="39"/>
  <c r="AK244" i="39"/>
  <c r="AK243" i="39"/>
  <c r="AK242" i="39"/>
  <c r="AK241" i="39"/>
  <c r="AK240" i="39"/>
  <c r="AK239" i="39"/>
  <c r="AK238" i="39"/>
  <c r="AK237" i="39"/>
  <c r="AK236" i="39"/>
  <c r="AK235" i="39"/>
  <c r="AK234" i="39"/>
  <c r="AK233" i="39"/>
  <c r="AK232" i="39"/>
  <c r="AK231" i="39"/>
  <c r="AK230" i="39"/>
  <c r="AK228" i="39"/>
  <c r="AK227" i="39"/>
  <c r="AK226" i="39"/>
  <c r="AK225" i="39"/>
  <c r="AK224" i="39"/>
  <c r="AK223" i="39"/>
  <c r="AK222" i="39"/>
  <c r="AK221" i="39"/>
  <c r="AK220" i="39"/>
  <c r="AK215" i="39"/>
  <c r="AK214" i="39"/>
  <c r="AK213" i="39"/>
  <c r="AK212" i="39"/>
  <c r="AK211" i="39"/>
  <c r="AK210" i="39"/>
  <c r="AK209" i="39"/>
  <c r="AK208" i="39"/>
  <c r="AK207" i="39"/>
  <c r="AK206" i="39"/>
  <c r="AK205" i="39"/>
  <c r="AK204" i="39"/>
  <c r="AK203" i="39"/>
  <c r="AK202" i="39"/>
  <c r="AK201" i="39"/>
  <c r="AK200" i="39"/>
  <c r="AK199" i="39"/>
  <c r="AK198" i="39"/>
  <c r="AK197" i="39"/>
  <c r="AK196" i="39"/>
  <c r="AK195" i="39"/>
  <c r="AK194" i="39"/>
  <c r="AK193" i="39"/>
  <c r="AK192" i="39"/>
  <c r="AK190" i="39"/>
  <c r="AK189" i="39"/>
  <c r="AK188" i="39"/>
  <c r="AK187" i="39"/>
  <c r="AK186" i="39"/>
  <c r="AK185" i="39"/>
  <c r="AK184" i="39"/>
  <c r="AK183" i="39"/>
  <c r="AK182" i="39"/>
  <c r="AK181" i="39"/>
  <c r="AK180" i="39"/>
  <c r="AK179" i="39"/>
  <c r="AK178" i="39"/>
  <c r="AK177" i="39"/>
  <c r="AK176" i="39"/>
  <c r="AK175" i="39"/>
  <c r="AK174" i="39"/>
  <c r="AK173" i="39"/>
  <c r="AK172" i="39"/>
  <c r="AK171" i="39"/>
  <c r="AK170" i="39"/>
  <c r="AK169" i="39"/>
  <c r="AK168" i="39"/>
  <c r="AK167" i="39"/>
  <c r="AK166" i="39"/>
  <c r="AK165" i="39"/>
  <c r="AK164" i="39"/>
  <c r="AK163" i="39"/>
  <c r="AK162" i="39"/>
  <c r="AK161" i="39"/>
  <c r="AK160" i="39"/>
  <c r="AK154" i="39"/>
  <c r="AK153" i="39"/>
  <c r="AK152" i="39"/>
  <c r="AK151" i="39"/>
  <c r="AK150" i="39"/>
  <c r="AK149" i="39"/>
  <c r="AK148" i="39"/>
  <c r="AK147" i="39"/>
  <c r="AK146" i="39"/>
  <c r="AK145" i="39"/>
  <c r="AK144" i="39"/>
  <c r="AK143" i="39"/>
  <c r="AK142" i="39"/>
  <c r="AK141" i="39"/>
  <c r="AK140" i="39"/>
  <c r="AK139" i="39"/>
  <c r="AK138" i="39"/>
  <c r="AK137" i="39"/>
  <c r="AK136" i="39"/>
  <c r="AK135" i="39"/>
  <c r="AK134" i="39"/>
  <c r="AK133" i="39"/>
  <c r="AK132" i="39"/>
  <c r="AK131" i="39"/>
  <c r="AK130" i="39"/>
  <c r="AK129" i="39"/>
  <c r="AK128" i="39"/>
  <c r="AK127" i="39"/>
  <c r="AK126" i="39"/>
  <c r="AK124" i="39"/>
  <c r="AK123" i="39"/>
  <c r="AK122" i="39"/>
  <c r="AK121" i="39"/>
  <c r="AK120" i="39"/>
  <c r="AK119" i="39"/>
  <c r="AK118" i="39"/>
  <c r="AK117" i="39"/>
  <c r="AK116" i="39"/>
  <c r="AK115" i="39"/>
  <c r="AK114" i="39"/>
  <c r="AK113" i="39"/>
  <c r="AK112" i="39"/>
  <c r="AK111" i="39"/>
  <c r="AK110" i="39"/>
  <c r="AK109" i="39"/>
  <c r="AK108" i="39"/>
  <c r="AK107" i="39"/>
  <c r="AK106" i="39"/>
  <c r="AK105" i="39"/>
  <c r="AK104" i="39"/>
  <c r="AK103" i="39"/>
  <c r="AK102" i="39"/>
  <c r="AK101" i="39"/>
  <c r="AK100" i="39"/>
  <c r="AK99" i="39"/>
  <c r="AK98" i="39"/>
  <c r="AK97" i="39"/>
  <c r="AK96" i="39"/>
  <c r="AK95" i="39"/>
  <c r="AK94" i="39"/>
  <c r="AK93" i="39"/>
  <c r="AK92" i="39"/>
  <c r="AK91" i="39"/>
  <c r="AK90" i="39"/>
  <c r="AK89" i="39"/>
  <c r="AK88" i="39"/>
  <c r="AK87" i="39"/>
  <c r="AK86" i="39"/>
  <c r="AK85" i="39"/>
  <c r="AK84" i="39"/>
  <c r="AK83" i="39"/>
  <c r="AK82" i="39"/>
  <c r="AK81" i="39"/>
  <c r="AK79" i="39"/>
  <c r="AK78" i="39"/>
  <c r="AK77" i="39"/>
  <c r="AK76" i="39"/>
  <c r="AK75" i="39"/>
  <c r="AK74" i="39"/>
  <c r="AK73" i="39"/>
  <c r="AK72" i="39"/>
  <c r="AK71" i="39"/>
  <c r="AK70" i="39"/>
  <c r="AK69" i="39"/>
  <c r="AK68" i="39"/>
  <c r="AK67" i="39"/>
  <c r="AK66" i="39"/>
  <c r="AK65" i="39"/>
  <c r="AK64" i="39"/>
  <c r="AK63" i="39"/>
  <c r="AK62" i="39"/>
  <c r="AK61" i="39"/>
  <c r="AK60" i="39"/>
  <c r="AK59" i="39"/>
  <c r="AK58" i="39"/>
  <c r="AK57" i="39"/>
  <c r="AK56" i="39"/>
  <c r="AK55" i="39"/>
  <c r="AK54" i="39"/>
  <c r="AK53" i="39"/>
  <c r="AK52" i="39"/>
  <c r="AK51" i="39"/>
  <c r="AK50" i="39"/>
  <c r="AK49" i="39"/>
  <c r="AK48" i="39"/>
  <c r="AK47" i="39"/>
  <c r="AK46" i="39"/>
  <c r="AK45" i="39"/>
  <c r="AK44" i="39"/>
  <c r="AK43" i="39"/>
  <c r="AK42" i="39"/>
  <c r="AK41" i="39"/>
  <c r="AK40" i="39"/>
  <c r="AK39" i="39"/>
  <c r="AK37" i="39"/>
  <c r="AK36" i="39"/>
  <c r="AK35" i="39"/>
  <c r="AK34" i="39"/>
  <c r="AK33" i="39"/>
  <c r="AK32" i="39"/>
  <c r="AK31" i="39"/>
  <c r="AK30" i="39"/>
  <c r="AK29" i="39"/>
  <c r="AK28" i="39"/>
  <c r="AK27" i="39"/>
  <c r="AK26" i="39"/>
  <c r="AK25" i="39"/>
  <c r="AK24" i="39"/>
  <c r="AK23" i="39"/>
  <c r="AK22" i="39"/>
  <c r="AK21" i="39"/>
  <c r="AK20" i="39"/>
  <c r="AK19" i="39"/>
  <c r="AK18" i="39"/>
  <c r="AK17" i="39"/>
  <c r="AK16" i="39"/>
  <c r="AK15" i="39"/>
  <c r="AK14" i="39"/>
  <c r="AK13" i="39"/>
  <c r="AK12" i="39"/>
  <c r="AK11" i="39"/>
  <c r="AK10" i="39"/>
  <c r="AK9" i="39"/>
  <c r="AK8" i="39"/>
  <c r="AK7" i="39"/>
  <c r="AK6" i="39"/>
  <c r="AK5" i="39"/>
  <c r="AK4" i="39"/>
  <c r="AK3" i="39"/>
  <c r="AJ748" i="39"/>
  <c r="AI748" i="39"/>
  <c r="AH748" i="39"/>
  <c r="AJ747" i="39"/>
  <c r="AI747" i="39"/>
  <c r="AH747" i="39"/>
  <c r="AJ746" i="39"/>
  <c r="AI746" i="39"/>
  <c r="AH746" i="39"/>
  <c r="AJ745" i="39"/>
  <c r="AI745" i="39"/>
  <c r="AH745" i="39"/>
  <c r="AJ744" i="39"/>
  <c r="AI744" i="39"/>
  <c r="AH744" i="39"/>
  <c r="AJ743" i="39"/>
  <c r="AI743" i="39"/>
  <c r="AH743" i="39"/>
  <c r="AJ742" i="39"/>
  <c r="AI742" i="39"/>
  <c r="AH742" i="39"/>
  <c r="AJ741" i="39"/>
  <c r="AI741" i="39"/>
  <c r="AH741" i="39"/>
  <c r="AJ740" i="39"/>
  <c r="AI740" i="39"/>
  <c r="AH740" i="39"/>
  <c r="AJ739" i="39"/>
  <c r="AI739" i="39"/>
  <c r="AH739" i="39"/>
  <c r="AJ738" i="39"/>
  <c r="AI738" i="39"/>
  <c r="AH738" i="39"/>
  <c r="AJ737" i="39"/>
  <c r="AI737" i="39"/>
  <c r="AH737" i="39"/>
  <c r="AJ736" i="39"/>
  <c r="AI736" i="39"/>
  <c r="AH736" i="39"/>
  <c r="AJ735" i="39"/>
  <c r="AI735" i="39"/>
  <c r="AH735" i="39"/>
  <c r="AJ734" i="39"/>
  <c r="AI734" i="39"/>
  <c r="AH734" i="39"/>
  <c r="AJ733" i="39"/>
  <c r="AI733" i="39"/>
  <c r="AH733" i="39"/>
  <c r="AJ732" i="39"/>
  <c r="AI732" i="39"/>
  <c r="AH732" i="39"/>
  <c r="AJ731" i="39"/>
  <c r="AI731" i="39"/>
  <c r="AH731" i="39"/>
  <c r="AJ730" i="39"/>
  <c r="AI730" i="39"/>
  <c r="AH730" i="39"/>
  <c r="AJ729" i="39"/>
  <c r="AI729" i="39"/>
  <c r="AH729" i="39"/>
  <c r="AJ728" i="39"/>
  <c r="AI728" i="39"/>
  <c r="AH728" i="39"/>
  <c r="AJ727" i="39"/>
  <c r="AI727" i="39"/>
  <c r="AH727" i="39"/>
  <c r="AJ726" i="39"/>
  <c r="AI726" i="39"/>
  <c r="AH726" i="39"/>
  <c r="AJ725" i="39"/>
  <c r="AI725" i="39"/>
  <c r="AH725" i="39"/>
  <c r="AJ724" i="39"/>
  <c r="AI724" i="39"/>
  <c r="AH724" i="39"/>
  <c r="AJ723" i="39"/>
  <c r="AI723" i="39"/>
  <c r="AH723" i="39"/>
  <c r="AJ722" i="39"/>
  <c r="AI722" i="39"/>
  <c r="AH722" i="39"/>
  <c r="AJ721" i="39"/>
  <c r="AI721" i="39"/>
  <c r="AH721" i="39"/>
  <c r="AJ720" i="39"/>
  <c r="AI720" i="39"/>
  <c r="AH720" i="39"/>
  <c r="AJ719" i="39"/>
  <c r="AI719" i="39"/>
  <c r="AH719" i="39"/>
  <c r="AJ718" i="39"/>
  <c r="AI718" i="39"/>
  <c r="AH718" i="39"/>
  <c r="AJ717" i="39"/>
  <c r="AI717" i="39"/>
  <c r="AH717" i="39"/>
  <c r="AJ716" i="39"/>
  <c r="AI716" i="39"/>
  <c r="AH716" i="39"/>
  <c r="AJ715" i="39"/>
  <c r="AI715" i="39"/>
  <c r="AH715" i="39"/>
  <c r="AJ714" i="39"/>
  <c r="AI714" i="39"/>
  <c r="AH714" i="39"/>
  <c r="AJ713" i="39"/>
  <c r="AI713" i="39"/>
  <c r="AH713" i="39"/>
  <c r="AJ712" i="39"/>
  <c r="AI712" i="39"/>
  <c r="AH712" i="39"/>
  <c r="AJ711" i="39"/>
  <c r="AI711" i="39"/>
  <c r="AH711" i="39"/>
  <c r="AJ710" i="39"/>
  <c r="AI710" i="39"/>
  <c r="AH710" i="39"/>
  <c r="AJ709" i="39"/>
  <c r="AI709" i="39"/>
  <c r="AH709" i="39"/>
  <c r="AJ708" i="39"/>
  <c r="AI708" i="39"/>
  <c r="AH708" i="39"/>
  <c r="AJ707" i="39"/>
  <c r="AI707" i="39"/>
  <c r="AH707" i="39"/>
  <c r="AJ706" i="39"/>
  <c r="AI706" i="39"/>
  <c r="AH706" i="39"/>
  <c r="AJ705" i="39"/>
  <c r="AI705" i="39"/>
  <c r="AH705" i="39"/>
  <c r="AJ704" i="39"/>
  <c r="AI704" i="39"/>
  <c r="AH704" i="39"/>
  <c r="AJ703" i="39"/>
  <c r="AI703" i="39"/>
  <c r="AH703" i="39"/>
  <c r="AJ702" i="39"/>
  <c r="AI702" i="39"/>
  <c r="AH702" i="39"/>
  <c r="AJ701" i="39"/>
  <c r="AI701" i="39"/>
  <c r="AH701" i="39"/>
  <c r="AJ700" i="39"/>
  <c r="AI700" i="39"/>
  <c r="AH700" i="39"/>
  <c r="AH699" i="39"/>
  <c r="AJ698" i="39"/>
  <c r="AI698" i="39"/>
  <c r="AH698" i="39"/>
  <c r="AJ697" i="39"/>
  <c r="AI697" i="39"/>
  <c r="AH697" i="39"/>
  <c r="AJ696" i="39"/>
  <c r="AI696" i="39"/>
  <c r="AH696" i="39"/>
  <c r="AJ695" i="39"/>
  <c r="AI695" i="39"/>
  <c r="AH695" i="39"/>
  <c r="AJ694" i="39"/>
  <c r="AI694" i="39"/>
  <c r="AH694" i="39"/>
  <c r="AJ693" i="39"/>
  <c r="AI693" i="39"/>
  <c r="AH693" i="39"/>
  <c r="AJ692" i="39"/>
  <c r="AI692" i="39"/>
  <c r="AH692" i="39"/>
  <c r="AJ691" i="39"/>
  <c r="AI691" i="39"/>
  <c r="AH691" i="39"/>
  <c r="AJ690" i="39"/>
  <c r="AI690" i="39"/>
  <c r="AH690" i="39"/>
  <c r="AJ689" i="39"/>
  <c r="AI689" i="39"/>
  <c r="AH689" i="39"/>
  <c r="AJ688" i="39"/>
  <c r="AI688" i="39"/>
  <c r="AH688" i="39"/>
  <c r="AJ687" i="39"/>
  <c r="AI687" i="39"/>
  <c r="AH687" i="39"/>
  <c r="AJ686" i="39"/>
  <c r="AI686" i="39"/>
  <c r="AH686" i="39"/>
  <c r="AJ685" i="39"/>
  <c r="AI685" i="39"/>
  <c r="AH685" i="39"/>
  <c r="AJ684" i="39"/>
  <c r="AI684" i="39"/>
  <c r="AH684" i="39"/>
  <c r="AJ683" i="39"/>
  <c r="AI683" i="39"/>
  <c r="AH683" i="39"/>
  <c r="AJ682" i="39"/>
  <c r="AI682" i="39"/>
  <c r="AH682" i="39"/>
  <c r="AJ681" i="39"/>
  <c r="AI681" i="39"/>
  <c r="AH681" i="39"/>
  <c r="AJ680" i="39"/>
  <c r="AI680" i="39"/>
  <c r="AH680" i="39"/>
  <c r="AJ679" i="39"/>
  <c r="AI679" i="39"/>
  <c r="AH679" i="39"/>
  <c r="AJ678" i="39"/>
  <c r="AI678" i="39"/>
  <c r="AH678" i="39"/>
  <c r="AJ677" i="39"/>
  <c r="AI677" i="39"/>
  <c r="AH677" i="39"/>
  <c r="AJ676" i="39"/>
  <c r="AI676" i="39"/>
  <c r="AH676" i="39"/>
  <c r="AJ675" i="39"/>
  <c r="AI675" i="39"/>
  <c r="AH675" i="39"/>
  <c r="AJ674" i="39"/>
  <c r="AI674" i="39"/>
  <c r="AH674" i="39"/>
  <c r="AJ673" i="39"/>
  <c r="AI673" i="39"/>
  <c r="AH673" i="39"/>
  <c r="AJ672" i="39"/>
  <c r="AI672" i="39"/>
  <c r="AH672" i="39"/>
  <c r="AJ671" i="39"/>
  <c r="AI671" i="39"/>
  <c r="AH671" i="39"/>
  <c r="AJ670" i="39"/>
  <c r="AI670" i="39"/>
  <c r="AH670" i="39"/>
  <c r="AJ669" i="39"/>
  <c r="AI669" i="39"/>
  <c r="AH669" i="39"/>
  <c r="AJ668" i="39"/>
  <c r="AI668" i="39"/>
  <c r="AH668" i="39"/>
  <c r="AJ667" i="39"/>
  <c r="AI667" i="39"/>
  <c r="AH667" i="39"/>
  <c r="AJ666" i="39"/>
  <c r="AI666" i="39"/>
  <c r="AH666" i="39"/>
  <c r="AJ665" i="39"/>
  <c r="AI665" i="39"/>
  <c r="AH665" i="39"/>
  <c r="AJ664" i="39"/>
  <c r="AI664" i="39"/>
  <c r="AH664" i="39"/>
  <c r="AJ663" i="39"/>
  <c r="AI663" i="39"/>
  <c r="AH663" i="39"/>
  <c r="AJ662" i="39"/>
  <c r="AI662" i="39"/>
  <c r="AH662" i="39"/>
  <c r="AJ661" i="39"/>
  <c r="AI661" i="39"/>
  <c r="AH661" i="39"/>
  <c r="AJ660" i="39"/>
  <c r="AI660" i="39"/>
  <c r="AH660" i="39"/>
  <c r="AJ659" i="39"/>
  <c r="AI659" i="39"/>
  <c r="AH659" i="39"/>
  <c r="AJ658" i="39"/>
  <c r="AI658" i="39"/>
  <c r="AH658" i="39"/>
  <c r="AJ657" i="39"/>
  <c r="AI657" i="39"/>
  <c r="AH657" i="39"/>
  <c r="AJ656" i="39"/>
  <c r="AI656" i="39"/>
  <c r="AH656" i="39"/>
  <c r="AJ655" i="39"/>
  <c r="AI655" i="39"/>
  <c r="AH655" i="39"/>
  <c r="AJ654" i="39"/>
  <c r="AI654" i="39"/>
  <c r="AH654" i="39"/>
  <c r="AJ653" i="39"/>
  <c r="AI653" i="39"/>
  <c r="AH653" i="39"/>
  <c r="AJ652" i="39"/>
  <c r="AI652" i="39"/>
  <c r="AH652" i="39"/>
  <c r="AJ651" i="39"/>
  <c r="AI651" i="39"/>
  <c r="AH651" i="39"/>
  <c r="AJ650" i="39"/>
  <c r="AI650" i="39"/>
  <c r="AH650" i="39"/>
  <c r="AH649" i="39"/>
  <c r="AJ599" i="39"/>
  <c r="AI599" i="39"/>
  <c r="AH599" i="39"/>
  <c r="AJ598" i="39"/>
  <c r="AI598" i="39"/>
  <c r="AH598" i="39"/>
  <c r="AH597" i="39"/>
  <c r="AJ545" i="39"/>
  <c r="AI545" i="39"/>
  <c r="AH545" i="39"/>
  <c r="AJ544" i="39"/>
  <c r="AI544" i="39"/>
  <c r="AH544" i="39"/>
  <c r="AH543" i="39"/>
  <c r="AJ489" i="39"/>
  <c r="AI489" i="39"/>
  <c r="AH489" i="39"/>
  <c r="AJ488" i="39"/>
  <c r="AI488" i="39"/>
  <c r="AH488" i="39"/>
  <c r="AH487" i="39"/>
  <c r="AJ432" i="39"/>
  <c r="AI432" i="39"/>
  <c r="AH432" i="39"/>
  <c r="AJ431" i="39"/>
  <c r="AI431" i="39"/>
  <c r="AH431" i="39"/>
  <c r="AH430" i="39"/>
  <c r="AJ381" i="39"/>
  <c r="AI381" i="39"/>
  <c r="AH381" i="39"/>
  <c r="AJ380" i="39"/>
  <c r="AI380" i="39"/>
  <c r="AH380" i="39"/>
  <c r="AJ379" i="39"/>
  <c r="AI379" i="39"/>
  <c r="AH379" i="39"/>
  <c r="AH378" i="39"/>
  <c r="AJ324" i="39"/>
  <c r="AI324" i="39"/>
  <c r="AH324" i="39"/>
  <c r="AJ323" i="39"/>
  <c r="AI323" i="39"/>
  <c r="AH323" i="39"/>
  <c r="AJ322" i="39"/>
  <c r="AI322" i="39"/>
  <c r="AH322" i="39"/>
  <c r="AJ321" i="39"/>
  <c r="AI321" i="39"/>
  <c r="AH321" i="39"/>
  <c r="AJ320" i="39"/>
  <c r="AI320" i="39"/>
  <c r="AH320" i="39"/>
  <c r="AJ319" i="39"/>
  <c r="AI319" i="39"/>
  <c r="AH319" i="39"/>
  <c r="AH318" i="39"/>
  <c r="AJ317" i="39"/>
  <c r="AI317" i="39"/>
  <c r="AH317" i="39"/>
  <c r="AJ316" i="39"/>
  <c r="AI316" i="39"/>
  <c r="AH316" i="39"/>
  <c r="AJ315" i="39"/>
  <c r="AI315" i="39"/>
  <c r="AH315" i="39"/>
  <c r="AJ314" i="39"/>
  <c r="AI314" i="39"/>
  <c r="AH314" i="39"/>
  <c r="AJ313" i="39"/>
  <c r="AI313" i="39"/>
  <c r="AH313" i="39"/>
  <c r="AJ312" i="39"/>
  <c r="AI312" i="39"/>
  <c r="AH312" i="39"/>
  <c r="AJ311" i="39"/>
  <c r="AI311" i="39"/>
  <c r="AH311" i="39"/>
  <c r="AJ310" i="39"/>
  <c r="AI310" i="39"/>
  <c r="AH310" i="39"/>
  <c r="AJ309" i="39"/>
  <c r="AI309" i="39"/>
  <c r="AH309" i="39"/>
  <c r="AJ308" i="39"/>
  <c r="AI308" i="39"/>
  <c r="AH308" i="39"/>
  <c r="AJ307" i="39"/>
  <c r="AI307" i="39"/>
  <c r="AH307" i="39"/>
  <c r="AJ306" i="39"/>
  <c r="AI306" i="39"/>
  <c r="AH306" i="39"/>
  <c r="AJ305" i="39"/>
  <c r="AI305" i="39"/>
  <c r="AH305" i="39"/>
  <c r="AJ304" i="39"/>
  <c r="AI304" i="39"/>
  <c r="AH304" i="39"/>
  <c r="AJ303" i="39"/>
  <c r="AI303" i="39"/>
  <c r="AH303" i="39"/>
  <c r="AJ302" i="39"/>
  <c r="AI302" i="39"/>
  <c r="AH302" i="39"/>
  <c r="AJ301" i="39"/>
  <c r="AI301" i="39"/>
  <c r="AH301" i="39"/>
  <c r="AJ300" i="39"/>
  <c r="AI300" i="39"/>
  <c r="AH300" i="39"/>
  <c r="AJ299" i="39"/>
  <c r="AI299" i="39"/>
  <c r="AH299" i="39"/>
  <c r="AJ298" i="39"/>
  <c r="AI298" i="39"/>
  <c r="AH298" i="39"/>
  <c r="AJ297" i="39"/>
  <c r="AI297" i="39"/>
  <c r="AH297" i="39"/>
  <c r="AJ296" i="39"/>
  <c r="AI296" i="39"/>
  <c r="AH296" i="39"/>
  <c r="AJ295" i="39"/>
  <c r="AI295" i="39"/>
  <c r="AH295" i="39"/>
  <c r="AJ294" i="39"/>
  <c r="AI294" i="39"/>
  <c r="AH294" i="39"/>
  <c r="AJ293" i="39"/>
  <c r="AI293" i="39"/>
  <c r="AH293" i="39"/>
  <c r="AJ289" i="39"/>
  <c r="AI289" i="39"/>
  <c r="AH289" i="39"/>
  <c r="AJ288" i="39"/>
  <c r="AI288" i="39"/>
  <c r="AH288" i="39"/>
  <c r="AJ287" i="39"/>
  <c r="AI287" i="39"/>
  <c r="AH287" i="39"/>
  <c r="AJ285" i="39"/>
  <c r="AI285" i="39"/>
  <c r="AH285" i="39"/>
  <c r="AJ284" i="39"/>
  <c r="AI284" i="39"/>
  <c r="AH284" i="39"/>
  <c r="AJ283" i="39"/>
  <c r="AI283" i="39"/>
  <c r="AH283" i="39"/>
  <c r="AJ282" i="39"/>
  <c r="AI282" i="39"/>
  <c r="AH282" i="39"/>
  <c r="AJ281" i="39"/>
  <c r="AI281" i="39"/>
  <c r="AH281" i="39"/>
  <c r="AJ280" i="39"/>
  <c r="AI280" i="39"/>
  <c r="AH280" i="39"/>
  <c r="AJ278" i="39"/>
  <c r="AI278" i="39"/>
  <c r="AH278" i="39"/>
  <c r="AJ277" i="39"/>
  <c r="AI277" i="39"/>
  <c r="AH277" i="39"/>
  <c r="AJ276" i="39"/>
  <c r="AI276" i="39"/>
  <c r="AH276" i="39"/>
  <c r="AJ275" i="39"/>
  <c r="AI275" i="39"/>
  <c r="AH275" i="39"/>
  <c r="AJ274" i="39"/>
  <c r="AI274" i="39"/>
  <c r="AH274" i="39"/>
  <c r="AJ273" i="39"/>
  <c r="AI273" i="39"/>
  <c r="AH273" i="39"/>
  <c r="AJ271" i="39"/>
  <c r="AI271" i="39"/>
  <c r="AH271" i="39"/>
  <c r="AJ270" i="39"/>
  <c r="AI270" i="39"/>
  <c r="AH270" i="39"/>
  <c r="AJ269" i="39"/>
  <c r="AI269" i="39"/>
  <c r="AH269" i="39"/>
  <c r="AJ268" i="39"/>
  <c r="AI268" i="39"/>
  <c r="AH268" i="39"/>
  <c r="AJ267" i="39"/>
  <c r="AI267" i="39"/>
  <c r="AH267" i="39"/>
  <c r="AJ266" i="39"/>
  <c r="AI266" i="39"/>
  <c r="AH266" i="39"/>
  <c r="AJ265" i="39"/>
  <c r="AI265" i="39"/>
  <c r="AH265" i="39"/>
  <c r="AJ264" i="39"/>
  <c r="AI264" i="39"/>
  <c r="AH264" i="39"/>
  <c r="AJ263" i="39"/>
  <c r="AI263" i="39"/>
  <c r="AH263" i="39"/>
  <c r="AJ262" i="39"/>
  <c r="AI262" i="39"/>
  <c r="AH262" i="39"/>
  <c r="AJ261" i="39"/>
  <c r="AI261" i="39"/>
  <c r="AH261" i="39"/>
  <c r="AJ260" i="39"/>
  <c r="AI260" i="39"/>
  <c r="AH260" i="39"/>
  <c r="AJ259" i="39"/>
  <c r="AI259" i="39"/>
  <c r="AH259" i="39"/>
  <c r="AJ258" i="39"/>
  <c r="AI258" i="39"/>
  <c r="AH258" i="39"/>
  <c r="AJ257" i="39"/>
  <c r="AI257" i="39"/>
  <c r="AH257" i="39"/>
  <c r="AJ256" i="39"/>
  <c r="AI256" i="39"/>
  <c r="AH256" i="39"/>
  <c r="AH255" i="39"/>
  <c r="AJ254" i="39"/>
  <c r="AI254" i="39"/>
  <c r="AH254" i="39"/>
  <c r="AJ253" i="39"/>
  <c r="AI253" i="39"/>
  <c r="AH253" i="39"/>
  <c r="AJ252" i="39"/>
  <c r="AI252" i="39"/>
  <c r="AH252" i="39"/>
  <c r="AJ251" i="39"/>
  <c r="AI251" i="39"/>
  <c r="AH251" i="39"/>
  <c r="AJ250" i="39"/>
  <c r="AI250" i="39"/>
  <c r="AH250" i="39"/>
  <c r="AJ249" i="39"/>
  <c r="AI249" i="39"/>
  <c r="AH249" i="39"/>
  <c r="AJ248" i="39"/>
  <c r="AI248" i="39"/>
  <c r="AH248" i="39"/>
  <c r="AJ247" i="39"/>
  <c r="AI247" i="39"/>
  <c r="AH247" i="39"/>
  <c r="AJ246" i="39"/>
  <c r="AI246" i="39"/>
  <c r="AH246" i="39"/>
  <c r="AJ245" i="39"/>
  <c r="AI245" i="39"/>
  <c r="AH245" i="39"/>
  <c r="AJ244" i="39"/>
  <c r="AI244" i="39"/>
  <c r="AH244" i="39"/>
  <c r="AJ243" i="39"/>
  <c r="AI243" i="39"/>
  <c r="AH243" i="39"/>
  <c r="AJ242" i="39"/>
  <c r="AI242" i="39"/>
  <c r="AH242" i="39"/>
  <c r="AJ241" i="39"/>
  <c r="AI241" i="39"/>
  <c r="AH241" i="39"/>
  <c r="AJ240" i="39"/>
  <c r="AI240" i="39"/>
  <c r="AH240" i="39"/>
  <c r="AJ239" i="39"/>
  <c r="AI239" i="39"/>
  <c r="AH239" i="39"/>
  <c r="AJ238" i="39"/>
  <c r="AI238" i="39"/>
  <c r="AH238" i="39"/>
  <c r="AJ237" i="39"/>
  <c r="AI237" i="39"/>
  <c r="AH237" i="39"/>
  <c r="AJ236" i="39"/>
  <c r="AI236" i="39"/>
  <c r="AH236" i="39"/>
  <c r="AJ235" i="39"/>
  <c r="AI235" i="39"/>
  <c r="AH235" i="39"/>
  <c r="AJ234" i="39"/>
  <c r="AI234" i="39"/>
  <c r="AH234" i="39"/>
  <c r="AJ233" i="39"/>
  <c r="AI233" i="39"/>
  <c r="AH233" i="39"/>
  <c r="AJ232" i="39"/>
  <c r="AI232" i="39"/>
  <c r="AH232" i="39"/>
  <c r="AJ231" i="39"/>
  <c r="AI231" i="39"/>
  <c r="AH231" i="39"/>
  <c r="AJ230" i="39"/>
  <c r="AI230" i="39"/>
  <c r="AH230" i="39"/>
  <c r="AJ228" i="39"/>
  <c r="AI228" i="39"/>
  <c r="AH228" i="39"/>
  <c r="AJ227" i="39"/>
  <c r="AI227" i="39"/>
  <c r="AH227" i="39"/>
  <c r="AJ226" i="39"/>
  <c r="AI226" i="39"/>
  <c r="AH226" i="39"/>
  <c r="AJ225" i="39"/>
  <c r="AI225" i="39"/>
  <c r="AH225" i="39"/>
  <c r="AJ224" i="39"/>
  <c r="AI224" i="39"/>
  <c r="AH224" i="39"/>
  <c r="AJ223" i="39"/>
  <c r="AI223" i="39"/>
  <c r="AH223" i="39"/>
  <c r="AJ222" i="39"/>
  <c r="AI222" i="39"/>
  <c r="AH222" i="39"/>
  <c r="AJ221" i="39"/>
  <c r="AI221" i="39"/>
  <c r="AH221" i="39"/>
  <c r="AJ220" i="39"/>
  <c r="AI220" i="39"/>
  <c r="AH220" i="39"/>
  <c r="AJ215" i="39"/>
  <c r="AI215" i="39"/>
  <c r="AH215" i="39"/>
  <c r="AJ214" i="39"/>
  <c r="AI214" i="39"/>
  <c r="AH214" i="39"/>
  <c r="AJ213" i="39"/>
  <c r="AI213" i="39"/>
  <c r="AH213" i="39"/>
  <c r="AJ212" i="39"/>
  <c r="AI212" i="39"/>
  <c r="AH212" i="39"/>
  <c r="AJ211" i="39"/>
  <c r="AI211" i="39"/>
  <c r="AH211" i="39"/>
  <c r="AJ210" i="39"/>
  <c r="AI210" i="39"/>
  <c r="AH210" i="39"/>
  <c r="AJ209" i="39"/>
  <c r="AI209" i="39"/>
  <c r="AH209" i="39"/>
  <c r="AJ208" i="39"/>
  <c r="AI208" i="39"/>
  <c r="AH208" i="39"/>
  <c r="AJ207" i="39"/>
  <c r="AI207" i="39"/>
  <c r="AH207" i="39"/>
  <c r="AJ206" i="39"/>
  <c r="AI206" i="39"/>
  <c r="AH206" i="39"/>
  <c r="AJ205" i="39"/>
  <c r="AI205" i="39"/>
  <c r="AH205" i="39"/>
  <c r="AJ204" i="39"/>
  <c r="AI204" i="39"/>
  <c r="AH204" i="39"/>
  <c r="AJ203" i="39"/>
  <c r="AI203" i="39"/>
  <c r="AH203" i="39"/>
  <c r="AJ202" i="39"/>
  <c r="AI202" i="39"/>
  <c r="AH202" i="39"/>
  <c r="AJ201" i="39"/>
  <c r="AI201" i="39"/>
  <c r="AH201" i="39"/>
  <c r="AJ200" i="39"/>
  <c r="AI200" i="39"/>
  <c r="AH200" i="39"/>
  <c r="AJ199" i="39"/>
  <c r="AI199" i="39"/>
  <c r="AH199" i="39"/>
  <c r="AJ198" i="39"/>
  <c r="AI198" i="39"/>
  <c r="AH198" i="39"/>
  <c r="AJ197" i="39"/>
  <c r="AI197" i="39"/>
  <c r="AH197" i="39"/>
  <c r="AJ196" i="39"/>
  <c r="AI196" i="39"/>
  <c r="AH196" i="39"/>
  <c r="AJ195" i="39"/>
  <c r="AI195" i="39"/>
  <c r="AH195" i="39"/>
  <c r="AJ194" i="39"/>
  <c r="AI194" i="39"/>
  <c r="AH194" i="39"/>
  <c r="AJ193" i="39"/>
  <c r="AI193" i="39"/>
  <c r="AH193" i="39"/>
  <c r="AJ192" i="39"/>
  <c r="AI192" i="39"/>
  <c r="AH192" i="39"/>
  <c r="AH191" i="39"/>
  <c r="AJ190" i="39"/>
  <c r="AI190" i="39"/>
  <c r="AH190" i="39"/>
  <c r="AJ189" i="39"/>
  <c r="AI189" i="39"/>
  <c r="AH189" i="39"/>
  <c r="AJ188" i="39"/>
  <c r="AI188" i="39"/>
  <c r="AH188" i="39"/>
  <c r="AJ187" i="39"/>
  <c r="AI187" i="39"/>
  <c r="AH187" i="39"/>
  <c r="AJ186" i="39"/>
  <c r="AI186" i="39"/>
  <c r="AH186" i="39"/>
  <c r="AJ185" i="39"/>
  <c r="AI185" i="39"/>
  <c r="AH185" i="39"/>
  <c r="AJ184" i="39"/>
  <c r="AI184" i="39"/>
  <c r="AH184" i="39"/>
  <c r="AJ183" i="39"/>
  <c r="AI183" i="39"/>
  <c r="AH183" i="39"/>
  <c r="AJ182" i="39"/>
  <c r="AI182" i="39"/>
  <c r="AH182" i="39"/>
  <c r="AJ181" i="39"/>
  <c r="AI181" i="39"/>
  <c r="AH181" i="39"/>
  <c r="AJ180" i="39"/>
  <c r="AI180" i="39"/>
  <c r="AH180" i="39"/>
  <c r="AJ179" i="39"/>
  <c r="AI179" i="39"/>
  <c r="AH179" i="39"/>
  <c r="AJ178" i="39"/>
  <c r="AI178" i="39"/>
  <c r="AH178" i="39"/>
  <c r="AJ177" i="39"/>
  <c r="AI177" i="39"/>
  <c r="AH177" i="39"/>
  <c r="AJ176" i="39"/>
  <c r="AI176" i="39"/>
  <c r="AH176" i="39"/>
  <c r="AJ175" i="39"/>
  <c r="AI175" i="39"/>
  <c r="AH175" i="39"/>
  <c r="AJ174" i="39"/>
  <c r="AI174" i="39"/>
  <c r="AH174" i="39"/>
  <c r="AJ173" i="39"/>
  <c r="AI173" i="39"/>
  <c r="AH173" i="39"/>
  <c r="AJ172" i="39"/>
  <c r="AI172" i="39"/>
  <c r="AH172" i="39"/>
  <c r="AJ171" i="39"/>
  <c r="AI171" i="39"/>
  <c r="AH171" i="39"/>
  <c r="AJ170" i="39"/>
  <c r="AI170" i="39"/>
  <c r="AH170" i="39"/>
  <c r="AJ169" i="39"/>
  <c r="AI169" i="39"/>
  <c r="AH169" i="39"/>
  <c r="AJ168" i="39"/>
  <c r="AI168" i="39"/>
  <c r="AH168" i="39"/>
  <c r="AJ167" i="39"/>
  <c r="AI167" i="39"/>
  <c r="AH167" i="39"/>
  <c r="AJ166" i="39"/>
  <c r="AI166" i="39"/>
  <c r="AH166" i="39"/>
  <c r="AJ165" i="39"/>
  <c r="AI165" i="39"/>
  <c r="AH165" i="39"/>
  <c r="AJ164" i="39"/>
  <c r="AI164" i="39"/>
  <c r="AH164" i="39"/>
  <c r="AJ163" i="39"/>
  <c r="AI163" i="39"/>
  <c r="AH163" i="39"/>
  <c r="AJ162" i="39"/>
  <c r="AI162" i="39"/>
  <c r="AH162" i="39"/>
  <c r="AJ161" i="39"/>
  <c r="AI161" i="39"/>
  <c r="AH161" i="39"/>
  <c r="AJ160" i="39"/>
  <c r="AI160" i="39"/>
  <c r="AH160" i="39"/>
  <c r="AJ154" i="39"/>
  <c r="AI154" i="39"/>
  <c r="AH154" i="39"/>
  <c r="AJ153" i="39"/>
  <c r="AI153" i="39"/>
  <c r="AH153" i="39"/>
  <c r="AJ152" i="39"/>
  <c r="AI152" i="39"/>
  <c r="AH152" i="39"/>
  <c r="AJ151" i="39"/>
  <c r="AI151" i="39"/>
  <c r="AH151" i="39"/>
  <c r="AJ150" i="39"/>
  <c r="AI150" i="39"/>
  <c r="AH150" i="39"/>
  <c r="AJ149" i="39"/>
  <c r="AI149" i="39"/>
  <c r="AH149" i="39"/>
  <c r="AJ148" i="39"/>
  <c r="AI148" i="39"/>
  <c r="AH148" i="39"/>
  <c r="AJ147" i="39"/>
  <c r="AI147" i="39"/>
  <c r="AH147" i="39"/>
  <c r="AJ146" i="39"/>
  <c r="AI146" i="39"/>
  <c r="AH146" i="39"/>
  <c r="AJ145" i="39"/>
  <c r="AI145" i="39"/>
  <c r="AH145" i="39"/>
  <c r="AJ144" i="39"/>
  <c r="AI144" i="39"/>
  <c r="AH144" i="39"/>
  <c r="AJ143" i="39"/>
  <c r="AI143" i="39"/>
  <c r="AH143" i="39"/>
  <c r="AJ142" i="39"/>
  <c r="AI142" i="39"/>
  <c r="AH142" i="39"/>
  <c r="AJ141" i="39"/>
  <c r="AI141" i="39"/>
  <c r="AH141" i="39"/>
  <c r="AJ140" i="39"/>
  <c r="AI140" i="39"/>
  <c r="AH140" i="39"/>
  <c r="AJ139" i="39"/>
  <c r="AI139" i="39"/>
  <c r="AH139" i="39"/>
  <c r="AJ138" i="39"/>
  <c r="AI138" i="39"/>
  <c r="AH138" i="39"/>
  <c r="AJ137" i="39"/>
  <c r="AI137" i="39"/>
  <c r="AH137" i="39"/>
  <c r="AJ136" i="39"/>
  <c r="AI136" i="39"/>
  <c r="AH136" i="39"/>
  <c r="AJ135" i="39"/>
  <c r="AI135" i="39"/>
  <c r="AH135" i="39"/>
  <c r="AJ134" i="39"/>
  <c r="AI134" i="39"/>
  <c r="AH134" i="39"/>
  <c r="AJ133" i="39"/>
  <c r="AI133" i="39"/>
  <c r="AH133" i="39"/>
  <c r="AJ132" i="39"/>
  <c r="AI132" i="39"/>
  <c r="AH132" i="39"/>
  <c r="AJ131" i="39"/>
  <c r="AI131" i="39"/>
  <c r="AH131" i="39"/>
  <c r="AJ130" i="39"/>
  <c r="AI130" i="39"/>
  <c r="AH130" i="39"/>
  <c r="AJ129" i="39"/>
  <c r="AI129" i="39"/>
  <c r="AH129" i="39"/>
  <c r="AJ128" i="39"/>
  <c r="AI128" i="39"/>
  <c r="AH128" i="39"/>
  <c r="AJ127" i="39"/>
  <c r="AI127" i="39"/>
  <c r="AH127" i="39"/>
  <c r="AJ126" i="39"/>
  <c r="AI126" i="39"/>
  <c r="AH126" i="39"/>
  <c r="AH125" i="39"/>
  <c r="AJ124" i="39"/>
  <c r="AI124" i="39"/>
  <c r="AH124" i="39"/>
  <c r="AJ123" i="39"/>
  <c r="AI123" i="39"/>
  <c r="AH123" i="39"/>
  <c r="AJ122" i="39"/>
  <c r="AI122" i="39"/>
  <c r="AH122" i="39"/>
  <c r="AJ121" i="39"/>
  <c r="AI121" i="39"/>
  <c r="AH121" i="39"/>
  <c r="AJ120" i="39"/>
  <c r="AI120" i="39"/>
  <c r="AH120" i="39"/>
  <c r="AJ119" i="39"/>
  <c r="AI119" i="39"/>
  <c r="AH119" i="39"/>
  <c r="AJ118" i="39"/>
  <c r="AI118" i="39"/>
  <c r="AH118" i="39"/>
  <c r="AJ117" i="39"/>
  <c r="AI117" i="39"/>
  <c r="AH117" i="39"/>
  <c r="AJ116" i="39"/>
  <c r="AI116" i="39"/>
  <c r="AH116" i="39"/>
  <c r="AJ115" i="39"/>
  <c r="AI115" i="39"/>
  <c r="AH115" i="39"/>
  <c r="AJ114" i="39"/>
  <c r="AI114" i="39"/>
  <c r="AH114" i="39"/>
  <c r="AJ113" i="39"/>
  <c r="AI113" i="39"/>
  <c r="AH113" i="39"/>
  <c r="AJ112" i="39"/>
  <c r="AI112" i="39"/>
  <c r="AH112" i="39"/>
  <c r="AJ111" i="39"/>
  <c r="AI111" i="39"/>
  <c r="AH111" i="39"/>
  <c r="AJ110" i="39"/>
  <c r="AI110" i="39"/>
  <c r="AH110" i="39"/>
  <c r="AJ109" i="39"/>
  <c r="AI109" i="39"/>
  <c r="AH109" i="39"/>
  <c r="AJ108" i="39"/>
  <c r="AI108" i="39"/>
  <c r="AH108" i="39"/>
  <c r="AJ107" i="39"/>
  <c r="AI107" i="39"/>
  <c r="AH107" i="39"/>
  <c r="AJ106" i="39"/>
  <c r="AI106" i="39"/>
  <c r="AH106" i="39"/>
  <c r="AJ105" i="39"/>
  <c r="AI105" i="39"/>
  <c r="AH105" i="39"/>
  <c r="AJ104" i="39"/>
  <c r="AI104" i="39"/>
  <c r="AH104" i="39"/>
  <c r="AJ103" i="39"/>
  <c r="AI103" i="39"/>
  <c r="AH103" i="39"/>
  <c r="AJ102" i="39"/>
  <c r="AI102" i="39"/>
  <c r="AH102" i="39"/>
  <c r="AJ101" i="39"/>
  <c r="AI101" i="39"/>
  <c r="AH101" i="39"/>
  <c r="AJ100" i="39"/>
  <c r="AI100" i="39"/>
  <c r="AH100" i="39"/>
  <c r="AJ99" i="39"/>
  <c r="AI99" i="39"/>
  <c r="AH99" i="39"/>
  <c r="AJ98" i="39"/>
  <c r="AI98" i="39"/>
  <c r="AH98" i="39"/>
  <c r="AJ97" i="39"/>
  <c r="AI97" i="39"/>
  <c r="AH97" i="39"/>
  <c r="AJ96" i="39"/>
  <c r="AI96" i="39"/>
  <c r="AH96" i="39"/>
  <c r="AJ95" i="39"/>
  <c r="AI95" i="39"/>
  <c r="AH95" i="39"/>
  <c r="AJ94" i="39"/>
  <c r="AI94" i="39"/>
  <c r="AH94" i="39"/>
  <c r="AJ93" i="39"/>
  <c r="AI93" i="39"/>
  <c r="AH93" i="39"/>
  <c r="AJ92" i="39"/>
  <c r="AI92" i="39"/>
  <c r="AH92" i="39"/>
  <c r="AJ91" i="39"/>
  <c r="AI91" i="39"/>
  <c r="AH91" i="39"/>
  <c r="AJ90" i="39"/>
  <c r="AI90" i="39"/>
  <c r="AH90" i="39"/>
  <c r="AJ89" i="39"/>
  <c r="AI89" i="39"/>
  <c r="AH89" i="39"/>
  <c r="AJ88" i="39"/>
  <c r="AI88" i="39"/>
  <c r="AH88" i="39"/>
  <c r="AJ87" i="39"/>
  <c r="AI87" i="39"/>
  <c r="AH87" i="39"/>
  <c r="AJ86" i="39"/>
  <c r="AI86" i="39"/>
  <c r="AH86" i="39"/>
  <c r="AJ85" i="39"/>
  <c r="AI85" i="39"/>
  <c r="AH85" i="39"/>
  <c r="AJ84" i="39"/>
  <c r="AI84" i="39"/>
  <c r="AH84" i="39"/>
  <c r="AJ83" i="39"/>
  <c r="AI83" i="39"/>
  <c r="AH83" i="39"/>
  <c r="AJ82" i="39"/>
  <c r="AI82" i="39"/>
  <c r="AH82" i="39"/>
  <c r="AJ81" i="39"/>
  <c r="AI81" i="39"/>
  <c r="AH81" i="39"/>
  <c r="AH80" i="39"/>
  <c r="AJ79" i="39"/>
  <c r="AI79" i="39"/>
  <c r="AH79" i="39"/>
  <c r="AJ78" i="39"/>
  <c r="AI78" i="39"/>
  <c r="AH78" i="39"/>
  <c r="AJ77" i="39"/>
  <c r="AI77" i="39"/>
  <c r="AH77" i="39"/>
  <c r="AJ76" i="39"/>
  <c r="AI76" i="39"/>
  <c r="AH76" i="39"/>
  <c r="AJ75" i="39"/>
  <c r="AI75" i="39"/>
  <c r="AH75" i="39"/>
  <c r="AJ74" i="39"/>
  <c r="AI74" i="39"/>
  <c r="AH74" i="39"/>
  <c r="AJ73" i="39"/>
  <c r="AI73" i="39"/>
  <c r="AH73" i="39"/>
  <c r="AJ72" i="39"/>
  <c r="AI72" i="39"/>
  <c r="AH72" i="39"/>
  <c r="AJ71" i="39"/>
  <c r="AI71" i="39"/>
  <c r="AH71" i="39"/>
  <c r="AJ70" i="39"/>
  <c r="AI70" i="39"/>
  <c r="AH70" i="39"/>
  <c r="AJ69" i="39"/>
  <c r="AI69" i="39"/>
  <c r="AH69" i="39"/>
  <c r="AJ68" i="39"/>
  <c r="AI68" i="39"/>
  <c r="AH68" i="39"/>
  <c r="AJ67" i="39"/>
  <c r="AI67" i="39"/>
  <c r="AH67" i="39"/>
  <c r="AJ66" i="39"/>
  <c r="AI66" i="39"/>
  <c r="AH66" i="39"/>
  <c r="AJ65" i="39"/>
  <c r="AI65" i="39"/>
  <c r="AH65" i="39"/>
  <c r="AJ64" i="39"/>
  <c r="AI64" i="39"/>
  <c r="AH64" i="39"/>
  <c r="AJ63" i="39"/>
  <c r="AI63" i="39"/>
  <c r="AH63" i="39"/>
  <c r="AJ62" i="39"/>
  <c r="AI62" i="39"/>
  <c r="AH62" i="39"/>
  <c r="AJ61" i="39"/>
  <c r="AI61" i="39"/>
  <c r="AH61" i="39"/>
  <c r="AJ60" i="39"/>
  <c r="AI60" i="39"/>
  <c r="AH60" i="39"/>
  <c r="AJ59" i="39"/>
  <c r="AI59" i="39"/>
  <c r="AH59" i="39"/>
  <c r="AJ58" i="39"/>
  <c r="AI58" i="39"/>
  <c r="AH58" i="39"/>
  <c r="AJ57" i="39"/>
  <c r="AI57" i="39"/>
  <c r="AH57" i="39"/>
  <c r="AJ56" i="39"/>
  <c r="AI56" i="39"/>
  <c r="AH56" i="39"/>
  <c r="AJ55" i="39"/>
  <c r="AI55" i="39"/>
  <c r="AH55" i="39"/>
  <c r="AJ54" i="39"/>
  <c r="AI54" i="39"/>
  <c r="AH54" i="39"/>
  <c r="AJ53" i="39"/>
  <c r="AI53" i="39"/>
  <c r="AH53" i="39"/>
  <c r="AJ52" i="39"/>
  <c r="AI52" i="39"/>
  <c r="AH52" i="39"/>
  <c r="AJ51" i="39"/>
  <c r="AI51" i="39"/>
  <c r="AH51" i="39"/>
  <c r="AJ50" i="39"/>
  <c r="AI50" i="39"/>
  <c r="AH50" i="39"/>
  <c r="AJ49" i="39"/>
  <c r="AI49" i="39"/>
  <c r="AH49" i="39"/>
  <c r="AJ48" i="39"/>
  <c r="AI48" i="39"/>
  <c r="AH48" i="39"/>
  <c r="AJ47" i="39"/>
  <c r="AI47" i="39"/>
  <c r="AH47" i="39"/>
  <c r="AJ46" i="39"/>
  <c r="AI46" i="39"/>
  <c r="AH46" i="39"/>
  <c r="AJ45" i="39"/>
  <c r="AI45" i="39"/>
  <c r="AH45" i="39"/>
  <c r="AJ44" i="39"/>
  <c r="AI44" i="39"/>
  <c r="AH44" i="39"/>
  <c r="AJ43" i="39"/>
  <c r="AI43" i="39"/>
  <c r="AH43" i="39"/>
  <c r="AJ42" i="39"/>
  <c r="AI42" i="39"/>
  <c r="AH42" i="39"/>
  <c r="AJ41" i="39"/>
  <c r="AI41" i="39"/>
  <c r="AH41" i="39"/>
  <c r="AJ40" i="39"/>
  <c r="AI40" i="39"/>
  <c r="AH40" i="39"/>
  <c r="AJ39" i="39"/>
  <c r="AI39" i="39"/>
  <c r="AH39" i="39"/>
  <c r="AH38" i="39"/>
  <c r="AJ37" i="39"/>
  <c r="AI37" i="39"/>
  <c r="AH37" i="39"/>
  <c r="AJ36" i="39"/>
  <c r="AI36" i="39"/>
  <c r="AH36" i="39"/>
  <c r="AJ35" i="39"/>
  <c r="AI35" i="39"/>
  <c r="AH35" i="39"/>
  <c r="AJ34" i="39"/>
  <c r="AI34" i="39"/>
  <c r="AH34" i="39"/>
  <c r="AJ33" i="39"/>
  <c r="AI33" i="39"/>
  <c r="AH33" i="39"/>
  <c r="AJ32" i="39"/>
  <c r="AI32" i="39"/>
  <c r="AH32" i="39"/>
  <c r="AJ31" i="39"/>
  <c r="AI31" i="39"/>
  <c r="AH31" i="39"/>
  <c r="AJ30" i="39"/>
  <c r="AI30" i="39"/>
  <c r="AH30" i="39"/>
  <c r="AJ29" i="39"/>
  <c r="AI29" i="39"/>
  <c r="AH29" i="39"/>
  <c r="AJ28" i="39"/>
  <c r="AI28" i="39"/>
  <c r="AH28" i="39"/>
  <c r="AJ27" i="39"/>
  <c r="AI27" i="39"/>
  <c r="AH27" i="39"/>
  <c r="AJ26" i="39"/>
  <c r="AI26" i="39"/>
  <c r="AH26" i="39"/>
  <c r="AJ25" i="39"/>
  <c r="AI25" i="39"/>
  <c r="AH25" i="39"/>
  <c r="AJ24" i="39"/>
  <c r="AI24" i="39"/>
  <c r="AH24" i="39"/>
  <c r="AJ23" i="39"/>
  <c r="AI23" i="39"/>
  <c r="AH23" i="39"/>
  <c r="AJ22" i="39"/>
  <c r="AI22" i="39"/>
  <c r="AH22" i="39"/>
  <c r="AJ21" i="39"/>
  <c r="AI21" i="39"/>
  <c r="AH21" i="39"/>
  <c r="AJ20" i="39"/>
  <c r="AI20" i="39"/>
  <c r="AH20" i="39"/>
  <c r="AJ19" i="39"/>
  <c r="AI19" i="39"/>
  <c r="AH19" i="39"/>
  <c r="AJ18" i="39"/>
  <c r="AI18" i="39"/>
  <c r="AH18" i="39"/>
  <c r="AJ17" i="39"/>
  <c r="AI17" i="39"/>
  <c r="AH17" i="39"/>
  <c r="AJ16" i="39"/>
  <c r="AI16" i="39"/>
  <c r="AH16" i="39"/>
  <c r="AJ15" i="39"/>
  <c r="AI15" i="39"/>
  <c r="AH15" i="39"/>
  <c r="AJ14" i="39"/>
  <c r="AI14" i="39"/>
  <c r="AH14" i="39"/>
  <c r="AJ13" i="39"/>
  <c r="AI13" i="39"/>
  <c r="AH13" i="39"/>
  <c r="AJ12" i="39"/>
  <c r="AI12" i="39"/>
  <c r="AH12" i="39"/>
  <c r="AJ11" i="39"/>
  <c r="AI11" i="39"/>
  <c r="AH11" i="39"/>
  <c r="AJ10" i="39"/>
  <c r="AI10" i="39"/>
  <c r="AH10" i="39"/>
  <c r="AJ9" i="39"/>
  <c r="AI9" i="39"/>
  <c r="AH9" i="39"/>
  <c r="AJ8" i="39"/>
  <c r="AI8" i="39"/>
  <c r="AH8" i="39"/>
  <c r="AJ7" i="39"/>
  <c r="AI7" i="39"/>
  <c r="AH7" i="39"/>
  <c r="AJ6" i="39"/>
  <c r="AI6" i="39"/>
  <c r="AH6" i="39"/>
  <c r="AJ5" i="39"/>
  <c r="AI5" i="39"/>
  <c r="AH5" i="39"/>
  <c r="AJ4" i="39"/>
  <c r="AI4" i="39"/>
  <c r="AH4" i="39"/>
  <c r="AJ3" i="39"/>
  <c r="AI3" i="39"/>
  <c r="AH3" i="39"/>
  <c r="AF16" i="1" l="1"/>
  <c r="AG16" i="1"/>
  <c r="AF17" i="1"/>
  <c r="AG17" i="1"/>
  <c r="AF18" i="1"/>
  <c r="AG18" i="1"/>
  <c r="AF19" i="1"/>
  <c r="AG19" i="1"/>
  <c r="AF20" i="1"/>
  <c r="AG20" i="1"/>
  <c r="AF21" i="1"/>
  <c r="AG21" i="1"/>
  <c r="AF22" i="1"/>
  <c r="AG22" i="1"/>
  <c r="AF23" i="1"/>
  <c r="AG23" i="1"/>
  <c r="AF24" i="1"/>
  <c r="AG24" i="1"/>
  <c r="AF25" i="1"/>
  <c r="AG25" i="1"/>
  <c r="AF26" i="1"/>
  <c r="AG26" i="1"/>
  <c r="AF27" i="1"/>
  <c r="AG27" i="1"/>
  <c r="AF28" i="1"/>
  <c r="AG28" i="1"/>
  <c r="AF29" i="1"/>
  <c r="AG29" i="1"/>
  <c r="AF30" i="1"/>
  <c r="AG30" i="1"/>
  <c r="AF31" i="1"/>
  <c r="AG31" i="1"/>
  <c r="AF32" i="1"/>
  <c r="AG32" i="1"/>
  <c r="AF33" i="1"/>
  <c r="AG33" i="1"/>
  <c r="AF34" i="1"/>
  <c r="AG34" i="1"/>
  <c r="AF35" i="1"/>
  <c r="AG35" i="1"/>
  <c r="AF36" i="1"/>
  <c r="AG36" i="1"/>
  <c r="AF37" i="1"/>
  <c r="AG37" i="1"/>
  <c r="AF38" i="1"/>
  <c r="AG38" i="1"/>
  <c r="AF39" i="1"/>
  <c r="AG39" i="1"/>
  <c r="AE35" i="32" l="1"/>
  <c r="AD35" i="32"/>
  <c r="AC35" i="32"/>
  <c r="AE34" i="32"/>
  <c r="AD34" i="32"/>
  <c r="AC34" i="32"/>
  <c r="AC33" i="32"/>
  <c r="H2" i="33"/>
  <c r="H3" i="33"/>
  <c r="H4" i="33"/>
  <c r="H5" i="33"/>
  <c r="H6" i="33"/>
  <c r="B7" i="36"/>
  <c r="Q44" i="1"/>
  <c r="Q41" i="1"/>
  <c r="Q42" i="1"/>
  <c r="B8" i="36" l="1"/>
  <c r="B9" i="36" s="1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B28" i="36" s="1"/>
  <c r="B29" i="36" s="1"/>
  <c r="B30" i="36" s="1"/>
  <c r="B31" i="36" s="1"/>
  <c r="B32" i="36" s="1"/>
  <c r="B33" i="36" s="1"/>
  <c r="B34" i="36" s="1"/>
  <c r="B35" i="36" s="1"/>
  <c r="B43" i="1"/>
  <c r="C43" i="1"/>
  <c r="AD18" i="32"/>
  <c r="AC18" i="32"/>
  <c r="K24" i="36" l="1"/>
  <c r="AE18" i="32"/>
  <c r="D18" i="32"/>
  <c r="D18" i="33" s="1"/>
  <c r="T53" i="1" l="1"/>
  <c r="AK10" i="1"/>
  <c r="AN16" i="1" s="1"/>
  <c r="AK9" i="1"/>
  <c r="AR16" i="1" s="1"/>
  <c r="AR17" i="1" s="1"/>
  <c r="AR18" i="1" s="1"/>
  <c r="AR19" i="1" s="1"/>
  <c r="AR20" i="1" s="1"/>
  <c r="AR21" i="1" s="1"/>
  <c r="AR22" i="1" s="1"/>
  <c r="AR23" i="1" s="1"/>
  <c r="AR24" i="1" s="1"/>
  <c r="AR25" i="1" s="1"/>
  <c r="AR26" i="1" s="1"/>
  <c r="AR27" i="1" s="1"/>
  <c r="AR28" i="1" s="1"/>
  <c r="AR29" i="1" s="1"/>
  <c r="AR30" i="1" s="1"/>
  <c r="AR31" i="1" s="1"/>
  <c r="AR32" i="1" s="1"/>
  <c r="AR33" i="1" s="1"/>
  <c r="AR34" i="1" s="1"/>
  <c r="AR35" i="1" s="1"/>
  <c r="AR36" i="1" s="1"/>
  <c r="AR37" i="1" s="1"/>
  <c r="AR38" i="1" s="1"/>
  <c r="AR39" i="1" s="1"/>
  <c r="AK7" i="1"/>
  <c r="AL16" i="1" s="1"/>
  <c r="AL17" i="1" s="1"/>
  <c r="AL18" i="1" s="1"/>
  <c r="AL19" i="1" s="1"/>
  <c r="AL20" i="1" s="1"/>
  <c r="AL21" i="1" s="1"/>
  <c r="AL22" i="1" s="1"/>
  <c r="AL23" i="1" s="1"/>
  <c r="AL24" i="1" s="1"/>
  <c r="AL25" i="1" s="1"/>
  <c r="AL26" i="1" s="1"/>
  <c r="AL27" i="1" s="1"/>
  <c r="AL28" i="1" s="1"/>
  <c r="AL29" i="1" s="1"/>
  <c r="AL30" i="1" s="1"/>
  <c r="AL31" i="1" s="1"/>
  <c r="AL32" i="1" s="1"/>
  <c r="AL33" i="1" s="1"/>
  <c r="AL34" i="1" s="1"/>
  <c r="AL35" i="1" s="1"/>
  <c r="AL36" i="1" s="1"/>
  <c r="AL37" i="1" s="1"/>
  <c r="AL38" i="1" s="1"/>
  <c r="AL39" i="1" s="1"/>
  <c r="AK6" i="1"/>
  <c r="AK16" i="1" s="1"/>
  <c r="AK17" i="1" s="1"/>
  <c r="AK18" i="1" s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5" i="1"/>
  <c r="AJ16" i="1" s="1"/>
  <c r="AS39" i="1"/>
  <c r="AS38" i="1"/>
  <c r="AS37" i="1"/>
  <c r="AS36" i="1"/>
  <c r="AS35" i="1"/>
  <c r="AS34" i="1"/>
  <c r="AS33" i="1"/>
  <c r="AS32" i="1"/>
  <c r="AS31" i="1"/>
  <c r="AS30" i="1"/>
  <c r="AS29" i="1"/>
  <c r="AS28" i="1"/>
  <c r="AS27" i="1"/>
  <c r="AS26" i="1"/>
  <c r="AS25" i="1"/>
  <c r="AS24" i="1"/>
  <c r="AS23" i="1"/>
  <c r="AS22" i="1"/>
  <c r="AS21" i="1"/>
  <c r="AS20" i="1"/>
  <c r="AS19" i="1"/>
  <c r="AS18" i="1"/>
  <c r="AS17" i="1"/>
  <c r="AS16" i="1"/>
  <c r="B4" i="38"/>
  <c r="AK8" i="1" l="1"/>
  <c r="AM16" i="1" s="1"/>
  <c r="AM17" i="1" s="1"/>
  <c r="AM18" i="1" s="1"/>
  <c r="AM19" i="1" s="1"/>
  <c r="AM20" i="1" s="1"/>
  <c r="AM21" i="1" s="1"/>
  <c r="AM22" i="1" s="1"/>
  <c r="AM23" i="1" s="1"/>
  <c r="AM24" i="1" s="1"/>
  <c r="AM25" i="1" s="1"/>
  <c r="AM26" i="1" s="1"/>
  <c r="AM27" i="1" s="1"/>
  <c r="AM28" i="1" s="1"/>
  <c r="AM29" i="1" s="1"/>
  <c r="AM30" i="1" s="1"/>
  <c r="AM31" i="1" s="1"/>
  <c r="AM32" i="1" s="1"/>
  <c r="AM33" i="1" s="1"/>
  <c r="AM34" i="1" s="1"/>
  <c r="AM35" i="1" s="1"/>
  <c r="AM36" i="1" s="1"/>
  <c r="AM37" i="1" s="1"/>
  <c r="AM38" i="1" s="1"/>
  <c r="AM39" i="1" s="1"/>
  <c r="AK8" i="66"/>
  <c r="AM16" i="66" s="1"/>
  <c r="AM17" i="66" s="1"/>
  <c r="AM18" i="66" s="1"/>
  <c r="AM19" i="66" s="1"/>
  <c r="AM20" i="66" s="1"/>
  <c r="AM21" i="66" s="1"/>
  <c r="AM22" i="66" s="1"/>
  <c r="AM23" i="66" s="1"/>
  <c r="AM24" i="66" s="1"/>
  <c r="AM25" i="66" s="1"/>
  <c r="AM26" i="66" s="1"/>
  <c r="AM27" i="66" s="1"/>
  <c r="AM28" i="66" s="1"/>
  <c r="AM29" i="66" s="1"/>
  <c r="AM30" i="66" s="1"/>
  <c r="AM31" i="66" s="1"/>
  <c r="AM32" i="66" s="1"/>
  <c r="AM33" i="66" s="1"/>
  <c r="AM34" i="66" s="1"/>
  <c r="AM35" i="66" s="1"/>
  <c r="AM36" i="66" s="1"/>
  <c r="AM37" i="66" s="1"/>
  <c r="AM38" i="66" s="1"/>
  <c r="AM39" i="66" s="1"/>
  <c r="AK8" i="62"/>
  <c r="AM16" i="62" s="1"/>
  <c r="AM17" i="62" s="1"/>
  <c r="AM18" i="62" s="1"/>
  <c r="AM19" i="62" s="1"/>
  <c r="AM20" i="62" s="1"/>
  <c r="AM21" i="62" s="1"/>
  <c r="AM22" i="62" s="1"/>
  <c r="AM23" i="62" s="1"/>
  <c r="AM24" i="62" s="1"/>
  <c r="AM25" i="62" s="1"/>
  <c r="AM26" i="62" s="1"/>
  <c r="AM27" i="62" s="1"/>
  <c r="AM28" i="62" s="1"/>
  <c r="AM29" i="62" s="1"/>
  <c r="AM30" i="62" s="1"/>
  <c r="AM31" i="62" s="1"/>
  <c r="AM32" i="62" s="1"/>
  <c r="AM33" i="62" s="1"/>
  <c r="AM34" i="62" s="1"/>
  <c r="AM35" i="62" s="1"/>
  <c r="AM36" i="62" s="1"/>
  <c r="AM37" i="62" s="1"/>
  <c r="AM38" i="62" s="1"/>
  <c r="AM39" i="62" s="1"/>
  <c r="AK8" i="58"/>
  <c r="AM16" i="58" s="1"/>
  <c r="AM17" i="58" s="1"/>
  <c r="AM18" i="58" s="1"/>
  <c r="AM19" i="58" s="1"/>
  <c r="AM20" i="58" s="1"/>
  <c r="AM21" i="58" s="1"/>
  <c r="AM22" i="58" s="1"/>
  <c r="AM23" i="58" s="1"/>
  <c r="AM24" i="58" s="1"/>
  <c r="AM25" i="58" s="1"/>
  <c r="AM26" i="58" s="1"/>
  <c r="AM27" i="58" s="1"/>
  <c r="AM28" i="58" s="1"/>
  <c r="AM29" i="58" s="1"/>
  <c r="AM30" i="58" s="1"/>
  <c r="AM31" i="58" s="1"/>
  <c r="AM32" i="58" s="1"/>
  <c r="AM33" i="58" s="1"/>
  <c r="AM34" i="58" s="1"/>
  <c r="AM35" i="58" s="1"/>
  <c r="AM36" i="58" s="1"/>
  <c r="AM37" i="58" s="1"/>
  <c r="AM38" i="58" s="1"/>
  <c r="AM39" i="58" s="1"/>
  <c r="AK8" i="54"/>
  <c r="AM16" i="54" s="1"/>
  <c r="AM17" i="54" s="1"/>
  <c r="AM18" i="54" s="1"/>
  <c r="AM19" i="54" s="1"/>
  <c r="AM20" i="54" s="1"/>
  <c r="AM21" i="54" s="1"/>
  <c r="AM22" i="54" s="1"/>
  <c r="AM23" i="54" s="1"/>
  <c r="AM24" i="54" s="1"/>
  <c r="AM25" i="54" s="1"/>
  <c r="AM26" i="54" s="1"/>
  <c r="AM27" i="54" s="1"/>
  <c r="AM28" i="54" s="1"/>
  <c r="AM29" i="54" s="1"/>
  <c r="AM30" i="54" s="1"/>
  <c r="AM31" i="54" s="1"/>
  <c r="AM32" i="54" s="1"/>
  <c r="AM33" i="54" s="1"/>
  <c r="AM34" i="54" s="1"/>
  <c r="AM35" i="54" s="1"/>
  <c r="AM36" i="54" s="1"/>
  <c r="AM37" i="54" s="1"/>
  <c r="AM38" i="54" s="1"/>
  <c r="AM39" i="54" s="1"/>
  <c r="AK8" i="50"/>
  <c r="AM16" i="50" s="1"/>
  <c r="AM17" i="50" s="1"/>
  <c r="AM18" i="50" s="1"/>
  <c r="AM19" i="50" s="1"/>
  <c r="AM20" i="50" s="1"/>
  <c r="AM21" i="50" s="1"/>
  <c r="AM22" i="50" s="1"/>
  <c r="AM23" i="50" s="1"/>
  <c r="AM24" i="50" s="1"/>
  <c r="AM25" i="50" s="1"/>
  <c r="AM26" i="50" s="1"/>
  <c r="AM27" i="50" s="1"/>
  <c r="AM28" i="50" s="1"/>
  <c r="AM29" i="50" s="1"/>
  <c r="AM30" i="50" s="1"/>
  <c r="AM31" i="50" s="1"/>
  <c r="AM32" i="50" s="1"/>
  <c r="AM33" i="50" s="1"/>
  <c r="AM34" i="50" s="1"/>
  <c r="AM35" i="50" s="1"/>
  <c r="AM36" i="50" s="1"/>
  <c r="AM37" i="50" s="1"/>
  <c r="AM38" i="50" s="1"/>
  <c r="AM39" i="50" s="1"/>
  <c r="AK8" i="46"/>
  <c r="AM16" i="46" s="1"/>
  <c r="AM17" i="46" s="1"/>
  <c r="AM18" i="46" s="1"/>
  <c r="AM19" i="46" s="1"/>
  <c r="AM20" i="46" s="1"/>
  <c r="AM21" i="46" s="1"/>
  <c r="AM22" i="46" s="1"/>
  <c r="AM23" i="46" s="1"/>
  <c r="AM24" i="46" s="1"/>
  <c r="AM25" i="46" s="1"/>
  <c r="AM26" i="46" s="1"/>
  <c r="AM27" i="46" s="1"/>
  <c r="AM28" i="46" s="1"/>
  <c r="AM29" i="46" s="1"/>
  <c r="AM30" i="46" s="1"/>
  <c r="AM31" i="46" s="1"/>
  <c r="AM32" i="46" s="1"/>
  <c r="AM33" i="46" s="1"/>
  <c r="AM34" i="46" s="1"/>
  <c r="AM35" i="46" s="1"/>
  <c r="AM36" i="46" s="1"/>
  <c r="AM37" i="46" s="1"/>
  <c r="AM38" i="46" s="1"/>
  <c r="AM39" i="46" s="1"/>
  <c r="AK8" i="42"/>
  <c r="AM16" i="42" s="1"/>
  <c r="AM17" i="42" s="1"/>
  <c r="AM18" i="42" s="1"/>
  <c r="AM19" i="42" s="1"/>
  <c r="AM20" i="42" s="1"/>
  <c r="AM21" i="42" s="1"/>
  <c r="AM22" i="42" s="1"/>
  <c r="AM23" i="42" s="1"/>
  <c r="AM24" i="42" s="1"/>
  <c r="AM25" i="42" s="1"/>
  <c r="AM26" i="42" s="1"/>
  <c r="AM27" i="42" s="1"/>
  <c r="AM28" i="42" s="1"/>
  <c r="AM29" i="42" s="1"/>
  <c r="AM30" i="42" s="1"/>
  <c r="AM31" i="42" s="1"/>
  <c r="AM32" i="42" s="1"/>
  <c r="AM33" i="42" s="1"/>
  <c r="AM34" i="42" s="1"/>
  <c r="AM35" i="42" s="1"/>
  <c r="AM36" i="42" s="1"/>
  <c r="AM37" i="42" s="1"/>
  <c r="AM38" i="42" s="1"/>
  <c r="AM39" i="42" s="1"/>
  <c r="AK8" i="67"/>
  <c r="AM16" i="67" s="1"/>
  <c r="AM17" i="67" s="1"/>
  <c r="AM18" i="67" s="1"/>
  <c r="AM19" i="67" s="1"/>
  <c r="AM20" i="67" s="1"/>
  <c r="AM21" i="67" s="1"/>
  <c r="AM22" i="67" s="1"/>
  <c r="AM23" i="67" s="1"/>
  <c r="AM24" i="67" s="1"/>
  <c r="AM25" i="67" s="1"/>
  <c r="AM26" i="67" s="1"/>
  <c r="AM27" i="67" s="1"/>
  <c r="AM28" i="67" s="1"/>
  <c r="AM29" i="67" s="1"/>
  <c r="AM30" i="67" s="1"/>
  <c r="AM31" i="67" s="1"/>
  <c r="AM32" i="67" s="1"/>
  <c r="AM33" i="67" s="1"/>
  <c r="AM34" i="67" s="1"/>
  <c r="AM35" i="67" s="1"/>
  <c r="AM36" i="67" s="1"/>
  <c r="AM37" i="67" s="1"/>
  <c r="AM38" i="67" s="1"/>
  <c r="AM39" i="67" s="1"/>
  <c r="AK8" i="63"/>
  <c r="AM16" i="63" s="1"/>
  <c r="AM17" i="63" s="1"/>
  <c r="AM18" i="63" s="1"/>
  <c r="AM19" i="63" s="1"/>
  <c r="AM20" i="63" s="1"/>
  <c r="AM21" i="63" s="1"/>
  <c r="AM22" i="63" s="1"/>
  <c r="AM23" i="63" s="1"/>
  <c r="AM24" i="63" s="1"/>
  <c r="AM25" i="63" s="1"/>
  <c r="AM26" i="63" s="1"/>
  <c r="AM27" i="63" s="1"/>
  <c r="AM28" i="63" s="1"/>
  <c r="AM29" i="63" s="1"/>
  <c r="AM30" i="63" s="1"/>
  <c r="AM31" i="63" s="1"/>
  <c r="AM32" i="63" s="1"/>
  <c r="AM33" i="63" s="1"/>
  <c r="AM34" i="63" s="1"/>
  <c r="AM35" i="63" s="1"/>
  <c r="AM36" i="63" s="1"/>
  <c r="AM37" i="63" s="1"/>
  <c r="AM38" i="63" s="1"/>
  <c r="AM39" i="63" s="1"/>
  <c r="AK8" i="59"/>
  <c r="AM16" i="59" s="1"/>
  <c r="AM17" i="59" s="1"/>
  <c r="AM18" i="59" s="1"/>
  <c r="AM19" i="59" s="1"/>
  <c r="AM20" i="59" s="1"/>
  <c r="AM21" i="59" s="1"/>
  <c r="AM22" i="59" s="1"/>
  <c r="AM23" i="59" s="1"/>
  <c r="AM24" i="59" s="1"/>
  <c r="AM25" i="59" s="1"/>
  <c r="AM26" i="59" s="1"/>
  <c r="AM27" i="59" s="1"/>
  <c r="AM28" i="59" s="1"/>
  <c r="AM29" i="59" s="1"/>
  <c r="AM30" i="59" s="1"/>
  <c r="AM31" i="59" s="1"/>
  <c r="AM32" i="59" s="1"/>
  <c r="AM33" i="59" s="1"/>
  <c r="AM34" i="59" s="1"/>
  <c r="AM35" i="59" s="1"/>
  <c r="AM36" i="59" s="1"/>
  <c r="AM37" i="59" s="1"/>
  <c r="AM38" i="59" s="1"/>
  <c r="AM39" i="59" s="1"/>
  <c r="AK8" i="55"/>
  <c r="AM16" i="55" s="1"/>
  <c r="AM17" i="55" s="1"/>
  <c r="AM18" i="55" s="1"/>
  <c r="AM19" i="55" s="1"/>
  <c r="AM20" i="55" s="1"/>
  <c r="AM21" i="55" s="1"/>
  <c r="AM22" i="55" s="1"/>
  <c r="AM23" i="55" s="1"/>
  <c r="AM24" i="55" s="1"/>
  <c r="AM25" i="55" s="1"/>
  <c r="AM26" i="55" s="1"/>
  <c r="AM27" i="55" s="1"/>
  <c r="AM28" i="55" s="1"/>
  <c r="AM29" i="55" s="1"/>
  <c r="AM30" i="55" s="1"/>
  <c r="AM31" i="55" s="1"/>
  <c r="AM32" i="55" s="1"/>
  <c r="AM33" i="55" s="1"/>
  <c r="AM34" i="55" s="1"/>
  <c r="AM35" i="55" s="1"/>
  <c r="AM36" i="55" s="1"/>
  <c r="AM37" i="55" s="1"/>
  <c r="AM38" i="55" s="1"/>
  <c r="AM39" i="55" s="1"/>
  <c r="AK8" i="51"/>
  <c r="AM16" i="51" s="1"/>
  <c r="AM17" i="51" s="1"/>
  <c r="AM18" i="51" s="1"/>
  <c r="AM19" i="51" s="1"/>
  <c r="AM20" i="51" s="1"/>
  <c r="AM21" i="51" s="1"/>
  <c r="AM22" i="51" s="1"/>
  <c r="AM23" i="51" s="1"/>
  <c r="AM24" i="51" s="1"/>
  <c r="AM25" i="51" s="1"/>
  <c r="AM26" i="51" s="1"/>
  <c r="AM27" i="51" s="1"/>
  <c r="AM28" i="51" s="1"/>
  <c r="AM29" i="51" s="1"/>
  <c r="AM30" i="51" s="1"/>
  <c r="AM31" i="51" s="1"/>
  <c r="AM32" i="51" s="1"/>
  <c r="AM33" i="51" s="1"/>
  <c r="AM34" i="51" s="1"/>
  <c r="AM35" i="51" s="1"/>
  <c r="AM36" i="51" s="1"/>
  <c r="AM37" i="51" s="1"/>
  <c r="AM38" i="51" s="1"/>
  <c r="AM39" i="51" s="1"/>
  <c r="AK8" i="47"/>
  <c r="AM16" i="47" s="1"/>
  <c r="AM17" i="47" s="1"/>
  <c r="AM18" i="47" s="1"/>
  <c r="AM19" i="47" s="1"/>
  <c r="AM20" i="47" s="1"/>
  <c r="AM21" i="47" s="1"/>
  <c r="AM22" i="47" s="1"/>
  <c r="AM23" i="47" s="1"/>
  <c r="AM24" i="47" s="1"/>
  <c r="AM25" i="47" s="1"/>
  <c r="AM26" i="47" s="1"/>
  <c r="AM27" i="47" s="1"/>
  <c r="AM28" i="47" s="1"/>
  <c r="AM29" i="47" s="1"/>
  <c r="AM30" i="47" s="1"/>
  <c r="AM31" i="47" s="1"/>
  <c r="AM32" i="47" s="1"/>
  <c r="AM33" i="47" s="1"/>
  <c r="AM34" i="47" s="1"/>
  <c r="AM35" i="47" s="1"/>
  <c r="AM36" i="47" s="1"/>
  <c r="AM37" i="47" s="1"/>
  <c r="AM38" i="47" s="1"/>
  <c r="AM39" i="47" s="1"/>
  <c r="AK8" i="43"/>
  <c r="AM16" i="43" s="1"/>
  <c r="AM17" i="43" s="1"/>
  <c r="AM18" i="43" s="1"/>
  <c r="AM19" i="43" s="1"/>
  <c r="AM20" i="43" s="1"/>
  <c r="AM21" i="43" s="1"/>
  <c r="AM22" i="43" s="1"/>
  <c r="AM23" i="43" s="1"/>
  <c r="AM24" i="43" s="1"/>
  <c r="AM25" i="43" s="1"/>
  <c r="AM26" i="43" s="1"/>
  <c r="AM27" i="43" s="1"/>
  <c r="AM28" i="43" s="1"/>
  <c r="AM29" i="43" s="1"/>
  <c r="AM30" i="43" s="1"/>
  <c r="AM31" i="43" s="1"/>
  <c r="AM32" i="43" s="1"/>
  <c r="AM33" i="43" s="1"/>
  <c r="AM34" i="43" s="1"/>
  <c r="AM35" i="43" s="1"/>
  <c r="AM36" i="43" s="1"/>
  <c r="AM37" i="43" s="1"/>
  <c r="AM38" i="43" s="1"/>
  <c r="AM39" i="43" s="1"/>
  <c r="AK8" i="40"/>
  <c r="AM16" i="40" s="1"/>
  <c r="AM17" i="40" s="1"/>
  <c r="AM18" i="40" s="1"/>
  <c r="AM19" i="40" s="1"/>
  <c r="AM20" i="40" s="1"/>
  <c r="AM21" i="40" s="1"/>
  <c r="AM22" i="40" s="1"/>
  <c r="AM23" i="40" s="1"/>
  <c r="AM24" i="40" s="1"/>
  <c r="AM25" i="40" s="1"/>
  <c r="AM26" i="40" s="1"/>
  <c r="AM27" i="40" s="1"/>
  <c r="AM28" i="40" s="1"/>
  <c r="AM29" i="40" s="1"/>
  <c r="AM30" i="40" s="1"/>
  <c r="AM31" i="40" s="1"/>
  <c r="AM32" i="40" s="1"/>
  <c r="AM33" i="40" s="1"/>
  <c r="AM34" i="40" s="1"/>
  <c r="AM35" i="40" s="1"/>
  <c r="AM36" i="40" s="1"/>
  <c r="AM37" i="40" s="1"/>
  <c r="AM38" i="40" s="1"/>
  <c r="AM39" i="40" s="1"/>
  <c r="AK8" i="53"/>
  <c r="AM16" i="53" s="1"/>
  <c r="AM17" i="53" s="1"/>
  <c r="AM18" i="53" s="1"/>
  <c r="AM19" i="53" s="1"/>
  <c r="AM20" i="53" s="1"/>
  <c r="AM21" i="53" s="1"/>
  <c r="AM22" i="53" s="1"/>
  <c r="AM23" i="53" s="1"/>
  <c r="AM24" i="53" s="1"/>
  <c r="AM25" i="53" s="1"/>
  <c r="AM26" i="53" s="1"/>
  <c r="AM27" i="53" s="1"/>
  <c r="AM28" i="53" s="1"/>
  <c r="AM29" i="53" s="1"/>
  <c r="AM30" i="53" s="1"/>
  <c r="AM31" i="53" s="1"/>
  <c r="AM32" i="53" s="1"/>
  <c r="AM33" i="53" s="1"/>
  <c r="AM34" i="53" s="1"/>
  <c r="AM35" i="53" s="1"/>
  <c r="AM36" i="53" s="1"/>
  <c r="AM37" i="53" s="1"/>
  <c r="AM38" i="53" s="1"/>
  <c r="AM39" i="53" s="1"/>
  <c r="AK8" i="68"/>
  <c r="AM16" i="68" s="1"/>
  <c r="AM17" i="68" s="1"/>
  <c r="AM18" i="68" s="1"/>
  <c r="AM19" i="68" s="1"/>
  <c r="AM20" i="68" s="1"/>
  <c r="AM21" i="68" s="1"/>
  <c r="AM22" i="68" s="1"/>
  <c r="AM23" i="68" s="1"/>
  <c r="AM24" i="68" s="1"/>
  <c r="AM25" i="68" s="1"/>
  <c r="AM26" i="68" s="1"/>
  <c r="AM27" i="68" s="1"/>
  <c r="AM28" i="68" s="1"/>
  <c r="AM29" i="68" s="1"/>
  <c r="AM30" i="68" s="1"/>
  <c r="AM31" i="68" s="1"/>
  <c r="AM32" i="68" s="1"/>
  <c r="AM33" i="68" s="1"/>
  <c r="AM34" i="68" s="1"/>
  <c r="AM35" i="68" s="1"/>
  <c r="AM36" i="68" s="1"/>
  <c r="AM37" i="68" s="1"/>
  <c r="AM38" i="68" s="1"/>
  <c r="AM39" i="68" s="1"/>
  <c r="AK8" i="64"/>
  <c r="AM16" i="64" s="1"/>
  <c r="AM17" i="64" s="1"/>
  <c r="AM18" i="64" s="1"/>
  <c r="AM19" i="64" s="1"/>
  <c r="AM20" i="64" s="1"/>
  <c r="AM21" i="64" s="1"/>
  <c r="AM22" i="64" s="1"/>
  <c r="AM23" i="64" s="1"/>
  <c r="AM24" i="64" s="1"/>
  <c r="AM25" i="64" s="1"/>
  <c r="AM26" i="64" s="1"/>
  <c r="AM27" i="64" s="1"/>
  <c r="AM28" i="64" s="1"/>
  <c r="AM29" i="64" s="1"/>
  <c r="AM30" i="64" s="1"/>
  <c r="AM31" i="64" s="1"/>
  <c r="AM32" i="64" s="1"/>
  <c r="AM33" i="64" s="1"/>
  <c r="AM34" i="64" s="1"/>
  <c r="AM35" i="64" s="1"/>
  <c r="AM36" i="64" s="1"/>
  <c r="AM37" i="64" s="1"/>
  <c r="AM38" i="64" s="1"/>
  <c r="AM39" i="64" s="1"/>
  <c r="AK8" i="60"/>
  <c r="AM16" i="60" s="1"/>
  <c r="AM17" i="60" s="1"/>
  <c r="AM18" i="60" s="1"/>
  <c r="AM19" i="60" s="1"/>
  <c r="AM20" i="60" s="1"/>
  <c r="AM21" i="60" s="1"/>
  <c r="AM22" i="60" s="1"/>
  <c r="AM23" i="60" s="1"/>
  <c r="AM24" i="60" s="1"/>
  <c r="AM25" i="60" s="1"/>
  <c r="AM26" i="60" s="1"/>
  <c r="AM27" i="60" s="1"/>
  <c r="AM28" i="60" s="1"/>
  <c r="AM29" i="60" s="1"/>
  <c r="AM30" i="60" s="1"/>
  <c r="AM31" i="60" s="1"/>
  <c r="AM32" i="60" s="1"/>
  <c r="AM33" i="60" s="1"/>
  <c r="AM34" i="60" s="1"/>
  <c r="AM35" i="60" s="1"/>
  <c r="AM36" i="60" s="1"/>
  <c r="AM37" i="60" s="1"/>
  <c r="AM38" i="60" s="1"/>
  <c r="AM39" i="60" s="1"/>
  <c r="AK8" i="56"/>
  <c r="AM16" i="56" s="1"/>
  <c r="AM17" i="56" s="1"/>
  <c r="AM18" i="56" s="1"/>
  <c r="AM19" i="56" s="1"/>
  <c r="AM20" i="56" s="1"/>
  <c r="AM21" i="56" s="1"/>
  <c r="AM22" i="56" s="1"/>
  <c r="AM23" i="56" s="1"/>
  <c r="AM24" i="56" s="1"/>
  <c r="AM25" i="56" s="1"/>
  <c r="AM26" i="56" s="1"/>
  <c r="AM27" i="56" s="1"/>
  <c r="AM28" i="56" s="1"/>
  <c r="AM29" i="56" s="1"/>
  <c r="AM30" i="56" s="1"/>
  <c r="AM31" i="56" s="1"/>
  <c r="AM32" i="56" s="1"/>
  <c r="AM33" i="56" s="1"/>
  <c r="AM34" i="56" s="1"/>
  <c r="AM35" i="56" s="1"/>
  <c r="AM36" i="56" s="1"/>
  <c r="AM37" i="56" s="1"/>
  <c r="AM38" i="56" s="1"/>
  <c r="AM39" i="56" s="1"/>
  <c r="AK8" i="52"/>
  <c r="AM16" i="52" s="1"/>
  <c r="AM17" i="52" s="1"/>
  <c r="AM18" i="52" s="1"/>
  <c r="AM19" i="52" s="1"/>
  <c r="AM20" i="52" s="1"/>
  <c r="AM21" i="52" s="1"/>
  <c r="AM22" i="52" s="1"/>
  <c r="AM23" i="52" s="1"/>
  <c r="AM24" i="52" s="1"/>
  <c r="AM25" i="52" s="1"/>
  <c r="AM26" i="52" s="1"/>
  <c r="AM27" i="52" s="1"/>
  <c r="AM28" i="52" s="1"/>
  <c r="AM29" i="52" s="1"/>
  <c r="AM30" i="52" s="1"/>
  <c r="AM31" i="52" s="1"/>
  <c r="AM32" i="52" s="1"/>
  <c r="AM33" i="52" s="1"/>
  <c r="AM34" i="52" s="1"/>
  <c r="AM35" i="52" s="1"/>
  <c r="AM36" i="52" s="1"/>
  <c r="AM37" i="52" s="1"/>
  <c r="AM38" i="52" s="1"/>
  <c r="AM39" i="52" s="1"/>
  <c r="AK8" i="48"/>
  <c r="AM16" i="48" s="1"/>
  <c r="AM17" i="48" s="1"/>
  <c r="AM18" i="48" s="1"/>
  <c r="AM19" i="48" s="1"/>
  <c r="AM20" i="48" s="1"/>
  <c r="AM21" i="48" s="1"/>
  <c r="AM22" i="48" s="1"/>
  <c r="AM23" i="48" s="1"/>
  <c r="AM24" i="48" s="1"/>
  <c r="AM25" i="48" s="1"/>
  <c r="AM26" i="48" s="1"/>
  <c r="AM27" i="48" s="1"/>
  <c r="AM28" i="48" s="1"/>
  <c r="AM29" i="48" s="1"/>
  <c r="AM30" i="48" s="1"/>
  <c r="AM31" i="48" s="1"/>
  <c r="AM32" i="48" s="1"/>
  <c r="AM33" i="48" s="1"/>
  <c r="AM34" i="48" s="1"/>
  <c r="AM35" i="48" s="1"/>
  <c r="AM36" i="48" s="1"/>
  <c r="AM37" i="48" s="1"/>
  <c r="AM38" i="48" s="1"/>
  <c r="AM39" i="48" s="1"/>
  <c r="AK8" i="44"/>
  <c r="AM16" i="44" s="1"/>
  <c r="AM17" i="44" s="1"/>
  <c r="AM18" i="44" s="1"/>
  <c r="AM19" i="44" s="1"/>
  <c r="AM20" i="44" s="1"/>
  <c r="AM21" i="44" s="1"/>
  <c r="AM22" i="44" s="1"/>
  <c r="AM23" i="44" s="1"/>
  <c r="AM24" i="44" s="1"/>
  <c r="AM25" i="44" s="1"/>
  <c r="AM26" i="44" s="1"/>
  <c r="AM27" i="44" s="1"/>
  <c r="AM28" i="44" s="1"/>
  <c r="AM29" i="44" s="1"/>
  <c r="AM30" i="44" s="1"/>
  <c r="AM31" i="44" s="1"/>
  <c r="AM32" i="44" s="1"/>
  <c r="AM33" i="44" s="1"/>
  <c r="AM34" i="44" s="1"/>
  <c r="AM35" i="44" s="1"/>
  <c r="AM36" i="44" s="1"/>
  <c r="AM37" i="44" s="1"/>
  <c r="AM38" i="44" s="1"/>
  <c r="AM39" i="44" s="1"/>
  <c r="AK8" i="65"/>
  <c r="AM16" i="65" s="1"/>
  <c r="AM17" i="65" s="1"/>
  <c r="AM18" i="65" s="1"/>
  <c r="AM19" i="65" s="1"/>
  <c r="AM20" i="65" s="1"/>
  <c r="AM21" i="65" s="1"/>
  <c r="AM22" i="65" s="1"/>
  <c r="AM23" i="65" s="1"/>
  <c r="AM24" i="65" s="1"/>
  <c r="AM25" i="65" s="1"/>
  <c r="AM26" i="65" s="1"/>
  <c r="AM27" i="65" s="1"/>
  <c r="AM28" i="65" s="1"/>
  <c r="AM29" i="65" s="1"/>
  <c r="AM30" i="65" s="1"/>
  <c r="AM31" i="65" s="1"/>
  <c r="AM32" i="65" s="1"/>
  <c r="AM33" i="65" s="1"/>
  <c r="AM34" i="65" s="1"/>
  <c r="AM35" i="65" s="1"/>
  <c r="AM36" i="65" s="1"/>
  <c r="AM37" i="65" s="1"/>
  <c r="AM38" i="65" s="1"/>
  <c r="AM39" i="65" s="1"/>
  <c r="AK8" i="61"/>
  <c r="AM16" i="61" s="1"/>
  <c r="AM17" i="61" s="1"/>
  <c r="AM18" i="61" s="1"/>
  <c r="AM19" i="61" s="1"/>
  <c r="AM20" i="61" s="1"/>
  <c r="AM21" i="61" s="1"/>
  <c r="AM22" i="61" s="1"/>
  <c r="AM23" i="61" s="1"/>
  <c r="AM24" i="61" s="1"/>
  <c r="AM25" i="61" s="1"/>
  <c r="AM26" i="61" s="1"/>
  <c r="AM27" i="61" s="1"/>
  <c r="AM28" i="61" s="1"/>
  <c r="AM29" i="61" s="1"/>
  <c r="AM30" i="61" s="1"/>
  <c r="AM31" i="61" s="1"/>
  <c r="AM32" i="61" s="1"/>
  <c r="AM33" i="61" s="1"/>
  <c r="AM34" i="61" s="1"/>
  <c r="AM35" i="61" s="1"/>
  <c r="AM36" i="61" s="1"/>
  <c r="AM37" i="61" s="1"/>
  <c r="AM38" i="61" s="1"/>
  <c r="AM39" i="61" s="1"/>
  <c r="AK8" i="49"/>
  <c r="AM16" i="49" s="1"/>
  <c r="AM17" i="49" s="1"/>
  <c r="AM18" i="49" s="1"/>
  <c r="AM19" i="49" s="1"/>
  <c r="AM20" i="49" s="1"/>
  <c r="AM21" i="49" s="1"/>
  <c r="AM22" i="49" s="1"/>
  <c r="AM23" i="49" s="1"/>
  <c r="AM24" i="49" s="1"/>
  <c r="AM25" i="49" s="1"/>
  <c r="AM26" i="49" s="1"/>
  <c r="AM27" i="49" s="1"/>
  <c r="AM28" i="49" s="1"/>
  <c r="AM29" i="49" s="1"/>
  <c r="AM30" i="49" s="1"/>
  <c r="AM31" i="49" s="1"/>
  <c r="AM32" i="49" s="1"/>
  <c r="AM33" i="49" s="1"/>
  <c r="AM34" i="49" s="1"/>
  <c r="AM35" i="49" s="1"/>
  <c r="AM36" i="49" s="1"/>
  <c r="AM37" i="49" s="1"/>
  <c r="AM38" i="49" s="1"/>
  <c r="AM39" i="49" s="1"/>
  <c r="AK8" i="57"/>
  <c r="AM16" i="57" s="1"/>
  <c r="AM17" i="57" s="1"/>
  <c r="AM18" i="57" s="1"/>
  <c r="AM19" i="57" s="1"/>
  <c r="AM20" i="57" s="1"/>
  <c r="AM21" i="57" s="1"/>
  <c r="AM22" i="57" s="1"/>
  <c r="AM23" i="57" s="1"/>
  <c r="AM24" i="57" s="1"/>
  <c r="AM25" i="57" s="1"/>
  <c r="AM26" i="57" s="1"/>
  <c r="AM27" i="57" s="1"/>
  <c r="AM28" i="57" s="1"/>
  <c r="AM29" i="57" s="1"/>
  <c r="AM30" i="57" s="1"/>
  <c r="AM31" i="57" s="1"/>
  <c r="AM32" i="57" s="1"/>
  <c r="AM33" i="57" s="1"/>
  <c r="AM34" i="57" s="1"/>
  <c r="AM35" i="57" s="1"/>
  <c r="AM36" i="57" s="1"/>
  <c r="AM37" i="57" s="1"/>
  <c r="AM38" i="57" s="1"/>
  <c r="AM39" i="57" s="1"/>
  <c r="AK8" i="45"/>
  <c r="AM16" i="45" s="1"/>
  <c r="AM17" i="45" s="1"/>
  <c r="AM18" i="45" s="1"/>
  <c r="AM19" i="45" s="1"/>
  <c r="AM20" i="45" s="1"/>
  <c r="AM21" i="45" s="1"/>
  <c r="AM22" i="45" s="1"/>
  <c r="AM23" i="45" s="1"/>
  <c r="AM24" i="45" s="1"/>
  <c r="AM25" i="45" s="1"/>
  <c r="AM26" i="45" s="1"/>
  <c r="AM27" i="45" s="1"/>
  <c r="AM28" i="45" s="1"/>
  <c r="AM29" i="45" s="1"/>
  <c r="AM30" i="45" s="1"/>
  <c r="AM31" i="45" s="1"/>
  <c r="AM32" i="45" s="1"/>
  <c r="AM33" i="45" s="1"/>
  <c r="AM34" i="45" s="1"/>
  <c r="AM35" i="45" s="1"/>
  <c r="AM36" i="45" s="1"/>
  <c r="AM37" i="45" s="1"/>
  <c r="AM38" i="45" s="1"/>
  <c r="AM39" i="45" s="1"/>
  <c r="AK8" i="41"/>
  <c r="AM16" i="41" s="1"/>
  <c r="AM17" i="41" s="1"/>
  <c r="AM18" i="41" s="1"/>
  <c r="AM19" i="41" s="1"/>
  <c r="AM20" i="41" s="1"/>
  <c r="AM21" i="41" s="1"/>
  <c r="AM22" i="41" s="1"/>
  <c r="AM23" i="41" s="1"/>
  <c r="AM24" i="41" s="1"/>
  <c r="AM25" i="41" s="1"/>
  <c r="AM26" i="41" s="1"/>
  <c r="AM27" i="41" s="1"/>
  <c r="AM28" i="41" s="1"/>
  <c r="AM29" i="41" s="1"/>
  <c r="AM30" i="41" s="1"/>
  <c r="AM31" i="41" s="1"/>
  <c r="AM32" i="41" s="1"/>
  <c r="AM33" i="41" s="1"/>
  <c r="AM34" i="41" s="1"/>
  <c r="AM35" i="41" s="1"/>
  <c r="AM36" i="41" s="1"/>
  <c r="AM37" i="41" s="1"/>
  <c r="AM38" i="41" s="1"/>
  <c r="AM39" i="41" s="1"/>
  <c r="AJ17" i="1"/>
  <c r="AU16" i="1"/>
  <c r="AO16" i="1"/>
  <c r="AN17" i="1"/>
  <c r="AX16" i="1"/>
  <c r="AT16" i="1"/>
  <c r="AN18" i="1" l="1"/>
  <c r="AX17" i="1"/>
  <c r="AT17" i="1"/>
  <c r="AP16" i="1"/>
  <c r="AQ16" i="1" s="1"/>
  <c r="AV16" i="1" s="1"/>
  <c r="AW16" i="1"/>
  <c r="AY16" i="1"/>
  <c r="AJ18" i="1"/>
  <c r="AU17" i="1"/>
  <c r="AO17" i="1"/>
  <c r="AZ16" i="1" l="1"/>
  <c r="BA16" i="1" s="1"/>
  <c r="AY17" i="1"/>
  <c r="AJ19" i="1"/>
  <c r="AU18" i="1"/>
  <c r="AO18" i="1"/>
  <c r="AP17" i="1"/>
  <c r="AQ17" i="1" s="1"/>
  <c r="AV17" i="1" s="1"/>
  <c r="AW17" i="1"/>
  <c r="AN19" i="1"/>
  <c r="AX18" i="1"/>
  <c r="AT18" i="1"/>
  <c r="BB16" i="1" l="1"/>
  <c r="BC16" i="1" s="1"/>
  <c r="AY18" i="1"/>
  <c r="AZ17" i="1"/>
  <c r="BA17" i="1" s="1"/>
  <c r="AN20" i="1"/>
  <c r="AX19" i="1"/>
  <c r="AT19" i="1"/>
  <c r="AP18" i="1"/>
  <c r="AQ18" i="1" s="1"/>
  <c r="AV18" i="1" s="1"/>
  <c r="AW18" i="1"/>
  <c r="AJ20" i="1"/>
  <c r="AU19" i="1"/>
  <c r="AO19" i="1"/>
  <c r="BB17" i="1" l="1"/>
  <c r="BC17" i="1" s="1"/>
  <c r="AN21" i="1"/>
  <c r="AX20" i="1"/>
  <c r="AT20" i="1"/>
  <c r="AY19" i="1"/>
  <c r="AZ18" i="1"/>
  <c r="BA18" i="1" s="1"/>
  <c r="AP19" i="1"/>
  <c r="AQ19" i="1" s="1"/>
  <c r="AV19" i="1" s="1"/>
  <c r="AW19" i="1"/>
  <c r="AJ21" i="1"/>
  <c r="AU20" i="1"/>
  <c r="AO20" i="1"/>
  <c r="BB18" i="1" l="1"/>
  <c r="BC18" i="1" s="1"/>
  <c r="AJ22" i="1"/>
  <c r="AO21" i="1"/>
  <c r="AU21" i="1"/>
  <c r="AY20" i="1"/>
  <c r="AW20" i="1"/>
  <c r="AP20" i="1"/>
  <c r="AQ20" i="1" s="1"/>
  <c r="AV20" i="1" s="1"/>
  <c r="AN22" i="1"/>
  <c r="AX21" i="1"/>
  <c r="AT21" i="1"/>
  <c r="AZ19" i="1"/>
  <c r="BA19" i="1" s="1"/>
  <c r="BB19" i="1" l="1"/>
  <c r="BC19" i="1" s="1"/>
  <c r="AY21" i="1"/>
  <c r="AW21" i="1"/>
  <c r="AP21" i="1"/>
  <c r="AQ21" i="1" s="1"/>
  <c r="AV21" i="1" s="1"/>
  <c r="AN23" i="1"/>
  <c r="AX22" i="1"/>
  <c r="AT22" i="1"/>
  <c r="AZ20" i="1"/>
  <c r="BA20" i="1" s="1"/>
  <c r="BB20" i="1" s="1"/>
  <c r="BC20" i="1" s="1"/>
  <c r="AJ23" i="1"/>
  <c r="AU22" i="1"/>
  <c r="AO22" i="1"/>
  <c r="AU23" i="1" l="1"/>
  <c r="AJ24" i="1"/>
  <c r="AO23" i="1"/>
  <c r="AY22" i="1"/>
  <c r="AZ21" i="1"/>
  <c r="BA21" i="1" s="1"/>
  <c r="BB21" i="1" s="1"/>
  <c r="AX23" i="1"/>
  <c r="AT23" i="1"/>
  <c r="AN24" i="1"/>
  <c r="AP22" i="1"/>
  <c r="AQ22" i="1" s="1"/>
  <c r="AV22" i="1" s="1"/>
  <c r="AW22" i="1"/>
  <c r="AZ22" i="1" l="1"/>
  <c r="BA22" i="1" s="1"/>
  <c r="BB22" i="1" s="1"/>
  <c r="BC21" i="1"/>
  <c r="AP23" i="1"/>
  <c r="AQ23" i="1" s="1"/>
  <c r="AV23" i="1" s="1"/>
  <c r="AW23" i="1"/>
  <c r="AY23" i="1"/>
  <c r="AX24" i="1"/>
  <c r="AT24" i="1"/>
  <c r="AN25" i="1"/>
  <c r="AU24" i="1"/>
  <c r="AO24" i="1"/>
  <c r="AJ25" i="1"/>
  <c r="AP24" i="1" l="1"/>
  <c r="AQ24" i="1" s="1"/>
  <c r="AV24" i="1" s="1"/>
  <c r="AW24" i="1"/>
  <c r="AY24" i="1"/>
  <c r="AX25" i="1"/>
  <c r="AT25" i="1"/>
  <c r="AN26" i="1"/>
  <c r="AZ23" i="1"/>
  <c r="BA23" i="1" s="1"/>
  <c r="BB23" i="1" s="1"/>
  <c r="BC22" i="1"/>
  <c r="AU25" i="1"/>
  <c r="AO25" i="1"/>
  <c r="AJ26" i="1"/>
  <c r="AP25" i="1" l="1"/>
  <c r="AQ25" i="1" s="1"/>
  <c r="AV25" i="1" s="1"/>
  <c r="AW25" i="1"/>
  <c r="BC23" i="1"/>
  <c r="AX26" i="1"/>
  <c r="AT26" i="1"/>
  <c r="AN27" i="1"/>
  <c r="AZ24" i="1"/>
  <c r="BA24" i="1" s="1"/>
  <c r="AU26" i="1"/>
  <c r="AO26" i="1"/>
  <c r="AJ27" i="1"/>
  <c r="AY25" i="1"/>
  <c r="BB24" i="1" l="1"/>
  <c r="BC24" i="1" s="1"/>
  <c r="AU27" i="1"/>
  <c r="AO27" i="1"/>
  <c r="AJ28" i="1"/>
  <c r="AY26" i="1"/>
  <c r="AP26" i="1"/>
  <c r="AQ26" i="1" s="1"/>
  <c r="AV26" i="1" s="1"/>
  <c r="AW26" i="1"/>
  <c r="AX27" i="1"/>
  <c r="AT27" i="1"/>
  <c r="AN28" i="1"/>
  <c r="AZ25" i="1"/>
  <c r="BA25" i="1" s="1"/>
  <c r="BB25" i="1" l="1"/>
  <c r="BC25" i="1" s="1"/>
  <c r="AX28" i="1"/>
  <c r="AT28" i="1"/>
  <c r="AN29" i="1"/>
  <c r="AP27" i="1"/>
  <c r="AQ27" i="1" s="1"/>
  <c r="AV27" i="1" s="1"/>
  <c r="AW27" i="1"/>
  <c r="AY27" i="1"/>
  <c r="AZ26" i="1"/>
  <c r="BA26" i="1" s="1"/>
  <c r="AU28" i="1"/>
  <c r="AO28" i="1"/>
  <c r="AJ29" i="1"/>
  <c r="BB26" i="1" l="1"/>
  <c r="BC26" i="1" s="1"/>
  <c r="AZ27" i="1"/>
  <c r="BA27" i="1" s="1"/>
  <c r="BB27" i="1" s="1"/>
  <c r="AU29" i="1"/>
  <c r="AO29" i="1"/>
  <c r="AJ30" i="1"/>
  <c r="AY28" i="1"/>
  <c r="AP28" i="1"/>
  <c r="AQ28" i="1" s="1"/>
  <c r="AV28" i="1" s="1"/>
  <c r="AW28" i="1"/>
  <c r="AX29" i="1"/>
  <c r="AT29" i="1"/>
  <c r="AN30" i="1"/>
  <c r="AX30" i="1" l="1"/>
  <c r="AT30" i="1"/>
  <c r="AN31" i="1"/>
  <c r="AU30" i="1"/>
  <c r="AO30" i="1"/>
  <c r="AJ31" i="1"/>
  <c r="BC27" i="1"/>
  <c r="AP29" i="1"/>
  <c r="AQ29" i="1" s="1"/>
  <c r="AV29" i="1" s="1"/>
  <c r="AW29" i="1"/>
  <c r="AY29" i="1"/>
  <c r="AZ28" i="1"/>
  <c r="BA28" i="1" s="1"/>
  <c r="BB28" i="1" l="1"/>
  <c r="BC28" i="1" s="1"/>
  <c r="AX31" i="1"/>
  <c r="AT31" i="1"/>
  <c r="AN32" i="1"/>
  <c r="AZ29" i="1"/>
  <c r="BA29" i="1" s="1"/>
  <c r="BB29" i="1" s="1"/>
  <c r="AU31" i="1"/>
  <c r="AO31" i="1"/>
  <c r="AJ32" i="1"/>
  <c r="AP30" i="1"/>
  <c r="AQ30" i="1" s="1"/>
  <c r="AV30" i="1" s="1"/>
  <c r="AW30" i="1"/>
  <c r="AY30" i="1"/>
  <c r="AY31" i="1" l="1"/>
  <c r="AZ30" i="1"/>
  <c r="BA30" i="1" s="1"/>
  <c r="BB30" i="1" s="1"/>
  <c r="AU32" i="1"/>
  <c r="AO32" i="1"/>
  <c r="AJ33" i="1"/>
  <c r="BC29" i="1"/>
  <c r="AP31" i="1"/>
  <c r="AQ31" i="1" s="1"/>
  <c r="AV31" i="1" s="1"/>
  <c r="AW31" i="1"/>
  <c r="AX32" i="1"/>
  <c r="AT32" i="1"/>
  <c r="AN33" i="1"/>
  <c r="AY32" i="1" l="1"/>
  <c r="AU33" i="1"/>
  <c r="AO33" i="1"/>
  <c r="AJ34" i="1"/>
  <c r="BC30" i="1"/>
  <c r="AX33" i="1"/>
  <c r="AT33" i="1"/>
  <c r="AN34" i="1"/>
  <c r="AP32" i="1"/>
  <c r="AQ32" i="1" s="1"/>
  <c r="AV32" i="1" s="1"/>
  <c r="AW32" i="1"/>
  <c r="AZ31" i="1"/>
  <c r="BA31" i="1" s="1"/>
  <c r="BB31" i="1" l="1"/>
  <c r="BC31" i="1" s="1"/>
  <c r="AY33" i="1"/>
  <c r="AX34" i="1"/>
  <c r="AT34" i="1"/>
  <c r="AN35" i="1"/>
  <c r="AU34" i="1"/>
  <c r="AO34" i="1"/>
  <c r="AJ35" i="1"/>
  <c r="AP33" i="1"/>
  <c r="AQ33" i="1" s="1"/>
  <c r="AV33" i="1" s="1"/>
  <c r="AW33" i="1"/>
  <c r="AZ32" i="1"/>
  <c r="BA32" i="1" s="1"/>
  <c r="BB32" i="1" l="1"/>
  <c r="BC32" i="1" s="1"/>
  <c r="AX35" i="1"/>
  <c r="AT35" i="1"/>
  <c r="AN36" i="1"/>
  <c r="AZ33" i="1"/>
  <c r="BA33" i="1" s="1"/>
  <c r="AU35" i="1"/>
  <c r="AO35" i="1"/>
  <c r="AJ36" i="1"/>
  <c r="AP34" i="1"/>
  <c r="AQ34" i="1" s="1"/>
  <c r="AV34" i="1" s="1"/>
  <c r="AW34" i="1"/>
  <c r="AY34" i="1"/>
  <c r="BB33" i="1" l="1"/>
  <c r="BC33" i="1" s="1"/>
  <c r="AY35" i="1"/>
  <c r="AU36" i="1"/>
  <c r="AO36" i="1"/>
  <c r="AJ37" i="1"/>
  <c r="AZ34" i="1"/>
  <c r="BA34" i="1" s="1"/>
  <c r="BB34" i="1" s="1"/>
  <c r="AP35" i="1"/>
  <c r="AQ35" i="1" s="1"/>
  <c r="AV35" i="1" s="1"/>
  <c r="AW35" i="1"/>
  <c r="AX36" i="1"/>
  <c r="AT36" i="1"/>
  <c r="AN37" i="1"/>
  <c r="AY36" i="1" l="1"/>
  <c r="BC34" i="1"/>
  <c r="AU37" i="1"/>
  <c r="AO37" i="1"/>
  <c r="AJ38" i="1"/>
  <c r="AZ35" i="1"/>
  <c r="BA35" i="1" s="1"/>
  <c r="AX37" i="1"/>
  <c r="AT37" i="1"/>
  <c r="AN38" i="1"/>
  <c r="AP36" i="1"/>
  <c r="AQ36" i="1" s="1"/>
  <c r="AV36" i="1" s="1"/>
  <c r="AW36" i="1"/>
  <c r="BB35" i="1" l="1"/>
  <c r="BC35" i="1" s="1"/>
  <c r="AX38" i="1"/>
  <c r="AT38" i="1"/>
  <c r="AN39" i="1"/>
  <c r="AU38" i="1"/>
  <c r="AO38" i="1"/>
  <c r="AJ39" i="1"/>
  <c r="AY37" i="1"/>
  <c r="AP37" i="1"/>
  <c r="AQ37" i="1" s="1"/>
  <c r="AV37" i="1" s="1"/>
  <c r="AW37" i="1"/>
  <c r="AZ36" i="1"/>
  <c r="BA36" i="1" s="1"/>
  <c r="BB36" i="1" l="1"/>
  <c r="BC36" i="1" s="1"/>
  <c r="AU39" i="1"/>
  <c r="AO39" i="1"/>
  <c r="AP38" i="1"/>
  <c r="AQ38" i="1" s="1"/>
  <c r="AV38" i="1" s="1"/>
  <c r="AW38" i="1"/>
  <c r="AY38" i="1"/>
  <c r="AZ37" i="1"/>
  <c r="BA37" i="1" s="1"/>
  <c r="AX39" i="1"/>
  <c r="AT39" i="1"/>
  <c r="BB37" i="1" l="1"/>
  <c r="BC37" i="1" s="1"/>
  <c r="AY39" i="1"/>
  <c r="AP39" i="1"/>
  <c r="AQ39" i="1" s="1"/>
  <c r="AV39" i="1" s="1"/>
  <c r="AW39" i="1"/>
  <c r="AZ38" i="1"/>
  <c r="BA38" i="1" s="1"/>
  <c r="BB38" i="1" s="1"/>
  <c r="BC38" i="1" l="1"/>
  <c r="AZ39" i="1"/>
  <c r="BA39" i="1" s="1"/>
  <c r="BB39" i="1" l="1"/>
  <c r="BC39" i="1" s="1"/>
  <c r="B18" i="32" l="1"/>
  <c r="B18" i="33" s="1"/>
  <c r="B19" i="33" s="1"/>
  <c r="B20" i="33" s="1"/>
  <c r="B21" i="33" s="1"/>
  <c r="B22" i="33" s="1"/>
  <c r="B23" i="33" s="1"/>
  <c r="B24" i="33" s="1"/>
  <c r="B25" i="33" s="1"/>
  <c r="B26" i="33" s="1"/>
  <c r="B27" i="33" s="1"/>
  <c r="B28" i="33" s="1"/>
  <c r="B29" i="33" s="1"/>
  <c r="B30" i="33" s="1"/>
  <c r="B31" i="33" s="1"/>
  <c r="B32" i="33" s="1"/>
  <c r="B33" i="33" s="1"/>
  <c r="B34" i="33" s="1"/>
  <c r="B35" i="33" s="1"/>
  <c r="B36" i="33" s="1"/>
  <c r="B37" i="33" s="1"/>
  <c r="B38" i="33" s="1"/>
  <c r="B39" i="33" s="1"/>
  <c r="B40" i="33" s="1"/>
  <c r="B41" i="33" s="1"/>
  <c r="B42" i="33" s="1"/>
  <c r="B43" i="33" s="1"/>
  <c r="B44" i="33" s="1"/>
  <c r="B45" i="33" s="1"/>
  <c r="B46" i="33" s="1"/>
  <c r="B47" i="33" s="1"/>
  <c r="C3" i="37"/>
  <c r="C2" i="37"/>
  <c r="B3" i="37"/>
  <c r="D3" i="37"/>
  <c r="D2" i="37"/>
  <c r="B6" i="37"/>
  <c r="B7" i="37" s="1"/>
  <c r="B8" i="37" s="1"/>
  <c r="B9" i="37" s="1"/>
  <c r="B10" i="37" s="1"/>
  <c r="B11" i="37" s="1"/>
  <c r="B12" i="37" s="1"/>
  <c r="B13" i="37" s="1"/>
  <c r="B14" i="37" s="1"/>
  <c r="B15" i="37" s="1"/>
  <c r="B16" i="37" s="1"/>
  <c r="B17" i="37" s="1"/>
  <c r="B18" i="37" s="1"/>
  <c r="B19" i="37" s="1"/>
  <c r="B20" i="37" s="1"/>
  <c r="B21" i="37" s="1"/>
  <c r="B22" i="37" s="1"/>
  <c r="B23" i="37" s="1"/>
  <c r="B24" i="37" s="1"/>
  <c r="B25" i="37" s="1"/>
  <c r="B26" i="37" s="1"/>
  <c r="B27" i="37" s="1"/>
  <c r="B28" i="37" s="1"/>
  <c r="B29" i="37" s="1"/>
  <c r="B30" i="37" s="1"/>
  <c r="B31" i="37" s="1"/>
  <c r="B32" i="37" s="1"/>
  <c r="B33" i="37" s="1"/>
  <c r="B34" i="37" s="1"/>
  <c r="R51" i="32"/>
  <c r="R51" i="33" s="1"/>
  <c r="M51" i="32"/>
  <c r="M51" i="33" s="1"/>
  <c r="R50" i="33"/>
  <c r="M50" i="33"/>
  <c r="E50" i="33"/>
  <c r="E51" i="33"/>
  <c r="R42" i="1"/>
  <c r="BV18" i="32" s="1"/>
  <c r="R41" i="1"/>
  <c r="BU18" i="32" s="1"/>
  <c r="R40" i="1"/>
  <c r="BW18" i="32" s="1"/>
  <c r="E50" i="1"/>
  <c r="P53" i="1" s="1"/>
  <c r="E48" i="1"/>
  <c r="E46" i="1"/>
  <c r="L2" i="36"/>
  <c r="J21" i="36"/>
  <c r="J2" i="36"/>
  <c r="BQ35" i="32"/>
  <c r="BP35" i="32"/>
  <c r="BO35" i="32"/>
  <c r="BN35" i="32"/>
  <c r="BM35" i="32"/>
  <c r="BL35" i="32"/>
  <c r="U35" i="32"/>
  <c r="U33" i="32"/>
  <c r="V33" i="32"/>
  <c r="W33" i="32"/>
  <c r="X33" i="32"/>
  <c r="Y33" i="32"/>
  <c r="Z33" i="32"/>
  <c r="AF33" i="32"/>
  <c r="AG33" i="32"/>
  <c r="AJ33" i="32"/>
  <c r="AM33" i="32"/>
  <c r="AP33" i="32"/>
  <c r="AS33" i="32"/>
  <c r="AV33" i="32"/>
  <c r="AY33" i="32"/>
  <c r="BB33" i="32"/>
  <c r="BC33" i="32"/>
  <c r="BF33" i="32"/>
  <c r="BI33" i="32"/>
  <c r="BL33" i="32"/>
  <c r="BO33" i="32"/>
  <c r="BR33" i="32"/>
  <c r="BU33" i="32"/>
  <c r="BX33" i="32"/>
  <c r="U34" i="32"/>
  <c r="W34" i="32"/>
  <c r="X34" i="32"/>
  <c r="Y34" i="32"/>
  <c r="Z34" i="32"/>
  <c r="AA34" i="32"/>
  <c r="AB34" i="32"/>
  <c r="AG34" i="32"/>
  <c r="AH34" i="32"/>
  <c r="AI34" i="32"/>
  <c r="AJ34" i="32"/>
  <c r="AK34" i="32"/>
  <c r="AL34" i="32"/>
  <c r="AM34" i="32"/>
  <c r="AN34" i="32"/>
  <c r="AO34" i="32"/>
  <c r="AP34" i="32"/>
  <c r="AQ34" i="32"/>
  <c r="AR34" i="32"/>
  <c r="AS34" i="32"/>
  <c r="AT34" i="32"/>
  <c r="AU34" i="32"/>
  <c r="AV34" i="32"/>
  <c r="AW34" i="32"/>
  <c r="AX34" i="32"/>
  <c r="AY34" i="32"/>
  <c r="AZ34" i="32"/>
  <c r="BA34" i="32"/>
  <c r="BC34" i="32"/>
  <c r="BD34" i="32"/>
  <c r="BE34" i="32"/>
  <c r="BF34" i="32"/>
  <c r="BG34" i="32"/>
  <c r="BH34" i="32"/>
  <c r="BI34" i="32"/>
  <c r="BJ34" i="32"/>
  <c r="BK34" i="32"/>
  <c r="BL34" i="32"/>
  <c r="BM34" i="32"/>
  <c r="BN34" i="32"/>
  <c r="BO34" i="32"/>
  <c r="BP34" i="32"/>
  <c r="BQ34" i="32"/>
  <c r="BR34" i="32"/>
  <c r="BS34" i="32"/>
  <c r="BT34" i="32"/>
  <c r="BU34" i="32"/>
  <c r="BV34" i="32"/>
  <c r="BW34" i="32"/>
  <c r="Z35" i="32"/>
  <c r="AA35" i="32"/>
  <c r="AB35" i="32"/>
  <c r="AG35" i="32"/>
  <c r="AH35" i="32"/>
  <c r="AI35" i="32"/>
  <c r="AJ35" i="32"/>
  <c r="AK35" i="32"/>
  <c r="AL35" i="32"/>
  <c r="AM35" i="32"/>
  <c r="AN35" i="32"/>
  <c r="AO35" i="32"/>
  <c r="AP35" i="32"/>
  <c r="AQ35" i="32"/>
  <c r="AR35" i="32"/>
  <c r="AS35" i="32"/>
  <c r="AT35" i="32"/>
  <c r="AU35" i="32"/>
  <c r="AV35" i="32"/>
  <c r="AW35" i="32"/>
  <c r="AX35" i="32"/>
  <c r="AY35" i="32"/>
  <c r="AZ35" i="32"/>
  <c r="BA35" i="32"/>
  <c r="BC35" i="32"/>
  <c r="BD35" i="32"/>
  <c r="BE35" i="32"/>
  <c r="BF35" i="32"/>
  <c r="BG35" i="32"/>
  <c r="BH35" i="32"/>
  <c r="BI35" i="32"/>
  <c r="BJ35" i="32"/>
  <c r="BK35" i="32"/>
  <c r="T33" i="32"/>
  <c r="BW17" i="32"/>
  <c r="BW35" i="32" s="1"/>
  <c r="BV17" i="32"/>
  <c r="BV35" i="32" s="1"/>
  <c r="BU17" i="32"/>
  <c r="BU35" i="32" s="1"/>
  <c r="BA18" i="32"/>
  <c r="R15" i="1"/>
  <c r="N50" i="1" s="1"/>
  <c r="N43" i="1"/>
  <c r="H43" i="1"/>
  <c r="D43" i="1"/>
  <c r="E43" i="1"/>
  <c r="F43" i="1"/>
  <c r="G43" i="1"/>
  <c r="L43" i="1"/>
  <c r="M43" i="1"/>
  <c r="O43" i="1"/>
  <c r="P43" i="1"/>
  <c r="Q43" i="1"/>
  <c r="B6" i="34"/>
  <c r="B7" i="34" s="1"/>
  <c r="B8" i="34" s="1"/>
  <c r="B9" i="34" s="1"/>
  <c r="B10" i="34" s="1"/>
  <c r="B11" i="34" s="1"/>
  <c r="B12" i="34" s="1"/>
  <c r="B13" i="34" s="1"/>
  <c r="B14" i="34" s="1"/>
  <c r="B15" i="34" s="1"/>
  <c r="B16" i="34" s="1"/>
  <c r="B17" i="34" s="1"/>
  <c r="B18" i="34" s="1"/>
  <c r="B19" i="34" s="1"/>
  <c r="B20" i="34" s="1"/>
  <c r="B21" i="34" s="1"/>
  <c r="B22" i="34" s="1"/>
  <c r="B23" i="34" s="1"/>
  <c r="B24" i="34" s="1"/>
  <c r="B25" i="34" s="1"/>
  <c r="B26" i="34" s="1"/>
  <c r="B27" i="34" s="1"/>
  <c r="B28" i="34" s="1"/>
  <c r="B29" i="34" s="1"/>
  <c r="B30" i="34" s="1"/>
  <c r="B31" i="34" s="1"/>
  <c r="B32" i="34" s="1"/>
  <c r="B33" i="34" s="1"/>
  <c r="B34" i="34" s="1"/>
  <c r="BS18" i="32"/>
  <c r="BR18" i="32"/>
  <c r="BT18" i="32"/>
  <c r="K12" i="1"/>
  <c r="K12" i="40" s="1"/>
  <c r="AC39" i="1"/>
  <c r="AB39" i="1"/>
  <c r="AC38" i="1"/>
  <c r="AB38" i="1"/>
  <c r="AC37" i="1"/>
  <c r="AB37" i="1"/>
  <c r="AC36" i="1"/>
  <c r="AB36" i="1"/>
  <c r="AC35" i="1"/>
  <c r="AB35" i="1"/>
  <c r="AC34" i="1"/>
  <c r="AB34" i="1"/>
  <c r="AC33" i="1"/>
  <c r="AB33" i="1"/>
  <c r="AC32" i="1"/>
  <c r="AB32" i="1"/>
  <c r="AC31" i="1"/>
  <c r="AB31" i="1"/>
  <c r="AC30" i="1"/>
  <c r="AB30" i="1"/>
  <c r="AC29" i="1"/>
  <c r="AB29" i="1"/>
  <c r="AC28" i="1"/>
  <c r="AB28" i="1"/>
  <c r="AC27" i="1"/>
  <c r="AB27" i="1"/>
  <c r="AC26" i="1"/>
  <c r="AB26" i="1"/>
  <c r="AC25" i="1"/>
  <c r="AB25" i="1"/>
  <c r="AC24" i="1"/>
  <c r="AB24" i="1"/>
  <c r="AC23" i="1"/>
  <c r="AB23" i="1"/>
  <c r="AC22" i="1"/>
  <c r="AB22" i="1"/>
  <c r="AC21" i="1"/>
  <c r="AB21" i="1"/>
  <c r="AC20" i="1"/>
  <c r="AB20" i="1"/>
  <c r="AC19" i="1"/>
  <c r="AB19" i="1"/>
  <c r="AC18" i="1"/>
  <c r="AB18" i="1"/>
  <c r="AC17" i="1"/>
  <c r="AB17" i="1"/>
  <c r="AC16" i="1"/>
  <c r="AB16" i="1"/>
  <c r="U50" i="32"/>
  <c r="U49" i="32"/>
  <c r="U48" i="32"/>
  <c r="U47" i="32"/>
  <c r="U46" i="32"/>
  <c r="U45" i="32"/>
  <c r="U44" i="32"/>
  <c r="U43" i="32"/>
  <c r="U42" i="32"/>
  <c r="U41" i="32"/>
  <c r="U40" i="32"/>
  <c r="U39" i="32"/>
  <c r="U38" i="32"/>
  <c r="U37" i="32"/>
  <c r="U36" i="32"/>
  <c r="U32" i="32"/>
  <c r="U31" i="32"/>
  <c r="U30" i="32"/>
  <c r="U29" i="32"/>
  <c r="U28" i="32"/>
  <c r="U27" i="32"/>
  <c r="U26" i="32"/>
  <c r="U25" i="32"/>
  <c r="U24" i="32"/>
  <c r="U23" i="32"/>
  <c r="U22" i="32"/>
  <c r="U21" i="32"/>
  <c r="U20" i="32"/>
  <c r="U19" i="32"/>
  <c r="U18" i="32"/>
  <c r="P13" i="33"/>
  <c r="P11" i="33"/>
  <c r="P10" i="33"/>
  <c r="E10" i="33"/>
  <c r="E15" i="33"/>
  <c r="E14" i="33"/>
  <c r="E13" i="33"/>
  <c r="E12" i="33"/>
  <c r="E11" i="33"/>
  <c r="L30" i="33"/>
  <c r="L43" i="33"/>
  <c r="AD40" i="1"/>
  <c r="X18" i="32" s="1"/>
  <c r="R58" i="33"/>
  <c r="R57" i="33"/>
  <c r="M57" i="33"/>
  <c r="M58" i="33"/>
  <c r="E58" i="33"/>
  <c r="E12" i="1"/>
  <c r="E12" i="40" s="1"/>
  <c r="E12" i="41" s="1"/>
  <c r="E12" i="42" s="1"/>
  <c r="E12" i="43" s="1"/>
  <c r="E12" i="44" s="1"/>
  <c r="E12" i="45" s="1"/>
  <c r="E12" i="46" s="1"/>
  <c r="E12" i="47" s="1"/>
  <c r="E12" i="48" s="1"/>
  <c r="E12" i="49" s="1"/>
  <c r="E12" i="50" s="1"/>
  <c r="E12" i="51" s="1"/>
  <c r="E12" i="52" s="1"/>
  <c r="E12" i="53" s="1"/>
  <c r="E12" i="54" s="1"/>
  <c r="E12" i="55" s="1"/>
  <c r="E12" i="56" s="1"/>
  <c r="E12" i="57" s="1"/>
  <c r="E12" i="58" s="1"/>
  <c r="E12" i="59" s="1"/>
  <c r="E12" i="60" s="1"/>
  <c r="E12" i="61" s="1"/>
  <c r="E12" i="62" s="1"/>
  <c r="E12" i="63" s="1"/>
  <c r="E12" i="64" s="1"/>
  <c r="E12" i="65" s="1"/>
  <c r="E12" i="66" s="1"/>
  <c r="E12" i="67" s="1"/>
  <c r="E12" i="68" s="1"/>
  <c r="J42" i="1"/>
  <c r="J44" i="1" s="1"/>
  <c r="BP18" i="32"/>
  <c r="BO18" i="32"/>
  <c r="BM18" i="32"/>
  <c r="BL18" i="32"/>
  <c r="N42" i="1"/>
  <c r="BJ18" i="32" s="1"/>
  <c r="N41" i="1"/>
  <c r="BI18" i="32" s="1"/>
  <c r="M42" i="1"/>
  <c r="BG18" i="32" s="1"/>
  <c r="M41" i="1"/>
  <c r="BF18" i="32" s="1"/>
  <c r="L42" i="1"/>
  <c r="BD18" i="32" s="1"/>
  <c r="L41" i="1"/>
  <c r="BC18" i="32" s="1"/>
  <c r="K42" i="1"/>
  <c r="AZ18" i="32" s="1"/>
  <c r="K41" i="1"/>
  <c r="AY18" i="32" s="1"/>
  <c r="I42" i="1"/>
  <c r="AW18" i="32" s="1"/>
  <c r="I41" i="1"/>
  <c r="AV18" i="32" s="1"/>
  <c r="H42" i="1"/>
  <c r="AT18" i="32" s="1"/>
  <c r="H41" i="1"/>
  <c r="AS18" i="32" s="1"/>
  <c r="G42" i="1"/>
  <c r="AQ18" i="32" s="1"/>
  <c r="G41" i="1"/>
  <c r="AP18" i="32" s="1"/>
  <c r="F42" i="1"/>
  <c r="AN18" i="32" s="1"/>
  <c r="F41" i="1"/>
  <c r="AM18" i="32" s="1"/>
  <c r="AK18" i="32"/>
  <c r="AJ18" i="32"/>
  <c r="AH18" i="32"/>
  <c r="AG18" i="32"/>
  <c r="F40" i="1"/>
  <c r="AO18" i="32" s="1"/>
  <c r="N40" i="1"/>
  <c r="BK18" i="32" s="1"/>
  <c r="L40" i="1"/>
  <c r="BE18" i="32" s="1"/>
  <c r="J25" i="33"/>
  <c r="J29" i="33"/>
  <c r="J33" i="33"/>
  <c r="J43" i="33"/>
  <c r="M40" i="1"/>
  <c r="BH18" i="32" s="1"/>
  <c r="BQ18" i="32"/>
  <c r="R59" i="32"/>
  <c r="R59" i="33" s="1"/>
  <c r="M59" i="32"/>
  <c r="M59" i="33" s="1"/>
  <c r="E59" i="32"/>
  <c r="E59" i="33" s="1"/>
  <c r="C25" i="33"/>
  <c r="C37" i="33"/>
  <c r="C38" i="33"/>
  <c r="C42" i="33"/>
  <c r="L29" i="33"/>
  <c r="L50" i="1"/>
  <c r="I40" i="1"/>
  <c r="AX18" i="32" s="1"/>
  <c r="H40" i="1"/>
  <c r="AU18" i="32" s="1"/>
  <c r="G40" i="1"/>
  <c r="AR18" i="32" s="1"/>
  <c r="J41" i="33"/>
  <c r="L21" i="33"/>
  <c r="K12" i="41" l="1"/>
  <c r="T55" i="40"/>
  <c r="P55" i="40"/>
  <c r="AU51" i="32"/>
  <c r="AU53" i="32" s="1"/>
  <c r="F20" i="33"/>
  <c r="J6" i="39"/>
  <c r="E31" i="33"/>
  <c r="I17" i="39"/>
  <c r="AB135" i="39" s="1"/>
  <c r="AC139" i="39" s="1"/>
  <c r="B19" i="32"/>
  <c r="B20" i="32" s="1"/>
  <c r="B21" i="32" s="1"/>
  <c r="B22" i="32" s="1"/>
  <c r="B23" i="32" s="1"/>
  <c r="B24" i="32" s="1"/>
  <c r="B25" i="32" s="1"/>
  <c r="B26" i="32" s="1"/>
  <c r="B27" i="32" s="1"/>
  <c r="B28" i="32" s="1"/>
  <c r="B29" i="32" s="1"/>
  <c r="B30" i="32" s="1"/>
  <c r="B31" i="32" s="1"/>
  <c r="B32" i="32" s="1"/>
  <c r="B33" i="32" s="1"/>
  <c r="B34" i="32" s="1"/>
  <c r="B35" i="32" s="1"/>
  <c r="B36" i="32" s="1"/>
  <c r="B37" i="32" s="1"/>
  <c r="B38" i="32" s="1"/>
  <c r="B39" i="32" s="1"/>
  <c r="B40" i="32" s="1"/>
  <c r="B41" i="32" s="1"/>
  <c r="B42" i="32" s="1"/>
  <c r="B43" i="32" s="1"/>
  <c r="B44" i="32" s="1"/>
  <c r="B45" i="32" s="1"/>
  <c r="B46" i="32" s="1"/>
  <c r="B47" i="32" s="1"/>
  <c r="B6" i="39"/>
  <c r="B7" i="39" s="1"/>
  <c r="B8" i="39" s="1"/>
  <c r="B9" i="39" s="1"/>
  <c r="B10" i="39" s="1"/>
  <c r="B11" i="39" s="1"/>
  <c r="B12" i="39" s="1"/>
  <c r="B13" i="39" s="1"/>
  <c r="B14" i="39" s="1"/>
  <c r="B15" i="39" s="1"/>
  <c r="B16" i="39" s="1"/>
  <c r="B17" i="39" s="1"/>
  <c r="B18" i="39" s="1"/>
  <c r="B19" i="39" s="1"/>
  <c r="B20" i="39" s="1"/>
  <c r="B21" i="39" s="1"/>
  <c r="B22" i="39" s="1"/>
  <c r="B23" i="39" s="1"/>
  <c r="B24" i="39" s="1"/>
  <c r="B25" i="39" s="1"/>
  <c r="B26" i="39" s="1"/>
  <c r="B27" i="39" s="1"/>
  <c r="B28" i="39" s="1"/>
  <c r="B29" i="39" s="1"/>
  <c r="B30" i="39" s="1"/>
  <c r="B31" i="39" s="1"/>
  <c r="B32" i="39" s="1"/>
  <c r="B33" i="39" s="1"/>
  <c r="AA18" i="32"/>
  <c r="AA51" i="32" s="1"/>
  <c r="AD51" i="32"/>
  <c r="Z18" i="32"/>
  <c r="AC51" i="32"/>
  <c r="D48" i="32"/>
  <c r="AE51" i="32"/>
  <c r="D48" i="33"/>
  <c r="E2" i="37"/>
  <c r="L22" i="33"/>
  <c r="T55" i="1"/>
  <c r="P55" i="1"/>
  <c r="L35" i="33"/>
  <c r="L45" i="33"/>
  <c r="L26" i="33"/>
  <c r="L42" i="33"/>
  <c r="J37" i="33"/>
  <c r="K34" i="33"/>
  <c r="J27" i="33"/>
  <c r="J21" i="33"/>
  <c r="J22" i="33"/>
  <c r="M48" i="1"/>
  <c r="C19" i="33"/>
  <c r="J46" i="33"/>
  <c r="J42" i="33"/>
  <c r="J40" i="33"/>
  <c r="K37" i="33"/>
  <c r="J30" i="33"/>
  <c r="K26" i="33"/>
  <c r="L46" i="33"/>
  <c r="J45" i="33"/>
  <c r="J38" i="33"/>
  <c r="R30" i="33"/>
  <c r="K28" i="33"/>
  <c r="K47" i="33"/>
  <c r="K36" i="33"/>
  <c r="C23" i="33"/>
  <c r="K39" i="33"/>
  <c r="L37" i="33"/>
  <c r="C31" i="33"/>
  <c r="J31" i="33"/>
  <c r="C47" i="33"/>
  <c r="C39" i="33"/>
  <c r="K38" i="33"/>
  <c r="C35" i="33"/>
  <c r="L41" i="33"/>
  <c r="R25" i="33"/>
  <c r="M50" i="1"/>
  <c r="O39" i="33"/>
  <c r="O22" i="33"/>
  <c r="O21" i="33"/>
  <c r="O36" i="33"/>
  <c r="J39" i="33"/>
  <c r="J23" i="33"/>
  <c r="O41" i="33"/>
  <c r="C34" i="33"/>
  <c r="J35" i="33"/>
  <c r="K33" i="33"/>
  <c r="AL18" i="32"/>
  <c r="F18" i="32"/>
  <c r="F48" i="32" s="1"/>
  <c r="O19" i="33"/>
  <c r="O47" i="33"/>
  <c r="O43" i="33"/>
  <c r="C45" i="33"/>
  <c r="K35" i="33"/>
  <c r="AI18" i="32"/>
  <c r="K31" i="33"/>
  <c r="L32" i="33"/>
  <c r="C26" i="33"/>
  <c r="J32" i="33"/>
  <c r="J24" i="33"/>
  <c r="O40" i="33"/>
  <c r="J44" i="33"/>
  <c r="J26" i="33"/>
  <c r="AB18" i="32"/>
  <c r="C18" i="32"/>
  <c r="C18" i="33" s="1"/>
  <c r="C33" i="33"/>
  <c r="J47" i="33"/>
  <c r="L34" i="33"/>
  <c r="AD43" i="1"/>
  <c r="Y18" i="32" s="1"/>
  <c r="L27" i="33"/>
  <c r="O38" i="33"/>
  <c r="O20" i="33"/>
  <c r="K20" i="33"/>
  <c r="L25" i="33"/>
  <c r="J36" i="33"/>
  <c r="O34" i="33"/>
  <c r="O32" i="33"/>
  <c r="O30" i="33"/>
  <c r="O29" i="33"/>
  <c r="O27" i="33"/>
  <c r="J28" i="33"/>
  <c r="K23" i="33"/>
  <c r="K41" i="33"/>
  <c r="J20" i="33"/>
  <c r="L19" i="33"/>
  <c r="O23" i="33"/>
  <c r="R22" i="33"/>
  <c r="AC40" i="1"/>
  <c r="O37" i="33"/>
  <c r="C46" i="33"/>
  <c r="K40" i="33"/>
  <c r="J34" i="33"/>
  <c r="C32" i="33"/>
  <c r="H1" i="36"/>
  <c r="C30" i="33"/>
  <c r="C29" i="33"/>
  <c r="AZ51" i="32"/>
  <c r="K15" i="36" s="1"/>
  <c r="C28" i="33"/>
  <c r="K42" i="33"/>
  <c r="R41" i="33"/>
  <c r="R39" i="33"/>
  <c r="C36" i="33"/>
  <c r="BR51" i="32"/>
  <c r="J9" i="36" s="1"/>
  <c r="C24" i="33"/>
  <c r="BA51" i="32"/>
  <c r="L15" i="36" s="1"/>
  <c r="C22" i="33"/>
  <c r="R21" i="33"/>
  <c r="K21" i="33"/>
  <c r="BP51" i="32"/>
  <c r="AG40" i="1"/>
  <c r="W18" i="32" s="1"/>
  <c r="AB40" i="1"/>
  <c r="I48" i="1" s="1"/>
  <c r="R40" i="33"/>
  <c r="R33" i="33"/>
  <c r="R45" i="33"/>
  <c r="R44" i="33"/>
  <c r="O42" i="33"/>
  <c r="O25" i="33"/>
  <c r="N32" i="33"/>
  <c r="N42" i="33"/>
  <c r="R18" i="32"/>
  <c r="R18" i="33" s="1"/>
  <c r="R27" i="33"/>
  <c r="R46" i="33"/>
  <c r="R26" i="33"/>
  <c r="R31" i="33"/>
  <c r="R47" i="33"/>
  <c r="R43" i="33"/>
  <c r="R36" i="33"/>
  <c r="R20" i="33"/>
  <c r="R24" i="33"/>
  <c r="R29" i="33"/>
  <c r="R32" i="33"/>
  <c r="R34" i="33"/>
  <c r="R35" i="33"/>
  <c r="R19" i="33"/>
  <c r="R23" i="33"/>
  <c r="R28" i="33"/>
  <c r="N47" i="33"/>
  <c r="R42" i="33"/>
  <c r="R37" i="33"/>
  <c r="R38" i="33"/>
  <c r="O33" i="33"/>
  <c r="C40" i="33"/>
  <c r="AV51" i="32"/>
  <c r="J13" i="36" s="1"/>
  <c r="K27" i="33"/>
  <c r="J19" i="33"/>
  <c r="C21" i="33"/>
  <c r="K43" i="33"/>
  <c r="C27" i="33"/>
  <c r="C43" i="33"/>
  <c r="K29" i="33"/>
  <c r="K25" i="33"/>
  <c r="K44" i="33"/>
  <c r="AR51" i="32"/>
  <c r="L11" i="36" s="1"/>
  <c r="C20" i="33"/>
  <c r="BN18" i="32"/>
  <c r="BE51" i="32"/>
  <c r="L16" i="36" s="1"/>
  <c r="C41" i="33"/>
  <c r="E18" i="32"/>
  <c r="K18" i="32"/>
  <c r="K22" i="33"/>
  <c r="K19" i="33"/>
  <c r="K24" i="33"/>
  <c r="K45" i="33"/>
  <c r="K30" i="33"/>
  <c r="K46" i="33"/>
  <c r="K32" i="33"/>
  <c r="AX51" i="32"/>
  <c r="L13" i="36" s="1"/>
  <c r="C44" i="33"/>
  <c r="BL51" i="32"/>
  <c r="J18" i="32"/>
  <c r="BO51" i="32"/>
  <c r="BJ51" i="32"/>
  <c r="BJ52" i="32" s="1"/>
  <c r="Z51" i="32"/>
  <c r="BV51" i="32"/>
  <c r="AY51" i="32"/>
  <c r="AY53" i="32" s="1"/>
  <c r="AJ51" i="32"/>
  <c r="J7" i="36" s="1"/>
  <c r="AP51" i="32"/>
  <c r="BD51" i="32"/>
  <c r="BD52" i="32" s="1"/>
  <c r="BF51" i="32"/>
  <c r="J17" i="36" s="1"/>
  <c r="AH51" i="32"/>
  <c r="AH52" i="32" s="1"/>
  <c r="AN51" i="32"/>
  <c r="AK51" i="32"/>
  <c r="AM51" i="32"/>
  <c r="AQ51" i="32"/>
  <c r="AS51" i="32"/>
  <c r="AS53" i="32" s="1"/>
  <c r="AW51" i="32"/>
  <c r="K13" i="36" s="1"/>
  <c r="BC51" i="32"/>
  <c r="J16" i="36" s="1"/>
  <c r="BG51" i="32"/>
  <c r="BI51" i="32"/>
  <c r="J18" i="36" s="1"/>
  <c r="BM51" i="32"/>
  <c r="BU51" i="32"/>
  <c r="BS51" i="32"/>
  <c r="K9" i="36" s="1"/>
  <c r="BH51" i="32"/>
  <c r="L17" i="36" s="1"/>
  <c r="AG51" i="32"/>
  <c r="J6" i="36" s="1"/>
  <c r="AT51" i="32"/>
  <c r="AC25" i="39" l="1"/>
  <c r="AE27" i="39" s="1"/>
  <c r="AD27" i="39" s="1"/>
  <c r="T6" i="39"/>
  <c r="I49" i="1"/>
  <c r="O18" i="32" s="1"/>
  <c r="O18" i="33" s="1"/>
  <c r="K18" i="33"/>
  <c r="K48" i="32"/>
  <c r="J18" i="33"/>
  <c r="J48" i="33" s="1"/>
  <c r="J48" i="32"/>
  <c r="L12" i="36"/>
  <c r="K12" i="42"/>
  <c r="T55" i="41"/>
  <c r="P55" i="41"/>
  <c r="I4" i="39"/>
  <c r="E18" i="33"/>
  <c r="J4" i="39"/>
  <c r="F18" i="33"/>
  <c r="F42" i="33"/>
  <c r="J28" i="39"/>
  <c r="E43" i="33"/>
  <c r="I29" i="39"/>
  <c r="AB255" i="39" s="1"/>
  <c r="AC259" i="39" s="1"/>
  <c r="E37" i="33"/>
  <c r="I23" i="39"/>
  <c r="AB195" i="39" s="1"/>
  <c r="AC199" i="39" s="1"/>
  <c r="F46" i="33"/>
  <c r="J32" i="39"/>
  <c r="E19" i="33"/>
  <c r="I5" i="39"/>
  <c r="AB15" i="39" s="1"/>
  <c r="AC19" i="39" s="1"/>
  <c r="E41" i="33"/>
  <c r="I27" i="39"/>
  <c r="AB235" i="39" s="1"/>
  <c r="AC239" i="39" s="1"/>
  <c r="F36" i="33"/>
  <c r="J22" i="39"/>
  <c r="F19" i="33"/>
  <c r="J5" i="39"/>
  <c r="F27" i="33"/>
  <c r="J13" i="39"/>
  <c r="E39" i="33"/>
  <c r="I25" i="39"/>
  <c r="AB215" i="39" s="1"/>
  <c r="AC219" i="39" s="1"/>
  <c r="E40" i="33"/>
  <c r="I26" i="39"/>
  <c r="AB225" i="39" s="1"/>
  <c r="E20" i="33"/>
  <c r="I6" i="39"/>
  <c r="AB25" i="39" s="1"/>
  <c r="AC29" i="39" s="1"/>
  <c r="AB305" i="39"/>
  <c r="F26" i="33"/>
  <c r="J12" i="39"/>
  <c r="E34" i="33"/>
  <c r="I20" i="39"/>
  <c r="AB165" i="39" s="1"/>
  <c r="AC169" i="39" s="1"/>
  <c r="F40" i="33"/>
  <c r="J26" i="39"/>
  <c r="E45" i="33"/>
  <c r="I31" i="39"/>
  <c r="AB275" i="39" s="1"/>
  <c r="E22" i="33"/>
  <c r="I8" i="39"/>
  <c r="AB45" i="39" s="1"/>
  <c r="AC49" i="39" s="1"/>
  <c r="E38" i="33"/>
  <c r="I24" i="39"/>
  <c r="AB205" i="39" s="1"/>
  <c r="AC209" i="39" s="1"/>
  <c r="F38" i="33"/>
  <c r="J24" i="39"/>
  <c r="E23" i="33"/>
  <c r="I9" i="39"/>
  <c r="AB55" i="39" s="1"/>
  <c r="AC59" i="39" s="1"/>
  <c r="E29" i="33"/>
  <c r="I15" i="39"/>
  <c r="AB115" i="39" s="1"/>
  <c r="AC119" i="39" s="1"/>
  <c r="E28" i="33"/>
  <c r="I14" i="39"/>
  <c r="AB105" i="39" s="1"/>
  <c r="AC109" i="39" s="1"/>
  <c r="E33" i="33"/>
  <c r="I19" i="39"/>
  <c r="AB155" i="39" s="1"/>
  <c r="AC159" i="39" s="1"/>
  <c r="E25" i="33"/>
  <c r="I11" i="39"/>
  <c r="AB75" i="39" s="1"/>
  <c r="AC79" i="39" s="1"/>
  <c r="E27" i="33"/>
  <c r="I13" i="39"/>
  <c r="AB95" i="39" s="1"/>
  <c r="AC99" i="39" s="1"/>
  <c r="F25" i="33"/>
  <c r="J11" i="39"/>
  <c r="E21" i="33"/>
  <c r="I7" i="39"/>
  <c r="AB35" i="39" s="1"/>
  <c r="AC39" i="39" s="1"/>
  <c r="E26" i="33"/>
  <c r="I12" i="39"/>
  <c r="AB85" i="39" s="1"/>
  <c r="AC89" i="39" s="1"/>
  <c r="F45" i="33"/>
  <c r="J31" i="39"/>
  <c r="E32" i="33"/>
  <c r="I18" i="39"/>
  <c r="AB145" i="39" s="1"/>
  <c r="AC149" i="39" s="1"/>
  <c r="E44" i="33"/>
  <c r="I30" i="39"/>
  <c r="AB265" i="39" s="1"/>
  <c r="AC269" i="39" s="1"/>
  <c r="F21" i="33"/>
  <c r="J7" i="39"/>
  <c r="F29" i="33"/>
  <c r="J15" i="39"/>
  <c r="F24" i="33"/>
  <c r="J10" i="39"/>
  <c r="F33" i="33"/>
  <c r="J19" i="39"/>
  <c r="F37" i="33"/>
  <c r="J23" i="39"/>
  <c r="E42" i="33"/>
  <c r="I28" i="39"/>
  <c r="AB245" i="39" s="1"/>
  <c r="AC249" i="39" s="1"/>
  <c r="E35" i="33"/>
  <c r="I21" i="39"/>
  <c r="AB175" i="39" s="1"/>
  <c r="AC179" i="39" s="1"/>
  <c r="F43" i="33"/>
  <c r="J29" i="39"/>
  <c r="E24" i="33"/>
  <c r="I10" i="39"/>
  <c r="AB65" i="39" s="1"/>
  <c r="AC69" i="39" s="1"/>
  <c r="E47" i="33"/>
  <c r="I33" i="39"/>
  <c r="AB295" i="39" s="1"/>
  <c r="AC299" i="39" s="1"/>
  <c r="F28" i="33"/>
  <c r="J14" i="39"/>
  <c r="F44" i="33"/>
  <c r="J30" i="39"/>
  <c r="F22" i="33"/>
  <c r="J8" i="39"/>
  <c r="F23" i="33"/>
  <c r="J9" i="39"/>
  <c r="F31" i="33"/>
  <c r="J17" i="39"/>
  <c r="E36" i="33"/>
  <c r="I22" i="39"/>
  <c r="AB185" i="39" s="1"/>
  <c r="AC189" i="39" s="1"/>
  <c r="F34" i="33"/>
  <c r="J20" i="39"/>
  <c r="F35" i="33"/>
  <c r="J21" i="39"/>
  <c r="F39" i="33"/>
  <c r="J25" i="39"/>
  <c r="F41" i="33"/>
  <c r="J27" i="39"/>
  <c r="F47" i="33"/>
  <c r="J33" i="39"/>
  <c r="F30" i="33"/>
  <c r="J16" i="39"/>
  <c r="E46" i="33"/>
  <c r="I32" i="39"/>
  <c r="AB285" i="39" s="1"/>
  <c r="AC289" i="39" s="1"/>
  <c r="E30" i="33"/>
  <c r="I16" i="39"/>
  <c r="AB125" i="39" s="1"/>
  <c r="AC129" i="39" s="1"/>
  <c r="F32" i="33"/>
  <c r="J18" i="39"/>
  <c r="AC138" i="39"/>
  <c r="AC140" i="39"/>
  <c r="N33" i="33"/>
  <c r="N20" i="33"/>
  <c r="N44" i="33"/>
  <c r="N31" i="33"/>
  <c r="N21" i="33"/>
  <c r="N28" i="33"/>
  <c r="L39" i="33"/>
  <c r="N39" i="33"/>
  <c r="N24" i="33"/>
  <c r="N18" i="32"/>
  <c r="N18" i="33" s="1"/>
  <c r="N23" i="33"/>
  <c r="L44" i="33"/>
  <c r="N41" i="33"/>
  <c r="O26" i="33"/>
  <c r="N26" i="33"/>
  <c r="AL51" i="32"/>
  <c r="L7" i="36" s="1"/>
  <c r="N38" i="33"/>
  <c r="O31" i="33"/>
  <c r="O46" i="33"/>
  <c r="L40" i="33"/>
  <c r="AO51" i="32"/>
  <c r="L8" i="36" s="1"/>
  <c r="N25" i="33"/>
  <c r="BW51" i="32"/>
  <c r="N36" i="33"/>
  <c r="N29" i="33"/>
  <c r="O28" i="33"/>
  <c r="E48" i="32"/>
  <c r="N22" i="33"/>
  <c r="L18" i="32"/>
  <c r="N30" i="33"/>
  <c r="AI51" i="32"/>
  <c r="L6" i="36" s="1"/>
  <c r="L33" i="33"/>
  <c r="L28" i="33"/>
  <c r="L31" i="33"/>
  <c r="N37" i="33"/>
  <c r="N19" i="33"/>
  <c r="N43" i="33"/>
  <c r="N35" i="33"/>
  <c r="L38" i="33"/>
  <c r="L36" i="33"/>
  <c r="N27" i="33"/>
  <c r="L24" i="33"/>
  <c r="L20" i="33"/>
  <c r="O45" i="33"/>
  <c r="O35" i="33"/>
  <c r="N40" i="33"/>
  <c r="L47" i="33"/>
  <c r="N46" i="33"/>
  <c r="L23" i="33"/>
  <c r="N45" i="33"/>
  <c r="BN51" i="32"/>
  <c r="K14" i="36"/>
  <c r="K48" i="33"/>
  <c r="C48" i="32"/>
  <c r="BT51" i="32"/>
  <c r="L9" i="36" s="1"/>
  <c r="AB51" i="32"/>
  <c r="O24" i="33"/>
  <c r="L14" i="36"/>
  <c r="C48" i="33"/>
  <c r="O44" i="33"/>
  <c r="N34" i="33"/>
  <c r="BQ51" i="32"/>
  <c r="K16" i="36"/>
  <c r="K18" i="36"/>
  <c r="J15" i="36"/>
  <c r="J14" i="36"/>
  <c r="BK51" i="32"/>
  <c r="L18" i="36" s="1"/>
  <c r="J11" i="36"/>
  <c r="AP53" i="32"/>
  <c r="K12" i="36"/>
  <c r="AT52" i="32"/>
  <c r="K17" i="36"/>
  <c r="BG52" i="32"/>
  <c r="K11" i="36"/>
  <c r="AQ52" i="32"/>
  <c r="J12" i="36"/>
  <c r="AM53" i="32"/>
  <c r="J8" i="36"/>
  <c r="K8" i="36"/>
  <c r="AN52" i="32"/>
  <c r="K7" i="36"/>
  <c r="AK52" i="32"/>
  <c r="K6" i="36"/>
  <c r="I47" i="1" l="1"/>
  <c r="H46" i="1" s="1"/>
  <c r="AF27" i="39"/>
  <c r="AC215" i="39"/>
  <c r="AE217" i="39" s="1"/>
  <c r="AF217" i="39" s="1"/>
  <c r="T25" i="39"/>
  <c r="AC165" i="39"/>
  <c r="AE167" i="39" s="1"/>
  <c r="AD167" i="39" s="1"/>
  <c r="T20" i="39"/>
  <c r="AC135" i="39"/>
  <c r="AE137" i="39" s="1"/>
  <c r="AF137" i="39" s="1"/>
  <c r="T17" i="39"/>
  <c r="AC265" i="39"/>
  <c r="AE267" i="39" s="1"/>
  <c r="AD267" i="39" s="1"/>
  <c r="T30" i="39"/>
  <c r="AC275" i="39"/>
  <c r="AE277" i="39" s="1"/>
  <c r="AD277" i="39" s="1"/>
  <c r="T31" i="39"/>
  <c r="AC95" i="39"/>
  <c r="AE97" i="39" s="1"/>
  <c r="AF97" i="39" s="1"/>
  <c r="T13" i="39"/>
  <c r="AC145" i="39"/>
  <c r="AE147" i="39" s="1"/>
  <c r="AF147" i="39" s="1"/>
  <c r="T18" i="39"/>
  <c r="AC295" i="39"/>
  <c r="AE297" i="39" s="1"/>
  <c r="AD297" i="39" s="1"/>
  <c r="T33" i="39"/>
  <c r="AC45" i="39"/>
  <c r="AE47" i="39" s="1"/>
  <c r="AF47" i="39" s="1"/>
  <c r="T8" i="39"/>
  <c r="AC255" i="39"/>
  <c r="AE257" i="39" s="1"/>
  <c r="AD257" i="39" s="1"/>
  <c r="T29" i="39"/>
  <c r="AC155" i="39"/>
  <c r="AE157" i="39" s="1"/>
  <c r="AD157" i="39" s="1"/>
  <c r="T19" i="39"/>
  <c r="AC115" i="39"/>
  <c r="AE117" i="39" s="1"/>
  <c r="AD117" i="39" s="1"/>
  <c r="T15" i="39"/>
  <c r="AC185" i="39"/>
  <c r="AE187" i="39" s="1"/>
  <c r="AF187" i="39" s="1"/>
  <c r="T22" i="39"/>
  <c r="AC245" i="39"/>
  <c r="AE247" i="39" s="1"/>
  <c r="AF247" i="39" s="1"/>
  <c r="T28" i="39"/>
  <c r="AC125" i="39"/>
  <c r="AE127" i="39" s="1"/>
  <c r="AF127" i="39" s="1"/>
  <c r="T16" i="39"/>
  <c r="AC235" i="39"/>
  <c r="AE237" i="39" s="1"/>
  <c r="AD237" i="39" s="1"/>
  <c r="T27" i="39"/>
  <c r="AC175" i="39"/>
  <c r="AE177" i="39" s="1"/>
  <c r="AD177" i="39" s="1"/>
  <c r="T21" i="39"/>
  <c r="AC55" i="39"/>
  <c r="AE57" i="39" s="1"/>
  <c r="AF57" i="39" s="1"/>
  <c r="T9" i="39"/>
  <c r="AC305" i="39"/>
  <c r="AE307" i="39" s="1"/>
  <c r="AF307" i="39" s="1"/>
  <c r="AC105" i="39"/>
  <c r="AE107" i="39" s="1"/>
  <c r="AF107" i="39" s="1"/>
  <c r="T14" i="39"/>
  <c r="AC195" i="39"/>
  <c r="AE197" i="39" s="1"/>
  <c r="AD197" i="39" s="1"/>
  <c r="T23" i="39"/>
  <c r="AC65" i="39"/>
  <c r="AE67" i="39" s="1"/>
  <c r="AF67" i="39" s="1"/>
  <c r="T10" i="39"/>
  <c r="AC35" i="39"/>
  <c r="AE37" i="39" s="1"/>
  <c r="AD37" i="39" s="1"/>
  <c r="T7" i="39"/>
  <c r="AC75" i="39"/>
  <c r="AE77" i="39" s="1"/>
  <c r="AF77" i="39" s="1"/>
  <c r="T11" i="39"/>
  <c r="AC205" i="39"/>
  <c r="AE207" i="39" s="1"/>
  <c r="AD207" i="39" s="1"/>
  <c r="T24" i="39"/>
  <c r="AC225" i="39"/>
  <c r="AE227" i="39" s="1"/>
  <c r="AD227" i="39" s="1"/>
  <c r="T26" i="39"/>
  <c r="AC85" i="39"/>
  <c r="AE87" i="39" s="1"/>
  <c r="AF87" i="39" s="1"/>
  <c r="T12" i="39"/>
  <c r="AC15" i="39"/>
  <c r="AE17" i="39" s="1"/>
  <c r="AF17" i="39" s="1"/>
  <c r="T5" i="39"/>
  <c r="AC285" i="39"/>
  <c r="AE287" i="39" s="1"/>
  <c r="AD287" i="39" s="1"/>
  <c r="T32" i="39"/>
  <c r="AC5" i="39"/>
  <c r="AE7" i="39" s="1"/>
  <c r="AF7" i="39" s="1"/>
  <c r="T4" i="39"/>
  <c r="M51" i="1"/>
  <c r="F48" i="33"/>
  <c r="L18" i="33"/>
  <c r="L49" i="33" s="1"/>
  <c r="L48" i="32"/>
  <c r="J34" i="39"/>
  <c r="AB5" i="39"/>
  <c r="AC9" i="39" s="1"/>
  <c r="AC10" i="39" s="1"/>
  <c r="I34" i="39"/>
  <c r="K12" i="43"/>
  <c r="T55" i="42"/>
  <c r="P55" i="42"/>
  <c r="E48" i="33"/>
  <c r="I37" i="39"/>
  <c r="J37" i="39"/>
  <c r="M40" i="33"/>
  <c r="P40" i="33" s="1"/>
  <c r="N26" i="39"/>
  <c r="AC220" i="39"/>
  <c r="AC218" i="39"/>
  <c r="AC260" i="39"/>
  <c r="AC258" i="39"/>
  <c r="G43" i="33"/>
  <c r="M34" i="33"/>
  <c r="P34" i="33" s="1"/>
  <c r="N20" i="39"/>
  <c r="I36" i="39"/>
  <c r="AC130" i="39"/>
  <c r="AC128" i="39"/>
  <c r="AC190" i="39"/>
  <c r="AC188" i="39"/>
  <c r="AC70" i="39"/>
  <c r="AC68" i="39"/>
  <c r="AC180" i="39"/>
  <c r="AC178" i="39"/>
  <c r="AC148" i="39"/>
  <c r="AC150" i="39"/>
  <c r="AC90" i="39"/>
  <c r="AC88" i="39"/>
  <c r="M30" i="33"/>
  <c r="P30" i="33" s="1"/>
  <c r="N16" i="39"/>
  <c r="V45" i="32"/>
  <c r="M42" i="33"/>
  <c r="P42" i="33" s="1"/>
  <c r="N28" i="39"/>
  <c r="AC158" i="39"/>
  <c r="AC160" i="39"/>
  <c r="AC48" i="39"/>
  <c r="AC50" i="39"/>
  <c r="AC80" i="39"/>
  <c r="AC78" i="39"/>
  <c r="AC108" i="39"/>
  <c r="AC110" i="39"/>
  <c r="AC60" i="39"/>
  <c r="AC58" i="39"/>
  <c r="AC210" i="39"/>
  <c r="AC208" i="39"/>
  <c r="AC279" i="39"/>
  <c r="AC170" i="39"/>
  <c r="AC168" i="39"/>
  <c r="AC309" i="39"/>
  <c r="AC229" i="39"/>
  <c r="AC20" i="39"/>
  <c r="AC18" i="39"/>
  <c r="AC200" i="39"/>
  <c r="AC198" i="39"/>
  <c r="G42" i="33"/>
  <c r="G27" i="33"/>
  <c r="M43" i="33"/>
  <c r="P43" i="33" s="1"/>
  <c r="N29" i="39"/>
  <c r="AC100" i="39"/>
  <c r="AC98" i="39"/>
  <c r="AC120" i="39"/>
  <c r="AC118" i="39"/>
  <c r="AC28" i="39"/>
  <c r="AC30" i="39"/>
  <c r="AC240" i="39"/>
  <c r="AC238" i="39"/>
  <c r="G37" i="33"/>
  <c r="M27" i="33"/>
  <c r="P27" i="33" s="1"/>
  <c r="N13" i="39"/>
  <c r="J36" i="39"/>
  <c r="AC288" i="39"/>
  <c r="AC290" i="39"/>
  <c r="AC300" i="39"/>
  <c r="AC298" i="39"/>
  <c r="AC250" i="39"/>
  <c r="AC248" i="39"/>
  <c r="AC270" i="39"/>
  <c r="AC268" i="39"/>
  <c r="AC40" i="39"/>
  <c r="AC38" i="39"/>
  <c r="V37" i="32"/>
  <c r="V43" i="32"/>
  <c r="V46" i="32"/>
  <c r="V27" i="32"/>
  <c r="V30" i="32"/>
  <c r="O49" i="33"/>
  <c r="O49" i="32"/>
  <c r="N49" i="32"/>
  <c r="L48" i="33"/>
  <c r="Q42" i="33"/>
  <c r="L49" i="32"/>
  <c r="N49" i="33"/>
  <c r="Q23" i="33"/>
  <c r="AF297" i="39" l="1"/>
  <c r="AF300" i="39" s="1"/>
  <c r="AD147" i="39"/>
  <c r="AD148" i="39" s="1"/>
  <c r="M18" i="32"/>
  <c r="M48" i="32" s="1"/>
  <c r="AF277" i="39"/>
  <c r="AD187" i="39"/>
  <c r="AD188" i="39" s="1"/>
  <c r="AF28" i="39"/>
  <c r="AD67" i="39"/>
  <c r="AD70" i="39" s="1"/>
  <c r="AD47" i="39"/>
  <c r="AD50" i="39" s="1"/>
  <c r="AF237" i="39"/>
  <c r="AF240" i="39" s="1"/>
  <c r="AF227" i="39"/>
  <c r="AF177" i="39"/>
  <c r="AF178" i="39" s="1"/>
  <c r="AD298" i="39"/>
  <c r="AD127" i="39"/>
  <c r="AD128" i="39" s="1"/>
  <c r="AD107" i="39"/>
  <c r="AD110" i="39" s="1"/>
  <c r="AD97" i="39"/>
  <c r="AD98" i="39" s="1"/>
  <c r="AD77" i="39"/>
  <c r="AD78" i="39" s="1"/>
  <c r="AD57" i="39"/>
  <c r="AD60" i="39" s="1"/>
  <c r="AF30" i="39"/>
  <c r="AF29" i="39" s="1"/>
  <c r="AF31" i="39" s="1"/>
  <c r="AD7" i="39"/>
  <c r="AD10" i="39" s="1"/>
  <c r="AF117" i="39"/>
  <c r="AF120" i="39" s="1"/>
  <c r="AF257" i="39"/>
  <c r="AF260" i="39" s="1"/>
  <c r="AF267" i="39"/>
  <c r="AF268" i="39" s="1"/>
  <c r="AF167" i="39"/>
  <c r="AF170" i="39" s="1"/>
  <c r="AD247" i="39"/>
  <c r="AD250" i="39" s="1"/>
  <c r="AF60" i="39"/>
  <c r="AD270" i="39"/>
  <c r="AD87" i="39"/>
  <c r="AD90" i="39" s="1"/>
  <c r="AF207" i="39"/>
  <c r="AF208" i="39" s="1"/>
  <c r="AF157" i="39"/>
  <c r="AF160" i="39" s="1"/>
  <c r="AD137" i="39"/>
  <c r="AD140" i="39" s="1"/>
  <c r="AD217" i="39"/>
  <c r="AD218" i="39" s="1"/>
  <c r="AF287" i="39"/>
  <c r="AF288" i="39" s="1"/>
  <c r="AF37" i="39"/>
  <c r="AF40" i="39" s="1"/>
  <c r="AF197" i="39"/>
  <c r="AF200" i="39" s="1"/>
  <c r="AD307" i="39"/>
  <c r="AD17" i="39"/>
  <c r="AD20" i="39" s="1"/>
  <c r="AD240" i="39"/>
  <c r="X4" i="39"/>
  <c r="Z4" i="39"/>
  <c r="K4" i="39"/>
  <c r="M4" i="39" s="1"/>
  <c r="AD210" i="39"/>
  <c r="AF148" i="39"/>
  <c r="M49" i="1"/>
  <c r="AC8" i="39"/>
  <c r="AF8" i="39" s="1"/>
  <c r="AF90" i="39"/>
  <c r="AD40" i="39"/>
  <c r="AD28" i="39"/>
  <c r="AD290" i="39"/>
  <c r="AD288" i="39"/>
  <c r="AD200" i="39"/>
  <c r="AD258" i="39"/>
  <c r="K12" i="44"/>
  <c r="T55" i="43"/>
  <c r="P55" i="43"/>
  <c r="N4" i="39"/>
  <c r="AD238" i="39"/>
  <c r="AD208" i="39"/>
  <c r="AF248" i="39"/>
  <c r="AF98" i="39"/>
  <c r="AD268" i="39"/>
  <c r="AF88" i="39"/>
  <c r="AD300" i="39"/>
  <c r="AD38" i="39"/>
  <c r="AD30" i="39"/>
  <c r="AF250" i="39"/>
  <c r="AF100" i="39"/>
  <c r="AF58" i="39"/>
  <c r="AD198" i="39"/>
  <c r="AF68" i="39"/>
  <c r="G34" i="33"/>
  <c r="M29" i="33"/>
  <c r="P29" i="33" s="1"/>
  <c r="N15" i="39"/>
  <c r="AD170" i="39"/>
  <c r="AD168" i="39"/>
  <c r="AF78" i="39"/>
  <c r="AF80" i="39"/>
  <c r="AF110" i="39"/>
  <c r="AF108" i="39"/>
  <c r="AF128" i="39"/>
  <c r="AF130" i="39"/>
  <c r="G46" i="33"/>
  <c r="G47" i="33"/>
  <c r="G33" i="33"/>
  <c r="G39" i="33"/>
  <c r="G36" i="33"/>
  <c r="V24" i="32"/>
  <c r="M24" i="33"/>
  <c r="P24" i="33" s="1"/>
  <c r="N10" i="39"/>
  <c r="M19" i="33"/>
  <c r="P19" i="33" s="1"/>
  <c r="N5" i="39"/>
  <c r="M45" i="33"/>
  <c r="P45" i="33" s="1"/>
  <c r="N31" i="39"/>
  <c r="V28" i="32"/>
  <c r="M28" i="33"/>
  <c r="P28" i="33" s="1"/>
  <c r="N14" i="39"/>
  <c r="Q39" i="33"/>
  <c r="M39" i="33"/>
  <c r="P39" i="33" s="1"/>
  <c r="N25" i="39"/>
  <c r="M23" i="33"/>
  <c r="P23" i="33" s="1"/>
  <c r="N9" i="39"/>
  <c r="AD120" i="39"/>
  <c r="AD118" i="39"/>
  <c r="AF50" i="39"/>
  <c r="AF48" i="39"/>
  <c r="AF188" i="39"/>
  <c r="AD260" i="39"/>
  <c r="AF218" i="39"/>
  <c r="V36" i="32"/>
  <c r="M33" i="33"/>
  <c r="P33" i="33" s="1"/>
  <c r="N19" i="39"/>
  <c r="G44" i="33"/>
  <c r="G25" i="33"/>
  <c r="V38" i="32"/>
  <c r="M35" i="33"/>
  <c r="P35" i="33" s="1"/>
  <c r="N21" i="39"/>
  <c r="AD158" i="39"/>
  <c r="AD160" i="39"/>
  <c r="AC230" i="39"/>
  <c r="AD230" i="39" s="1"/>
  <c r="AC228" i="39"/>
  <c r="AD228" i="39" s="1"/>
  <c r="AC278" i="39"/>
  <c r="AD278" i="39" s="1"/>
  <c r="AC280" i="39"/>
  <c r="AD280" i="39" s="1"/>
  <c r="AF190" i="39"/>
  <c r="AF18" i="39"/>
  <c r="AF20" i="39"/>
  <c r="AF220" i="39"/>
  <c r="G26" i="33"/>
  <c r="G28" i="33"/>
  <c r="V44" i="32"/>
  <c r="M41" i="33"/>
  <c r="P41" i="33" s="1"/>
  <c r="N27" i="39"/>
  <c r="M21" i="33"/>
  <c r="P21" i="33" s="1"/>
  <c r="N7" i="39"/>
  <c r="M38" i="33"/>
  <c r="P38" i="33" s="1"/>
  <c r="N24" i="39"/>
  <c r="V25" i="32"/>
  <c r="M25" i="33"/>
  <c r="P25" i="33" s="1"/>
  <c r="N11" i="39"/>
  <c r="AC310" i="39"/>
  <c r="AC308" i="39"/>
  <c r="AF308" i="39" s="1"/>
  <c r="G20" i="33"/>
  <c r="G40" i="33"/>
  <c r="G21" i="33"/>
  <c r="G31" i="33"/>
  <c r="V39" i="32"/>
  <c r="M36" i="33"/>
  <c r="P36" i="33" s="1"/>
  <c r="N22" i="39"/>
  <c r="V20" i="32"/>
  <c r="M20" i="33"/>
  <c r="P20" i="33" s="1"/>
  <c r="N6" i="39"/>
  <c r="V47" i="32"/>
  <c r="M44" i="33"/>
  <c r="P44" i="33" s="1"/>
  <c r="N30" i="39"/>
  <c r="M46" i="33"/>
  <c r="P46" i="33" s="1"/>
  <c r="N32" i="39"/>
  <c r="M47" i="33"/>
  <c r="P47" i="33" s="1"/>
  <c r="N33" i="39"/>
  <c r="Q25" i="33"/>
  <c r="G45" i="33"/>
  <c r="G22" i="33"/>
  <c r="M26" i="33"/>
  <c r="P26" i="33" s="1"/>
  <c r="N12" i="39"/>
  <c r="G29" i="33"/>
  <c r="M22" i="33"/>
  <c r="P22" i="33" s="1"/>
  <c r="N8" i="39"/>
  <c r="M37" i="33"/>
  <c r="P37" i="33" s="1"/>
  <c r="N23" i="39"/>
  <c r="M32" i="33"/>
  <c r="P32" i="33" s="1"/>
  <c r="N18" i="39"/>
  <c r="V31" i="32"/>
  <c r="M31" i="33"/>
  <c r="P31" i="33" s="1"/>
  <c r="N17" i="39"/>
  <c r="G32" i="33"/>
  <c r="AF140" i="39"/>
  <c r="AF138" i="39"/>
  <c r="AF150" i="39"/>
  <c r="AF70" i="39"/>
  <c r="AD178" i="39"/>
  <c r="AD180" i="39"/>
  <c r="AF10" i="39"/>
  <c r="Q24" i="33"/>
  <c r="Q41" i="33"/>
  <c r="V29" i="32"/>
  <c r="V48" i="32"/>
  <c r="Q38" i="33"/>
  <c r="V41" i="32"/>
  <c r="V50" i="32"/>
  <c r="Q19" i="33"/>
  <c r="V19" i="32"/>
  <c r="V22" i="32"/>
  <c r="V21" i="32"/>
  <c r="V42" i="32"/>
  <c r="Q36" i="33"/>
  <c r="Q26" i="33"/>
  <c r="V26" i="32"/>
  <c r="V40" i="32"/>
  <c r="V23" i="32"/>
  <c r="Q32" i="33"/>
  <c r="V32" i="32"/>
  <c r="V49" i="32"/>
  <c r="Q28" i="33"/>
  <c r="Q47" i="33"/>
  <c r="Q37" i="33"/>
  <c r="Q33" i="33"/>
  <c r="Q29" i="33"/>
  <c r="Q21" i="33"/>
  <c r="Q27" i="33"/>
  <c r="Q30" i="33"/>
  <c r="Q22" i="33"/>
  <c r="Q20" i="33"/>
  <c r="Q31" i="33"/>
  <c r="Q46" i="33"/>
  <c r="Q44" i="33"/>
  <c r="Q45" i="33"/>
  <c r="Q34" i="33"/>
  <c r="Q40" i="33"/>
  <c r="Q35" i="33"/>
  <c r="Q43" i="33"/>
  <c r="AD310" i="39" l="1"/>
  <c r="AD190" i="39"/>
  <c r="AD189" i="39" s="1"/>
  <c r="AD191" i="39" s="1"/>
  <c r="AD130" i="39"/>
  <c r="AE130" i="39" s="1"/>
  <c r="M49" i="32"/>
  <c r="Q18" i="32"/>
  <c r="Q18" i="33" s="1"/>
  <c r="Q48" i="33" s="1"/>
  <c r="M18" i="33"/>
  <c r="P18" i="33" s="1"/>
  <c r="P48" i="33" s="1"/>
  <c r="P18" i="32"/>
  <c r="I3" i="70" s="1"/>
  <c r="V18" i="32"/>
  <c r="AF238" i="39"/>
  <c r="AF239" i="39" s="1"/>
  <c r="AF241" i="39" s="1"/>
  <c r="AD150" i="39"/>
  <c r="AD149" i="39" s="1"/>
  <c r="AD151" i="39" s="1"/>
  <c r="AD18" i="39"/>
  <c r="AE18" i="39" s="1"/>
  <c r="AF298" i="39"/>
  <c r="AE298" i="39" s="1"/>
  <c r="AD299" i="39"/>
  <c r="AD301" i="39" s="1"/>
  <c r="AD220" i="39"/>
  <c r="AD219" i="39" s="1"/>
  <c r="AD221" i="39" s="1"/>
  <c r="AF180" i="39"/>
  <c r="AF179" i="39" s="1"/>
  <c r="AF181" i="39" s="1"/>
  <c r="AD68" i="39"/>
  <c r="AE68" i="39" s="1"/>
  <c r="AF198" i="39"/>
  <c r="AE198" i="39" s="1"/>
  <c r="AD108" i="39"/>
  <c r="AD109" i="39" s="1"/>
  <c r="AD111" i="39" s="1"/>
  <c r="AE28" i="39"/>
  <c r="AD80" i="39"/>
  <c r="AD79" i="39" s="1"/>
  <c r="AD81" i="39" s="1"/>
  <c r="M34" i="39"/>
  <c r="M35" i="39"/>
  <c r="M3" i="39"/>
  <c r="AD88" i="39"/>
  <c r="AD89" i="39" s="1"/>
  <c r="AD91" i="39" s="1"/>
  <c r="AD48" i="39"/>
  <c r="AD49" i="39" s="1"/>
  <c r="AF38" i="39"/>
  <c r="AF39" i="39" s="1"/>
  <c r="AF41" i="39" s="1"/>
  <c r="AF258" i="39"/>
  <c r="AE258" i="39" s="1"/>
  <c r="AD248" i="39"/>
  <c r="AD249" i="39" s="1"/>
  <c r="AD251" i="39" s="1"/>
  <c r="AE250" i="39"/>
  <c r="AE240" i="39"/>
  <c r="AD239" i="39"/>
  <c r="AD241" i="39" s="1"/>
  <c r="AF158" i="39"/>
  <c r="AF159" i="39" s="1"/>
  <c r="AF161" i="39" s="1"/>
  <c r="AF168" i="39"/>
  <c r="AE168" i="39" s="1"/>
  <c r="AF210" i="39"/>
  <c r="AF209" i="39" s="1"/>
  <c r="AF211" i="39" s="1"/>
  <c r="AD269" i="39"/>
  <c r="AD271" i="39" s="1"/>
  <c r="AD100" i="39"/>
  <c r="AE100" i="39" s="1"/>
  <c r="AD138" i="39"/>
  <c r="AE138" i="39" s="1"/>
  <c r="AF118" i="39"/>
  <c r="AE118" i="39" s="1"/>
  <c r="AE98" i="39"/>
  <c r="AD58" i="39"/>
  <c r="AD59" i="39" s="1"/>
  <c r="AE300" i="39"/>
  <c r="AE288" i="39"/>
  <c r="AF290" i="39"/>
  <c r="AF289" i="39" s="1"/>
  <c r="AF291" i="39" s="1"/>
  <c r="AD199" i="39"/>
  <c r="AD201" i="39" s="1"/>
  <c r="AF270" i="39"/>
  <c r="AE270" i="39" s="1"/>
  <c r="AE60" i="39"/>
  <c r="AF59" i="39"/>
  <c r="AF61" i="39" s="1"/>
  <c r="AD8" i="39"/>
  <c r="AE8" i="39" s="1"/>
  <c r="AD209" i="39"/>
  <c r="AD211" i="39" s="1"/>
  <c r="AF149" i="39"/>
  <c r="AF151" i="39" s="1"/>
  <c r="AF89" i="39"/>
  <c r="AF91" i="39" s="1"/>
  <c r="Z37" i="39"/>
  <c r="Z34" i="39"/>
  <c r="Z35" i="39"/>
  <c r="Z36" i="39"/>
  <c r="X35" i="39"/>
  <c r="X34" i="39"/>
  <c r="X37" i="39"/>
  <c r="X36" i="39"/>
  <c r="U37" i="39"/>
  <c r="U36" i="39"/>
  <c r="U34" i="39"/>
  <c r="U35" i="39"/>
  <c r="V35" i="39"/>
  <c r="V36" i="39"/>
  <c r="V37" i="39"/>
  <c r="V34" i="39"/>
  <c r="AE90" i="39"/>
  <c r="Q40" i="1"/>
  <c r="G18" i="32"/>
  <c r="G18" i="33" s="1"/>
  <c r="AE238" i="39"/>
  <c r="AE178" i="39"/>
  <c r="AD39" i="39"/>
  <c r="AD41" i="39" s="1"/>
  <c r="AE40" i="39"/>
  <c r="AD289" i="39"/>
  <c r="AD291" i="39" s="1"/>
  <c r="AD259" i="39"/>
  <c r="AD261" i="39" s="1"/>
  <c r="AD129" i="39"/>
  <c r="AD131" i="39" s="1"/>
  <c r="AE110" i="39"/>
  <c r="AD29" i="39"/>
  <c r="AD31" i="39" s="1"/>
  <c r="AF230" i="39"/>
  <c r="AE230" i="39" s="1"/>
  <c r="N34" i="39"/>
  <c r="N35" i="39"/>
  <c r="AE160" i="39"/>
  <c r="AF228" i="39"/>
  <c r="AE228" i="39" s="1"/>
  <c r="AE78" i="39"/>
  <c r="AE30" i="39"/>
  <c r="AE208" i="39"/>
  <c r="AF219" i="39"/>
  <c r="AF221" i="39" s="1"/>
  <c r="K12" i="45"/>
  <c r="T55" i="44"/>
  <c r="P55" i="44"/>
  <c r="AD308" i="39"/>
  <c r="AE308" i="39" s="1"/>
  <c r="AF280" i="39"/>
  <c r="AE280" i="39" s="1"/>
  <c r="AF129" i="39"/>
  <c r="AF131" i="39" s="1"/>
  <c r="AF310" i="39"/>
  <c r="AE310" i="39" s="1"/>
  <c r="AF278" i="39"/>
  <c r="AE278" i="39" s="1"/>
  <c r="AF99" i="39"/>
  <c r="AF101" i="39" s="1"/>
  <c r="AF19" i="39"/>
  <c r="AF21" i="39" s="1"/>
  <c r="AD169" i="39"/>
  <c r="AD171" i="39" s="1"/>
  <c r="AE70" i="39"/>
  <c r="AF249" i="39"/>
  <c r="AF251" i="39" s="1"/>
  <c r="AE128" i="39"/>
  <c r="AE218" i="39"/>
  <c r="AE170" i="39"/>
  <c r="AE260" i="39"/>
  <c r="AF109" i="39"/>
  <c r="AF111" i="39" s="1"/>
  <c r="AF79" i="39"/>
  <c r="AF81" i="39" s="1"/>
  <c r="AE188" i="39"/>
  <c r="AE268" i="39"/>
  <c r="N36" i="39"/>
  <c r="AD159" i="39"/>
  <c r="AD161" i="39" s="1"/>
  <c r="AF69" i="39"/>
  <c r="AF71" i="39" s="1"/>
  <c r="AE50" i="39"/>
  <c r="AE120" i="39"/>
  <c r="AD229" i="39"/>
  <c r="AD119" i="39"/>
  <c r="G38" i="33"/>
  <c r="N37" i="39"/>
  <c r="AE20" i="39"/>
  <c r="AD179" i="39"/>
  <c r="AF49" i="39"/>
  <c r="AF51" i="39" s="1"/>
  <c r="AF189" i="39"/>
  <c r="AE200" i="39"/>
  <c r="AD279" i="39"/>
  <c r="AE148" i="39"/>
  <c r="G24" i="33"/>
  <c r="G35" i="33"/>
  <c r="G23" i="33"/>
  <c r="G19" i="33"/>
  <c r="G30" i="33"/>
  <c r="G41" i="33"/>
  <c r="AE140" i="39"/>
  <c r="AF139" i="39"/>
  <c r="AF141" i="39" s="1"/>
  <c r="AE10" i="39"/>
  <c r="AF9" i="39"/>
  <c r="AF11" i="39" s="1"/>
  <c r="AD19" i="39" l="1"/>
  <c r="AE19" i="39" s="1"/>
  <c r="AE21" i="39" s="1"/>
  <c r="AE150" i="39"/>
  <c r="AD139" i="39"/>
  <c r="AD141" i="39" s="1"/>
  <c r="M48" i="33"/>
  <c r="M49" i="33"/>
  <c r="AE220" i="39"/>
  <c r="AE190" i="39"/>
  <c r="Q48" i="32"/>
  <c r="P48" i="32"/>
  <c r="F3" i="70" s="1"/>
  <c r="AE248" i="39"/>
  <c r="AD99" i="39"/>
  <c r="AD101" i="39" s="1"/>
  <c r="AE80" i="39"/>
  <c r="AF299" i="39"/>
  <c r="AF301" i="39" s="1"/>
  <c r="AE48" i="39"/>
  <c r="AD9" i="39"/>
  <c r="AD11" i="39" s="1"/>
  <c r="AE290" i="39"/>
  <c r="AF199" i="39"/>
  <c r="AF201" i="39" s="1"/>
  <c r="AE180" i="39"/>
  <c r="AE108" i="39"/>
  <c r="AD69" i="39"/>
  <c r="AE69" i="39" s="1"/>
  <c r="AE71" i="39" s="1"/>
  <c r="AE38" i="39"/>
  <c r="AE88" i="39"/>
  <c r="AE59" i="39"/>
  <c r="AE58" i="39"/>
  <c r="AF269" i="39"/>
  <c r="AF271" i="39" s="1"/>
  <c r="AF259" i="39"/>
  <c r="AF261" i="39" s="1"/>
  <c r="AE210" i="39"/>
  <c r="AF169" i="39"/>
  <c r="AF171" i="39" s="1"/>
  <c r="AE158" i="39"/>
  <c r="AF119" i="39"/>
  <c r="AF121" i="39" s="1"/>
  <c r="G48" i="32"/>
  <c r="G49" i="32"/>
  <c r="G17" i="32"/>
  <c r="BS17" i="32" s="1"/>
  <c r="T34" i="39"/>
  <c r="T36" i="39"/>
  <c r="T37" i="39"/>
  <c r="AE299" i="39"/>
  <c r="AE301" i="39" s="1"/>
  <c r="AD295" i="39" s="1"/>
  <c r="Q33" i="39" s="1"/>
  <c r="P33" i="39" s="1"/>
  <c r="I47" i="32" s="1"/>
  <c r="H47" i="32" s="1"/>
  <c r="AE149" i="39"/>
  <c r="AE151" i="39" s="1"/>
  <c r="AD145" i="39" s="1"/>
  <c r="Q18" i="39" s="1"/>
  <c r="P18" i="39" s="1"/>
  <c r="I32" i="32" s="1"/>
  <c r="H32" i="32" s="1"/>
  <c r="AD61" i="39"/>
  <c r="AD309" i="39"/>
  <c r="AD311" i="39" s="1"/>
  <c r="AE29" i="39"/>
  <c r="AE31" i="39" s="1"/>
  <c r="AD25" i="39" s="1"/>
  <c r="Q6" i="39" s="1"/>
  <c r="P6" i="39" s="1"/>
  <c r="I20" i="32" s="1"/>
  <c r="H20" i="32" s="1"/>
  <c r="AE209" i="39"/>
  <c r="AE79" i="39"/>
  <c r="AE39" i="39"/>
  <c r="AF229" i="39"/>
  <c r="AF231" i="39" s="1"/>
  <c r="AE239" i="39"/>
  <c r="AE241" i="39" s="1"/>
  <c r="AD235" i="39" s="1"/>
  <c r="Q27" i="39" s="1"/>
  <c r="P27" i="39" s="1"/>
  <c r="O27" i="39" s="1"/>
  <c r="AE129" i="39"/>
  <c r="AE131" i="39" s="1"/>
  <c r="AD125" i="39" s="1"/>
  <c r="Q16" i="39" s="1"/>
  <c r="P16" i="39" s="1"/>
  <c r="O16" i="39" s="1"/>
  <c r="K35" i="39"/>
  <c r="K34" i="39"/>
  <c r="E3" i="70" s="1"/>
  <c r="AE89" i="39"/>
  <c r="AF279" i="39"/>
  <c r="AF281" i="39" s="1"/>
  <c r="K12" i="46"/>
  <c r="T55" i="45"/>
  <c r="P55" i="45"/>
  <c r="AF309" i="39"/>
  <c r="AF311" i="39" s="1"/>
  <c r="AE249" i="39"/>
  <c r="AE219" i="39"/>
  <c r="AE109" i="39"/>
  <c r="AE159" i="39"/>
  <c r="G49" i="33"/>
  <c r="G48" i="33"/>
  <c r="AD181" i="39"/>
  <c r="AE179" i="39"/>
  <c r="AD231" i="39"/>
  <c r="AD51" i="39"/>
  <c r="AE49" i="39"/>
  <c r="AE289" i="39"/>
  <c r="K37" i="39"/>
  <c r="K36" i="39"/>
  <c r="D3" i="70" s="1"/>
  <c r="K3" i="39"/>
  <c r="AF191" i="39"/>
  <c r="AE189" i="39"/>
  <c r="AD121" i="39"/>
  <c r="AD281" i="39"/>
  <c r="M37" i="39"/>
  <c r="M36" i="39"/>
  <c r="AE111" i="39" l="1"/>
  <c r="AD105" i="39" s="1"/>
  <c r="Q14" i="39" s="1"/>
  <c r="P14" i="39" s="1"/>
  <c r="I28" i="32" s="1"/>
  <c r="H28" i="32" s="1"/>
  <c r="AE221" i="39"/>
  <c r="AD215" i="39" s="1"/>
  <c r="Q25" i="39" s="1"/>
  <c r="P25" i="39" s="1"/>
  <c r="I39" i="32" s="1"/>
  <c r="H39" i="32" s="1"/>
  <c r="AE211" i="39"/>
  <c r="AD205" i="39" s="1"/>
  <c r="Q24" i="39" s="1"/>
  <c r="P24" i="39" s="1"/>
  <c r="O24" i="39" s="1"/>
  <c r="AE81" i="39"/>
  <c r="AD75" i="39" s="1"/>
  <c r="Q11" i="39" s="1"/>
  <c r="P11" i="39" s="1"/>
  <c r="I25" i="32" s="1"/>
  <c r="H25" i="32" s="1"/>
  <c r="AE41" i="39"/>
  <c r="AD35" i="39" s="1"/>
  <c r="Q7" i="39" s="1"/>
  <c r="P7" i="39" s="1"/>
  <c r="I21" i="32" s="1"/>
  <c r="H21" i="32" s="1"/>
  <c r="AD21" i="39"/>
  <c r="AD15" i="39" s="1"/>
  <c r="Q5" i="39" s="1"/>
  <c r="P5" i="39" s="1"/>
  <c r="I19" i="32" s="1"/>
  <c r="H19" i="32" s="1"/>
  <c r="AE291" i="39"/>
  <c r="AD285" i="39" s="1"/>
  <c r="Q32" i="39" s="1"/>
  <c r="P32" i="39" s="1"/>
  <c r="I46" i="32" s="1"/>
  <c r="H46" i="32" s="1"/>
  <c r="AE191" i="39"/>
  <c r="AD185" i="39" s="1"/>
  <c r="Q22" i="39" s="1"/>
  <c r="P22" i="39" s="1"/>
  <c r="I36" i="32" s="1"/>
  <c r="H36" i="32" s="1"/>
  <c r="AE139" i="39"/>
  <c r="AE141" i="39" s="1"/>
  <c r="AD135" i="39" s="1"/>
  <c r="Q17" i="39" s="1"/>
  <c r="P17" i="39" s="1"/>
  <c r="I31" i="32" s="1"/>
  <c r="H31" i="32" s="1"/>
  <c r="AE251" i="39"/>
  <c r="AD245" i="39" s="1"/>
  <c r="Q28" i="39" s="1"/>
  <c r="P28" i="39" s="1"/>
  <c r="I42" i="32" s="1"/>
  <c r="H42" i="32" s="1"/>
  <c r="AE181" i="39"/>
  <c r="AD175" i="39" s="1"/>
  <c r="Q21" i="39" s="1"/>
  <c r="P21" i="39" s="1"/>
  <c r="I35" i="32" s="1"/>
  <c r="H35" i="32" s="1"/>
  <c r="AE99" i="39"/>
  <c r="AE101" i="39" s="1"/>
  <c r="AD95" i="39" s="1"/>
  <c r="Q13" i="39" s="1"/>
  <c r="P13" i="39" s="1"/>
  <c r="I27" i="32" s="1"/>
  <c r="H27" i="32" s="1"/>
  <c r="AE91" i="39"/>
  <c r="AD85" i="39" s="1"/>
  <c r="Q12" i="39" s="1"/>
  <c r="P12" i="39" s="1"/>
  <c r="I26" i="32" s="1"/>
  <c r="H26" i="32" s="1"/>
  <c r="AE161" i="39"/>
  <c r="AD155" i="39" s="1"/>
  <c r="Q19" i="39" s="1"/>
  <c r="P19" i="39" s="1"/>
  <c r="I33" i="32" s="1"/>
  <c r="H33" i="32" s="1"/>
  <c r="AE119" i="39"/>
  <c r="AE121" i="39" s="1"/>
  <c r="AD115" i="39" s="1"/>
  <c r="Q15" i="39" s="1"/>
  <c r="P15" i="39" s="1"/>
  <c r="I29" i="32" s="1"/>
  <c r="H29" i="32" s="1"/>
  <c r="AD71" i="39"/>
  <c r="AD65" i="39" s="1"/>
  <c r="Q10" i="39" s="1"/>
  <c r="P10" i="39" s="1"/>
  <c r="AE51" i="39"/>
  <c r="AD45" i="39" s="1"/>
  <c r="Q8" i="39" s="1"/>
  <c r="P8" i="39" s="1"/>
  <c r="I22" i="32" s="1"/>
  <c r="H22" i="32" s="1"/>
  <c r="AE9" i="39"/>
  <c r="AE11" i="39" s="1"/>
  <c r="AD5" i="39" s="1"/>
  <c r="Q4" i="39" s="1"/>
  <c r="P4" i="39" s="1"/>
  <c r="AE259" i="39"/>
  <c r="AE261" i="39" s="1"/>
  <c r="AD255" i="39" s="1"/>
  <c r="Q29" i="39" s="1"/>
  <c r="P29" i="39" s="1"/>
  <c r="I43" i="32" s="1"/>
  <c r="H43" i="32" s="1"/>
  <c r="AE199" i="39"/>
  <c r="AE201" i="39" s="1"/>
  <c r="AD195" i="39" s="1"/>
  <c r="Q23" i="39" s="1"/>
  <c r="P23" i="39" s="1"/>
  <c r="I37" i="32" s="1"/>
  <c r="H37" i="32" s="1"/>
  <c r="AE61" i="39"/>
  <c r="AD55" i="39" s="1"/>
  <c r="Q9" i="39" s="1"/>
  <c r="P9" i="39" s="1"/>
  <c r="O9" i="39" s="1"/>
  <c r="AE269" i="39"/>
  <c r="AE271" i="39" s="1"/>
  <c r="AD265" i="39" s="1"/>
  <c r="Q30" i="39" s="1"/>
  <c r="P30" i="39" s="1"/>
  <c r="I44" i="32" s="1"/>
  <c r="H44" i="32" s="1"/>
  <c r="BT17" i="32"/>
  <c r="I47" i="33"/>
  <c r="H47" i="33" s="1"/>
  <c r="O33" i="39"/>
  <c r="AE169" i="39"/>
  <c r="AE171" i="39" s="1"/>
  <c r="AD165" i="39" s="1"/>
  <c r="Q20" i="39" s="1"/>
  <c r="P20" i="39" s="1"/>
  <c r="I34" i="32" s="1"/>
  <c r="H34" i="32" s="1"/>
  <c r="Q15" i="40"/>
  <c r="N49" i="40" s="1"/>
  <c r="Q15" i="53"/>
  <c r="N49" i="53" s="1"/>
  <c r="Q15" i="61"/>
  <c r="N49" i="61" s="1"/>
  <c r="Q15" i="44"/>
  <c r="N51" i="44" s="1"/>
  <c r="Q15" i="49"/>
  <c r="N49" i="49" s="1"/>
  <c r="Q15" i="57"/>
  <c r="N49" i="57" s="1"/>
  <c r="Q15" i="65"/>
  <c r="N51" i="65" s="1"/>
  <c r="Q15" i="1"/>
  <c r="N51" i="1" s="1"/>
  <c r="Q15" i="42"/>
  <c r="N49" i="42" s="1"/>
  <c r="Q15" i="46"/>
  <c r="N49" i="46" s="1"/>
  <c r="Q15" i="47"/>
  <c r="N49" i="47" s="1"/>
  <c r="Q15" i="51"/>
  <c r="N51" i="51" s="1"/>
  <c r="Q15" i="55"/>
  <c r="N49" i="55" s="1"/>
  <c r="Q15" i="59"/>
  <c r="N51" i="59" s="1"/>
  <c r="Q15" i="63"/>
  <c r="N49" i="63" s="1"/>
  <c r="Q15" i="67"/>
  <c r="N49" i="67" s="1"/>
  <c r="G17" i="33"/>
  <c r="Q15" i="41"/>
  <c r="N51" i="41" s="1"/>
  <c r="Q15" i="43"/>
  <c r="N49" i="43" s="1"/>
  <c r="Q15" i="45"/>
  <c r="N51" i="45" s="1"/>
  <c r="Q15" i="48"/>
  <c r="N49" i="48" s="1"/>
  <c r="Q15" i="50"/>
  <c r="N51" i="50" s="1"/>
  <c r="Q15" i="52"/>
  <c r="N49" i="52" s="1"/>
  <c r="Q15" i="54"/>
  <c r="N51" i="54" s="1"/>
  <c r="Q15" i="56"/>
  <c r="N49" i="56" s="1"/>
  <c r="Q15" i="58"/>
  <c r="N51" i="58" s="1"/>
  <c r="Q15" i="60"/>
  <c r="N49" i="60" s="1"/>
  <c r="Q15" i="62"/>
  <c r="N51" i="62" s="1"/>
  <c r="Q15" i="64"/>
  <c r="N49" i="64" s="1"/>
  <c r="Q15" i="66"/>
  <c r="N51" i="66" s="1"/>
  <c r="Q15" i="68"/>
  <c r="N49" i="68" s="1"/>
  <c r="BR17" i="32"/>
  <c r="AE309" i="39"/>
  <c r="AE311" i="39" s="1"/>
  <c r="AD305" i="39" s="1"/>
  <c r="AE229" i="39"/>
  <c r="AE231" i="39" s="1"/>
  <c r="AD225" i="39" s="1"/>
  <c r="Q26" i="39" s="1"/>
  <c r="I20" i="33"/>
  <c r="H20" i="33" s="1"/>
  <c r="O6" i="39"/>
  <c r="AE279" i="39"/>
  <c r="AE281" i="39" s="1"/>
  <c r="AD275" i="39" s="1"/>
  <c r="Q31" i="39" s="1"/>
  <c r="P31" i="39" s="1"/>
  <c r="K12" i="47"/>
  <c r="T55" i="46"/>
  <c r="P55" i="46"/>
  <c r="I41" i="32"/>
  <c r="H41" i="32" s="1"/>
  <c r="I30" i="32"/>
  <c r="H30" i="32" s="1"/>
  <c r="O22" i="39"/>
  <c r="O18" i="39"/>
  <c r="O14" i="39" l="1"/>
  <c r="O11" i="39"/>
  <c r="O25" i="39"/>
  <c r="I38" i="32"/>
  <c r="H38" i="32" s="1"/>
  <c r="O17" i="39"/>
  <c r="I25" i="33"/>
  <c r="H25" i="33" s="1"/>
  <c r="O7" i="39"/>
  <c r="O13" i="39"/>
  <c r="O32" i="39"/>
  <c r="O29" i="39"/>
  <c r="I42" i="33"/>
  <c r="H42" i="33" s="1"/>
  <c r="O28" i="39"/>
  <c r="I35" i="33"/>
  <c r="H35" i="33" s="1"/>
  <c r="O21" i="39"/>
  <c r="I27" i="33"/>
  <c r="H27" i="33" s="1"/>
  <c r="N51" i="49"/>
  <c r="I24" i="32"/>
  <c r="O10" i="39"/>
  <c r="I23" i="32"/>
  <c r="H23" i="32" s="1"/>
  <c r="I26" i="33"/>
  <c r="H26" i="33" s="1"/>
  <c r="O12" i="39"/>
  <c r="O19" i="39"/>
  <c r="I33" i="33"/>
  <c r="H33" i="33" s="1"/>
  <c r="O15" i="39"/>
  <c r="O8" i="39"/>
  <c r="O30" i="39"/>
  <c r="I43" i="33"/>
  <c r="H43" i="33" s="1"/>
  <c r="O23" i="39"/>
  <c r="I19" i="33"/>
  <c r="H19" i="33" s="1"/>
  <c r="O5" i="39"/>
  <c r="N49" i="65"/>
  <c r="N51" i="61"/>
  <c r="N51" i="40"/>
  <c r="N51" i="53"/>
  <c r="O20" i="39"/>
  <c r="I34" i="33"/>
  <c r="H34" i="33" s="1"/>
  <c r="N49" i="59"/>
  <c r="N51" i="46"/>
  <c r="N49" i="44"/>
  <c r="N49" i="1"/>
  <c r="N51" i="57"/>
  <c r="N51" i="67"/>
  <c r="N49" i="51"/>
  <c r="N51" i="60"/>
  <c r="N51" i="63"/>
  <c r="N51" i="43"/>
  <c r="N51" i="68"/>
  <c r="N51" i="52"/>
  <c r="N51" i="47"/>
  <c r="N51" i="64"/>
  <c r="N51" i="56"/>
  <c r="N51" i="48"/>
  <c r="N51" i="55"/>
  <c r="N51" i="42"/>
  <c r="N49" i="62"/>
  <c r="N49" i="45"/>
  <c r="N49" i="54"/>
  <c r="N49" i="41"/>
  <c r="N49" i="58"/>
  <c r="N49" i="50"/>
  <c r="N49" i="66"/>
  <c r="I44" i="33"/>
  <c r="H44" i="33" s="1"/>
  <c r="Q35" i="39"/>
  <c r="Q34" i="39"/>
  <c r="K12" i="48"/>
  <c r="T55" i="47"/>
  <c r="P55" i="47"/>
  <c r="I30" i="33"/>
  <c r="H30" i="33" s="1"/>
  <c r="I41" i="33"/>
  <c r="H41" i="33" s="1"/>
  <c r="I45" i="32"/>
  <c r="H45" i="32" s="1"/>
  <c r="O31" i="39"/>
  <c r="P26" i="39"/>
  <c r="P35" i="39" s="1"/>
  <c r="Q36" i="39"/>
  <c r="Q37" i="39"/>
  <c r="I39" i="33"/>
  <c r="H39" i="33" s="1"/>
  <c r="I32" i="33"/>
  <c r="H32" i="33" s="1"/>
  <c r="I36" i="33"/>
  <c r="H36" i="33" s="1"/>
  <c r="I46" i="33"/>
  <c r="H46" i="33" s="1"/>
  <c r="I21" i="33"/>
  <c r="H21" i="33" s="1"/>
  <c r="I28" i="33"/>
  <c r="H28" i="33" s="1"/>
  <c r="I22" i="33"/>
  <c r="H22" i="33" s="1"/>
  <c r="I31" i="33"/>
  <c r="H31" i="33" s="1"/>
  <c r="I37" i="33"/>
  <c r="H37" i="33" s="1"/>
  <c r="I29" i="33"/>
  <c r="H29" i="33" s="1"/>
  <c r="I18" i="32"/>
  <c r="O4" i="39"/>
  <c r="I38" i="33" l="1"/>
  <c r="H38" i="33" s="1"/>
  <c r="H24" i="32"/>
  <c r="I24" i="33"/>
  <c r="H24" i="33" s="1"/>
  <c r="I23" i="33"/>
  <c r="H23" i="33" s="1"/>
  <c r="I18" i="33"/>
  <c r="H18" i="33" s="1"/>
  <c r="P3" i="39"/>
  <c r="P36" i="39"/>
  <c r="P37" i="39"/>
  <c r="P34" i="39"/>
  <c r="K12" i="49"/>
  <c r="T55" i="48"/>
  <c r="P55" i="48"/>
  <c r="I45" i="33"/>
  <c r="H45" i="33" s="1"/>
  <c r="I40" i="32"/>
  <c r="H40" i="32" s="1"/>
  <c r="O26" i="39"/>
  <c r="H18" i="32"/>
  <c r="H48" i="32" l="1"/>
  <c r="I48" i="32"/>
  <c r="O34" i="39"/>
  <c r="O37" i="39"/>
  <c r="K10" i="36" s="1"/>
  <c r="I17" i="32"/>
  <c r="I17" i="33" s="1"/>
  <c r="K12" i="50"/>
  <c r="P55" i="49"/>
  <c r="T55" i="49"/>
  <c r="O36" i="39"/>
  <c r="I40" i="33"/>
  <c r="BS35" i="32"/>
  <c r="L10" i="36" l="1"/>
  <c r="H3" i="70"/>
  <c r="J10" i="36"/>
  <c r="G3" i="70"/>
  <c r="BT35" i="32"/>
  <c r="BR35" i="32"/>
  <c r="K12" i="51"/>
  <c r="T55" i="50"/>
  <c r="P55" i="50"/>
  <c r="H40" i="33"/>
  <c r="H48" i="33" s="1"/>
  <c r="I48" i="33"/>
  <c r="E3" i="37"/>
  <c r="E2" i="34"/>
  <c r="R11" i="33"/>
  <c r="K12" i="52" l="1"/>
  <c r="T55" i="51"/>
  <c r="P55" i="51"/>
  <c r="K12" i="53" l="1"/>
  <c r="T55" i="52"/>
  <c r="P55" i="52"/>
  <c r="K12" i="54" l="1"/>
  <c r="P55" i="53"/>
  <c r="T55" i="53"/>
  <c r="K12" i="55" l="1"/>
  <c r="T55" i="54"/>
  <c r="P55" i="54"/>
  <c r="K12" i="56" l="1"/>
  <c r="T55" i="55"/>
  <c r="P55" i="55"/>
  <c r="K12" i="57" l="1"/>
  <c r="P55" i="56"/>
  <c r="T55" i="56"/>
  <c r="K12" i="58" l="1"/>
  <c r="T55" i="57"/>
  <c r="P55" i="57"/>
  <c r="K12" i="59" l="1"/>
  <c r="T55" i="58"/>
  <c r="P55" i="58"/>
  <c r="K12" i="60" l="1"/>
  <c r="P55" i="59"/>
  <c r="T55" i="59"/>
  <c r="K12" i="61" l="1"/>
  <c r="T55" i="60"/>
  <c r="P55" i="60"/>
  <c r="K12" i="62" l="1"/>
  <c r="T55" i="61"/>
  <c r="P55" i="61"/>
  <c r="K12" i="63" l="1"/>
  <c r="P55" i="62"/>
  <c r="T55" i="62"/>
  <c r="K12" i="64" l="1"/>
  <c r="P55" i="63"/>
  <c r="T55" i="63"/>
  <c r="K12" i="65" l="1"/>
  <c r="T55" i="64"/>
  <c r="P55" i="64"/>
  <c r="K12" i="66" l="1"/>
  <c r="P55" i="65"/>
  <c r="T55" i="65"/>
  <c r="K12" i="67" l="1"/>
  <c r="P55" i="66"/>
  <c r="T55" i="66"/>
  <c r="K12" i="68" l="1"/>
  <c r="T55" i="67"/>
  <c r="P55" i="67"/>
  <c r="T55" i="68" l="1"/>
  <c r="P55" i="68"/>
</calcChain>
</file>

<file path=xl/sharedStrings.xml><?xml version="1.0" encoding="utf-8"?>
<sst xmlns="http://schemas.openxmlformats.org/spreadsheetml/2006/main" count="6926" uniqueCount="359">
  <si>
    <t>Time</t>
  </si>
  <si>
    <t>psig</t>
  </si>
  <si>
    <t>Speed</t>
  </si>
  <si>
    <t>Bef. Cooler</t>
  </si>
  <si>
    <t>Aft. Cooler</t>
  </si>
  <si>
    <t>°F</t>
  </si>
  <si>
    <t>Static</t>
  </si>
  <si>
    <t>Flowrate</t>
  </si>
  <si>
    <t>Remarks</t>
  </si>
  <si>
    <t>V</t>
  </si>
  <si>
    <t>Discharge Temp.</t>
  </si>
  <si>
    <t>Average</t>
  </si>
  <si>
    <t>Min</t>
  </si>
  <si>
    <t>Max</t>
  </si>
  <si>
    <t>in H2O</t>
  </si>
  <si>
    <t>Voltage</t>
  </si>
  <si>
    <t>Back to :</t>
  </si>
  <si>
    <t>Report Date :</t>
  </si>
  <si>
    <t>hour</t>
  </si>
  <si>
    <t>hours</t>
  </si>
  <si>
    <t>OPERATION DAILY REPORT</t>
  </si>
  <si>
    <t>GASJACK COMPRESSOR</t>
  </si>
  <si>
    <t>Static Pressure :</t>
  </si>
  <si>
    <t>Differential Pressure:</t>
  </si>
  <si>
    <t>Temperature :</t>
  </si>
  <si>
    <t>MSCFD</t>
  </si>
  <si>
    <t>Running :</t>
  </si>
  <si>
    <t>Down :</t>
  </si>
  <si>
    <t>Remarks :</t>
  </si>
  <si>
    <t>Reported &amp; Prepared by</t>
  </si>
  <si>
    <t>Reviewed &amp; Approved by</t>
  </si>
  <si>
    <t>Suction Press.</t>
  </si>
  <si>
    <t>Discharge Press.</t>
  </si>
  <si>
    <t>Manifold Press.</t>
  </si>
  <si>
    <t>Water Temp.</t>
  </si>
  <si>
    <t>Oil Press.</t>
  </si>
  <si>
    <t>Oil Diff.</t>
  </si>
  <si>
    <t>Standby :</t>
  </si>
  <si>
    <t>MONTHLY GAS COMPRESSION REPORT</t>
  </si>
  <si>
    <t>GasJack Compressor</t>
  </si>
  <si>
    <t>Date</t>
  </si>
  <si>
    <t>P Suct.</t>
  </si>
  <si>
    <t>P Disch.</t>
  </si>
  <si>
    <t>T Disch.</t>
  </si>
  <si>
    <t>Operating Time (hrs)</t>
  </si>
  <si>
    <t>Availability</t>
  </si>
  <si>
    <t>BPD</t>
  </si>
  <si>
    <t>Run</t>
  </si>
  <si>
    <t>Down</t>
  </si>
  <si>
    <t>%</t>
  </si>
  <si>
    <t xml:space="preserve">Report Date </t>
  </si>
  <si>
    <t>Standby</t>
  </si>
  <si>
    <t>Customer Name</t>
  </si>
  <si>
    <t>AVERAGE</t>
  </si>
  <si>
    <t>TOTAL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</si>
  <si>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</si>
  <si>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</si>
  <si>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</si>
  <si>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</si>
  <si>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</si>
  <si>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</si>
  <si>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</si>
  <si>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</si>
  <si>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</si>
  <si>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</si>
  <si>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</si>
  <si>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</si>
  <si>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</si>
  <si>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</si>
  <si>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15</t>
  </si>
  <si>
    <t>Day 16</t>
  </si>
  <si>
    <t>Day 17</t>
  </si>
  <si>
    <t>Day 18</t>
  </si>
  <si>
    <t>Day 19</t>
  </si>
  <si>
    <t>Day 20</t>
  </si>
  <si>
    <t>Day 21</t>
  </si>
  <si>
    <t>Day 22</t>
  </si>
  <si>
    <t>Day 23</t>
  </si>
  <si>
    <t>Day 24</t>
  </si>
  <si>
    <t>Day 25</t>
  </si>
  <si>
    <t>Day 26</t>
  </si>
  <si>
    <t>Day 27</t>
  </si>
  <si>
    <t>Day 28</t>
  </si>
  <si>
    <t>Day 29</t>
  </si>
  <si>
    <t>Day 30</t>
  </si>
  <si>
    <t>MR</t>
  </si>
  <si>
    <t>Reviewed by</t>
  </si>
  <si>
    <t>Approved by</t>
  </si>
  <si>
    <t>Liquid Gain</t>
  </si>
  <si>
    <t>Curve</t>
  </si>
  <si>
    <t>Day Shift :</t>
  </si>
  <si>
    <t>Night Shift :</t>
  </si>
  <si>
    <t>Typed by :</t>
  </si>
  <si>
    <t>MIN / MAX</t>
  </si>
  <si>
    <t>P Manifold</t>
  </si>
  <si>
    <t>Report No.</t>
  </si>
  <si>
    <t>Contract Ref. No.</t>
  </si>
  <si>
    <t>RH</t>
  </si>
  <si>
    <t>Last PM</t>
  </si>
  <si>
    <t>NOTE :</t>
  </si>
  <si>
    <t>Tdk Lngkp</t>
  </si>
  <si>
    <t>Cek</t>
  </si>
  <si>
    <t>: operating time belum diisi</t>
  </si>
  <si>
    <t>Opr. Time
vs
Remarks</t>
  </si>
  <si>
    <t>: perlu pemeriksaan antara operating time dan remarks</t>
  </si>
  <si>
    <t>: pastikan kesesuaian waktu antara operating time dan remarks</t>
  </si>
  <si>
    <t>FIELD SERVICE LEAD</t>
  </si>
  <si>
    <t>TECHNICIAN / OPERATOR</t>
  </si>
  <si>
    <t>Perf.</t>
  </si>
  <si>
    <t>Daily</t>
  </si>
  <si>
    <t>Running Hours</t>
  </si>
  <si>
    <t>Data - Remarks</t>
  </si>
  <si>
    <t>Data - Flowrate</t>
  </si>
  <si>
    <t>Unit S/N</t>
  </si>
  <si>
    <t>Engine S/N</t>
  </si>
  <si>
    <t>Diff.</t>
  </si>
  <si>
    <t>Compressor Location :</t>
  </si>
  <si>
    <t>Application :</t>
  </si>
  <si>
    <t>Period :</t>
  </si>
  <si>
    <t>Location :</t>
  </si>
  <si>
    <t>Engine S/N :</t>
  </si>
  <si>
    <t>Unit S/N :</t>
  </si>
  <si>
    <t>Orifice Size :</t>
  </si>
  <si>
    <t>SD / STBY</t>
  </si>
  <si>
    <t>Start</t>
  </si>
  <si>
    <t>End</t>
  </si>
  <si>
    <t>Conf. :</t>
  </si>
  <si>
    <t>Volume</t>
  </si>
  <si>
    <t>Volume :</t>
  </si>
  <si>
    <t xml:space="preserve"> GKM Green Tower, 10th Floor,</t>
  </si>
  <si>
    <t xml:space="preserve"> Phone : +62 21 2787 8099 / Fax : +62 21 2787 8090</t>
  </si>
  <si>
    <t xml:space="preserve"> www.sinerco.co.id</t>
  </si>
  <si>
    <t xml:space="preserve"> Jl. TB. Simatupang Kav. 89 G, Jakarta Selatan 12520, Indonesia</t>
  </si>
  <si>
    <t>PERSONEL SCHEDULE</t>
  </si>
  <si>
    <t>Operator Day Shift</t>
  </si>
  <si>
    <t>Operator Night Shift</t>
  </si>
  <si>
    <t>Daily Report Typer</t>
  </si>
  <si>
    <t>Data - Content</t>
  </si>
  <si>
    <t>MIN.</t>
  </si>
  <si>
    <t>MAX.</t>
  </si>
  <si>
    <t>RPM</t>
  </si>
  <si>
    <t>NO.</t>
  </si>
  <si>
    <t>DESCRIPTION</t>
  </si>
  <si>
    <t>MIN</t>
  </si>
  <si>
    <t>MAX</t>
  </si>
  <si>
    <t>REFERENCE</t>
  </si>
  <si>
    <t>Suct. Press. (psig)</t>
  </si>
  <si>
    <t>Discharge Press. (psig)</t>
  </si>
  <si>
    <t>Speed (RPM)</t>
  </si>
  <si>
    <t>Jika &lt;1500 RPM diinformasikan ke HO</t>
  </si>
  <si>
    <t>Flowrate (MSCFD)</t>
  </si>
  <si>
    <t>GJC Performance</t>
  </si>
  <si>
    <t>Manifold Press. (psig)</t>
  </si>
  <si>
    <t>Oil Press. (psig)</t>
  </si>
  <si>
    <t>Jika &lt;40 psig diinformasikan ke HO</t>
  </si>
  <si>
    <t>Oil Diff. (psig)</t>
  </si>
  <si>
    <t>Voltage (V) Hijau</t>
  </si>
  <si>
    <t>Voltage (V) Biru</t>
  </si>
  <si>
    <t>Water Temp. (ºF)</t>
  </si>
  <si>
    <t>Bef. Cooler (ºF)</t>
  </si>
  <si>
    <t>Aft. Cooler (ºF)</t>
  </si>
  <si>
    <t>Data Last PM :</t>
  </si>
  <si>
    <t>- Date PM</t>
  </si>
  <si>
    <t>- Running hours</t>
  </si>
  <si>
    <t>- Work Report</t>
  </si>
  <si>
    <t>- Penggantian spare part</t>
  </si>
  <si>
    <t>Data (Gas / Fuel) :</t>
  </si>
  <si>
    <t>Gas &amp; Fuel</t>
  </si>
  <si>
    <t>- Date last update</t>
  </si>
  <si>
    <t>- s.g.</t>
  </si>
  <si>
    <r>
      <t>- GHV (BTU/ft</t>
    </r>
    <r>
      <rPr>
        <vertAlign val="superscript"/>
        <sz val="10"/>
        <color theme="1"/>
        <rFont val="Courier New"/>
        <family val="3"/>
      </rPr>
      <t>3</t>
    </r>
    <r>
      <rPr>
        <sz val="10"/>
        <color theme="1"/>
        <rFont val="Courier New"/>
        <family val="3"/>
      </rPr>
      <t>)</t>
    </r>
  </si>
  <si>
    <t>- Methane</t>
  </si>
  <si>
    <t>- CO2</t>
  </si>
  <si>
    <t>KESIMPULAN &amp; REKOMENDASI :</t>
  </si>
  <si>
    <t>INFO dari Lapangan :</t>
  </si>
  <si>
    <t>Jika aplikasi di lapangan &gt;150 ºF harus diinfokan ke HO, karena keterbatasan kemampuan hose</t>
  </si>
  <si>
    <t>Client :</t>
  </si>
  <si>
    <t>- H2S (ppm)</t>
  </si>
  <si>
    <t>Daily Client Rep.</t>
  </si>
  <si>
    <t>4/0</t>
  </si>
  <si>
    <t>Add Lube Oil (ltr)</t>
  </si>
  <si>
    <t>LUBE OIL REPORT</t>
  </si>
  <si>
    <t xml:space="preserve"> </t>
  </si>
  <si>
    <t>Oil consumption (ltr/day)</t>
  </si>
  <si>
    <t>Static Press. Range</t>
  </si>
  <si>
    <t>Diff. Press. Range</t>
  </si>
  <si>
    <t>Line Size</t>
  </si>
  <si>
    <t>Orifice Size</t>
  </si>
  <si>
    <t>FB</t>
  </si>
  <si>
    <t>SPECIFIC GRAVITY (SG)</t>
  </si>
  <si>
    <t>dimensionless</t>
  </si>
  <si>
    <t>Stat Press range, Rp</t>
  </si>
  <si>
    <t xml:space="preserve">Diff range, Rh </t>
  </si>
  <si>
    <t>Line size, D (inc)</t>
  </si>
  <si>
    <t>Orifice Size, d (inc)</t>
  </si>
  <si>
    <t>Gas SG (G)</t>
  </si>
  <si>
    <t>Static Gauge Pressure</t>
  </si>
  <si>
    <t>Compressibility factor (Z)</t>
  </si>
  <si>
    <t>FPV</t>
  </si>
  <si>
    <t>FTF</t>
  </si>
  <si>
    <t>FG</t>
  </si>
  <si>
    <t>Meter Factor</t>
  </si>
  <si>
    <t>24 hr Meter Coeficient</t>
  </si>
  <si>
    <t>Pseudo Reduced Pressure</t>
  </si>
  <si>
    <t>Pseudo Reduced Temperature</t>
  </si>
  <si>
    <t>Z'</t>
  </si>
  <si>
    <t>Pr"</t>
  </si>
  <si>
    <t>u</t>
  </si>
  <si>
    <t>N</t>
  </si>
  <si>
    <t>Oil consumption (ltr/month)</t>
  </si>
  <si>
    <t>PT SIGMA ENERGY COMPRESSINDO Tbk</t>
  </si>
  <si>
    <t>PT SINERCO Tbk</t>
  </si>
  <si>
    <t>Discharge Header Press.</t>
  </si>
  <si>
    <t>Source Press.</t>
  </si>
  <si>
    <t>P Source</t>
  </si>
  <si>
    <t>Location</t>
  </si>
  <si>
    <t>Conf.</t>
  </si>
  <si>
    <t>P Discharge Header</t>
  </si>
  <si>
    <t>Cocok ?</t>
  </si>
  <si>
    <t>Low speed</t>
  </si>
  <si>
    <t>Low voltage</t>
  </si>
  <si>
    <t>Perbaikan line bocor</t>
  </si>
  <si>
    <t>PM 1000 hrs</t>
  </si>
  <si>
    <t>PM 5000 hrs</t>
  </si>
  <si>
    <t>High water temp.</t>
  </si>
  <si>
    <t>High disch. temp.</t>
  </si>
  <si>
    <t>Low compression</t>
  </si>
  <si>
    <t>Low oil press.</t>
  </si>
  <si>
    <t>Change conf. to 4/0</t>
  </si>
  <si>
    <t>Change engine to FP 55555</t>
  </si>
  <si>
    <t>REMARKS TIME</t>
  </si>
  <si>
    <t>REMARKS</t>
  </si>
  <si>
    <t>LIST REMARKS</t>
  </si>
  <si>
    <t>DATE</t>
  </si>
  <si>
    <t>SUCTION
PRESSURE</t>
  </si>
  <si>
    <t>DISCHARGE
PRESSURE</t>
  </si>
  <si>
    <t>FLOWRATE</t>
  </si>
  <si>
    <t>RUNNING
TIME</t>
  </si>
  <si>
    <t>CURVE FLOWRATE
CORRECTED w/
RUNNING TIME</t>
  </si>
  <si>
    <t>CURVE FLOWRATE
24 hrs</t>
  </si>
  <si>
    <t>SUCTION
PRESSURE
(psig)</t>
  </si>
  <si>
    <t>DISCHARGE
PRESSURE
(psig)</t>
  </si>
  <si>
    <t>VALVE
CONF.</t>
  </si>
  <si>
    <t>FLOWRATE
s.g. Gas
(MSCFD)</t>
  </si>
  <si>
    <t>FLOWRATE
s.g. 0,6
(MSCFD)</t>
  </si>
  <si>
    <t>SP</t>
  </si>
  <si>
    <t>DP</t>
  </si>
  <si>
    <t>Discharge P</t>
  </si>
  <si>
    <t>Suction P</t>
  </si>
  <si>
    <t>&gt;&gt;&gt;&gt;&gt;&gt;</t>
  </si>
  <si>
    <t>4/1</t>
  </si>
  <si>
    <t>4/2</t>
  </si>
  <si>
    <t>3/0</t>
  </si>
  <si>
    <t>2/0</t>
  </si>
  <si>
    <t>3/1</t>
  </si>
  <si>
    <t>3/2</t>
  </si>
  <si>
    <t>2/1</t>
  </si>
  <si>
    <t>2/4</t>
  </si>
  <si>
    <t>2/2</t>
  </si>
  <si>
    <t>FLOWRATE PERFORMANCE GasJack</t>
  </si>
  <si>
    <t>Loss power</t>
  </si>
  <si>
    <t>LAST</t>
  </si>
  <si>
    <t>ENGINE S/N</t>
  </si>
  <si>
    <t>LOCATION</t>
  </si>
  <si>
    <t>ORIFICE SIZE</t>
  </si>
  <si>
    <t>CONFIGURATION</t>
  </si>
  <si>
    <t>VOLUME</t>
  </si>
  <si>
    <t>Δ VOLUME</t>
  </si>
  <si>
    <t>PERF.</t>
  </si>
  <si>
    <t>Flare Recovery</t>
  </si>
  <si>
    <t>USER VOLUME</t>
  </si>
  <si>
    <t>PT PERTAMINA EP Zona 7</t>
  </si>
  <si>
    <t>Commissioning</t>
  </si>
  <si>
    <t>PRINT</t>
  </si>
  <si>
    <t>High crankcase press.</t>
  </si>
  <si>
    <t>Control panel error</t>
  </si>
  <si>
    <t>High speed</t>
  </si>
  <si>
    <t>Replace disch. hose</t>
  </si>
  <si>
    <t>High suct. press.</t>
  </si>
  <si>
    <t>Genset trip</t>
  </si>
  <si>
    <t>Replace battery</t>
  </si>
  <si>
    <t>Replace cyl. head</t>
  </si>
  <si>
    <t>Replace alternator bolt</t>
  </si>
  <si>
    <t>T Disch. Before Cooler</t>
  </si>
  <si>
    <t>T Disch. After Cooler</t>
  </si>
  <si>
    <t>P D. Header</t>
  </si>
  <si>
    <t>Volume data SINERCO :</t>
  </si>
  <si>
    <t>High liquid</t>
  </si>
  <si>
    <t>PLN dips, CO2 removal shut down</t>
  </si>
  <si>
    <t>CO2 removal shut down</t>
  </si>
  <si>
    <t>PLANIMETER PERTAMINA</t>
  </si>
  <si>
    <t>Field TAMBUN</t>
  </si>
  <si>
    <t>SP. Tambun - Cluster F</t>
  </si>
  <si>
    <t>PT PERTAMINA EP Zona 7 - TAMBUN</t>
  </si>
  <si>
    <t>OPR. PRODUCTION</t>
  </si>
  <si>
    <t>MARIHOT GUSTAFA SITORUS</t>
  </si>
  <si>
    <t>AFIAT REZA ROZALI</t>
  </si>
  <si>
    <t>PROD. OPERATION ASST. MAN.</t>
  </si>
  <si>
    <t>PROD. SENIOR SUPERVISOR</t>
  </si>
  <si>
    <t>Diff. Press.</t>
  </si>
  <si>
    <t>Static
Press.</t>
  </si>
  <si>
    <t>STATIC
PRESS.</t>
  </si>
  <si>
    <t>DIFF. PRESS.</t>
  </si>
  <si>
    <t>USER
STATIC
PRESS.</t>
  </si>
  <si>
    <t>Δ
STATIC
PRESS.</t>
  </si>
  <si>
    <t>USER
DIFF. PRESS.</t>
  </si>
  <si>
    <t>Δ
DIFF. PRESS.</t>
  </si>
  <si>
    <t>High disch. press.</t>
  </si>
  <si>
    <t>Low disch. press.</t>
  </si>
  <si>
    <t>Low suct. press.</t>
  </si>
  <si>
    <t>Replace suct. hose</t>
  </si>
  <si>
    <t>MEDCO request</t>
  </si>
  <si>
    <t>PEP request</t>
  </si>
  <si>
    <t>Low coolant level</t>
  </si>
  <si>
    <t>Low oil level</t>
  </si>
  <si>
    <t>Replace oil seal</t>
  </si>
  <si>
    <t>Replace carburetor membrane</t>
  </si>
  <si>
    <t>Replace alternator</t>
  </si>
  <si>
    <t>Motor starter stuck</t>
  </si>
  <si>
    <t>Low suct. press. (MEDCO req.)</t>
  </si>
  <si>
    <t>YOAN PURNAMA</t>
  </si>
  <si>
    <t>Combustion problem</t>
  </si>
  <si>
    <t>Fuse panel short</t>
  </si>
  <si>
    <t>PHE request</t>
  </si>
  <si>
    <t>Rear main seal leak</t>
  </si>
  <si>
    <t>Replace alternator v-belt</t>
  </si>
  <si>
    <t>Replace coil</t>
  </si>
  <si>
    <t>Replace coil &amp; spark plug</t>
  </si>
  <si>
    <t>Replace gasket oil pan</t>
  </si>
  <si>
    <t>Replace hose water pump</t>
  </si>
  <si>
    <t>Replace KIMRAY</t>
  </si>
  <si>
    <t>Replace KIMRAY regulator</t>
  </si>
  <si>
    <t>Replace magnetic pickup</t>
  </si>
  <si>
    <t>Replace spark plug</t>
  </si>
  <si>
    <t>Replace v-belt</t>
  </si>
  <si>
    <t>Replace water pump</t>
  </si>
  <si>
    <t>Trouble camshaft</t>
  </si>
  <si>
    <t>Trouble crankshaft</t>
  </si>
  <si>
    <t>Trouble display panel</t>
  </si>
  <si>
    <t>Trouble lifter</t>
  </si>
  <si>
    <t>Tubing regulator leak</t>
  </si>
  <si>
    <t>Marihot Gustafa S.</t>
  </si>
  <si>
    <t>Sapuan</t>
  </si>
  <si>
    <t>Yes</t>
  </si>
  <si>
    <t>NO</t>
  </si>
  <si>
    <t>UNIT</t>
  </si>
  <si>
    <t>Min.
FLOWRATE / VOLUME</t>
  </si>
  <si>
    <t>FLOWRATE / VOLUME</t>
  </si>
  <si>
    <t>AVAIL.</t>
  </si>
  <si>
    <t>Min. PERF.</t>
  </si>
  <si>
    <t>UPDATE</t>
  </si>
  <si>
    <t>4650016489 (Amendemen I)</t>
  </si>
  <si>
    <t>Budi Widhartono</t>
  </si>
  <si>
    <t>M. Nanang Wahyu S</t>
  </si>
  <si>
    <t>FP 65354</t>
  </si>
  <si>
    <t>MPR 632  RFD</t>
  </si>
  <si>
    <t>SD</t>
  </si>
  <si>
    <t>1/TMB/FRU/VI/25</t>
  </si>
  <si>
    <t>Barton calibration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</si>
</sst>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[$-409]d\ mmm\ yyyy;@"/>
    <numFmt numFmtId="165" formatCode="#,##0.0"/>
    <numFmt numFmtId="166" formatCode="[hh]:mm"/>
    <numFmt numFmtId="167" formatCode="\:\ [$-409]d\ mmmm\ yyyy;@"/>
    <numFmt numFmtId="168" formatCode="[$-409]d\ mmm;@"/>
    <numFmt numFmtId="169" formatCode="\:\ @"/>
    <numFmt numFmtId="170" formatCode="#,##0.000\ &quot;in&quot;"/>
    <numFmt numFmtId="171" formatCode="0.00_)"/>
    <numFmt numFmtId="172" formatCode="#,##0.0000"/>
    <numFmt numFmtId="173" formatCode="[$-421]dd\-mmm\-yyyy;@"/>
    <numFmt numFmtId="174" formatCode="#,##0.000000"/>
    <numFmt numFmtId="175" formatCode="0.0000%"/>
    <numFmt numFmtId="176" formatCode="0.000000"/>
    <numFmt numFmtId="177" formatCode="0.00000"/>
    <numFmt numFmtId="178" formatCode="0.0000000"/>
  </numFmts>
  <fonts count="48" x14ac:knownFonts="1">
    <font>
      <sz val="11"/>
      <color theme="1"/>
      <name val="Calibri"/>
      <family val="2"/>
      <charset val="1"/>
      <scheme val="minor"/>
    </font>
    <font>
      <sz val="10"/>
      <color theme="1"/>
      <name val="Arial"/>
      <family val="2"/>
    </font>
    <font>
      <sz val="10"/>
      <color theme="1"/>
      <name val="Courier New"/>
      <family val="2"/>
      <charset val="1"/>
    </font>
    <font>
      <sz val="10"/>
      <color theme="1"/>
      <name val="Courier New"/>
      <family val="2"/>
      <charset val="1"/>
    </font>
    <font>
      <sz val="10"/>
      <name val="Arial"/>
      <family val="2"/>
    </font>
    <font>
      <b/>
      <sz val="10"/>
      <name val="Arial"/>
      <family val="2"/>
    </font>
    <font>
      <u/>
      <sz val="10"/>
      <color rgb="FF0070C0"/>
      <name val="Arial"/>
      <family val="2"/>
    </font>
    <font>
      <sz val="12"/>
      <name val="Times New Roman"/>
      <family val="1"/>
    </font>
    <font>
      <sz val="11"/>
      <color theme="1"/>
      <name val="Calibri"/>
      <family val="2"/>
      <charset val="1"/>
      <scheme val="minor"/>
    </font>
    <font>
      <b/>
      <u/>
      <sz val="20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u/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2"/>
      <name val="Arial"/>
      <family val="2"/>
    </font>
    <font>
      <i/>
      <sz val="10"/>
      <name val="Arial"/>
      <family val="2"/>
    </font>
    <font>
      <b/>
      <sz val="28"/>
      <name val="Times New Roman"/>
      <family val="1"/>
    </font>
    <font>
      <sz val="11"/>
      <name val="Arial"/>
      <family val="2"/>
    </font>
    <font>
      <b/>
      <sz val="11"/>
      <color rgb="FF0000FF"/>
      <name val="Arial"/>
      <family val="2"/>
    </font>
    <font>
      <b/>
      <sz val="11"/>
      <color rgb="FFFF0000"/>
      <name val="Arial"/>
      <family val="2"/>
    </font>
    <font>
      <sz val="11"/>
      <color rgb="FFFF0000"/>
      <name val="Arial"/>
      <family val="2"/>
    </font>
    <font>
      <b/>
      <sz val="11"/>
      <name val="Arial"/>
      <family val="2"/>
    </font>
    <font>
      <sz val="11"/>
      <color rgb="FF006600"/>
      <name val="Arial"/>
      <family val="2"/>
    </font>
    <font>
      <b/>
      <sz val="11"/>
      <color rgb="FF006600"/>
      <name val="Arial"/>
      <family val="2"/>
    </font>
    <font>
      <sz val="10"/>
      <color rgb="FFFF0000"/>
      <name val="Arial"/>
      <family val="2"/>
    </font>
    <font>
      <b/>
      <sz val="32"/>
      <name val="Times New Roman"/>
      <family val="1"/>
    </font>
    <font>
      <sz val="14"/>
      <name val="Arial"/>
      <family val="2"/>
    </font>
    <font>
      <b/>
      <sz val="11"/>
      <name val="Times New Roman"/>
      <family val="1"/>
    </font>
    <font>
      <sz val="11"/>
      <name val="Times New Roman"/>
      <family val="1"/>
    </font>
    <font>
      <b/>
      <i/>
      <sz val="11"/>
      <name val="Calibri"/>
      <family val="2"/>
      <scheme val="minor"/>
    </font>
    <font>
      <i/>
      <sz val="11"/>
      <name val="Arial"/>
      <family val="2"/>
    </font>
    <font>
      <u/>
      <sz val="14"/>
      <name val="Arial"/>
      <family val="2"/>
    </font>
    <font>
      <sz val="10"/>
      <color rgb="FF0000FF"/>
      <name val="Arial"/>
      <family val="2"/>
    </font>
    <font>
      <sz val="11"/>
      <color rgb="FF0000FF"/>
      <name val="Arial"/>
      <family val="2"/>
    </font>
    <font>
      <b/>
      <sz val="10"/>
      <color indexed="10"/>
      <name val="Arial"/>
      <family val="2"/>
    </font>
    <font>
      <sz val="10"/>
      <name val="Courier"/>
      <family val="3"/>
    </font>
    <font>
      <b/>
      <sz val="10"/>
      <color theme="0"/>
      <name val="Arial"/>
      <family val="2"/>
    </font>
    <font>
      <b/>
      <sz val="10"/>
      <color theme="1"/>
      <name val="Courier New"/>
      <family val="3"/>
    </font>
    <font>
      <sz val="10"/>
      <color theme="1"/>
      <name val="Courier New"/>
      <family val="3"/>
    </font>
    <font>
      <vertAlign val="superscript"/>
      <sz val="10"/>
      <color theme="1"/>
      <name val="Courier New"/>
      <family val="3"/>
    </font>
    <font>
      <b/>
      <sz val="10"/>
      <color indexed="8"/>
      <name val="Courier New"/>
      <family val="3"/>
    </font>
    <font>
      <b/>
      <sz val="10"/>
      <name val="Trebuchet MS"/>
      <family val="2"/>
    </font>
    <font>
      <sz val="10"/>
      <name val="Trebuchet MS"/>
      <family val="2"/>
    </font>
    <font>
      <sz val="10"/>
      <color rgb="FF000000"/>
      <name val="Arial"/>
      <family val="2"/>
    </font>
    <font>
      <sz val="8"/>
      <name val="Calibri"/>
      <family val="2"/>
      <charset val="1"/>
      <scheme val="minor"/>
    </font>
    <font>
      <sz val="10"/>
      <color theme="0"/>
      <name val="Arial"/>
      <family val="2"/>
    </font>
    <font>
      <sz val="10"/>
      <color rgb="FF00660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theme="0"/>
        <bgColor indexed="26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rgb="FFC0C0C0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6EFCE"/>
        <bgColor indexed="64"/>
      </patternFill>
    </fill>
  </fills>
  <borders count="5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 diagonalUp="1"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 style="thin">
        <color auto="1"/>
      </diagonal>
    </border>
    <border diagonalUp="1">
      <left style="medium">
        <color auto="1"/>
      </left>
      <right style="medium">
        <color auto="1"/>
      </right>
      <top/>
      <bottom style="thin">
        <color auto="1"/>
      </bottom>
      <diagonal style="thin">
        <color auto="1"/>
      </diagonal>
    </border>
    <border diagonalUp="1"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 style="thin">
        <color auto="1"/>
      </diagonal>
    </border>
    <border diagonalUp="1">
      <left style="medium">
        <color auto="1"/>
      </left>
      <right/>
      <top style="medium">
        <color auto="1"/>
      </top>
      <bottom style="medium">
        <color auto="1"/>
      </bottom>
      <diagonal style="thin">
        <color auto="1"/>
      </diagonal>
    </border>
    <border diagonalUp="1">
      <left/>
      <right/>
      <top style="medium">
        <color auto="1"/>
      </top>
      <bottom style="medium">
        <color auto="1"/>
      </bottom>
      <diagonal style="thin">
        <color auto="1"/>
      </diagonal>
    </border>
    <border diagonalUp="1">
      <left/>
      <right style="medium">
        <color auto="1"/>
      </right>
      <top style="medium">
        <color auto="1"/>
      </top>
      <bottom style="medium">
        <color auto="1"/>
      </bottom>
      <diagonal style="thin">
        <color auto="1"/>
      </diagonal>
    </border>
    <border diagonalUp="1"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 style="thin">
        <color auto="1"/>
      </diagonal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 diagonalUp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rgb="FFD0D7E5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8">
    <xf numFmtId="0" fontId="0" fillId="0" borderId="0"/>
    <xf numFmtId="0" fontId="8" fillId="0" borderId="0"/>
    <xf numFmtId="9" fontId="8" fillId="0" borderId="0" applyFont="0" applyFill="0" applyBorder="0" applyAlignment="0" applyProtection="0"/>
    <xf numFmtId="0" fontId="3" fillId="0" borderId="0"/>
    <xf numFmtId="171" fontId="36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</cellStyleXfs>
  <cellXfs count="525">
    <xf numFmtId="0" fontId="0" fillId="0" borderId="0" xfId="0"/>
    <xf numFmtId="0" fontId="4" fillId="2" borderId="0" xfId="0" applyFont="1" applyFill="1" applyAlignment="1">
      <alignment horizontal="left" vertical="center"/>
    </xf>
    <xf numFmtId="0" fontId="4" fillId="2" borderId="4" xfId="0" applyFont="1" applyFill="1" applyBorder="1" applyAlignment="1">
      <alignment horizontal="left" vertical="center"/>
    </xf>
    <xf numFmtId="0" fontId="4" fillId="2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vertical="top"/>
    </xf>
    <xf numFmtId="0" fontId="4" fillId="0" borderId="0" xfId="0" applyFont="1"/>
    <xf numFmtId="0" fontId="11" fillId="0" borderId="0" xfId="1" applyFont="1"/>
    <xf numFmtId="0" fontId="7" fillId="2" borderId="0" xfId="0" applyFont="1" applyFill="1" applyAlignment="1">
      <alignment horizontal="left" vertical="center"/>
    </xf>
    <xf numFmtId="0" fontId="6" fillId="0" borderId="0" xfId="0" applyFont="1" applyAlignment="1">
      <alignment vertical="top"/>
    </xf>
    <xf numFmtId="0" fontId="4" fillId="2" borderId="0" xfId="0" applyFont="1" applyFill="1"/>
    <xf numFmtId="0" fontId="5" fillId="2" borderId="5" xfId="0" applyFont="1" applyFill="1" applyBorder="1" applyAlignment="1">
      <alignment vertical="center"/>
    </xf>
    <xf numFmtId="0" fontId="4" fillId="2" borderId="4" xfId="0" applyFont="1" applyFill="1" applyBorder="1"/>
    <xf numFmtId="0" fontId="5" fillId="2" borderId="8" xfId="0" applyFont="1" applyFill="1" applyBorder="1" applyAlignment="1">
      <alignment vertical="center"/>
    </xf>
    <xf numFmtId="0" fontId="4" fillId="2" borderId="8" xfId="0" applyFont="1" applyFill="1" applyBorder="1"/>
    <xf numFmtId="0" fontId="4" fillId="2" borderId="9" xfId="0" applyFont="1" applyFill="1" applyBorder="1"/>
    <xf numFmtId="0" fontId="4" fillId="0" borderId="10" xfId="0" applyFont="1" applyBorder="1" applyAlignment="1">
      <alignment vertical="center"/>
    </xf>
    <xf numFmtId="0" fontId="5" fillId="0" borderId="11" xfId="0" applyFont="1" applyBorder="1" applyAlignment="1">
      <alignment horizontal="right" vertical="center"/>
    </xf>
    <xf numFmtId="0" fontId="4" fillId="0" borderId="11" xfId="0" applyFont="1" applyBorder="1" applyAlignment="1">
      <alignment vertical="center"/>
    </xf>
    <xf numFmtId="0" fontId="5" fillId="0" borderId="15" xfId="0" applyFont="1" applyBorder="1" applyAlignment="1">
      <alignment horizontal="center" vertical="center"/>
    </xf>
    <xf numFmtId="0" fontId="4" fillId="2" borderId="5" xfId="0" applyFont="1" applyFill="1" applyBorder="1"/>
    <xf numFmtId="0" fontId="4" fillId="2" borderId="2" xfId="0" applyFont="1" applyFill="1" applyBorder="1"/>
    <xf numFmtId="0" fontId="4" fillId="0" borderId="0" xfId="0" applyFont="1" applyAlignment="1">
      <alignment horizontal="right" vertical="center"/>
    </xf>
    <xf numFmtId="0" fontId="14" fillId="0" borderId="0" xfId="1" applyFont="1" applyAlignment="1">
      <alignment horizontal="left" vertical="center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4" fillId="2" borderId="5" xfId="0" applyFont="1" applyFill="1" applyBorder="1" applyAlignment="1">
      <alignment vertical="center"/>
    </xf>
    <xf numFmtId="0" fontId="4" fillId="2" borderId="8" xfId="0" applyFont="1" applyFill="1" applyBorder="1" applyAlignment="1">
      <alignment vertical="center"/>
    </xf>
    <xf numFmtId="0" fontId="4" fillId="2" borderId="3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7" xfId="0" applyFont="1" applyFill="1" applyBorder="1" applyAlignment="1">
      <alignment vertical="center"/>
    </xf>
    <xf numFmtId="0" fontId="4" fillId="0" borderId="11" xfId="0" applyFont="1" applyBorder="1" applyAlignment="1">
      <alignment horizontal="right" vertical="center"/>
    </xf>
    <xf numFmtId="165" fontId="4" fillId="0" borderId="13" xfId="0" applyNumberFormat="1" applyFont="1" applyBorder="1" applyAlignment="1" applyProtection="1">
      <alignment horizontal="center" vertical="top" wrapText="1"/>
      <protection locked="0"/>
    </xf>
    <xf numFmtId="165" fontId="4" fillId="0" borderId="14" xfId="0" applyNumberFormat="1" applyFont="1" applyBorder="1" applyAlignment="1" applyProtection="1">
      <alignment horizontal="center" vertical="top" wrapText="1"/>
      <protection locked="0"/>
    </xf>
    <xf numFmtId="165" fontId="4" fillId="0" borderId="15" xfId="0" applyNumberFormat="1" applyFont="1" applyBorder="1" applyAlignment="1" applyProtection="1">
      <alignment horizontal="center" vertical="top" wrapText="1"/>
      <protection locked="0"/>
    </xf>
    <xf numFmtId="165" fontId="4" fillId="0" borderId="15" xfId="0" applyNumberFormat="1" applyFont="1" applyBorder="1" applyAlignment="1">
      <alignment horizontal="center" vertical="center"/>
    </xf>
    <xf numFmtId="3" fontId="4" fillId="0" borderId="13" xfId="0" applyNumberFormat="1" applyFont="1" applyBorder="1" applyAlignment="1" applyProtection="1">
      <alignment horizontal="center" vertical="top" wrapText="1"/>
      <protection locked="0"/>
    </xf>
    <xf numFmtId="3" fontId="4" fillId="0" borderId="14" xfId="0" applyNumberFormat="1" applyFont="1" applyBorder="1" applyAlignment="1" applyProtection="1">
      <alignment horizontal="center" vertical="top" wrapText="1"/>
      <protection locked="0"/>
    </xf>
    <xf numFmtId="3" fontId="4" fillId="0" borderId="15" xfId="0" applyNumberFormat="1" applyFont="1" applyBorder="1" applyAlignment="1" applyProtection="1">
      <alignment horizontal="center" vertical="top" wrapText="1"/>
      <protection locked="0"/>
    </xf>
    <xf numFmtId="3" fontId="4" fillId="0" borderId="15" xfId="0" applyNumberFormat="1" applyFont="1" applyBorder="1" applyAlignment="1">
      <alignment horizontal="center" vertical="center"/>
    </xf>
    <xf numFmtId="166" fontId="5" fillId="0" borderId="13" xfId="0" applyNumberFormat="1" applyFont="1" applyBorder="1" applyAlignment="1">
      <alignment horizontal="center" vertical="top" wrapText="1"/>
    </xf>
    <xf numFmtId="166" fontId="5" fillId="0" borderId="14" xfId="0" applyNumberFormat="1" applyFont="1" applyBorder="1" applyAlignment="1">
      <alignment horizontal="center" vertical="top" wrapText="1"/>
    </xf>
    <xf numFmtId="166" fontId="5" fillId="0" borderId="15" xfId="0" applyNumberFormat="1" applyFont="1" applyBorder="1" applyAlignment="1">
      <alignment horizontal="center" vertical="top" wrapText="1"/>
    </xf>
    <xf numFmtId="0" fontId="4" fillId="0" borderId="6" xfId="0" applyFont="1" applyBorder="1" applyAlignment="1" applyProtection="1">
      <alignment horizontal="left" vertical="center"/>
      <protection locked="0"/>
    </xf>
    <xf numFmtId="0" fontId="4" fillId="0" borderId="16" xfId="0" applyFont="1" applyBorder="1" applyAlignment="1" applyProtection="1">
      <alignment horizontal="left" vertical="center"/>
      <protection locked="0"/>
    </xf>
    <xf numFmtId="0" fontId="5" fillId="0" borderId="18" xfId="0" applyFont="1" applyBorder="1" applyAlignment="1">
      <alignment horizontal="center" vertical="center"/>
    </xf>
    <xf numFmtId="165" fontId="4" fillId="0" borderId="18" xfId="0" applyNumberFormat="1" applyFont="1" applyBorder="1" applyAlignment="1">
      <alignment horizontal="center" vertical="center"/>
    </xf>
    <xf numFmtId="3" fontId="4" fillId="0" borderId="18" xfId="0" applyNumberFormat="1" applyFont="1" applyBorder="1" applyAlignment="1">
      <alignment horizontal="center" vertical="center"/>
    </xf>
    <xf numFmtId="4" fontId="4" fillId="0" borderId="18" xfId="0" applyNumberFormat="1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165" fontId="5" fillId="0" borderId="17" xfId="0" applyNumberFormat="1" applyFont="1" applyBorder="1" applyAlignment="1">
      <alignment horizontal="center" vertical="center"/>
    </xf>
    <xf numFmtId="3" fontId="5" fillId="0" borderId="17" xfId="0" applyNumberFormat="1" applyFont="1" applyBorder="1" applyAlignment="1">
      <alignment horizontal="center" vertical="center"/>
    </xf>
    <xf numFmtId="166" fontId="5" fillId="0" borderId="6" xfId="0" applyNumberFormat="1" applyFont="1" applyBorder="1" applyAlignment="1">
      <alignment horizontal="right" vertical="center" wrapText="1"/>
    </xf>
    <xf numFmtId="10" fontId="21" fillId="3" borderId="13" xfId="2" applyNumberFormat="1" applyFont="1" applyFill="1" applyBorder="1" applyAlignment="1" applyProtection="1">
      <alignment horizontal="right" vertical="top" wrapText="1"/>
    </xf>
    <xf numFmtId="10" fontId="21" fillId="3" borderId="14" xfId="2" applyNumberFormat="1" applyFont="1" applyFill="1" applyBorder="1" applyAlignment="1" applyProtection="1">
      <alignment horizontal="right" vertical="top" wrapText="1"/>
    </xf>
    <xf numFmtId="10" fontId="21" fillId="4" borderId="14" xfId="2" applyNumberFormat="1" applyFont="1" applyFill="1" applyBorder="1" applyAlignment="1" applyProtection="1">
      <alignment horizontal="right" vertical="top" wrapText="1"/>
    </xf>
    <xf numFmtId="10" fontId="20" fillId="4" borderId="13" xfId="2" applyNumberFormat="1" applyFont="1" applyFill="1" applyBorder="1" applyAlignment="1" applyProtection="1">
      <alignment horizontal="right" vertical="center" wrapText="1"/>
    </xf>
    <xf numFmtId="0" fontId="25" fillId="0" borderId="0" xfId="1" applyFont="1" applyAlignment="1">
      <alignment horizontal="left" vertical="center"/>
    </xf>
    <xf numFmtId="0" fontId="16" fillId="2" borderId="0" xfId="0" applyFont="1" applyFill="1" applyAlignment="1">
      <alignment horizontal="left" vertical="center"/>
    </xf>
    <xf numFmtId="0" fontId="26" fillId="2" borderId="0" xfId="0" applyFont="1" applyFill="1" applyAlignment="1">
      <alignment horizontal="left" vertical="center"/>
    </xf>
    <xf numFmtId="0" fontId="22" fillId="2" borderId="0" xfId="0" applyFont="1" applyFill="1" applyAlignment="1" applyProtection="1">
      <alignment vertical="center"/>
      <protection locked="0"/>
    </xf>
    <xf numFmtId="0" fontId="18" fillId="2" borderId="0" xfId="0" applyFont="1" applyFill="1" applyAlignment="1" applyProtection="1">
      <alignment vertical="center"/>
      <protection locked="0"/>
    </xf>
    <xf numFmtId="0" fontId="22" fillId="2" borderId="2" xfId="0" applyFont="1" applyFill="1" applyBorder="1" applyAlignment="1" applyProtection="1">
      <alignment vertical="center"/>
      <protection locked="0"/>
    </xf>
    <xf numFmtId="0" fontId="22" fillId="2" borderId="4" xfId="0" applyFont="1" applyFill="1" applyBorder="1" applyAlignment="1" applyProtection="1">
      <alignment vertical="center"/>
      <protection locked="0"/>
    </xf>
    <xf numFmtId="0" fontId="22" fillId="2" borderId="5" xfId="0" applyFont="1" applyFill="1" applyBorder="1" applyAlignment="1" applyProtection="1">
      <alignment vertical="center"/>
      <protection locked="0"/>
    </xf>
    <xf numFmtId="0" fontId="18" fillId="2" borderId="4" xfId="0" applyFont="1" applyFill="1" applyBorder="1" applyAlignment="1" applyProtection="1">
      <alignment vertical="center"/>
      <protection locked="0"/>
    </xf>
    <xf numFmtId="167" fontId="22" fillId="2" borderId="5" xfId="0" applyNumberFormat="1" applyFont="1" applyFill="1" applyBorder="1" applyAlignment="1" applyProtection="1">
      <alignment vertical="center"/>
      <protection locked="0"/>
    </xf>
    <xf numFmtId="3" fontId="5" fillId="0" borderId="22" xfId="0" applyNumberFormat="1" applyFont="1" applyBorder="1" applyAlignment="1">
      <alignment horizontal="center" vertical="center"/>
    </xf>
    <xf numFmtId="3" fontId="4" fillId="0" borderId="23" xfId="0" applyNumberFormat="1" applyFont="1" applyBorder="1" applyAlignment="1">
      <alignment horizontal="center" vertical="center"/>
    </xf>
    <xf numFmtId="169" fontId="22" fillId="2" borderId="0" xfId="0" applyNumberFormat="1" applyFont="1" applyFill="1" applyAlignment="1" applyProtection="1">
      <alignment vertical="center"/>
      <protection locked="0"/>
    </xf>
    <xf numFmtId="4" fontId="18" fillId="0" borderId="13" xfId="0" applyNumberFormat="1" applyFont="1" applyBorder="1" applyAlignment="1" applyProtection="1">
      <alignment vertical="top"/>
      <protection locked="0"/>
    </xf>
    <xf numFmtId="3" fontId="18" fillId="0" borderId="13" xfId="0" applyNumberFormat="1" applyFont="1" applyBorder="1" applyAlignment="1" applyProtection="1">
      <alignment vertical="top"/>
      <protection locked="0"/>
    </xf>
    <xf numFmtId="166" fontId="34" fillId="0" borderId="13" xfId="0" applyNumberFormat="1" applyFont="1" applyBorder="1" applyAlignment="1" applyProtection="1">
      <alignment horizontal="right" vertical="top"/>
      <protection locked="0"/>
    </xf>
    <xf numFmtId="0" fontId="33" fillId="0" borderId="13" xfId="0" applyFont="1" applyBorder="1" applyAlignment="1" applyProtection="1">
      <alignment vertical="top" wrapText="1"/>
      <protection locked="0"/>
    </xf>
    <xf numFmtId="4" fontId="18" fillId="0" borderId="14" xfId="0" applyNumberFormat="1" applyFont="1" applyBorder="1" applyAlignment="1" applyProtection="1">
      <alignment vertical="top"/>
      <protection locked="0"/>
    </xf>
    <xf numFmtId="3" fontId="18" fillId="0" borderId="14" xfId="0" applyNumberFormat="1" applyFont="1" applyBorder="1" applyAlignment="1" applyProtection="1">
      <alignment vertical="top"/>
      <protection locked="0"/>
    </xf>
    <xf numFmtId="166" fontId="34" fillId="0" borderId="14" xfId="0" applyNumberFormat="1" applyFont="1" applyBorder="1" applyAlignment="1" applyProtection="1">
      <alignment horizontal="right" vertical="top"/>
      <protection locked="0"/>
    </xf>
    <xf numFmtId="0" fontId="33" fillId="0" borderId="14" xfId="0" applyFont="1" applyBorder="1" applyAlignment="1" applyProtection="1">
      <alignment vertical="top" wrapText="1"/>
      <protection locked="0"/>
    </xf>
    <xf numFmtId="0" fontId="33" fillId="0" borderId="15" xfId="0" applyFont="1" applyBorder="1" applyAlignment="1" applyProtection="1">
      <alignment vertical="top" wrapText="1"/>
      <protection locked="0"/>
    </xf>
    <xf numFmtId="0" fontId="31" fillId="2" borderId="8" xfId="0" applyFont="1" applyFill="1" applyBorder="1" applyAlignment="1" applyProtection="1">
      <alignment vertical="center"/>
      <protection locked="0"/>
    </xf>
    <xf numFmtId="0" fontId="31" fillId="2" borderId="9" xfId="0" applyFont="1" applyFill="1" applyBorder="1" applyAlignment="1" applyProtection="1">
      <alignment vertical="center"/>
      <protection locked="0"/>
    </xf>
    <xf numFmtId="0" fontId="18" fillId="2" borderId="1" xfId="0" applyFont="1" applyFill="1" applyBorder="1" applyAlignment="1" applyProtection="1">
      <alignment vertical="center"/>
      <protection locked="0"/>
    </xf>
    <xf numFmtId="0" fontId="18" fillId="2" borderId="5" xfId="0" applyFont="1" applyFill="1" applyBorder="1" applyAlignment="1" applyProtection="1">
      <alignment vertical="center"/>
      <protection locked="0"/>
    </xf>
    <xf numFmtId="0" fontId="18" fillId="2" borderId="3" xfId="0" applyFont="1" applyFill="1" applyBorder="1" applyAlignment="1" applyProtection="1">
      <alignment vertical="center"/>
      <protection locked="0"/>
    </xf>
    <xf numFmtId="0" fontId="18" fillId="2" borderId="7" xfId="0" applyFont="1" applyFill="1" applyBorder="1" applyAlignment="1" applyProtection="1">
      <alignment vertical="center"/>
      <protection locked="0"/>
    </xf>
    <xf numFmtId="0" fontId="18" fillId="2" borderId="8" xfId="0" applyFont="1" applyFill="1" applyBorder="1" applyAlignment="1" applyProtection="1">
      <alignment vertical="center"/>
      <protection locked="0"/>
    </xf>
    <xf numFmtId="0" fontId="14" fillId="0" borderId="0" xfId="0" applyFont="1" applyAlignment="1">
      <alignment vertical="top"/>
    </xf>
    <xf numFmtId="0" fontId="35" fillId="0" borderId="0" xfId="0" applyFont="1" applyAlignment="1">
      <alignment vertical="center"/>
    </xf>
    <xf numFmtId="0" fontId="35" fillId="0" borderId="0" xfId="0" applyFont="1" applyAlignment="1">
      <alignment vertical="top"/>
    </xf>
    <xf numFmtId="169" fontId="22" fillId="2" borderId="8" xfId="0" applyNumberFormat="1" applyFont="1" applyFill="1" applyBorder="1" applyAlignment="1" applyProtection="1">
      <alignment vertical="center"/>
      <protection locked="0"/>
    </xf>
    <xf numFmtId="0" fontId="5" fillId="0" borderId="14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9" fillId="0" borderId="0" xfId="1" applyFont="1" applyAlignment="1">
      <alignment horizontal="center" vertical="center"/>
    </xf>
    <xf numFmtId="0" fontId="10" fillId="0" borderId="0" xfId="1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164" fontId="12" fillId="0" borderId="11" xfId="0" applyNumberFormat="1" applyFont="1" applyBorder="1" applyAlignment="1">
      <alignment vertical="center"/>
    </xf>
    <xf numFmtId="166" fontId="4" fillId="0" borderId="13" xfId="0" applyNumberFormat="1" applyFont="1" applyBorder="1" applyAlignment="1" applyProtection="1">
      <alignment horizontal="center" vertical="top" wrapText="1"/>
      <protection locked="0"/>
    </xf>
    <xf numFmtId="166" fontId="4" fillId="0" borderId="14" xfId="0" applyNumberFormat="1" applyFont="1" applyBorder="1" applyAlignment="1" applyProtection="1">
      <alignment horizontal="center" vertical="top" wrapText="1"/>
      <protection locked="0"/>
    </xf>
    <xf numFmtId="166" fontId="4" fillId="0" borderId="15" xfId="0" applyNumberFormat="1" applyFont="1" applyBorder="1" applyAlignment="1" applyProtection="1">
      <alignment horizontal="center" vertical="top" wrapText="1"/>
      <protection locked="0"/>
    </xf>
    <xf numFmtId="166" fontId="5" fillId="0" borderId="17" xfId="0" applyNumberFormat="1" applyFont="1" applyBorder="1" applyAlignment="1">
      <alignment horizontal="center" vertical="center" wrapText="1"/>
    </xf>
    <xf numFmtId="0" fontId="4" fillId="0" borderId="13" xfId="0" applyFont="1" applyBorder="1" applyAlignment="1" applyProtection="1">
      <alignment horizontal="center" vertical="top" wrapText="1"/>
      <protection locked="0"/>
    </xf>
    <xf numFmtId="0" fontId="4" fillId="0" borderId="14" xfId="0" applyFont="1" applyBorder="1" applyAlignment="1" applyProtection="1">
      <alignment horizontal="center" vertical="top" wrapText="1"/>
      <protection locked="0"/>
    </xf>
    <xf numFmtId="0" fontId="4" fillId="0" borderId="15" xfId="0" applyFont="1" applyBorder="1" applyAlignment="1" applyProtection="1">
      <alignment horizontal="center" vertical="top" wrapText="1"/>
      <protection locked="0"/>
    </xf>
    <xf numFmtId="166" fontId="5" fillId="0" borderId="16" xfId="0" applyNumberFormat="1" applyFont="1" applyBorder="1" applyAlignment="1">
      <alignment horizontal="right" vertical="center" wrapText="1"/>
    </xf>
    <xf numFmtId="0" fontId="5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165" fontId="37" fillId="0" borderId="22" xfId="0" applyNumberFormat="1" applyFont="1" applyBorder="1" applyAlignment="1">
      <alignment horizontal="center" vertical="center"/>
    </xf>
    <xf numFmtId="4" fontId="39" fillId="0" borderId="32" xfId="5" applyNumberFormat="1" applyFont="1" applyBorder="1" applyAlignment="1" applyProtection="1">
      <alignment vertical="center"/>
      <protection locked="0"/>
    </xf>
    <xf numFmtId="0" fontId="39" fillId="0" borderId="32" xfId="5" applyFont="1" applyBorder="1" applyAlignment="1" applyProtection="1">
      <alignment horizontal="center" vertical="center"/>
      <protection locked="0"/>
    </xf>
    <xf numFmtId="0" fontId="39" fillId="0" borderId="32" xfId="5" applyFont="1" applyBorder="1" applyAlignment="1" applyProtection="1">
      <alignment vertical="center"/>
      <protection locked="0"/>
    </xf>
    <xf numFmtId="174" fontId="39" fillId="0" borderId="32" xfId="5" applyNumberFormat="1" applyFont="1" applyBorder="1" applyAlignment="1" applyProtection="1">
      <alignment vertical="center"/>
      <protection locked="0"/>
    </xf>
    <xf numFmtId="175" fontId="39" fillId="0" borderId="32" xfId="6" applyNumberFormat="1" applyFont="1" applyFill="1" applyBorder="1" applyAlignment="1" applyProtection="1">
      <alignment vertical="center"/>
      <protection locked="0"/>
    </xf>
    <xf numFmtId="10" fontId="39" fillId="0" borderId="32" xfId="6" applyNumberFormat="1" applyFont="1" applyFill="1" applyBorder="1" applyAlignment="1" applyProtection="1">
      <alignment vertical="center"/>
    </xf>
    <xf numFmtId="0" fontId="39" fillId="0" borderId="0" xfId="5" applyFont="1" applyAlignment="1" applyProtection="1">
      <alignment vertical="center"/>
      <protection locked="0"/>
    </xf>
    <xf numFmtId="173" fontId="39" fillId="0" borderId="32" xfId="5" applyNumberFormat="1" applyFont="1" applyBorder="1" applyAlignment="1" applyProtection="1">
      <alignment horizontal="center" vertical="center"/>
      <protection locked="0"/>
    </xf>
    <xf numFmtId="3" fontId="39" fillId="0" borderId="32" xfId="5" applyNumberFormat="1" applyFont="1" applyBorder="1" applyAlignment="1" applyProtection="1">
      <alignment vertical="center"/>
      <protection locked="0"/>
    </xf>
    <xf numFmtId="165" fontId="4" fillId="0" borderId="13" xfId="0" applyNumberFormat="1" applyFont="1" applyBorder="1" applyAlignment="1">
      <alignment horizontal="center" vertical="center"/>
    </xf>
    <xf numFmtId="0" fontId="39" fillId="0" borderId="32" xfId="7" applyFont="1" applyBorder="1" applyAlignment="1">
      <alignment horizontal="center" vertical="center"/>
    </xf>
    <xf numFmtId="0" fontId="39" fillId="6" borderId="32" xfId="7" applyFont="1" applyFill="1" applyBorder="1" applyAlignment="1" applyProtection="1">
      <alignment horizontal="center" vertical="center"/>
      <protection locked="0"/>
    </xf>
    <xf numFmtId="0" fontId="39" fillId="0" borderId="0" xfId="7" applyFont="1" applyAlignment="1">
      <alignment horizontal="center" vertical="center"/>
    </xf>
    <xf numFmtId="170" fontId="39" fillId="6" borderId="32" xfId="7" applyNumberFormat="1" applyFont="1" applyFill="1" applyBorder="1" applyAlignment="1" applyProtection="1">
      <alignment horizontal="center" vertical="center"/>
      <protection locked="0"/>
    </xf>
    <xf numFmtId="4" fontId="39" fillId="6" borderId="32" xfId="7" applyNumberFormat="1" applyFont="1" applyFill="1" applyBorder="1" applyAlignment="1" applyProtection="1">
      <alignment horizontal="center" vertical="center"/>
      <protection locked="0"/>
    </xf>
    <xf numFmtId="174" fontId="39" fillId="6" borderId="32" xfId="7" applyNumberFormat="1" applyFont="1" applyFill="1" applyBorder="1" applyAlignment="1" applyProtection="1">
      <alignment horizontal="center" vertical="center"/>
      <protection locked="0"/>
    </xf>
    <xf numFmtId="0" fontId="11" fillId="0" borderId="13" xfId="0" applyFont="1" applyBorder="1" applyAlignment="1" applyProtection="1">
      <alignment horizontal="center" vertical="center"/>
      <protection locked="0"/>
    </xf>
    <xf numFmtId="0" fontId="11" fillId="0" borderId="14" xfId="0" applyFont="1" applyBorder="1" applyAlignment="1" applyProtection="1">
      <alignment horizontal="center" vertical="center"/>
      <protection locked="0"/>
    </xf>
    <xf numFmtId="0" fontId="11" fillId="0" borderId="13" xfId="0" applyFont="1" applyBorder="1" applyAlignment="1" applyProtection="1">
      <alignment horizontal="center" vertical="top"/>
      <protection locked="0"/>
    </xf>
    <xf numFmtId="0" fontId="11" fillId="0" borderId="14" xfId="0" applyFont="1" applyBorder="1" applyAlignment="1" applyProtection="1">
      <alignment horizontal="center" vertical="top"/>
      <protection locked="0"/>
    </xf>
    <xf numFmtId="0" fontId="18" fillId="0" borderId="0" xfId="0" applyFont="1"/>
    <xf numFmtId="0" fontId="18" fillId="2" borderId="1" xfId="0" applyFont="1" applyFill="1" applyBorder="1" applyAlignment="1">
      <alignment vertical="center"/>
    </xf>
    <xf numFmtId="0" fontId="18" fillId="2" borderId="5" xfId="0" applyFont="1" applyFill="1" applyBorder="1" applyAlignment="1">
      <alignment vertical="center"/>
    </xf>
    <xf numFmtId="0" fontId="18" fillId="2" borderId="2" xfId="0" applyFont="1" applyFill="1" applyBorder="1" applyAlignment="1">
      <alignment vertical="center"/>
    </xf>
    <xf numFmtId="0" fontId="15" fillId="0" borderId="0" xfId="0" applyFont="1"/>
    <xf numFmtId="0" fontId="18" fillId="2" borderId="3" xfId="0" applyFont="1" applyFill="1" applyBorder="1" applyAlignment="1">
      <alignment vertical="center"/>
    </xf>
    <xf numFmtId="0" fontId="18" fillId="2" borderId="0" xfId="0" applyFont="1" applyFill="1" applyAlignment="1">
      <alignment vertical="center"/>
    </xf>
    <xf numFmtId="0" fontId="17" fillId="2" borderId="0" xfId="0" applyFont="1" applyFill="1" applyAlignment="1">
      <alignment vertical="center"/>
    </xf>
    <xf numFmtId="0" fontId="28" fillId="2" borderId="0" xfId="0" applyFont="1" applyFill="1" applyAlignment="1">
      <alignment vertical="center"/>
    </xf>
    <xf numFmtId="0" fontId="18" fillId="2" borderId="4" xfId="0" applyFont="1" applyFill="1" applyBorder="1" applyAlignment="1">
      <alignment vertical="center"/>
    </xf>
    <xf numFmtId="0" fontId="7" fillId="2" borderId="0" xfId="0" applyFont="1" applyFill="1" applyAlignment="1">
      <alignment vertical="center"/>
    </xf>
    <xf numFmtId="0" fontId="29" fillId="2" borderId="0" xfId="0" applyFont="1" applyFill="1" applyAlignment="1">
      <alignment vertical="center"/>
    </xf>
    <xf numFmtId="0" fontId="30" fillId="2" borderId="0" xfId="0" applyFont="1" applyFill="1" applyAlignment="1">
      <alignment vertical="center"/>
    </xf>
    <xf numFmtId="0" fontId="18" fillId="2" borderId="7" xfId="0" applyFont="1" applyFill="1" applyBorder="1" applyAlignment="1">
      <alignment vertical="center"/>
    </xf>
    <xf numFmtId="0" fontId="18" fillId="2" borderId="8" xfId="0" applyFont="1" applyFill="1" applyBorder="1" applyAlignment="1">
      <alignment vertical="center"/>
    </xf>
    <xf numFmtId="0" fontId="18" fillId="2" borderId="9" xfId="0" applyFont="1" applyFill="1" applyBorder="1" applyAlignment="1">
      <alignment vertical="center"/>
    </xf>
    <xf numFmtId="0" fontId="22" fillId="2" borderId="5" xfId="0" applyFont="1" applyFill="1" applyBorder="1" applyAlignment="1">
      <alignment horizontal="right" vertical="center"/>
    </xf>
    <xf numFmtId="167" fontId="22" fillId="2" borderId="5" xfId="0" applyNumberFormat="1" applyFont="1" applyFill="1" applyBorder="1" applyAlignment="1">
      <alignment vertical="center"/>
    </xf>
    <xf numFmtId="0" fontId="22" fillId="2" borderId="2" xfId="0" applyFont="1" applyFill="1" applyBorder="1" applyAlignment="1">
      <alignment vertical="center"/>
    </xf>
    <xf numFmtId="0" fontId="22" fillId="2" borderId="0" xfId="0" applyFont="1" applyFill="1" applyAlignment="1">
      <alignment horizontal="right" vertical="center"/>
    </xf>
    <xf numFmtId="169" fontId="22" fillId="2" borderId="0" xfId="0" applyNumberFormat="1" applyFont="1" applyFill="1" applyAlignment="1">
      <alignment vertical="center"/>
    </xf>
    <xf numFmtId="0" fontId="22" fillId="2" borderId="4" xfId="0" applyFont="1" applyFill="1" applyBorder="1" applyAlignment="1">
      <alignment vertical="center"/>
    </xf>
    <xf numFmtId="0" fontId="22" fillId="0" borderId="13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16" fontId="18" fillId="0" borderId="0" xfId="0" quotePrefix="1" applyNumberFormat="1" applyFont="1" applyAlignment="1">
      <alignment horizontal="center" vertical="top"/>
    </xf>
    <xf numFmtId="168" fontId="18" fillId="0" borderId="13" xfId="0" quotePrefix="1" applyNumberFormat="1" applyFont="1" applyBorder="1" applyAlignment="1">
      <alignment horizontal="center" vertical="top"/>
    </xf>
    <xf numFmtId="4" fontId="18" fillId="0" borderId="13" xfId="0" applyNumberFormat="1" applyFont="1" applyBorder="1" applyAlignment="1">
      <alignment vertical="top"/>
    </xf>
    <xf numFmtId="10" fontId="23" fillId="0" borderId="13" xfId="0" applyNumberFormat="1" applyFont="1" applyBorder="1" applyAlignment="1">
      <alignment horizontal="right" vertical="top"/>
    </xf>
    <xf numFmtId="3" fontId="18" fillId="0" borderId="13" xfId="0" applyNumberFormat="1" applyFont="1" applyBorder="1" applyAlignment="1">
      <alignment vertical="top"/>
    </xf>
    <xf numFmtId="166" fontId="34" fillId="0" borderId="13" xfId="0" applyNumberFormat="1" applyFont="1" applyBorder="1" applyAlignment="1">
      <alignment horizontal="right" vertical="top"/>
    </xf>
    <xf numFmtId="10" fontId="21" fillId="0" borderId="13" xfId="0" applyNumberFormat="1" applyFont="1" applyBorder="1" applyAlignment="1">
      <alignment horizontal="right" vertical="top"/>
    </xf>
    <xf numFmtId="0" fontId="33" fillId="0" borderId="13" xfId="0" applyFont="1" applyBorder="1" applyAlignment="1">
      <alignment vertical="top" wrapText="1"/>
    </xf>
    <xf numFmtId="168" fontId="18" fillId="0" borderId="14" xfId="0" quotePrefix="1" applyNumberFormat="1" applyFont="1" applyBorder="1" applyAlignment="1">
      <alignment horizontal="center" vertical="top"/>
    </xf>
    <xf numFmtId="4" fontId="18" fillId="0" borderId="14" xfId="0" applyNumberFormat="1" applyFont="1" applyBorder="1" applyAlignment="1">
      <alignment vertical="top"/>
    </xf>
    <xf numFmtId="10" fontId="23" fillId="0" borderId="14" xfId="0" applyNumberFormat="1" applyFont="1" applyBorder="1" applyAlignment="1">
      <alignment horizontal="right" vertical="top"/>
    </xf>
    <xf numFmtId="3" fontId="18" fillId="0" borderId="14" xfId="0" applyNumberFormat="1" applyFont="1" applyBorder="1" applyAlignment="1">
      <alignment vertical="top"/>
    </xf>
    <xf numFmtId="166" fontId="34" fillId="0" borderId="14" xfId="0" applyNumberFormat="1" applyFont="1" applyBorder="1" applyAlignment="1">
      <alignment horizontal="right" vertical="top"/>
    </xf>
    <xf numFmtId="10" fontId="21" fillId="0" borderId="14" xfId="0" applyNumberFormat="1" applyFont="1" applyBorder="1" applyAlignment="1">
      <alignment horizontal="right" vertical="top"/>
    </xf>
    <xf numFmtId="0" fontId="33" fillId="0" borderId="14" xfId="0" applyFont="1" applyBorder="1" applyAlignment="1">
      <alignment vertical="top" wrapText="1"/>
    </xf>
    <xf numFmtId="10" fontId="23" fillId="2" borderId="14" xfId="0" applyNumberFormat="1" applyFont="1" applyFill="1" applyBorder="1" applyAlignment="1">
      <alignment horizontal="right" vertical="top"/>
    </xf>
    <xf numFmtId="10" fontId="21" fillId="2" borderId="14" xfId="0" applyNumberFormat="1" applyFont="1" applyFill="1" applyBorder="1" applyAlignment="1">
      <alignment horizontal="right" vertical="top"/>
    </xf>
    <xf numFmtId="4" fontId="22" fillId="0" borderId="13" xfId="0" applyNumberFormat="1" applyFont="1" applyBorder="1" applyAlignment="1">
      <alignment vertical="center"/>
    </xf>
    <xf numFmtId="10" fontId="24" fillId="2" borderId="13" xfId="0" applyNumberFormat="1" applyFont="1" applyFill="1" applyBorder="1" applyAlignment="1">
      <alignment horizontal="right" vertical="center"/>
    </xf>
    <xf numFmtId="3" fontId="22" fillId="0" borderId="13" xfId="0" applyNumberFormat="1" applyFont="1" applyBorder="1" applyAlignment="1">
      <alignment vertical="center"/>
    </xf>
    <xf numFmtId="166" fontId="19" fillId="0" borderId="13" xfId="0" applyNumberFormat="1" applyFont="1" applyBorder="1" applyAlignment="1">
      <alignment horizontal="right" vertical="center"/>
    </xf>
    <xf numFmtId="166" fontId="19" fillId="0" borderId="28" xfId="0" applyNumberFormat="1" applyFont="1" applyBorder="1" applyAlignment="1">
      <alignment vertical="center"/>
    </xf>
    <xf numFmtId="10" fontId="20" fillId="2" borderId="13" xfId="0" applyNumberFormat="1" applyFont="1" applyFill="1" applyBorder="1" applyAlignment="1">
      <alignment horizontal="right" vertical="center"/>
    </xf>
    <xf numFmtId="0" fontId="22" fillId="0" borderId="28" xfId="0" applyFont="1" applyBorder="1" applyAlignment="1">
      <alignment vertical="center"/>
    </xf>
    <xf numFmtId="4" fontId="22" fillId="0" borderId="15" xfId="0" applyNumberFormat="1" applyFont="1" applyBorder="1" applyAlignment="1">
      <alignment vertical="center"/>
    </xf>
    <xf numFmtId="10" fontId="24" fillId="0" borderId="24" xfId="0" applyNumberFormat="1" applyFont="1" applyBorder="1" applyAlignment="1">
      <alignment vertical="center"/>
    </xf>
    <xf numFmtId="3" fontId="22" fillId="0" borderId="24" xfId="0" applyNumberFormat="1" applyFont="1" applyBorder="1" applyAlignment="1">
      <alignment vertical="center"/>
    </xf>
    <xf numFmtId="166" fontId="19" fillId="0" borderId="15" xfId="0" applyNumberFormat="1" applyFont="1" applyBorder="1" applyAlignment="1">
      <alignment horizontal="right" vertical="center"/>
    </xf>
    <xf numFmtId="10" fontId="20" fillId="0" borderId="24" xfId="0" applyNumberFormat="1" applyFont="1" applyBorder="1" applyAlignment="1">
      <alignment horizontal="right" vertical="center"/>
    </xf>
    <xf numFmtId="10" fontId="20" fillId="0" borderId="24" xfId="0" applyNumberFormat="1" applyFont="1" applyBorder="1" applyAlignment="1">
      <alignment vertical="center"/>
    </xf>
    <xf numFmtId="0" fontId="22" fillId="0" borderId="24" xfId="0" applyFont="1" applyBorder="1" applyAlignment="1">
      <alignment vertical="center"/>
    </xf>
    <xf numFmtId="0" fontId="22" fillId="2" borderId="5" xfId="0" applyFont="1" applyFill="1" applyBorder="1" applyAlignment="1">
      <alignment vertical="center"/>
    </xf>
    <xf numFmtId="0" fontId="22" fillId="2" borderId="0" xfId="0" applyFont="1" applyFill="1" applyAlignment="1">
      <alignment vertical="center"/>
    </xf>
    <xf numFmtId="0" fontId="31" fillId="2" borderId="8" xfId="0" applyFont="1" applyFill="1" applyBorder="1" applyAlignment="1">
      <alignment vertical="center"/>
    </xf>
    <xf numFmtId="0" fontId="31" fillId="2" borderId="9" xfId="0" applyFont="1" applyFill="1" applyBorder="1" applyAlignment="1">
      <alignment vertical="center"/>
    </xf>
    <xf numFmtId="164" fontId="4" fillId="0" borderId="0" xfId="0" applyNumberFormat="1" applyFont="1" applyAlignment="1">
      <alignment vertical="top"/>
    </xf>
    <xf numFmtId="17" fontId="5" fillId="0" borderId="0" xfId="0" applyNumberFormat="1" applyFont="1" applyAlignment="1">
      <alignment vertical="center"/>
    </xf>
    <xf numFmtId="0" fontId="39" fillId="0" borderId="35" xfId="7" applyFont="1" applyBorder="1" applyAlignment="1">
      <alignment horizontal="right" vertical="center"/>
    </xf>
    <xf numFmtId="0" fontId="39" fillId="6" borderId="32" xfId="7" applyFont="1" applyFill="1" applyBorder="1" applyAlignment="1">
      <alignment horizontal="center" vertical="center"/>
    </xf>
    <xf numFmtId="170" fontId="39" fillId="6" borderId="32" xfId="7" applyNumberFormat="1" applyFont="1" applyFill="1" applyBorder="1" applyAlignment="1">
      <alignment horizontal="center" vertical="center"/>
    </xf>
    <xf numFmtId="0" fontId="39" fillId="0" borderId="35" xfId="7" applyFont="1" applyBorder="1" applyAlignment="1">
      <alignment horizontal="center" vertical="center"/>
    </xf>
    <xf numFmtId="4" fontId="39" fillId="6" borderId="32" xfId="7" applyNumberFormat="1" applyFont="1" applyFill="1" applyBorder="1" applyAlignment="1">
      <alignment horizontal="center" vertical="center"/>
    </xf>
    <xf numFmtId="0" fontId="39" fillId="0" borderId="0" xfId="7" applyFont="1" applyAlignment="1">
      <alignment vertical="center"/>
    </xf>
    <xf numFmtId="174" fontId="39" fillId="6" borderId="32" xfId="7" applyNumberFormat="1" applyFont="1" applyFill="1" applyBorder="1" applyAlignment="1">
      <alignment horizontal="center" vertical="center"/>
    </xf>
    <xf numFmtId="0" fontId="12" fillId="0" borderId="11" xfId="0" applyFont="1" applyBorder="1" applyAlignment="1">
      <alignment horizontal="left" vertical="center"/>
    </xf>
    <xf numFmtId="170" fontId="12" fillId="0" borderId="11" xfId="0" applyNumberFormat="1" applyFont="1" applyBorder="1" applyAlignment="1">
      <alignment horizontal="left" vertical="center"/>
    </xf>
    <xf numFmtId="0" fontId="12" fillId="0" borderId="12" xfId="0" applyFont="1" applyBorder="1" applyAlignment="1">
      <alignment horizontal="left" vertical="center"/>
    </xf>
    <xf numFmtId="0" fontId="5" fillId="0" borderId="32" xfId="0" applyFont="1" applyBorder="1" applyAlignment="1">
      <alignment horizontal="center" vertical="center"/>
    </xf>
    <xf numFmtId="0" fontId="33" fillId="0" borderId="32" xfId="0" applyFont="1" applyBorder="1" applyAlignment="1">
      <alignment vertical="top" wrapText="1"/>
    </xf>
    <xf numFmtId="0" fontId="43" fillId="0" borderId="18" xfId="0" applyFont="1" applyBorder="1" applyAlignment="1">
      <alignment horizontal="center" vertical="center"/>
    </xf>
    <xf numFmtId="0" fontId="43" fillId="0" borderId="14" xfId="0" applyFont="1" applyBorder="1" applyAlignment="1">
      <alignment horizontal="center" vertical="center"/>
    </xf>
    <xf numFmtId="0" fontId="43" fillId="0" borderId="18" xfId="0" quotePrefix="1" applyFont="1" applyBorder="1" applyAlignment="1">
      <alignment horizontal="center" vertical="center"/>
    </xf>
    <xf numFmtId="174" fontId="43" fillId="0" borderId="18" xfId="0" applyNumberFormat="1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76" fontId="4" fillId="0" borderId="18" xfId="0" applyNumberFormat="1" applyFont="1" applyBorder="1" applyAlignment="1">
      <alignment horizontal="center" vertical="center"/>
    </xf>
    <xf numFmtId="177" fontId="4" fillId="0" borderId="18" xfId="0" applyNumberFormat="1" applyFont="1" applyBorder="1" applyAlignment="1">
      <alignment horizontal="center" vertical="center"/>
    </xf>
    <xf numFmtId="178" fontId="4" fillId="0" borderId="18" xfId="0" applyNumberFormat="1" applyFont="1" applyBorder="1" applyAlignment="1">
      <alignment horizontal="center" vertical="center"/>
    </xf>
    <xf numFmtId="0" fontId="43" fillId="0" borderId="14" xfId="0" quotePrefix="1" applyFont="1" applyBorder="1" applyAlignment="1">
      <alignment horizontal="center" vertical="center"/>
    </xf>
    <xf numFmtId="174" fontId="43" fillId="0" borderId="14" xfId="0" applyNumberFormat="1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176" fontId="4" fillId="0" borderId="14" xfId="0" applyNumberFormat="1" applyFont="1" applyBorder="1" applyAlignment="1">
      <alignment horizontal="center" vertical="center"/>
    </xf>
    <xf numFmtId="177" fontId="4" fillId="0" borderId="14" xfId="0" applyNumberFormat="1" applyFont="1" applyBorder="1" applyAlignment="1">
      <alignment horizontal="center" vertical="center"/>
    </xf>
    <xf numFmtId="178" fontId="4" fillId="0" borderId="14" xfId="0" applyNumberFormat="1" applyFont="1" applyBorder="1" applyAlignment="1">
      <alignment horizontal="center" vertical="center"/>
    </xf>
    <xf numFmtId="0" fontId="43" fillId="0" borderId="15" xfId="0" applyFont="1" applyBorder="1" applyAlignment="1">
      <alignment horizontal="center" vertical="center"/>
    </xf>
    <xf numFmtId="0" fontId="43" fillId="0" borderId="15" xfId="0" quotePrefix="1" applyFont="1" applyBorder="1" applyAlignment="1">
      <alignment horizontal="center" vertical="center"/>
    </xf>
    <xf numFmtId="174" fontId="43" fillId="0" borderId="15" xfId="0" applyNumberFormat="1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176" fontId="4" fillId="0" borderId="15" xfId="0" applyNumberFormat="1" applyFont="1" applyBorder="1" applyAlignment="1">
      <alignment horizontal="center" vertical="center"/>
    </xf>
    <xf numFmtId="177" fontId="4" fillId="0" borderId="15" xfId="0" applyNumberFormat="1" applyFont="1" applyBorder="1" applyAlignment="1">
      <alignment horizontal="center" vertical="center"/>
    </xf>
    <xf numFmtId="178" fontId="4" fillId="0" borderId="15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right" vertical="center"/>
    </xf>
    <xf numFmtId="169" fontId="5" fillId="0" borderId="0" xfId="0" applyNumberFormat="1" applyFont="1" applyAlignment="1">
      <alignment vertical="center"/>
    </xf>
    <xf numFmtId="0" fontId="5" fillId="0" borderId="5" xfId="0" applyFont="1" applyBorder="1" applyAlignment="1">
      <alignment horizontal="right" vertical="center"/>
    </xf>
    <xf numFmtId="0" fontId="13" fillId="0" borderId="2" xfId="0" applyFont="1" applyBorder="1" applyAlignment="1">
      <alignment vertical="center"/>
    </xf>
    <xf numFmtId="0" fontId="5" fillId="0" borderId="7" xfId="0" applyFont="1" applyBorder="1" applyAlignment="1">
      <alignment horizontal="right" vertical="center"/>
    </xf>
    <xf numFmtId="169" fontId="5" fillId="0" borderId="8" xfId="0" applyNumberFormat="1" applyFont="1" applyBorder="1" applyAlignment="1">
      <alignment vertical="center"/>
    </xf>
    <xf numFmtId="0" fontId="5" fillId="0" borderId="8" xfId="0" applyFont="1" applyBorder="1" applyAlignment="1">
      <alignment horizontal="right" vertical="center"/>
    </xf>
    <xf numFmtId="0" fontId="13" fillId="0" borderId="9" xfId="0" applyFont="1" applyBorder="1" applyAlignment="1">
      <alignment vertical="center"/>
    </xf>
    <xf numFmtId="0" fontId="13" fillId="0" borderId="17" xfId="0" applyFont="1" applyBorder="1" applyAlignment="1">
      <alignment horizontal="center" vertical="center"/>
    </xf>
    <xf numFmtId="168" fontId="4" fillId="0" borderId="14" xfId="0" quotePrefix="1" applyNumberFormat="1" applyFont="1" applyBorder="1" applyAlignment="1">
      <alignment horizontal="center" vertical="center"/>
    </xf>
    <xf numFmtId="166" fontId="5" fillId="0" borderId="22" xfId="0" applyNumberFormat="1" applyFont="1" applyBorder="1" applyAlignment="1">
      <alignment horizontal="center" vertical="top" wrapText="1"/>
    </xf>
    <xf numFmtId="0" fontId="13" fillId="0" borderId="15" xfId="0" applyFont="1" applyBorder="1" applyAlignment="1">
      <alignment horizontal="center" vertical="center"/>
    </xf>
    <xf numFmtId="0" fontId="11" fillId="0" borderId="22" xfId="0" applyFont="1" applyBorder="1" applyAlignment="1">
      <alignment horizontal="center" vertical="center"/>
    </xf>
    <xf numFmtId="0" fontId="5" fillId="0" borderId="3" xfId="0" applyFont="1" applyBorder="1" applyAlignment="1">
      <alignment horizontal="right" vertical="center"/>
    </xf>
    <xf numFmtId="0" fontId="13" fillId="0" borderId="0" xfId="0" applyFont="1" applyAlignment="1">
      <alignment vertical="center"/>
    </xf>
    <xf numFmtId="0" fontId="11" fillId="0" borderId="4" xfId="0" applyFont="1" applyBorder="1" applyAlignment="1">
      <alignment horizontal="center" vertical="center"/>
    </xf>
    <xf numFmtId="0" fontId="11" fillId="0" borderId="8" xfId="0" applyFont="1" applyBorder="1" applyAlignment="1">
      <alignment vertical="center"/>
    </xf>
    <xf numFmtId="0" fontId="11" fillId="0" borderId="9" xfId="0" applyFont="1" applyBorder="1" applyAlignment="1">
      <alignment horizontal="center" vertical="center"/>
    </xf>
    <xf numFmtId="168" fontId="4" fillId="0" borderId="13" xfId="0" quotePrefix="1" applyNumberFormat="1" applyFont="1" applyBorder="1" applyAlignment="1">
      <alignment horizontal="center" vertical="center"/>
    </xf>
    <xf numFmtId="4" fontId="11" fillId="0" borderId="0" xfId="0" applyNumberFormat="1" applyFont="1" applyAlignment="1">
      <alignment vertical="center"/>
    </xf>
    <xf numFmtId="172" fontId="11" fillId="0" borderId="0" xfId="0" applyNumberFormat="1" applyFont="1" applyAlignment="1">
      <alignment vertical="center"/>
    </xf>
    <xf numFmtId="166" fontId="11" fillId="0" borderId="0" xfId="0" applyNumberFormat="1" applyFont="1" applyAlignment="1">
      <alignment vertical="center"/>
    </xf>
    <xf numFmtId="10" fontId="11" fillId="0" borderId="0" xfId="0" applyNumberFormat="1" applyFont="1" applyAlignment="1">
      <alignment vertical="center"/>
    </xf>
    <xf numFmtId="0" fontId="11" fillId="0" borderId="0" xfId="0" applyFont="1" applyAlignment="1">
      <alignment vertical="center"/>
    </xf>
    <xf numFmtId="0" fontId="13" fillId="0" borderId="0" xfId="0" applyFont="1" applyAlignment="1">
      <alignment vertical="center" wrapText="1"/>
    </xf>
    <xf numFmtId="0" fontId="13" fillId="0" borderId="13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/>
    </xf>
    <xf numFmtId="0" fontId="37" fillId="8" borderId="32" xfId="0" applyFont="1" applyFill="1" applyBorder="1" applyAlignment="1">
      <alignment horizontal="center" vertical="center" wrapText="1"/>
    </xf>
    <xf numFmtId="10" fontId="11" fillId="7" borderId="36" xfId="0" applyNumberFormat="1" applyFont="1" applyFill="1" applyBorder="1" applyAlignment="1">
      <alignment horizontal="center" vertical="center"/>
    </xf>
    <xf numFmtId="0" fontId="13" fillId="0" borderId="17" xfId="0" applyFont="1" applyBorder="1" applyAlignment="1">
      <alignment horizontal="center" vertical="center" wrapText="1"/>
    </xf>
    <xf numFmtId="0" fontId="13" fillId="0" borderId="0" xfId="0" applyFont="1" applyAlignment="1">
      <alignment horizontal="left" vertical="center"/>
    </xf>
    <xf numFmtId="3" fontId="44" fillId="0" borderId="32" xfId="0" applyNumberFormat="1" applyFont="1" applyBorder="1" applyAlignment="1">
      <alignment vertical="center" wrapText="1"/>
    </xf>
    <xf numFmtId="3" fontId="44" fillId="0" borderId="32" xfId="0" applyNumberFormat="1" applyFont="1" applyBorder="1" applyAlignment="1">
      <alignment horizontal="center" vertical="center" wrapText="1"/>
    </xf>
    <xf numFmtId="165" fontId="44" fillId="0" borderId="32" xfId="0" applyNumberFormat="1" applyFont="1" applyBorder="1" applyAlignment="1">
      <alignment vertical="center" wrapText="1"/>
    </xf>
    <xf numFmtId="0" fontId="11" fillId="0" borderId="36" xfId="0" applyFont="1" applyBorder="1" applyAlignment="1">
      <alignment horizontal="center" vertical="center"/>
    </xf>
    <xf numFmtId="49" fontId="44" fillId="0" borderId="32" xfId="0" applyNumberFormat="1" applyFont="1" applyBorder="1" applyAlignment="1">
      <alignment horizontal="center" vertical="center" wrapText="1"/>
    </xf>
    <xf numFmtId="168" fontId="4" fillId="0" borderId="13" xfId="0" quotePrefix="1" applyNumberFormat="1" applyFont="1" applyBorder="1" applyAlignment="1">
      <alignment horizontal="center" vertical="top"/>
    </xf>
    <xf numFmtId="165" fontId="11" fillId="0" borderId="13" xfId="0" applyNumberFormat="1" applyFont="1" applyBorder="1" applyAlignment="1">
      <alignment vertical="top"/>
    </xf>
    <xf numFmtId="172" fontId="11" fillId="0" borderId="13" xfId="0" applyNumberFormat="1" applyFont="1" applyBorder="1" applyAlignment="1">
      <alignment vertical="top"/>
    </xf>
    <xf numFmtId="166" fontId="33" fillId="0" borderId="13" xfId="0" applyNumberFormat="1" applyFont="1" applyBorder="1" applyAlignment="1">
      <alignment horizontal="right" vertical="top"/>
    </xf>
    <xf numFmtId="10" fontId="11" fillId="0" borderId="13" xfId="0" applyNumberFormat="1" applyFont="1" applyBorder="1" applyAlignment="1">
      <alignment vertical="top"/>
    </xf>
    <xf numFmtId="172" fontId="13" fillId="0" borderId="13" xfId="0" applyNumberFormat="1" applyFont="1" applyBorder="1" applyAlignment="1">
      <alignment vertical="top"/>
    </xf>
    <xf numFmtId="172" fontId="11" fillId="0" borderId="36" xfId="0" applyNumberFormat="1" applyFont="1" applyBorder="1" applyAlignment="1">
      <alignment horizontal="center" vertical="center"/>
    </xf>
    <xf numFmtId="168" fontId="4" fillId="0" borderId="14" xfId="0" quotePrefix="1" applyNumberFormat="1" applyFont="1" applyBorder="1" applyAlignment="1">
      <alignment horizontal="center" vertical="top"/>
    </xf>
    <xf numFmtId="165" fontId="11" fillId="0" borderId="14" xfId="0" applyNumberFormat="1" applyFont="1" applyBorder="1" applyAlignment="1">
      <alignment vertical="top"/>
    </xf>
    <xf numFmtId="172" fontId="11" fillId="0" borderId="14" xfId="0" applyNumberFormat="1" applyFont="1" applyBorder="1" applyAlignment="1">
      <alignment vertical="top"/>
    </xf>
    <xf numFmtId="166" fontId="33" fillId="0" borderId="14" xfId="0" applyNumberFormat="1" applyFont="1" applyBorder="1" applyAlignment="1">
      <alignment horizontal="right" vertical="top"/>
    </xf>
    <xf numFmtId="10" fontId="11" fillId="0" borderId="14" xfId="0" applyNumberFormat="1" applyFont="1" applyBorder="1" applyAlignment="1">
      <alignment vertical="top"/>
    </xf>
    <xf numFmtId="172" fontId="13" fillId="0" borderId="14" xfId="0" applyNumberFormat="1" applyFont="1" applyBorder="1" applyAlignment="1">
      <alignment vertical="top"/>
    </xf>
    <xf numFmtId="4" fontId="44" fillId="9" borderId="0" xfId="0" applyNumberFormat="1" applyFont="1" applyFill="1" applyAlignment="1">
      <alignment vertical="center" wrapText="1"/>
    </xf>
    <xf numFmtId="4" fontId="11" fillId="9" borderId="0" xfId="0" applyNumberFormat="1" applyFont="1" applyFill="1" applyAlignment="1">
      <alignment vertical="center"/>
    </xf>
    <xf numFmtId="172" fontId="11" fillId="10" borderId="0" xfId="0" applyNumberFormat="1" applyFont="1" applyFill="1" applyAlignment="1">
      <alignment vertical="center"/>
    </xf>
    <xf numFmtId="0" fontId="11" fillId="0" borderId="0" xfId="0" applyFont="1" applyAlignment="1">
      <alignment horizontal="right" vertical="center"/>
    </xf>
    <xf numFmtId="14" fontId="11" fillId="0" borderId="36" xfId="0" applyNumberFormat="1" applyFont="1" applyBorder="1" applyAlignment="1">
      <alignment horizontal="center" vertical="center"/>
    </xf>
    <xf numFmtId="3" fontId="11" fillId="0" borderId="0" xfId="0" applyNumberFormat="1" applyFont="1" applyAlignment="1">
      <alignment vertical="center"/>
    </xf>
    <xf numFmtId="165" fontId="11" fillId="0" borderId="0" xfId="0" applyNumberFormat="1" applyFont="1" applyAlignment="1">
      <alignment vertical="center"/>
    </xf>
    <xf numFmtId="165" fontId="11" fillId="9" borderId="0" xfId="0" applyNumberFormat="1" applyFont="1" applyFill="1" applyAlignment="1">
      <alignment vertical="center"/>
    </xf>
    <xf numFmtId="172" fontId="11" fillId="11" borderId="0" xfId="0" applyNumberFormat="1" applyFont="1" applyFill="1" applyAlignment="1">
      <alignment vertical="center"/>
    </xf>
    <xf numFmtId="172" fontId="11" fillId="12" borderId="0" xfId="0" applyNumberFormat="1" applyFont="1" applyFill="1" applyAlignment="1">
      <alignment vertical="center"/>
    </xf>
    <xf numFmtId="10" fontId="11" fillId="0" borderId="36" xfId="0" applyNumberFormat="1" applyFont="1" applyBorder="1" applyAlignment="1">
      <alignment horizontal="center" vertical="center"/>
    </xf>
    <xf numFmtId="0" fontId="44" fillId="0" borderId="37" xfId="0" applyFont="1" applyBorder="1" applyAlignment="1">
      <alignment horizontal="right" vertical="center"/>
    </xf>
    <xf numFmtId="165" fontId="44" fillId="9" borderId="0" xfId="0" applyNumberFormat="1" applyFont="1" applyFill="1" applyAlignment="1">
      <alignment vertical="center" wrapText="1"/>
    </xf>
    <xf numFmtId="172" fontId="11" fillId="13" borderId="0" xfId="0" applyNumberFormat="1" applyFont="1" applyFill="1" applyAlignment="1">
      <alignment vertical="center"/>
    </xf>
    <xf numFmtId="166" fontId="33" fillId="0" borderId="14" xfId="0" applyNumberFormat="1" applyFont="1" applyBorder="1" applyAlignment="1">
      <alignment vertical="top"/>
    </xf>
    <xf numFmtId="0" fontId="11" fillId="0" borderId="17" xfId="0" applyFont="1" applyBorder="1" applyAlignment="1">
      <alignment horizontal="center" vertical="center"/>
    </xf>
    <xf numFmtId="170" fontId="4" fillId="0" borderId="17" xfId="0" applyNumberFormat="1" applyFont="1" applyBorder="1" applyAlignment="1">
      <alignment horizontal="center" vertical="center"/>
    </xf>
    <xf numFmtId="49" fontId="4" fillId="0" borderId="17" xfId="0" applyNumberFormat="1" applyFont="1" applyBorder="1" applyAlignment="1">
      <alignment horizontal="center" vertical="center"/>
    </xf>
    <xf numFmtId="0" fontId="13" fillId="0" borderId="18" xfId="1" applyFont="1" applyBorder="1" applyAlignment="1">
      <alignment horizontal="center" vertical="center"/>
    </xf>
    <xf numFmtId="165" fontId="11" fillId="0" borderId="18" xfId="0" applyNumberFormat="1" applyFont="1" applyBorder="1" applyAlignment="1">
      <alignment vertical="center"/>
    </xf>
    <xf numFmtId="172" fontId="11" fillId="0" borderId="18" xfId="0" applyNumberFormat="1" applyFont="1" applyBorder="1" applyAlignment="1">
      <alignment vertical="center"/>
    </xf>
    <xf numFmtId="0" fontId="13" fillId="0" borderId="15" xfId="1" applyFont="1" applyBorder="1" applyAlignment="1">
      <alignment horizontal="center" vertical="center"/>
    </xf>
    <xf numFmtId="165" fontId="11" fillId="0" borderId="15" xfId="0" applyNumberFormat="1" applyFont="1" applyBorder="1" applyAlignment="1">
      <alignment vertical="center"/>
    </xf>
    <xf numFmtId="172" fontId="11" fillId="0" borderId="15" xfId="0" applyNumberFormat="1" applyFont="1" applyBorder="1" applyAlignment="1">
      <alignment vertical="center"/>
    </xf>
    <xf numFmtId="166" fontId="33" fillId="0" borderId="15" xfId="0" applyNumberFormat="1" applyFont="1" applyBorder="1" applyAlignment="1">
      <alignment horizontal="right" vertical="center"/>
    </xf>
    <xf numFmtId="10" fontId="11" fillId="0" borderId="15" xfId="0" applyNumberFormat="1" applyFont="1" applyBorder="1" applyAlignment="1">
      <alignment vertical="center"/>
    </xf>
    <xf numFmtId="0" fontId="22" fillId="0" borderId="0" xfId="0" applyFont="1"/>
    <xf numFmtId="0" fontId="22" fillId="0" borderId="14" xfId="0" applyFont="1" applyBorder="1" applyAlignment="1">
      <alignment horizontal="center" vertical="center"/>
    </xf>
    <xf numFmtId="168" fontId="18" fillId="5" borderId="13" xfId="0" quotePrefix="1" applyNumberFormat="1" applyFont="1" applyFill="1" applyBorder="1" applyAlignment="1">
      <alignment horizontal="center" vertical="top"/>
    </xf>
    <xf numFmtId="0" fontId="18" fillId="0" borderId="13" xfId="0" quotePrefix="1" applyFont="1" applyBorder="1" applyAlignment="1">
      <alignment horizontal="center" vertical="top"/>
    </xf>
    <xf numFmtId="0" fontId="21" fillId="0" borderId="13" xfId="0" quotePrefix="1" applyFont="1" applyBorder="1" applyAlignment="1">
      <alignment horizontal="center" vertical="top"/>
    </xf>
    <xf numFmtId="168" fontId="18" fillId="5" borderId="14" xfId="0" quotePrefix="1" applyNumberFormat="1" applyFont="1" applyFill="1" applyBorder="1" applyAlignment="1">
      <alignment horizontal="center" vertical="top"/>
    </xf>
    <xf numFmtId="0" fontId="18" fillId="0" borderId="14" xfId="0" quotePrefix="1" applyFont="1" applyBorder="1" applyAlignment="1">
      <alignment horizontal="center" vertical="top"/>
    </xf>
    <xf numFmtId="0" fontId="21" fillId="0" borderId="14" xfId="0" quotePrefix="1" applyFont="1" applyBorder="1" applyAlignment="1">
      <alignment horizontal="center" vertical="top"/>
    </xf>
    <xf numFmtId="3" fontId="22" fillId="0" borderId="15" xfId="0" applyNumberFormat="1" applyFont="1" applyBorder="1" applyAlignment="1">
      <alignment horizontal="center" vertical="center"/>
    </xf>
    <xf numFmtId="0" fontId="22" fillId="5" borderId="17" xfId="0" applyFont="1" applyFill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0" fillId="0" borderId="0" xfId="0" applyFont="1"/>
    <xf numFmtId="0" fontId="20" fillId="0" borderId="0" xfId="0" quotePrefix="1" applyFont="1"/>
    <xf numFmtId="0" fontId="39" fillId="0" borderId="0" xfId="5" applyFont="1" applyAlignment="1">
      <alignment vertical="center"/>
    </xf>
    <xf numFmtId="0" fontId="38" fillId="0" borderId="0" xfId="5" applyFont="1" applyAlignment="1">
      <alignment vertical="center"/>
    </xf>
    <xf numFmtId="0" fontId="38" fillId="0" borderId="0" xfId="5" applyFont="1" applyAlignment="1">
      <alignment horizontal="right" vertical="center"/>
    </xf>
    <xf numFmtId="0" fontId="38" fillId="0" borderId="32" xfId="5" applyFont="1" applyBorder="1" applyAlignment="1">
      <alignment horizontal="center" vertical="center"/>
    </xf>
    <xf numFmtId="0" fontId="13" fillId="0" borderId="32" xfId="0" applyFont="1" applyBorder="1" applyAlignment="1">
      <alignment horizontal="center" vertical="center"/>
    </xf>
    <xf numFmtId="168" fontId="4" fillId="0" borderId="32" xfId="0" quotePrefix="1" applyNumberFormat="1" applyFont="1" applyBorder="1" applyAlignment="1">
      <alignment horizontal="center" vertical="center"/>
    </xf>
    <xf numFmtId="0" fontId="39" fillId="0" borderId="32" xfId="5" applyFont="1" applyBorder="1" applyAlignment="1">
      <alignment horizontal="center" vertical="center"/>
    </xf>
    <xf numFmtId="0" fontId="39" fillId="0" borderId="32" xfId="5" applyFont="1" applyBorder="1" applyAlignment="1">
      <alignment vertical="center"/>
    </xf>
    <xf numFmtId="165" fontId="39" fillId="0" borderId="32" xfId="5" applyNumberFormat="1" applyFont="1" applyBorder="1" applyAlignment="1">
      <alignment vertical="center"/>
    </xf>
    <xf numFmtId="165" fontId="39" fillId="0" borderId="32" xfId="5" applyNumberFormat="1" applyFont="1" applyBorder="1" applyAlignment="1">
      <alignment horizontal="center" vertical="center"/>
    </xf>
    <xf numFmtId="3" fontId="39" fillId="0" borderId="32" xfId="5" applyNumberFormat="1" applyFont="1" applyBorder="1" applyAlignment="1">
      <alignment vertical="center"/>
    </xf>
    <xf numFmtId="3" fontId="39" fillId="0" borderId="32" xfId="5" applyNumberFormat="1" applyFont="1" applyBorder="1" applyAlignment="1">
      <alignment horizontal="center" vertical="center"/>
    </xf>
    <xf numFmtId="172" fontId="39" fillId="0" borderId="32" xfId="5" applyNumberFormat="1" applyFont="1" applyBorder="1" applyAlignment="1">
      <alignment vertical="center"/>
    </xf>
    <xf numFmtId="172" fontId="39" fillId="0" borderId="33" xfId="5" applyNumberFormat="1" applyFont="1" applyBorder="1" applyAlignment="1">
      <alignment horizontal="center" vertical="center"/>
    </xf>
    <xf numFmtId="9" fontId="39" fillId="0" borderId="32" xfId="5" applyNumberFormat="1" applyFont="1" applyBorder="1" applyAlignment="1">
      <alignment horizontal="center" vertical="center"/>
    </xf>
    <xf numFmtId="9" fontId="39" fillId="0" borderId="33" xfId="5" applyNumberFormat="1" applyFont="1" applyBorder="1" applyAlignment="1">
      <alignment horizontal="center" vertical="center"/>
    </xf>
    <xf numFmtId="165" fontId="39" fillId="0" borderId="33" xfId="5" applyNumberFormat="1" applyFont="1" applyBorder="1" applyAlignment="1">
      <alignment horizontal="center" vertical="center"/>
    </xf>
    <xf numFmtId="0" fontId="39" fillId="0" borderId="32" xfId="5" quotePrefix="1" applyFont="1" applyBorder="1" applyAlignment="1">
      <alignment vertical="center"/>
    </xf>
    <xf numFmtId="173" fontId="39" fillId="0" borderId="32" xfId="5" applyNumberFormat="1" applyFont="1" applyBorder="1" applyAlignment="1">
      <alignment horizontal="center" vertical="center"/>
    </xf>
    <xf numFmtId="0" fontId="39" fillId="0" borderId="32" xfId="5" applyFont="1" applyBorder="1" applyAlignment="1">
      <alignment vertical="center" wrapText="1"/>
    </xf>
    <xf numFmtId="4" fontId="39" fillId="0" borderId="32" xfId="5" applyNumberFormat="1" applyFont="1" applyBorder="1" applyAlignment="1">
      <alignment vertical="center"/>
    </xf>
    <xf numFmtId="4" fontId="39" fillId="0" borderId="32" xfId="5" applyNumberFormat="1" applyFont="1" applyBorder="1" applyAlignment="1">
      <alignment horizontal="center" vertical="center"/>
    </xf>
    <xf numFmtId="174" fontId="39" fillId="0" borderId="32" xfId="5" applyNumberFormat="1" applyFont="1" applyBorder="1" applyAlignment="1">
      <alignment vertical="center"/>
    </xf>
    <xf numFmtId="175" fontId="39" fillId="0" borderId="32" xfId="6" applyNumberFormat="1" applyFont="1" applyFill="1" applyBorder="1" applyAlignment="1" applyProtection="1">
      <alignment vertical="center"/>
    </xf>
    <xf numFmtId="0" fontId="41" fillId="0" borderId="0" xfId="5" applyFont="1" applyAlignment="1">
      <alignment vertical="center"/>
    </xf>
    <xf numFmtId="0" fontId="39" fillId="0" borderId="0" xfId="5" applyFont="1" applyAlignment="1">
      <alignment horizontal="center" vertical="center"/>
    </xf>
    <xf numFmtId="170" fontId="4" fillId="0" borderId="13" xfId="0" applyNumberFormat="1" applyFont="1" applyBorder="1" applyAlignment="1" applyProtection="1">
      <alignment horizontal="center" vertical="top"/>
      <protection locked="0"/>
    </xf>
    <xf numFmtId="170" fontId="4" fillId="0" borderId="14" xfId="0" applyNumberFormat="1" applyFont="1" applyBorder="1" applyAlignment="1" applyProtection="1">
      <alignment horizontal="center" vertical="top"/>
      <protection locked="0"/>
    </xf>
    <xf numFmtId="49" fontId="4" fillId="0" borderId="14" xfId="0" applyNumberFormat="1" applyFont="1" applyBorder="1" applyAlignment="1" applyProtection="1">
      <alignment horizontal="center" vertical="top"/>
      <protection locked="0"/>
    </xf>
    <xf numFmtId="172" fontId="11" fillId="0" borderId="13" xfId="0" applyNumberFormat="1" applyFont="1" applyBorder="1" applyAlignment="1" applyProtection="1">
      <alignment vertical="top"/>
      <protection locked="0"/>
    </xf>
    <xf numFmtId="172" fontId="11" fillId="0" borderId="14" xfId="0" applyNumberFormat="1" applyFont="1" applyBorder="1" applyAlignment="1" applyProtection="1">
      <alignment vertical="top"/>
      <protection locked="0"/>
    </xf>
    <xf numFmtId="166" fontId="5" fillId="0" borderId="13" xfId="0" applyNumberFormat="1" applyFont="1" applyBorder="1" applyAlignment="1" applyProtection="1">
      <alignment horizontal="center" vertical="top" wrapText="1"/>
      <protection locked="0"/>
    </xf>
    <xf numFmtId="166" fontId="5" fillId="0" borderId="14" xfId="0" applyNumberFormat="1" applyFont="1" applyBorder="1" applyAlignment="1" applyProtection="1">
      <alignment horizontal="center" vertical="top" wrapText="1"/>
      <protection locked="0"/>
    </xf>
    <xf numFmtId="0" fontId="22" fillId="2" borderId="5" xfId="0" applyFont="1" applyFill="1" applyBorder="1" applyAlignment="1" applyProtection="1">
      <alignment horizontal="right" vertical="center"/>
      <protection locked="0"/>
    </xf>
    <xf numFmtId="0" fontId="22" fillId="2" borderId="0" xfId="0" applyFont="1" applyFill="1" applyAlignment="1" applyProtection="1">
      <alignment horizontal="right" vertical="center"/>
      <protection locked="0"/>
    </xf>
    <xf numFmtId="0" fontId="22" fillId="2" borderId="8" xfId="0" applyFont="1" applyFill="1" applyBorder="1" applyAlignment="1" applyProtection="1">
      <alignment horizontal="right" vertical="center"/>
      <protection locked="0"/>
    </xf>
    <xf numFmtId="0" fontId="18" fillId="2" borderId="9" xfId="0" applyFont="1" applyFill="1" applyBorder="1" applyAlignment="1" applyProtection="1">
      <alignment vertical="center"/>
      <protection locked="0"/>
    </xf>
    <xf numFmtId="172" fontId="4" fillId="0" borderId="13" xfId="0" applyNumberFormat="1" applyFont="1" applyBorder="1" applyAlignment="1" applyProtection="1">
      <alignment horizontal="center" vertical="top" wrapText="1"/>
      <protection locked="0"/>
    </xf>
    <xf numFmtId="172" fontId="4" fillId="0" borderId="14" xfId="0" applyNumberFormat="1" applyFont="1" applyBorder="1" applyAlignment="1" applyProtection="1">
      <alignment horizontal="center" vertical="top" wrapText="1"/>
      <protection locked="0"/>
    </xf>
    <xf numFmtId="172" fontId="4" fillId="0" borderId="15" xfId="0" applyNumberFormat="1" applyFont="1" applyBorder="1" applyAlignment="1" applyProtection="1">
      <alignment horizontal="center" vertical="top" wrapText="1"/>
      <protection locked="0"/>
    </xf>
    <xf numFmtId="0" fontId="33" fillId="0" borderId="18" xfId="0" applyFont="1" applyBorder="1" applyAlignment="1" applyProtection="1">
      <alignment vertical="top" wrapText="1"/>
      <protection locked="0"/>
    </xf>
    <xf numFmtId="168" fontId="18" fillId="0" borderId="13" xfId="0" quotePrefix="1" applyNumberFormat="1" applyFont="1" applyBorder="1" applyAlignment="1" applyProtection="1">
      <alignment horizontal="center" vertical="top"/>
      <protection locked="0"/>
    </xf>
    <xf numFmtId="10" fontId="21" fillId="0" borderId="13" xfId="0" applyNumberFormat="1" applyFont="1" applyBorder="1" applyAlignment="1" applyProtection="1">
      <alignment horizontal="right" vertical="top"/>
      <protection locked="0"/>
    </xf>
    <xf numFmtId="168" fontId="18" fillId="0" borderId="14" xfId="0" quotePrefix="1" applyNumberFormat="1" applyFont="1" applyBorder="1" applyAlignment="1" applyProtection="1">
      <alignment horizontal="center" vertical="top"/>
      <protection locked="0"/>
    </xf>
    <xf numFmtId="10" fontId="21" fillId="0" borderId="14" xfId="0" applyNumberFormat="1" applyFont="1" applyBorder="1" applyAlignment="1" applyProtection="1">
      <alignment horizontal="right" vertical="top"/>
      <protection locked="0"/>
    </xf>
    <xf numFmtId="10" fontId="21" fillId="2" borderId="14" xfId="0" applyNumberFormat="1" applyFont="1" applyFill="1" applyBorder="1" applyAlignment="1" applyProtection="1">
      <alignment horizontal="right" vertical="top"/>
      <protection locked="0"/>
    </xf>
    <xf numFmtId="0" fontId="5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alignment horizontal="left" vertical="center"/>
      <protection locked="0"/>
    </xf>
    <xf numFmtId="0" fontId="16" fillId="0" borderId="0" xfId="0" applyFont="1" applyAlignment="1" applyProtection="1">
      <alignment vertical="center"/>
      <protection locked="0"/>
    </xf>
    <xf numFmtId="0" fontId="5" fillId="0" borderId="9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170" fontId="4" fillId="0" borderId="32" xfId="0" applyNumberFormat="1" applyFont="1" applyBorder="1" applyAlignment="1">
      <alignment horizontal="center" vertical="top"/>
    </xf>
    <xf numFmtId="0" fontId="11" fillId="0" borderId="38" xfId="0" applyFont="1" applyBorder="1" applyAlignment="1">
      <alignment horizontal="center" vertical="center"/>
    </xf>
    <xf numFmtId="0" fontId="18" fillId="0" borderId="0" xfId="0" applyFont="1" applyProtection="1">
      <protection locked="0"/>
    </xf>
    <xf numFmtId="0" fontId="22" fillId="0" borderId="40" xfId="0" applyFont="1" applyBorder="1" applyAlignment="1">
      <alignment horizontal="center" vertical="center"/>
    </xf>
    <xf numFmtId="0" fontId="22" fillId="0" borderId="41" xfId="0" applyFont="1" applyBorder="1" applyAlignment="1">
      <alignment horizontal="center" vertical="center"/>
    </xf>
    <xf numFmtId="0" fontId="22" fillId="0" borderId="42" xfId="0" applyFont="1" applyBorder="1" applyAlignment="1">
      <alignment horizontal="center" vertical="center"/>
    </xf>
    <xf numFmtId="172" fontId="18" fillId="0" borderId="13" xfId="0" applyNumberFormat="1" applyFont="1" applyBorder="1" applyAlignment="1">
      <alignment vertical="top"/>
    </xf>
    <xf numFmtId="172" fontId="18" fillId="0" borderId="14" xfId="0" applyNumberFormat="1" applyFont="1" applyBorder="1" applyAlignment="1">
      <alignment vertical="top"/>
    </xf>
    <xf numFmtId="172" fontId="22" fillId="0" borderId="13" xfId="0" applyNumberFormat="1" applyFont="1" applyBorder="1" applyAlignment="1">
      <alignment vertical="center"/>
    </xf>
    <xf numFmtId="172" fontId="22" fillId="0" borderId="15" xfId="0" applyNumberFormat="1" applyFont="1" applyBorder="1" applyAlignment="1">
      <alignment vertical="center"/>
    </xf>
    <xf numFmtId="172" fontId="22" fillId="0" borderId="24" xfId="0" applyNumberFormat="1" applyFont="1" applyBorder="1" applyAlignment="1">
      <alignment vertical="center"/>
    </xf>
    <xf numFmtId="172" fontId="18" fillId="0" borderId="13" xfId="0" applyNumberFormat="1" applyFont="1" applyBorder="1" applyAlignment="1" applyProtection="1">
      <alignment vertical="top"/>
      <protection locked="0"/>
    </xf>
    <xf numFmtId="172" fontId="18" fillId="0" borderId="14" xfId="0" applyNumberFormat="1" applyFont="1" applyBorder="1" applyAlignment="1" applyProtection="1">
      <alignment vertical="top"/>
      <protection locked="0"/>
    </xf>
    <xf numFmtId="0" fontId="22" fillId="0" borderId="43" xfId="0" applyFont="1" applyBorder="1" applyAlignment="1">
      <alignment horizontal="center" vertical="center"/>
    </xf>
    <xf numFmtId="0" fontId="22" fillId="0" borderId="32" xfId="0" applyFont="1" applyBorder="1" applyAlignment="1">
      <alignment horizontal="center" vertical="center"/>
    </xf>
    <xf numFmtId="0" fontId="22" fillId="0" borderId="44" xfId="0" applyFont="1" applyBorder="1" applyAlignment="1">
      <alignment horizontal="center" vertical="center"/>
    </xf>
    <xf numFmtId="165" fontId="18" fillId="0" borderId="45" xfId="0" applyNumberFormat="1" applyFont="1" applyBorder="1" applyAlignment="1">
      <alignment vertical="top"/>
    </xf>
    <xf numFmtId="165" fontId="18" fillId="0" borderId="46" xfId="0" applyNumberFormat="1" applyFont="1" applyBorder="1" applyAlignment="1">
      <alignment vertical="top"/>
    </xf>
    <xf numFmtId="165" fontId="18" fillId="0" borderId="47" xfId="0" applyNumberFormat="1" applyFont="1" applyBorder="1" applyAlignment="1">
      <alignment vertical="top"/>
    </xf>
    <xf numFmtId="3" fontId="18" fillId="0" borderId="45" xfId="0" applyNumberFormat="1" applyFont="1" applyBorder="1" applyAlignment="1">
      <alignment vertical="top"/>
    </xf>
    <xf numFmtId="3" fontId="18" fillId="0" borderId="46" xfId="0" applyNumberFormat="1" applyFont="1" applyBorder="1" applyAlignment="1">
      <alignment vertical="top"/>
    </xf>
    <xf numFmtId="3" fontId="18" fillId="0" borderId="47" xfId="0" applyNumberFormat="1" applyFont="1" applyBorder="1" applyAlignment="1">
      <alignment vertical="top"/>
    </xf>
    <xf numFmtId="172" fontId="18" fillId="0" borderId="45" xfId="0" applyNumberFormat="1" applyFont="1" applyBorder="1" applyAlignment="1">
      <alignment vertical="top"/>
    </xf>
    <xf numFmtId="172" fontId="18" fillId="0" borderId="46" xfId="0" applyNumberFormat="1" applyFont="1" applyBorder="1" applyAlignment="1">
      <alignment vertical="top"/>
    </xf>
    <xf numFmtId="172" fontId="18" fillId="0" borderId="47" xfId="0" applyNumberFormat="1" applyFont="1" applyBorder="1" applyAlignment="1">
      <alignment vertical="top"/>
    </xf>
    <xf numFmtId="4" fontId="18" fillId="0" borderId="45" xfId="0" applyNumberFormat="1" applyFont="1" applyBorder="1" applyAlignment="1">
      <alignment vertical="top"/>
    </xf>
    <xf numFmtId="4" fontId="18" fillId="0" borderId="46" xfId="0" applyNumberFormat="1" applyFont="1" applyBorder="1" applyAlignment="1">
      <alignment vertical="top"/>
    </xf>
    <xf numFmtId="4" fontId="18" fillId="0" borderId="47" xfId="0" applyNumberFormat="1" applyFont="1" applyBorder="1" applyAlignment="1">
      <alignment vertical="top"/>
    </xf>
    <xf numFmtId="165" fontId="18" fillId="0" borderId="43" xfId="0" applyNumberFormat="1" applyFont="1" applyBorder="1" applyAlignment="1">
      <alignment vertical="top"/>
    </xf>
    <xf numFmtId="165" fontId="18" fillId="0" borderId="32" xfId="0" applyNumberFormat="1" applyFont="1" applyBorder="1" applyAlignment="1">
      <alignment vertical="top"/>
    </xf>
    <xf numFmtId="165" fontId="18" fillId="0" borderId="44" xfId="0" applyNumberFormat="1" applyFont="1" applyBorder="1" applyAlignment="1">
      <alignment vertical="top"/>
    </xf>
    <xf numFmtId="3" fontId="18" fillId="0" borderId="43" xfId="0" applyNumberFormat="1" applyFont="1" applyBorder="1" applyAlignment="1">
      <alignment vertical="top"/>
    </xf>
    <xf numFmtId="3" fontId="18" fillId="0" borderId="32" xfId="0" applyNumberFormat="1" applyFont="1" applyBorder="1" applyAlignment="1">
      <alignment vertical="top"/>
    </xf>
    <xf numFmtId="3" fontId="18" fillId="0" borderId="44" xfId="0" applyNumberFormat="1" applyFont="1" applyBorder="1" applyAlignment="1">
      <alignment vertical="top"/>
    </xf>
    <xf numFmtId="172" fontId="18" fillId="0" borderId="43" xfId="0" applyNumberFormat="1" applyFont="1" applyBorder="1" applyAlignment="1">
      <alignment vertical="top"/>
    </xf>
    <xf numFmtId="172" fontId="18" fillId="0" borderId="32" xfId="0" applyNumberFormat="1" applyFont="1" applyBorder="1" applyAlignment="1">
      <alignment vertical="top"/>
    </xf>
    <xf numFmtId="172" fontId="18" fillId="0" borderId="44" xfId="0" applyNumberFormat="1" applyFont="1" applyBorder="1" applyAlignment="1">
      <alignment vertical="top"/>
    </xf>
    <xf numFmtId="4" fontId="18" fillId="0" borderId="43" xfId="0" applyNumberFormat="1" applyFont="1" applyBorder="1" applyAlignment="1">
      <alignment vertical="top"/>
    </xf>
    <xf numFmtId="4" fontId="18" fillId="0" borderId="32" xfId="0" applyNumberFormat="1" applyFont="1" applyBorder="1" applyAlignment="1">
      <alignment vertical="top"/>
    </xf>
    <xf numFmtId="4" fontId="18" fillId="0" borderId="44" xfId="0" applyNumberFormat="1" applyFont="1" applyBorder="1" applyAlignment="1">
      <alignment vertical="top"/>
    </xf>
    <xf numFmtId="165" fontId="18" fillId="0" borderId="40" xfId="0" applyNumberFormat="1" applyFont="1" applyBorder="1" applyAlignment="1">
      <alignment vertical="top"/>
    </xf>
    <xf numFmtId="165" fontId="18" fillId="0" borderId="41" xfId="0" applyNumberFormat="1" applyFont="1" applyBorder="1" applyAlignment="1">
      <alignment vertical="top"/>
    </xf>
    <xf numFmtId="165" fontId="18" fillId="0" borderId="42" xfId="0" applyNumberFormat="1" applyFont="1" applyBorder="1" applyAlignment="1">
      <alignment vertical="top"/>
    </xf>
    <xf numFmtId="3" fontId="18" fillId="0" borderId="40" xfId="0" applyNumberFormat="1" applyFont="1" applyBorder="1" applyAlignment="1">
      <alignment vertical="top"/>
    </xf>
    <xf numFmtId="3" fontId="18" fillId="0" borderId="41" xfId="0" applyNumberFormat="1" applyFont="1" applyBorder="1" applyAlignment="1">
      <alignment vertical="top"/>
    </xf>
    <xf numFmtId="3" fontId="18" fillId="0" borderId="42" xfId="0" applyNumberFormat="1" applyFont="1" applyBorder="1" applyAlignment="1">
      <alignment vertical="top"/>
    </xf>
    <xf numFmtId="172" fontId="18" fillId="0" borderId="40" xfId="0" applyNumberFormat="1" applyFont="1" applyBorder="1" applyAlignment="1">
      <alignment vertical="top"/>
    </xf>
    <xf numFmtId="172" fontId="18" fillId="0" borderId="41" xfId="0" applyNumberFormat="1" applyFont="1" applyBorder="1" applyAlignment="1">
      <alignment vertical="top"/>
    </xf>
    <xf numFmtId="172" fontId="18" fillId="0" borderId="42" xfId="0" applyNumberFormat="1" applyFont="1" applyBorder="1" applyAlignment="1">
      <alignment vertical="top"/>
    </xf>
    <xf numFmtId="4" fontId="18" fillId="0" borderId="40" xfId="0" applyNumberFormat="1" applyFont="1" applyBorder="1" applyAlignment="1">
      <alignment vertical="top"/>
    </xf>
    <xf numFmtId="4" fontId="18" fillId="0" borderId="41" xfId="0" applyNumberFormat="1" applyFont="1" applyBorder="1" applyAlignment="1">
      <alignment vertical="top"/>
    </xf>
    <xf numFmtId="4" fontId="18" fillId="0" borderId="42" xfId="0" applyNumberFormat="1" applyFont="1" applyBorder="1" applyAlignment="1">
      <alignment vertical="top"/>
    </xf>
    <xf numFmtId="165" fontId="22" fillId="0" borderId="48" xfId="0" applyNumberFormat="1" applyFont="1" applyBorder="1" applyAlignment="1">
      <alignment vertical="center"/>
    </xf>
    <xf numFmtId="165" fontId="22" fillId="0" borderId="49" xfId="0" applyNumberFormat="1" applyFont="1" applyBorder="1" applyAlignment="1">
      <alignment vertical="center"/>
    </xf>
    <xf numFmtId="165" fontId="22" fillId="0" borderId="50" xfId="0" applyNumberFormat="1" applyFont="1" applyBorder="1" applyAlignment="1">
      <alignment vertical="center"/>
    </xf>
    <xf numFmtId="3" fontId="22" fillId="0" borderId="48" xfId="0" applyNumberFormat="1" applyFont="1" applyBorder="1" applyAlignment="1">
      <alignment vertical="center"/>
    </xf>
    <xf numFmtId="3" fontId="22" fillId="0" borderId="49" xfId="0" applyNumberFormat="1" applyFont="1" applyBorder="1" applyAlignment="1">
      <alignment vertical="center"/>
    </xf>
    <xf numFmtId="3" fontId="22" fillId="0" borderId="50" xfId="0" applyNumberFormat="1" applyFont="1" applyBorder="1" applyAlignment="1">
      <alignment vertical="center"/>
    </xf>
    <xf numFmtId="172" fontId="22" fillId="0" borderId="48" xfId="0" applyNumberFormat="1" applyFont="1" applyBorder="1" applyAlignment="1">
      <alignment vertical="center"/>
    </xf>
    <xf numFmtId="172" fontId="22" fillId="0" borderId="49" xfId="0" applyNumberFormat="1" applyFont="1" applyBorder="1" applyAlignment="1">
      <alignment vertical="center"/>
    </xf>
    <xf numFmtId="172" fontId="22" fillId="0" borderId="50" xfId="0" applyNumberFormat="1" applyFont="1" applyBorder="1" applyAlignment="1">
      <alignment vertical="center"/>
    </xf>
    <xf numFmtId="4" fontId="22" fillId="0" borderId="48" xfId="0" applyNumberFormat="1" applyFont="1" applyBorder="1" applyAlignment="1">
      <alignment vertical="center"/>
    </xf>
    <xf numFmtId="4" fontId="22" fillId="0" borderId="49" xfId="0" applyNumberFormat="1" applyFont="1" applyBorder="1" applyAlignment="1">
      <alignment vertical="center"/>
    </xf>
    <xf numFmtId="4" fontId="22" fillId="0" borderId="50" xfId="0" applyNumberFormat="1" applyFont="1" applyBorder="1" applyAlignment="1">
      <alignment vertical="center"/>
    </xf>
    <xf numFmtId="0" fontId="13" fillId="0" borderId="13" xfId="1" applyFont="1" applyBorder="1" applyAlignment="1">
      <alignment horizontal="center" vertical="center"/>
    </xf>
    <xf numFmtId="165" fontId="11" fillId="0" borderId="13" xfId="0" applyNumberFormat="1" applyFont="1" applyBorder="1" applyAlignment="1">
      <alignment vertical="center"/>
    </xf>
    <xf numFmtId="172" fontId="11" fillId="0" borderId="13" xfId="0" applyNumberFormat="1" applyFont="1" applyBorder="1" applyAlignment="1">
      <alignment vertical="center"/>
    </xf>
    <xf numFmtId="166" fontId="33" fillId="0" borderId="13" xfId="0" applyNumberFormat="1" applyFont="1" applyBorder="1" applyAlignment="1">
      <alignment horizontal="right" vertical="center"/>
    </xf>
    <xf numFmtId="10" fontId="11" fillId="0" borderId="13" xfId="0" applyNumberFormat="1" applyFont="1" applyBorder="1" applyAlignment="1">
      <alignment vertical="center"/>
    </xf>
    <xf numFmtId="165" fontId="11" fillId="0" borderId="24" xfId="0" applyNumberFormat="1" applyFont="1" applyBorder="1" applyAlignment="1">
      <alignment vertical="center"/>
    </xf>
    <xf numFmtId="10" fontId="11" fillId="0" borderId="24" xfId="0" applyNumberFormat="1" applyFont="1" applyBorder="1" applyAlignment="1">
      <alignment vertical="center"/>
    </xf>
    <xf numFmtId="49" fontId="44" fillId="14" borderId="32" xfId="0" applyNumberFormat="1" applyFont="1" applyFill="1" applyBorder="1" applyAlignment="1">
      <alignment horizontal="center" vertical="center" wrapText="1"/>
    </xf>
    <xf numFmtId="172" fontId="4" fillId="0" borderId="18" xfId="0" applyNumberFormat="1" applyFont="1" applyBorder="1" applyAlignment="1">
      <alignment horizontal="center" vertical="center"/>
    </xf>
    <xf numFmtId="172" fontId="4" fillId="0" borderId="15" xfId="0" applyNumberFormat="1" applyFont="1" applyBorder="1" applyAlignment="1">
      <alignment horizontal="center" vertical="center"/>
    </xf>
    <xf numFmtId="172" fontId="5" fillId="0" borderId="16" xfId="0" applyNumberFormat="1" applyFont="1" applyBorder="1" applyAlignment="1">
      <alignment horizontal="right" vertical="center"/>
    </xf>
    <xf numFmtId="0" fontId="37" fillId="0" borderId="0" xfId="0" applyFont="1" applyAlignment="1">
      <alignment horizontal="right" vertical="center"/>
    </xf>
    <xf numFmtId="0" fontId="37" fillId="0" borderId="0" xfId="0" applyFont="1" applyAlignment="1">
      <alignment horizontal="left" vertical="center"/>
    </xf>
    <xf numFmtId="172" fontId="37" fillId="0" borderId="0" xfId="0" applyNumberFormat="1" applyFont="1" applyAlignment="1">
      <alignment horizontal="center" vertical="center"/>
    </xf>
    <xf numFmtId="165" fontId="37" fillId="0" borderId="34" xfId="0" applyNumberFormat="1" applyFont="1" applyBorder="1" applyAlignment="1">
      <alignment horizontal="right" vertical="center"/>
    </xf>
    <xf numFmtId="172" fontId="37" fillId="0" borderId="0" xfId="0" applyNumberFormat="1" applyFont="1" applyAlignment="1">
      <alignment horizontal="right" vertical="center"/>
    </xf>
    <xf numFmtId="0" fontId="46" fillId="0" borderId="0" xfId="0" applyFont="1" applyAlignment="1">
      <alignment vertical="center"/>
    </xf>
    <xf numFmtId="4" fontId="5" fillId="0" borderId="16" xfId="0" applyNumberFormat="1" applyFont="1" applyBorder="1" applyAlignment="1">
      <alignment horizontal="right" vertical="center"/>
    </xf>
    <xf numFmtId="4" fontId="4" fillId="0" borderId="13" xfId="0" applyNumberFormat="1" applyFont="1" applyBorder="1" applyAlignment="1" applyProtection="1">
      <alignment horizontal="center" vertical="top" wrapText="1"/>
      <protection locked="0"/>
    </xf>
    <xf numFmtId="4" fontId="4" fillId="0" borderId="14" xfId="0" applyNumberFormat="1" applyFont="1" applyBorder="1" applyAlignment="1" applyProtection="1">
      <alignment horizontal="center" vertical="top" wrapText="1"/>
      <protection locked="0"/>
    </xf>
    <xf numFmtId="4" fontId="4" fillId="0" borderId="15" xfId="0" applyNumberFormat="1" applyFont="1" applyBorder="1" applyAlignment="1" applyProtection="1">
      <alignment horizontal="center" vertical="top" wrapText="1"/>
      <protection locked="0"/>
    </xf>
    <xf numFmtId="4" fontId="5" fillId="0" borderId="17" xfId="0" applyNumberFormat="1" applyFont="1" applyBorder="1" applyAlignment="1">
      <alignment horizontal="center" vertical="center"/>
    </xf>
    <xf numFmtId="4" fontId="4" fillId="0" borderId="15" xfId="0" applyNumberFormat="1" applyFont="1" applyBorder="1" applyAlignment="1">
      <alignment horizontal="center" vertical="center"/>
    </xf>
    <xf numFmtId="4" fontId="22" fillId="0" borderId="24" xfId="0" applyNumberFormat="1" applyFont="1" applyBorder="1" applyAlignment="1">
      <alignment vertical="center"/>
    </xf>
    <xf numFmtId="172" fontId="37" fillId="0" borderId="22" xfId="0" applyNumberFormat="1" applyFont="1" applyBorder="1" applyAlignment="1">
      <alignment horizontal="center" vertical="center"/>
    </xf>
    <xf numFmtId="0" fontId="1" fillId="0" borderId="13" xfId="0" applyFont="1" applyBorder="1" applyAlignment="1" applyProtection="1">
      <alignment horizontal="center" vertical="center"/>
      <protection locked="0"/>
    </xf>
    <xf numFmtId="0" fontId="13" fillId="0" borderId="0" xfId="0" applyFont="1" applyAlignment="1">
      <alignment horizontal="center" vertical="center"/>
    </xf>
    <xf numFmtId="0" fontId="13" fillId="0" borderId="11" xfId="0" applyFont="1" applyBorder="1" applyAlignment="1">
      <alignment vertical="center"/>
    </xf>
    <xf numFmtId="172" fontId="5" fillId="0" borderId="6" xfId="0" applyNumberFormat="1" applyFont="1" applyBorder="1" applyAlignment="1">
      <alignment horizontal="right" vertical="center"/>
    </xf>
    <xf numFmtId="3" fontId="22" fillId="15" borderId="15" xfId="0" applyNumberFormat="1" applyFont="1" applyFill="1" applyBorder="1" applyAlignment="1" applyProtection="1">
      <alignment horizontal="center" vertical="center"/>
      <protection locked="0"/>
    </xf>
    <xf numFmtId="0" fontId="1" fillId="0" borderId="14" xfId="0" applyFont="1" applyBorder="1" applyAlignment="1" applyProtection="1">
      <alignment horizontal="center" vertical="top"/>
      <protection locked="0"/>
    </xf>
    <xf numFmtId="0" fontId="1" fillId="0" borderId="0" xfId="0" applyFont="1" applyAlignment="1">
      <alignment horizontal="center" vertical="center"/>
    </xf>
    <xf numFmtId="0" fontId="5" fillId="0" borderId="32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top"/>
    </xf>
    <xf numFmtId="4" fontId="4" fillId="0" borderId="32" xfId="2" applyNumberFormat="1" applyFont="1" applyFill="1" applyBorder="1" applyAlignment="1" applyProtection="1">
      <alignment vertical="top" wrapText="1"/>
    </xf>
    <xf numFmtId="10" fontId="33" fillId="0" borderId="32" xfId="2" applyNumberFormat="1" applyFont="1" applyFill="1" applyBorder="1" applyAlignment="1" applyProtection="1">
      <alignment horizontal="right" vertical="top" wrapText="1"/>
    </xf>
    <xf numFmtId="10" fontId="47" fillId="0" borderId="32" xfId="0" applyNumberFormat="1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4" fillId="0" borderId="0" xfId="0" applyFont="1" applyAlignment="1">
      <alignment horizontal="center" vertical="top"/>
    </xf>
    <xf numFmtId="0" fontId="1" fillId="0" borderId="14" xfId="0" applyFont="1" applyBorder="1" applyAlignment="1" applyProtection="1">
      <alignment horizontal="center" vertical="center"/>
      <protection locked="0"/>
    </xf>
    <xf numFmtId="172" fontId="1" fillId="0" borderId="14" xfId="0" applyNumberFormat="1" applyFont="1" applyBorder="1" applyAlignment="1" applyProtection="1">
      <alignment vertical="top"/>
      <protection locked="0"/>
    </xf>
    <xf numFmtId="0" fontId="32" fillId="2" borderId="1" xfId="0" applyFont="1" applyFill="1" applyBorder="1" applyAlignment="1">
      <alignment horizontal="center" vertical="center"/>
    </xf>
    <xf numFmtId="0" fontId="32" fillId="2" borderId="5" xfId="0" applyFont="1" applyFill="1" applyBorder="1" applyAlignment="1">
      <alignment horizontal="center" vertical="center"/>
    </xf>
    <xf numFmtId="0" fontId="32" fillId="2" borderId="2" xfId="0" applyFont="1" applyFill="1" applyBorder="1" applyAlignment="1">
      <alignment horizontal="center" vertical="center"/>
    </xf>
    <xf numFmtId="0" fontId="27" fillId="2" borderId="7" xfId="0" applyFont="1" applyFill="1" applyBorder="1" applyAlignment="1">
      <alignment horizontal="center" vertical="center"/>
    </xf>
    <xf numFmtId="0" fontId="27" fillId="2" borderId="8" xfId="0" applyFont="1" applyFill="1" applyBorder="1" applyAlignment="1">
      <alignment horizontal="center" vertical="center"/>
    </xf>
    <xf numFmtId="0" fontId="27" fillId="2" borderId="9" xfId="0" applyFont="1" applyFill="1" applyBorder="1" applyAlignment="1">
      <alignment horizontal="center" vertical="center"/>
    </xf>
    <xf numFmtId="167" fontId="22" fillId="2" borderId="5" xfId="0" applyNumberFormat="1" applyFont="1" applyFill="1" applyBorder="1" applyAlignment="1" applyProtection="1">
      <alignment horizontal="left" vertical="center"/>
      <protection locked="0"/>
    </xf>
    <xf numFmtId="0" fontId="22" fillId="0" borderId="13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22" fillId="0" borderId="14" xfId="0" applyFont="1" applyBorder="1" applyAlignment="1">
      <alignment horizontal="center" vertical="center"/>
    </xf>
    <xf numFmtId="0" fontId="22" fillId="5" borderId="13" xfId="0" applyFont="1" applyFill="1" applyBorder="1" applyAlignment="1">
      <alignment horizontal="center" vertical="center"/>
    </xf>
    <xf numFmtId="0" fontId="22" fillId="5" borderId="14" xfId="0" applyFont="1" applyFill="1" applyBorder="1" applyAlignment="1">
      <alignment horizontal="center" vertical="center"/>
    </xf>
    <xf numFmtId="0" fontId="22" fillId="5" borderId="15" xfId="0" applyFont="1" applyFill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30" xfId="0" applyFont="1" applyBorder="1" applyAlignment="1">
      <alignment horizontal="center" vertical="center"/>
    </xf>
    <xf numFmtId="0" fontId="22" fillId="0" borderId="31" xfId="0" applyFont="1" applyBorder="1" applyAlignment="1">
      <alignment horizontal="center" vertical="center"/>
    </xf>
    <xf numFmtId="0" fontId="22" fillId="0" borderId="45" xfId="0" applyFont="1" applyBorder="1" applyAlignment="1">
      <alignment horizontal="center" vertical="center"/>
    </xf>
    <xf numFmtId="0" fontId="22" fillId="0" borderId="46" xfId="0" applyFont="1" applyBorder="1" applyAlignment="1">
      <alignment horizontal="center" vertical="center"/>
    </xf>
    <xf numFmtId="0" fontId="22" fillId="0" borderId="47" xfId="0" applyFont="1" applyBorder="1" applyAlignment="1">
      <alignment horizontal="center" vertical="center"/>
    </xf>
    <xf numFmtId="0" fontId="22" fillId="0" borderId="20" xfId="0" applyFont="1" applyBorder="1" applyAlignment="1">
      <alignment horizontal="center" vertical="center" wrapText="1"/>
    </xf>
    <xf numFmtId="0" fontId="22" fillId="0" borderId="21" xfId="0" applyFont="1" applyBorder="1" applyAlignment="1">
      <alignment horizontal="center" vertical="center" wrapText="1"/>
    </xf>
    <xf numFmtId="0" fontId="38" fillId="0" borderId="0" xfId="5" applyFont="1" applyAlignment="1">
      <alignment horizontal="center" vertical="center"/>
    </xf>
    <xf numFmtId="0" fontId="38" fillId="0" borderId="32" xfId="5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13" fillId="0" borderId="19" xfId="0" applyFont="1" applyBorder="1" applyAlignment="1">
      <alignment horizontal="center" vertical="center" wrapText="1"/>
    </xf>
    <xf numFmtId="0" fontId="13" fillId="0" borderId="21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164" fontId="12" fillId="0" borderId="11" xfId="0" applyNumberFormat="1" applyFont="1" applyBorder="1" applyAlignment="1">
      <alignment horizontal="left" vertical="center"/>
    </xf>
    <xf numFmtId="0" fontId="5" fillId="0" borderId="19" xfId="0" applyFont="1" applyBorder="1" applyAlignment="1">
      <alignment horizontal="center" vertical="center" wrapText="1"/>
    </xf>
    <xf numFmtId="0" fontId="5" fillId="0" borderId="20" xfId="0" applyFont="1" applyBorder="1" applyAlignment="1">
      <alignment horizontal="center" vertical="center" wrapText="1"/>
    </xf>
    <xf numFmtId="0" fontId="33" fillId="0" borderId="14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33" fillId="0" borderId="15" xfId="0" applyFont="1" applyBorder="1" applyAlignment="1">
      <alignment horizontal="left" vertical="top" wrapText="1"/>
    </xf>
    <xf numFmtId="0" fontId="9" fillId="0" borderId="1" xfId="1" applyFont="1" applyBorder="1" applyAlignment="1">
      <alignment horizontal="center" vertical="center"/>
    </xf>
    <xf numFmtId="0" fontId="9" fillId="0" borderId="5" xfId="1" applyFont="1" applyBorder="1" applyAlignment="1">
      <alignment horizontal="center" vertical="center"/>
    </xf>
    <xf numFmtId="0" fontId="9" fillId="0" borderId="2" xfId="1" applyFont="1" applyBorder="1" applyAlignment="1">
      <alignment horizontal="center" vertical="center"/>
    </xf>
    <xf numFmtId="0" fontId="10" fillId="0" borderId="7" xfId="1" applyFont="1" applyBorder="1" applyAlignment="1">
      <alignment horizontal="center" vertical="center"/>
    </xf>
    <xf numFmtId="0" fontId="10" fillId="0" borderId="8" xfId="1" applyFont="1" applyBorder="1" applyAlignment="1">
      <alignment horizontal="center" vertical="center"/>
    </xf>
    <xf numFmtId="0" fontId="10" fillId="0" borderId="9" xfId="1" applyFont="1" applyBorder="1" applyAlignment="1">
      <alignment horizontal="center" vertical="center"/>
    </xf>
    <xf numFmtId="0" fontId="33" fillId="0" borderId="13" xfId="0" applyFont="1" applyBorder="1" applyAlignment="1">
      <alignment horizontal="left" vertical="top" wrapText="1"/>
    </xf>
    <xf numFmtId="0" fontId="42" fillId="0" borderId="19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5" fillId="0" borderId="21" xfId="0" applyFont="1" applyBorder="1" applyAlignment="1">
      <alignment horizontal="center" vertical="center" wrapText="1"/>
    </xf>
    <xf numFmtId="0" fontId="5" fillId="0" borderId="19" xfId="0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</cellXfs>
  <cellStyles count="8">
    <cellStyle name="Normal" xfId="0" builtinId="0"/>
    <cellStyle name="Normal 2" xfId="1" xr:uid="{00000000-0005-0000-0000-000001000000}"/>
    <cellStyle name="Normal 3" xfId="3" xr:uid="{00000000-0005-0000-0000-000002000000}"/>
    <cellStyle name="Normal 3 2" xfId="7" xr:uid="{4EFF3179-8FE6-4BA7-9634-FB6B758E9508}"/>
    <cellStyle name="Normal 4" xfId="5" xr:uid="{00000000-0005-0000-0000-000003000000}"/>
    <cellStyle name="Normale_GasProp" xfId="4" xr:uid="{00000000-0005-0000-0000-000004000000}"/>
    <cellStyle name="Percent" xfId="2" builtinId="5"/>
    <cellStyle name="Percent 2" xfId="6" xr:uid="{00000000-0005-0000-0000-000006000000}"/>
  </cellStyles>
  <dxfs count="18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0000FF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FFCC99"/>
      <color rgb="FFFFFF99"/>
      <color rgb="FFCCFFFF"/>
      <color rgb="FF0000FF"/>
      <color rgb="FF006600"/>
      <color rgb="FF6699FF"/>
      <color rgb="FFF1975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235326</xdr:colOff>
      <xdr:row>1</xdr:row>
      <xdr:rowOff>179296</xdr:rowOff>
    </xdr:from>
    <xdr:to>
      <xdr:col>6</xdr:col>
      <xdr:colOff>726879</xdr:colOff>
      <xdr:row>5</xdr:row>
      <xdr:rowOff>14031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BD841DE8-2AE9-4C5A-8987-6271DEF9B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267" y="235325"/>
          <a:ext cx="2710318" cy="72000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57</xdr:row>
      <xdr:rowOff>0</xdr:rowOff>
    </xdr:from>
    <xdr:to>
      <xdr:col>17</xdr:col>
      <xdr:colOff>2016000</xdr:colOff>
      <xdr:row>57</xdr:row>
      <xdr:rowOff>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FE61A531-9E04-4D69-B8C7-5E349993AC08}"/>
            </a:ext>
          </a:extLst>
        </xdr:cNvPr>
        <xdr:cNvCxnSpPr/>
      </xdr:nvCxnSpPr>
      <xdr:spPr>
        <a:xfrm>
          <a:off x="8090647" y="13760824"/>
          <a:ext cx="2016000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57</xdr:row>
      <xdr:rowOff>0</xdr:rowOff>
    </xdr:from>
    <xdr:to>
      <xdr:col>14</xdr:col>
      <xdr:colOff>572117</xdr:colOff>
      <xdr:row>57</xdr:row>
      <xdr:rowOff>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89BE0B53-642C-41FA-B2AC-AAF8D83D4CB8}"/>
            </a:ext>
          </a:extLst>
        </xdr:cNvPr>
        <xdr:cNvCxnSpPr/>
      </xdr:nvCxnSpPr>
      <xdr:spPr>
        <a:xfrm>
          <a:off x="5289176" y="13760824"/>
          <a:ext cx="1872000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57</xdr:row>
      <xdr:rowOff>0</xdr:rowOff>
    </xdr:from>
    <xdr:to>
      <xdr:col>6</xdr:col>
      <xdr:colOff>473647</xdr:colOff>
      <xdr:row>57</xdr:row>
      <xdr:rowOff>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811B15E6-4FC6-4036-A4D5-3C99A0E12D81}"/>
            </a:ext>
          </a:extLst>
        </xdr:cNvPr>
        <xdr:cNvCxnSpPr/>
      </xdr:nvCxnSpPr>
      <xdr:spPr>
        <a:xfrm>
          <a:off x="1434353" y="13760824"/>
          <a:ext cx="1908000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57</xdr:row>
      <xdr:rowOff>0</xdr:rowOff>
    </xdr:from>
    <xdr:to>
      <xdr:col>6</xdr:col>
      <xdr:colOff>473647</xdr:colOff>
      <xdr:row>57</xdr:row>
      <xdr:rowOff>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>
          <a:off x="1434353" y="13760824"/>
          <a:ext cx="1908000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0</xdr:colOff>
      <xdr:row>57</xdr:row>
      <xdr:rowOff>0</xdr:rowOff>
    </xdr:from>
    <xdr:to>
      <xdr:col>17</xdr:col>
      <xdr:colOff>2016000</xdr:colOff>
      <xdr:row>57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8090647" y="13760824"/>
          <a:ext cx="2016000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57</xdr:row>
      <xdr:rowOff>0</xdr:rowOff>
    </xdr:from>
    <xdr:to>
      <xdr:col>14</xdr:col>
      <xdr:colOff>572117</xdr:colOff>
      <xdr:row>57</xdr:row>
      <xdr:rowOff>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5289176" y="13760824"/>
          <a:ext cx="1872000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235326</xdr:colOff>
      <xdr:row>1</xdr:row>
      <xdr:rowOff>179296</xdr:rowOff>
    </xdr:from>
    <xdr:to>
      <xdr:col>6</xdr:col>
      <xdr:colOff>726879</xdr:colOff>
      <xdr:row>5</xdr:row>
      <xdr:rowOff>14031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C7CB064-64A7-4837-9B96-772ACC9FF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267" y="235325"/>
          <a:ext cx="2710318" cy="72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717175</xdr:colOff>
      <xdr:row>3</xdr:row>
      <xdr:rowOff>0</xdr:rowOff>
    </xdr:from>
    <xdr:to>
      <xdr:col>21</xdr:col>
      <xdr:colOff>344021</xdr:colOff>
      <xdr:row>7</xdr:row>
      <xdr:rowOff>171450</xdr:rowOff>
    </xdr:to>
    <xdr:pic>
      <xdr:nvPicPr>
        <xdr:cNvPr id="11" name="Picture 10" descr="GasJack (Green).png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909175" y="571500"/>
          <a:ext cx="2495550" cy="1123950"/>
        </a:xfrm>
        <a:prstGeom prst="rect">
          <a:avLst/>
        </a:prstGeom>
      </xdr:spPr>
    </xdr:pic>
    <xdr:clientData/>
  </xdr:twoCellAnchor>
  <xdr:twoCellAnchor>
    <xdr:from>
      <xdr:col>14</xdr:col>
      <xdr:colOff>717175</xdr:colOff>
      <xdr:row>53</xdr:row>
      <xdr:rowOff>0</xdr:rowOff>
    </xdr:from>
    <xdr:to>
      <xdr:col>18</xdr:col>
      <xdr:colOff>113646</xdr:colOff>
      <xdr:row>53</xdr:row>
      <xdr:rowOff>0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CxnSpPr/>
      </xdr:nvCxnSpPr>
      <xdr:spPr>
        <a:xfrm>
          <a:off x="10757646" y="11799794"/>
          <a:ext cx="1548000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53</xdr:row>
      <xdr:rowOff>0</xdr:rowOff>
    </xdr:from>
    <xdr:to>
      <xdr:col>21</xdr:col>
      <xdr:colOff>185647</xdr:colOff>
      <xdr:row>53</xdr:row>
      <xdr:rowOff>0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CxnSpPr/>
      </xdr:nvCxnSpPr>
      <xdr:spPr>
        <a:xfrm>
          <a:off x="13626353" y="12483353"/>
          <a:ext cx="1620000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22412</xdr:colOff>
      <xdr:row>3</xdr:row>
      <xdr:rowOff>291352</xdr:rowOff>
    </xdr:from>
    <xdr:to>
      <xdr:col>5</xdr:col>
      <xdr:colOff>30883</xdr:colOff>
      <xdr:row>6</xdr:row>
      <xdr:rowOff>103160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55EDF6F-0B87-4F62-845C-4D238C15E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2" y="862852"/>
          <a:ext cx="2160000" cy="57380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717175</xdr:colOff>
      <xdr:row>3</xdr:row>
      <xdr:rowOff>0</xdr:rowOff>
    </xdr:from>
    <xdr:to>
      <xdr:col>21</xdr:col>
      <xdr:colOff>344021</xdr:colOff>
      <xdr:row>7</xdr:row>
      <xdr:rowOff>171450</xdr:rowOff>
    </xdr:to>
    <xdr:pic>
      <xdr:nvPicPr>
        <xdr:cNvPr id="2" name="Picture 1" descr="GasJack (Green).png">
          <a:extLst>
            <a:ext uri="{FF2B5EF4-FFF2-40B4-BE49-F238E27FC236}">
              <a16:creationId xmlns:a16="http://schemas.microsoft.com/office/drawing/2014/main" id="{1FF01110-1EF4-478C-B4AA-5A337EB46C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144375" y="571500"/>
          <a:ext cx="2487146" cy="1123950"/>
        </a:xfrm>
        <a:prstGeom prst="rect">
          <a:avLst/>
        </a:prstGeom>
      </xdr:spPr>
    </xdr:pic>
    <xdr:clientData/>
  </xdr:twoCellAnchor>
  <xdr:twoCellAnchor editAs="oneCell">
    <xdr:from>
      <xdr:col>0</xdr:col>
      <xdr:colOff>22409</xdr:colOff>
      <xdr:row>3</xdr:row>
      <xdr:rowOff>291352</xdr:rowOff>
    </xdr:from>
    <xdr:to>
      <xdr:col>5</xdr:col>
      <xdr:colOff>30880</xdr:colOff>
      <xdr:row>6</xdr:row>
      <xdr:rowOff>103160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57102D0B-3D43-40C5-AEDA-85CE8F8FAA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09" y="862852"/>
          <a:ext cx="2160000" cy="573808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53</xdr:row>
      <xdr:rowOff>0</xdr:rowOff>
    </xdr:from>
    <xdr:to>
      <xdr:col>18</xdr:col>
      <xdr:colOff>113647</xdr:colOff>
      <xdr:row>53</xdr:row>
      <xdr:rowOff>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80B3065E-C219-4F04-824D-51FCFC6E63C2}"/>
            </a:ext>
          </a:extLst>
        </xdr:cNvPr>
        <xdr:cNvCxnSpPr/>
      </xdr:nvCxnSpPr>
      <xdr:spPr>
        <a:xfrm>
          <a:off x="9323294" y="12729882"/>
          <a:ext cx="1548000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</xdr:colOff>
      <xdr:row>53</xdr:row>
      <xdr:rowOff>0</xdr:rowOff>
    </xdr:from>
    <xdr:to>
      <xdr:col>21</xdr:col>
      <xdr:colOff>185648</xdr:colOff>
      <xdr:row>53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6F2DDA18-95D8-426D-8D51-4D16490B33A6}"/>
            </a:ext>
          </a:extLst>
        </xdr:cNvPr>
        <xdr:cNvCxnSpPr/>
      </xdr:nvCxnSpPr>
      <xdr:spPr>
        <a:xfrm>
          <a:off x="11474825" y="12729882"/>
          <a:ext cx="1619999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717175</xdr:colOff>
      <xdr:row>3</xdr:row>
      <xdr:rowOff>0</xdr:rowOff>
    </xdr:from>
    <xdr:to>
      <xdr:col>21</xdr:col>
      <xdr:colOff>344021</xdr:colOff>
      <xdr:row>7</xdr:row>
      <xdr:rowOff>171450</xdr:rowOff>
    </xdr:to>
    <xdr:pic>
      <xdr:nvPicPr>
        <xdr:cNvPr id="2" name="Picture 1" descr="GasJack (Green).png">
          <a:extLst>
            <a:ext uri="{FF2B5EF4-FFF2-40B4-BE49-F238E27FC236}">
              <a16:creationId xmlns:a16="http://schemas.microsoft.com/office/drawing/2014/main" id="{32B0F47E-AE8B-491C-B638-BBC7558A40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144375" y="571500"/>
          <a:ext cx="2487146" cy="1123950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3</xdr:row>
      <xdr:rowOff>291352</xdr:rowOff>
    </xdr:from>
    <xdr:to>
      <xdr:col>5</xdr:col>
      <xdr:colOff>30883</xdr:colOff>
      <xdr:row>6</xdr:row>
      <xdr:rowOff>103160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DC27813-6539-44C1-B925-C322CC011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2" y="862852"/>
          <a:ext cx="2160000" cy="573808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53</xdr:row>
      <xdr:rowOff>0</xdr:rowOff>
    </xdr:from>
    <xdr:to>
      <xdr:col>18</xdr:col>
      <xdr:colOff>113647</xdr:colOff>
      <xdr:row>53</xdr:row>
      <xdr:rowOff>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35D99D01-ED8F-4B17-BDB3-1722A694623A}"/>
            </a:ext>
          </a:extLst>
        </xdr:cNvPr>
        <xdr:cNvCxnSpPr/>
      </xdr:nvCxnSpPr>
      <xdr:spPr>
        <a:xfrm>
          <a:off x="9323294" y="12729882"/>
          <a:ext cx="1548000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</xdr:colOff>
      <xdr:row>53</xdr:row>
      <xdr:rowOff>0</xdr:rowOff>
    </xdr:from>
    <xdr:to>
      <xdr:col>21</xdr:col>
      <xdr:colOff>185648</xdr:colOff>
      <xdr:row>53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9F12B14E-E8CE-48A5-9DC7-DEDA796A8BAD}"/>
            </a:ext>
          </a:extLst>
        </xdr:cNvPr>
        <xdr:cNvCxnSpPr/>
      </xdr:nvCxnSpPr>
      <xdr:spPr>
        <a:xfrm>
          <a:off x="11474825" y="12729882"/>
          <a:ext cx="1619999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717175</xdr:colOff>
      <xdr:row>3</xdr:row>
      <xdr:rowOff>0</xdr:rowOff>
    </xdr:from>
    <xdr:to>
      <xdr:col>21</xdr:col>
      <xdr:colOff>344021</xdr:colOff>
      <xdr:row>7</xdr:row>
      <xdr:rowOff>171450</xdr:rowOff>
    </xdr:to>
    <xdr:pic>
      <xdr:nvPicPr>
        <xdr:cNvPr id="2" name="Picture 1" descr="GasJack (Green).png">
          <a:extLst>
            <a:ext uri="{FF2B5EF4-FFF2-40B4-BE49-F238E27FC236}">
              <a16:creationId xmlns:a16="http://schemas.microsoft.com/office/drawing/2014/main" id="{4D3A0D28-3A30-4D37-A7A9-BE9575CAC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144375" y="571500"/>
          <a:ext cx="2487146" cy="1123950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3</xdr:row>
      <xdr:rowOff>291352</xdr:rowOff>
    </xdr:from>
    <xdr:to>
      <xdr:col>5</xdr:col>
      <xdr:colOff>30883</xdr:colOff>
      <xdr:row>6</xdr:row>
      <xdr:rowOff>103160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1971DEB-65BA-4F68-8391-15B1F41A4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2" y="862852"/>
          <a:ext cx="2160000" cy="573808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53</xdr:row>
      <xdr:rowOff>0</xdr:rowOff>
    </xdr:from>
    <xdr:to>
      <xdr:col>18</xdr:col>
      <xdr:colOff>113647</xdr:colOff>
      <xdr:row>53</xdr:row>
      <xdr:rowOff>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F98CA393-919D-4DBD-B1B6-D56D2194E413}"/>
            </a:ext>
          </a:extLst>
        </xdr:cNvPr>
        <xdr:cNvCxnSpPr/>
      </xdr:nvCxnSpPr>
      <xdr:spPr>
        <a:xfrm>
          <a:off x="9323294" y="12729882"/>
          <a:ext cx="1548000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</xdr:colOff>
      <xdr:row>53</xdr:row>
      <xdr:rowOff>0</xdr:rowOff>
    </xdr:from>
    <xdr:to>
      <xdr:col>21</xdr:col>
      <xdr:colOff>185648</xdr:colOff>
      <xdr:row>53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23779FEB-0B42-4FB1-ADF1-EB7599DC0297}"/>
            </a:ext>
          </a:extLst>
        </xdr:cNvPr>
        <xdr:cNvCxnSpPr/>
      </xdr:nvCxnSpPr>
      <xdr:spPr>
        <a:xfrm>
          <a:off x="11474825" y="12729882"/>
          <a:ext cx="1619999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717175</xdr:colOff>
      <xdr:row>3</xdr:row>
      <xdr:rowOff>0</xdr:rowOff>
    </xdr:from>
    <xdr:to>
      <xdr:col>21</xdr:col>
      <xdr:colOff>344021</xdr:colOff>
      <xdr:row>7</xdr:row>
      <xdr:rowOff>171450</xdr:rowOff>
    </xdr:to>
    <xdr:pic>
      <xdr:nvPicPr>
        <xdr:cNvPr id="2" name="Picture 1" descr="GasJack (Green).png">
          <a:extLst>
            <a:ext uri="{FF2B5EF4-FFF2-40B4-BE49-F238E27FC236}">
              <a16:creationId xmlns:a16="http://schemas.microsoft.com/office/drawing/2014/main" id="{50B027B1-1E71-4F13-8895-03984B554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144375" y="571500"/>
          <a:ext cx="2487146" cy="1123950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3</xdr:row>
      <xdr:rowOff>291352</xdr:rowOff>
    </xdr:from>
    <xdr:to>
      <xdr:col>5</xdr:col>
      <xdr:colOff>30883</xdr:colOff>
      <xdr:row>6</xdr:row>
      <xdr:rowOff>103160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7D6B751E-F77D-4352-9C56-223EA5D7D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2" y="862852"/>
          <a:ext cx="2160000" cy="573808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53</xdr:row>
      <xdr:rowOff>0</xdr:rowOff>
    </xdr:from>
    <xdr:to>
      <xdr:col>18</xdr:col>
      <xdr:colOff>113647</xdr:colOff>
      <xdr:row>53</xdr:row>
      <xdr:rowOff>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4D12D76E-496B-4336-B2C2-D8C40BB81F4D}"/>
            </a:ext>
          </a:extLst>
        </xdr:cNvPr>
        <xdr:cNvCxnSpPr/>
      </xdr:nvCxnSpPr>
      <xdr:spPr>
        <a:xfrm>
          <a:off x="9323294" y="12729882"/>
          <a:ext cx="1548000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</xdr:colOff>
      <xdr:row>53</xdr:row>
      <xdr:rowOff>0</xdr:rowOff>
    </xdr:from>
    <xdr:to>
      <xdr:col>21</xdr:col>
      <xdr:colOff>185648</xdr:colOff>
      <xdr:row>53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3D702CE1-32DB-4802-B7A8-2584AD9ABA67}"/>
            </a:ext>
          </a:extLst>
        </xdr:cNvPr>
        <xdr:cNvCxnSpPr/>
      </xdr:nvCxnSpPr>
      <xdr:spPr>
        <a:xfrm>
          <a:off x="11474825" y="12729882"/>
          <a:ext cx="1619999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717175</xdr:colOff>
      <xdr:row>3</xdr:row>
      <xdr:rowOff>0</xdr:rowOff>
    </xdr:from>
    <xdr:to>
      <xdr:col>21</xdr:col>
      <xdr:colOff>344021</xdr:colOff>
      <xdr:row>7</xdr:row>
      <xdr:rowOff>171450</xdr:rowOff>
    </xdr:to>
    <xdr:pic>
      <xdr:nvPicPr>
        <xdr:cNvPr id="2" name="Picture 1" descr="GasJack (Green).png">
          <a:extLst>
            <a:ext uri="{FF2B5EF4-FFF2-40B4-BE49-F238E27FC236}">
              <a16:creationId xmlns:a16="http://schemas.microsoft.com/office/drawing/2014/main" id="{2174FA27-04EC-45E0-8BED-92B1811BAC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144375" y="571500"/>
          <a:ext cx="2487146" cy="1123950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3</xdr:row>
      <xdr:rowOff>291352</xdr:rowOff>
    </xdr:from>
    <xdr:to>
      <xdr:col>5</xdr:col>
      <xdr:colOff>30883</xdr:colOff>
      <xdr:row>6</xdr:row>
      <xdr:rowOff>103160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64E4497-337A-4C3C-94A9-38D328DFB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2" y="862852"/>
          <a:ext cx="2160000" cy="573808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53</xdr:row>
      <xdr:rowOff>0</xdr:rowOff>
    </xdr:from>
    <xdr:to>
      <xdr:col>18</xdr:col>
      <xdr:colOff>113647</xdr:colOff>
      <xdr:row>53</xdr:row>
      <xdr:rowOff>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128B91DE-0A93-4578-9ACD-BF791BC0279B}"/>
            </a:ext>
          </a:extLst>
        </xdr:cNvPr>
        <xdr:cNvCxnSpPr/>
      </xdr:nvCxnSpPr>
      <xdr:spPr>
        <a:xfrm>
          <a:off x="9323294" y="12729882"/>
          <a:ext cx="1548000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</xdr:colOff>
      <xdr:row>53</xdr:row>
      <xdr:rowOff>0</xdr:rowOff>
    </xdr:from>
    <xdr:to>
      <xdr:col>21</xdr:col>
      <xdr:colOff>185648</xdr:colOff>
      <xdr:row>53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6056730D-212D-41FE-8DF4-370B38B16DA8}"/>
            </a:ext>
          </a:extLst>
        </xdr:cNvPr>
        <xdr:cNvCxnSpPr/>
      </xdr:nvCxnSpPr>
      <xdr:spPr>
        <a:xfrm>
          <a:off x="11474825" y="12729882"/>
          <a:ext cx="1619999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717175</xdr:colOff>
      <xdr:row>3</xdr:row>
      <xdr:rowOff>0</xdr:rowOff>
    </xdr:from>
    <xdr:to>
      <xdr:col>21</xdr:col>
      <xdr:colOff>344021</xdr:colOff>
      <xdr:row>7</xdr:row>
      <xdr:rowOff>171450</xdr:rowOff>
    </xdr:to>
    <xdr:pic>
      <xdr:nvPicPr>
        <xdr:cNvPr id="2" name="Picture 1" descr="GasJack (Green).png">
          <a:extLst>
            <a:ext uri="{FF2B5EF4-FFF2-40B4-BE49-F238E27FC236}">
              <a16:creationId xmlns:a16="http://schemas.microsoft.com/office/drawing/2014/main" id="{694C27FC-8E86-41AE-9F7D-509FEEF3DA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144375" y="571500"/>
          <a:ext cx="2487146" cy="1123950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3</xdr:row>
      <xdr:rowOff>291352</xdr:rowOff>
    </xdr:from>
    <xdr:to>
      <xdr:col>5</xdr:col>
      <xdr:colOff>30883</xdr:colOff>
      <xdr:row>6</xdr:row>
      <xdr:rowOff>103160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BBCF05D-4671-459A-A63D-36BEEB829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2" y="862852"/>
          <a:ext cx="2160000" cy="573808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53</xdr:row>
      <xdr:rowOff>0</xdr:rowOff>
    </xdr:from>
    <xdr:to>
      <xdr:col>18</xdr:col>
      <xdr:colOff>113647</xdr:colOff>
      <xdr:row>53</xdr:row>
      <xdr:rowOff>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90E1F641-70BD-47FD-8DB2-59BD8806646A}"/>
            </a:ext>
          </a:extLst>
        </xdr:cNvPr>
        <xdr:cNvCxnSpPr/>
      </xdr:nvCxnSpPr>
      <xdr:spPr>
        <a:xfrm>
          <a:off x="9323294" y="12729882"/>
          <a:ext cx="1548000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</xdr:colOff>
      <xdr:row>53</xdr:row>
      <xdr:rowOff>0</xdr:rowOff>
    </xdr:from>
    <xdr:to>
      <xdr:col>21</xdr:col>
      <xdr:colOff>185648</xdr:colOff>
      <xdr:row>53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B48412-9E70-4802-854E-79F5297514FF}"/>
            </a:ext>
          </a:extLst>
        </xdr:cNvPr>
        <xdr:cNvCxnSpPr/>
      </xdr:nvCxnSpPr>
      <xdr:spPr>
        <a:xfrm>
          <a:off x="11474825" y="12729882"/>
          <a:ext cx="1619999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717175</xdr:colOff>
      <xdr:row>3</xdr:row>
      <xdr:rowOff>0</xdr:rowOff>
    </xdr:from>
    <xdr:to>
      <xdr:col>21</xdr:col>
      <xdr:colOff>344021</xdr:colOff>
      <xdr:row>7</xdr:row>
      <xdr:rowOff>171450</xdr:rowOff>
    </xdr:to>
    <xdr:pic>
      <xdr:nvPicPr>
        <xdr:cNvPr id="2" name="Picture 1" descr="GasJack (Green).png">
          <a:extLst>
            <a:ext uri="{FF2B5EF4-FFF2-40B4-BE49-F238E27FC236}">
              <a16:creationId xmlns:a16="http://schemas.microsoft.com/office/drawing/2014/main" id="{9DA6E8B9-07A8-42D2-B95A-4E775B81F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144375" y="571500"/>
          <a:ext cx="2487146" cy="1123950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3</xdr:row>
      <xdr:rowOff>291352</xdr:rowOff>
    </xdr:from>
    <xdr:to>
      <xdr:col>5</xdr:col>
      <xdr:colOff>30883</xdr:colOff>
      <xdr:row>6</xdr:row>
      <xdr:rowOff>103160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C7D1705-6A32-45FC-A4B1-981269C23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2" y="862852"/>
          <a:ext cx="2160000" cy="573808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53</xdr:row>
      <xdr:rowOff>0</xdr:rowOff>
    </xdr:from>
    <xdr:to>
      <xdr:col>18</xdr:col>
      <xdr:colOff>113647</xdr:colOff>
      <xdr:row>53</xdr:row>
      <xdr:rowOff>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5066219A-FFAC-4C7A-B7EE-FEE2DEAF374E}"/>
            </a:ext>
          </a:extLst>
        </xdr:cNvPr>
        <xdr:cNvCxnSpPr/>
      </xdr:nvCxnSpPr>
      <xdr:spPr>
        <a:xfrm>
          <a:off x="9323294" y="12729882"/>
          <a:ext cx="1548000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</xdr:colOff>
      <xdr:row>53</xdr:row>
      <xdr:rowOff>0</xdr:rowOff>
    </xdr:from>
    <xdr:to>
      <xdr:col>21</xdr:col>
      <xdr:colOff>185648</xdr:colOff>
      <xdr:row>53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BC69BED1-CFB2-40AA-AC9D-3EC5C7BD2D36}"/>
            </a:ext>
          </a:extLst>
        </xdr:cNvPr>
        <xdr:cNvCxnSpPr/>
      </xdr:nvCxnSpPr>
      <xdr:spPr>
        <a:xfrm>
          <a:off x="11474825" y="12729882"/>
          <a:ext cx="1619999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717175</xdr:colOff>
      <xdr:row>3</xdr:row>
      <xdr:rowOff>0</xdr:rowOff>
    </xdr:from>
    <xdr:to>
      <xdr:col>21</xdr:col>
      <xdr:colOff>344021</xdr:colOff>
      <xdr:row>7</xdr:row>
      <xdr:rowOff>171450</xdr:rowOff>
    </xdr:to>
    <xdr:pic>
      <xdr:nvPicPr>
        <xdr:cNvPr id="2" name="Picture 1" descr="GasJack (Green).png">
          <a:extLst>
            <a:ext uri="{FF2B5EF4-FFF2-40B4-BE49-F238E27FC236}">
              <a16:creationId xmlns:a16="http://schemas.microsoft.com/office/drawing/2014/main" id="{4A207714-B81A-4ECB-AA66-9A2C325B39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144375" y="571500"/>
          <a:ext cx="2487146" cy="1123950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3</xdr:row>
      <xdr:rowOff>291352</xdr:rowOff>
    </xdr:from>
    <xdr:to>
      <xdr:col>5</xdr:col>
      <xdr:colOff>30883</xdr:colOff>
      <xdr:row>6</xdr:row>
      <xdr:rowOff>103160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CFFF231-59EE-4FDC-8B5C-A49FADEB82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2" y="862852"/>
          <a:ext cx="2160000" cy="573808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53</xdr:row>
      <xdr:rowOff>0</xdr:rowOff>
    </xdr:from>
    <xdr:to>
      <xdr:col>18</xdr:col>
      <xdr:colOff>113647</xdr:colOff>
      <xdr:row>53</xdr:row>
      <xdr:rowOff>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4AF0E716-8695-44E0-AE92-B0BCE1897F13}"/>
            </a:ext>
          </a:extLst>
        </xdr:cNvPr>
        <xdr:cNvCxnSpPr/>
      </xdr:nvCxnSpPr>
      <xdr:spPr>
        <a:xfrm>
          <a:off x="9323294" y="12729882"/>
          <a:ext cx="1548000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</xdr:colOff>
      <xdr:row>53</xdr:row>
      <xdr:rowOff>0</xdr:rowOff>
    </xdr:from>
    <xdr:to>
      <xdr:col>21</xdr:col>
      <xdr:colOff>185648</xdr:colOff>
      <xdr:row>53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54FCFA2-75F0-4B22-804A-0B1515574DA2}"/>
            </a:ext>
          </a:extLst>
        </xdr:cNvPr>
        <xdr:cNvCxnSpPr/>
      </xdr:nvCxnSpPr>
      <xdr:spPr>
        <a:xfrm>
          <a:off x="11474825" y="12729882"/>
          <a:ext cx="1619999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717175</xdr:colOff>
      <xdr:row>3</xdr:row>
      <xdr:rowOff>0</xdr:rowOff>
    </xdr:from>
    <xdr:to>
      <xdr:col>21</xdr:col>
      <xdr:colOff>344021</xdr:colOff>
      <xdr:row>7</xdr:row>
      <xdr:rowOff>171450</xdr:rowOff>
    </xdr:to>
    <xdr:pic>
      <xdr:nvPicPr>
        <xdr:cNvPr id="2" name="Picture 1" descr="GasJack (Green).png">
          <a:extLst>
            <a:ext uri="{FF2B5EF4-FFF2-40B4-BE49-F238E27FC236}">
              <a16:creationId xmlns:a16="http://schemas.microsoft.com/office/drawing/2014/main" id="{377A8CAA-E12F-478E-827F-60FA7ED264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144375" y="571500"/>
          <a:ext cx="2487146" cy="1123950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3</xdr:row>
      <xdr:rowOff>291352</xdr:rowOff>
    </xdr:from>
    <xdr:to>
      <xdr:col>5</xdr:col>
      <xdr:colOff>30883</xdr:colOff>
      <xdr:row>6</xdr:row>
      <xdr:rowOff>103160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6495195F-79CD-4D1D-BAD9-BD7F969574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2" y="862852"/>
          <a:ext cx="2160000" cy="573808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53</xdr:row>
      <xdr:rowOff>0</xdr:rowOff>
    </xdr:from>
    <xdr:to>
      <xdr:col>18</xdr:col>
      <xdr:colOff>113647</xdr:colOff>
      <xdr:row>53</xdr:row>
      <xdr:rowOff>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9AF47BAA-98E8-438E-A20E-CAAA6227C1D6}"/>
            </a:ext>
          </a:extLst>
        </xdr:cNvPr>
        <xdr:cNvCxnSpPr/>
      </xdr:nvCxnSpPr>
      <xdr:spPr>
        <a:xfrm>
          <a:off x="9323294" y="12729882"/>
          <a:ext cx="1548000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</xdr:colOff>
      <xdr:row>53</xdr:row>
      <xdr:rowOff>0</xdr:rowOff>
    </xdr:from>
    <xdr:to>
      <xdr:col>21</xdr:col>
      <xdr:colOff>185648</xdr:colOff>
      <xdr:row>53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81C6FAA6-3364-449A-8713-24286667D26F}"/>
            </a:ext>
          </a:extLst>
        </xdr:cNvPr>
        <xdr:cNvCxnSpPr/>
      </xdr:nvCxnSpPr>
      <xdr:spPr>
        <a:xfrm>
          <a:off x="11474825" y="12729882"/>
          <a:ext cx="1619999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717175</xdr:colOff>
      <xdr:row>3</xdr:row>
      <xdr:rowOff>0</xdr:rowOff>
    </xdr:from>
    <xdr:to>
      <xdr:col>21</xdr:col>
      <xdr:colOff>344021</xdr:colOff>
      <xdr:row>7</xdr:row>
      <xdr:rowOff>171450</xdr:rowOff>
    </xdr:to>
    <xdr:pic>
      <xdr:nvPicPr>
        <xdr:cNvPr id="2" name="Picture 1" descr="GasJack (Green).png">
          <a:extLst>
            <a:ext uri="{FF2B5EF4-FFF2-40B4-BE49-F238E27FC236}">
              <a16:creationId xmlns:a16="http://schemas.microsoft.com/office/drawing/2014/main" id="{CE2B040D-87C2-4BE3-A82F-16D1D41F17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144375" y="571500"/>
          <a:ext cx="2487146" cy="1123950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3</xdr:row>
      <xdr:rowOff>291352</xdr:rowOff>
    </xdr:from>
    <xdr:to>
      <xdr:col>5</xdr:col>
      <xdr:colOff>30883</xdr:colOff>
      <xdr:row>6</xdr:row>
      <xdr:rowOff>103160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92C2627-0B43-4983-B9DD-0C3CA3135A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2" y="862852"/>
          <a:ext cx="2160000" cy="573808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53</xdr:row>
      <xdr:rowOff>0</xdr:rowOff>
    </xdr:from>
    <xdr:to>
      <xdr:col>18</xdr:col>
      <xdr:colOff>113647</xdr:colOff>
      <xdr:row>53</xdr:row>
      <xdr:rowOff>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61A1437-F079-4AFF-A2C2-0CD16ED80E4D}"/>
            </a:ext>
          </a:extLst>
        </xdr:cNvPr>
        <xdr:cNvCxnSpPr/>
      </xdr:nvCxnSpPr>
      <xdr:spPr>
        <a:xfrm>
          <a:off x="9323294" y="12729882"/>
          <a:ext cx="1548000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</xdr:colOff>
      <xdr:row>53</xdr:row>
      <xdr:rowOff>0</xdr:rowOff>
    </xdr:from>
    <xdr:to>
      <xdr:col>21</xdr:col>
      <xdr:colOff>185648</xdr:colOff>
      <xdr:row>53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198D1B70-A69F-4D8D-8A66-EF8C14200756}"/>
            </a:ext>
          </a:extLst>
        </xdr:cNvPr>
        <xdr:cNvCxnSpPr/>
      </xdr:nvCxnSpPr>
      <xdr:spPr>
        <a:xfrm>
          <a:off x="11474825" y="12729882"/>
          <a:ext cx="1619999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717175</xdr:colOff>
      <xdr:row>3</xdr:row>
      <xdr:rowOff>0</xdr:rowOff>
    </xdr:from>
    <xdr:to>
      <xdr:col>21</xdr:col>
      <xdr:colOff>344021</xdr:colOff>
      <xdr:row>7</xdr:row>
      <xdr:rowOff>171450</xdr:rowOff>
    </xdr:to>
    <xdr:pic>
      <xdr:nvPicPr>
        <xdr:cNvPr id="2" name="Picture 1" descr="GasJack (Green).png">
          <a:extLst>
            <a:ext uri="{FF2B5EF4-FFF2-40B4-BE49-F238E27FC236}">
              <a16:creationId xmlns:a16="http://schemas.microsoft.com/office/drawing/2014/main" id="{120703FE-EDA4-4889-B15D-382F2CA4E0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144375" y="571500"/>
          <a:ext cx="2487146" cy="1123950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3</xdr:row>
      <xdr:rowOff>291352</xdr:rowOff>
    </xdr:from>
    <xdr:to>
      <xdr:col>5</xdr:col>
      <xdr:colOff>30883</xdr:colOff>
      <xdr:row>6</xdr:row>
      <xdr:rowOff>103160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568E37D-3922-4C71-9B88-1D4F36921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2" y="862852"/>
          <a:ext cx="2160000" cy="573808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53</xdr:row>
      <xdr:rowOff>0</xdr:rowOff>
    </xdr:from>
    <xdr:to>
      <xdr:col>18</xdr:col>
      <xdr:colOff>113647</xdr:colOff>
      <xdr:row>53</xdr:row>
      <xdr:rowOff>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2ECAA026-D200-45A3-9CA2-F20EE957B8A0}"/>
            </a:ext>
          </a:extLst>
        </xdr:cNvPr>
        <xdr:cNvCxnSpPr/>
      </xdr:nvCxnSpPr>
      <xdr:spPr>
        <a:xfrm>
          <a:off x="9323294" y="12729882"/>
          <a:ext cx="1548000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</xdr:colOff>
      <xdr:row>53</xdr:row>
      <xdr:rowOff>0</xdr:rowOff>
    </xdr:from>
    <xdr:to>
      <xdr:col>21</xdr:col>
      <xdr:colOff>185648</xdr:colOff>
      <xdr:row>53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F93B4713-E5CA-48B1-8D2A-1C3D7ECC7047}"/>
            </a:ext>
          </a:extLst>
        </xdr:cNvPr>
        <xdr:cNvCxnSpPr/>
      </xdr:nvCxnSpPr>
      <xdr:spPr>
        <a:xfrm>
          <a:off x="11474825" y="12729882"/>
          <a:ext cx="1619999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717175</xdr:colOff>
      <xdr:row>3</xdr:row>
      <xdr:rowOff>0</xdr:rowOff>
    </xdr:from>
    <xdr:to>
      <xdr:col>21</xdr:col>
      <xdr:colOff>344021</xdr:colOff>
      <xdr:row>7</xdr:row>
      <xdr:rowOff>171450</xdr:rowOff>
    </xdr:to>
    <xdr:pic>
      <xdr:nvPicPr>
        <xdr:cNvPr id="2" name="Picture 1" descr="GasJack (Green).png">
          <a:extLst>
            <a:ext uri="{FF2B5EF4-FFF2-40B4-BE49-F238E27FC236}">
              <a16:creationId xmlns:a16="http://schemas.microsoft.com/office/drawing/2014/main" id="{2D1F7EBD-17A1-45EC-BCCE-5CEF1B751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144375" y="571500"/>
          <a:ext cx="2487146" cy="1123950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3</xdr:row>
      <xdr:rowOff>291352</xdr:rowOff>
    </xdr:from>
    <xdr:to>
      <xdr:col>5</xdr:col>
      <xdr:colOff>30883</xdr:colOff>
      <xdr:row>6</xdr:row>
      <xdr:rowOff>103160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AD41846-4E0F-42B3-92BD-3E2DB70C87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2" y="862852"/>
          <a:ext cx="2160000" cy="573808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53</xdr:row>
      <xdr:rowOff>0</xdr:rowOff>
    </xdr:from>
    <xdr:to>
      <xdr:col>18</xdr:col>
      <xdr:colOff>113647</xdr:colOff>
      <xdr:row>53</xdr:row>
      <xdr:rowOff>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613AE2EB-A941-4EA4-B8B2-46159B566C32}"/>
            </a:ext>
          </a:extLst>
        </xdr:cNvPr>
        <xdr:cNvCxnSpPr/>
      </xdr:nvCxnSpPr>
      <xdr:spPr>
        <a:xfrm>
          <a:off x="9323294" y="12729882"/>
          <a:ext cx="1548000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</xdr:colOff>
      <xdr:row>53</xdr:row>
      <xdr:rowOff>0</xdr:rowOff>
    </xdr:from>
    <xdr:to>
      <xdr:col>21</xdr:col>
      <xdr:colOff>185648</xdr:colOff>
      <xdr:row>53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75E72908-65CF-4052-A18F-6BB03B792425}"/>
            </a:ext>
          </a:extLst>
        </xdr:cNvPr>
        <xdr:cNvCxnSpPr/>
      </xdr:nvCxnSpPr>
      <xdr:spPr>
        <a:xfrm>
          <a:off x="11474825" y="12729882"/>
          <a:ext cx="1619999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717175</xdr:colOff>
      <xdr:row>3</xdr:row>
      <xdr:rowOff>0</xdr:rowOff>
    </xdr:from>
    <xdr:to>
      <xdr:col>21</xdr:col>
      <xdr:colOff>344021</xdr:colOff>
      <xdr:row>7</xdr:row>
      <xdr:rowOff>171450</xdr:rowOff>
    </xdr:to>
    <xdr:pic>
      <xdr:nvPicPr>
        <xdr:cNvPr id="2" name="Picture 1" descr="GasJack (Green).png">
          <a:extLst>
            <a:ext uri="{FF2B5EF4-FFF2-40B4-BE49-F238E27FC236}">
              <a16:creationId xmlns:a16="http://schemas.microsoft.com/office/drawing/2014/main" id="{3FD52AD1-7E7A-4346-A60A-17BB1353B6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144375" y="571500"/>
          <a:ext cx="2487146" cy="1123950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3</xdr:row>
      <xdr:rowOff>291352</xdr:rowOff>
    </xdr:from>
    <xdr:to>
      <xdr:col>5</xdr:col>
      <xdr:colOff>30883</xdr:colOff>
      <xdr:row>6</xdr:row>
      <xdr:rowOff>103160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82E9A36-66CF-410A-B21A-7D88101BD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2" y="862852"/>
          <a:ext cx="2160000" cy="573808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53</xdr:row>
      <xdr:rowOff>0</xdr:rowOff>
    </xdr:from>
    <xdr:to>
      <xdr:col>18</xdr:col>
      <xdr:colOff>113647</xdr:colOff>
      <xdr:row>53</xdr:row>
      <xdr:rowOff>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80BAA506-678A-4E40-8D13-D3B17B6F14F5}"/>
            </a:ext>
          </a:extLst>
        </xdr:cNvPr>
        <xdr:cNvCxnSpPr/>
      </xdr:nvCxnSpPr>
      <xdr:spPr>
        <a:xfrm>
          <a:off x="9323294" y="12729882"/>
          <a:ext cx="1548000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</xdr:colOff>
      <xdr:row>53</xdr:row>
      <xdr:rowOff>0</xdr:rowOff>
    </xdr:from>
    <xdr:to>
      <xdr:col>21</xdr:col>
      <xdr:colOff>185648</xdr:colOff>
      <xdr:row>53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108D9589-1B6C-414A-9869-1667B2F7C1BD}"/>
            </a:ext>
          </a:extLst>
        </xdr:cNvPr>
        <xdr:cNvCxnSpPr/>
      </xdr:nvCxnSpPr>
      <xdr:spPr>
        <a:xfrm>
          <a:off x="11474825" y="12729882"/>
          <a:ext cx="1619999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717175</xdr:colOff>
      <xdr:row>3</xdr:row>
      <xdr:rowOff>0</xdr:rowOff>
    </xdr:from>
    <xdr:to>
      <xdr:col>21</xdr:col>
      <xdr:colOff>344021</xdr:colOff>
      <xdr:row>7</xdr:row>
      <xdr:rowOff>171450</xdr:rowOff>
    </xdr:to>
    <xdr:pic>
      <xdr:nvPicPr>
        <xdr:cNvPr id="2" name="Picture 1" descr="GasJack (Green).png">
          <a:extLst>
            <a:ext uri="{FF2B5EF4-FFF2-40B4-BE49-F238E27FC236}">
              <a16:creationId xmlns:a16="http://schemas.microsoft.com/office/drawing/2014/main" id="{3871E951-A64B-40F2-AA75-1BD0A4284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144375" y="571500"/>
          <a:ext cx="2487146" cy="1123950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3</xdr:row>
      <xdr:rowOff>291352</xdr:rowOff>
    </xdr:from>
    <xdr:to>
      <xdr:col>5</xdr:col>
      <xdr:colOff>30883</xdr:colOff>
      <xdr:row>6</xdr:row>
      <xdr:rowOff>103160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49F2EF4-0B4B-4201-8385-BA0848141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2" y="862852"/>
          <a:ext cx="2160000" cy="573808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53</xdr:row>
      <xdr:rowOff>0</xdr:rowOff>
    </xdr:from>
    <xdr:to>
      <xdr:col>18</xdr:col>
      <xdr:colOff>113647</xdr:colOff>
      <xdr:row>53</xdr:row>
      <xdr:rowOff>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D4C5140A-B9CE-4A0F-994F-2031F6204F79}"/>
            </a:ext>
          </a:extLst>
        </xdr:cNvPr>
        <xdr:cNvCxnSpPr/>
      </xdr:nvCxnSpPr>
      <xdr:spPr>
        <a:xfrm>
          <a:off x="9323294" y="12729882"/>
          <a:ext cx="1548000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</xdr:colOff>
      <xdr:row>53</xdr:row>
      <xdr:rowOff>0</xdr:rowOff>
    </xdr:from>
    <xdr:to>
      <xdr:col>21</xdr:col>
      <xdr:colOff>185648</xdr:colOff>
      <xdr:row>53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12056228-E219-4BC6-8904-3E5716CC679A}"/>
            </a:ext>
          </a:extLst>
        </xdr:cNvPr>
        <xdr:cNvCxnSpPr/>
      </xdr:nvCxnSpPr>
      <xdr:spPr>
        <a:xfrm>
          <a:off x="11474825" y="12729882"/>
          <a:ext cx="1619999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717175</xdr:colOff>
      <xdr:row>3</xdr:row>
      <xdr:rowOff>0</xdr:rowOff>
    </xdr:from>
    <xdr:to>
      <xdr:col>21</xdr:col>
      <xdr:colOff>344021</xdr:colOff>
      <xdr:row>7</xdr:row>
      <xdr:rowOff>171450</xdr:rowOff>
    </xdr:to>
    <xdr:pic>
      <xdr:nvPicPr>
        <xdr:cNvPr id="2" name="Picture 1" descr="GasJack (Green).png">
          <a:extLst>
            <a:ext uri="{FF2B5EF4-FFF2-40B4-BE49-F238E27FC236}">
              <a16:creationId xmlns:a16="http://schemas.microsoft.com/office/drawing/2014/main" id="{133C6111-664D-4557-ACDB-2106DD5F3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144375" y="571500"/>
          <a:ext cx="2487146" cy="1123950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3</xdr:row>
      <xdr:rowOff>291352</xdr:rowOff>
    </xdr:from>
    <xdr:to>
      <xdr:col>5</xdr:col>
      <xdr:colOff>30883</xdr:colOff>
      <xdr:row>6</xdr:row>
      <xdr:rowOff>103160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37A1289-2E07-46E9-8787-0BA5D7E36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2" y="862852"/>
          <a:ext cx="2160000" cy="573808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53</xdr:row>
      <xdr:rowOff>0</xdr:rowOff>
    </xdr:from>
    <xdr:to>
      <xdr:col>18</xdr:col>
      <xdr:colOff>113647</xdr:colOff>
      <xdr:row>53</xdr:row>
      <xdr:rowOff>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31333F84-C75C-49C0-AA80-75FBE7795CDA}"/>
            </a:ext>
          </a:extLst>
        </xdr:cNvPr>
        <xdr:cNvCxnSpPr/>
      </xdr:nvCxnSpPr>
      <xdr:spPr>
        <a:xfrm>
          <a:off x="9323294" y="12729882"/>
          <a:ext cx="1548000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</xdr:colOff>
      <xdr:row>53</xdr:row>
      <xdr:rowOff>0</xdr:rowOff>
    </xdr:from>
    <xdr:to>
      <xdr:col>21</xdr:col>
      <xdr:colOff>185648</xdr:colOff>
      <xdr:row>53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4F61CD10-C90B-4492-821E-33DB3215D7C5}"/>
            </a:ext>
          </a:extLst>
        </xdr:cNvPr>
        <xdr:cNvCxnSpPr/>
      </xdr:nvCxnSpPr>
      <xdr:spPr>
        <a:xfrm>
          <a:off x="11474825" y="12729882"/>
          <a:ext cx="1619999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717175</xdr:colOff>
      <xdr:row>3</xdr:row>
      <xdr:rowOff>0</xdr:rowOff>
    </xdr:from>
    <xdr:to>
      <xdr:col>21</xdr:col>
      <xdr:colOff>344021</xdr:colOff>
      <xdr:row>7</xdr:row>
      <xdr:rowOff>171450</xdr:rowOff>
    </xdr:to>
    <xdr:pic>
      <xdr:nvPicPr>
        <xdr:cNvPr id="2" name="Picture 1" descr="GasJack (Green).png">
          <a:extLst>
            <a:ext uri="{FF2B5EF4-FFF2-40B4-BE49-F238E27FC236}">
              <a16:creationId xmlns:a16="http://schemas.microsoft.com/office/drawing/2014/main" id="{6FE95AE7-E1A2-492D-948B-12318E66E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144375" y="571500"/>
          <a:ext cx="2487146" cy="1123950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3</xdr:row>
      <xdr:rowOff>291352</xdr:rowOff>
    </xdr:from>
    <xdr:to>
      <xdr:col>5</xdr:col>
      <xdr:colOff>30883</xdr:colOff>
      <xdr:row>6</xdr:row>
      <xdr:rowOff>103160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106A676-4384-436B-9403-E7DF24C74A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2" y="862852"/>
          <a:ext cx="2160000" cy="573808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53</xdr:row>
      <xdr:rowOff>0</xdr:rowOff>
    </xdr:from>
    <xdr:to>
      <xdr:col>18</xdr:col>
      <xdr:colOff>113647</xdr:colOff>
      <xdr:row>53</xdr:row>
      <xdr:rowOff>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7912217C-038E-4ECA-87BD-CE1CBE58C850}"/>
            </a:ext>
          </a:extLst>
        </xdr:cNvPr>
        <xdr:cNvCxnSpPr/>
      </xdr:nvCxnSpPr>
      <xdr:spPr>
        <a:xfrm>
          <a:off x="9323294" y="12729882"/>
          <a:ext cx="1548000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</xdr:colOff>
      <xdr:row>53</xdr:row>
      <xdr:rowOff>0</xdr:rowOff>
    </xdr:from>
    <xdr:to>
      <xdr:col>21</xdr:col>
      <xdr:colOff>185648</xdr:colOff>
      <xdr:row>53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A3185C22-3131-4FB4-98A2-F1E2CD1ED607}"/>
            </a:ext>
          </a:extLst>
        </xdr:cNvPr>
        <xdr:cNvCxnSpPr/>
      </xdr:nvCxnSpPr>
      <xdr:spPr>
        <a:xfrm>
          <a:off x="11474825" y="12729882"/>
          <a:ext cx="1619999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717175</xdr:colOff>
      <xdr:row>3</xdr:row>
      <xdr:rowOff>0</xdr:rowOff>
    </xdr:from>
    <xdr:to>
      <xdr:col>21</xdr:col>
      <xdr:colOff>344021</xdr:colOff>
      <xdr:row>7</xdr:row>
      <xdr:rowOff>171450</xdr:rowOff>
    </xdr:to>
    <xdr:pic>
      <xdr:nvPicPr>
        <xdr:cNvPr id="2" name="Picture 1" descr="GasJack (Green).png">
          <a:extLst>
            <a:ext uri="{FF2B5EF4-FFF2-40B4-BE49-F238E27FC236}">
              <a16:creationId xmlns:a16="http://schemas.microsoft.com/office/drawing/2014/main" id="{1A10C869-7D4A-4004-BFFB-A9F08326AA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144375" y="571500"/>
          <a:ext cx="2487146" cy="1123950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3</xdr:row>
      <xdr:rowOff>291352</xdr:rowOff>
    </xdr:from>
    <xdr:to>
      <xdr:col>5</xdr:col>
      <xdr:colOff>30883</xdr:colOff>
      <xdr:row>6</xdr:row>
      <xdr:rowOff>103160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3E1E474-F27C-466D-8BCC-EF0D5E307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2" y="862852"/>
          <a:ext cx="2160000" cy="573808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53</xdr:row>
      <xdr:rowOff>0</xdr:rowOff>
    </xdr:from>
    <xdr:to>
      <xdr:col>18</xdr:col>
      <xdr:colOff>113647</xdr:colOff>
      <xdr:row>53</xdr:row>
      <xdr:rowOff>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FABF9AA1-9ECF-40DD-A436-30B0BA9D8947}"/>
            </a:ext>
          </a:extLst>
        </xdr:cNvPr>
        <xdr:cNvCxnSpPr/>
      </xdr:nvCxnSpPr>
      <xdr:spPr>
        <a:xfrm>
          <a:off x="9323294" y="12729882"/>
          <a:ext cx="1548000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</xdr:colOff>
      <xdr:row>53</xdr:row>
      <xdr:rowOff>0</xdr:rowOff>
    </xdr:from>
    <xdr:to>
      <xdr:col>21</xdr:col>
      <xdr:colOff>185648</xdr:colOff>
      <xdr:row>53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8ADF309-4349-4BBF-83C5-BA2BB0965A91}"/>
            </a:ext>
          </a:extLst>
        </xdr:cNvPr>
        <xdr:cNvCxnSpPr/>
      </xdr:nvCxnSpPr>
      <xdr:spPr>
        <a:xfrm>
          <a:off x="11474825" y="12729882"/>
          <a:ext cx="1619999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717175</xdr:colOff>
      <xdr:row>3</xdr:row>
      <xdr:rowOff>0</xdr:rowOff>
    </xdr:from>
    <xdr:to>
      <xdr:col>21</xdr:col>
      <xdr:colOff>344021</xdr:colOff>
      <xdr:row>7</xdr:row>
      <xdr:rowOff>171450</xdr:rowOff>
    </xdr:to>
    <xdr:pic>
      <xdr:nvPicPr>
        <xdr:cNvPr id="2" name="Picture 1" descr="GasJack (Green).png">
          <a:extLst>
            <a:ext uri="{FF2B5EF4-FFF2-40B4-BE49-F238E27FC236}">
              <a16:creationId xmlns:a16="http://schemas.microsoft.com/office/drawing/2014/main" id="{AFAE6D2A-2165-4FEF-BFB6-419225D85F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144375" y="571500"/>
          <a:ext cx="2487146" cy="1123950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3</xdr:row>
      <xdr:rowOff>291352</xdr:rowOff>
    </xdr:from>
    <xdr:to>
      <xdr:col>5</xdr:col>
      <xdr:colOff>30883</xdr:colOff>
      <xdr:row>6</xdr:row>
      <xdr:rowOff>103160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1959004-C998-4DD4-B957-E24865E94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2" y="862852"/>
          <a:ext cx="2160000" cy="573808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53</xdr:row>
      <xdr:rowOff>0</xdr:rowOff>
    </xdr:from>
    <xdr:to>
      <xdr:col>18</xdr:col>
      <xdr:colOff>113647</xdr:colOff>
      <xdr:row>53</xdr:row>
      <xdr:rowOff>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2C75FE11-2062-406B-B030-F70A2F56E007}"/>
            </a:ext>
          </a:extLst>
        </xdr:cNvPr>
        <xdr:cNvCxnSpPr/>
      </xdr:nvCxnSpPr>
      <xdr:spPr>
        <a:xfrm>
          <a:off x="9323294" y="12729882"/>
          <a:ext cx="1548000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</xdr:colOff>
      <xdr:row>53</xdr:row>
      <xdr:rowOff>0</xdr:rowOff>
    </xdr:from>
    <xdr:to>
      <xdr:col>21</xdr:col>
      <xdr:colOff>185648</xdr:colOff>
      <xdr:row>53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6874C8C3-D481-42F1-A55F-AA0592FA5A0A}"/>
            </a:ext>
          </a:extLst>
        </xdr:cNvPr>
        <xdr:cNvCxnSpPr/>
      </xdr:nvCxnSpPr>
      <xdr:spPr>
        <a:xfrm>
          <a:off x="11474825" y="12729882"/>
          <a:ext cx="1619999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717175</xdr:colOff>
      <xdr:row>3</xdr:row>
      <xdr:rowOff>0</xdr:rowOff>
    </xdr:from>
    <xdr:to>
      <xdr:col>21</xdr:col>
      <xdr:colOff>344021</xdr:colOff>
      <xdr:row>7</xdr:row>
      <xdr:rowOff>171450</xdr:rowOff>
    </xdr:to>
    <xdr:pic>
      <xdr:nvPicPr>
        <xdr:cNvPr id="2" name="Picture 1" descr="GasJack (Green).png">
          <a:extLst>
            <a:ext uri="{FF2B5EF4-FFF2-40B4-BE49-F238E27FC236}">
              <a16:creationId xmlns:a16="http://schemas.microsoft.com/office/drawing/2014/main" id="{897B5CB9-4509-4C88-B436-F8C8231C47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144375" y="571500"/>
          <a:ext cx="2487146" cy="1123950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3</xdr:row>
      <xdr:rowOff>291352</xdr:rowOff>
    </xdr:from>
    <xdr:to>
      <xdr:col>5</xdr:col>
      <xdr:colOff>30883</xdr:colOff>
      <xdr:row>6</xdr:row>
      <xdr:rowOff>103160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6CF5C9AC-D980-4A8C-9DDE-F63F049F69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2" y="862852"/>
          <a:ext cx="2160000" cy="573808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53</xdr:row>
      <xdr:rowOff>0</xdr:rowOff>
    </xdr:from>
    <xdr:to>
      <xdr:col>18</xdr:col>
      <xdr:colOff>113647</xdr:colOff>
      <xdr:row>53</xdr:row>
      <xdr:rowOff>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C469B31-D7AB-4C7F-AAC0-3ACC87C53DAA}"/>
            </a:ext>
          </a:extLst>
        </xdr:cNvPr>
        <xdr:cNvCxnSpPr/>
      </xdr:nvCxnSpPr>
      <xdr:spPr>
        <a:xfrm>
          <a:off x="9323294" y="12729882"/>
          <a:ext cx="1548000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</xdr:colOff>
      <xdr:row>53</xdr:row>
      <xdr:rowOff>0</xdr:rowOff>
    </xdr:from>
    <xdr:to>
      <xdr:col>21</xdr:col>
      <xdr:colOff>185648</xdr:colOff>
      <xdr:row>53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41E2800A-8D6A-41EC-9E80-8910AE152C6D}"/>
            </a:ext>
          </a:extLst>
        </xdr:cNvPr>
        <xdr:cNvCxnSpPr/>
      </xdr:nvCxnSpPr>
      <xdr:spPr>
        <a:xfrm>
          <a:off x="11474825" y="12729882"/>
          <a:ext cx="1619999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717175</xdr:colOff>
      <xdr:row>3</xdr:row>
      <xdr:rowOff>0</xdr:rowOff>
    </xdr:from>
    <xdr:to>
      <xdr:col>21</xdr:col>
      <xdr:colOff>344021</xdr:colOff>
      <xdr:row>7</xdr:row>
      <xdr:rowOff>171450</xdr:rowOff>
    </xdr:to>
    <xdr:pic>
      <xdr:nvPicPr>
        <xdr:cNvPr id="2" name="Picture 1" descr="GasJack (Green).png">
          <a:extLst>
            <a:ext uri="{FF2B5EF4-FFF2-40B4-BE49-F238E27FC236}">
              <a16:creationId xmlns:a16="http://schemas.microsoft.com/office/drawing/2014/main" id="{C2FF7145-A862-4DED-A27D-CA8EBF1CA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144375" y="571500"/>
          <a:ext cx="2487146" cy="1123950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3</xdr:row>
      <xdr:rowOff>291352</xdr:rowOff>
    </xdr:from>
    <xdr:to>
      <xdr:col>5</xdr:col>
      <xdr:colOff>30883</xdr:colOff>
      <xdr:row>6</xdr:row>
      <xdr:rowOff>103160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18B2B10D-0C29-49A1-9B76-BE0C83736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2" y="862852"/>
          <a:ext cx="2160000" cy="573808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53</xdr:row>
      <xdr:rowOff>0</xdr:rowOff>
    </xdr:from>
    <xdr:to>
      <xdr:col>18</xdr:col>
      <xdr:colOff>113647</xdr:colOff>
      <xdr:row>53</xdr:row>
      <xdr:rowOff>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B966F318-B86D-4FA8-8637-6E6E17CF5E42}"/>
            </a:ext>
          </a:extLst>
        </xdr:cNvPr>
        <xdr:cNvCxnSpPr/>
      </xdr:nvCxnSpPr>
      <xdr:spPr>
        <a:xfrm>
          <a:off x="9323294" y="12729882"/>
          <a:ext cx="1548000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</xdr:colOff>
      <xdr:row>53</xdr:row>
      <xdr:rowOff>0</xdr:rowOff>
    </xdr:from>
    <xdr:to>
      <xdr:col>21</xdr:col>
      <xdr:colOff>185648</xdr:colOff>
      <xdr:row>53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E2611B4C-15BF-4184-8048-B0531369849E}"/>
            </a:ext>
          </a:extLst>
        </xdr:cNvPr>
        <xdr:cNvCxnSpPr/>
      </xdr:nvCxnSpPr>
      <xdr:spPr>
        <a:xfrm>
          <a:off x="11474825" y="12729882"/>
          <a:ext cx="1619999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717175</xdr:colOff>
      <xdr:row>3</xdr:row>
      <xdr:rowOff>0</xdr:rowOff>
    </xdr:from>
    <xdr:to>
      <xdr:col>21</xdr:col>
      <xdr:colOff>344021</xdr:colOff>
      <xdr:row>7</xdr:row>
      <xdr:rowOff>171450</xdr:rowOff>
    </xdr:to>
    <xdr:pic>
      <xdr:nvPicPr>
        <xdr:cNvPr id="2" name="Picture 1" descr="GasJack (Green).png">
          <a:extLst>
            <a:ext uri="{FF2B5EF4-FFF2-40B4-BE49-F238E27FC236}">
              <a16:creationId xmlns:a16="http://schemas.microsoft.com/office/drawing/2014/main" id="{1B05121F-FDD7-4987-90BE-5FCF12114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144375" y="571500"/>
          <a:ext cx="2487146" cy="1123950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3</xdr:row>
      <xdr:rowOff>291352</xdr:rowOff>
    </xdr:from>
    <xdr:to>
      <xdr:col>5</xdr:col>
      <xdr:colOff>30883</xdr:colOff>
      <xdr:row>6</xdr:row>
      <xdr:rowOff>103160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0E95BD9-7811-49D9-A36F-1DAEDB9E97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2" y="862852"/>
          <a:ext cx="2160000" cy="573808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53</xdr:row>
      <xdr:rowOff>0</xdr:rowOff>
    </xdr:from>
    <xdr:to>
      <xdr:col>18</xdr:col>
      <xdr:colOff>113647</xdr:colOff>
      <xdr:row>53</xdr:row>
      <xdr:rowOff>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F7CC4BB6-A6A6-4BA2-9AD3-02B7EC34A41A}"/>
            </a:ext>
          </a:extLst>
        </xdr:cNvPr>
        <xdr:cNvCxnSpPr/>
      </xdr:nvCxnSpPr>
      <xdr:spPr>
        <a:xfrm>
          <a:off x="9323294" y="12729882"/>
          <a:ext cx="1548000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</xdr:colOff>
      <xdr:row>53</xdr:row>
      <xdr:rowOff>0</xdr:rowOff>
    </xdr:from>
    <xdr:to>
      <xdr:col>21</xdr:col>
      <xdr:colOff>185648</xdr:colOff>
      <xdr:row>53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36DEEDF5-238B-4883-A29B-5663D4BF5F5A}"/>
            </a:ext>
          </a:extLst>
        </xdr:cNvPr>
        <xdr:cNvCxnSpPr/>
      </xdr:nvCxnSpPr>
      <xdr:spPr>
        <a:xfrm>
          <a:off x="11474825" y="12729882"/>
          <a:ext cx="1619999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717175</xdr:colOff>
      <xdr:row>3</xdr:row>
      <xdr:rowOff>0</xdr:rowOff>
    </xdr:from>
    <xdr:to>
      <xdr:col>21</xdr:col>
      <xdr:colOff>344021</xdr:colOff>
      <xdr:row>7</xdr:row>
      <xdr:rowOff>171450</xdr:rowOff>
    </xdr:to>
    <xdr:pic>
      <xdr:nvPicPr>
        <xdr:cNvPr id="2" name="Picture 1" descr="GasJack (Green).png">
          <a:extLst>
            <a:ext uri="{FF2B5EF4-FFF2-40B4-BE49-F238E27FC236}">
              <a16:creationId xmlns:a16="http://schemas.microsoft.com/office/drawing/2014/main" id="{0ABEBB6C-9E4D-4ECB-AECA-38DA8AF02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144375" y="571500"/>
          <a:ext cx="2487146" cy="1123950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3</xdr:row>
      <xdr:rowOff>291352</xdr:rowOff>
    </xdr:from>
    <xdr:to>
      <xdr:col>5</xdr:col>
      <xdr:colOff>30883</xdr:colOff>
      <xdr:row>6</xdr:row>
      <xdr:rowOff>103160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1FD07A3-FACC-4663-A726-4A7C4AAB6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2" y="862852"/>
          <a:ext cx="2160000" cy="573808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53</xdr:row>
      <xdr:rowOff>0</xdr:rowOff>
    </xdr:from>
    <xdr:to>
      <xdr:col>18</xdr:col>
      <xdr:colOff>113647</xdr:colOff>
      <xdr:row>53</xdr:row>
      <xdr:rowOff>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A2C177C4-BE16-4777-AA99-4FA7C479BEBA}"/>
            </a:ext>
          </a:extLst>
        </xdr:cNvPr>
        <xdr:cNvCxnSpPr/>
      </xdr:nvCxnSpPr>
      <xdr:spPr>
        <a:xfrm>
          <a:off x="9323294" y="12729882"/>
          <a:ext cx="1548000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</xdr:colOff>
      <xdr:row>53</xdr:row>
      <xdr:rowOff>0</xdr:rowOff>
    </xdr:from>
    <xdr:to>
      <xdr:col>21</xdr:col>
      <xdr:colOff>185648</xdr:colOff>
      <xdr:row>53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89A6EA5D-FF7C-41CB-9976-30AAAC760369}"/>
            </a:ext>
          </a:extLst>
        </xdr:cNvPr>
        <xdr:cNvCxnSpPr/>
      </xdr:nvCxnSpPr>
      <xdr:spPr>
        <a:xfrm>
          <a:off x="11474825" y="12729882"/>
          <a:ext cx="1619999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717175</xdr:colOff>
      <xdr:row>3</xdr:row>
      <xdr:rowOff>0</xdr:rowOff>
    </xdr:from>
    <xdr:to>
      <xdr:col>21</xdr:col>
      <xdr:colOff>344021</xdr:colOff>
      <xdr:row>7</xdr:row>
      <xdr:rowOff>171450</xdr:rowOff>
    </xdr:to>
    <xdr:pic>
      <xdr:nvPicPr>
        <xdr:cNvPr id="2" name="Picture 1" descr="GasJack (Green).png">
          <a:extLst>
            <a:ext uri="{FF2B5EF4-FFF2-40B4-BE49-F238E27FC236}">
              <a16:creationId xmlns:a16="http://schemas.microsoft.com/office/drawing/2014/main" id="{4F785695-8506-4E4C-AB43-14F242A149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144375" y="571500"/>
          <a:ext cx="2487146" cy="1123950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3</xdr:row>
      <xdr:rowOff>291352</xdr:rowOff>
    </xdr:from>
    <xdr:to>
      <xdr:col>5</xdr:col>
      <xdr:colOff>30883</xdr:colOff>
      <xdr:row>6</xdr:row>
      <xdr:rowOff>103160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A9A4790-91B5-4ECD-B7A4-CACE0EA5D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2" y="862852"/>
          <a:ext cx="2160000" cy="573808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53</xdr:row>
      <xdr:rowOff>0</xdr:rowOff>
    </xdr:from>
    <xdr:to>
      <xdr:col>18</xdr:col>
      <xdr:colOff>113647</xdr:colOff>
      <xdr:row>53</xdr:row>
      <xdr:rowOff>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44C2D8F2-9D6C-45E4-AEA3-5B972FC4E597}"/>
            </a:ext>
          </a:extLst>
        </xdr:cNvPr>
        <xdr:cNvCxnSpPr/>
      </xdr:nvCxnSpPr>
      <xdr:spPr>
        <a:xfrm>
          <a:off x="9323294" y="12729882"/>
          <a:ext cx="1548000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</xdr:colOff>
      <xdr:row>53</xdr:row>
      <xdr:rowOff>0</xdr:rowOff>
    </xdr:from>
    <xdr:to>
      <xdr:col>21</xdr:col>
      <xdr:colOff>185648</xdr:colOff>
      <xdr:row>53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DECAC606-CA2F-48D7-B6B6-8FCF794206BF}"/>
            </a:ext>
          </a:extLst>
        </xdr:cNvPr>
        <xdr:cNvCxnSpPr/>
      </xdr:nvCxnSpPr>
      <xdr:spPr>
        <a:xfrm>
          <a:off x="11474825" y="12729882"/>
          <a:ext cx="1619999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717175</xdr:colOff>
      <xdr:row>3</xdr:row>
      <xdr:rowOff>0</xdr:rowOff>
    </xdr:from>
    <xdr:to>
      <xdr:col>21</xdr:col>
      <xdr:colOff>344021</xdr:colOff>
      <xdr:row>7</xdr:row>
      <xdr:rowOff>171450</xdr:rowOff>
    </xdr:to>
    <xdr:pic>
      <xdr:nvPicPr>
        <xdr:cNvPr id="2" name="Picture 1" descr="GasJack (Green).png">
          <a:extLst>
            <a:ext uri="{FF2B5EF4-FFF2-40B4-BE49-F238E27FC236}">
              <a16:creationId xmlns:a16="http://schemas.microsoft.com/office/drawing/2014/main" id="{45EAE9D8-2DC9-4F91-B465-FA309A8B0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144375" y="571500"/>
          <a:ext cx="2487146" cy="1123950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3</xdr:row>
      <xdr:rowOff>291352</xdr:rowOff>
    </xdr:from>
    <xdr:to>
      <xdr:col>5</xdr:col>
      <xdr:colOff>30883</xdr:colOff>
      <xdr:row>6</xdr:row>
      <xdr:rowOff>103160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5483FC00-8E4D-462A-93CE-C2AAF5F5CE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2" y="862852"/>
          <a:ext cx="2160000" cy="573808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53</xdr:row>
      <xdr:rowOff>0</xdr:rowOff>
    </xdr:from>
    <xdr:to>
      <xdr:col>18</xdr:col>
      <xdr:colOff>113647</xdr:colOff>
      <xdr:row>53</xdr:row>
      <xdr:rowOff>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12ED016F-86D7-4744-8D37-B3CA466F182E}"/>
            </a:ext>
          </a:extLst>
        </xdr:cNvPr>
        <xdr:cNvCxnSpPr/>
      </xdr:nvCxnSpPr>
      <xdr:spPr>
        <a:xfrm>
          <a:off x="9323294" y="12729882"/>
          <a:ext cx="1548000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</xdr:colOff>
      <xdr:row>53</xdr:row>
      <xdr:rowOff>0</xdr:rowOff>
    </xdr:from>
    <xdr:to>
      <xdr:col>21</xdr:col>
      <xdr:colOff>185648</xdr:colOff>
      <xdr:row>53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669B35A9-AA0C-4C5F-A8E6-150316154E48}"/>
            </a:ext>
          </a:extLst>
        </xdr:cNvPr>
        <xdr:cNvCxnSpPr/>
      </xdr:nvCxnSpPr>
      <xdr:spPr>
        <a:xfrm>
          <a:off x="11474825" y="12729882"/>
          <a:ext cx="1619999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717175</xdr:colOff>
      <xdr:row>3</xdr:row>
      <xdr:rowOff>0</xdr:rowOff>
    </xdr:from>
    <xdr:to>
      <xdr:col>21</xdr:col>
      <xdr:colOff>344021</xdr:colOff>
      <xdr:row>7</xdr:row>
      <xdr:rowOff>171450</xdr:rowOff>
    </xdr:to>
    <xdr:pic>
      <xdr:nvPicPr>
        <xdr:cNvPr id="2" name="Picture 1" descr="GasJack (Green).png">
          <a:extLst>
            <a:ext uri="{FF2B5EF4-FFF2-40B4-BE49-F238E27FC236}">
              <a16:creationId xmlns:a16="http://schemas.microsoft.com/office/drawing/2014/main" id="{CE27C0CD-607F-40ED-856C-30D704708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144375" y="571500"/>
          <a:ext cx="2487146" cy="1123950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3</xdr:row>
      <xdr:rowOff>291352</xdr:rowOff>
    </xdr:from>
    <xdr:to>
      <xdr:col>5</xdr:col>
      <xdr:colOff>30883</xdr:colOff>
      <xdr:row>6</xdr:row>
      <xdr:rowOff>103160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32124404-BAC0-403A-A6AC-C101324C2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2" y="862852"/>
          <a:ext cx="2160000" cy="573808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53</xdr:row>
      <xdr:rowOff>0</xdr:rowOff>
    </xdr:from>
    <xdr:to>
      <xdr:col>18</xdr:col>
      <xdr:colOff>113647</xdr:colOff>
      <xdr:row>53</xdr:row>
      <xdr:rowOff>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81F54107-C2DB-4156-8BC0-C613C267B50F}"/>
            </a:ext>
          </a:extLst>
        </xdr:cNvPr>
        <xdr:cNvCxnSpPr/>
      </xdr:nvCxnSpPr>
      <xdr:spPr>
        <a:xfrm>
          <a:off x="9323294" y="12729882"/>
          <a:ext cx="1548000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</xdr:colOff>
      <xdr:row>53</xdr:row>
      <xdr:rowOff>0</xdr:rowOff>
    </xdr:from>
    <xdr:to>
      <xdr:col>21</xdr:col>
      <xdr:colOff>185648</xdr:colOff>
      <xdr:row>53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8563C5D4-D225-4B26-971F-5FD642566435}"/>
            </a:ext>
          </a:extLst>
        </xdr:cNvPr>
        <xdr:cNvCxnSpPr/>
      </xdr:nvCxnSpPr>
      <xdr:spPr>
        <a:xfrm>
          <a:off x="11474825" y="12729882"/>
          <a:ext cx="1619999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717175</xdr:colOff>
      <xdr:row>3</xdr:row>
      <xdr:rowOff>0</xdr:rowOff>
    </xdr:from>
    <xdr:to>
      <xdr:col>21</xdr:col>
      <xdr:colOff>344021</xdr:colOff>
      <xdr:row>7</xdr:row>
      <xdr:rowOff>171450</xdr:rowOff>
    </xdr:to>
    <xdr:pic>
      <xdr:nvPicPr>
        <xdr:cNvPr id="2" name="Picture 1" descr="GasJack (Green).png">
          <a:extLst>
            <a:ext uri="{FF2B5EF4-FFF2-40B4-BE49-F238E27FC236}">
              <a16:creationId xmlns:a16="http://schemas.microsoft.com/office/drawing/2014/main" id="{37475863-7EFB-40B5-A6AF-4D3BA1E8DA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144375" y="571500"/>
          <a:ext cx="2487146" cy="1123950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3</xdr:row>
      <xdr:rowOff>291352</xdr:rowOff>
    </xdr:from>
    <xdr:to>
      <xdr:col>5</xdr:col>
      <xdr:colOff>30883</xdr:colOff>
      <xdr:row>6</xdr:row>
      <xdr:rowOff>103160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3BA4F3EA-1143-456F-9078-C78B329BE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2" y="862852"/>
          <a:ext cx="2160000" cy="573808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53</xdr:row>
      <xdr:rowOff>0</xdr:rowOff>
    </xdr:from>
    <xdr:to>
      <xdr:col>18</xdr:col>
      <xdr:colOff>113647</xdr:colOff>
      <xdr:row>53</xdr:row>
      <xdr:rowOff>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18FCA609-E525-4C04-9566-76BDB4F0F38A}"/>
            </a:ext>
          </a:extLst>
        </xdr:cNvPr>
        <xdr:cNvCxnSpPr/>
      </xdr:nvCxnSpPr>
      <xdr:spPr>
        <a:xfrm>
          <a:off x="9323294" y="12729882"/>
          <a:ext cx="1548000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</xdr:colOff>
      <xdr:row>53</xdr:row>
      <xdr:rowOff>0</xdr:rowOff>
    </xdr:from>
    <xdr:to>
      <xdr:col>21</xdr:col>
      <xdr:colOff>185648</xdr:colOff>
      <xdr:row>53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DBB55B8E-9DF5-4876-A240-7684A96CD496}"/>
            </a:ext>
          </a:extLst>
        </xdr:cNvPr>
        <xdr:cNvCxnSpPr/>
      </xdr:nvCxnSpPr>
      <xdr:spPr>
        <a:xfrm>
          <a:off x="11474825" y="12729882"/>
          <a:ext cx="1619999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717175</xdr:colOff>
      <xdr:row>3</xdr:row>
      <xdr:rowOff>0</xdr:rowOff>
    </xdr:from>
    <xdr:to>
      <xdr:col>21</xdr:col>
      <xdr:colOff>344021</xdr:colOff>
      <xdr:row>7</xdr:row>
      <xdr:rowOff>171450</xdr:rowOff>
    </xdr:to>
    <xdr:pic>
      <xdr:nvPicPr>
        <xdr:cNvPr id="2" name="Picture 1" descr="GasJack (Green).png">
          <a:extLst>
            <a:ext uri="{FF2B5EF4-FFF2-40B4-BE49-F238E27FC236}">
              <a16:creationId xmlns:a16="http://schemas.microsoft.com/office/drawing/2014/main" id="{D9D6B2FC-6CC6-4A2D-920A-1058399F7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144375" y="571500"/>
          <a:ext cx="2487146" cy="1123950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3</xdr:row>
      <xdr:rowOff>291352</xdr:rowOff>
    </xdr:from>
    <xdr:to>
      <xdr:col>5</xdr:col>
      <xdr:colOff>30883</xdr:colOff>
      <xdr:row>6</xdr:row>
      <xdr:rowOff>103160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6FC9468-45C2-4E42-8B96-6F2A19C00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2" y="862852"/>
          <a:ext cx="2160000" cy="573808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53</xdr:row>
      <xdr:rowOff>0</xdr:rowOff>
    </xdr:from>
    <xdr:to>
      <xdr:col>18</xdr:col>
      <xdr:colOff>113647</xdr:colOff>
      <xdr:row>53</xdr:row>
      <xdr:rowOff>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7594E343-0084-46F1-ACD6-3BE15DCA3C5D}"/>
            </a:ext>
          </a:extLst>
        </xdr:cNvPr>
        <xdr:cNvCxnSpPr/>
      </xdr:nvCxnSpPr>
      <xdr:spPr>
        <a:xfrm>
          <a:off x="9323294" y="12729882"/>
          <a:ext cx="1548000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</xdr:colOff>
      <xdr:row>53</xdr:row>
      <xdr:rowOff>0</xdr:rowOff>
    </xdr:from>
    <xdr:to>
      <xdr:col>21</xdr:col>
      <xdr:colOff>185648</xdr:colOff>
      <xdr:row>53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BFA06AAE-AF41-4F87-95CE-8A97701601BA}"/>
            </a:ext>
          </a:extLst>
        </xdr:cNvPr>
        <xdr:cNvCxnSpPr/>
      </xdr:nvCxnSpPr>
      <xdr:spPr>
        <a:xfrm>
          <a:off x="11474825" y="12729882"/>
          <a:ext cx="1619999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717175</xdr:colOff>
      <xdr:row>3</xdr:row>
      <xdr:rowOff>0</xdr:rowOff>
    </xdr:from>
    <xdr:to>
      <xdr:col>21</xdr:col>
      <xdr:colOff>344021</xdr:colOff>
      <xdr:row>7</xdr:row>
      <xdr:rowOff>171450</xdr:rowOff>
    </xdr:to>
    <xdr:pic>
      <xdr:nvPicPr>
        <xdr:cNvPr id="2" name="Picture 1" descr="GasJack (Green).png">
          <a:extLst>
            <a:ext uri="{FF2B5EF4-FFF2-40B4-BE49-F238E27FC236}">
              <a16:creationId xmlns:a16="http://schemas.microsoft.com/office/drawing/2014/main" id="{5044AE25-0EDC-4AA9-8419-ECEF865F0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144375" y="571500"/>
          <a:ext cx="2487146" cy="1123950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3</xdr:row>
      <xdr:rowOff>291352</xdr:rowOff>
    </xdr:from>
    <xdr:to>
      <xdr:col>5</xdr:col>
      <xdr:colOff>30883</xdr:colOff>
      <xdr:row>6</xdr:row>
      <xdr:rowOff>103160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9BA679B-6953-42D6-960D-9588E6247A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2" y="862852"/>
          <a:ext cx="2160000" cy="573808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53</xdr:row>
      <xdr:rowOff>0</xdr:rowOff>
    </xdr:from>
    <xdr:to>
      <xdr:col>18</xdr:col>
      <xdr:colOff>113647</xdr:colOff>
      <xdr:row>53</xdr:row>
      <xdr:rowOff>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457EE96C-A390-4AEC-A790-1D3FF1460EA5}"/>
            </a:ext>
          </a:extLst>
        </xdr:cNvPr>
        <xdr:cNvCxnSpPr/>
      </xdr:nvCxnSpPr>
      <xdr:spPr>
        <a:xfrm>
          <a:off x="9323294" y="12729882"/>
          <a:ext cx="1548000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</xdr:colOff>
      <xdr:row>53</xdr:row>
      <xdr:rowOff>0</xdr:rowOff>
    </xdr:from>
    <xdr:to>
      <xdr:col>21</xdr:col>
      <xdr:colOff>185648</xdr:colOff>
      <xdr:row>53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21D857D5-42B3-4BF9-9A6F-B15DAE1F51E1}"/>
            </a:ext>
          </a:extLst>
        </xdr:cNvPr>
        <xdr:cNvCxnSpPr/>
      </xdr:nvCxnSpPr>
      <xdr:spPr>
        <a:xfrm>
          <a:off x="11474825" y="12729882"/>
          <a:ext cx="1619999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717175</xdr:colOff>
      <xdr:row>3</xdr:row>
      <xdr:rowOff>0</xdr:rowOff>
    </xdr:from>
    <xdr:to>
      <xdr:col>21</xdr:col>
      <xdr:colOff>344021</xdr:colOff>
      <xdr:row>7</xdr:row>
      <xdr:rowOff>171450</xdr:rowOff>
    </xdr:to>
    <xdr:pic>
      <xdr:nvPicPr>
        <xdr:cNvPr id="2" name="Picture 1" descr="GasJack (Green).png">
          <a:extLst>
            <a:ext uri="{FF2B5EF4-FFF2-40B4-BE49-F238E27FC236}">
              <a16:creationId xmlns:a16="http://schemas.microsoft.com/office/drawing/2014/main" id="{D763C682-9942-4ED8-87CD-0CD6BFA9A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144375" y="571500"/>
          <a:ext cx="2487146" cy="1123950"/>
        </a:xfrm>
        <a:prstGeom prst="rect">
          <a:avLst/>
        </a:prstGeom>
      </xdr:spPr>
    </xdr:pic>
    <xdr:clientData/>
  </xdr:twoCellAnchor>
  <xdr:twoCellAnchor editAs="oneCell">
    <xdr:from>
      <xdr:col>0</xdr:col>
      <xdr:colOff>22412</xdr:colOff>
      <xdr:row>3</xdr:row>
      <xdr:rowOff>291352</xdr:rowOff>
    </xdr:from>
    <xdr:to>
      <xdr:col>5</xdr:col>
      <xdr:colOff>30883</xdr:colOff>
      <xdr:row>6</xdr:row>
      <xdr:rowOff>103160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634E2619-B51A-47E0-BE47-6BC5897EE1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12" y="862852"/>
          <a:ext cx="2160000" cy="573808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53</xdr:row>
      <xdr:rowOff>0</xdr:rowOff>
    </xdr:from>
    <xdr:to>
      <xdr:col>18</xdr:col>
      <xdr:colOff>113647</xdr:colOff>
      <xdr:row>53</xdr:row>
      <xdr:rowOff>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B90A5511-7FA1-43CC-9DE6-AC85C4685739}"/>
            </a:ext>
          </a:extLst>
        </xdr:cNvPr>
        <xdr:cNvCxnSpPr/>
      </xdr:nvCxnSpPr>
      <xdr:spPr>
        <a:xfrm>
          <a:off x="9323294" y="12729882"/>
          <a:ext cx="1548000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</xdr:colOff>
      <xdr:row>53</xdr:row>
      <xdr:rowOff>0</xdr:rowOff>
    </xdr:from>
    <xdr:to>
      <xdr:col>21</xdr:col>
      <xdr:colOff>185648</xdr:colOff>
      <xdr:row>53</xdr:row>
      <xdr:rowOff>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7DA1968B-CDCE-4755-A7AC-E74F20E53C44}"/>
            </a:ext>
          </a:extLst>
        </xdr:cNvPr>
        <xdr:cNvCxnSpPr/>
      </xdr:nvCxnSpPr>
      <xdr:spPr>
        <a:xfrm>
          <a:off x="11474825" y="12729882"/>
          <a:ext cx="1619999" cy="0"/>
        </a:xfrm>
        <a:prstGeom prst="line">
          <a:avLst/>
        </a:prstGeom>
        <a:ln w="19050">
          <a:solidFill>
            <a:schemeClr val="tx1"/>
          </a:solidFill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etak">
    <tabColor rgb="FF006600"/>
    <pageSetUpPr fitToPage="1"/>
  </sheetPr>
  <dimension ref="A1:S60"/>
  <sheetViews>
    <sheetView tabSelected="1" topLeftCell="B4" zoomScale="85" zoomScaleNormal="85" workbookViewId="0">
      <selection activeCell="B48" sqref="A48:XFD48"/>
    </sheetView>
  </sheetViews>
  <sheetFormatPr defaultColWidth="0" defaultRowHeight="20.100000000000001" customHeight="1" zeroHeight="1" x14ac:dyDescent="0.2"/>
  <cols>
    <col min="1" max="1" width="9.7109375" style="136" customWidth="1"/>
    <col min="2" max="2" width="11.7109375" style="136" customWidth="1"/>
    <col min="3" max="3" width="10.7109375" style="136" hidden="1" customWidth="1"/>
    <col min="4" max="4" width="12.7109375" style="136" hidden="1" customWidth="1"/>
    <col min="5" max="6" width="10.7109375" style="136" customWidth="1"/>
    <col min="7" max="7" width="12.7109375" style="136" customWidth="1"/>
    <col min="8" max="8" width="10.7109375" style="136" customWidth="1"/>
    <col min="9" max="9" width="12.7109375" style="136" customWidth="1"/>
    <col min="10" max="11" width="10.7109375" style="136" hidden="1" customWidth="1"/>
    <col min="12" max="12" width="12.7109375" style="136" hidden="1" customWidth="1"/>
    <col min="13" max="15" width="9.7109375" style="136" customWidth="1"/>
    <col min="16" max="16" width="12.7109375" style="136" customWidth="1"/>
    <col min="17" max="17" width="10.7109375" style="136" hidden="1" customWidth="1"/>
    <col min="18" max="18" width="50.7109375" style="136" customWidth="1"/>
    <col min="19" max="19" width="2.7109375" style="136" customWidth="1"/>
    <col min="20" max="16384" width="10.7109375" style="136" hidden="1"/>
  </cols>
  <sheetData>
    <row r="1" spans="1:18" ht="5.0999999999999996" customHeight="1" x14ac:dyDescent="0.2">
      <c r="A1" s="132"/>
      <c r="B1" s="133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5"/>
    </row>
    <row r="2" spans="1:18" ht="24.95" customHeight="1" x14ac:dyDescent="0.2">
      <c r="A2" s="132"/>
      <c r="B2" s="137"/>
      <c r="C2" s="138"/>
      <c r="D2" s="138"/>
      <c r="E2" s="138"/>
      <c r="F2" s="138"/>
      <c r="G2" s="138"/>
      <c r="H2" s="139" t="str">
        <f>MR!H2</f>
        <v>PT SIGMA ENERGY COMPRESSINDO Tbk</v>
      </c>
      <c r="I2" s="140"/>
      <c r="J2" s="138"/>
      <c r="K2" s="138"/>
      <c r="L2" s="138"/>
      <c r="M2" s="138"/>
      <c r="N2" s="138"/>
      <c r="O2" s="138"/>
      <c r="P2" s="138"/>
      <c r="Q2" s="138"/>
      <c r="R2" s="141"/>
    </row>
    <row r="3" spans="1:18" ht="15" customHeight="1" x14ac:dyDescent="0.2">
      <c r="A3" s="132"/>
      <c r="B3" s="137"/>
      <c r="C3" s="138"/>
      <c r="D3" s="138"/>
      <c r="E3" s="138"/>
      <c r="F3" s="138"/>
      <c r="G3" s="138"/>
      <c r="H3" s="142" t="str">
        <f>MR!H3</f>
        <v xml:space="preserve"> GKM Green Tower, 10th Floor,</v>
      </c>
      <c r="I3" s="143"/>
      <c r="J3" s="138"/>
      <c r="K3" s="138"/>
      <c r="L3" s="138"/>
      <c r="M3" s="138"/>
      <c r="N3" s="138"/>
      <c r="O3" s="138"/>
      <c r="P3" s="138"/>
      <c r="Q3" s="138"/>
      <c r="R3" s="141"/>
    </row>
    <row r="4" spans="1:18" ht="15" customHeight="1" x14ac:dyDescent="0.2">
      <c r="A4" s="132"/>
      <c r="B4" s="137"/>
      <c r="C4" s="138"/>
      <c r="D4" s="138"/>
      <c r="E4" s="138"/>
      <c r="F4" s="138"/>
      <c r="G4" s="138"/>
      <c r="H4" s="142" t="str">
        <f>MR!H4</f>
        <v xml:space="preserve"> Jl. TB. Simatupang Kav. 89 G, Jakarta Selatan 12520, Indonesia</v>
      </c>
      <c r="I4" s="143"/>
      <c r="J4" s="138"/>
      <c r="K4" s="138"/>
      <c r="L4" s="138"/>
      <c r="M4" s="138"/>
      <c r="N4" s="138"/>
      <c r="O4" s="138"/>
      <c r="P4" s="138"/>
      <c r="Q4" s="138"/>
      <c r="R4" s="141"/>
    </row>
    <row r="5" spans="1:18" ht="15" customHeight="1" x14ac:dyDescent="0.2">
      <c r="A5" s="132"/>
      <c r="B5" s="137"/>
      <c r="C5" s="138"/>
      <c r="D5" s="138"/>
      <c r="E5" s="138"/>
      <c r="F5" s="138"/>
      <c r="G5" s="138"/>
      <c r="H5" s="142" t="str">
        <f>MR!H5</f>
        <v xml:space="preserve"> Phone : +62 21 2787 8099 / Fax : +62 21 2787 8090</v>
      </c>
      <c r="I5" s="143"/>
      <c r="J5" s="138"/>
      <c r="K5" s="138"/>
      <c r="L5" s="138"/>
      <c r="M5" s="138"/>
      <c r="N5" s="138"/>
      <c r="O5" s="138"/>
      <c r="P5" s="138"/>
      <c r="Q5" s="138"/>
      <c r="R5" s="141"/>
    </row>
    <row r="6" spans="1:18" ht="15" customHeight="1" x14ac:dyDescent="0.2">
      <c r="A6" s="132"/>
      <c r="B6" s="137"/>
      <c r="C6" s="138"/>
      <c r="D6" s="138"/>
      <c r="E6" s="138"/>
      <c r="F6" s="138"/>
      <c r="G6" s="138"/>
      <c r="H6" s="142" t="str">
        <f>MR!H6</f>
        <v xml:space="preserve"> www.sinerco.co.id</v>
      </c>
      <c r="I6" s="144"/>
      <c r="J6" s="138"/>
      <c r="K6" s="138"/>
      <c r="L6" s="138"/>
      <c r="M6" s="138"/>
      <c r="N6" s="138"/>
      <c r="O6" s="138"/>
      <c r="P6" s="138"/>
      <c r="Q6" s="138"/>
      <c r="R6" s="141"/>
    </row>
    <row r="7" spans="1:18" ht="5.0999999999999996" customHeight="1" thickBot="1" x14ac:dyDescent="0.25">
      <c r="A7" s="132"/>
      <c r="B7" s="145"/>
      <c r="C7" s="146"/>
      <c r="D7" s="146"/>
      <c r="E7" s="146"/>
      <c r="F7" s="146"/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46"/>
      <c r="R7" s="147"/>
    </row>
    <row r="8" spans="1:18" ht="20.100000000000001" customHeight="1" x14ac:dyDescent="0.2">
      <c r="A8" s="132"/>
      <c r="B8" s="473" t="s">
        <v>38</v>
      </c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74"/>
      <c r="R8" s="475"/>
    </row>
    <row r="9" spans="1:18" ht="20.100000000000001" customHeight="1" thickBot="1" x14ac:dyDescent="0.25">
      <c r="A9" s="132"/>
      <c r="B9" s="476" t="s">
        <v>39</v>
      </c>
      <c r="C9" s="477"/>
      <c r="D9" s="477"/>
      <c r="E9" s="477"/>
      <c r="F9" s="477"/>
      <c r="G9" s="477"/>
      <c r="H9" s="477"/>
      <c r="I9" s="477"/>
      <c r="J9" s="477"/>
      <c r="K9" s="477"/>
      <c r="L9" s="477"/>
      <c r="M9" s="477"/>
      <c r="N9" s="477"/>
      <c r="O9" s="477"/>
      <c r="P9" s="477"/>
      <c r="Q9" s="477"/>
      <c r="R9" s="478"/>
    </row>
    <row r="10" spans="1:18" s="132" customFormat="1" ht="20.100000000000001" customHeight="1" x14ac:dyDescent="0.2">
      <c r="B10" s="133"/>
      <c r="C10" s="134"/>
      <c r="D10" s="134"/>
      <c r="E10" s="148" t="str">
        <f>MR!E10</f>
        <v xml:space="preserve">Report Date </v>
      </c>
      <c r="F10" s="479">
        <f>IF(MR!F10="","",MR!F10)</f>
        <v>45839</v>
      </c>
      <c r="G10" s="479" t="str">
        <f>IF(MR!G10="","",MR!G10)</f>
        <v/>
      </c>
      <c r="H10" s="134"/>
      <c r="I10" s="134"/>
      <c r="J10" s="149"/>
      <c r="K10" s="149"/>
      <c r="L10" s="149"/>
      <c r="M10" s="134"/>
      <c r="N10" s="134"/>
      <c r="O10" s="134"/>
      <c r="P10" s="348" t="str">
        <f>MR!P10</f>
        <v>Period :</v>
      </c>
      <c r="Q10" s="86"/>
      <c r="R10" s="66" t="str">
        <f>IF(MR!R10="","",MR!R10)</f>
        <v>1 - 30 June 2025</v>
      </c>
    </row>
    <row r="11" spans="1:18" s="132" customFormat="1" ht="20.100000000000001" customHeight="1" x14ac:dyDescent="0.2">
      <c r="B11" s="137"/>
      <c r="C11" s="138"/>
      <c r="D11" s="138"/>
      <c r="E11" s="151" t="str">
        <f>MR!E11</f>
        <v>Report No.</v>
      </c>
      <c r="F11" s="73" t="str">
        <f>IF(MR!F11="","",MR!F11)</f>
        <v>1/TMB/FRU/VI/25</v>
      </c>
      <c r="G11" s="65"/>
      <c r="H11" s="138"/>
      <c r="I11" s="138"/>
      <c r="J11" s="138"/>
      <c r="K11" s="138"/>
      <c r="L11" s="138"/>
      <c r="M11" s="138"/>
      <c r="N11" s="138"/>
      <c r="O11" s="138"/>
      <c r="P11" s="349" t="str">
        <f>MR!P11</f>
        <v>Compressor Location :</v>
      </c>
      <c r="Q11" s="65"/>
      <c r="R11" s="67" t="str">
        <f>IF(MR!R11="","",MR!R11)</f>
        <v>SP. Tambun - Cluster F</v>
      </c>
    </row>
    <row r="12" spans="1:18" s="132" customFormat="1" ht="20.100000000000001" customHeight="1" x14ac:dyDescent="0.2">
      <c r="B12" s="137"/>
      <c r="C12" s="138"/>
      <c r="D12" s="138"/>
      <c r="E12" s="151" t="str">
        <f>MR!E12</f>
        <v>Customer Name</v>
      </c>
      <c r="F12" s="152" t="str">
        <f>IF(MR!F12="","",MR!F12)</f>
        <v>PT PERTAMINA EP Zona 7 - TAMBUN</v>
      </c>
      <c r="G12" s="138"/>
      <c r="H12" s="138"/>
      <c r="I12" s="138"/>
      <c r="J12" s="138"/>
      <c r="K12" s="138"/>
      <c r="L12" s="138"/>
      <c r="M12" s="138"/>
      <c r="N12" s="138"/>
      <c r="O12" s="138"/>
      <c r="P12" s="65"/>
      <c r="Q12" s="65"/>
      <c r="R12" s="69"/>
    </row>
    <row r="13" spans="1:18" s="132" customFormat="1" ht="20.100000000000001" customHeight="1" x14ac:dyDescent="0.2">
      <c r="B13" s="137"/>
      <c r="C13" s="138"/>
      <c r="D13" s="138"/>
      <c r="E13" s="349" t="str">
        <f>MR!E13</f>
        <v>Contract Ref. No.</v>
      </c>
      <c r="F13" s="73" t="str">
        <f>IF(MR!F13="","",MR!F13)</f>
        <v>4650016489 (Amendemen I)</v>
      </c>
      <c r="G13" s="138"/>
      <c r="H13" s="138"/>
      <c r="I13" s="138"/>
      <c r="J13" s="138"/>
      <c r="K13" s="138"/>
      <c r="L13" s="138"/>
      <c r="M13" s="138"/>
      <c r="N13" s="138"/>
      <c r="O13" s="138"/>
      <c r="P13" s="349" t="str">
        <f>MR!P13</f>
        <v>Application :</v>
      </c>
      <c r="Q13" s="65"/>
      <c r="R13" s="67" t="str">
        <f>IF(MR!R13="","",MR!R13)</f>
        <v>Flare Recovery</v>
      </c>
    </row>
    <row r="14" spans="1:18" s="132" customFormat="1" ht="20.100000000000001" customHeight="1" x14ac:dyDescent="0.2">
      <c r="B14" s="137"/>
      <c r="C14" s="138"/>
      <c r="D14" s="138"/>
      <c r="E14" s="151" t="str">
        <f>MR!E14</f>
        <v>Unit S/N</v>
      </c>
      <c r="F14" s="152" t="str">
        <f>IF(MR!F14="","",MR!F14)</f>
        <v>MPR 632  RFD</v>
      </c>
      <c r="G14" s="138"/>
      <c r="H14" s="138"/>
      <c r="I14" s="138"/>
      <c r="J14" s="138"/>
      <c r="K14" s="138"/>
      <c r="L14" s="138"/>
      <c r="M14" s="138"/>
      <c r="N14" s="138"/>
      <c r="O14" s="138"/>
      <c r="P14" s="65"/>
      <c r="Q14" s="65"/>
      <c r="R14" s="69"/>
    </row>
    <row r="15" spans="1:18" s="132" customFormat="1" ht="20.100000000000001" customHeight="1" thickBot="1" x14ac:dyDescent="0.25">
      <c r="B15" s="145"/>
      <c r="C15" s="146"/>
      <c r="D15" s="146"/>
      <c r="E15" s="350" t="str">
        <f>MR!E15</f>
        <v>Engine S/N</v>
      </c>
      <c r="F15" s="93" t="str">
        <f>IF(MR!F15="","",MR!F15)</f>
        <v>FP 65354</v>
      </c>
      <c r="G15" s="146"/>
      <c r="H15" s="146"/>
      <c r="I15" s="146"/>
      <c r="J15" s="146"/>
      <c r="K15" s="146"/>
      <c r="L15" s="146"/>
      <c r="M15" s="146"/>
      <c r="N15" s="146"/>
      <c r="O15" s="146"/>
      <c r="P15" s="89"/>
      <c r="Q15" s="89"/>
      <c r="R15" s="351"/>
    </row>
    <row r="16" spans="1:18" s="132" customFormat="1" ht="20.100000000000001" customHeight="1" x14ac:dyDescent="0.2">
      <c r="B16" s="480" t="str">
        <f>IF(MR!B16="","",MR!B16)</f>
        <v>Date</v>
      </c>
      <c r="C16" s="154" t="str">
        <f>IF(MR!C16="","",MR!C16)</f>
        <v>P Source</v>
      </c>
      <c r="D16" s="154" t="str">
        <f>IF(MR!D16="","",MR!D16)</f>
        <v>P D. Header</v>
      </c>
      <c r="E16" s="154" t="str">
        <f>IF(MR!E16="","",MR!E16)</f>
        <v>P Suct.</v>
      </c>
      <c r="F16" s="154" t="str">
        <f>IF(MR!F16="","",MR!F16)</f>
        <v>P Disch.</v>
      </c>
      <c r="G16" s="154" t="str">
        <f>IF(MR!G16="","",MR!G16)</f>
        <v>Volume</v>
      </c>
      <c r="H16" s="154" t="str">
        <f>IF(MR!H16="","",MR!H16)</f>
        <v>Perf.</v>
      </c>
      <c r="I16" s="154" t="str">
        <f>IF(MR!I16="","",MR!I16)</f>
        <v>Curve</v>
      </c>
      <c r="J16" s="154" t="str">
        <f>IF(MR!J16="","",MR!J16)</f>
        <v>T Disch.</v>
      </c>
      <c r="K16" s="154" t="str">
        <f>IF(MR!K16="","",MR!K16)</f>
        <v>Speed</v>
      </c>
      <c r="L16" s="154" t="str">
        <f>IF(MR!L16="","",MR!L16)</f>
        <v>Liquid Gain</v>
      </c>
      <c r="M16" s="480" t="str">
        <f>IF(MR!M16="","",MR!M16)</f>
        <v>Operating Time (hrs)</v>
      </c>
      <c r="N16" s="480" t="str">
        <f>IF(MR!N16="","",MR!N16)</f>
        <v/>
      </c>
      <c r="O16" s="480" t="str">
        <f>IF(MR!O16="","",MR!O16)</f>
        <v/>
      </c>
      <c r="P16" s="154" t="str">
        <f>IF(MR!P16="","",MR!P16)</f>
        <v>Availability</v>
      </c>
      <c r="Q16" s="154" t="str">
        <f>IF(MR!Q16="","",MR!Q16)</f>
        <v>Run</v>
      </c>
      <c r="R16" s="480" t="str">
        <f>IF(MR!R16="","",MR!R16)</f>
        <v>Remarks</v>
      </c>
    </row>
    <row r="17" spans="1:18" s="132" customFormat="1" ht="20.100000000000001" customHeight="1" thickBot="1" x14ac:dyDescent="0.25">
      <c r="B17" s="481" t="str">
        <f>IF(MR!B17="","",MR!B17)</f>
        <v/>
      </c>
      <c r="C17" s="155" t="str">
        <f>IF(MR!C17="","",MR!C17)</f>
        <v>psig</v>
      </c>
      <c r="D17" s="155" t="str">
        <f>IF(MR!D17="","",MR!D17)</f>
        <v>psig</v>
      </c>
      <c r="E17" s="155" t="str">
        <f>IF(MR!E17="","",MR!E17)</f>
        <v>psig</v>
      </c>
      <c r="F17" s="155" t="str">
        <f>IF(MR!F17="","",MR!F17)</f>
        <v>psig</v>
      </c>
      <c r="G17" s="155" t="str">
        <f>IF(MR!G17="","",MR!G17)</f>
        <v>MSCF</v>
      </c>
      <c r="H17" s="155" t="str">
        <f>IF(MR!H17="","",MR!H17)</f>
        <v>%</v>
      </c>
      <c r="I17" s="155" t="str">
        <f>IF(MR!I17="","",MR!I17)</f>
        <v>MSCF</v>
      </c>
      <c r="J17" s="155" t="str">
        <f>IF(MR!J17="","",MR!J17)</f>
        <v>°F</v>
      </c>
      <c r="K17" s="155" t="str">
        <f>IF(MR!K17="","",MR!K17)</f>
        <v>RPM</v>
      </c>
      <c r="L17" s="155" t="str">
        <f>IF(MR!L17="","",MR!L17)</f>
        <v>BPD</v>
      </c>
      <c r="M17" s="155" t="str">
        <f>IF(MR!M17="","",MR!M17)</f>
        <v>Run</v>
      </c>
      <c r="N17" s="155" t="str">
        <f>IF(MR!N17="","",MR!N17)</f>
        <v>Standby</v>
      </c>
      <c r="O17" s="155" t="str">
        <f>IF(MR!O17="","",MR!O17)</f>
        <v>Down</v>
      </c>
      <c r="P17" s="155" t="str">
        <f>IF(MR!P17="","",MR!P17)</f>
        <v>%</v>
      </c>
      <c r="Q17" s="155" t="str">
        <f>IF(MR!Q17="","",MR!Q17)</f>
        <v>%</v>
      </c>
      <c r="R17" s="481" t="str">
        <f>IF(MR!R17="","",MR!R17)</f>
        <v/>
      </c>
    </row>
    <row r="18" spans="1:18" s="132" customFormat="1" ht="19.5" customHeight="1" x14ac:dyDescent="0.2">
      <c r="A18" s="156" t="s">
        <v>55</v>
      </c>
      <c r="B18" s="356">
        <f>IF(MR!B18="","",MR!B18)</f>
        <v>45809</v>
      </c>
      <c r="C18" s="74" t="str">
        <f>IF(MR!C18="","",MR!C18)</f>
        <v/>
      </c>
      <c r="D18" s="74" t="str">
        <f>IF(MR!D18="","",MR!D18)</f>
        <v/>
      </c>
      <c r="E18" s="74">
        <f>IF(MR!E18="","",MR!E18)</f>
        <v>7.4</v>
      </c>
      <c r="F18" s="74">
        <f>IF(MR!F18="","",MR!F18)</f>
        <v>59.1</v>
      </c>
      <c r="G18" s="379">
        <f>IF(MR!G18="","",MR!G18)</f>
        <v>217.4</v>
      </c>
      <c r="H18" s="159">
        <f t="shared" ref="H18:H47" si="0">IF(OR(G18="",I18=""),"",(G18/I18))</f>
        <v>1.1382732928204382</v>
      </c>
      <c r="I18" s="379">
        <f>IF(MR!I18="","",MR!I18)</f>
        <v>190.99104</v>
      </c>
      <c r="J18" s="74">
        <f>IF(MR!J18="","",MR!J18)</f>
        <v>90</v>
      </c>
      <c r="K18" s="75">
        <f>IF(MR!K18="","",MR!K18)</f>
        <v>1947</v>
      </c>
      <c r="L18" s="74" t="str">
        <f>IF(MR!L18="","",MR!L18)</f>
        <v/>
      </c>
      <c r="M18" s="76">
        <f>IF(MR!M18="","",MR!M18)</f>
        <v>1</v>
      </c>
      <c r="N18" s="76">
        <f>IF(MR!N18="","",MR!N18)</f>
        <v>0</v>
      </c>
      <c r="O18" s="76">
        <f>IF(MR!O18="","",MR!O18)</f>
        <v>0</v>
      </c>
      <c r="P18" s="57">
        <f t="shared" ref="P18:P47" si="1">IF(OR(M18="",N18="",O18=""),"",(M18+N18)/SUM(M18:O18))</f>
        <v>1</v>
      </c>
      <c r="Q18" s="357">
        <f>IF(MR!Q18="","",MR!Q18)</f>
        <v>1</v>
      </c>
      <c r="R18" s="77" t="str">
        <f>IF(MR!R18="","",MR!R18)</f>
        <v/>
      </c>
    </row>
    <row r="19" spans="1:18" s="132" customFormat="1" ht="19.5" customHeight="1" x14ac:dyDescent="0.2">
      <c r="A19" s="156" t="s">
        <v>56</v>
      </c>
      <c r="B19" s="358">
        <f>B18+1</f>
        <v>45810</v>
      </c>
      <c r="C19" s="78" t="str">
        <f>IF(MR!C19="","",MR!C19)</f>
        <v/>
      </c>
      <c r="D19" s="78" t="str">
        <f>IF(MR!D19="","",MR!D19)</f>
        <v/>
      </c>
      <c r="E19" s="78">
        <f>IF(MR!E19="","",MR!E19)</f>
        <v>6.9</v>
      </c>
      <c r="F19" s="78">
        <f>IF(MR!F19="","",MR!F19)</f>
        <v>57.5</v>
      </c>
      <c r="G19" s="380">
        <f>IF(MR!G19="","",MR!G19)</f>
        <v>206.6</v>
      </c>
      <c r="H19" s="166">
        <f t="shared" si="0"/>
        <v>1.1069319874411976</v>
      </c>
      <c r="I19" s="380">
        <f>IF(MR!I19="","",MR!I19)</f>
        <v>186.642</v>
      </c>
      <c r="J19" s="78">
        <f>IF(MR!J19="","",MR!J19)</f>
        <v>90</v>
      </c>
      <c r="K19" s="79">
        <f>IF(MR!K19="","",MR!K19)</f>
        <v>1944</v>
      </c>
      <c r="L19" s="78" t="str">
        <f>IF(MR!L19="","",MR!L19)</f>
        <v/>
      </c>
      <c r="M19" s="80">
        <f>IF(MR!M19="","",MR!M19)</f>
        <v>1</v>
      </c>
      <c r="N19" s="80">
        <f>IF(MR!N19="","",MR!N19)</f>
        <v>0</v>
      </c>
      <c r="O19" s="80">
        <f>IF(MR!O19="","",MR!O19)</f>
        <v>0</v>
      </c>
      <c r="P19" s="58">
        <f t="shared" si="1"/>
        <v>1</v>
      </c>
      <c r="Q19" s="359">
        <f>IF(MR!Q19="","",MR!Q19)</f>
        <v>1</v>
      </c>
      <c r="R19" s="81" t="str">
        <f>IF(MR!R19="","",MR!R19)</f>
        <v/>
      </c>
    </row>
    <row r="20" spans="1:18" s="132" customFormat="1" ht="20.100000000000001" customHeight="1" x14ac:dyDescent="0.2">
      <c r="A20" s="156" t="s">
        <v>57</v>
      </c>
      <c r="B20" s="358">
        <f t="shared" ref="B20:B47" si="2">B19+1</f>
        <v>45811</v>
      </c>
      <c r="C20" s="78" t="str">
        <f>IF(MR!C20="","",MR!C20)</f>
        <v/>
      </c>
      <c r="D20" s="78" t="str">
        <f>IF(MR!D20="","",MR!D20)</f>
        <v/>
      </c>
      <c r="E20" s="78">
        <f>IF(MR!E20="","",MR!E20)</f>
        <v>6.5</v>
      </c>
      <c r="F20" s="78">
        <f>IF(MR!F20="","",MR!F20)</f>
        <v>58.6</v>
      </c>
      <c r="G20" s="380">
        <f>IF(MR!G20="","",MR!G20)</f>
        <v>210.3</v>
      </c>
      <c r="H20" s="166">
        <f t="shared" si="0"/>
        <v>1.1564908668567209</v>
      </c>
      <c r="I20" s="380">
        <f>IF(MR!I20="","",MR!I20)</f>
        <v>181.84319999999997</v>
      </c>
      <c r="J20" s="78">
        <f>IF(MR!J20="","",MR!J20)</f>
        <v>90</v>
      </c>
      <c r="K20" s="79">
        <f>IF(MR!K20="","",MR!K20)</f>
        <v>1931</v>
      </c>
      <c r="L20" s="78" t="str">
        <f>IF(MR!L20="","",MR!L20)</f>
        <v/>
      </c>
      <c r="M20" s="80">
        <f>IF(MR!M20="","",MR!M20)</f>
        <v>1</v>
      </c>
      <c r="N20" s="80">
        <f>IF(MR!N20="","",MR!N20)</f>
        <v>0</v>
      </c>
      <c r="O20" s="80">
        <f>IF(MR!O20="","",MR!O20)</f>
        <v>0</v>
      </c>
      <c r="P20" s="58">
        <f t="shared" si="1"/>
        <v>1</v>
      </c>
      <c r="Q20" s="359">
        <f>IF(MR!Q20="","",MR!Q20)</f>
        <v>1</v>
      </c>
      <c r="R20" s="81" t="str">
        <f>IF(MR!R20="","",MR!R20)</f>
        <v/>
      </c>
    </row>
    <row r="21" spans="1:18" s="132" customFormat="1" ht="20.100000000000001" customHeight="1" x14ac:dyDescent="0.2">
      <c r="A21" s="156" t="s">
        <v>58</v>
      </c>
      <c r="B21" s="358">
        <f t="shared" si="2"/>
        <v>45812</v>
      </c>
      <c r="C21" s="78" t="str">
        <f>IF(MR!C21="","",MR!C21)</f>
        <v/>
      </c>
      <c r="D21" s="78" t="str">
        <f>IF(MR!D21="","",MR!D21)</f>
        <v/>
      </c>
      <c r="E21" s="78">
        <f>IF(MR!E21="","",MR!E21)</f>
        <v>7</v>
      </c>
      <c r="F21" s="78">
        <f>IF(MR!F21="","",MR!F21)</f>
        <v>58.8</v>
      </c>
      <c r="G21" s="380">
        <f>IF(MR!G21="","",MR!G21)</f>
        <v>194.1</v>
      </c>
      <c r="H21" s="166">
        <f t="shared" si="0"/>
        <v>1.0463025253570688</v>
      </c>
      <c r="I21" s="380">
        <f>IF(MR!I21="","",MR!I21)</f>
        <v>185.5104</v>
      </c>
      <c r="J21" s="78">
        <f>IF(MR!J21="","",MR!J21)</f>
        <v>90</v>
      </c>
      <c r="K21" s="79">
        <f>IF(MR!K21="","",MR!K21)</f>
        <v>1941</v>
      </c>
      <c r="L21" s="78" t="str">
        <f>IF(MR!L21="","",MR!L21)</f>
        <v/>
      </c>
      <c r="M21" s="80">
        <f>IF(MR!M21="","",MR!M21)</f>
        <v>1</v>
      </c>
      <c r="N21" s="80">
        <f>IF(MR!N21="","",MR!N21)</f>
        <v>0</v>
      </c>
      <c r="O21" s="80">
        <f>IF(MR!O21="","",MR!O21)</f>
        <v>0</v>
      </c>
      <c r="P21" s="58">
        <f t="shared" si="1"/>
        <v>1</v>
      </c>
      <c r="Q21" s="359">
        <f>IF(MR!Q21="","",MR!Q21)</f>
        <v>1</v>
      </c>
      <c r="R21" s="81" t="str">
        <f>IF(MR!R21="","",MR!R21)</f>
        <v/>
      </c>
    </row>
    <row r="22" spans="1:18" s="132" customFormat="1" ht="20.100000000000001" customHeight="1" x14ac:dyDescent="0.2">
      <c r="A22" s="156" t="s">
        <v>59</v>
      </c>
      <c r="B22" s="358">
        <f t="shared" si="2"/>
        <v>45813</v>
      </c>
      <c r="C22" s="78" t="str">
        <f>IF(MR!C22="","",MR!C22)</f>
        <v/>
      </c>
      <c r="D22" s="78" t="str">
        <f>IF(MR!D22="","",MR!D22)</f>
        <v/>
      </c>
      <c r="E22" s="78">
        <f>IF(MR!E22="","",MR!E22)</f>
        <v>6.8</v>
      </c>
      <c r="F22" s="78">
        <f>IF(MR!F22="","",MR!F22)</f>
        <v>61.2</v>
      </c>
      <c r="G22" s="380">
        <f>IF(MR!G22="","",MR!G22)</f>
        <v>200.1</v>
      </c>
      <c r="H22" s="166">
        <f t="shared" si="0"/>
        <v>1.0907304590814184</v>
      </c>
      <c r="I22" s="380">
        <f>IF(MR!I22="","",MR!I22)</f>
        <v>183.45504</v>
      </c>
      <c r="J22" s="78">
        <f>IF(MR!J22="","",MR!J22)</f>
        <v>90</v>
      </c>
      <c r="K22" s="79">
        <f>IF(MR!K22="","",MR!K22)</f>
        <v>1945</v>
      </c>
      <c r="L22" s="78" t="str">
        <f>IF(MR!L22="","",MR!L22)</f>
        <v/>
      </c>
      <c r="M22" s="80">
        <f>IF(MR!M22="","",MR!M22)</f>
        <v>1</v>
      </c>
      <c r="N22" s="80">
        <f>IF(MR!N22="","",MR!N22)</f>
        <v>0</v>
      </c>
      <c r="O22" s="80">
        <f>IF(MR!O22="","",MR!O22)</f>
        <v>0</v>
      </c>
      <c r="P22" s="58">
        <f t="shared" si="1"/>
        <v>1</v>
      </c>
      <c r="Q22" s="359">
        <f>IF(MR!Q22="","",MR!Q22)</f>
        <v>1</v>
      </c>
      <c r="R22" s="81" t="str">
        <f>IF(MR!R22="","",MR!R22)</f>
        <v/>
      </c>
    </row>
    <row r="23" spans="1:18" s="132" customFormat="1" ht="20.100000000000001" customHeight="1" x14ac:dyDescent="0.2">
      <c r="A23" s="156" t="s">
        <v>60</v>
      </c>
      <c r="B23" s="358">
        <f t="shared" si="2"/>
        <v>45814</v>
      </c>
      <c r="C23" s="78" t="str">
        <f>IF(MR!C23="","",MR!C23)</f>
        <v/>
      </c>
      <c r="D23" s="78" t="str">
        <f>IF(MR!D23="","",MR!D23)</f>
        <v/>
      </c>
      <c r="E23" s="78">
        <f>IF(MR!E23="","",MR!E23)</f>
        <v>6.9</v>
      </c>
      <c r="F23" s="78">
        <f>IF(MR!F23="","",MR!F23)</f>
        <v>62.7</v>
      </c>
      <c r="G23" s="380">
        <f>IF(MR!G23="","",MR!G23)</f>
        <v>243.6</v>
      </c>
      <c r="H23" s="166">
        <f t="shared" si="0"/>
        <v>1.3265494162529095</v>
      </c>
      <c r="I23" s="380">
        <f>IF(MR!I23="","",MR!I23)</f>
        <v>183.63432</v>
      </c>
      <c r="J23" s="78">
        <f>IF(MR!J23="","",MR!J23)</f>
        <v>90</v>
      </c>
      <c r="K23" s="79">
        <f>IF(MR!K23="","",MR!K23)</f>
        <v>1958</v>
      </c>
      <c r="L23" s="78" t="str">
        <f>IF(MR!L23="","",MR!L23)</f>
        <v/>
      </c>
      <c r="M23" s="80">
        <f>IF(MR!M23="","",MR!M23)</f>
        <v>1</v>
      </c>
      <c r="N23" s="80">
        <f>IF(MR!N23="","",MR!N23)</f>
        <v>0</v>
      </c>
      <c r="O23" s="80">
        <f>IF(MR!O23="","",MR!O23)</f>
        <v>0</v>
      </c>
      <c r="P23" s="58">
        <f t="shared" si="1"/>
        <v>1</v>
      </c>
      <c r="Q23" s="359">
        <f>IF(MR!Q23="","",MR!Q23)</f>
        <v>1</v>
      </c>
      <c r="R23" s="81" t="str">
        <f>IF(MR!R23="","",MR!R23)</f>
        <v/>
      </c>
    </row>
    <row r="24" spans="1:18" s="132" customFormat="1" ht="20.100000000000001" customHeight="1" x14ac:dyDescent="0.2">
      <c r="A24" s="156" t="s">
        <v>61</v>
      </c>
      <c r="B24" s="358">
        <f t="shared" si="2"/>
        <v>45815</v>
      </c>
      <c r="C24" s="78" t="str">
        <f>IF(MR!C24="","",MR!C24)</f>
        <v/>
      </c>
      <c r="D24" s="78" t="str">
        <f>IF(MR!D24="","",MR!D24)</f>
        <v/>
      </c>
      <c r="E24" s="78">
        <f>IF(MR!E24="","",MR!E24)</f>
        <v>6.9</v>
      </c>
      <c r="F24" s="78">
        <f>IF(MR!F24="","",MR!F24)</f>
        <v>62</v>
      </c>
      <c r="G24" s="380">
        <f>IF(MR!G24="","",MR!G24)</f>
        <v>199.6</v>
      </c>
      <c r="H24" s="166">
        <f t="shared" si="0"/>
        <v>1.0845515520606479</v>
      </c>
      <c r="I24" s="380">
        <f>IF(MR!I24="","",MR!I24)</f>
        <v>184.03919999999999</v>
      </c>
      <c r="J24" s="78">
        <f>IF(MR!J24="","",MR!J24)</f>
        <v>85</v>
      </c>
      <c r="K24" s="79">
        <f>IF(MR!K24="","",MR!K24)</f>
        <v>1953</v>
      </c>
      <c r="L24" s="78" t="str">
        <f>IF(MR!L24="","",MR!L24)</f>
        <v/>
      </c>
      <c r="M24" s="80">
        <f>IF(MR!M24="","",MR!M24)</f>
        <v>1</v>
      </c>
      <c r="N24" s="80">
        <f>IF(MR!N24="","",MR!N24)</f>
        <v>0</v>
      </c>
      <c r="O24" s="80">
        <f>IF(MR!O24="","",MR!O24)</f>
        <v>0</v>
      </c>
      <c r="P24" s="58">
        <f t="shared" si="1"/>
        <v>1</v>
      </c>
      <c r="Q24" s="359">
        <f>IF(MR!Q24="","",MR!Q24)</f>
        <v>1</v>
      </c>
      <c r="R24" s="81" t="str">
        <f>IF(MR!R24="","",MR!R24)</f>
        <v/>
      </c>
    </row>
    <row r="25" spans="1:18" s="132" customFormat="1" ht="20.100000000000001" customHeight="1" x14ac:dyDescent="0.2">
      <c r="A25" s="156" t="s">
        <v>62</v>
      </c>
      <c r="B25" s="358">
        <f t="shared" si="2"/>
        <v>45816</v>
      </c>
      <c r="C25" s="78" t="str">
        <f>IF(MR!C25="","",MR!C25)</f>
        <v/>
      </c>
      <c r="D25" s="78" t="str">
        <f>IF(MR!D25="","",MR!D25)</f>
        <v/>
      </c>
      <c r="E25" s="78">
        <f>IF(MR!E25="","",MR!E25)</f>
        <v>6.3</v>
      </c>
      <c r="F25" s="78">
        <f>IF(MR!F25="","",MR!F25)</f>
        <v>58.8</v>
      </c>
      <c r="G25" s="380">
        <f>IF(MR!G25="","",MR!G25)</f>
        <v>193.4</v>
      </c>
      <c r="H25" s="166">
        <f t="shared" si="0"/>
        <v>1.0765775033377243</v>
      </c>
      <c r="I25" s="380">
        <f>IF(MR!I25="","",MR!I25)</f>
        <v>179.64336</v>
      </c>
      <c r="J25" s="78">
        <f>IF(MR!J25="","",MR!J25)</f>
        <v>85</v>
      </c>
      <c r="K25" s="79">
        <f>IF(MR!K25="","",MR!K25)</f>
        <v>1954</v>
      </c>
      <c r="L25" s="78" t="str">
        <f>IF(MR!L25="","",MR!L25)</f>
        <v/>
      </c>
      <c r="M25" s="80">
        <f>IF(MR!M25="","",MR!M25)</f>
        <v>1</v>
      </c>
      <c r="N25" s="80">
        <f>IF(MR!N25="","",MR!N25)</f>
        <v>0</v>
      </c>
      <c r="O25" s="80">
        <f>IF(MR!O25="","",MR!O25)</f>
        <v>0</v>
      </c>
      <c r="P25" s="58">
        <f t="shared" si="1"/>
        <v>1</v>
      </c>
      <c r="Q25" s="359">
        <f>IF(MR!Q25="","",MR!Q25)</f>
        <v>1</v>
      </c>
      <c r="R25" s="81" t="str">
        <f>IF(MR!R25="","",MR!R25)</f>
        <v/>
      </c>
    </row>
    <row r="26" spans="1:18" s="132" customFormat="1" ht="20.100000000000001" customHeight="1" x14ac:dyDescent="0.2">
      <c r="A26" s="156" t="s">
        <v>63</v>
      </c>
      <c r="B26" s="358">
        <f t="shared" si="2"/>
        <v>45817</v>
      </c>
      <c r="C26" s="78" t="str">
        <f>IF(MR!C26="","",MR!C26)</f>
        <v/>
      </c>
      <c r="D26" s="78" t="str">
        <f>IF(MR!D26="","",MR!D26)</f>
        <v/>
      </c>
      <c r="E26" s="78">
        <f>IF(MR!E26="","",MR!E26)</f>
        <v>7</v>
      </c>
      <c r="F26" s="78">
        <f>IF(MR!F26="","",MR!F26)</f>
        <v>62.3</v>
      </c>
      <c r="G26" s="380">
        <f>IF(MR!G26="","",MR!G26)</f>
        <v>201.5</v>
      </c>
      <c r="H26" s="166">
        <f t="shared" si="0"/>
        <v>1.0901414424708284</v>
      </c>
      <c r="I26" s="380">
        <f>IF(MR!I26="","",MR!I26)</f>
        <v>184.83840000000001</v>
      </c>
      <c r="J26" s="78">
        <f>IF(MR!J26="","",MR!J26)</f>
        <v>85</v>
      </c>
      <c r="K26" s="79">
        <f>IF(MR!K26="","",MR!K26)</f>
        <v>1951</v>
      </c>
      <c r="L26" s="78" t="str">
        <f>IF(MR!L26="","",MR!L26)</f>
        <v/>
      </c>
      <c r="M26" s="80">
        <f>IF(MR!M26="","",MR!M26)</f>
        <v>1</v>
      </c>
      <c r="N26" s="80">
        <f>IF(MR!N26="","",MR!N26)</f>
        <v>0</v>
      </c>
      <c r="O26" s="80">
        <f>IF(MR!O26="","",MR!O26)</f>
        <v>0</v>
      </c>
      <c r="P26" s="58">
        <f t="shared" si="1"/>
        <v>1</v>
      </c>
      <c r="Q26" s="359">
        <f>IF(MR!Q26="","",MR!Q26)</f>
        <v>1</v>
      </c>
      <c r="R26" s="81" t="str">
        <f>IF(MR!R26="","",MR!R26)</f>
        <v/>
      </c>
    </row>
    <row r="27" spans="1:18" s="132" customFormat="1" ht="20.100000000000001" customHeight="1" x14ac:dyDescent="0.2">
      <c r="A27" s="156" t="s">
        <v>64</v>
      </c>
      <c r="B27" s="358">
        <f t="shared" si="2"/>
        <v>45818</v>
      </c>
      <c r="C27" s="78" t="str">
        <f>IF(MR!C27="","",MR!C27)</f>
        <v/>
      </c>
      <c r="D27" s="78" t="str">
        <f>IF(MR!D27="","",MR!D27)</f>
        <v/>
      </c>
      <c r="E27" s="78">
        <f>IF(MR!E27="","",MR!E27)</f>
        <v>6.7</v>
      </c>
      <c r="F27" s="78">
        <f>IF(MR!F27="","",MR!F27)</f>
        <v>60.2</v>
      </c>
      <c r="G27" s="380">
        <f>IF(MR!G27="","",MR!G27)</f>
        <v>196.1</v>
      </c>
      <c r="H27" s="166">
        <f t="shared" si="0"/>
        <v>1.0716352946936949</v>
      </c>
      <c r="I27" s="380">
        <f>IF(MR!I27="","",MR!I27)</f>
        <v>182.99135999999999</v>
      </c>
      <c r="J27" s="78">
        <f>IF(MR!J27="","",MR!J27)</f>
        <v>87</v>
      </c>
      <c r="K27" s="79">
        <f>IF(MR!K27="","",MR!K27)</f>
        <v>1938</v>
      </c>
      <c r="L27" s="78" t="str">
        <f>IF(MR!L27="","",MR!L27)</f>
        <v/>
      </c>
      <c r="M27" s="80">
        <f>IF(MR!M27="","",MR!M27)</f>
        <v>1</v>
      </c>
      <c r="N27" s="80">
        <f>IF(MR!N27="","",MR!N27)</f>
        <v>0</v>
      </c>
      <c r="O27" s="80">
        <f>IF(MR!O27="","",MR!O27)</f>
        <v>0</v>
      </c>
      <c r="P27" s="58">
        <f t="shared" si="1"/>
        <v>1</v>
      </c>
      <c r="Q27" s="359">
        <f>IF(MR!Q27="","",MR!Q27)</f>
        <v>1</v>
      </c>
      <c r="R27" s="81" t="str">
        <f>IF(MR!R27="","",MR!R27)</f>
        <v/>
      </c>
    </row>
    <row r="28" spans="1:18" s="132" customFormat="1" ht="20.100000000000001" customHeight="1" x14ac:dyDescent="0.2">
      <c r="A28" s="156" t="s">
        <v>65</v>
      </c>
      <c r="B28" s="358">
        <f t="shared" si="2"/>
        <v>45819</v>
      </c>
      <c r="C28" s="78" t="str">
        <f>IF(MR!C28="","",MR!C28)</f>
        <v/>
      </c>
      <c r="D28" s="78" t="str">
        <f>IF(MR!D28="","",MR!D28)</f>
        <v/>
      </c>
      <c r="E28" s="78">
        <f>IF(MR!E28="","",MR!E28)</f>
        <v>6.9</v>
      </c>
      <c r="F28" s="78">
        <f>IF(MR!F28="","",MR!F28)</f>
        <v>58.1</v>
      </c>
      <c r="G28" s="380">
        <f>IF(MR!G28="","",MR!G28)</f>
        <v>211.2</v>
      </c>
      <c r="H28" s="166">
        <f t="shared" si="0"/>
        <v>1.1336860642928825</v>
      </c>
      <c r="I28" s="380">
        <f>IF(MR!I28="","",MR!I28)</f>
        <v>186.29496</v>
      </c>
      <c r="J28" s="78">
        <f>IF(MR!J28="","",MR!J28)</f>
        <v>90</v>
      </c>
      <c r="K28" s="79">
        <f>IF(MR!K28="","",MR!K28)</f>
        <v>1940</v>
      </c>
      <c r="L28" s="78" t="str">
        <f>IF(MR!L28="","",MR!L28)</f>
        <v/>
      </c>
      <c r="M28" s="80">
        <f>IF(MR!M28="","",MR!M28)</f>
        <v>1</v>
      </c>
      <c r="N28" s="80">
        <f>IF(MR!N28="","",MR!N28)</f>
        <v>0</v>
      </c>
      <c r="O28" s="80">
        <f>IF(MR!O28="","",MR!O28)</f>
        <v>0</v>
      </c>
      <c r="P28" s="58">
        <f t="shared" si="1"/>
        <v>1</v>
      </c>
      <c r="Q28" s="359">
        <f>IF(MR!Q28="","",MR!Q28)</f>
        <v>1</v>
      </c>
      <c r="R28" s="81" t="str">
        <f>IF(MR!R28="","",MR!R28)</f>
        <v/>
      </c>
    </row>
    <row r="29" spans="1:18" s="132" customFormat="1" ht="20.100000000000001" customHeight="1" x14ac:dyDescent="0.2">
      <c r="A29" s="156" t="s">
        <v>66</v>
      </c>
      <c r="B29" s="358">
        <f t="shared" si="2"/>
        <v>45820</v>
      </c>
      <c r="C29" s="78" t="str">
        <f>IF(MR!C29="","",MR!C29)</f>
        <v/>
      </c>
      <c r="D29" s="78" t="str">
        <f>IF(MR!D29="","",MR!D29)</f>
        <v/>
      </c>
      <c r="E29" s="78">
        <f>IF(MR!E29="","",MR!E29)</f>
        <v>6.6</v>
      </c>
      <c r="F29" s="78">
        <f>IF(MR!F29="","",MR!F29)</f>
        <v>58.8</v>
      </c>
      <c r="G29" s="380">
        <f>IF(MR!G29="","",MR!G29)</f>
        <v>214.3</v>
      </c>
      <c r="H29" s="166">
        <f t="shared" si="0"/>
        <v>1.1725329425400861</v>
      </c>
      <c r="I29" s="380">
        <f>IF(MR!I29="","",MR!I29)</f>
        <v>182.76671999999999</v>
      </c>
      <c r="J29" s="78">
        <f>IF(MR!J29="","",MR!J29)</f>
        <v>85</v>
      </c>
      <c r="K29" s="79">
        <f>IF(MR!K29="","",MR!K29)</f>
        <v>1945</v>
      </c>
      <c r="L29" s="78" t="str">
        <f>IF(MR!L29="","",MR!L29)</f>
        <v/>
      </c>
      <c r="M29" s="80">
        <f>IF(MR!M29="","",MR!M29)</f>
        <v>1</v>
      </c>
      <c r="N29" s="80">
        <f>IF(MR!N29="","",MR!N29)</f>
        <v>0</v>
      </c>
      <c r="O29" s="80">
        <f>IF(MR!O29="","",MR!O29)</f>
        <v>0</v>
      </c>
      <c r="P29" s="58">
        <f t="shared" si="1"/>
        <v>1</v>
      </c>
      <c r="Q29" s="359">
        <f>IF(MR!Q29="","",MR!Q29)</f>
        <v>1</v>
      </c>
      <c r="R29" s="81" t="str">
        <f>IF(MR!R29="","",MR!R29)</f>
        <v>13:00 - 18:00 Barton calibration</v>
      </c>
    </row>
    <row r="30" spans="1:18" s="132" customFormat="1" ht="20.100000000000001" customHeight="1" x14ac:dyDescent="0.2">
      <c r="A30" s="156" t="s">
        <v>67</v>
      </c>
      <c r="B30" s="358">
        <f t="shared" si="2"/>
        <v>45821</v>
      </c>
      <c r="C30" s="78" t="str">
        <f>IF(MR!C30="","",MR!C30)</f>
        <v/>
      </c>
      <c r="D30" s="78" t="str">
        <f>IF(MR!D30="","",MR!D30)</f>
        <v/>
      </c>
      <c r="E30" s="78">
        <f>IF(MR!E30="","",MR!E30)</f>
        <v>6.7</v>
      </c>
      <c r="F30" s="78">
        <f>IF(MR!F30="","",MR!F30)</f>
        <v>61.5</v>
      </c>
      <c r="G30" s="380">
        <f>IF(MR!G30="","",MR!G30)</f>
        <v>217.9</v>
      </c>
      <c r="H30" s="166">
        <f t="shared" si="0"/>
        <v>1.1957206480487641</v>
      </c>
      <c r="I30" s="380">
        <f>IF(MR!I30="","",MR!I30)</f>
        <v>182.23319999999998</v>
      </c>
      <c r="J30" s="78">
        <f>IF(MR!J30="","",MR!J30)</f>
        <v>87</v>
      </c>
      <c r="K30" s="79">
        <f>IF(MR!K30="","",MR!K30)</f>
        <v>1952</v>
      </c>
      <c r="L30" s="78" t="str">
        <f>IF(MR!L30="","",MR!L30)</f>
        <v/>
      </c>
      <c r="M30" s="80">
        <f>IF(MR!M30="","",MR!M30)</f>
        <v>1</v>
      </c>
      <c r="N30" s="80">
        <f>IF(MR!N30="","",MR!N30)</f>
        <v>0</v>
      </c>
      <c r="O30" s="80">
        <f>IF(MR!O30="","",MR!O30)</f>
        <v>0</v>
      </c>
      <c r="P30" s="58">
        <f t="shared" si="1"/>
        <v>1</v>
      </c>
      <c r="Q30" s="359">
        <f>IF(MR!Q30="","",MR!Q30)</f>
        <v>1</v>
      </c>
      <c r="R30" s="81" t="str">
        <f>IF(MR!R30="","",MR!R30)</f>
        <v/>
      </c>
    </row>
    <row r="31" spans="1:18" s="132" customFormat="1" ht="20.100000000000001" customHeight="1" x14ac:dyDescent="0.2">
      <c r="A31" s="156" t="s">
        <v>68</v>
      </c>
      <c r="B31" s="358">
        <f t="shared" si="2"/>
        <v>45822</v>
      </c>
      <c r="C31" s="78" t="str">
        <f>IF(MR!C31="","",MR!C31)</f>
        <v/>
      </c>
      <c r="D31" s="78" t="str">
        <f>IF(MR!D31="","",MR!D31)</f>
        <v/>
      </c>
      <c r="E31" s="78">
        <f>IF(MR!E31="","",MR!E31)</f>
        <v>7.1</v>
      </c>
      <c r="F31" s="78">
        <f>IF(MR!F31="","",MR!F31)</f>
        <v>62.6</v>
      </c>
      <c r="G31" s="380">
        <f>IF(MR!G31="","",MR!G31)</f>
        <v>210.2</v>
      </c>
      <c r="H31" s="166">
        <f t="shared" si="0"/>
        <v>1.1313717435654982</v>
      </c>
      <c r="I31" s="380">
        <f>IF(MR!I31="","",MR!I31)</f>
        <v>185.79215999999997</v>
      </c>
      <c r="J31" s="78">
        <f>IF(MR!J31="","",MR!J31)</f>
        <v>90</v>
      </c>
      <c r="K31" s="79">
        <f>IF(MR!K31="","",MR!K31)</f>
        <v>1947</v>
      </c>
      <c r="L31" s="78" t="str">
        <f>IF(MR!L31="","",MR!L31)</f>
        <v/>
      </c>
      <c r="M31" s="80">
        <f>IF(MR!M31="","",MR!M31)</f>
        <v>1</v>
      </c>
      <c r="N31" s="80">
        <f>IF(MR!N31="","",MR!N31)</f>
        <v>0</v>
      </c>
      <c r="O31" s="80">
        <f>IF(MR!O31="","",MR!O31)</f>
        <v>0</v>
      </c>
      <c r="P31" s="58">
        <f t="shared" si="1"/>
        <v>1</v>
      </c>
      <c r="Q31" s="359">
        <f>IF(MR!Q31="","",MR!Q31)</f>
        <v>1</v>
      </c>
      <c r="R31" s="81" t="str">
        <f>IF(MR!R31="","",MR!R31)</f>
        <v/>
      </c>
    </row>
    <row r="32" spans="1:18" s="132" customFormat="1" ht="19.5" customHeight="1" x14ac:dyDescent="0.2">
      <c r="A32" s="156" t="s">
        <v>69</v>
      </c>
      <c r="B32" s="358">
        <f t="shared" si="2"/>
        <v>45823</v>
      </c>
      <c r="C32" s="78" t="str">
        <f>IF(MR!C32="","",MR!C32)</f>
        <v/>
      </c>
      <c r="D32" s="78" t="str">
        <f>IF(MR!D32="","",MR!D32)</f>
        <v/>
      </c>
      <c r="E32" s="78">
        <f>IF(MR!E32="","",MR!E32)</f>
        <v>7.4</v>
      </c>
      <c r="F32" s="78">
        <f>IF(MR!F32="","",MR!F32)</f>
        <v>62.8</v>
      </c>
      <c r="G32" s="380">
        <f>IF(MR!G32="","",MR!G32)</f>
        <v>214.9</v>
      </c>
      <c r="H32" s="166">
        <f t="shared" si="0"/>
        <v>1.1380949233658038</v>
      </c>
      <c r="I32" s="380">
        <f>IF(MR!I32="","",MR!I32)</f>
        <v>188.82432</v>
      </c>
      <c r="J32" s="78">
        <f>IF(MR!J32="","",MR!J32)</f>
        <v>90</v>
      </c>
      <c r="K32" s="79">
        <f>IF(MR!K32="","",MR!K32)</f>
        <v>1954</v>
      </c>
      <c r="L32" s="78" t="str">
        <f>IF(MR!L32="","",MR!L32)</f>
        <v/>
      </c>
      <c r="M32" s="80">
        <f>IF(MR!M32="","",MR!M32)</f>
        <v>1</v>
      </c>
      <c r="N32" s="80">
        <f>IF(MR!N32="","",MR!N32)</f>
        <v>0</v>
      </c>
      <c r="O32" s="80">
        <f>IF(MR!O32="","",MR!O32)</f>
        <v>0</v>
      </c>
      <c r="P32" s="58">
        <f t="shared" si="1"/>
        <v>1</v>
      </c>
      <c r="Q32" s="359">
        <f>IF(MR!Q32="","",MR!Q32)</f>
        <v>1</v>
      </c>
      <c r="R32" s="81" t="str">
        <f>IF(MR!R32="","",MR!R32)</f>
        <v/>
      </c>
    </row>
    <row r="33" spans="1:18" s="132" customFormat="1" ht="20.100000000000001" customHeight="1" x14ac:dyDescent="0.2">
      <c r="A33" s="156" t="s">
        <v>70</v>
      </c>
      <c r="B33" s="358">
        <f t="shared" si="2"/>
        <v>45824</v>
      </c>
      <c r="C33" s="78" t="str">
        <f>IF(MR!C33="","",MR!C33)</f>
        <v/>
      </c>
      <c r="D33" s="78" t="str">
        <f>IF(MR!D33="","",MR!D33)</f>
        <v/>
      </c>
      <c r="E33" s="78">
        <f>IF(MR!E33="","",MR!E33)</f>
        <v>7.6</v>
      </c>
      <c r="F33" s="78">
        <f>IF(MR!F33="","",MR!F33)</f>
        <v>65.7</v>
      </c>
      <c r="G33" s="380">
        <f>IF(MR!G33="","",MR!G33)</f>
        <v>258.60000000000002</v>
      </c>
      <c r="H33" s="166">
        <f t="shared" si="0"/>
        <v>1.3667301725821881</v>
      </c>
      <c r="I33" s="380">
        <f>IF(MR!I33="","",MR!I33)</f>
        <v>189.21071999999998</v>
      </c>
      <c r="J33" s="78">
        <f>IF(MR!J33="","",MR!J33)</f>
        <v>90</v>
      </c>
      <c r="K33" s="79">
        <f>IF(MR!K33="","",MR!K33)</f>
        <v>1943</v>
      </c>
      <c r="L33" s="78" t="str">
        <f>IF(MR!L33="","",MR!L33)</f>
        <v/>
      </c>
      <c r="M33" s="80">
        <f>IF(MR!M33="","",MR!M33)</f>
        <v>1</v>
      </c>
      <c r="N33" s="80">
        <f>IF(MR!N33="","",MR!N33)</f>
        <v>0</v>
      </c>
      <c r="O33" s="80">
        <f>IF(MR!O33="","",MR!O33)</f>
        <v>0</v>
      </c>
      <c r="P33" s="58">
        <f t="shared" si="1"/>
        <v>1</v>
      </c>
      <c r="Q33" s="359">
        <f>IF(MR!Q33="","",MR!Q33)</f>
        <v>1</v>
      </c>
      <c r="R33" s="81" t="str">
        <f>IF(MR!R33="","",MR!R33)</f>
        <v/>
      </c>
    </row>
    <row r="34" spans="1:18" s="132" customFormat="1" ht="20.100000000000001" customHeight="1" x14ac:dyDescent="0.2">
      <c r="A34" s="156" t="s">
        <v>71</v>
      </c>
      <c r="B34" s="358">
        <f t="shared" si="2"/>
        <v>45825</v>
      </c>
      <c r="C34" s="78" t="str">
        <f>IF(MR!C34="","",MR!C34)</f>
        <v/>
      </c>
      <c r="D34" s="78" t="str">
        <f>IF(MR!D34="","",MR!D34)</f>
        <v/>
      </c>
      <c r="E34" s="78">
        <f>IF(MR!E34="","",MR!E34)</f>
        <v>7.6</v>
      </c>
      <c r="F34" s="78">
        <f>IF(MR!F34="","",MR!F34)</f>
        <v>67.599999999999994</v>
      </c>
      <c r="G34" s="380">
        <f>IF(MR!G34="","",MR!G34)</f>
        <v>244.9</v>
      </c>
      <c r="H34" s="166">
        <f t="shared" si="0"/>
        <v>1.3020434585847038</v>
      </c>
      <c r="I34" s="380">
        <f>IF(MR!I34="","",MR!I34)</f>
        <v>188.08895999999999</v>
      </c>
      <c r="J34" s="78">
        <f>IF(MR!J34="","",MR!J34)</f>
        <v>90</v>
      </c>
      <c r="K34" s="79">
        <f>IF(MR!K34="","",MR!K34)</f>
        <v>1946</v>
      </c>
      <c r="L34" s="78" t="str">
        <f>IF(MR!L34="","",MR!L34)</f>
        <v/>
      </c>
      <c r="M34" s="80">
        <f>IF(MR!M34="","",MR!M34)</f>
        <v>1</v>
      </c>
      <c r="N34" s="80">
        <f>IF(MR!N34="","",MR!N34)</f>
        <v>0</v>
      </c>
      <c r="O34" s="80">
        <f>IF(MR!O34="","",MR!O34)</f>
        <v>0</v>
      </c>
      <c r="P34" s="58">
        <f t="shared" si="1"/>
        <v>1</v>
      </c>
      <c r="Q34" s="359">
        <f>IF(MR!Q34="","",MR!Q34)</f>
        <v>1</v>
      </c>
      <c r="R34" s="81" t="str">
        <f>IF(MR!R34="","",MR!R34)</f>
        <v/>
      </c>
    </row>
    <row r="35" spans="1:18" s="132" customFormat="1" ht="20.100000000000001" customHeight="1" x14ac:dyDescent="0.2">
      <c r="A35" s="156" t="s">
        <v>72</v>
      </c>
      <c r="B35" s="358">
        <f t="shared" si="2"/>
        <v>45826</v>
      </c>
      <c r="C35" s="78" t="str">
        <f>IF(MR!C35="","",MR!C35)</f>
        <v/>
      </c>
      <c r="D35" s="78" t="str">
        <f>IF(MR!D35="","",MR!D35)</f>
        <v/>
      </c>
      <c r="E35" s="78">
        <f>IF(MR!E35="","",MR!E35)</f>
        <v>7.5</v>
      </c>
      <c r="F35" s="78">
        <f>IF(MR!F35="","",MR!F35)</f>
        <v>68.099999999999994</v>
      </c>
      <c r="G35" s="380">
        <f>IF(MR!G35="","",MR!G35)</f>
        <v>248.4</v>
      </c>
      <c r="H35" s="166">
        <f t="shared" si="0"/>
        <v>1.3300692021512426</v>
      </c>
      <c r="I35" s="380">
        <f>IF(MR!I35="","",MR!I35)</f>
        <v>186.75719999999998</v>
      </c>
      <c r="J35" s="78">
        <f>IF(MR!J35="","",MR!J35)</f>
        <v>90</v>
      </c>
      <c r="K35" s="79">
        <f>IF(MR!K35="","",MR!K35)</f>
        <v>1942</v>
      </c>
      <c r="L35" s="78" t="str">
        <f>IF(MR!L35="","",MR!L35)</f>
        <v/>
      </c>
      <c r="M35" s="80">
        <f>IF(MR!M35="","",MR!M35)</f>
        <v>1</v>
      </c>
      <c r="N35" s="80">
        <f>IF(MR!N35="","",MR!N35)</f>
        <v>0</v>
      </c>
      <c r="O35" s="80">
        <f>IF(MR!O35="","",MR!O35)</f>
        <v>0</v>
      </c>
      <c r="P35" s="58">
        <f t="shared" si="1"/>
        <v>1</v>
      </c>
      <c r="Q35" s="359">
        <f>IF(MR!Q35="","",MR!Q35)</f>
        <v>1</v>
      </c>
      <c r="R35" s="81" t="str">
        <f>IF(MR!R35="","",MR!R35)</f>
        <v/>
      </c>
    </row>
    <row r="36" spans="1:18" s="132" customFormat="1" ht="20.100000000000001" customHeight="1" x14ac:dyDescent="0.2">
      <c r="A36" s="156" t="s">
        <v>73</v>
      </c>
      <c r="B36" s="358">
        <f t="shared" si="2"/>
        <v>45827</v>
      </c>
      <c r="C36" s="78" t="str">
        <f>IF(MR!C36="","",MR!C36)</f>
        <v/>
      </c>
      <c r="D36" s="78" t="str">
        <f>IF(MR!D36="","",MR!D36)</f>
        <v/>
      </c>
      <c r="E36" s="78">
        <f>IF(MR!E36="","",MR!E36)</f>
        <v>7.4</v>
      </c>
      <c r="F36" s="78">
        <f>IF(MR!F36="","",MR!F36)</f>
        <v>67.900000000000006</v>
      </c>
      <c r="G36" s="380">
        <f>IF(MR!G36="","",MR!G36)</f>
        <v>240</v>
      </c>
      <c r="H36" s="166">
        <f t="shared" si="0"/>
        <v>1.2914490575004778</v>
      </c>
      <c r="I36" s="380">
        <f>IF(MR!I36="","",MR!I36)</f>
        <v>185.83776</v>
      </c>
      <c r="J36" s="78">
        <f>IF(MR!J36="","",MR!J36)</f>
        <v>90</v>
      </c>
      <c r="K36" s="79">
        <f>IF(MR!K36="","",MR!K36)</f>
        <v>1945</v>
      </c>
      <c r="L36" s="78" t="str">
        <f>IF(MR!L36="","",MR!L36)</f>
        <v/>
      </c>
      <c r="M36" s="80">
        <f>IF(MR!M36="","",MR!M36)</f>
        <v>1</v>
      </c>
      <c r="N36" s="80">
        <f>IF(MR!N36="","",MR!N36)</f>
        <v>0</v>
      </c>
      <c r="O36" s="80">
        <f>IF(MR!O36="","",MR!O36)</f>
        <v>0</v>
      </c>
      <c r="P36" s="58">
        <f t="shared" si="1"/>
        <v>1</v>
      </c>
      <c r="Q36" s="359">
        <f>IF(MR!Q36="","",MR!Q36)</f>
        <v>1</v>
      </c>
      <c r="R36" s="81" t="str">
        <f>IF(MR!R36="","",MR!R36)</f>
        <v/>
      </c>
    </row>
    <row r="37" spans="1:18" s="132" customFormat="1" ht="20.100000000000001" customHeight="1" x14ac:dyDescent="0.2">
      <c r="A37" s="156" t="s">
        <v>74</v>
      </c>
      <c r="B37" s="358">
        <f t="shared" si="2"/>
        <v>45828</v>
      </c>
      <c r="C37" s="78" t="str">
        <f>IF(MR!C37="","",MR!C37)</f>
        <v/>
      </c>
      <c r="D37" s="78" t="str">
        <f>IF(MR!D37="","",MR!D37)</f>
        <v/>
      </c>
      <c r="E37" s="78">
        <f>IF(MR!E37="","",MR!E37)</f>
        <v>7.3</v>
      </c>
      <c r="F37" s="78">
        <f>IF(MR!F37="","",MR!F37)</f>
        <v>61</v>
      </c>
      <c r="G37" s="380">
        <f>IF(MR!G37="","",MR!G37)</f>
        <v>243.6</v>
      </c>
      <c r="H37" s="166">
        <f t="shared" si="0"/>
        <v>1.2900847769996315</v>
      </c>
      <c r="I37" s="380">
        <f>IF(MR!I37="","",MR!I37)</f>
        <v>188.82479999999998</v>
      </c>
      <c r="J37" s="78">
        <f>IF(MR!J37="","",MR!J37)</f>
        <v>90</v>
      </c>
      <c r="K37" s="79">
        <f>IF(MR!K37="","",MR!K37)</f>
        <v>1941</v>
      </c>
      <c r="L37" s="78" t="str">
        <f>IF(MR!L37="","",MR!L37)</f>
        <v/>
      </c>
      <c r="M37" s="80">
        <f>IF(MR!M37="","",MR!M37)</f>
        <v>1</v>
      </c>
      <c r="N37" s="80">
        <f>IF(MR!N37="","",MR!N37)</f>
        <v>0</v>
      </c>
      <c r="O37" s="80">
        <f>IF(MR!O37="","",MR!O37)</f>
        <v>0</v>
      </c>
      <c r="P37" s="58">
        <f t="shared" si="1"/>
        <v>1</v>
      </c>
      <c r="Q37" s="359">
        <f>IF(MR!Q37="","",MR!Q37)</f>
        <v>1</v>
      </c>
      <c r="R37" s="81" t="str">
        <f>IF(MR!R37="","",MR!R37)</f>
        <v/>
      </c>
    </row>
    <row r="38" spans="1:18" s="132" customFormat="1" ht="20.100000000000001" customHeight="1" x14ac:dyDescent="0.2">
      <c r="A38" s="156" t="s">
        <v>75</v>
      </c>
      <c r="B38" s="358">
        <f t="shared" si="2"/>
        <v>45829</v>
      </c>
      <c r="C38" s="78" t="str">
        <f>IF(MR!C38="","",MR!C38)</f>
        <v/>
      </c>
      <c r="D38" s="78" t="str">
        <f>IF(MR!D38="","",MR!D38)</f>
        <v/>
      </c>
      <c r="E38" s="78">
        <f>IF(MR!E38="","",MR!E38)</f>
        <v>7</v>
      </c>
      <c r="F38" s="78">
        <f>IF(MR!F38="","",MR!F38)</f>
        <v>62.9</v>
      </c>
      <c r="G38" s="380">
        <f>IF(MR!G38="","",MR!G38)</f>
        <v>232.6</v>
      </c>
      <c r="H38" s="171">
        <f t="shared" si="0"/>
        <v>1.2591813047846723</v>
      </c>
      <c r="I38" s="380">
        <f>IF(MR!I38="","",MR!I38)</f>
        <v>184.72320000000002</v>
      </c>
      <c r="J38" s="78">
        <f>IF(MR!J38="","",MR!J38)</f>
        <v>90</v>
      </c>
      <c r="K38" s="79">
        <f>IF(MR!K38="","",MR!K38)</f>
        <v>1947</v>
      </c>
      <c r="L38" s="78" t="str">
        <f>IF(MR!L38="","",MR!L38)</f>
        <v/>
      </c>
      <c r="M38" s="80">
        <f>IF(MR!M38="","",MR!M38)</f>
        <v>1</v>
      </c>
      <c r="N38" s="80">
        <f>IF(MR!N38="","",MR!N38)</f>
        <v>0</v>
      </c>
      <c r="O38" s="80">
        <f>IF(MR!O38="","",MR!O38)</f>
        <v>0</v>
      </c>
      <c r="P38" s="59">
        <f t="shared" si="1"/>
        <v>1</v>
      </c>
      <c r="Q38" s="360">
        <f>IF(MR!Q38="","",MR!Q38)</f>
        <v>1</v>
      </c>
      <c r="R38" s="81" t="str">
        <f>IF(MR!R38="","",MR!R38)</f>
        <v/>
      </c>
    </row>
    <row r="39" spans="1:18" s="132" customFormat="1" ht="20.100000000000001" customHeight="1" x14ac:dyDescent="0.2">
      <c r="A39" s="156" t="s">
        <v>76</v>
      </c>
      <c r="B39" s="358">
        <f t="shared" si="2"/>
        <v>45830</v>
      </c>
      <c r="C39" s="78" t="str">
        <f>IF(MR!C39="","",MR!C39)</f>
        <v/>
      </c>
      <c r="D39" s="78" t="str">
        <f>IF(MR!D39="","",MR!D39)</f>
        <v/>
      </c>
      <c r="E39" s="78">
        <f>IF(MR!E39="","",MR!E39)</f>
        <v>7.6</v>
      </c>
      <c r="F39" s="78">
        <f>IF(MR!F39="","",MR!F39)</f>
        <v>63</v>
      </c>
      <c r="G39" s="380">
        <f>IF(MR!G39="","",MR!G39)</f>
        <v>212.8</v>
      </c>
      <c r="H39" s="171">
        <f t="shared" si="0"/>
        <v>1.216664646515468</v>
      </c>
      <c r="I39" s="380">
        <f>IF(MR!I39="","",MR!I39)</f>
        <v>174.90439999999998</v>
      </c>
      <c r="J39" s="78">
        <f>IF(MR!J39="","",MR!J39)</f>
        <v>88</v>
      </c>
      <c r="K39" s="79">
        <f>IF(MR!K39="","",MR!K39)</f>
        <v>1951</v>
      </c>
      <c r="L39" s="78" t="str">
        <f>IF(MR!L39="","",MR!L39)</f>
        <v/>
      </c>
      <c r="M39" s="80">
        <f>IF(MR!M39="","",MR!M39)</f>
        <v>0.91666666666666663</v>
      </c>
      <c r="N39" s="80">
        <f>IF(MR!N39="","",MR!N39)</f>
        <v>0</v>
      </c>
      <c r="O39" s="80">
        <f>IF(MR!O39="","",MR!O39)</f>
        <v>8.333333333333337E-2</v>
      </c>
      <c r="P39" s="59">
        <f t="shared" si="1"/>
        <v>0.91666666666666663</v>
      </c>
      <c r="Q39" s="360">
        <f>IF(MR!Q39="","",MR!Q39)</f>
        <v>0.91666666666666663</v>
      </c>
      <c r="R39" s="81" t="str">
        <f>IF(MR!R39="","",MR!R39)</f>
        <v>21:00 - 23:00 SD/ High disch. press.</v>
      </c>
    </row>
    <row r="40" spans="1:18" s="132" customFormat="1" ht="20.100000000000001" customHeight="1" x14ac:dyDescent="0.2">
      <c r="A40" s="156" t="s">
        <v>77</v>
      </c>
      <c r="B40" s="358">
        <f t="shared" si="2"/>
        <v>45831</v>
      </c>
      <c r="C40" s="78" t="str">
        <f>IF(MR!C40="","",MR!C40)</f>
        <v/>
      </c>
      <c r="D40" s="78" t="str">
        <f>IF(MR!D40="","",MR!D40)</f>
        <v/>
      </c>
      <c r="E40" s="78">
        <f>IF(MR!E40="","",MR!E40)</f>
        <v>6.3</v>
      </c>
      <c r="F40" s="78">
        <f>IF(MR!F40="","",MR!F40)</f>
        <v>63.2</v>
      </c>
      <c r="G40" s="380">
        <f>IF(MR!G40="","",MR!G40)</f>
        <v>227</v>
      </c>
      <c r="H40" s="171">
        <f t="shared" si="0"/>
        <v>1.2822320372283365</v>
      </c>
      <c r="I40" s="380">
        <f>IF(MR!I40="","",MR!I40)</f>
        <v>177.03503999999998</v>
      </c>
      <c r="J40" s="78">
        <f>IF(MR!J40="","",MR!J40)</f>
        <v>85</v>
      </c>
      <c r="K40" s="79">
        <f>IF(MR!K40="","",MR!K40)</f>
        <v>1954</v>
      </c>
      <c r="L40" s="78" t="str">
        <f>IF(MR!L40="","",MR!L40)</f>
        <v/>
      </c>
      <c r="M40" s="80">
        <f>IF(MR!M40="","",MR!M40)</f>
        <v>1</v>
      </c>
      <c r="N40" s="80">
        <f>IF(MR!N40="","",MR!N40)</f>
        <v>0</v>
      </c>
      <c r="O40" s="80">
        <f>IF(MR!O40="","",MR!O40)</f>
        <v>0</v>
      </c>
      <c r="P40" s="59">
        <f t="shared" si="1"/>
        <v>1</v>
      </c>
      <c r="Q40" s="360">
        <f>IF(MR!Q40="","",MR!Q40)</f>
        <v>1</v>
      </c>
      <c r="R40" s="81" t="str">
        <f>IF(MR!R40="","",MR!R40)</f>
        <v/>
      </c>
    </row>
    <row r="41" spans="1:18" s="132" customFormat="1" ht="20.100000000000001" customHeight="1" x14ac:dyDescent="0.2">
      <c r="A41" s="156" t="s">
        <v>78</v>
      </c>
      <c r="B41" s="358">
        <f t="shared" si="2"/>
        <v>45832</v>
      </c>
      <c r="C41" s="78" t="str">
        <f>IF(MR!C41="","",MR!C41)</f>
        <v/>
      </c>
      <c r="D41" s="78" t="str">
        <f>IF(MR!D41="","",MR!D41)</f>
        <v/>
      </c>
      <c r="E41" s="78">
        <f>IF(MR!E41="","",MR!E41)</f>
        <v>6.9</v>
      </c>
      <c r="F41" s="78">
        <f>IF(MR!F41="","",MR!F41)</f>
        <v>62.9</v>
      </c>
      <c r="G41" s="380">
        <f>IF(MR!G41="","",MR!G41)</f>
        <v>214.8</v>
      </c>
      <c r="H41" s="171">
        <f t="shared" si="0"/>
        <v>1.1704533119905423</v>
      </c>
      <c r="I41" s="380">
        <f>IF(MR!I41="","",MR!I41)</f>
        <v>183.51864</v>
      </c>
      <c r="J41" s="78">
        <f>IF(MR!J41="","",MR!J41)</f>
        <v>85</v>
      </c>
      <c r="K41" s="79">
        <f>IF(MR!K41="","",MR!K41)</f>
        <v>1955</v>
      </c>
      <c r="L41" s="78" t="str">
        <f>IF(MR!L41="","",MR!L41)</f>
        <v/>
      </c>
      <c r="M41" s="80">
        <f>IF(MR!M41="","",MR!M41)</f>
        <v>1</v>
      </c>
      <c r="N41" s="80">
        <f>IF(MR!N41="","",MR!N41)</f>
        <v>0</v>
      </c>
      <c r="O41" s="80">
        <f>IF(MR!O41="","",MR!O41)</f>
        <v>0</v>
      </c>
      <c r="P41" s="59">
        <f t="shared" si="1"/>
        <v>1</v>
      </c>
      <c r="Q41" s="360">
        <f>IF(MR!Q41="","",MR!Q41)</f>
        <v>1</v>
      </c>
      <c r="R41" s="81" t="str">
        <f>IF(MR!R41="","",MR!R41)</f>
        <v/>
      </c>
    </row>
    <row r="42" spans="1:18" s="132" customFormat="1" ht="20.100000000000001" customHeight="1" x14ac:dyDescent="0.2">
      <c r="A42" s="156" t="s">
        <v>79</v>
      </c>
      <c r="B42" s="358">
        <f t="shared" si="2"/>
        <v>45833</v>
      </c>
      <c r="C42" s="78" t="str">
        <f>IF(MR!C42="","",MR!C42)</f>
        <v/>
      </c>
      <c r="D42" s="78" t="str">
        <f>IF(MR!D42="","",MR!D42)</f>
        <v/>
      </c>
      <c r="E42" s="78">
        <f>IF(MR!E42="","",MR!E42)</f>
        <v>6.5</v>
      </c>
      <c r="F42" s="78">
        <f>IF(MR!F42="","",MR!F42)</f>
        <v>63.6</v>
      </c>
      <c r="G42" s="380">
        <f>IF(MR!G42="","",MR!G42)</f>
        <v>225.1</v>
      </c>
      <c r="H42" s="171">
        <f t="shared" si="0"/>
        <v>1.2582223235805734</v>
      </c>
      <c r="I42" s="380">
        <f>IF(MR!I42="","",MR!I42)</f>
        <v>178.90319999999997</v>
      </c>
      <c r="J42" s="78">
        <f>IF(MR!J42="","",MR!J42)</f>
        <v>85</v>
      </c>
      <c r="K42" s="79">
        <f>IF(MR!K42="","",MR!K42)</f>
        <v>1950</v>
      </c>
      <c r="L42" s="78" t="str">
        <f>IF(MR!L42="","",MR!L42)</f>
        <v/>
      </c>
      <c r="M42" s="80">
        <f>IF(MR!M42="","",MR!M42)</f>
        <v>1</v>
      </c>
      <c r="N42" s="80">
        <f>IF(MR!N42="","",MR!N42)</f>
        <v>0</v>
      </c>
      <c r="O42" s="80">
        <f>IF(MR!O42="","",MR!O42)</f>
        <v>0</v>
      </c>
      <c r="P42" s="59">
        <f t="shared" si="1"/>
        <v>1</v>
      </c>
      <c r="Q42" s="360">
        <f>IF(MR!Q42="","",MR!Q42)</f>
        <v>1</v>
      </c>
      <c r="R42" s="81" t="str">
        <f>IF(MR!R42="","",MR!R42)</f>
        <v/>
      </c>
    </row>
    <row r="43" spans="1:18" s="132" customFormat="1" ht="20.100000000000001" customHeight="1" x14ac:dyDescent="0.2">
      <c r="A43" s="156" t="s">
        <v>80</v>
      </c>
      <c r="B43" s="358">
        <f t="shared" si="2"/>
        <v>45834</v>
      </c>
      <c r="C43" s="78" t="str">
        <f>IF(MR!C43="","",MR!C43)</f>
        <v/>
      </c>
      <c r="D43" s="78" t="str">
        <f>IF(MR!D43="","",MR!D43)</f>
        <v/>
      </c>
      <c r="E43" s="78">
        <f>IF(MR!E43="","",MR!E43)</f>
        <v>6.2</v>
      </c>
      <c r="F43" s="78">
        <f>IF(MR!F43="","",MR!F43)</f>
        <v>60.8</v>
      </c>
      <c r="G43" s="380">
        <f>IF(MR!G43="","",MR!G43)</f>
        <v>229.4</v>
      </c>
      <c r="H43" s="171">
        <f t="shared" si="0"/>
        <v>1.2930365865096716</v>
      </c>
      <c r="I43" s="380">
        <f>IF(MR!I43="","",MR!I43)</f>
        <v>177.41183999999998</v>
      </c>
      <c r="J43" s="78">
        <f>IF(MR!J43="","",MR!J43)</f>
        <v>90</v>
      </c>
      <c r="K43" s="79">
        <f>IF(MR!K43="","",MR!K43)</f>
        <v>1946</v>
      </c>
      <c r="L43" s="78" t="str">
        <f>IF(MR!L43="","",MR!L43)</f>
        <v/>
      </c>
      <c r="M43" s="80">
        <f>IF(MR!M43="","",MR!M43)</f>
        <v>1</v>
      </c>
      <c r="N43" s="80">
        <f>IF(MR!N43="","",MR!N43)</f>
        <v>0</v>
      </c>
      <c r="O43" s="80">
        <f>IF(MR!O43="","",MR!O43)</f>
        <v>0</v>
      </c>
      <c r="P43" s="59">
        <f t="shared" si="1"/>
        <v>1</v>
      </c>
      <c r="Q43" s="360">
        <f>IF(MR!Q43="","",MR!Q43)</f>
        <v>1</v>
      </c>
      <c r="R43" s="81" t="str">
        <f>IF(MR!R43="","",MR!R43)</f>
        <v/>
      </c>
    </row>
    <row r="44" spans="1:18" s="132" customFormat="1" ht="20.100000000000001" customHeight="1" x14ac:dyDescent="0.2">
      <c r="A44" s="156" t="s">
        <v>81</v>
      </c>
      <c r="B44" s="358">
        <f t="shared" si="2"/>
        <v>45835</v>
      </c>
      <c r="C44" s="78" t="str">
        <f>IF(MR!C44="","",MR!C44)</f>
        <v/>
      </c>
      <c r="D44" s="78" t="str">
        <f>IF(MR!D44="","",MR!D44)</f>
        <v/>
      </c>
      <c r="E44" s="78">
        <f>IF(MR!E44="","",MR!E44)</f>
        <v>6.3</v>
      </c>
      <c r="F44" s="78">
        <f>IF(MR!F44="","",MR!F44)</f>
        <v>62.2</v>
      </c>
      <c r="G44" s="380">
        <f>IF(MR!G44="","",MR!G44)</f>
        <v>234.1</v>
      </c>
      <c r="H44" s="171">
        <f t="shared" si="0"/>
        <v>1.3179240371329179</v>
      </c>
      <c r="I44" s="380">
        <f>IF(MR!I44="","",MR!I44)</f>
        <v>177.62783999999999</v>
      </c>
      <c r="J44" s="78">
        <f>IF(MR!J44="","",MR!J44)</f>
        <v>85</v>
      </c>
      <c r="K44" s="79">
        <f>IF(MR!K44="","",MR!K44)</f>
        <v>1946</v>
      </c>
      <c r="L44" s="78" t="str">
        <f>IF(MR!L44="","",MR!L44)</f>
        <v/>
      </c>
      <c r="M44" s="80">
        <f>IF(MR!M44="","",MR!M44)</f>
        <v>1</v>
      </c>
      <c r="N44" s="80">
        <f>IF(MR!N44="","",MR!N44)</f>
        <v>0</v>
      </c>
      <c r="O44" s="80">
        <f>IF(MR!O44="","",MR!O44)</f>
        <v>0</v>
      </c>
      <c r="P44" s="59">
        <f t="shared" si="1"/>
        <v>1</v>
      </c>
      <c r="Q44" s="360">
        <f>IF(MR!Q44="","",MR!Q44)</f>
        <v>1</v>
      </c>
      <c r="R44" s="81" t="str">
        <f>IF(MR!R44="","",MR!R44)</f>
        <v/>
      </c>
    </row>
    <row r="45" spans="1:18" s="132" customFormat="1" ht="20.100000000000001" customHeight="1" x14ac:dyDescent="0.2">
      <c r="A45" s="156" t="s">
        <v>82</v>
      </c>
      <c r="B45" s="358">
        <f t="shared" si="2"/>
        <v>45836</v>
      </c>
      <c r="C45" s="78" t="str">
        <f>IF(MR!C45="","",MR!C45)</f>
        <v/>
      </c>
      <c r="D45" s="78" t="str">
        <f>IF(MR!D45="","",MR!D45)</f>
        <v/>
      </c>
      <c r="E45" s="78">
        <f>IF(MR!E45="","",MR!E45)</f>
        <v>6.5</v>
      </c>
      <c r="F45" s="78">
        <f>IF(MR!F45="","",MR!F45)</f>
        <v>63.4</v>
      </c>
      <c r="G45" s="380">
        <f>IF(MR!G45="","",MR!G45)</f>
        <v>240.5</v>
      </c>
      <c r="H45" s="171">
        <f t="shared" si="0"/>
        <v>1.3434193121693123</v>
      </c>
      <c r="I45" s="380">
        <f>IF(MR!I45="","",MR!I45)</f>
        <v>179.02079999999998</v>
      </c>
      <c r="J45" s="78">
        <f>IF(MR!J45="","",MR!J45)</f>
        <v>85</v>
      </c>
      <c r="K45" s="79">
        <f>IF(MR!K45="","",MR!K45)</f>
        <v>1943</v>
      </c>
      <c r="L45" s="78" t="str">
        <f>IF(MR!L45="","",MR!L45)</f>
        <v/>
      </c>
      <c r="M45" s="80">
        <f>IF(MR!M45="","",MR!M45)</f>
        <v>1</v>
      </c>
      <c r="N45" s="80">
        <f>IF(MR!N45="","",MR!N45)</f>
        <v>0</v>
      </c>
      <c r="O45" s="80">
        <f>IF(MR!O45="","",MR!O45)</f>
        <v>0</v>
      </c>
      <c r="P45" s="59">
        <f t="shared" si="1"/>
        <v>1</v>
      </c>
      <c r="Q45" s="360">
        <f>IF(MR!Q45="","",MR!Q45)</f>
        <v>1</v>
      </c>
      <c r="R45" s="81" t="str">
        <f>IF(MR!R45="","",MR!R45)</f>
        <v/>
      </c>
    </row>
    <row r="46" spans="1:18" s="132" customFormat="1" ht="19.5" customHeight="1" x14ac:dyDescent="0.2">
      <c r="A46" s="156" t="s">
        <v>83</v>
      </c>
      <c r="B46" s="358">
        <f t="shared" si="2"/>
        <v>45837</v>
      </c>
      <c r="C46" s="78" t="str">
        <f>IF(MR!C46="","",MR!C46)</f>
        <v/>
      </c>
      <c r="D46" s="78" t="str">
        <f>IF(MR!D46="","",MR!D46)</f>
        <v/>
      </c>
      <c r="E46" s="78">
        <f>IF(MR!E46="","",MR!E46)</f>
        <v>6.2</v>
      </c>
      <c r="F46" s="78">
        <f>IF(MR!F46="","",MR!F46)</f>
        <v>59.6</v>
      </c>
      <c r="G46" s="380">
        <f>IF(MR!G46="","",MR!G46)</f>
        <v>226.5</v>
      </c>
      <c r="H46" s="171">
        <f t="shared" si="0"/>
        <v>1.2715712376312331</v>
      </c>
      <c r="I46" s="380">
        <f>IF(MR!I46="","",MR!I46)</f>
        <v>178.12607999999997</v>
      </c>
      <c r="J46" s="78">
        <f>IF(MR!J46="","",MR!J46)</f>
        <v>90</v>
      </c>
      <c r="K46" s="79">
        <f>IF(MR!K46="","",MR!K46)</f>
        <v>1944</v>
      </c>
      <c r="L46" s="78" t="str">
        <f>IF(MR!L46="","",MR!L46)</f>
        <v/>
      </c>
      <c r="M46" s="80">
        <f>IF(MR!M46="","",MR!M46)</f>
        <v>1</v>
      </c>
      <c r="N46" s="80">
        <f>IF(MR!N46="","",MR!N46)</f>
        <v>0</v>
      </c>
      <c r="O46" s="80">
        <f>IF(MR!O46="","",MR!O46)</f>
        <v>0</v>
      </c>
      <c r="P46" s="59">
        <f t="shared" si="1"/>
        <v>1</v>
      </c>
      <c r="Q46" s="360">
        <f>IF(MR!Q46="","",MR!Q46)</f>
        <v>1</v>
      </c>
      <c r="R46" s="81" t="str">
        <f>IF(MR!R46="","",MR!R46)</f>
        <v/>
      </c>
    </row>
    <row r="47" spans="1:18" s="132" customFormat="1" ht="20.100000000000001" customHeight="1" thickBot="1" x14ac:dyDescent="0.25">
      <c r="A47" s="156" t="s">
        <v>84</v>
      </c>
      <c r="B47" s="358">
        <f t="shared" si="2"/>
        <v>45838</v>
      </c>
      <c r="C47" s="78" t="str">
        <f>IF(MR!C47="","",MR!C47)</f>
        <v/>
      </c>
      <c r="D47" s="78" t="str">
        <f>IF(MR!D47="","",MR!D47)</f>
        <v/>
      </c>
      <c r="E47" s="78">
        <f>IF(MR!E47="","",MR!E47)</f>
        <v>7.2</v>
      </c>
      <c r="F47" s="78">
        <f>IF(MR!F47="","",MR!F47)</f>
        <v>63</v>
      </c>
      <c r="G47" s="380">
        <f>IF(MR!G47="","",MR!G47)</f>
        <v>227.5</v>
      </c>
      <c r="H47" s="171">
        <f t="shared" si="0"/>
        <v>1.2191227032264149</v>
      </c>
      <c r="I47" s="380">
        <f>IF(MR!I47="","",MR!I47)</f>
        <v>186.6096</v>
      </c>
      <c r="J47" s="78">
        <f>IF(MR!J47="","",MR!J47)</f>
        <v>88</v>
      </c>
      <c r="K47" s="79">
        <f>IF(MR!K47="","",MR!K47)</f>
        <v>1950</v>
      </c>
      <c r="L47" s="78" t="str">
        <f>IF(MR!L47="","",MR!L47)</f>
        <v/>
      </c>
      <c r="M47" s="80">
        <f>IF(MR!M47="","",MR!M47)</f>
        <v>1</v>
      </c>
      <c r="N47" s="80">
        <f>IF(MR!N47="","",MR!N47)</f>
        <v>0</v>
      </c>
      <c r="O47" s="80">
        <f>IF(MR!O47="","",MR!O47)</f>
        <v>0</v>
      </c>
      <c r="P47" s="59">
        <f t="shared" si="1"/>
        <v>1</v>
      </c>
      <c r="Q47" s="360">
        <f>IF(MR!Q47="","",MR!Q47)</f>
        <v>1</v>
      </c>
      <c r="R47" s="81" t="str">
        <f>IF(MR!R47="","",MR!R47)</f>
        <v/>
      </c>
    </row>
    <row r="48" spans="1:18" s="132" customFormat="1" ht="20.100000000000001" customHeight="1" x14ac:dyDescent="0.2">
      <c r="B48" s="154" t="s">
        <v>53</v>
      </c>
      <c r="C48" s="173" t="str">
        <f t="shared" ref="C48:M48" si="3">IFERROR(AVERAGE(C18:C47),"")</f>
        <v/>
      </c>
      <c r="D48" s="173" t="str">
        <f t="shared" si="3"/>
        <v/>
      </c>
      <c r="E48" s="173">
        <f t="shared" si="3"/>
        <v>6.9066666666666663</v>
      </c>
      <c r="F48" s="173">
        <f t="shared" si="3"/>
        <v>61.99666666666667</v>
      </c>
      <c r="G48" s="376">
        <f t="shared" si="3"/>
        <v>221.23333333333341</v>
      </c>
      <c r="H48" s="174">
        <f t="shared" si="3"/>
        <v>1.2057264943591024</v>
      </c>
      <c r="I48" s="376">
        <f t="shared" si="3"/>
        <v>183.53665866666668</v>
      </c>
      <c r="J48" s="173">
        <f t="shared" si="3"/>
        <v>88.166666666666671</v>
      </c>
      <c r="K48" s="175">
        <f t="shared" si="3"/>
        <v>1946.7666666666667</v>
      </c>
      <c r="L48" s="173" t="str">
        <f t="shared" si="3"/>
        <v/>
      </c>
      <c r="M48" s="176">
        <f t="shared" si="3"/>
        <v>0.99722222222222223</v>
      </c>
      <c r="N48" s="177"/>
      <c r="O48" s="177"/>
      <c r="P48" s="60">
        <f>IFERROR(AVERAGE(P18:P47),"")</f>
        <v>0.99722222222222223</v>
      </c>
      <c r="Q48" s="178">
        <f>IFERROR(AVERAGE(Q18:Q47),"")</f>
        <v>0.99722222222222223</v>
      </c>
      <c r="R48" s="179"/>
    </row>
    <row r="49" spans="2:18" s="132" customFormat="1" ht="20.100000000000001" customHeight="1" thickBot="1" x14ac:dyDescent="0.25">
      <c r="B49" s="155" t="s">
        <v>54</v>
      </c>
      <c r="C49" s="455"/>
      <c r="D49" s="455"/>
      <c r="E49" s="455"/>
      <c r="F49" s="455"/>
      <c r="G49" s="377">
        <f>IF(COUNT(G18:G47)=0,"",SUM(G18:G47))</f>
        <v>6637.0000000000018</v>
      </c>
      <c r="H49" s="181"/>
      <c r="I49" s="378"/>
      <c r="J49" s="455"/>
      <c r="K49" s="182"/>
      <c r="L49" s="180" t="str">
        <f>IF(COUNT(L18:L47)=0,"",SUM(L18:L47))</f>
        <v/>
      </c>
      <c r="M49" s="183">
        <f>IF(COUNT(M18:M47)=0,"",SUM(M18:M47))</f>
        <v>29.916666666666668</v>
      </c>
      <c r="N49" s="183">
        <f>IF(COUNT(N18:N47)=0,"",SUM(N18:N47))</f>
        <v>0</v>
      </c>
      <c r="O49" s="183">
        <f>IF(COUNT(O18:O47)=0,"",SUM(O18:O47))</f>
        <v>8.333333333333337E-2</v>
      </c>
      <c r="P49" s="184"/>
      <c r="Q49" s="185"/>
      <c r="R49" s="186"/>
    </row>
    <row r="50" spans="2:18" s="132" customFormat="1" ht="20.100000000000001" customHeight="1" x14ac:dyDescent="0.2">
      <c r="B50" s="133"/>
      <c r="C50" s="187"/>
      <c r="D50" s="187"/>
      <c r="E50" s="187" t="str">
        <f>IF(MR!E50="","",MR!E50)</f>
        <v>Reported &amp; Prepared by</v>
      </c>
      <c r="F50" s="134"/>
      <c r="G50" s="134"/>
      <c r="H50" s="134"/>
      <c r="I50" s="134"/>
      <c r="J50" s="134"/>
      <c r="K50" s="134"/>
      <c r="L50" s="134"/>
      <c r="M50" s="68" t="str">
        <f>IF(MR!M50="","",MR!M50)</f>
        <v>Reviewed by</v>
      </c>
      <c r="N50" s="86"/>
      <c r="O50" s="86"/>
      <c r="P50" s="86"/>
      <c r="Q50" s="86"/>
      <c r="R50" s="66" t="str">
        <f>IF(MR!R50="","",MR!R50)</f>
        <v>Approved by</v>
      </c>
    </row>
    <row r="51" spans="2:18" s="132" customFormat="1" ht="20.100000000000001" customHeight="1" x14ac:dyDescent="0.2">
      <c r="B51" s="137"/>
      <c r="C51" s="188"/>
      <c r="D51" s="188"/>
      <c r="E51" s="188" t="str">
        <f>IF(MR!E51="","",MR!E51)</f>
        <v>PT SINERCO Tbk</v>
      </c>
      <c r="F51" s="138"/>
      <c r="G51" s="138"/>
      <c r="H51" s="138"/>
      <c r="I51" s="138"/>
      <c r="J51" s="138"/>
      <c r="K51" s="138"/>
      <c r="L51" s="138"/>
      <c r="M51" s="64" t="str">
        <f>IF(MR!M51="","",MR!M51)</f>
        <v>PT PERTAMINA EP Zona 7 - TAMBUN</v>
      </c>
      <c r="N51" s="65"/>
      <c r="O51" s="65"/>
      <c r="P51" s="65"/>
      <c r="Q51" s="65"/>
      <c r="R51" s="67" t="str">
        <f>IF(MR!R51="","",MR!R51)</f>
        <v>PT PERTAMINA EP Zona 7 - TAMBUN</v>
      </c>
    </row>
    <row r="52" spans="2:18" s="132" customFormat="1" ht="20.100000000000001" customHeight="1" x14ac:dyDescent="0.2">
      <c r="B52" s="137"/>
      <c r="C52" s="138"/>
      <c r="D52" s="138"/>
      <c r="E52" s="138"/>
      <c r="F52" s="138"/>
      <c r="G52" s="138"/>
      <c r="H52" s="138"/>
      <c r="I52" s="138"/>
      <c r="J52" s="138"/>
      <c r="K52" s="138"/>
      <c r="L52" s="138"/>
      <c r="M52" s="65"/>
      <c r="N52" s="65"/>
      <c r="O52" s="65"/>
      <c r="P52" s="65"/>
      <c r="Q52" s="65"/>
      <c r="R52" s="69"/>
    </row>
    <row r="53" spans="2:18" s="132" customFormat="1" ht="20.100000000000001" customHeight="1" x14ac:dyDescent="0.2">
      <c r="B53" s="137"/>
      <c r="C53" s="138"/>
      <c r="D53" s="138"/>
      <c r="E53" s="138"/>
      <c r="F53" s="138"/>
      <c r="G53" s="138"/>
      <c r="H53" s="138"/>
      <c r="I53" s="138"/>
      <c r="J53" s="138"/>
      <c r="K53" s="138"/>
      <c r="L53" s="138"/>
      <c r="M53" s="65"/>
      <c r="N53" s="65"/>
      <c r="O53" s="65"/>
      <c r="P53" s="65"/>
      <c r="Q53" s="65"/>
      <c r="R53" s="69"/>
    </row>
    <row r="54" spans="2:18" s="132" customFormat="1" ht="20.100000000000001" customHeight="1" x14ac:dyDescent="0.2">
      <c r="B54" s="137"/>
      <c r="C54" s="138"/>
      <c r="D54" s="138"/>
      <c r="E54" s="138"/>
      <c r="F54" s="138"/>
      <c r="G54" s="138"/>
      <c r="H54" s="138"/>
      <c r="I54" s="138"/>
      <c r="J54" s="138"/>
      <c r="K54" s="138"/>
      <c r="L54" s="138"/>
      <c r="M54" s="65"/>
      <c r="N54" s="65"/>
      <c r="O54" s="65"/>
      <c r="P54" s="65"/>
      <c r="Q54" s="65"/>
      <c r="R54" s="69"/>
    </row>
    <row r="55" spans="2:18" s="132" customFormat="1" ht="20.100000000000001" customHeight="1" x14ac:dyDescent="0.2">
      <c r="B55" s="137"/>
      <c r="C55" s="138"/>
      <c r="D55" s="138"/>
      <c r="E55" s="138"/>
      <c r="F55" s="138"/>
      <c r="G55" s="138"/>
      <c r="H55" s="138"/>
      <c r="I55" s="138"/>
      <c r="J55" s="138"/>
      <c r="K55" s="138"/>
      <c r="L55" s="138"/>
      <c r="M55" s="65"/>
      <c r="N55" s="65"/>
      <c r="O55" s="65"/>
      <c r="P55" s="65"/>
      <c r="Q55" s="65"/>
      <c r="R55" s="69"/>
    </row>
    <row r="56" spans="2:18" s="132" customFormat="1" ht="20.100000000000001" customHeight="1" x14ac:dyDescent="0.2">
      <c r="B56" s="137"/>
      <c r="C56" s="138"/>
      <c r="D56" s="138"/>
      <c r="E56" s="138"/>
      <c r="F56" s="138"/>
      <c r="G56" s="138"/>
      <c r="H56" s="138"/>
      <c r="I56" s="138"/>
      <c r="J56" s="138"/>
      <c r="K56" s="138"/>
      <c r="L56" s="138"/>
      <c r="M56" s="65"/>
      <c r="N56" s="65"/>
      <c r="O56" s="65"/>
      <c r="P56" s="65"/>
      <c r="Q56" s="65"/>
      <c r="R56" s="69"/>
    </row>
    <row r="57" spans="2:18" s="132" customFormat="1" ht="20.100000000000001" customHeight="1" x14ac:dyDescent="0.2">
      <c r="B57" s="137"/>
      <c r="C57" s="138"/>
      <c r="D57" s="138"/>
      <c r="E57" s="65" t="str">
        <f>IF(MR!E57="","",MR!E57)</f>
        <v>MARIHOT GUSTAFA SITORUS</v>
      </c>
      <c r="F57" s="65"/>
      <c r="G57" s="138"/>
      <c r="H57" s="138"/>
      <c r="I57" s="138"/>
      <c r="J57" s="138"/>
      <c r="K57" s="138"/>
      <c r="L57" s="138"/>
      <c r="M57" s="65" t="str">
        <f>IF(MR!M57="","",MR!M57)</f>
        <v>YOAN PURNAMA</v>
      </c>
      <c r="N57" s="65"/>
      <c r="O57" s="65"/>
      <c r="P57" s="65"/>
      <c r="Q57" s="65"/>
      <c r="R57" s="69" t="str">
        <f>IF(MR!R57="","",MR!R57)</f>
        <v>AFIAT REZA ROZALI</v>
      </c>
    </row>
    <row r="58" spans="2:18" s="132" customFormat="1" ht="20.100000000000001" customHeight="1" x14ac:dyDescent="0.2">
      <c r="B58" s="137"/>
      <c r="C58" s="188"/>
      <c r="D58" s="188"/>
      <c r="E58" s="64" t="str">
        <f>IF(MR!E58="","",MR!E58)</f>
        <v>FIELD SERVICE LEAD</v>
      </c>
      <c r="F58" s="65"/>
      <c r="G58" s="138"/>
      <c r="H58" s="138"/>
      <c r="I58" s="138"/>
      <c r="J58" s="138"/>
      <c r="K58" s="138"/>
      <c r="L58" s="138"/>
      <c r="M58" s="64" t="str">
        <f>IF(MR!M58="","",MR!M58)</f>
        <v>PROD. SENIOR SUPERVISOR</v>
      </c>
      <c r="N58" s="65"/>
      <c r="O58" s="65"/>
      <c r="P58" s="65"/>
      <c r="Q58" s="65"/>
      <c r="R58" s="67" t="str">
        <f>IF(MR!R58="","",MR!R58)</f>
        <v>PROD. OPERATION ASST. MAN.</v>
      </c>
    </row>
    <row r="59" spans="2:18" s="132" customFormat="1" ht="20.100000000000001" customHeight="1" thickBot="1" x14ac:dyDescent="0.25">
      <c r="B59" s="145"/>
      <c r="C59" s="189"/>
      <c r="D59" s="189"/>
      <c r="E59" s="83" t="str">
        <f>IF(MR!E59="","",MR!E59)</f>
        <v>Date : 1 Jul 2025</v>
      </c>
      <c r="F59" s="89"/>
      <c r="G59" s="146"/>
      <c r="H59" s="146"/>
      <c r="I59" s="146"/>
      <c r="J59" s="146"/>
      <c r="K59" s="146"/>
      <c r="L59" s="146"/>
      <c r="M59" s="83" t="str">
        <f>IF(MR!M59="","",MR!M59)</f>
        <v>Date : 1 Jul 2025</v>
      </c>
      <c r="N59" s="89"/>
      <c r="O59" s="89"/>
      <c r="P59" s="89"/>
      <c r="Q59" s="89"/>
      <c r="R59" s="84" t="str">
        <f>IF(MR!R59="","",MR!R59)</f>
        <v>Date : 1 Jul 2025</v>
      </c>
    </row>
    <row r="60" spans="2:18" ht="20.100000000000001" customHeight="1" x14ac:dyDescent="0.2"/>
  </sheetData>
  <sheetProtection algorithmName="SHA-512" hashValue="tKgitS0+7DIqL0Mz7gMmofl46TSVpxIUS+GfqaUHSVCAnE8S+eXVH1gwskgRrNuClRG0RKqHJVE/ElVvM2tW0Q==" saltValue="gqCoSKPmBHaGoZa7GxpBQw==" spinCount="100000" sheet="1" objects="1" scenarios="1" formatColumns="0" formatRows="0" insertColumns="0" insertRows="0" sort="0" autoFilter="0" pivotTables="0"/>
  <mergeCells count="6">
    <mergeCell ref="B8:R8"/>
    <mergeCell ref="B9:R9"/>
    <mergeCell ref="F10:G10"/>
    <mergeCell ref="B16:B17"/>
    <mergeCell ref="M16:O16"/>
    <mergeCell ref="R16:R17"/>
  </mergeCells>
  <printOptions horizontalCentered="1"/>
  <pageMargins left="0.59055118110236227" right="0.59055118110236227" top="0.59055118110236227" bottom="0.59055118110236227" header="0.31496062992125984" footer="0.31496062992125984"/>
  <pageSetup paperSize="9" scale="5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A97E9-913C-40DC-8035-D43E6C5F44AB}">
  <dimension ref="A1:I3"/>
  <sheetViews>
    <sheetView workbookViewId="0">
      <selection activeCell="E3" sqref="E3"/>
    </sheetView>
  </sheetViews>
  <sheetFormatPr defaultColWidth="8.85546875" defaultRowHeight="15" x14ac:dyDescent="0.25"/>
  <cols>
    <col min="1" max="1" width="5.7109375" style="469" customWidth="1"/>
    <col min="2" max="2" width="22.7109375" style="469" customWidth="1"/>
    <col min="3" max="3" width="29.85546875" style="469" bestFit="1" customWidth="1"/>
    <col min="4" max="5" width="11.7109375" style="470" customWidth="1"/>
    <col min="6" max="8" width="11.7109375" style="469" customWidth="1"/>
    <col min="9" max="9" width="8.7109375" style="469" customWidth="1"/>
  </cols>
  <sheetData>
    <row r="1" spans="1:9" x14ac:dyDescent="0.25">
      <c r="A1" s="463"/>
      <c r="B1" s="463"/>
      <c r="C1" s="463"/>
      <c r="D1" s="99"/>
      <c r="E1" s="99"/>
      <c r="F1" s="463"/>
      <c r="G1" s="463"/>
      <c r="H1" s="463"/>
      <c r="I1" s="463"/>
    </row>
    <row r="2" spans="1:9" ht="38.25" x14ac:dyDescent="0.25">
      <c r="A2" s="319" t="s">
        <v>344</v>
      </c>
      <c r="B2" s="319" t="s">
        <v>345</v>
      </c>
      <c r="C2" s="319" t="s">
        <v>263</v>
      </c>
      <c r="D2" s="464" t="s">
        <v>346</v>
      </c>
      <c r="E2" s="464" t="s">
        <v>347</v>
      </c>
      <c r="F2" s="319" t="s">
        <v>348</v>
      </c>
      <c r="G2" s="319" t="s">
        <v>349</v>
      </c>
      <c r="H2" s="319" t="s">
        <v>268</v>
      </c>
      <c r="I2" s="319" t="s">
        <v>350</v>
      </c>
    </row>
    <row r="3" spans="1:9" x14ac:dyDescent="0.25">
      <c r="A3" s="465">
        <v>1</v>
      </c>
      <c r="B3" s="465" t="str">
        <f>MR!F14</f>
        <v>MPR 632  RFD</v>
      </c>
      <c r="C3" s="465" t="str">
        <f>MR!R11</f>
        <v>SP. Tambun - Cluster F</v>
      </c>
      <c r="D3" s="466">
        <f>Volume!K36</f>
        <v>201.96459999999999</v>
      </c>
      <c r="E3" s="466">
        <f>Volume!K34</f>
        <v>231.60053666666661</v>
      </c>
      <c r="F3" s="467">
        <f>MR!P48</f>
        <v>0.99722222222222223</v>
      </c>
      <c r="G3" s="468">
        <f>Volume!O36</f>
        <v>1.1036838023390831</v>
      </c>
      <c r="H3" s="468">
        <f>Volume!O34</f>
        <v>1.2622782517096296</v>
      </c>
      <c r="I3" s="465">
        <f>COUNT(MR!P18:P47)</f>
        <v>30</v>
      </c>
    </row>
  </sheetData>
  <sheetProtection algorithmName="SHA-512" hashValue="4QH8nwS5Jo+ogRUA6rxBpTwl+v6kKn3M1zscVAFGQz3if7Knc2mYi7iRC5oOOZPPysOzKgq29MSlgOCqii8ibA==" saltValue="557V8PqGaRLeXctTXmPkrQ==" spinCount="100000" sheet="1" objects="1" scenarios="1" formatColumns="0" formatRows="0" insertColumns="0" insertRows="0" sort="0" autoFilter="0" pivotTables="0"/>
  <conditionalFormatting sqref="G3">
    <cfRule type="cellIs" dxfId="188" priority="1" operator="lessThan">
      <formula>0.9</formula>
    </cfRule>
  </conditionalFormatting>
  <conditionalFormatting sqref="F3">
    <cfRule type="cellIs" dxfId="187" priority="2" operator="lessThan">
      <formula>0.95</formula>
    </cfRule>
  </conditionalFormatting>
  <conditionalFormatting sqref="H3">
    <cfRule type="cellIs" dxfId="186" priority="3" operator="lessThan">
      <formula>0.9</formula>
    </cfRule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MR">
    <tabColor theme="1"/>
    <pageSetUpPr fitToPage="1"/>
  </sheetPr>
  <dimension ref="A1:BX63"/>
  <sheetViews>
    <sheetView zoomScale="85" zoomScaleNormal="85" workbookViewId="0">
      <selection activeCell="N39" sqref="N39"/>
    </sheetView>
  </sheetViews>
  <sheetFormatPr defaultColWidth="0" defaultRowHeight="0" customHeight="1" zeroHeight="1" x14ac:dyDescent="0.2"/>
  <cols>
    <col min="1" max="1" width="9.7109375" style="136" customWidth="1"/>
    <col min="2" max="2" width="11.7109375" style="136" customWidth="1"/>
    <col min="3" max="3" width="10.7109375" style="136" hidden="1" customWidth="1"/>
    <col min="4" max="4" width="12.7109375" style="136" hidden="1" customWidth="1"/>
    <col min="5" max="6" width="10.7109375" style="136" customWidth="1"/>
    <col min="7" max="7" width="12.7109375" style="136" customWidth="1"/>
    <col min="8" max="8" width="10.7109375" style="136" customWidth="1"/>
    <col min="9" max="9" width="12.7109375" style="136" customWidth="1"/>
    <col min="10" max="11" width="10.7109375" style="136" hidden="1" customWidth="1"/>
    <col min="12" max="12" width="12.7109375" style="136" hidden="1" customWidth="1"/>
    <col min="13" max="15" width="9.7109375" style="136" customWidth="1"/>
    <col min="16" max="16" width="12.7109375" style="136" customWidth="1"/>
    <col min="17" max="17" width="10.7109375" style="136" hidden="1" customWidth="1"/>
    <col min="18" max="18" width="50.7109375" style="136" customWidth="1"/>
    <col min="19" max="19" width="2.7109375" style="136" customWidth="1"/>
    <col min="20" max="20" width="11.7109375" style="136" customWidth="1"/>
    <col min="21" max="21" width="15.7109375" style="136" customWidth="1"/>
    <col min="22" max="35" width="10.7109375" style="136" customWidth="1"/>
    <col min="36" max="36" width="11.7109375" style="136" customWidth="1"/>
    <col min="37" max="57" width="10.7109375" style="136" customWidth="1"/>
    <col min="58" max="58" width="11.7109375" style="136" customWidth="1"/>
    <col min="59" max="76" width="10.7109375" style="136" customWidth="1"/>
    <col min="77" max="16384" width="10.7109375" style="136" hidden="1"/>
  </cols>
  <sheetData>
    <row r="1" spans="1:76" ht="5.0999999999999996" customHeight="1" x14ac:dyDescent="0.2">
      <c r="A1" s="132"/>
      <c r="B1" s="133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5"/>
    </row>
    <row r="2" spans="1:76" ht="24.95" customHeight="1" x14ac:dyDescent="0.2">
      <c r="A2" s="132"/>
      <c r="B2" s="137"/>
      <c r="C2" s="138"/>
      <c r="D2" s="138"/>
      <c r="E2" s="138"/>
      <c r="F2" s="138"/>
      <c r="G2" s="138"/>
      <c r="H2" s="139" t="s">
        <v>210</v>
      </c>
      <c r="I2" s="140"/>
      <c r="J2" s="138"/>
      <c r="K2" s="138"/>
      <c r="L2" s="138"/>
      <c r="M2" s="138"/>
      <c r="N2" s="138"/>
      <c r="O2" s="138"/>
      <c r="P2" s="138"/>
      <c r="Q2" s="138"/>
      <c r="R2" s="141"/>
    </row>
    <row r="3" spans="1:76" ht="15" customHeight="1" x14ac:dyDescent="0.2">
      <c r="A3" s="132"/>
      <c r="B3" s="137"/>
      <c r="C3" s="138"/>
      <c r="D3" s="138"/>
      <c r="E3" s="138"/>
      <c r="F3" s="138"/>
      <c r="G3" s="138"/>
      <c r="H3" s="142" t="s">
        <v>129</v>
      </c>
      <c r="I3" s="143"/>
      <c r="J3" s="138"/>
      <c r="K3" s="138"/>
      <c r="L3" s="138"/>
      <c r="M3" s="138"/>
      <c r="N3" s="138"/>
      <c r="O3" s="138"/>
      <c r="P3" s="138"/>
      <c r="Q3" s="138"/>
      <c r="R3" s="141"/>
    </row>
    <row r="4" spans="1:76" ht="15" customHeight="1" x14ac:dyDescent="0.2">
      <c r="A4" s="132"/>
      <c r="B4" s="137"/>
      <c r="C4" s="138"/>
      <c r="D4" s="138"/>
      <c r="E4" s="138"/>
      <c r="F4" s="138"/>
      <c r="G4" s="138"/>
      <c r="H4" s="142" t="s">
        <v>132</v>
      </c>
      <c r="I4" s="143"/>
      <c r="J4" s="138"/>
      <c r="K4" s="138"/>
      <c r="L4" s="138"/>
      <c r="M4" s="138"/>
      <c r="N4" s="138"/>
      <c r="O4" s="138"/>
      <c r="P4" s="138"/>
      <c r="Q4" s="138"/>
      <c r="R4" s="141"/>
    </row>
    <row r="5" spans="1:76" ht="15" customHeight="1" x14ac:dyDescent="0.2">
      <c r="A5" s="132"/>
      <c r="B5" s="137"/>
      <c r="C5" s="138"/>
      <c r="D5" s="138"/>
      <c r="E5" s="138"/>
      <c r="F5" s="138"/>
      <c r="G5" s="138"/>
      <c r="H5" s="142" t="s">
        <v>130</v>
      </c>
      <c r="I5" s="143"/>
      <c r="J5" s="138"/>
      <c r="K5" s="138"/>
      <c r="L5" s="138"/>
      <c r="M5" s="138"/>
      <c r="N5" s="138"/>
      <c r="O5" s="138"/>
      <c r="P5" s="138"/>
      <c r="Q5" s="138"/>
      <c r="R5" s="141"/>
    </row>
    <row r="6" spans="1:76" ht="15" customHeight="1" x14ac:dyDescent="0.2">
      <c r="A6" s="132"/>
      <c r="B6" s="137"/>
      <c r="C6" s="138"/>
      <c r="D6" s="138"/>
      <c r="E6" s="138"/>
      <c r="F6" s="138"/>
      <c r="G6" s="138"/>
      <c r="H6" s="142" t="s">
        <v>131</v>
      </c>
      <c r="I6" s="144"/>
      <c r="J6" s="138"/>
      <c r="K6" s="138"/>
      <c r="L6" s="138"/>
      <c r="M6" s="138"/>
      <c r="N6" s="138"/>
      <c r="O6" s="138"/>
      <c r="P6" s="138"/>
      <c r="Q6" s="138"/>
      <c r="R6" s="141"/>
    </row>
    <row r="7" spans="1:76" ht="5.0999999999999996" customHeight="1" thickBot="1" x14ac:dyDescent="0.25">
      <c r="A7" s="132"/>
      <c r="B7" s="145"/>
      <c r="C7" s="146"/>
      <c r="D7" s="146"/>
      <c r="E7" s="146"/>
      <c r="F7" s="146"/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46"/>
      <c r="R7" s="147"/>
    </row>
    <row r="8" spans="1:76" ht="20.100000000000001" customHeight="1" x14ac:dyDescent="0.2">
      <c r="A8" s="132"/>
      <c r="B8" s="473" t="s">
        <v>38</v>
      </c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74"/>
      <c r="R8" s="475"/>
    </row>
    <row r="9" spans="1:76" ht="20.100000000000001" customHeight="1" thickBot="1" x14ac:dyDescent="0.25">
      <c r="A9" s="132"/>
      <c r="B9" s="476" t="s">
        <v>39</v>
      </c>
      <c r="C9" s="477"/>
      <c r="D9" s="477"/>
      <c r="E9" s="477"/>
      <c r="F9" s="477"/>
      <c r="G9" s="477"/>
      <c r="H9" s="477"/>
      <c r="I9" s="477"/>
      <c r="J9" s="477"/>
      <c r="K9" s="477"/>
      <c r="L9" s="477"/>
      <c r="M9" s="477"/>
      <c r="N9" s="477"/>
      <c r="O9" s="477"/>
      <c r="P9" s="477"/>
      <c r="Q9" s="477"/>
      <c r="R9" s="478"/>
    </row>
    <row r="10" spans="1:76" s="132" customFormat="1" ht="20.100000000000001" customHeight="1" x14ac:dyDescent="0.25">
      <c r="B10" s="85"/>
      <c r="C10" s="86"/>
      <c r="D10" s="86"/>
      <c r="E10" s="348" t="s">
        <v>50</v>
      </c>
      <c r="F10" s="479">
        <v>45839</v>
      </c>
      <c r="G10" s="479"/>
      <c r="H10" s="86"/>
      <c r="I10" s="86"/>
      <c r="J10" s="70"/>
      <c r="K10" s="70"/>
      <c r="L10" s="70"/>
      <c r="M10" s="86"/>
      <c r="N10" s="86"/>
      <c r="O10" s="86"/>
      <c r="P10" s="348" t="s">
        <v>118</v>
      </c>
      <c r="Q10" s="86"/>
      <c r="R10" s="150" t="str">
        <f>CONCATENATE("1 - ",TEXT(EOMONTH($F$10,-1),"[$-409]d mmmm yyyy;@"))</f>
        <v>1 - 30 June 2025</v>
      </c>
      <c r="BC10" s="302"/>
      <c r="BD10" s="302"/>
      <c r="BE10" s="302"/>
    </row>
    <row r="11" spans="1:76" s="132" customFormat="1" ht="20.100000000000001" customHeight="1" x14ac:dyDescent="0.25">
      <c r="B11" s="87"/>
      <c r="C11" s="65"/>
      <c r="D11" s="65"/>
      <c r="E11" s="349" t="s">
        <v>95</v>
      </c>
      <c r="F11" s="73" t="s">
        <v>357</v>
      </c>
      <c r="G11" s="65"/>
      <c r="H11" s="65"/>
      <c r="I11" s="65"/>
      <c r="J11" s="65"/>
      <c r="K11" s="65"/>
      <c r="L11" s="65"/>
      <c r="M11" s="65"/>
      <c r="N11" s="65"/>
      <c r="O11" s="65"/>
      <c r="P11" s="349" t="s">
        <v>116</v>
      </c>
      <c r="Q11" s="65"/>
      <c r="R11" s="67" t="str">
        <f>IF(Volume!D34="","",Volume!D34)</f>
        <v>SP. Tambun - Cluster F</v>
      </c>
      <c r="BC11" s="302"/>
      <c r="BD11" s="302"/>
      <c r="BE11" s="302"/>
    </row>
    <row r="12" spans="1:76" s="132" customFormat="1" ht="20.100000000000001" customHeight="1" x14ac:dyDescent="0.25">
      <c r="B12" s="87"/>
      <c r="C12" s="65"/>
      <c r="D12" s="65"/>
      <c r="E12" s="349" t="s">
        <v>52</v>
      </c>
      <c r="F12" s="73" t="s">
        <v>293</v>
      </c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9"/>
      <c r="BC12" s="302"/>
      <c r="BD12" s="302"/>
      <c r="BE12" s="302"/>
    </row>
    <row r="13" spans="1:76" s="132" customFormat="1" ht="20.100000000000001" customHeight="1" x14ac:dyDescent="0.2">
      <c r="B13" s="87"/>
      <c r="C13" s="65"/>
      <c r="D13" s="65"/>
      <c r="E13" s="349" t="s">
        <v>96</v>
      </c>
      <c r="F13" s="73" t="s">
        <v>351</v>
      </c>
      <c r="G13" s="65"/>
      <c r="H13" s="65"/>
      <c r="I13" s="65"/>
      <c r="J13" s="65"/>
      <c r="K13" s="65"/>
      <c r="L13" s="65"/>
      <c r="M13" s="65"/>
      <c r="N13" s="65"/>
      <c r="O13" s="65"/>
      <c r="P13" s="349" t="s">
        <v>117</v>
      </c>
      <c r="Q13" s="65"/>
      <c r="R13" s="67" t="s">
        <v>269</v>
      </c>
      <c r="T13" s="132" t="s">
        <v>273</v>
      </c>
      <c r="U13" s="370" t="s">
        <v>343</v>
      </c>
    </row>
    <row r="14" spans="1:76" s="132" customFormat="1" ht="20.100000000000001" customHeight="1" thickBot="1" x14ac:dyDescent="0.25">
      <c r="B14" s="87"/>
      <c r="C14" s="65"/>
      <c r="D14" s="65"/>
      <c r="E14" s="349" t="s">
        <v>113</v>
      </c>
      <c r="F14" s="73" t="s">
        <v>355</v>
      </c>
      <c r="G14" s="65"/>
      <c r="H14" s="65"/>
      <c r="I14" s="65"/>
      <c r="J14" s="65"/>
      <c r="K14" s="65"/>
      <c r="L14" s="65"/>
      <c r="M14" s="65"/>
      <c r="N14" s="65"/>
      <c r="O14" s="65"/>
      <c r="P14" s="65"/>
      <c r="Q14" s="65"/>
      <c r="R14" s="69"/>
    </row>
    <row r="15" spans="1:76" s="132" customFormat="1" ht="20.100000000000001" customHeight="1" thickBot="1" x14ac:dyDescent="0.25">
      <c r="B15" s="88"/>
      <c r="C15" s="89"/>
      <c r="D15" s="89"/>
      <c r="E15" s="350" t="s">
        <v>114</v>
      </c>
      <c r="F15" s="93" t="s">
        <v>354</v>
      </c>
      <c r="G15" s="89"/>
      <c r="H15" s="89"/>
      <c r="I15" s="89"/>
      <c r="J15" s="89"/>
      <c r="K15" s="89"/>
      <c r="L15" s="89"/>
      <c r="M15" s="89"/>
      <c r="N15" s="89"/>
      <c r="O15" s="89"/>
      <c r="P15" s="89"/>
      <c r="Q15" s="89"/>
      <c r="R15" s="351"/>
      <c r="T15" s="484" t="s">
        <v>40</v>
      </c>
      <c r="U15" s="154" t="s">
        <v>98</v>
      </c>
      <c r="V15" s="482" t="s">
        <v>103</v>
      </c>
      <c r="W15" s="154" t="s">
        <v>109</v>
      </c>
      <c r="X15" s="154" t="s">
        <v>109</v>
      </c>
      <c r="Y15" s="154" t="s">
        <v>109</v>
      </c>
      <c r="Z15" s="487" t="s">
        <v>214</v>
      </c>
      <c r="AA15" s="488"/>
      <c r="AB15" s="489"/>
      <c r="AC15" s="487" t="s">
        <v>217</v>
      </c>
      <c r="AD15" s="488"/>
      <c r="AE15" s="489"/>
      <c r="AF15" s="484" t="s">
        <v>40</v>
      </c>
      <c r="AG15" s="487" t="s">
        <v>41</v>
      </c>
      <c r="AH15" s="488"/>
      <c r="AI15" s="489"/>
      <c r="AJ15" s="487" t="s">
        <v>42</v>
      </c>
      <c r="AK15" s="488"/>
      <c r="AL15" s="489"/>
      <c r="AM15" s="487" t="s">
        <v>2</v>
      </c>
      <c r="AN15" s="488"/>
      <c r="AO15" s="489"/>
      <c r="AP15" s="490" t="s">
        <v>94</v>
      </c>
      <c r="AQ15" s="491"/>
      <c r="AR15" s="492"/>
      <c r="AS15" s="487" t="s">
        <v>35</v>
      </c>
      <c r="AT15" s="488"/>
      <c r="AU15" s="489"/>
      <c r="AV15" s="487" t="s">
        <v>36</v>
      </c>
      <c r="AW15" s="488"/>
      <c r="AX15" s="489"/>
      <c r="AY15" s="487" t="s">
        <v>15</v>
      </c>
      <c r="AZ15" s="488"/>
      <c r="BA15" s="489"/>
      <c r="BB15" s="484" t="s">
        <v>40</v>
      </c>
      <c r="BC15" s="487" t="s">
        <v>34</v>
      </c>
      <c r="BD15" s="488"/>
      <c r="BE15" s="489"/>
      <c r="BF15" s="487" t="s">
        <v>283</v>
      </c>
      <c r="BG15" s="488"/>
      <c r="BH15" s="489"/>
      <c r="BI15" s="487" t="s">
        <v>284</v>
      </c>
      <c r="BJ15" s="488"/>
      <c r="BK15" s="489"/>
      <c r="BL15" s="487" t="s">
        <v>6</v>
      </c>
      <c r="BM15" s="488"/>
      <c r="BN15" s="489"/>
      <c r="BO15" s="487" t="s">
        <v>115</v>
      </c>
      <c r="BP15" s="488"/>
      <c r="BQ15" s="489"/>
      <c r="BR15" s="487" t="s">
        <v>7</v>
      </c>
      <c r="BS15" s="488"/>
      <c r="BT15" s="489"/>
      <c r="BU15" s="487" t="s">
        <v>88</v>
      </c>
      <c r="BV15" s="488"/>
      <c r="BW15" s="489"/>
      <c r="BX15" s="484" t="s">
        <v>40</v>
      </c>
    </row>
    <row r="16" spans="1:76" s="132" customFormat="1" ht="20.100000000000001" customHeight="1" x14ac:dyDescent="0.2">
      <c r="B16" s="480" t="s">
        <v>40</v>
      </c>
      <c r="C16" s="154" t="s">
        <v>214</v>
      </c>
      <c r="D16" s="154" t="s">
        <v>285</v>
      </c>
      <c r="E16" s="154" t="s">
        <v>41</v>
      </c>
      <c r="F16" s="154" t="s">
        <v>42</v>
      </c>
      <c r="G16" s="154" t="s">
        <v>127</v>
      </c>
      <c r="H16" s="154" t="s">
        <v>108</v>
      </c>
      <c r="I16" s="154" t="s">
        <v>89</v>
      </c>
      <c r="J16" s="154" t="s">
        <v>43</v>
      </c>
      <c r="K16" s="154" t="s">
        <v>2</v>
      </c>
      <c r="L16" s="154" t="s">
        <v>88</v>
      </c>
      <c r="M16" s="480" t="s">
        <v>44</v>
      </c>
      <c r="N16" s="480"/>
      <c r="O16" s="480"/>
      <c r="P16" s="154" t="s">
        <v>45</v>
      </c>
      <c r="Q16" s="154" t="s">
        <v>47</v>
      </c>
      <c r="R16" s="480" t="s">
        <v>8</v>
      </c>
      <c r="T16" s="485"/>
      <c r="U16" s="303" t="s">
        <v>97</v>
      </c>
      <c r="V16" s="483"/>
      <c r="W16" s="493" t="s">
        <v>112</v>
      </c>
      <c r="X16" s="493" t="s">
        <v>111</v>
      </c>
      <c r="Y16" s="493" t="s">
        <v>137</v>
      </c>
      <c r="Z16" s="381" t="s">
        <v>138</v>
      </c>
      <c r="AA16" s="382" t="s">
        <v>139</v>
      </c>
      <c r="AB16" s="383" t="s">
        <v>53</v>
      </c>
      <c r="AC16" s="381" t="s">
        <v>138</v>
      </c>
      <c r="AD16" s="382" t="s">
        <v>139</v>
      </c>
      <c r="AE16" s="383" t="s">
        <v>53</v>
      </c>
      <c r="AF16" s="485"/>
      <c r="AG16" s="381" t="s">
        <v>138</v>
      </c>
      <c r="AH16" s="382" t="s">
        <v>139</v>
      </c>
      <c r="AI16" s="383" t="s">
        <v>53</v>
      </c>
      <c r="AJ16" s="381" t="s">
        <v>138</v>
      </c>
      <c r="AK16" s="382" t="s">
        <v>139</v>
      </c>
      <c r="AL16" s="383" t="s">
        <v>53</v>
      </c>
      <c r="AM16" s="381" t="s">
        <v>138</v>
      </c>
      <c r="AN16" s="382" t="s">
        <v>139</v>
      </c>
      <c r="AO16" s="383" t="s">
        <v>53</v>
      </c>
      <c r="AP16" s="381" t="s">
        <v>138</v>
      </c>
      <c r="AQ16" s="382" t="s">
        <v>139</v>
      </c>
      <c r="AR16" s="383" t="s">
        <v>53</v>
      </c>
      <c r="AS16" s="381" t="s">
        <v>138</v>
      </c>
      <c r="AT16" s="382" t="s">
        <v>139</v>
      </c>
      <c r="AU16" s="383" t="s">
        <v>53</v>
      </c>
      <c r="AV16" s="381" t="s">
        <v>138</v>
      </c>
      <c r="AW16" s="382" t="s">
        <v>139</v>
      </c>
      <c r="AX16" s="383" t="s">
        <v>53</v>
      </c>
      <c r="AY16" s="381" t="s">
        <v>138</v>
      </c>
      <c r="AZ16" s="382" t="s">
        <v>139</v>
      </c>
      <c r="BA16" s="383" t="s">
        <v>53</v>
      </c>
      <c r="BB16" s="485"/>
      <c r="BC16" s="381" t="s">
        <v>138</v>
      </c>
      <c r="BD16" s="382" t="s">
        <v>139</v>
      </c>
      <c r="BE16" s="383" t="s">
        <v>53</v>
      </c>
      <c r="BF16" s="381" t="s">
        <v>138</v>
      </c>
      <c r="BG16" s="382" t="s">
        <v>139</v>
      </c>
      <c r="BH16" s="383" t="s">
        <v>53</v>
      </c>
      <c r="BI16" s="381" t="s">
        <v>138</v>
      </c>
      <c r="BJ16" s="382" t="s">
        <v>139</v>
      </c>
      <c r="BK16" s="383" t="s">
        <v>53</v>
      </c>
      <c r="BL16" s="381" t="s">
        <v>138</v>
      </c>
      <c r="BM16" s="382" t="s">
        <v>139</v>
      </c>
      <c r="BN16" s="383" t="s">
        <v>53</v>
      </c>
      <c r="BO16" s="381" t="s">
        <v>138</v>
      </c>
      <c r="BP16" s="382" t="s">
        <v>139</v>
      </c>
      <c r="BQ16" s="383" t="s">
        <v>53</v>
      </c>
      <c r="BR16" s="381" t="s">
        <v>138</v>
      </c>
      <c r="BS16" s="382" t="s">
        <v>139</v>
      </c>
      <c r="BT16" s="383" t="s">
        <v>53</v>
      </c>
      <c r="BU16" s="381" t="s">
        <v>138</v>
      </c>
      <c r="BV16" s="382" t="s">
        <v>139</v>
      </c>
      <c r="BW16" s="383" t="s">
        <v>53</v>
      </c>
      <c r="BX16" s="485"/>
    </row>
    <row r="17" spans="1:76" s="132" customFormat="1" ht="20.100000000000001" customHeight="1" thickBot="1" x14ac:dyDescent="0.25">
      <c r="B17" s="481"/>
      <c r="C17" s="155" t="s">
        <v>1</v>
      </c>
      <c r="D17" s="155" t="s">
        <v>1</v>
      </c>
      <c r="E17" s="155" t="s">
        <v>1</v>
      </c>
      <c r="F17" s="155" t="s">
        <v>1</v>
      </c>
      <c r="G17" s="155" t="str">
        <f>IF(IFERROR(AVERAGE(G18:G47),1)&lt;1,"MMSCF","MSCF")</f>
        <v>MSCF</v>
      </c>
      <c r="H17" s="155" t="s">
        <v>49</v>
      </c>
      <c r="I17" s="155" t="str">
        <f>IF(IFERROR(AVERAGE(I18:I47),1)&lt;1,"MMSCF","MSCF")</f>
        <v>MSCF</v>
      </c>
      <c r="J17" s="155" t="s">
        <v>5</v>
      </c>
      <c r="K17" s="155" t="s">
        <v>140</v>
      </c>
      <c r="L17" s="155" t="s">
        <v>46</v>
      </c>
      <c r="M17" s="155" t="s">
        <v>47</v>
      </c>
      <c r="N17" s="155" t="s">
        <v>51</v>
      </c>
      <c r="O17" s="155" t="s">
        <v>48</v>
      </c>
      <c r="P17" s="155" t="s">
        <v>49</v>
      </c>
      <c r="Q17" s="155" t="s">
        <v>49</v>
      </c>
      <c r="R17" s="481"/>
      <c r="T17" s="486"/>
      <c r="U17" s="461"/>
      <c r="V17" s="481"/>
      <c r="W17" s="494"/>
      <c r="X17" s="494"/>
      <c r="Y17" s="494"/>
      <c r="Z17" s="371" t="s">
        <v>1</v>
      </c>
      <c r="AA17" s="372" t="s">
        <v>1</v>
      </c>
      <c r="AB17" s="373" t="s">
        <v>1</v>
      </c>
      <c r="AC17" s="371" t="s">
        <v>1</v>
      </c>
      <c r="AD17" s="372" t="s">
        <v>1</v>
      </c>
      <c r="AE17" s="373" t="s">
        <v>1</v>
      </c>
      <c r="AF17" s="486"/>
      <c r="AG17" s="371" t="s">
        <v>1</v>
      </c>
      <c r="AH17" s="372" t="s">
        <v>1</v>
      </c>
      <c r="AI17" s="373" t="s">
        <v>1</v>
      </c>
      <c r="AJ17" s="371" t="s">
        <v>1</v>
      </c>
      <c r="AK17" s="372" t="s">
        <v>1</v>
      </c>
      <c r="AL17" s="373" t="s">
        <v>1</v>
      </c>
      <c r="AM17" s="371" t="s">
        <v>140</v>
      </c>
      <c r="AN17" s="372" t="s">
        <v>140</v>
      </c>
      <c r="AO17" s="373" t="s">
        <v>140</v>
      </c>
      <c r="AP17" s="371" t="s">
        <v>1</v>
      </c>
      <c r="AQ17" s="372" t="s">
        <v>1</v>
      </c>
      <c r="AR17" s="373" t="s">
        <v>1</v>
      </c>
      <c r="AS17" s="371" t="s">
        <v>1</v>
      </c>
      <c r="AT17" s="372" t="s">
        <v>1</v>
      </c>
      <c r="AU17" s="373" t="s">
        <v>1</v>
      </c>
      <c r="AV17" s="371" t="s">
        <v>1</v>
      </c>
      <c r="AW17" s="372" t="s">
        <v>1</v>
      </c>
      <c r="AX17" s="373" t="s">
        <v>1</v>
      </c>
      <c r="AY17" s="371" t="s">
        <v>9</v>
      </c>
      <c r="AZ17" s="372" t="s">
        <v>9</v>
      </c>
      <c r="BA17" s="373" t="s">
        <v>9</v>
      </c>
      <c r="BB17" s="486"/>
      <c r="BC17" s="371" t="s">
        <v>5</v>
      </c>
      <c r="BD17" s="372" t="s">
        <v>5</v>
      </c>
      <c r="BE17" s="373" t="s">
        <v>5</v>
      </c>
      <c r="BF17" s="371" t="s">
        <v>5</v>
      </c>
      <c r="BG17" s="372" t="s">
        <v>5</v>
      </c>
      <c r="BH17" s="373" t="s">
        <v>5</v>
      </c>
      <c r="BI17" s="371" t="s">
        <v>5</v>
      </c>
      <c r="BJ17" s="372" t="s">
        <v>5</v>
      </c>
      <c r="BK17" s="373" t="s">
        <v>5</v>
      </c>
      <c r="BL17" s="371"/>
      <c r="BM17" s="372"/>
      <c r="BN17" s="373"/>
      <c r="BO17" s="371"/>
      <c r="BP17" s="372"/>
      <c r="BQ17" s="373"/>
      <c r="BR17" s="371" t="str">
        <f>$G$17</f>
        <v>MSCF</v>
      </c>
      <c r="BS17" s="372" t="str">
        <f>$G$17</f>
        <v>MSCF</v>
      </c>
      <c r="BT17" s="373" t="str">
        <f>$G$17</f>
        <v>MSCF</v>
      </c>
      <c r="BU17" s="371" t="str">
        <f>$L$17</f>
        <v>BPD</v>
      </c>
      <c r="BV17" s="372" t="str">
        <f t="shared" ref="BV17:BW17" si="0">$L$17</f>
        <v>BPD</v>
      </c>
      <c r="BW17" s="373" t="str">
        <f t="shared" si="0"/>
        <v>BPD</v>
      </c>
      <c r="BX17" s="486"/>
    </row>
    <row r="18" spans="1:76" s="132" customFormat="1" ht="20.100000000000001" customHeight="1" x14ac:dyDescent="0.2">
      <c r="A18" s="156" t="s">
        <v>55</v>
      </c>
      <c r="B18" s="157">
        <f>DATE(YEAR(F10),MONTH(F10)-1,1)</f>
        <v>45809</v>
      </c>
      <c r="C18" s="158" t="str">
        <f>'Day 1'!$B$40</f>
        <v/>
      </c>
      <c r="D18" s="158" t="str">
        <f>'Day 1'!$C$40</f>
        <v/>
      </c>
      <c r="E18" s="158">
        <f>'Day 1'!$D$40</f>
        <v>7.4</v>
      </c>
      <c r="F18" s="158">
        <f>'Day 1'!$E$40</f>
        <v>59.1</v>
      </c>
      <c r="G18" s="374">
        <f>IF('Day 1'!$M$49="","",'Day 1'!$M$49)</f>
        <v>217.4</v>
      </c>
      <c r="H18" s="159">
        <f t="shared" ref="H18:H23" si="1">IF(OR(G18="",I18=""),"",(G18/I18))</f>
        <v>1.1382732928204382</v>
      </c>
      <c r="I18" s="374">
        <f>Volume!P4</f>
        <v>190.99104</v>
      </c>
      <c r="J18" s="158">
        <f>'Day 1'!$N$40</f>
        <v>90</v>
      </c>
      <c r="K18" s="160">
        <f>'Day 1'!$F$40</f>
        <v>1947</v>
      </c>
      <c r="L18" s="158" t="str">
        <f>IF('Day 1'!$M$50="","",'Day 1'!$M$50)</f>
        <v/>
      </c>
      <c r="M18" s="161">
        <f>IF('Day 1'!$I$47="","",'Day 1'!$I$47)</f>
        <v>1</v>
      </c>
      <c r="N18" s="161">
        <f>IF('Day 1'!$I$48="","",'Day 1'!$I$48)</f>
        <v>0</v>
      </c>
      <c r="O18" s="161">
        <f>IF('Day 1'!$I$49="","",'Day 1'!$I$49)</f>
        <v>0</v>
      </c>
      <c r="P18" s="57">
        <f t="shared" ref="P18" si="2">IF(OR(M18="",N18="",O18=""),"",(M18+N18)/SUM(M18:O18))</f>
        <v>1</v>
      </c>
      <c r="Q18" s="162">
        <f t="shared" ref="Q18" si="3">IF(M18="","",M18)</f>
        <v>1</v>
      </c>
      <c r="R18" s="163" t="str">
        <f>CONCATENATE('Day 1'!$AF$16,'Day 1'!$AF$17,'Day 1'!$AF$18,'Day 1'!$AF$19,'Day 1'!$AF$20,'Day 1'!$AF$21,'Day 1'!$AF$22,'Day 1'!$AF$23,'Day 1'!$AF$24,'Day 1'!$AF$25,'Day 1'!$AF$26,'Day 1'!$AF$27,'Day 1'!$AF$28,'Day 1'!$AF$29,'Day 1'!$AF$30,'Day 1'!$AF$31,'Day 1'!$AF$32,'Day 1'!$AF$33,'Day 1'!$AF$34,'Day 1'!$AF$35,'Day 1'!$AF$36,'Day 1'!$AF$37,'Day 1'!$AF$38,'Day 1'!$AF$39)</f>
        <v/>
      </c>
      <c r="T18" s="304" t="s">
        <v>55</v>
      </c>
      <c r="U18" s="305" t="str">
        <f>IF($U$17="","",IF('Day 1'!$J$42="","",IF($U$17+1000-'Day 1'!$J$42&lt;=23,CONCATENATE("DO PM ",TEXT($U$17+1000,"#.##0")),IF($U$17+1000-'Day 1'!$J$42&lt;=216,CONCATENATE("Prep. PM ",TEXT($U$17+1000,"#.##0"),""),""))))</f>
        <v/>
      </c>
      <c r="V18" s="306" t="str">
        <f t="shared" ref="V18:V32" si="4">IF(OR(M18="",N18="",O18=""),"Tdk Lngkp",IF(OR(AND(SUM(N18:O18)=0,R18&lt;&gt;""),AND(SUM(N18:O18)&lt;&gt;0,R18="")),"Cek",IF(AND(SUM(N18:O18)&lt;&gt;0,R18&lt;&gt;""),"Cocok ?","")))</f>
        <v/>
      </c>
      <c r="W18" s="305" t="str">
        <f>IF('Day 1'!$AG$40="","","CEK")</f>
        <v/>
      </c>
      <c r="X18" s="305" t="str">
        <f>IF('Day 1'!$AD$40="","","CEK")</f>
        <v/>
      </c>
      <c r="Y18" s="305" t="str">
        <f>IF('Day 1'!$AD$43="","","CEK")</f>
        <v/>
      </c>
      <c r="Z18" s="384" t="str">
        <f>'Day 1'!$B$41</f>
        <v/>
      </c>
      <c r="AA18" s="385" t="str">
        <f>'Day 1'!$B$42</f>
        <v/>
      </c>
      <c r="AB18" s="386" t="str">
        <f>'Day 1'!$B$40</f>
        <v/>
      </c>
      <c r="AC18" s="384" t="str">
        <f>'Day 1'!$C$41</f>
        <v/>
      </c>
      <c r="AD18" s="385" t="str">
        <f>'Day 1'!$C$42</f>
        <v/>
      </c>
      <c r="AE18" s="386" t="str">
        <f>'Day 1'!$C$40</f>
        <v/>
      </c>
      <c r="AF18" s="304" t="s">
        <v>55</v>
      </c>
      <c r="AG18" s="384">
        <f>'Day 1'!$D$41</f>
        <v>4.9000000000000004</v>
      </c>
      <c r="AH18" s="385">
        <f>'Day 1'!$D$42</f>
        <v>9.1</v>
      </c>
      <c r="AI18" s="386">
        <f>'Day 1'!$D$40</f>
        <v>7.4</v>
      </c>
      <c r="AJ18" s="384">
        <f>'Day 1'!$E$41</f>
        <v>48.3</v>
      </c>
      <c r="AK18" s="385">
        <f>'Day 1'!$E$42</f>
        <v>69.900000000000006</v>
      </c>
      <c r="AL18" s="386">
        <f>'Day 1'!$E$40</f>
        <v>59.1</v>
      </c>
      <c r="AM18" s="387">
        <f>'Day 1'!$F$41</f>
        <v>1915</v>
      </c>
      <c r="AN18" s="388">
        <f>'Day 1'!$F$42</f>
        <v>1991</v>
      </c>
      <c r="AO18" s="389">
        <f>'Day 1'!$F$40</f>
        <v>1947</v>
      </c>
      <c r="AP18" s="384">
        <f>'Day 1'!$G$41</f>
        <v>-5.6</v>
      </c>
      <c r="AQ18" s="385">
        <f>'Day 1'!$G$42</f>
        <v>-5.5</v>
      </c>
      <c r="AR18" s="386">
        <f>'Day 1'!$G$40</f>
        <v>-5.529166666666665</v>
      </c>
      <c r="AS18" s="384">
        <f>'Day 1'!$H$41</f>
        <v>71</v>
      </c>
      <c r="AT18" s="385">
        <f>'Day 1'!$H$42</f>
        <v>71.900000000000006</v>
      </c>
      <c r="AU18" s="386">
        <f>'Day 1'!$H$40</f>
        <v>71.41249999999998</v>
      </c>
      <c r="AV18" s="384">
        <f>'Day 1'!$I$41</f>
        <v>21</v>
      </c>
      <c r="AW18" s="385">
        <f>'Day 1'!$I$42</f>
        <v>21.9</v>
      </c>
      <c r="AX18" s="386">
        <f>'Day 1'!$I$40</f>
        <v>21.408333333333335</v>
      </c>
      <c r="AY18" s="384">
        <f>'Day 1'!$K$41</f>
        <v>13</v>
      </c>
      <c r="AZ18" s="385">
        <f>'Day 1'!$K$42</f>
        <v>13</v>
      </c>
      <c r="BA18" s="386">
        <f>'Day 1'!$K$40</f>
        <v>13</v>
      </c>
      <c r="BB18" s="304" t="s">
        <v>55</v>
      </c>
      <c r="BC18" s="384">
        <f>'Day 1'!$L$41</f>
        <v>120</v>
      </c>
      <c r="BD18" s="385">
        <f>'Day 1'!$L$42</f>
        <v>131</v>
      </c>
      <c r="BE18" s="386">
        <f>'Day 1'!$L$40</f>
        <v>125.8</v>
      </c>
      <c r="BF18" s="384">
        <f>'Day 1'!$M$41</f>
        <v>220</v>
      </c>
      <c r="BG18" s="385">
        <f>'Day 1'!$M$42</f>
        <v>227</v>
      </c>
      <c r="BH18" s="386">
        <f>'Day 1'!$M$40</f>
        <v>223</v>
      </c>
      <c r="BI18" s="384">
        <f>'Day 1'!$N$41</f>
        <v>90</v>
      </c>
      <c r="BJ18" s="385">
        <f>'Day 1'!$N$42</f>
        <v>90</v>
      </c>
      <c r="BK18" s="386">
        <f>'Day 1'!$N$40</f>
        <v>90</v>
      </c>
      <c r="BL18" s="384">
        <f>'Day 1'!$O$41</f>
        <v>20</v>
      </c>
      <c r="BM18" s="385">
        <f>'Day 1'!$O$42</f>
        <v>70</v>
      </c>
      <c r="BN18" s="386">
        <f>'Day 1'!$O$40</f>
        <v>43.333300000000001</v>
      </c>
      <c r="BO18" s="384">
        <f>'Day 1'!$P$41</f>
        <v>5</v>
      </c>
      <c r="BP18" s="385">
        <f>'Day 1'!$P$42</f>
        <v>14</v>
      </c>
      <c r="BQ18" s="386">
        <f>'Day 1'!$P$40</f>
        <v>10.541700000000001</v>
      </c>
      <c r="BR18" s="390">
        <f>'Day 1'!$Q$41</f>
        <v>166.51</v>
      </c>
      <c r="BS18" s="391">
        <f>'Day 1'!$Q$42</f>
        <v>247.07</v>
      </c>
      <c r="BT18" s="392">
        <f>'Day 1'!$Q$44</f>
        <v>212.97040000000001</v>
      </c>
      <c r="BU18" s="393" t="str">
        <f>'Day 1'!$R$41</f>
        <v/>
      </c>
      <c r="BV18" s="394" t="str">
        <f>'Day 1'!$R$42</f>
        <v/>
      </c>
      <c r="BW18" s="395" t="str">
        <f>'Day 1'!$R$40</f>
        <v/>
      </c>
      <c r="BX18" s="304" t="s">
        <v>55</v>
      </c>
    </row>
    <row r="19" spans="1:76" s="132" customFormat="1" ht="20.100000000000001" customHeight="1" x14ac:dyDescent="0.2">
      <c r="A19" s="156" t="s">
        <v>56</v>
      </c>
      <c r="B19" s="164">
        <f>B18+1</f>
        <v>45810</v>
      </c>
      <c r="C19" s="165" t="str">
        <f>'Day 2'!$B$40</f>
        <v/>
      </c>
      <c r="D19" s="165" t="str">
        <f>'Day 2'!$C$40</f>
        <v/>
      </c>
      <c r="E19" s="165">
        <f>'Day 2'!$D$40</f>
        <v>6.9</v>
      </c>
      <c r="F19" s="165">
        <f>'Day 2'!$E$40</f>
        <v>57.5</v>
      </c>
      <c r="G19" s="375">
        <f>IF('Day 2'!$M$49="","",'Day 2'!$M$49)</f>
        <v>206.6</v>
      </c>
      <c r="H19" s="166">
        <f t="shared" si="1"/>
        <v>1.1069319874411976</v>
      </c>
      <c r="I19" s="375">
        <f>Volume!P5</f>
        <v>186.642</v>
      </c>
      <c r="J19" s="165">
        <f>'Day 2'!$N$40</f>
        <v>90</v>
      </c>
      <c r="K19" s="167">
        <f>'Day 2'!$F$40</f>
        <v>1944</v>
      </c>
      <c r="L19" s="165" t="str">
        <f>IF('Day 2'!$M$50="","",'Day 2'!$M$50)</f>
        <v/>
      </c>
      <c r="M19" s="168">
        <f>IF('Day 2'!$I$47="","",'Day 2'!$I$47)</f>
        <v>1</v>
      </c>
      <c r="N19" s="168">
        <f>IF('Day 2'!$I$48="","",'Day 2'!$I$48)</f>
        <v>0</v>
      </c>
      <c r="O19" s="168">
        <f>IF('Day 2'!$I$49="","",'Day 2'!$I$49)</f>
        <v>0</v>
      </c>
      <c r="P19" s="58">
        <f t="shared" ref="P19:P47" si="5">IF(OR(M19="",N19="",O19=""),"",(M19+N19)/SUM(M19:O19))</f>
        <v>1</v>
      </c>
      <c r="Q19" s="169">
        <f t="shared" ref="Q19:Q47" si="6">IF(M19="","",M19)</f>
        <v>1</v>
      </c>
      <c r="R19" s="170" t="str">
        <f>CONCATENATE('Day 2'!$AF$16,'Day 2'!$AF$17,'Day 2'!$AF$18,'Day 2'!$AF$19,'Day 2'!$AF$20,'Day 2'!$AF$21,'Day 2'!$AF$22,'Day 2'!$AF$23,'Day 2'!$AF$24,'Day 2'!$AF$25,'Day 2'!$AF$26,'Day 2'!$AF$27,'Day 2'!$AF$28,'Day 2'!$AF$29,'Day 2'!$AF$30,'Day 2'!$AF$31,'Day 2'!$AF$32,'Day 2'!$AF$33,'Day 2'!$AF$34,'Day 2'!$AF$35,'Day 2'!$AF$36,'Day 2'!$AF$37,'Day 2'!$AF$38,'Day 2'!$AF$39)</f>
        <v/>
      </c>
      <c r="T19" s="307" t="s">
        <v>56</v>
      </c>
      <c r="U19" s="308" t="str">
        <f>IF($U$17="","",IF(#REF!="","",IF($U$17+1000-#REF!&lt;=23,CONCATENATE("DO PM ",TEXT($U$17+1000,"#.##0")),IF($U$17+1000-#REF!&lt;=216,CONCATENATE("Prep. PM ",TEXT($U$17+1000,"#.##0"),""),""))))</f>
        <v/>
      </c>
      <c r="V19" s="309" t="str">
        <f t="shared" si="4"/>
        <v/>
      </c>
      <c r="W19" s="308" t="str">
        <f>IF('Day 2'!$AG$40="","","CEK")</f>
        <v/>
      </c>
      <c r="X19" s="308" t="str">
        <f>IF('Day 2'!$AD$40="","","CEK")</f>
        <v/>
      </c>
      <c r="Y19" s="308" t="str">
        <f>IF('Day 2'!$AD$43="","","CEK")</f>
        <v/>
      </c>
      <c r="Z19" s="396" t="str">
        <f>'Day 2'!$B$41</f>
        <v/>
      </c>
      <c r="AA19" s="397" t="str">
        <f>'Day 2'!$B$42</f>
        <v/>
      </c>
      <c r="AB19" s="398" t="str">
        <f>'Day 2'!$B$40</f>
        <v/>
      </c>
      <c r="AC19" s="396" t="str">
        <f>'Day 2'!$C$41</f>
        <v/>
      </c>
      <c r="AD19" s="397" t="str">
        <f>'Day 2'!$C$42</f>
        <v/>
      </c>
      <c r="AE19" s="398" t="str">
        <f>'Day 2'!$C$40</f>
        <v/>
      </c>
      <c r="AF19" s="307" t="s">
        <v>56</v>
      </c>
      <c r="AG19" s="396">
        <f>'Day 2'!$D$41</f>
        <v>6.2</v>
      </c>
      <c r="AH19" s="397">
        <f>'Day 2'!$D$42</f>
        <v>8</v>
      </c>
      <c r="AI19" s="398">
        <f>'Day 2'!$D$40</f>
        <v>6.9</v>
      </c>
      <c r="AJ19" s="396">
        <f>'Day 2'!$E$41</f>
        <v>52.8</v>
      </c>
      <c r="AK19" s="397">
        <f>'Day 2'!$E$42</f>
        <v>63.4</v>
      </c>
      <c r="AL19" s="398">
        <f>'Day 2'!$E$40</f>
        <v>57.5</v>
      </c>
      <c r="AM19" s="399">
        <f>'Day 2'!$F$41</f>
        <v>1915</v>
      </c>
      <c r="AN19" s="400">
        <f>'Day 2'!$F$42</f>
        <v>1980</v>
      </c>
      <c r="AO19" s="401">
        <f>'Day 2'!$F$40</f>
        <v>1944</v>
      </c>
      <c r="AP19" s="396">
        <f>'Day 2'!$G$41</f>
        <v>-5.5</v>
      </c>
      <c r="AQ19" s="397">
        <f>'Day 2'!$G$42</f>
        <v>-5.5</v>
      </c>
      <c r="AR19" s="398">
        <f>'Day 2'!$G$40</f>
        <v>-5.5</v>
      </c>
      <c r="AS19" s="396">
        <f>'Day 2'!$H$41</f>
        <v>71</v>
      </c>
      <c r="AT19" s="397">
        <f>'Day 2'!$H$42</f>
        <v>71.900000000000006</v>
      </c>
      <c r="AU19" s="398">
        <f>'Day 2'!$H$40</f>
        <v>71.391666666666666</v>
      </c>
      <c r="AV19" s="396">
        <f>'Day 2'!$I$41</f>
        <v>21</v>
      </c>
      <c r="AW19" s="397">
        <f>'Day 2'!$I$42</f>
        <v>21.9</v>
      </c>
      <c r="AX19" s="398">
        <f>'Day 2'!$I$40</f>
        <v>21.458333333333332</v>
      </c>
      <c r="AY19" s="396">
        <f>'Day 2'!$K$41</f>
        <v>13</v>
      </c>
      <c r="AZ19" s="397">
        <f>'Day 2'!$K$42</f>
        <v>13</v>
      </c>
      <c r="BA19" s="398">
        <f>'Day 2'!$K$40</f>
        <v>13</v>
      </c>
      <c r="BB19" s="307" t="s">
        <v>56</v>
      </c>
      <c r="BC19" s="396">
        <f>'Day 2'!$L$41</f>
        <v>121</v>
      </c>
      <c r="BD19" s="397">
        <f>'Day 2'!$L$42</f>
        <v>131</v>
      </c>
      <c r="BE19" s="398">
        <f>'Day 2'!$L$40</f>
        <v>126.1</v>
      </c>
      <c r="BF19" s="396">
        <f>'Day 2'!$M$41</f>
        <v>220</v>
      </c>
      <c r="BG19" s="397">
        <f>'Day 2'!$M$42</f>
        <v>226</v>
      </c>
      <c r="BH19" s="398">
        <f>'Day 2'!$M$40</f>
        <v>223</v>
      </c>
      <c r="BI19" s="396">
        <f>'Day 2'!$N$41</f>
        <v>90</v>
      </c>
      <c r="BJ19" s="397">
        <f>'Day 2'!$N$42</f>
        <v>90</v>
      </c>
      <c r="BK19" s="398">
        <f>'Day 2'!$N$40</f>
        <v>90</v>
      </c>
      <c r="BL19" s="396">
        <f>'Day 2'!$O$41</f>
        <v>50</v>
      </c>
      <c r="BM19" s="397">
        <f>'Day 2'!$O$42</f>
        <v>65</v>
      </c>
      <c r="BN19" s="398">
        <f>'Day 2'!$O$40</f>
        <v>55</v>
      </c>
      <c r="BO19" s="396">
        <f>'Day 2'!$P$41</f>
        <v>6</v>
      </c>
      <c r="BP19" s="397">
        <f>'Day 2'!$P$42</f>
        <v>12</v>
      </c>
      <c r="BQ19" s="398">
        <f>'Day 2'!$P$40</f>
        <v>9</v>
      </c>
      <c r="BR19" s="402">
        <f>'Day 2'!$Q$41</f>
        <v>189.56</v>
      </c>
      <c r="BS19" s="403">
        <f>'Day 2'!$Q$42</f>
        <v>248.54</v>
      </c>
      <c r="BT19" s="404">
        <f>'Day 2'!$Q$44</f>
        <v>220.6183</v>
      </c>
      <c r="BU19" s="405" t="str">
        <f>'Day 2'!$R$41</f>
        <v/>
      </c>
      <c r="BV19" s="406" t="str">
        <f>'Day 2'!$R$42</f>
        <v/>
      </c>
      <c r="BW19" s="407" t="str">
        <f>'Day 2'!$R$40</f>
        <v/>
      </c>
      <c r="BX19" s="307" t="s">
        <v>56</v>
      </c>
    </row>
    <row r="20" spans="1:76" s="132" customFormat="1" ht="20.25" customHeight="1" x14ac:dyDescent="0.2">
      <c r="A20" s="156" t="s">
        <v>57</v>
      </c>
      <c r="B20" s="164">
        <f t="shared" ref="B20:B47" si="7">B19+1</f>
        <v>45811</v>
      </c>
      <c r="C20" s="165" t="str">
        <f>'Day 3'!$B$40</f>
        <v/>
      </c>
      <c r="D20" s="165" t="str">
        <f>'Day 3'!$C$40</f>
        <v/>
      </c>
      <c r="E20" s="165">
        <f>'Day 3'!$D$40</f>
        <v>6.5</v>
      </c>
      <c r="F20" s="165">
        <f>'Day 3'!$E$40</f>
        <v>58.6</v>
      </c>
      <c r="G20" s="375">
        <f>IF('Day 3'!$M$49="","",'Day 3'!$M$49)</f>
        <v>210.3</v>
      </c>
      <c r="H20" s="166">
        <f t="shared" si="1"/>
        <v>1.1564908668567209</v>
      </c>
      <c r="I20" s="375">
        <f>Volume!P6</f>
        <v>181.84319999999997</v>
      </c>
      <c r="J20" s="165">
        <f>'Day 3'!$N$40</f>
        <v>90</v>
      </c>
      <c r="K20" s="167">
        <f>'Day 3'!$F$40</f>
        <v>1931</v>
      </c>
      <c r="L20" s="165" t="str">
        <f>IF('Day 3'!$M$50="","",'Day 3'!$M$50)</f>
        <v/>
      </c>
      <c r="M20" s="168">
        <f>IF('Day 3'!$I$47="","",'Day 3'!$I$47)</f>
        <v>1</v>
      </c>
      <c r="N20" s="168">
        <f>IF('Day 3'!$I$48="","",'Day 3'!$I$48)</f>
        <v>0</v>
      </c>
      <c r="O20" s="168">
        <f>IF('Day 3'!$I$49="","",'Day 3'!$I$49)</f>
        <v>0</v>
      </c>
      <c r="P20" s="58">
        <f t="shared" si="5"/>
        <v>1</v>
      </c>
      <c r="Q20" s="169">
        <f t="shared" si="6"/>
        <v>1</v>
      </c>
      <c r="R20" s="170" t="str">
        <f>CONCATENATE('Day 3'!$AF$16,'Day 3'!$AF$17,'Day 3'!$AF$18,'Day 3'!$AF$19,'Day 3'!$AF$20,'Day 3'!$AF$21,'Day 3'!$AF$22,'Day 3'!$AF$23,'Day 3'!$AF$24,'Day 3'!$AF$25,'Day 3'!$AF$26,'Day 3'!$AF$27,'Day 3'!$AF$28,'Day 3'!$AF$29,'Day 3'!$AF$30,'Day 3'!$AF$31,'Day 3'!$AF$32,'Day 3'!$AF$33,'Day 3'!$AF$34,'Day 3'!$AF$35,'Day 3'!$AF$36,'Day 3'!$AF$37,'Day 3'!$AF$38,'Day 3'!$AF$39)</f>
        <v/>
      </c>
      <c r="T20" s="307" t="s">
        <v>57</v>
      </c>
      <c r="U20" s="308" t="str">
        <f>IF($U$17="","",IF(#REF!="","",IF($U$17+1000-#REF!&lt;=23,CONCATENATE("DO PM ",TEXT($U$17+1000,"#.##0")),IF($U$17+1000-#REF!&lt;=216,CONCATENATE("Prep. PM ",TEXT($U$17+1000,"#.##0"),""),""))))</f>
        <v/>
      </c>
      <c r="V20" s="309" t="str">
        <f t="shared" si="4"/>
        <v/>
      </c>
      <c r="W20" s="308" t="str">
        <f>IF('Day 3'!$AG$40="","","CEK")</f>
        <v/>
      </c>
      <c r="X20" s="308" t="str">
        <f>IF('Day 3'!$AD$40="","","CEK")</f>
        <v/>
      </c>
      <c r="Y20" s="308" t="str">
        <f>IF('Day 3'!$AD$43="","","CEK")</f>
        <v/>
      </c>
      <c r="Z20" s="396" t="str">
        <f>'Day 3'!$B$41</f>
        <v/>
      </c>
      <c r="AA20" s="397" t="str">
        <f>'Day 3'!$B$42</f>
        <v/>
      </c>
      <c r="AB20" s="398" t="str">
        <f>'Day 3'!$B$40</f>
        <v/>
      </c>
      <c r="AC20" s="396" t="str">
        <f>'Day 3'!$C$41</f>
        <v/>
      </c>
      <c r="AD20" s="397" t="str">
        <f>'Day 3'!$C$42</f>
        <v/>
      </c>
      <c r="AE20" s="398" t="str">
        <f>'Day 3'!$C$40</f>
        <v/>
      </c>
      <c r="AF20" s="307" t="s">
        <v>57</v>
      </c>
      <c r="AG20" s="396">
        <f>'Day 3'!$D$41</f>
        <v>5.6</v>
      </c>
      <c r="AH20" s="397">
        <f>'Day 3'!$D$42</f>
        <v>7.7</v>
      </c>
      <c r="AI20" s="398">
        <f>'Day 3'!$D$40</f>
        <v>6.5</v>
      </c>
      <c r="AJ20" s="396">
        <f>'Day 3'!$E$41</f>
        <v>54.8</v>
      </c>
      <c r="AK20" s="397">
        <f>'Day 3'!$E$42</f>
        <v>63.4</v>
      </c>
      <c r="AL20" s="398">
        <f>'Day 3'!$E$40</f>
        <v>58.6</v>
      </c>
      <c r="AM20" s="399">
        <f>'Day 3'!$F$41</f>
        <v>1632</v>
      </c>
      <c r="AN20" s="400">
        <f>'Day 3'!$F$42</f>
        <v>1991</v>
      </c>
      <c r="AO20" s="401">
        <f>'Day 3'!$F$40</f>
        <v>1931</v>
      </c>
      <c r="AP20" s="396">
        <f>'Day 3'!$G$41</f>
        <v>-5.6</v>
      </c>
      <c r="AQ20" s="397">
        <f>'Day 3'!$G$42</f>
        <v>-5.5</v>
      </c>
      <c r="AR20" s="398">
        <f>'Day 3'!$G$40</f>
        <v>-5.5208333333333321</v>
      </c>
      <c r="AS20" s="396">
        <f>'Day 3'!$H$41</f>
        <v>71.2</v>
      </c>
      <c r="AT20" s="397">
        <f>'Day 3'!$H$42</f>
        <v>71.900000000000006</v>
      </c>
      <c r="AU20" s="398">
        <f>'Day 3'!$H$40</f>
        <v>71.483333333333334</v>
      </c>
      <c r="AV20" s="396">
        <f>'Day 3'!$I$41</f>
        <v>21</v>
      </c>
      <c r="AW20" s="397">
        <f>'Day 3'!$I$42</f>
        <v>21.9</v>
      </c>
      <c r="AX20" s="398">
        <f>'Day 3'!$I$40</f>
        <v>21.437500000000004</v>
      </c>
      <c r="AY20" s="396">
        <f>'Day 3'!$K$41</f>
        <v>13</v>
      </c>
      <c r="AZ20" s="397">
        <f>'Day 3'!$K$42</f>
        <v>13</v>
      </c>
      <c r="BA20" s="398">
        <f>'Day 3'!$K$40</f>
        <v>13</v>
      </c>
      <c r="BB20" s="307" t="s">
        <v>57</v>
      </c>
      <c r="BC20" s="396">
        <f>'Day 3'!$L$41</f>
        <v>120</v>
      </c>
      <c r="BD20" s="397">
        <f>'Day 3'!$L$42</f>
        <v>127</v>
      </c>
      <c r="BE20" s="398">
        <f>'Day 3'!$L$40</f>
        <v>125.3</v>
      </c>
      <c r="BF20" s="396">
        <f>'Day 3'!$M$41</f>
        <v>220</v>
      </c>
      <c r="BG20" s="397">
        <f>'Day 3'!$M$42</f>
        <v>228</v>
      </c>
      <c r="BH20" s="398">
        <f>'Day 3'!$M$40</f>
        <v>224</v>
      </c>
      <c r="BI20" s="396">
        <f>'Day 3'!$N$41</f>
        <v>90</v>
      </c>
      <c r="BJ20" s="397">
        <f>'Day 3'!$N$42</f>
        <v>90</v>
      </c>
      <c r="BK20" s="398">
        <f>'Day 3'!$N$40</f>
        <v>90</v>
      </c>
      <c r="BL20" s="396">
        <f>'Day 3'!$O$41</f>
        <v>35</v>
      </c>
      <c r="BM20" s="397">
        <f>'Day 3'!$O$42</f>
        <v>50</v>
      </c>
      <c r="BN20" s="398">
        <f>'Day 3'!$O$40</f>
        <v>44.4</v>
      </c>
      <c r="BO20" s="396">
        <f>'Day 3'!$P$41</f>
        <v>8</v>
      </c>
      <c r="BP20" s="397">
        <f>'Day 3'!$P$42</f>
        <v>14</v>
      </c>
      <c r="BQ20" s="398">
        <f>'Day 3'!$P$40</f>
        <v>11.3</v>
      </c>
      <c r="BR20" s="402">
        <f>'Day 3'!$Q$41</f>
        <v>198.7</v>
      </c>
      <c r="BS20" s="403">
        <f>'Day 3'!$Q$42</f>
        <v>268.3</v>
      </c>
      <c r="BT20" s="404">
        <f>'Day 3'!$Q$44</f>
        <v>228.2483</v>
      </c>
      <c r="BU20" s="405" t="str">
        <f>'Day 3'!$R$41</f>
        <v/>
      </c>
      <c r="BV20" s="406" t="str">
        <f>'Day 3'!$R$42</f>
        <v/>
      </c>
      <c r="BW20" s="407" t="str">
        <f>'Day 3'!$R$40</f>
        <v/>
      </c>
      <c r="BX20" s="307" t="s">
        <v>57</v>
      </c>
    </row>
    <row r="21" spans="1:76" s="132" customFormat="1" ht="20.100000000000001" customHeight="1" x14ac:dyDescent="0.2">
      <c r="A21" s="156" t="s">
        <v>58</v>
      </c>
      <c r="B21" s="164">
        <f t="shared" si="7"/>
        <v>45812</v>
      </c>
      <c r="C21" s="165" t="str">
        <f>'Day 4'!$B$40</f>
        <v/>
      </c>
      <c r="D21" s="165" t="str">
        <f>'Day 4'!$C$40</f>
        <v/>
      </c>
      <c r="E21" s="165">
        <f>'Day 4'!$D$40</f>
        <v>7</v>
      </c>
      <c r="F21" s="165">
        <f>'Day 4'!$E$40</f>
        <v>58.8</v>
      </c>
      <c r="G21" s="375">
        <f>IF('Day 4'!$M$49="","",'Day 4'!$M$49)</f>
        <v>194.1</v>
      </c>
      <c r="H21" s="166">
        <f t="shared" si="1"/>
        <v>1.0463025253570688</v>
      </c>
      <c r="I21" s="375">
        <f>Volume!P7</f>
        <v>185.5104</v>
      </c>
      <c r="J21" s="165">
        <f>'Day 4'!$N$40</f>
        <v>90</v>
      </c>
      <c r="K21" s="167">
        <f>'Day 4'!$F$40</f>
        <v>1941</v>
      </c>
      <c r="L21" s="165" t="str">
        <f>IF('Day 4'!$M$50="","",'Day 4'!$M$50)</f>
        <v/>
      </c>
      <c r="M21" s="168">
        <f>IF('Day 4'!$I$47="","",'Day 4'!$I$47)</f>
        <v>1</v>
      </c>
      <c r="N21" s="168">
        <f>IF('Day 4'!$I$48="","",'Day 4'!$I$48)</f>
        <v>0</v>
      </c>
      <c r="O21" s="168">
        <f>IF('Day 4'!$I$49="","",'Day 4'!$I$49)</f>
        <v>0</v>
      </c>
      <c r="P21" s="58">
        <f t="shared" si="5"/>
        <v>1</v>
      </c>
      <c r="Q21" s="169">
        <f t="shared" si="6"/>
        <v>1</v>
      </c>
      <c r="R21" s="170" t="str">
        <f>CONCATENATE('Day 4'!$AF$16,'Day 4'!$AF$17,'Day 4'!$AF$18,'Day 4'!$AF$19,'Day 4'!$AF$20,'Day 4'!$AF$21,'Day 4'!$AF$22,'Day 4'!$AF$23,'Day 4'!$AF$24,'Day 4'!$AF$25,'Day 4'!$AF$26,'Day 4'!$AF$27,'Day 4'!$AF$28,'Day 4'!$AF$29,'Day 4'!$AF$30,'Day 4'!$AF$31,'Day 4'!$AF$32,'Day 4'!$AF$33,'Day 4'!$AF$34,'Day 4'!$AF$35,'Day 4'!$AF$36,'Day 4'!$AF$37,'Day 4'!$AF$38,'Day 4'!$AF$39)</f>
        <v/>
      </c>
      <c r="T21" s="307" t="s">
        <v>58</v>
      </c>
      <c r="U21" s="308" t="str">
        <f>IF($U$17="","",IF(#REF!="","",IF($U$17+1000-#REF!&lt;=23,CONCATENATE("DO PM ",TEXT($U$17+1000,"#.##0")),IF($U$17+1000-#REF!&lt;=216,CONCATENATE("Prep. PM ",TEXT($U$17+1000,"#.##0"),""),""))))</f>
        <v/>
      </c>
      <c r="V21" s="309" t="str">
        <f t="shared" si="4"/>
        <v/>
      </c>
      <c r="W21" s="308" t="str">
        <f>IF('Day 4'!$AG$40="","","CEK")</f>
        <v/>
      </c>
      <c r="X21" s="308" t="str">
        <f>IF('Day 4'!$AD$40="","","CEK")</f>
        <v/>
      </c>
      <c r="Y21" s="308" t="str">
        <f>IF('Day 4'!$AD$43="","","CEK")</f>
        <v/>
      </c>
      <c r="Z21" s="396" t="str">
        <f>'Day 4'!$B$41</f>
        <v/>
      </c>
      <c r="AA21" s="397" t="str">
        <f>'Day 4'!$B$42</f>
        <v/>
      </c>
      <c r="AB21" s="398" t="str">
        <f>'Day 4'!$B$40</f>
        <v/>
      </c>
      <c r="AC21" s="396" t="str">
        <f>'Day 4'!$C$41</f>
        <v/>
      </c>
      <c r="AD21" s="397" t="str">
        <f>'Day 4'!$C$42</f>
        <v/>
      </c>
      <c r="AE21" s="398" t="str">
        <f>'Day 4'!$C$40</f>
        <v/>
      </c>
      <c r="AF21" s="307" t="s">
        <v>58</v>
      </c>
      <c r="AG21" s="396">
        <f>'Day 4'!$D$41</f>
        <v>6.2</v>
      </c>
      <c r="AH21" s="397">
        <f>'Day 4'!$D$42</f>
        <v>7.9</v>
      </c>
      <c r="AI21" s="398">
        <f>'Day 4'!$D$40</f>
        <v>7</v>
      </c>
      <c r="AJ21" s="396">
        <f>'Day 4'!$E$41</f>
        <v>54.6</v>
      </c>
      <c r="AK21" s="397">
        <f>'Day 4'!$E$42</f>
        <v>63.5</v>
      </c>
      <c r="AL21" s="398">
        <f>'Day 4'!$E$40</f>
        <v>58.8</v>
      </c>
      <c r="AM21" s="399">
        <f>'Day 4'!$F$41</f>
        <v>1915</v>
      </c>
      <c r="AN21" s="400">
        <f>'Day 4'!$F$42</f>
        <v>1971</v>
      </c>
      <c r="AO21" s="401">
        <f>'Day 4'!$F$40</f>
        <v>1941</v>
      </c>
      <c r="AP21" s="396">
        <f>'Day 4'!$G$41</f>
        <v>-5.5</v>
      </c>
      <c r="AQ21" s="397">
        <f>'Day 4'!$G$42</f>
        <v>-5.5</v>
      </c>
      <c r="AR21" s="398">
        <f>'Day 4'!$G$40</f>
        <v>-5.5</v>
      </c>
      <c r="AS21" s="396">
        <f>'Day 4'!$H$41</f>
        <v>71</v>
      </c>
      <c r="AT21" s="397">
        <f>'Day 4'!$H$42</f>
        <v>71.900000000000006</v>
      </c>
      <c r="AU21" s="398">
        <f>'Day 4'!$H$40</f>
        <v>71.316666666666677</v>
      </c>
      <c r="AV21" s="396">
        <f>'Day 4'!$I$41</f>
        <v>21</v>
      </c>
      <c r="AW21" s="397">
        <f>'Day 4'!$I$42</f>
        <v>21.9</v>
      </c>
      <c r="AX21" s="398">
        <f>'Day 4'!$I$40</f>
        <v>21.454166666666666</v>
      </c>
      <c r="AY21" s="396">
        <f>'Day 4'!$K$41</f>
        <v>13</v>
      </c>
      <c r="AZ21" s="397">
        <f>'Day 4'!$K$42</f>
        <v>13</v>
      </c>
      <c r="BA21" s="398">
        <f>'Day 4'!$K$40</f>
        <v>13</v>
      </c>
      <c r="BB21" s="307" t="s">
        <v>58</v>
      </c>
      <c r="BC21" s="396">
        <f>'Day 4'!$L$41</f>
        <v>122</v>
      </c>
      <c r="BD21" s="397">
        <f>'Day 4'!$L$42</f>
        <v>131</v>
      </c>
      <c r="BE21" s="398">
        <f>'Day 4'!$L$40</f>
        <v>126.8</v>
      </c>
      <c r="BF21" s="396">
        <f>'Day 4'!$M$41</f>
        <v>220</v>
      </c>
      <c r="BG21" s="397">
        <f>'Day 4'!$M$42</f>
        <v>227</v>
      </c>
      <c r="BH21" s="398">
        <f>'Day 4'!$M$40</f>
        <v>224</v>
      </c>
      <c r="BI21" s="396">
        <f>'Day 4'!$N$41</f>
        <v>90</v>
      </c>
      <c r="BJ21" s="397">
        <f>'Day 4'!$N$42</f>
        <v>90</v>
      </c>
      <c r="BK21" s="398">
        <f>'Day 4'!$N$40</f>
        <v>90</v>
      </c>
      <c r="BL21" s="396">
        <f>'Day 4'!$O$41</f>
        <v>50</v>
      </c>
      <c r="BM21" s="397">
        <f>'Day 4'!$O$42</f>
        <v>50</v>
      </c>
      <c r="BN21" s="398">
        <f>'Day 4'!$O$40</f>
        <v>50</v>
      </c>
      <c r="BO21" s="396">
        <f>'Day 4'!$P$41</f>
        <v>9</v>
      </c>
      <c r="BP21" s="397">
        <f>'Day 4'!$P$42</f>
        <v>13</v>
      </c>
      <c r="BQ21" s="398">
        <f>'Day 4'!$P$40</f>
        <v>10.7</v>
      </c>
      <c r="BR21" s="402">
        <f>'Day 4'!$Q$41</f>
        <v>215.49</v>
      </c>
      <c r="BS21" s="403">
        <f>'Day 4'!$Q$42</f>
        <v>258.61</v>
      </c>
      <c r="BT21" s="404">
        <f>'Day 4'!$Q$44</f>
        <v>234.10040000000001</v>
      </c>
      <c r="BU21" s="405" t="str">
        <f>'Day 4'!$R$41</f>
        <v/>
      </c>
      <c r="BV21" s="406" t="str">
        <f>'Day 4'!$R$42</f>
        <v/>
      </c>
      <c r="BW21" s="407" t="str">
        <f>'Day 4'!$R$40</f>
        <v/>
      </c>
      <c r="BX21" s="307" t="s">
        <v>58</v>
      </c>
    </row>
    <row r="22" spans="1:76" s="132" customFormat="1" ht="20.100000000000001" customHeight="1" x14ac:dyDescent="0.2">
      <c r="A22" s="156" t="s">
        <v>59</v>
      </c>
      <c r="B22" s="164">
        <f t="shared" si="7"/>
        <v>45813</v>
      </c>
      <c r="C22" s="165" t="str">
        <f>'Day 5'!$B$40</f>
        <v/>
      </c>
      <c r="D22" s="165" t="str">
        <f>'Day 5'!$C$40</f>
        <v/>
      </c>
      <c r="E22" s="165">
        <f>'Day 5'!$D$40</f>
        <v>6.8</v>
      </c>
      <c r="F22" s="165">
        <f>'Day 5'!$E$40</f>
        <v>61.2</v>
      </c>
      <c r="G22" s="375">
        <f>IF('Day 5'!$M$49="","",'Day 5'!$M$49)</f>
        <v>200.1</v>
      </c>
      <c r="H22" s="166">
        <f t="shared" si="1"/>
        <v>1.0907304590814184</v>
      </c>
      <c r="I22" s="375">
        <f>Volume!P8</f>
        <v>183.45504</v>
      </c>
      <c r="J22" s="165">
        <f>'Day 5'!$N$40</f>
        <v>90</v>
      </c>
      <c r="K22" s="167">
        <f>'Day 5'!$F$40</f>
        <v>1945</v>
      </c>
      <c r="L22" s="165" t="str">
        <f>IF('Day 5'!$M$50="","",'Day 5'!$M$50)</f>
        <v/>
      </c>
      <c r="M22" s="168">
        <f>IF('Day 5'!$I$47="","",'Day 5'!$I$47)</f>
        <v>1</v>
      </c>
      <c r="N22" s="168">
        <f>IF('Day 5'!$I$48="","",'Day 5'!$I$48)</f>
        <v>0</v>
      </c>
      <c r="O22" s="168">
        <f>IF('Day 5'!$I$49="","",'Day 5'!$I$49)</f>
        <v>0</v>
      </c>
      <c r="P22" s="58">
        <f t="shared" si="5"/>
        <v>1</v>
      </c>
      <c r="Q22" s="169">
        <f t="shared" si="6"/>
        <v>1</v>
      </c>
      <c r="R22" s="170" t="str">
        <f>CONCATENATE('Day 5'!$AF$16,'Day 5'!$AF$17,'Day 5'!$AF$18,'Day 5'!$AF$19,'Day 5'!$AF$20,'Day 5'!$AF$21,'Day 5'!$AF$22,'Day 5'!$AF$23,'Day 5'!$AF$24,'Day 5'!$AF$25,'Day 5'!$AF$26,'Day 5'!$AF$27,'Day 5'!$AF$28,'Day 5'!$AF$29,'Day 5'!$AF$30,'Day 5'!$AF$31,'Day 5'!$AF$32,'Day 5'!$AF$33,'Day 5'!$AF$34,'Day 5'!$AF$35,'Day 5'!$AF$36,'Day 5'!$AF$37,'Day 5'!$AF$38,'Day 5'!$AF$39)</f>
        <v/>
      </c>
      <c r="T22" s="307" t="s">
        <v>59</v>
      </c>
      <c r="U22" s="308" t="str">
        <f>IF($U$17="","",IF(#REF!="","",IF($U$17+1000-#REF!&lt;=23,CONCATENATE("DO PM ",TEXT($U$17+1000,"#.##0")),IF($U$17+1000-#REF!&lt;=216,CONCATENATE("Prep. PM ",TEXT($U$17+1000,"#.##0"),""),""))))</f>
        <v/>
      </c>
      <c r="V22" s="309" t="str">
        <f t="shared" si="4"/>
        <v/>
      </c>
      <c r="W22" s="308" t="str">
        <f>IF('Day 5'!$AG$40="","","CEK")</f>
        <v/>
      </c>
      <c r="X22" s="308" t="str">
        <f>IF('Day 5'!$AD$40="","","CEK")</f>
        <v/>
      </c>
      <c r="Y22" s="308" t="str">
        <f>IF('Day 5'!$AD$43="","","CEK")</f>
        <v/>
      </c>
      <c r="Z22" s="396" t="str">
        <f>'Day 5'!$B$41</f>
        <v/>
      </c>
      <c r="AA22" s="397" t="str">
        <f>'Day 5'!$B$42</f>
        <v/>
      </c>
      <c r="AB22" s="398" t="str">
        <f>'Day 5'!$B$40</f>
        <v/>
      </c>
      <c r="AC22" s="396" t="str">
        <f>'Day 5'!$C$41</f>
        <v/>
      </c>
      <c r="AD22" s="397" t="str">
        <f>'Day 5'!$C$42</f>
        <v/>
      </c>
      <c r="AE22" s="398" t="str">
        <f>'Day 5'!$C$40</f>
        <v/>
      </c>
      <c r="AF22" s="307" t="s">
        <v>59</v>
      </c>
      <c r="AG22" s="396">
        <f>'Day 5'!$D$41</f>
        <v>3.5</v>
      </c>
      <c r="AH22" s="397">
        <f>'Day 5'!$D$42</f>
        <v>8</v>
      </c>
      <c r="AI22" s="398">
        <f>'Day 5'!$D$40</f>
        <v>6.8</v>
      </c>
      <c r="AJ22" s="396">
        <f>'Day 5'!$E$41</f>
        <v>51.4</v>
      </c>
      <c r="AK22" s="397">
        <f>'Day 5'!$E$42</f>
        <v>68.599999999999994</v>
      </c>
      <c r="AL22" s="398">
        <f>'Day 5'!$E$40</f>
        <v>61.2</v>
      </c>
      <c r="AM22" s="399">
        <f>'Day 5'!$F$41</f>
        <v>1915</v>
      </c>
      <c r="AN22" s="400">
        <f>'Day 5'!$F$42</f>
        <v>1980</v>
      </c>
      <c r="AO22" s="401">
        <f>'Day 5'!$F$40</f>
        <v>1945</v>
      </c>
      <c r="AP22" s="396">
        <f>'Day 5'!$G$41</f>
        <v>-5.5</v>
      </c>
      <c r="AQ22" s="397">
        <f>'Day 5'!$G$42</f>
        <v>-5.5</v>
      </c>
      <c r="AR22" s="398">
        <f>'Day 5'!$G$40</f>
        <v>-5.5</v>
      </c>
      <c r="AS22" s="396">
        <f>'Day 5'!$H$41</f>
        <v>71</v>
      </c>
      <c r="AT22" s="397">
        <f>'Day 5'!$H$42</f>
        <v>71.900000000000006</v>
      </c>
      <c r="AU22" s="398">
        <f>'Day 5'!$H$40</f>
        <v>71.416666666666671</v>
      </c>
      <c r="AV22" s="396">
        <f>'Day 5'!$I$41</f>
        <v>21</v>
      </c>
      <c r="AW22" s="397">
        <f>'Day 5'!$I$42</f>
        <v>21.9</v>
      </c>
      <c r="AX22" s="398">
        <f>'Day 5'!$I$40</f>
        <v>21.500000000000004</v>
      </c>
      <c r="AY22" s="396">
        <f>'Day 5'!$K$41</f>
        <v>13</v>
      </c>
      <c r="AZ22" s="397">
        <f>'Day 5'!$K$42</f>
        <v>13</v>
      </c>
      <c r="BA22" s="398">
        <f>'Day 5'!$K$40</f>
        <v>13</v>
      </c>
      <c r="BB22" s="307" t="s">
        <v>59</v>
      </c>
      <c r="BC22" s="396">
        <f>'Day 5'!$L$41</f>
        <v>120</v>
      </c>
      <c r="BD22" s="397">
        <f>'Day 5'!$L$42</f>
        <v>129</v>
      </c>
      <c r="BE22" s="398">
        <f>'Day 5'!$L$40</f>
        <v>125.2</v>
      </c>
      <c r="BF22" s="396">
        <f>'Day 5'!$M$41</f>
        <v>220</v>
      </c>
      <c r="BG22" s="397">
        <f>'Day 5'!$M$42</f>
        <v>230</v>
      </c>
      <c r="BH22" s="398">
        <f>'Day 5'!$M$40</f>
        <v>225</v>
      </c>
      <c r="BI22" s="396">
        <f>'Day 5'!$N$41</f>
        <v>90</v>
      </c>
      <c r="BJ22" s="397">
        <f>'Day 5'!$N$42</f>
        <v>90</v>
      </c>
      <c r="BK22" s="398">
        <f>'Day 5'!$N$40</f>
        <v>90</v>
      </c>
      <c r="BL22" s="396">
        <f>'Day 5'!$O$41</f>
        <v>50</v>
      </c>
      <c r="BM22" s="397">
        <f>'Day 5'!$O$42</f>
        <v>70</v>
      </c>
      <c r="BN22" s="398">
        <f>'Day 5'!$O$40</f>
        <v>54</v>
      </c>
      <c r="BO22" s="396">
        <f>'Day 5'!$P$41</f>
        <v>6</v>
      </c>
      <c r="BP22" s="397">
        <f>'Day 5'!$P$42</f>
        <v>13</v>
      </c>
      <c r="BQ22" s="398">
        <f>'Day 5'!$P$40</f>
        <v>9.6</v>
      </c>
      <c r="BR22" s="402">
        <f>'Day 5'!$Q$41</f>
        <v>202.05</v>
      </c>
      <c r="BS22" s="403">
        <f>'Day 5'!$Q$42</f>
        <v>258.61</v>
      </c>
      <c r="BT22" s="404">
        <f>'Day 5'!$Q$44</f>
        <v>227.38919999999999</v>
      </c>
      <c r="BU22" s="405" t="str">
        <f>'Day 5'!$R$41</f>
        <v/>
      </c>
      <c r="BV22" s="406" t="str">
        <f>'Day 5'!$R$42</f>
        <v/>
      </c>
      <c r="BW22" s="407" t="str">
        <f>'Day 5'!$R$40</f>
        <v/>
      </c>
      <c r="BX22" s="307" t="s">
        <v>59</v>
      </c>
    </row>
    <row r="23" spans="1:76" s="132" customFormat="1" ht="20.100000000000001" customHeight="1" x14ac:dyDescent="0.2">
      <c r="A23" s="156" t="s">
        <v>60</v>
      </c>
      <c r="B23" s="164">
        <f t="shared" si="7"/>
        <v>45814</v>
      </c>
      <c r="C23" s="165" t="str">
        <f>'Day 6'!$B$40</f>
        <v/>
      </c>
      <c r="D23" s="165" t="str">
        <f>'Day 6'!$C$40</f>
        <v/>
      </c>
      <c r="E23" s="165">
        <f>'Day 6'!$D$40</f>
        <v>6.9</v>
      </c>
      <c r="F23" s="165">
        <f>'Day 6'!$E$40</f>
        <v>62.7</v>
      </c>
      <c r="G23" s="375">
        <f>IF('Day 6'!$M$49="","",'Day 6'!$M$49)</f>
        <v>243.6</v>
      </c>
      <c r="H23" s="166">
        <f t="shared" si="1"/>
        <v>1.3265494162529095</v>
      </c>
      <c r="I23" s="375">
        <f>Volume!P9</f>
        <v>183.63432</v>
      </c>
      <c r="J23" s="165">
        <f>'Day 6'!$N$40</f>
        <v>90</v>
      </c>
      <c r="K23" s="167">
        <f>'Day 6'!$F$40</f>
        <v>1958</v>
      </c>
      <c r="L23" s="165" t="str">
        <f>IF('Day 6'!$M$50="","",'Day 6'!$M$50)</f>
        <v/>
      </c>
      <c r="M23" s="168">
        <f>IF('Day 6'!$I$47="","",'Day 6'!$I$47)</f>
        <v>1</v>
      </c>
      <c r="N23" s="168">
        <f>IF('Day 6'!$I$48="","",'Day 6'!$I$48)</f>
        <v>0</v>
      </c>
      <c r="O23" s="168">
        <f>IF('Day 6'!$I$49="","",'Day 6'!$I$49)</f>
        <v>0</v>
      </c>
      <c r="P23" s="58">
        <f t="shared" si="5"/>
        <v>1</v>
      </c>
      <c r="Q23" s="169">
        <f t="shared" si="6"/>
        <v>1</v>
      </c>
      <c r="R23" s="170" t="str">
        <f>CONCATENATE('Day 6'!$AF$16,'Day 6'!$AF$17,'Day 6'!$AF$18,'Day 6'!$AF$19,'Day 6'!$AF$20,'Day 6'!$AF$21,'Day 6'!$AF$22,'Day 6'!$AF$23,'Day 6'!$AF$24,'Day 6'!$AF$25,'Day 6'!$AF$26,'Day 6'!$AF$27,'Day 6'!$AF$28,'Day 6'!$AF$29,'Day 6'!$AF$30,'Day 6'!$AF$31,'Day 6'!$AF$32,'Day 6'!$AF$33,'Day 6'!$AF$34,'Day 6'!$AF$35,'Day 6'!$AF$36,'Day 6'!$AF$37,'Day 6'!$AF$38,'Day 6'!$AF$39)</f>
        <v/>
      </c>
      <c r="T23" s="307" t="s">
        <v>60</v>
      </c>
      <c r="U23" s="308" t="str">
        <f>IF($U$17="","",IF(#REF!="","",IF($U$17+1000-#REF!&lt;=23,CONCATENATE("DO PM ",TEXT($U$17+1000,"#.##0")),IF($U$17+1000-#REF!&lt;=216,CONCATENATE("Prep. PM ",TEXT($U$17+1000,"#.##0"),""),""))))</f>
        <v/>
      </c>
      <c r="V23" s="309" t="str">
        <f t="shared" si="4"/>
        <v/>
      </c>
      <c r="W23" s="308" t="str">
        <f>IF('Day 6'!$AG$40="","","CEK")</f>
        <v/>
      </c>
      <c r="X23" s="308" t="str">
        <f>IF('Day 6'!$AD$40="","","CEK")</f>
        <v/>
      </c>
      <c r="Y23" s="308" t="str">
        <f>IF('Day 6'!$AD$43="","","CEK")</f>
        <v/>
      </c>
      <c r="Z23" s="396" t="str">
        <f>'Day 6'!$B$41</f>
        <v/>
      </c>
      <c r="AA23" s="397" t="str">
        <f>'Day 6'!$B$42</f>
        <v/>
      </c>
      <c r="AB23" s="398" t="str">
        <f>'Day 6'!$B$40</f>
        <v/>
      </c>
      <c r="AC23" s="396" t="str">
        <f>'Day 6'!$C$41</f>
        <v/>
      </c>
      <c r="AD23" s="397" t="str">
        <f>'Day 6'!$C$42</f>
        <v/>
      </c>
      <c r="AE23" s="398" t="str">
        <f>'Day 6'!$C$40</f>
        <v/>
      </c>
      <c r="AF23" s="307" t="s">
        <v>60</v>
      </c>
      <c r="AG23" s="396">
        <f>'Day 6'!$D$41</f>
        <v>5.9</v>
      </c>
      <c r="AH23" s="397">
        <f>'Day 6'!$D$42</f>
        <v>7.8</v>
      </c>
      <c r="AI23" s="398">
        <f>'Day 6'!$D$40</f>
        <v>6.9</v>
      </c>
      <c r="AJ23" s="396">
        <f>'Day 6'!$E$41</f>
        <v>57</v>
      </c>
      <c r="AK23" s="397">
        <f>'Day 6'!$E$42</f>
        <v>68.599999999999994</v>
      </c>
      <c r="AL23" s="398">
        <f>'Day 6'!$E$40</f>
        <v>62.7</v>
      </c>
      <c r="AM23" s="399">
        <f>'Day 6'!$F$41</f>
        <v>1931</v>
      </c>
      <c r="AN23" s="400">
        <f>'Day 6'!$F$42</f>
        <v>1980</v>
      </c>
      <c r="AO23" s="401">
        <f>'Day 6'!$F$40</f>
        <v>1958</v>
      </c>
      <c r="AP23" s="396">
        <f>'Day 6'!$G$41</f>
        <v>-5.5</v>
      </c>
      <c r="AQ23" s="397">
        <f>'Day 6'!$G$42</f>
        <v>-5.5</v>
      </c>
      <c r="AR23" s="398">
        <f>'Day 6'!$G$40</f>
        <v>-5.5</v>
      </c>
      <c r="AS23" s="396">
        <f>'Day 6'!$H$41</f>
        <v>71</v>
      </c>
      <c r="AT23" s="397">
        <f>'Day 6'!$H$42</f>
        <v>71.900000000000006</v>
      </c>
      <c r="AU23" s="398">
        <f>'Day 6'!$H$40</f>
        <v>71.370833333333323</v>
      </c>
      <c r="AV23" s="396">
        <f>'Day 6'!$I$41</f>
        <v>21</v>
      </c>
      <c r="AW23" s="397">
        <f>'Day 6'!$I$42</f>
        <v>21.9</v>
      </c>
      <c r="AX23" s="398">
        <f>'Day 6'!$I$40</f>
        <v>21.391666666666669</v>
      </c>
      <c r="AY23" s="396">
        <f>'Day 6'!$K$41</f>
        <v>13</v>
      </c>
      <c r="AZ23" s="397">
        <f>'Day 6'!$K$42</f>
        <v>13</v>
      </c>
      <c r="BA23" s="398">
        <f>'Day 6'!$K$40</f>
        <v>13</v>
      </c>
      <c r="BB23" s="307" t="s">
        <v>60</v>
      </c>
      <c r="BC23" s="396">
        <f>'Day 6'!$L$41</f>
        <v>121</v>
      </c>
      <c r="BD23" s="397">
        <f>'Day 6'!$L$42</f>
        <v>133</v>
      </c>
      <c r="BE23" s="398">
        <f>'Day 6'!$L$40</f>
        <v>126.7</v>
      </c>
      <c r="BF23" s="396">
        <f>'Day 6'!$M$41</f>
        <v>220</v>
      </c>
      <c r="BG23" s="397">
        <f>'Day 6'!$M$42</f>
        <v>233</v>
      </c>
      <c r="BH23" s="398">
        <f>'Day 6'!$M$40</f>
        <v>226</v>
      </c>
      <c r="BI23" s="396">
        <f>'Day 6'!$N$41</f>
        <v>90</v>
      </c>
      <c r="BJ23" s="397">
        <f>'Day 6'!$N$42</f>
        <v>90</v>
      </c>
      <c r="BK23" s="398">
        <f>'Day 6'!$N$40</f>
        <v>90</v>
      </c>
      <c r="BL23" s="396">
        <f>'Day 6'!$O$41</f>
        <v>35</v>
      </c>
      <c r="BM23" s="397">
        <f>'Day 6'!$O$42</f>
        <v>55</v>
      </c>
      <c r="BN23" s="398">
        <f>'Day 6'!$O$40</f>
        <v>46.5</v>
      </c>
      <c r="BO23" s="396">
        <f>'Day 6'!$P$41</f>
        <v>7</v>
      </c>
      <c r="BP23" s="397">
        <f>'Day 6'!$P$42</f>
        <v>14</v>
      </c>
      <c r="BQ23" s="398">
        <f>'Day 6'!$P$40</f>
        <v>10.1</v>
      </c>
      <c r="BR23" s="402">
        <f>'Day 6'!$Q$41</f>
        <v>190.25</v>
      </c>
      <c r="BS23" s="403">
        <f>'Day 6'!$Q$42</f>
        <v>268.56</v>
      </c>
      <c r="BT23" s="404">
        <f>'Day 6'!$Q$44</f>
        <v>219.58</v>
      </c>
      <c r="BU23" s="405" t="str">
        <f>'Day 6'!$R$41</f>
        <v/>
      </c>
      <c r="BV23" s="406" t="str">
        <f>'Day 6'!$R$42</f>
        <v/>
      </c>
      <c r="BW23" s="407" t="str">
        <f>'Day 6'!$R$40</f>
        <v/>
      </c>
      <c r="BX23" s="307" t="s">
        <v>60</v>
      </c>
    </row>
    <row r="24" spans="1:76" s="132" customFormat="1" ht="20.100000000000001" customHeight="1" x14ac:dyDescent="0.2">
      <c r="A24" s="156" t="s">
        <v>61</v>
      </c>
      <c r="B24" s="164">
        <f t="shared" si="7"/>
        <v>45815</v>
      </c>
      <c r="C24" s="165" t="str">
        <f>'Day 7'!$B$40</f>
        <v/>
      </c>
      <c r="D24" s="165" t="str">
        <f>'Day 7'!$C$40</f>
        <v/>
      </c>
      <c r="E24" s="165">
        <f>'Day 7'!$D$40</f>
        <v>6.9</v>
      </c>
      <c r="F24" s="165">
        <f>'Day 7'!$E$40</f>
        <v>62</v>
      </c>
      <c r="G24" s="375">
        <f>IF('Day 7'!$M$49="","",'Day 7'!$M$49)</f>
        <v>199.6</v>
      </c>
      <c r="H24" s="166">
        <f t="shared" ref="H24:H47" si="8">IF(OR(G24="",I24=""),"",(G24/I24))</f>
        <v>1.0845515520606479</v>
      </c>
      <c r="I24" s="375">
        <f>Volume!P10</f>
        <v>184.03919999999999</v>
      </c>
      <c r="J24" s="165">
        <f>'Day 7'!$N$40</f>
        <v>85</v>
      </c>
      <c r="K24" s="167">
        <f>'Day 7'!$F$40</f>
        <v>1953</v>
      </c>
      <c r="L24" s="165" t="str">
        <f>IF('Day 7'!$M$50="","",'Day 7'!$M$50)</f>
        <v/>
      </c>
      <c r="M24" s="168">
        <f>IF('Day 7'!$I$47="","",'Day 7'!$I$47)</f>
        <v>1</v>
      </c>
      <c r="N24" s="168">
        <f>IF('Day 7'!$I$48="","",'Day 7'!$I$48)</f>
        <v>0</v>
      </c>
      <c r="O24" s="168">
        <f>IF('Day 7'!$I$49="","",'Day 7'!$I$49)</f>
        <v>0</v>
      </c>
      <c r="P24" s="58">
        <f t="shared" si="5"/>
        <v>1</v>
      </c>
      <c r="Q24" s="169">
        <f t="shared" si="6"/>
        <v>1</v>
      </c>
      <c r="R24" s="170" t="str">
        <f>CONCATENATE('Day 7'!$AF$16,'Day 7'!$AF$17,'Day 7'!$AF$18,'Day 7'!$AF$19,'Day 7'!$AF$20,'Day 7'!$AF$21,'Day 7'!$AF$22,'Day 7'!$AF$23,'Day 7'!$AF$24,'Day 7'!$AF$25,'Day 7'!$AF$26,'Day 7'!$AF$27,'Day 7'!$AF$28,'Day 7'!$AF$29,'Day 7'!$AF$30,'Day 7'!$AF$31,'Day 7'!$AF$32,'Day 7'!$AF$33,'Day 7'!$AF$34,'Day 7'!$AF$35,'Day 7'!$AF$36,'Day 7'!$AF$37,'Day 7'!$AF$38,'Day 7'!$AF$39)</f>
        <v/>
      </c>
      <c r="T24" s="307" t="s">
        <v>61</v>
      </c>
      <c r="U24" s="308" t="str">
        <f>IF($U$17="","",IF(#REF!="","",IF($U$17+1000-#REF!&lt;=23,CONCATENATE("DO PM ",TEXT($U$17+1000,"#.##0")),IF($U$17+1000-#REF!&lt;=216,CONCATENATE("Prep. PM ",TEXT($U$17+1000,"#.##0"),""),""))))</f>
        <v/>
      </c>
      <c r="V24" s="309" t="str">
        <f t="shared" si="4"/>
        <v/>
      </c>
      <c r="W24" s="308" t="str">
        <f>IF('Day 7'!$AG$40="","","CEK")</f>
        <v/>
      </c>
      <c r="X24" s="308" t="str">
        <f>IF('Day 7'!$AD$40="","","CEK")</f>
        <v/>
      </c>
      <c r="Y24" s="308" t="str">
        <f>IF('Day 7'!$AD$43="","","CEK")</f>
        <v/>
      </c>
      <c r="Z24" s="396" t="str">
        <f>'Day 7'!$B$41</f>
        <v/>
      </c>
      <c r="AA24" s="397" t="str">
        <f>'Day 7'!$B$42</f>
        <v/>
      </c>
      <c r="AB24" s="398" t="str">
        <f>'Day 7'!$B$40</f>
        <v/>
      </c>
      <c r="AC24" s="396" t="str">
        <f>'Day 7'!$C$41</f>
        <v/>
      </c>
      <c r="AD24" s="397" t="str">
        <f>'Day 7'!$C$42</f>
        <v/>
      </c>
      <c r="AE24" s="398" t="str">
        <f>'Day 7'!$C$40</f>
        <v/>
      </c>
      <c r="AF24" s="307" t="s">
        <v>61</v>
      </c>
      <c r="AG24" s="396">
        <f>'Day 7'!$D$41</f>
        <v>6.1</v>
      </c>
      <c r="AH24" s="397">
        <f>'Day 7'!$D$42</f>
        <v>7.9</v>
      </c>
      <c r="AI24" s="398">
        <f>'Day 7'!$D$40</f>
        <v>6.9</v>
      </c>
      <c r="AJ24" s="396">
        <f>'Day 7'!$E$41</f>
        <v>59.3</v>
      </c>
      <c r="AK24" s="397">
        <f>'Day 7'!$E$42</f>
        <v>65.5</v>
      </c>
      <c r="AL24" s="398">
        <f>'Day 7'!$E$40</f>
        <v>62</v>
      </c>
      <c r="AM24" s="399">
        <f>'Day 7'!$F$41</f>
        <v>1930</v>
      </c>
      <c r="AN24" s="400">
        <f>'Day 7'!$F$42</f>
        <v>1986</v>
      </c>
      <c r="AO24" s="401">
        <f>'Day 7'!$F$40</f>
        <v>1953</v>
      </c>
      <c r="AP24" s="396">
        <f>'Day 7'!$G$41</f>
        <v>-5.5</v>
      </c>
      <c r="AQ24" s="397">
        <f>'Day 7'!$G$42</f>
        <v>-5.5</v>
      </c>
      <c r="AR24" s="398">
        <f>'Day 7'!$G$40</f>
        <v>-5.5</v>
      </c>
      <c r="AS24" s="396">
        <f>'Day 7'!$H$41</f>
        <v>71</v>
      </c>
      <c r="AT24" s="397">
        <f>'Day 7'!$H$42</f>
        <v>71.900000000000006</v>
      </c>
      <c r="AU24" s="398">
        <f>'Day 7'!$H$40</f>
        <v>71.412499999999994</v>
      </c>
      <c r="AV24" s="396">
        <f>'Day 7'!$I$41</f>
        <v>21</v>
      </c>
      <c r="AW24" s="397">
        <f>'Day 7'!$I$42</f>
        <v>21.9</v>
      </c>
      <c r="AX24" s="398">
        <f>'Day 7'!$I$40</f>
        <v>21.475000000000005</v>
      </c>
      <c r="AY24" s="396">
        <f>'Day 7'!$K$41</f>
        <v>13</v>
      </c>
      <c r="AZ24" s="397">
        <f>'Day 7'!$K$42</f>
        <v>13</v>
      </c>
      <c r="BA24" s="398">
        <f>'Day 7'!$K$40</f>
        <v>13</v>
      </c>
      <c r="BB24" s="307" t="s">
        <v>61</v>
      </c>
      <c r="BC24" s="396">
        <f>'Day 7'!$L$41</f>
        <v>121</v>
      </c>
      <c r="BD24" s="397">
        <f>'Day 7'!$L$42</f>
        <v>129</v>
      </c>
      <c r="BE24" s="398">
        <f>'Day 7'!$L$40</f>
        <v>125</v>
      </c>
      <c r="BF24" s="396">
        <f>'Day 7'!$M$41</f>
        <v>220</v>
      </c>
      <c r="BG24" s="397">
        <f>'Day 7'!$M$42</f>
        <v>229</v>
      </c>
      <c r="BH24" s="398">
        <f>'Day 7'!$M$40</f>
        <v>225</v>
      </c>
      <c r="BI24" s="396">
        <f>'Day 7'!$N$41</f>
        <v>85</v>
      </c>
      <c r="BJ24" s="397">
        <f>'Day 7'!$N$42</f>
        <v>85</v>
      </c>
      <c r="BK24" s="398">
        <f>'Day 7'!$N$40</f>
        <v>85</v>
      </c>
      <c r="BL24" s="396">
        <f>'Day 7'!$O$41</f>
        <v>50</v>
      </c>
      <c r="BM24" s="397">
        <f>'Day 7'!$O$42</f>
        <v>55</v>
      </c>
      <c r="BN24" s="398">
        <f>'Day 7'!$O$40</f>
        <v>53.3</v>
      </c>
      <c r="BO24" s="396">
        <f>'Day 7'!$P$41</f>
        <v>5</v>
      </c>
      <c r="BP24" s="397">
        <f>'Day 7'!$P$42</f>
        <v>11</v>
      </c>
      <c r="BQ24" s="398">
        <f>'Day 7'!$P$40</f>
        <v>8.1999999999999993</v>
      </c>
      <c r="BR24" s="402">
        <f>'Day 7'!$Q$41</f>
        <v>161.77000000000001</v>
      </c>
      <c r="BS24" s="403">
        <f>'Day 7'!$Q$42</f>
        <v>248.35</v>
      </c>
      <c r="BT24" s="404">
        <f>'Day 7'!$Q$44</f>
        <v>211.18459999999999</v>
      </c>
      <c r="BU24" s="405" t="str">
        <f>'Day 7'!$R$41</f>
        <v/>
      </c>
      <c r="BV24" s="406" t="str">
        <f>'Day 7'!$R$42</f>
        <v/>
      </c>
      <c r="BW24" s="407" t="str">
        <f>'Day 7'!$R$40</f>
        <v/>
      </c>
      <c r="BX24" s="307" t="s">
        <v>61</v>
      </c>
    </row>
    <row r="25" spans="1:76" s="132" customFormat="1" ht="20.100000000000001" customHeight="1" x14ac:dyDescent="0.2">
      <c r="A25" s="156" t="s">
        <v>62</v>
      </c>
      <c r="B25" s="164">
        <f t="shared" si="7"/>
        <v>45816</v>
      </c>
      <c r="C25" s="165" t="str">
        <f>'Day 8'!$B$40</f>
        <v/>
      </c>
      <c r="D25" s="165" t="str">
        <f>'Day 8'!$C$40</f>
        <v/>
      </c>
      <c r="E25" s="165">
        <f>'Day 8'!$D$40</f>
        <v>6.3</v>
      </c>
      <c r="F25" s="165">
        <f>'Day 8'!$E$40</f>
        <v>58.8</v>
      </c>
      <c r="G25" s="375">
        <f>IF('Day 8'!$M$49="","",'Day 8'!$M$49)</f>
        <v>193.4</v>
      </c>
      <c r="H25" s="166">
        <f t="shared" si="8"/>
        <v>1.0765775033377243</v>
      </c>
      <c r="I25" s="375">
        <f>Volume!P11</f>
        <v>179.64336</v>
      </c>
      <c r="J25" s="165">
        <f>'Day 8'!$N$40</f>
        <v>85</v>
      </c>
      <c r="K25" s="167">
        <f>'Day 8'!$F$40</f>
        <v>1954</v>
      </c>
      <c r="L25" s="165" t="str">
        <f>IF('Day 8'!$M$50="","",'Day 8'!$M$50)</f>
        <v/>
      </c>
      <c r="M25" s="168">
        <f>IF('Day 8'!$I$47="","",'Day 8'!$I$47)</f>
        <v>1</v>
      </c>
      <c r="N25" s="168">
        <f>IF('Day 8'!$I$48="","",'Day 8'!$I$48)</f>
        <v>0</v>
      </c>
      <c r="O25" s="168">
        <f>IF('Day 8'!$I$49="","",'Day 8'!$I$49)</f>
        <v>0</v>
      </c>
      <c r="P25" s="58">
        <f t="shared" si="5"/>
        <v>1</v>
      </c>
      <c r="Q25" s="169">
        <f t="shared" si="6"/>
        <v>1</v>
      </c>
      <c r="R25" s="170" t="str">
        <f>CONCATENATE('Day 8'!$AF$16,'Day 8'!$AF$17,'Day 8'!$AF$18,'Day 8'!$AF$19,'Day 8'!$AF$20,'Day 8'!$AF$21,'Day 8'!$AF$22,'Day 8'!$AF$23,'Day 8'!$AF$24,'Day 8'!$AF$25,'Day 8'!$AF$26,'Day 8'!$AF$27,'Day 8'!$AF$28,'Day 8'!$AF$29,'Day 8'!$AF$30,'Day 8'!$AF$31,'Day 8'!$AF$32,'Day 8'!$AF$33,'Day 8'!$AF$34,'Day 8'!$AF$35,'Day 8'!$AF$36,'Day 8'!$AF$37,'Day 8'!$AF$38,'Day 8'!$AF$39)</f>
        <v/>
      </c>
      <c r="T25" s="307" t="s">
        <v>62</v>
      </c>
      <c r="U25" s="308" t="str">
        <f>IF($U$17="","",IF(#REF!="","",IF($U$17+1000-#REF!&lt;=23,CONCATENATE("DO PM ",TEXT($U$17+1000,"#.##0")),IF($U$17+1000-#REF!&lt;=216,CONCATENATE("Prep. PM ",TEXT($U$17+1000,"#.##0"),""),""))))</f>
        <v/>
      </c>
      <c r="V25" s="309" t="str">
        <f t="shared" si="4"/>
        <v/>
      </c>
      <c r="W25" s="308" t="str">
        <f>IF('Day 8'!$AG$40="","","CEK")</f>
        <v/>
      </c>
      <c r="X25" s="308" t="str">
        <f>IF('Day 8'!$AD$40="","","CEK")</f>
        <v/>
      </c>
      <c r="Y25" s="308" t="str">
        <f>IF('Day 8'!$AD$43="","","CEK")</f>
        <v/>
      </c>
      <c r="Z25" s="396" t="str">
        <f>'Day 8'!$B$41</f>
        <v/>
      </c>
      <c r="AA25" s="397" t="str">
        <f>'Day 8'!$B$42</f>
        <v/>
      </c>
      <c r="AB25" s="398" t="str">
        <f>'Day 8'!$B$40</f>
        <v/>
      </c>
      <c r="AC25" s="396" t="str">
        <f>'Day 8'!$C$41</f>
        <v/>
      </c>
      <c r="AD25" s="397" t="str">
        <f>'Day 8'!$C$42</f>
        <v/>
      </c>
      <c r="AE25" s="398" t="str">
        <f>'Day 8'!$C$40</f>
        <v/>
      </c>
      <c r="AF25" s="307" t="s">
        <v>62</v>
      </c>
      <c r="AG25" s="396">
        <f>'Day 8'!$D$41</f>
        <v>5.3</v>
      </c>
      <c r="AH25" s="397">
        <f>'Day 8'!$D$42</f>
        <v>6.9</v>
      </c>
      <c r="AI25" s="398">
        <f>'Day 8'!$D$40</f>
        <v>6.3</v>
      </c>
      <c r="AJ25" s="396">
        <f>'Day 8'!$E$41</f>
        <v>57.1</v>
      </c>
      <c r="AK25" s="397">
        <f>'Day 8'!$E$42</f>
        <v>60.8</v>
      </c>
      <c r="AL25" s="398">
        <f>'Day 8'!$E$40</f>
        <v>58.8</v>
      </c>
      <c r="AM25" s="399">
        <f>'Day 8'!$F$41</f>
        <v>1931</v>
      </c>
      <c r="AN25" s="400">
        <f>'Day 8'!$F$42</f>
        <v>1985</v>
      </c>
      <c r="AO25" s="401">
        <f>'Day 8'!$F$40</f>
        <v>1954</v>
      </c>
      <c r="AP25" s="396">
        <f>'Day 8'!$G$41</f>
        <v>-5.5</v>
      </c>
      <c r="AQ25" s="397">
        <f>'Day 8'!$G$42</f>
        <v>-5.5</v>
      </c>
      <c r="AR25" s="398">
        <f>'Day 8'!$G$40</f>
        <v>-5.5</v>
      </c>
      <c r="AS25" s="396">
        <f>'Day 8'!$H$41</f>
        <v>71</v>
      </c>
      <c r="AT25" s="397">
        <f>'Day 8'!$H$42</f>
        <v>71.900000000000006</v>
      </c>
      <c r="AU25" s="398">
        <f>'Day 8'!$H$40</f>
        <v>71.412499999999994</v>
      </c>
      <c r="AV25" s="396">
        <f>'Day 8'!$I$41</f>
        <v>21</v>
      </c>
      <c r="AW25" s="397">
        <f>'Day 8'!$I$42</f>
        <v>21.9</v>
      </c>
      <c r="AX25" s="398">
        <f>'Day 8'!$I$40</f>
        <v>21.416666666666671</v>
      </c>
      <c r="AY25" s="396">
        <f>'Day 8'!$K$41</f>
        <v>13</v>
      </c>
      <c r="AZ25" s="397">
        <f>'Day 8'!$K$42</f>
        <v>13</v>
      </c>
      <c r="BA25" s="398">
        <f>'Day 8'!$K$40</f>
        <v>13</v>
      </c>
      <c r="BB25" s="307" t="s">
        <v>62</v>
      </c>
      <c r="BC25" s="396">
        <f>'Day 8'!$L$41</f>
        <v>117</v>
      </c>
      <c r="BD25" s="397">
        <f>'Day 8'!$L$42</f>
        <v>131</v>
      </c>
      <c r="BE25" s="398">
        <f>'Day 8'!$L$40</f>
        <v>124.9</v>
      </c>
      <c r="BF25" s="396">
        <f>'Day 8'!$M$41</f>
        <v>220</v>
      </c>
      <c r="BG25" s="397">
        <f>'Day 8'!$M$42</f>
        <v>232</v>
      </c>
      <c r="BH25" s="398">
        <f>'Day 8'!$M$40</f>
        <v>225</v>
      </c>
      <c r="BI25" s="396">
        <f>'Day 8'!$N$41</f>
        <v>85</v>
      </c>
      <c r="BJ25" s="397">
        <f>'Day 8'!$N$42</f>
        <v>85</v>
      </c>
      <c r="BK25" s="398">
        <f>'Day 8'!$N$40</f>
        <v>85</v>
      </c>
      <c r="BL25" s="396">
        <f>'Day 8'!$O$41</f>
        <v>35</v>
      </c>
      <c r="BM25" s="397">
        <f>'Day 8'!$O$42</f>
        <v>55</v>
      </c>
      <c r="BN25" s="398">
        <f>'Day 8'!$O$40</f>
        <v>45.6</v>
      </c>
      <c r="BO25" s="396">
        <f>'Day 8'!$P$41</f>
        <v>6</v>
      </c>
      <c r="BP25" s="397">
        <f>'Day 8'!$P$42</f>
        <v>14</v>
      </c>
      <c r="BQ25" s="398">
        <f>'Day 8'!$P$40</f>
        <v>10.4</v>
      </c>
      <c r="BR25" s="402">
        <f>'Day 8'!$Q$41</f>
        <v>177.06</v>
      </c>
      <c r="BS25" s="403">
        <f>'Day 8'!$Q$42</f>
        <v>247.56</v>
      </c>
      <c r="BT25" s="404">
        <f>'Day 8'!$Q$44</f>
        <v>222.13329999999999</v>
      </c>
      <c r="BU25" s="405" t="str">
        <f>'Day 8'!$R$41</f>
        <v/>
      </c>
      <c r="BV25" s="406" t="str">
        <f>'Day 8'!$R$42</f>
        <v/>
      </c>
      <c r="BW25" s="407" t="str">
        <f>'Day 8'!$R$40</f>
        <v/>
      </c>
      <c r="BX25" s="307" t="s">
        <v>62</v>
      </c>
    </row>
    <row r="26" spans="1:76" s="132" customFormat="1" ht="20.100000000000001" customHeight="1" x14ac:dyDescent="0.2">
      <c r="A26" s="156" t="s">
        <v>63</v>
      </c>
      <c r="B26" s="164">
        <f t="shared" si="7"/>
        <v>45817</v>
      </c>
      <c r="C26" s="165" t="str">
        <f>'Day 9'!$B$40</f>
        <v/>
      </c>
      <c r="D26" s="165" t="str">
        <f>'Day 9'!$C$40</f>
        <v/>
      </c>
      <c r="E26" s="165">
        <f>'Day 9'!$D$40</f>
        <v>7</v>
      </c>
      <c r="F26" s="165">
        <f>'Day 9'!$E$40</f>
        <v>62.3</v>
      </c>
      <c r="G26" s="375">
        <f>IF('Day 9'!$M$49="","",'Day 9'!$M$49)</f>
        <v>201.5</v>
      </c>
      <c r="H26" s="166">
        <f t="shared" si="8"/>
        <v>1.0901414424708284</v>
      </c>
      <c r="I26" s="375">
        <f>Volume!P12</f>
        <v>184.83840000000001</v>
      </c>
      <c r="J26" s="165">
        <f>'Day 9'!$N$40</f>
        <v>85</v>
      </c>
      <c r="K26" s="167">
        <f>'Day 9'!$F$40</f>
        <v>1951</v>
      </c>
      <c r="L26" s="165" t="str">
        <f>IF('Day 9'!$M$50="","",'Day 9'!$M$50)</f>
        <v/>
      </c>
      <c r="M26" s="168">
        <f>IF('Day 9'!$I$47="","",'Day 9'!$I$47)</f>
        <v>1</v>
      </c>
      <c r="N26" s="168">
        <f>IF('Day 9'!$I$48="","",'Day 9'!$I$48)</f>
        <v>0</v>
      </c>
      <c r="O26" s="168">
        <f>IF('Day 9'!$I$49="","",'Day 9'!$I$49)</f>
        <v>0</v>
      </c>
      <c r="P26" s="58">
        <f t="shared" si="5"/>
        <v>1</v>
      </c>
      <c r="Q26" s="169">
        <f t="shared" si="6"/>
        <v>1</v>
      </c>
      <c r="R26" s="170" t="str">
        <f>CONCATENATE('Day 9'!$AF$16,'Day 9'!$AF$17,'Day 9'!$AF$18,'Day 9'!$AF$19,'Day 9'!$AF$20,'Day 9'!$AF$21,'Day 9'!$AF$22,'Day 9'!$AF$23,'Day 9'!$AF$24,'Day 9'!$AF$25,'Day 9'!$AF$26,'Day 9'!$AF$27,'Day 9'!$AF$28,'Day 9'!$AF$29,'Day 9'!$AF$30,'Day 9'!$AF$31,'Day 9'!$AF$32,'Day 9'!$AF$33,'Day 9'!$AF$34,'Day 9'!$AF$35,'Day 9'!$AF$36,'Day 9'!$AF$37,'Day 9'!$AF$38,'Day 9'!$AF$39)</f>
        <v/>
      </c>
      <c r="T26" s="307" t="s">
        <v>63</v>
      </c>
      <c r="U26" s="308" t="str">
        <f>IF($U$17="","",IF(#REF!="","",IF($U$17+1000-#REF!&lt;=23,CONCATENATE("DO PM ",TEXT($U$17+1000,"#.##0")),IF($U$17+1000-#REF!&lt;=216,CONCATENATE("Prep. PM ",TEXT($U$17+1000,"#.##0"),""),""))))</f>
        <v/>
      </c>
      <c r="V26" s="309" t="str">
        <f t="shared" si="4"/>
        <v/>
      </c>
      <c r="W26" s="308" t="str">
        <f>IF('Day 9'!$AG$40="","","CEK")</f>
        <v/>
      </c>
      <c r="X26" s="308" t="str">
        <f>IF('Day 9'!$AD$40="","","CEK")</f>
        <v/>
      </c>
      <c r="Y26" s="308" t="str">
        <f>IF('Day 9'!$AD$43="","","CEK")</f>
        <v/>
      </c>
      <c r="Z26" s="396" t="str">
        <f>'Day 9'!$B$41</f>
        <v/>
      </c>
      <c r="AA26" s="397" t="str">
        <f>'Day 9'!$B$42</f>
        <v/>
      </c>
      <c r="AB26" s="398" t="str">
        <f>'Day 9'!$B$40</f>
        <v/>
      </c>
      <c r="AC26" s="396" t="str">
        <f>'Day 9'!$C$41</f>
        <v/>
      </c>
      <c r="AD26" s="397" t="str">
        <f>'Day 9'!$C$42</f>
        <v/>
      </c>
      <c r="AE26" s="398" t="str">
        <f>'Day 9'!$C$40</f>
        <v/>
      </c>
      <c r="AF26" s="307" t="s">
        <v>63</v>
      </c>
      <c r="AG26" s="396">
        <f>'Day 9'!$D$41</f>
        <v>6</v>
      </c>
      <c r="AH26" s="397">
        <f>'Day 9'!$D$42</f>
        <v>7.9</v>
      </c>
      <c r="AI26" s="398">
        <f>'Day 9'!$D$40</f>
        <v>7</v>
      </c>
      <c r="AJ26" s="396">
        <f>'Day 9'!$E$41</f>
        <v>59</v>
      </c>
      <c r="AK26" s="397">
        <f>'Day 9'!$E$42</f>
        <v>64.8</v>
      </c>
      <c r="AL26" s="398">
        <f>'Day 9'!$E$40</f>
        <v>62.3</v>
      </c>
      <c r="AM26" s="399">
        <f>'Day 9'!$F$41</f>
        <v>1920</v>
      </c>
      <c r="AN26" s="400">
        <f>'Day 9'!$F$42</f>
        <v>1985</v>
      </c>
      <c r="AO26" s="401">
        <f>'Day 9'!$F$40</f>
        <v>1951</v>
      </c>
      <c r="AP26" s="396">
        <f>'Day 9'!$G$41</f>
        <v>-5.5</v>
      </c>
      <c r="AQ26" s="397">
        <f>'Day 9'!$G$42</f>
        <v>-5.5</v>
      </c>
      <c r="AR26" s="398">
        <f>'Day 9'!$G$40</f>
        <v>-5.5</v>
      </c>
      <c r="AS26" s="396">
        <f>'Day 9'!$H$41</f>
        <v>71</v>
      </c>
      <c r="AT26" s="397">
        <f>'Day 9'!$H$42</f>
        <v>71.900000000000006</v>
      </c>
      <c r="AU26" s="398">
        <f>'Day 9'!$H$40</f>
        <v>71.345833333333331</v>
      </c>
      <c r="AV26" s="396">
        <f>'Day 9'!$I$41</f>
        <v>21</v>
      </c>
      <c r="AW26" s="397">
        <f>'Day 9'!$I$42</f>
        <v>21.9</v>
      </c>
      <c r="AX26" s="398">
        <f>'Day 9'!$I$40</f>
        <v>21.395833333333332</v>
      </c>
      <c r="AY26" s="396">
        <f>'Day 9'!$K$41</f>
        <v>13</v>
      </c>
      <c r="AZ26" s="397">
        <f>'Day 9'!$K$42</f>
        <v>13</v>
      </c>
      <c r="BA26" s="398">
        <f>'Day 9'!$K$40</f>
        <v>13</v>
      </c>
      <c r="BB26" s="307" t="s">
        <v>63</v>
      </c>
      <c r="BC26" s="396">
        <f>'Day 9'!$L$41</f>
        <v>120</v>
      </c>
      <c r="BD26" s="397">
        <f>'Day 9'!$L$42</f>
        <v>130</v>
      </c>
      <c r="BE26" s="398">
        <f>'Day 9'!$L$40</f>
        <v>125.1</v>
      </c>
      <c r="BF26" s="396">
        <f>'Day 9'!$M$41</f>
        <v>220</v>
      </c>
      <c r="BG26" s="397">
        <f>'Day 9'!$M$42</f>
        <v>229</v>
      </c>
      <c r="BH26" s="398">
        <f>'Day 9'!$M$40</f>
        <v>224</v>
      </c>
      <c r="BI26" s="396">
        <f>'Day 9'!$N$41</f>
        <v>85</v>
      </c>
      <c r="BJ26" s="397">
        <f>'Day 9'!$N$42</f>
        <v>85</v>
      </c>
      <c r="BK26" s="398">
        <f>'Day 9'!$N$40</f>
        <v>85</v>
      </c>
      <c r="BL26" s="396">
        <f>'Day 9'!$O$41</f>
        <v>50</v>
      </c>
      <c r="BM26" s="397">
        <f>'Day 9'!$O$42</f>
        <v>55</v>
      </c>
      <c r="BN26" s="398">
        <f>'Day 9'!$O$40</f>
        <v>50.8</v>
      </c>
      <c r="BO26" s="396">
        <f>'Day 9'!$P$41</f>
        <v>7</v>
      </c>
      <c r="BP26" s="397">
        <f>'Day 9'!$P$42</f>
        <v>11</v>
      </c>
      <c r="BQ26" s="398">
        <f>'Day 9'!$P$40</f>
        <v>8.8000000000000007</v>
      </c>
      <c r="BR26" s="402">
        <f>'Day 9'!$Q$41</f>
        <v>191.12</v>
      </c>
      <c r="BS26" s="403">
        <f>'Day 9'!$Q$42</f>
        <v>239.14</v>
      </c>
      <c r="BT26" s="404">
        <f>'Day 9'!$Q$44</f>
        <v>214.9725</v>
      </c>
      <c r="BU26" s="405" t="str">
        <f>'Day 9'!$R$41</f>
        <v/>
      </c>
      <c r="BV26" s="406" t="str">
        <f>'Day 9'!$R$42</f>
        <v/>
      </c>
      <c r="BW26" s="407" t="str">
        <f>'Day 9'!$R$40</f>
        <v/>
      </c>
      <c r="BX26" s="307" t="s">
        <v>63</v>
      </c>
    </row>
    <row r="27" spans="1:76" s="132" customFormat="1" ht="20.100000000000001" customHeight="1" x14ac:dyDescent="0.2">
      <c r="A27" s="156" t="s">
        <v>64</v>
      </c>
      <c r="B27" s="164">
        <f t="shared" si="7"/>
        <v>45818</v>
      </c>
      <c r="C27" s="165" t="str">
        <f>'Day 10'!$B$40</f>
        <v/>
      </c>
      <c r="D27" s="165" t="str">
        <f>'Day 10'!$C$40</f>
        <v/>
      </c>
      <c r="E27" s="165">
        <f>'Day 10'!$D$40</f>
        <v>6.7</v>
      </c>
      <c r="F27" s="165">
        <f>'Day 10'!$E$40</f>
        <v>60.2</v>
      </c>
      <c r="G27" s="375">
        <f>IF('Day 10'!$M$49="","",'Day 10'!$M$49)</f>
        <v>196.1</v>
      </c>
      <c r="H27" s="166">
        <f t="shared" si="8"/>
        <v>1.0716352946936949</v>
      </c>
      <c r="I27" s="375">
        <f>Volume!P13</f>
        <v>182.99135999999999</v>
      </c>
      <c r="J27" s="165">
        <f>'Day 10'!$N$40</f>
        <v>87</v>
      </c>
      <c r="K27" s="167">
        <f>'Day 10'!$F$40</f>
        <v>1938</v>
      </c>
      <c r="L27" s="165" t="str">
        <f>IF('Day 10'!$M$50="","",'Day 10'!$M$50)</f>
        <v/>
      </c>
      <c r="M27" s="168">
        <f>IF('Day 10'!$I$47="","",'Day 10'!$I$47)</f>
        <v>1</v>
      </c>
      <c r="N27" s="168">
        <f>IF('Day 10'!$I$48="","",'Day 10'!$I$48)</f>
        <v>0</v>
      </c>
      <c r="O27" s="168">
        <f>IF('Day 10'!$I$49="","",'Day 10'!$I$49)</f>
        <v>0</v>
      </c>
      <c r="P27" s="58">
        <f t="shared" si="5"/>
        <v>1</v>
      </c>
      <c r="Q27" s="169">
        <f t="shared" si="6"/>
        <v>1</v>
      </c>
      <c r="R27" s="170" t="str">
        <f>CONCATENATE('Day 10'!$AF$16,'Day 10'!$AF$17,'Day 10'!$AF$18,'Day 10'!$AF$19,'Day 10'!$AF$20,'Day 10'!$AF$21,'Day 10'!$AF$22,'Day 10'!$AF$23,'Day 10'!$AF$24,'Day 10'!$AF$25,'Day 10'!$AF$26,'Day 10'!$AF$27,'Day 10'!$AF$28,'Day 10'!$AF$29,'Day 10'!$AF$30,'Day 10'!$AF$31,'Day 10'!$AF$32,'Day 10'!$AF$33,'Day 10'!$AF$34,'Day 10'!$AF$35,'Day 10'!$AF$36,'Day 10'!$AF$37,'Day 10'!$AF$38,'Day 10'!$AF$39)</f>
        <v/>
      </c>
      <c r="T27" s="307" t="s">
        <v>64</v>
      </c>
      <c r="U27" s="308" t="str">
        <f>IF($U$17="","",IF(#REF!="","",IF($U$17+1000-#REF!&lt;=23,CONCATENATE("DO PM ",TEXT($U$17+1000,"#.##0")),IF($U$17+1000-#REF!&lt;=216,CONCATENATE("Prep. PM ",TEXT($U$17+1000,"#.##0"),""),""))))</f>
        <v/>
      </c>
      <c r="V27" s="309" t="str">
        <f t="shared" si="4"/>
        <v/>
      </c>
      <c r="W27" s="308" t="str">
        <f>IF('Day 10'!$AG$40="","","CEK")</f>
        <v/>
      </c>
      <c r="X27" s="308" t="str">
        <f>IF('Day 10'!$AD$40="","","CEK")</f>
        <v/>
      </c>
      <c r="Y27" s="308" t="str">
        <f>IF('Day 10'!$AD$43="","","CEK")</f>
        <v/>
      </c>
      <c r="Z27" s="396" t="str">
        <f>'Day 10'!$B$41</f>
        <v/>
      </c>
      <c r="AA27" s="397" t="str">
        <f>'Day 10'!$B$42</f>
        <v/>
      </c>
      <c r="AB27" s="398" t="str">
        <f>'Day 10'!$B$40</f>
        <v/>
      </c>
      <c r="AC27" s="396" t="str">
        <f>'Day 10'!$C$41</f>
        <v/>
      </c>
      <c r="AD27" s="397" t="str">
        <f>'Day 10'!$C$42</f>
        <v/>
      </c>
      <c r="AE27" s="398" t="str">
        <f>'Day 10'!$C$40</f>
        <v/>
      </c>
      <c r="AF27" s="307" t="s">
        <v>64</v>
      </c>
      <c r="AG27" s="396">
        <f>'Day 10'!$D$41</f>
        <v>5.9</v>
      </c>
      <c r="AH27" s="397">
        <f>'Day 10'!$D$42</f>
        <v>8</v>
      </c>
      <c r="AI27" s="398">
        <f>'Day 10'!$D$40</f>
        <v>6.7</v>
      </c>
      <c r="AJ27" s="396">
        <f>'Day 10'!$E$41</f>
        <v>54.8</v>
      </c>
      <c r="AK27" s="397">
        <f>'Day 10'!$E$42</f>
        <v>78.400000000000006</v>
      </c>
      <c r="AL27" s="398">
        <f>'Day 10'!$E$40</f>
        <v>60.2</v>
      </c>
      <c r="AM27" s="399">
        <f>'Day 10'!$F$41</f>
        <v>1903</v>
      </c>
      <c r="AN27" s="400">
        <f>'Day 10'!$F$42</f>
        <v>1970</v>
      </c>
      <c r="AO27" s="401">
        <f>'Day 10'!$F$40</f>
        <v>1938</v>
      </c>
      <c r="AP27" s="396">
        <f>'Day 10'!$G$41</f>
        <v>-5.5</v>
      </c>
      <c r="AQ27" s="397">
        <f>'Day 10'!$G$42</f>
        <v>-5.5</v>
      </c>
      <c r="AR27" s="398">
        <f>'Day 10'!$G$40</f>
        <v>-5.5</v>
      </c>
      <c r="AS27" s="396">
        <f>'Day 10'!$H$41</f>
        <v>71</v>
      </c>
      <c r="AT27" s="397">
        <f>'Day 10'!$H$42</f>
        <v>71.900000000000006</v>
      </c>
      <c r="AU27" s="398">
        <f>'Day 10'!$H$40</f>
        <v>71.420833333333334</v>
      </c>
      <c r="AV27" s="396">
        <f>'Day 10'!$I$41</f>
        <v>21</v>
      </c>
      <c r="AW27" s="397">
        <f>'Day 10'!$I$42</f>
        <v>21.9</v>
      </c>
      <c r="AX27" s="398">
        <f>'Day 10'!$I$40</f>
        <v>21.425000000000001</v>
      </c>
      <c r="AY27" s="396">
        <f>'Day 10'!$K$41</f>
        <v>13.01</v>
      </c>
      <c r="AZ27" s="397">
        <f>'Day 10'!$K$42</f>
        <v>13.01</v>
      </c>
      <c r="BA27" s="398">
        <f>'Day 10'!$K$40</f>
        <v>13.009999999999996</v>
      </c>
      <c r="BB27" s="307" t="s">
        <v>64</v>
      </c>
      <c r="BC27" s="396">
        <f>'Day 10'!$L$41</f>
        <v>120</v>
      </c>
      <c r="BD27" s="397">
        <f>'Day 10'!$L$42</f>
        <v>127</v>
      </c>
      <c r="BE27" s="398">
        <f>'Day 10'!$L$40</f>
        <v>122.1</v>
      </c>
      <c r="BF27" s="396">
        <f>'Day 10'!$M$41</f>
        <v>217</v>
      </c>
      <c r="BG27" s="397">
        <f>'Day 10'!$M$42</f>
        <v>225</v>
      </c>
      <c r="BH27" s="398">
        <f>'Day 10'!$M$40</f>
        <v>221</v>
      </c>
      <c r="BI27" s="396">
        <f>'Day 10'!$N$41</f>
        <v>85</v>
      </c>
      <c r="BJ27" s="397">
        <f>'Day 10'!$N$42</f>
        <v>90</v>
      </c>
      <c r="BK27" s="398">
        <f>'Day 10'!$N$40</f>
        <v>87</v>
      </c>
      <c r="BL27" s="396">
        <f>'Day 10'!$O$41</f>
        <v>45</v>
      </c>
      <c r="BM27" s="397">
        <f>'Day 10'!$O$42</f>
        <v>70</v>
      </c>
      <c r="BN27" s="398">
        <f>'Day 10'!$O$40</f>
        <v>51.5</v>
      </c>
      <c r="BO27" s="396">
        <f>'Day 10'!$P$41</f>
        <v>6</v>
      </c>
      <c r="BP27" s="397">
        <f>'Day 10'!$P$42</f>
        <v>11</v>
      </c>
      <c r="BQ27" s="398">
        <f>'Day 10'!$P$40</f>
        <v>7.8</v>
      </c>
      <c r="BR27" s="402">
        <f>'Day 10'!$Q$41</f>
        <v>176.25</v>
      </c>
      <c r="BS27" s="403">
        <f>'Day 10'!$Q$42</f>
        <v>229.59</v>
      </c>
      <c r="BT27" s="404">
        <f>'Day 10'!$Q$44</f>
        <v>201.96459999999999</v>
      </c>
      <c r="BU27" s="405" t="str">
        <f>'Day 10'!$R$41</f>
        <v/>
      </c>
      <c r="BV27" s="406" t="str">
        <f>'Day 10'!$R$42</f>
        <v/>
      </c>
      <c r="BW27" s="407" t="str">
        <f>'Day 10'!$R$40</f>
        <v/>
      </c>
      <c r="BX27" s="307" t="s">
        <v>64</v>
      </c>
    </row>
    <row r="28" spans="1:76" s="132" customFormat="1" ht="20.100000000000001" customHeight="1" x14ac:dyDescent="0.2">
      <c r="A28" s="156" t="s">
        <v>65</v>
      </c>
      <c r="B28" s="164">
        <f t="shared" si="7"/>
        <v>45819</v>
      </c>
      <c r="C28" s="165" t="str">
        <f>'Day 11'!$B$40</f>
        <v/>
      </c>
      <c r="D28" s="165" t="str">
        <f>'Day 11'!$C$40</f>
        <v/>
      </c>
      <c r="E28" s="165">
        <f>'Day 11'!$D$40</f>
        <v>6.9</v>
      </c>
      <c r="F28" s="165">
        <f>'Day 11'!$E$40</f>
        <v>58.1</v>
      </c>
      <c r="G28" s="375">
        <f>IF('Day 11'!$M$49="","",'Day 11'!$M$49)</f>
        <v>211.2</v>
      </c>
      <c r="H28" s="166">
        <f t="shared" si="8"/>
        <v>1.1336860642928825</v>
      </c>
      <c r="I28" s="375">
        <f>Volume!P14</f>
        <v>186.29496</v>
      </c>
      <c r="J28" s="165">
        <f>'Day 11'!$N$40</f>
        <v>90</v>
      </c>
      <c r="K28" s="167">
        <f>'Day 11'!$F$40</f>
        <v>1940</v>
      </c>
      <c r="L28" s="165" t="str">
        <f>IF('Day 11'!$M$50="","",'Day 11'!$M$50)</f>
        <v/>
      </c>
      <c r="M28" s="168">
        <f>IF('Day 11'!$I$47="","",'Day 11'!$I$47)</f>
        <v>1</v>
      </c>
      <c r="N28" s="168">
        <f>IF('Day 11'!$I$48="","",'Day 11'!$I$48)</f>
        <v>0</v>
      </c>
      <c r="O28" s="168">
        <f>IF('Day 11'!$I$49="","",'Day 11'!$I$49)</f>
        <v>0</v>
      </c>
      <c r="P28" s="58">
        <f t="shared" si="5"/>
        <v>1</v>
      </c>
      <c r="Q28" s="169">
        <f t="shared" si="6"/>
        <v>1</v>
      </c>
      <c r="R28" s="170" t="str">
        <f>CONCATENATE('Day 11'!$AF$16,'Day 11'!$AF$17,'Day 11'!$AF$18,'Day 11'!$AF$19,'Day 11'!$AF$20,'Day 11'!$AF$21,'Day 11'!$AF$22,'Day 11'!$AF$23,'Day 11'!$AF$24,'Day 11'!$AF$25,'Day 11'!$AF$26,'Day 11'!$AF$27,'Day 11'!$AF$28,'Day 11'!$AF$29,'Day 11'!$AF$30,'Day 11'!$AF$31,'Day 11'!$AF$32,'Day 11'!$AF$33,'Day 11'!$AF$34,'Day 11'!$AF$35,'Day 11'!$AF$36,'Day 11'!$AF$37,'Day 11'!$AF$38,'Day 11'!$AF$39)</f>
        <v/>
      </c>
      <c r="T28" s="307" t="s">
        <v>65</v>
      </c>
      <c r="U28" s="308" t="str">
        <f>IF($U$17="","",IF(#REF!="","",IF($U$17+1000-#REF!&lt;=23,CONCATENATE("DO PM ",TEXT($U$17+1000,"#.##0")),IF($U$17+1000-#REF!&lt;=216,CONCATENATE("Prep. PM ",TEXT($U$17+1000,"#.##0"),""),""))))</f>
        <v/>
      </c>
      <c r="V28" s="309" t="str">
        <f t="shared" si="4"/>
        <v/>
      </c>
      <c r="W28" s="308" t="str">
        <f>IF('Day 11'!$AG$40="","","CEK")</f>
        <v/>
      </c>
      <c r="X28" s="308" t="str">
        <f>IF('Day 11'!$AD$40="","","CEK")</f>
        <v/>
      </c>
      <c r="Y28" s="308" t="str">
        <f>IF('Day 11'!$AD$43="","","CEK")</f>
        <v/>
      </c>
      <c r="Z28" s="396" t="str">
        <f>'Day 11'!$B$41</f>
        <v/>
      </c>
      <c r="AA28" s="397" t="str">
        <f>'Day 11'!$B$42</f>
        <v/>
      </c>
      <c r="AB28" s="398" t="str">
        <f>'Day 11'!$B$40</f>
        <v/>
      </c>
      <c r="AC28" s="396" t="str">
        <f>'Day 11'!$C$41</f>
        <v/>
      </c>
      <c r="AD28" s="397" t="str">
        <f>'Day 11'!$C$42</f>
        <v/>
      </c>
      <c r="AE28" s="398" t="str">
        <f>'Day 11'!$C$40</f>
        <v/>
      </c>
      <c r="AF28" s="307" t="s">
        <v>65</v>
      </c>
      <c r="AG28" s="396">
        <f>'Day 11'!$D$41</f>
        <v>5.6</v>
      </c>
      <c r="AH28" s="397">
        <f>'Day 11'!$D$42</f>
        <v>9</v>
      </c>
      <c r="AI28" s="398">
        <f>'Day 11'!$D$40</f>
        <v>6.9</v>
      </c>
      <c r="AJ28" s="396">
        <f>'Day 11'!$E$41</f>
        <v>52.6</v>
      </c>
      <c r="AK28" s="397">
        <f>'Day 11'!$E$42</f>
        <v>70</v>
      </c>
      <c r="AL28" s="398">
        <f>'Day 11'!$E$40</f>
        <v>58.1</v>
      </c>
      <c r="AM28" s="399">
        <f>'Day 11'!$F$41</f>
        <v>1909</v>
      </c>
      <c r="AN28" s="400">
        <f>'Day 11'!$F$42</f>
        <v>1985</v>
      </c>
      <c r="AO28" s="401">
        <f>'Day 11'!$F$40</f>
        <v>1940</v>
      </c>
      <c r="AP28" s="396">
        <f>'Day 11'!$G$41</f>
        <v>-5.5</v>
      </c>
      <c r="AQ28" s="397">
        <f>'Day 11'!$G$42</f>
        <v>-5.5</v>
      </c>
      <c r="AR28" s="398">
        <f>'Day 11'!$G$40</f>
        <v>-5.5</v>
      </c>
      <c r="AS28" s="396">
        <f>'Day 11'!$H$41</f>
        <v>71</v>
      </c>
      <c r="AT28" s="397">
        <f>'Day 11'!$H$42</f>
        <v>71.900000000000006</v>
      </c>
      <c r="AU28" s="398">
        <f>'Day 11'!$H$40</f>
        <v>71.479166666666657</v>
      </c>
      <c r="AV28" s="396">
        <f>'Day 11'!$I$41</f>
        <v>20.3</v>
      </c>
      <c r="AW28" s="397">
        <f>'Day 11'!$I$42</f>
        <v>21.9</v>
      </c>
      <c r="AX28" s="398">
        <f>'Day 11'!$I$40</f>
        <v>21.404166666666669</v>
      </c>
      <c r="AY28" s="396">
        <f>'Day 11'!$K$41</f>
        <v>13</v>
      </c>
      <c r="AZ28" s="397">
        <f>'Day 11'!$K$42</f>
        <v>13</v>
      </c>
      <c r="BA28" s="398">
        <f>'Day 11'!$K$40</f>
        <v>13</v>
      </c>
      <c r="BB28" s="307" t="s">
        <v>65</v>
      </c>
      <c r="BC28" s="396">
        <f>'Day 11'!$L$41</f>
        <v>121</v>
      </c>
      <c r="BD28" s="397">
        <f>'Day 11'!$L$42</f>
        <v>129</v>
      </c>
      <c r="BE28" s="398">
        <f>'Day 11'!$L$40</f>
        <v>125.1</v>
      </c>
      <c r="BF28" s="396">
        <f>'Day 11'!$M$41</f>
        <v>218</v>
      </c>
      <c r="BG28" s="397">
        <f>'Day 11'!$M$42</f>
        <v>225</v>
      </c>
      <c r="BH28" s="398">
        <f>'Day 11'!$M$40</f>
        <v>221</v>
      </c>
      <c r="BI28" s="396">
        <f>'Day 11'!$N$41</f>
        <v>90</v>
      </c>
      <c r="BJ28" s="397">
        <f>'Day 11'!$N$42</f>
        <v>90</v>
      </c>
      <c r="BK28" s="398">
        <f>'Day 11'!$N$40</f>
        <v>90</v>
      </c>
      <c r="BL28" s="396">
        <f>'Day 11'!$O$41</f>
        <v>30</v>
      </c>
      <c r="BM28" s="397">
        <f>'Day 11'!$O$42</f>
        <v>50</v>
      </c>
      <c r="BN28" s="398">
        <f>'Day 11'!$O$40</f>
        <v>37.5</v>
      </c>
      <c r="BO28" s="396">
        <f>'Day 11'!$P$41</f>
        <v>7</v>
      </c>
      <c r="BP28" s="397">
        <f>'Day 11'!$P$42</f>
        <v>18</v>
      </c>
      <c r="BQ28" s="398">
        <f>'Day 11'!$P$40</f>
        <v>11.3</v>
      </c>
      <c r="BR28" s="402">
        <f>'Day 11'!$Q$41</f>
        <v>168.64</v>
      </c>
      <c r="BS28" s="403">
        <f>'Day 11'!$Q$42</f>
        <v>279.13</v>
      </c>
      <c r="BT28" s="404">
        <f>'Day 11'!$Q$44</f>
        <v>210.845</v>
      </c>
      <c r="BU28" s="405" t="str">
        <f>'Day 11'!$R$41</f>
        <v/>
      </c>
      <c r="BV28" s="406" t="str">
        <f>'Day 11'!$R$42</f>
        <v/>
      </c>
      <c r="BW28" s="407" t="str">
        <f>'Day 11'!$R$40</f>
        <v/>
      </c>
      <c r="BX28" s="307" t="s">
        <v>65</v>
      </c>
    </row>
    <row r="29" spans="1:76" s="132" customFormat="1" ht="20.100000000000001" customHeight="1" x14ac:dyDescent="0.2">
      <c r="A29" s="156" t="s">
        <v>66</v>
      </c>
      <c r="B29" s="164">
        <f t="shared" si="7"/>
        <v>45820</v>
      </c>
      <c r="C29" s="165" t="str">
        <f>'Day 12'!$B$40</f>
        <v/>
      </c>
      <c r="D29" s="165" t="str">
        <f>'Day 12'!$C$40</f>
        <v/>
      </c>
      <c r="E29" s="165">
        <f>'Day 12'!$D$40</f>
        <v>6.6</v>
      </c>
      <c r="F29" s="165">
        <f>'Day 12'!$E$40</f>
        <v>58.8</v>
      </c>
      <c r="G29" s="375">
        <f>IF('Day 12'!$M$49="","",'Day 12'!$M$49)</f>
        <v>214.3</v>
      </c>
      <c r="H29" s="166">
        <f t="shared" si="8"/>
        <v>1.1725329425400861</v>
      </c>
      <c r="I29" s="375">
        <f>Volume!P15</f>
        <v>182.76671999999999</v>
      </c>
      <c r="J29" s="165">
        <f>'Day 12'!$N$40</f>
        <v>85</v>
      </c>
      <c r="K29" s="167">
        <f>'Day 12'!$F$40</f>
        <v>1945</v>
      </c>
      <c r="L29" s="165" t="str">
        <f>IF('Day 12'!$M$50="","",'Day 12'!$M$50)</f>
        <v/>
      </c>
      <c r="M29" s="168">
        <f>IF('Day 12'!$I$47="","",'Day 12'!$I$47)</f>
        <v>1</v>
      </c>
      <c r="N29" s="168">
        <f>IF('Day 12'!$I$48="","",'Day 12'!$I$48)</f>
        <v>0</v>
      </c>
      <c r="O29" s="168">
        <f>IF('Day 12'!$I$49="","",'Day 12'!$I$49)</f>
        <v>0</v>
      </c>
      <c r="P29" s="58">
        <f t="shared" si="5"/>
        <v>1</v>
      </c>
      <c r="Q29" s="169">
        <f t="shared" si="6"/>
        <v>1</v>
      </c>
      <c r="R29" s="170" t="str">
        <f>CONCATENATE('Day 12'!$AF$16,'Day 12'!$AF$17,'Day 12'!$AF$18,'Day 12'!$AF$19,'Day 12'!$AF$20,'Day 12'!$AF$21,'Day 12'!$AF$22,'Day 12'!$AF$23,'Day 12'!$AF$24,'Day 12'!$AF$25,'Day 12'!$AF$26,'Day 12'!$AF$27,'Day 12'!$AF$28,'Day 12'!$AF$29,'Day 12'!$AF$30,'Day 12'!$AF$31,'Day 12'!$AF$32,'Day 12'!$AF$33,'Day 12'!$AF$34,'Day 12'!$AF$35,'Day 12'!$AF$36,'Day 12'!$AF$37,'Day 12'!$AF$38,'Day 12'!$AF$39)</f>
        <v>13:00 - 18:00 Barton calibration</v>
      </c>
      <c r="T29" s="307" t="s">
        <v>66</v>
      </c>
      <c r="U29" s="308" t="str">
        <f>IF($U$17="","",IF(#REF!="","",IF($U$17+1000-#REF!&lt;=23,CONCATENATE("DO PM ",TEXT($U$17+1000,"#.##0")),IF($U$17+1000-#REF!&lt;=216,CONCATENATE("Prep. PM ",TEXT($U$17+1000,"#.##0"),""),""))))</f>
        <v/>
      </c>
      <c r="V29" s="309" t="str">
        <f t="shared" si="4"/>
        <v>Cek</v>
      </c>
      <c r="W29" s="308" t="str">
        <f>IF('Day 12'!$AG$40="","","CEK")</f>
        <v>CEK</v>
      </c>
      <c r="X29" s="308" t="str">
        <f>IF('Day 12'!$AD$40="","","CEK")</f>
        <v/>
      </c>
      <c r="Y29" s="308" t="str">
        <f>IF('Day 12'!$AD$43="","","CEK")</f>
        <v>CEK</v>
      </c>
      <c r="Z29" s="396" t="str">
        <f>'Day 12'!$B$41</f>
        <v/>
      </c>
      <c r="AA29" s="397" t="str">
        <f>'Day 12'!$B$42</f>
        <v/>
      </c>
      <c r="AB29" s="398" t="str">
        <f>'Day 12'!$B$40</f>
        <v/>
      </c>
      <c r="AC29" s="396" t="str">
        <f>'Day 12'!$C$41</f>
        <v/>
      </c>
      <c r="AD29" s="397" t="str">
        <f>'Day 12'!$C$42</f>
        <v/>
      </c>
      <c r="AE29" s="398" t="str">
        <f>'Day 12'!$C$40</f>
        <v/>
      </c>
      <c r="AF29" s="307" t="s">
        <v>66</v>
      </c>
      <c r="AG29" s="396">
        <f>'Day 12'!$D$41</f>
        <v>5</v>
      </c>
      <c r="AH29" s="397">
        <f>'Day 12'!$D$42</f>
        <v>7.6</v>
      </c>
      <c r="AI29" s="398">
        <f>'Day 12'!$D$40</f>
        <v>6.6</v>
      </c>
      <c r="AJ29" s="396">
        <f>'Day 12'!$E$41</f>
        <v>53.8</v>
      </c>
      <c r="AK29" s="397">
        <f>'Day 12'!$E$42</f>
        <v>63.9</v>
      </c>
      <c r="AL29" s="398">
        <f>'Day 12'!$E$40</f>
        <v>58.8</v>
      </c>
      <c r="AM29" s="399">
        <f>'Day 12'!$F$41</f>
        <v>1909</v>
      </c>
      <c r="AN29" s="400">
        <f>'Day 12'!$F$42</f>
        <v>1983</v>
      </c>
      <c r="AO29" s="401">
        <f>'Day 12'!$F$40</f>
        <v>1945</v>
      </c>
      <c r="AP29" s="396">
        <f>'Day 12'!$G$41</f>
        <v>-5.6</v>
      </c>
      <c r="AQ29" s="397">
        <f>'Day 12'!$G$42</f>
        <v>-5.6</v>
      </c>
      <c r="AR29" s="398">
        <f>'Day 12'!$G$40</f>
        <v>-5.5999999999999979</v>
      </c>
      <c r="AS29" s="396">
        <f>'Day 12'!$H$41</f>
        <v>72</v>
      </c>
      <c r="AT29" s="397">
        <f>'Day 12'!$H$42</f>
        <v>72.900000000000006</v>
      </c>
      <c r="AU29" s="398">
        <f>'Day 12'!$H$40</f>
        <v>72.408333333333331</v>
      </c>
      <c r="AV29" s="396">
        <f>'Day 12'!$I$41</f>
        <v>22</v>
      </c>
      <c r="AW29" s="397">
        <f>'Day 12'!$I$42</f>
        <v>22.9</v>
      </c>
      <c r="AX29" s="398">
        <f>'Day 12'!$I$40</f>
        <v>22.441666666666663</v>
      </c>
      <c r="AY29" s="396">
        <f>'Day 12'!$K$41</f>
        <v>13</v>
      </c>
      <c r="AZ29" s="397">
        <f>'Day 12'!$K$42</f>
        <v>13</v>
      </c>
      <c r="BA29" s="398">
        <f>'Day 12'!$K$40</f>
        <v>13</v>
      </c>
      <c r="BB29" s="307" t="s">
        <v>66</v>
      </c>
      <c r="BC29" s="396">
        <f>'Day 12'!$L$41</f>
        <v>120</v>
      </c>
      <c r="BD29" s="397">
        <f>'Day 12'!$L$42</f>
        <v>128</v>
      </c>
      <c r="BE29" s="398">
        <f>'Day 12'!$L$40</f>
        <v>123.6</v>
      </c>
      <c r="BF29" s="396">
        <f>'Day 12'!$M$41</f>
        <v>220</v>
      </c>
      <c r="BG29" s="397">
        <f>'Day 12'!$M$42</f>
        <v>224</v>
      </c>
      <c r="BH29" s="398">
        <f>'Day 12'!$M$40</f>
        <v>221</v>
      </c>
      <c r="BI29" s="396">
        <f>'Day 12'!$N$41</f>
        <v>85</v>
      </c>
      <c r="BJ29" s="397">
        <f>'Day 12'!$N$42</f>
        <v>85</v>
      </c>
      <c r="BK29" s="398">
        <f>'Day 12'!$N$40</f>
        <v>85</v>
      </c>
      <c r="BL29" s="396">
        <f>'Day 12'!$O$41</f>
        <v>35</v>
      </c>
      <c r="BM29" s="397">
        <f>'Day 12'!$O$42</f>
        <v>55</v>
      </c>
      <c r="BN29" s="398">
        <f>'Day 12'!$O$40</f>
        <v>40.6</v>
      </c>
      <c r="BO29" s="396">
        <f>'Day 12'!$P$41</f>
        <v>6</v>
      </c>
      <c r="BP29" s="397">
        <f>'Day 12'!$P$42</f>
        <v>17</v>
      </c>
      <c r="BQ29" s="398">
        <f>'Day 12'!$P$40</f>
        <v>11.8</v>
      </c>
      <c r="BR29" s="402">
        <f>'Day 12'!$Q$41</f>
        <v>183.87</v>
      </c>
      <c r="BS29" s="403">
        <f>'Day 12'!$Q$42</f>
        <v>272.58</v>
      </c>
      <c r="BT29" s="404">
        <f>'Day 12'!$Q$44</f>
        <v>225.56720000000001</v>
      </c>
      <c r="BU29" s="405" t="str">
        <f>'Day 12'!$R$41</f>
        <v/>
      </c>
      <c r="BV29" s="406" t="str">
        <f>'Day 12'!$R$42</f>
        <v/>
      </c>
      <c r="BW29" s="407" t="str">
        <f>'Day 12'!$R$40</f>
        <v/>
      </c>
      <c r="BX29" s="307" t="s">
        <v>66</v>
      </c>
    </row>
    <row r="30" spans="1:76" s="132" customFormat="1" ht="20.100000000000001" customHeight="1" x14ac:dyDescent="0.2">
      <c r="A30" s="156" t="s">
        <v>67</v>
      </c>
      <c r="B30" s="164">
        <f t="shared" si="7"/>
        <v>45821</v>
      </c>
      <c r="C30" s="165" t="str">
        <f>'Day 13'!$B$40</f>
        <v/>
      </c>
      <c r="D30" s="165" t="str">
        <f>'Day 13'!$C$40</f>
        <v/>
      </c>
      <c r="E30" s="165">
        <f>'Day 13'!$D$40</f>
        <v>6.7</v>
      </c>
      <c r="F30" s="165">
        <f>'Day 13'!$E$40</f>
        <v>61.5</v>
      </c>
      <c r="G30" s="375">
        <f>IF('Day 13'!$M$49="","",'Day 13'!$M$49)</f>
        <v>217.9</v>
      </c>
      <c r="H30" s="166">
        <f t="shared" si="8"/>
        <v>1.1957206480487641</v>
      </c>
      <c r="I30" s="375">
        <f>Volume!P16</f>
        <v>182.23319999999998</v>
      </c>
      <c r="J30" s="165">
        <f>'Day 13'!$N$40</f>
        <v>87</v>
      </c>
      <c r="K30" s="167">
        <f>'Day 13'!$F$40</f>
        <v>1952</v>
      </c>
      <c r="L30" s="165" t="str">
        <f>IF('Day 13'!$M$50="","",'Day 13'!$M$50)</f>
        <v/>
      </c>
      <c r="M30" s="168">
        <f>IF('Day 13'!$I$47="","",'Day 13'!$I$47)</f>
        <v>1</v>
      </c>
      <c r="N30" s="168">
        <f>IF('Day 13'!$I$48="","",'Day 13'!$I$48)</f>
        <v>0</v>
      </c>
      <c r="O30" s="168">
        <f>IF('Day 13'!$I$49="","",'Day 13'!$I$49)</f>
        <v>0</v>
      </c>
      <c r="P30" s="58">
        <f t="shared" si="5"/>
        <v>1</v>
      </c>
      <c r="Q30" s="169">
        <f t="shared" si="6"/>
        <v>1</v>
      </c>
      <c r="R30" s="170" t="str">
        <f>CONCATENATE('Day 13'!$AF$16,'Day 13'!$AF$17,'Day 13'!$AF$18,'Day 13'!$AF$19,'Day 13'!$AF$20,'Day 13'!$AF$21,'Day 13'!$AF$22,'Day 13'!$AF$23,'Day 13'!$AF$24,'Day 13'!$AF$25,'Day 13'!$AF$26,'Day 13'!$AF$27,'Day 13'!$AF$28,'Day 13'!$AF$29,'Day 13'!$AF$30,'Day 13'!$AF$31,'Day 13'!$AF$32,'Day 13'!$AF$33,'Day 13'!$AF$34,'Day 13'!$AF$35,'Day 13'!$AF$36,'Day 13'!$AF$37,'Day 13'!$AF$38,'Day 13'!$AF$39)</f>
        <v/>
      </c>
      <c r="T30" s="307" t="s">
        <v>67</v>
      </c>
      <c r="U30" s="308" t="str">
        <f>IF($U$17="","",IF(#REF!="","",IF($U$17+1000-#REF!&lt;=23,CONCATENATE("DO PM ",TEXT($U$17+1000,"#.##0")),IF($U$17+1000-#REF!&lt;=216,CONCATENATE("Prep. PM ",TEXT($U$17+1000,"#.##0"),""),""))))</f>
        <v/>
      </c>
      <c r="V30" s="309" t="str">
        <f t="shared" si="4"/>
        <v/>
      </c>
      <c r="W30" s="308" t="str">
        <f>IF('Day 13'!$AG$40="","","CEK")</f>
        <v/>
      </c>
      <c r="X30" s="308" t="str">
        <f>IF('Day 13'!$AD$40="","","CEK")</f>
        <v/>
      </c>
      <c r="Y30" s="308" t="str">
        <f>IF('Day 13'!$AD$43="","","CEK")</f>
        <v/>
      </c>
      <c r="Z30" s="396" t="str">
        <f>'Day 13'!$B$41</f>
        <v/>
      </c>
      <c r="AA30" s="397" t="str">
        <f>'Day 13'!$B$42</f>
        <v/>
      </c>
      <c r="AB30" s="398" t="str">
        <f>'Day 13'!$B$40</f>
        <v/>
      </c>
      <c r="AC30" s="396" t="str">
        <f>'Day 13'!$C$41</f>
        <v/>
      </c>
      <c r="AD30" s="397" t="str">
        <f>'Day 13'!$C$42</f>
        <v/>
      </c>
      <c r="AE30" s="398" t="str">
        <f>'Day 13'!$C$40</f>
        <v/>
      </c>
      <c r="AF30" s="307" t="s">
        <v>67</v>
      </c>
      <c r="AG30" s="396">
        <f>'Day 13'!$D$41</f>
        <v>5.6</v>
      </c>
      <c r="AH30" s="397">
        <f>'Day 13'!$D$42</f>
        <v>7.9</v>
      </c>
      <c r="AI30" s="398">
        <f>'Day 13'!$D$40</f>
        <v>6.7</v>
      </c>
      <c r="AJ30" s="396">
        <f>'Day 13'!$E$41</f>
        <v>58.3</v>
      </c>
      <c r="AK30" s="397">
        <f>'Day 13'!$E$42</f>
        <v>63.7</v>
      </c>
      <c r="AL30" s="398">
        <f>'Day 13'!$E$40</f>
        <v>61.5</v>
      </c>
      <c r="AM30" s="399">
        <f>'Day 13'!$F$41</f>
        <v>1930</v>
      </c>
      <c r="AN30" s="400">
        <f>'Day 13'!$F$42</f>
        <v>1985</v>
      </c>
      <c r="AO30" s="401">
        <f>'Day 13'!$F$40</f>
        <v>1952</v>
      </c>
      <c r="AP30" s="396">
        <f>'Day 13'!$G$41</f>
        <v>-5.6</v>
      </c>
      <c r="AQ30" s="397">
        <f>'Day 13'!$G$42</f>
        <v>-5.6</v>
      </c>
      <c r="AR30" s="398">
        <f>'Day 13'!$G$40</f>
        <v>-5.5999999999999979</v>
      </c>
      <c r="AS30" s="396">
        <f>'Day 13'!$H$41</f>
        <v>71</v>
      </c>
      <c r="AT30" s="397">
        <f>'Day 13'!$H$42</f>
        <v>71.900000000000006</v>
      </c>
      <c r="AU30" s="398">
        <f>'Day 13'!$H$40</f>
        <v>71.379166666666663</v>
      </c>
      <c r="AV30" s="396">
        <f>'Day 13'!$I$41</f>
        <v>21</v>
      </c>
      <c r="AW30" s="397">
        <f>'Day 13'!$I$42</f>
        <v>21.9</v>
      </c>
      <c r="AX30" s="398">
        <f>'Day 13'!$I$40</f>
        <v>21.425000000000001</v>
      </c>
      <c r="AY30" s="396">
        <f>'Day 13'!$K$41</f>
        <v>13</v>
      </c>
      <c r="AZ30" s="397">
        <f>'Day 13'!$K$42</f>
        <v>13</v>
      </c>
      <c r="BA30" s="398">
        <f>'Day 13'!$K$40</f>
        <v>13</v>
      </c>
      <c r="BB30" s="307" t="s">
        <v>67</v>
      </c>
      <c r="BC30" s="396">
        <f>'Day 13'!$L$41</f>
        <v>128</v>
      </c>
      <c r="BD30" s="397">
        <f>'Day 13'!$L$42</f>
        <v>137</v>
      </c>
      <c r="BE30" s="398">
        <f>'Day 13'!$L$40</f>
        <v>132.4</v>
      </c>
      <c r="BF30" s="396">
        <f>'Day 13'!$M$41</f>
        <v>218</v>
      </c>
      <c r="BG30" s="397">
        <f>'Day 13'!$M$42</f>
        <v>227</v>
      </c>
      <c r="BH30" s="398">
        <f>'Day 13'!$M$40</f>
        <v>223</v>
      </c>
      <c r="BI30" s="396">
        <f>'Day 13'!$N$41</f>
        <v>85</v>
      </c>
      <c r="BJ30" s="397">
        <f>'Day 13'!$N$42</f>
        <v>90</v>
      </c>
      <c r="BK30" s="398">
        <f>'Day 13'!$N$40</f>
        <v>87</v>
      </c>
      <c r="BL30" s="396">
        <f>'Day 13'!$O$41</f>
        <v>35</v>
      </c>
      <c r="BM30" s="397">
        <f>'Day 13'!$O$42</f>
        <v>50</v>
      </c>
      <c r="BN30" s="398">
        <f>'Day 13'!$O$40</f>
        <v>44.2</v>
      </c>
      <c r="BO30" s="396">
        <f>'Day 13'!$P$41</f>
        <v>10</v>
      </c>
      <c r="BP30" s="397">
        <f>'Day 13'!$P$42</f>
        <v>15</v>
      </c>
      <c r="BQ30" s="398">
        <f>'Day 13'!$P$40</f>
        <v>11.8</v>
      </c>
      <c r="BR30" s="402">
        <f>'Day 13'!$Q$41</f>
        <v>217.99</v>
      </c>
      <c r="BS30" s="403">
        <f>'Day 13'!$Q$42</f>
        <v>266.55</v>
      </c>
      <c r="BT30" s="404">
        <f>'Day 13'!$Q$44</f>
        <v>235.1138</v>
      </c>
      <c r="BU30" s="405" t="str">
        <f>'Day 13'!$R$41</f>
        <v/>
      </c>
      <c r="BV30" s="406" t="str">
        <f>'Day 13'!$R$42</f>
        <v/>
      </c>
      <c r="BW30" s="407" t="str">
        <f>'Day 13'!$R$40</f>
        <v/>
      </c>
      <c r="BX30" s="307" t="s">
        <v>67</v>
      </c>
    </row>
    <row r="31" spans="1:76" s="132" customFormat="1" ht="20.100000000000001" customHeight="1" x14ac:dyDescent="0.2">
      <c r="A31" s="156" t="s">
        <v>68</v>
      </c>
      <c r="B31" s="164">
        <f t="shared" si="7"/>
        <v>45822</v>
      </c>
      <c r="C31" s="165" t="str">
        <f>'Day 14'!$B$40</f>
        <v/>
      </c>
      <c r="D31" s="165" t="str">
        <f>'Day 14'!$C$40</f>
        <v/>
      </c>
      <c r="E31" s="165">
        <f>'Day 14'!$D$40</f>
        <v>7.1</v>
      </c>
      <c r="F31" s="165">
        <f>'Day 14'!$E$40</f>
        <v>62.6</v>
      </c>
      <c r="G31" s="375">
        <f>IF('Day 14'!$M$49="","",'Day 14'!$M$49)</f>
        <v>210.2</v>
      </c>
      <c r="H31" s="166">
        <f t="shared" si="8"/>
        <v>1.1313717435654982</v>
      </c>
      <c r="I31" s="375">
        <f>Volume!P17</f>
        <v>185.79215999999997</v>
      </c>
      <c r="J31" s="165">
        <f>'Day 14'!$N$40</f>
        <v>90</v>
      </c>
      <c r="K31" s="167">
        <f>'Day 14'!$F$40</f>
        <v>1947</v>
      </c>
      <c r="L31" s="165" t="str">
        <f>IF('Day 14'!$M$50="","",'Day 14'!$M$50)</f>
        <v/>
      </c>
      <c r="M31" s="168">
        <f>IF('Day 14'!$I$47="","",'Day 14'!$I$47)</f>
        <v>1</v>
      </c>
      <c r="N31" s="168">
        <f>IF('Day 14'!$I$48="","",'Day 14'!$I$48)</f>
        <v>0</v>
      </c>
      <c r="O31" s="168">
        <f>IF('Day 14'!$I$49="","",'Day 14'!$I$49)</f>
        <v>0</v>
      </c>
      <c r="P31" s="58">
        <f t="shared" si="5"/>
        <v>1</v>
      </c>
      <c r="Q31" s="169">
        <f t="shared" si="6"/>
        <v>1</v>
      </c>
      <c r="R31" s="170" t="str">
        <f>CONCATENATE('Day 14'!$AF$16,'Day 14'!$AF$17,'Day 14'!$AF$18,'Day 14'!$AF$19,'Day 14'!$AF$20,'Day 14'!$AF$21,'Day 14'!$AF$22,'Day 14'!$AF$23,'Day 14'!$AF$24,'Day 14'!$AF$25,'Day 14'!$AF$26,'Day 14'!$AF$27,'Day 14'!$AF$28,'Day 14'!$AF$29,'Day 14'!$AF$30,'Day 14'!$AF$31,'Day 14'!$AF$32,'Day 14'!$AF$33,'Day 14'!$AF$34,'Day 14'!$AF$35,'Day 14'!$AF$36,'Day 14'!$AF$37,'Day 14'!$AF$38,'Day 14'!$AF$39)</f>
        <v/>
      </c>
      <c r="T31" s="307" t="s">
        <v>68</v>
      </c>
      <c r="U31" s="308" t="str">
        <f>IF($U$17="","",IF(#REF!="","",IF($U$17+1000-#REF!&lt;=23,CONCATENATE("DO PM ",TEXT($U$17+1000,"#.##0")),IF($U$17+1000-#REF!&lt;=216,CONCATENATE("Prep. PM ",TEXT($U$17+1000,"#.##0"),""),""))))</f>
        <v/>
      </c>
      <c r="V31" s="309" t="str">
        <f t="shared" si="4"/>
        <v/>
      </c>
      <c r="W31" s="308" t="str">
        <f>IF('Day 14'!$AG$40="","","CEK")</f>
        <v/>
      </c>
      <c r="X31" s="308" t="str">
        <f>IF('Day 14'!$AD$40="","","CEK")</f>
        <v/>
      </c>
      <c r="Y31" s="308" t="str">
        <f>IF('Day 14'!$AD$43="","","CEK")</f>
        <v/>
      </c>
      <c r="Z31" s="396" t="str">
        <f>'Day 14'!$B$41</f>
        <v/>
      </c>
      <c r="AA31" s="397" t="str">
        <f>'Day 14'!$B$42</f>
        <v/>
      </c>
      <c r="AB31" s="398" t="str">
        <f>'Day 14'!$B$40</f>
        <v/>
      </c>
      <c r="AC31" s="396" t="str">
        <f>'Day 14'!$C$41</f>
        <v/>
      </c>
      <c r="AD31" s="397" t="str">
        <f>'Day 14'!$C$42</f>
        <v/>
      </c>
      <c r="AE31" s="398" t="str">
        <f>'Day 14'!$C$40</f>
        <v/>
      </c>
      <c r="AF31" s="307" t="s">
        <v>68</v>
      </c>
      <c r="AG31" s="396">
        <f>'Day 14'!$D$41</f>
        <v>5.8</v>
      </c>
      <c r="AH31" s="397">
        <f>'Day 14'!$D$42</f>
        <v>8</v>
      </c>
      <c r="AI31" s="398">
        <f>'Day 14'!$D$40</f>
        <v>7.1</v>
      </c>
      <c r="AJ31" s="396">
        <f>'Day 14'!$E$41</f>
        <v>60.2</v>
      </c>
      <c r="AK31" s="397">
        <f>'Day 14'!$E$42</f>
        <v>66.900000000000006</v>
      </c>
      <c r="AL31" s="398">
        <f>'Day 14'!$E$40</f>
        <v>62.6</v>
      </c>
      <c r="AM31" s="399">
        <f>'Day 14'!$F$41</f>
        <v>1915</v>
      </c>
      <c r="AN31" s="400">
        <f>'Day 14'!$F$42</f>
        <v>1983</v>
      </c>
      <c r="AO31" s="401">
        <f>'Day 14'!$F$40</f>
        <v>1947</v>
      </c>
      <c r="AP31" s="396">
        <f>'Day 14'!$G$41</f>
        <v>-5.6</v>
      </c>
      <c r="AQ31" s="397">
        <f>'Day 14'!$G$42</f>
        <v>-5.6</v>
      </c>
      <c r="AR31" s="398">
        <f>'Day 14'!$G$40</f>
        <v>-5.5999999999999979</v>
      </c>
      <c r="AS31" s="396">
        <f>'Day 14'!$H$41</f>
        <v>72</v>
      </c>
      <c r="AT31" s="397">
        <f>'Day 14'!$H$42</f>
        <v>72.900000000000006</v>
      </c>
      <c r="AU31" s="398">
        <f>'Day 14'!$H$40</f>
        <v>72.424999999999997</v>
      </c>
      <c r="AV31" s="396">
        <f>'Day 14'!$I$41</f>
        <v>21.2</v>
      </c>
      <c r="AW31" s="397">
        <f>'Day 14'!$I$42</f>
        <v>21.9</v>
      </c>
      <c r="AX31" s="398">
        <f>'Day 14'!$I$40</f>
        <v>21.549999999999997</v>
      </c>
      <c r="AY31" s="396">
        <f>'Day 14'!$K$41</f>
        <v>13</v>
      </c>
      <c r="AZ31" s="397">
        <f>'Day 14'!$K$42</f>
        <v>13</v>
      </c>
      <c r="BA31" s="398">
        <f>'Day 14'!$K$40</f>
        <v>13</v>
      </c>
      <c r="BB31" s="307" t="s">
        <v>68</v>
      </c>
      <c r="BC31" s="396">
        <f>'Day 14'!$L$41</f>
        <v>125</v>
      </c>
      <c r="BD31" s="397">
        <f>'Day 14'!$L$42</f>
        <v>139</v>
      </c>
      <c r="BE31" s="398">
        <f>'Day 14'!$L$40</f>
        <v>132.30000000000001</v>
      </c>
      <c r="BF31" s="396">
        <f>'Day 14'!$M$41</f>
        <v>220</v>
      </c>
      <c r="BG31" s="397">
        <f>'Day 14'!$M$42</f>
        <v>225</v>
      </c>
      <c r="BH31" s="398">
        <f>'Day 14'!$M$40</f>
        <v>222</v>
      </c>
      <c r="BI31" s="396">
        <f>'Day 14'!$N$41</f>
        <v>90</v>
      </c>
      <c r="BJ31" s="397">
        <f>'Day 14'!$N$42</f>
        <v>90</v>
      </c>
      <c r="BK31" s="398">
        <f>'Day 14'!$N$40</f>
        <v>90</v>
      </c>
      <c r="BL31" s="396">
        <f>'Day 14'!$O$41</f>
        <v>30</v>
      </c>
      <c r="BM31" s="397">
        <f>'Day 14'!$O$42</f>
        <v>60</v>
      </c>
      <c r="BN31" s="398">
        <f>'Day 14'!$O$40</f>
        <v>40.4</v>
      </c>
      <c r="BO31" s="396">
        <f>'Day 14'!$P$41</f>
        <v>9</v>
      </c>
      <c r="BP31" s="397">
        <f>'Day 14'!$P$42</f>
        <v>14</v>
      </c>
      <c r="BQ31" s="398">
        <f>'Day 14'!$P$40</f>
        <v>11.8</v>
      </c>
      <c r="BR31" s="402">
        <f>'Day 14'!$Q$41</f>
        <v>188.35</v>
      </c>
      <c r="BS31" s="403">
        <f>'Day 14'!$Q$42</f>
        <v>278.18</v>
      </c>
      <c r="BT31" s="404">
        <f>'Day 14'!$Q$44</f>
        <v>226.1429</v>
      </c>
      <c r="BU31" s="405" t="str">
        <f>'Day 14'!$R$41</f>
        <v/>
      </c>
      <c r="BV31" s="406" t="str">
        <f>'Day 14'!$R$42</f>
        <v/>
      </c>
      <c r="BW31" s="407" t="str">
        <f>'Day 14'!$R$40</f>
        <v/>
      </c>
      <c r="BX31" s="307" t="s">
        <v>68</v>
      </c>
    </row>
    <row r="32" spans="1:76" s="132" customFormat="1" ht="19.5" customHeight="1" thickBot="1" x14ac:dyDescent="0.25">
      <c r="A32" s="156" t="s">
        <v>69</v>
      </c>
      <c r="B32" s="164">
        <f t="shared" si="7"/>
        <v>45823</v>
      </c>
      <c r="C32" s="165" t="str">
        <f>'Day 15'!$B$40</f>
        <v/>
      </c>
      <c r="D32" s="165" t="str">
        <f>'Day 15'!$C$40</f>
        <v/>
      </c>
      <c r="E32" s="165">
        <f>'Day 15'!$D$40</f>
        <v>7.4</v>
      </c>
      <c r="F32" s="165">
        <f>'Day 15'!$E$40</f>
        <v>62.8</v>
      </c>
      <c r="G32" s="375">
        <f>IF('Day 15'!$M$49="","",'Day 15'!$M$49)</f>
        <v>214.9</v>
      </c>
      <c r="H32" s="166">
        <f t="shared" si="8"/>
        <v>1.1380949233658038</v>
      </c>
      <c r="I32" s="375">
        <f>Volume!P18</f>
        <v>188.82432</v>
      </c>
      <c r="J32" s="165">
        <f>'Day 15'!$N$40</f>
        <v>90</v>
      </c>
      <c r="K32" s="167">
        <f>'Day 15'!$F$40</f>
        <v>1954</v>
      </c>
      <c r="L32" s="165" t="str">
        <f>IF('Day 15'!$M$50="","",'Day 15'!$M$50)</f>
        <v/>
      </c>
      <c r="M32" s="168">
        <f>IF('Day 15'!$I$47="","",'Day 15'!$I$47)</f>
        <v>1</v>
      </c>
      <c r="N32" s="168">
        <f>IF('Day 15'!$I$48="","",'Day 15'!$I$48)</f>
        <v>0</v>
      </c>
      <c r="O32" s="168">
        <f>IF('Day 15'!$I$49="","",'Day 15'!$I$49)</f>
        <v>0</v>
      </c>
      <c r="P32" s="58">
        <f t="shared" si="5"/>
        <v>1</v>
      </c>
      <c r="Q32" s="169">
        <f t="shared" si="6"/>
        <v>1</v>
      </c>
      <c r="R32" s="170" t="str">
        <f>CONCATENATE('Day 15'!$AF$16,'Day 15'!$AF$17,'Day 15'!$AF$18,'Day 15'!$AF$19,'Day 15'!$AF$20,'Day 15'!$AF$21,'Day 15'!$AF$22,'Day 15'!$AF$23,'Day 15'!$AF$24,'Day 15'!$AF$25,'Day 15'!$AF$26,'Day 15'!$AF$27,'Day 15'!$AF$28,'Day 15'!$AF$29,'Day 15'!$AF$30,'Day 15'!$AF$31,'Day 15'!$AF$32,'Day 15'!$AF$33,'Day 15'!$AF$34,'Day 15'!$AF$35,'Day 15'!$AF$36,'Day 15'!$AF$37,'Day 15'!$AF$38,'Day 15'!$AF$39)</f>
        <v/>
      </c>
      <c r="T32" s="307" t="s">
        <v>69</v>
      </c>
      <c r="U32" s="308" t="str">
        <f>IF($U$17="","",IF(#REF!="","",IF($U$17+1000-#REF!&lt;=23,CONCATENATE("DO PM ",TEXT($U$17+1000,"#.##0")),IF($U$17+1000-#REF!&lt;=216,CONCATENATE("Prep. PM ",TEXT($U$17+1000,"#.##0"),""),""))))</f>
        <v/>
      </c>
      <c r="V32" s="309" t="str">
        <f t="shared" si="4"/>
        <v/>
      </c>
      <c r="W32" s="308" t="str">
        <f>IF('Day 15'!$AG$40="","","CEK")</f>
        <v/>
      </c>
      <c r="X32" s="308" t="str">
        <f>IF('Day 15'!$AD$40="","","CEK")</f>
        <v/>
      </c>
      <c r="Y32" s="308" t="str">
        <f>IF('Day 15'!$AD$43="","","CEK")</f>
        <v/>
      </c>
      <c r="Z32" s="408" t="str">
        <f>'Day 15'!$B$41</f>
        <v/>
      </c>
      <c r="AA32" s="409" t="str">
        <f>'Day 15'!$B$42</f>
        <v/>
      </c>
      <c r="AB32" s="410" t="str">
        <f>'Day 15'!$B$40</f>
        <v/>
      </c>
      <c r="AC32" s="408" t="str">
        <f>'Day 15'!$C$41</f>
        <v/>
      </c>
      <c r="AD32" s="409" t="str">
        <f>'Day 15'!$C$42</f>
        <v/>
      </c>
      <c r="AE32" s="410" t="str">
        <f>'Day 15'!$C$40</f>
        <v/>
      </c>
      <c r="AF32" s="307" t="s">
        <v>69</v>
      </c>
      <c r="AG32" s="408">
        <f>'Day 15'!$D$41</f>
        <v>6.2</v>
      </c>
      <c r="AH32" s="409">
        <f>'Day 15'!$D$42</f>
        <v>7.9</v>
      </c>
      <c r="AI32" s="410">
        <f>'Day 15'!$D$40</f>
        <v>7.4</v>
      </c>
      <c r="AJ32" s="408">
        <f>'Day 15'!$E$41</f>
        <v>61.1</v>
      </c>
      <c r="AK32" s="409">
        <f>'Day 15'!$E$42</f>
        <v>65.599999999999994</v>
      </c>
      <c r="AL32" s="410">
        <f>'Day 15'!$E$40</f>
        <v>62.8</v>
      </c>
      <c r="AM32" s="411">
        <f>'Day 15'!$F$41</f>
        <v>1922</v>
      </c>
      <c r="AN32" s="412">
        <f>'Day 15'!$F$42</f>
        <v>1988</v>
      </c>
      <c r="AO32" s="413">
        <f>'Day 15'!$F$40</f>
        <v>1954</v>
      </c>
      <c r="AP32" s="408">
        <f>'Day 15'!$G$41</f>
        <v>-5.6</v>
      </c>
      <c r="AQ32" s="409">
        <f>'Day 15'!$G$42</f>
        <v>-5.6</v>
      </c>
      <c r="AR32" s="410">
        <f>'Day 15'!$G$40</f>
        <v>-5.5999999999999979</v>
      </c>
      <c r="AS32" s="408">
        <f>'Day 15'!$H$41</f>
        <v>72</v>
      </c>
      <c r="AT32" s="409">
        <f>'Day 15'!$H$42</f>
        <v>72.900000000000006</v>
      </c>
      <c r="AU32" s="410">
        <f>'Day 15'!$H$40</f>
        <v>72.354166666666657</v>
      </c>
      <c r="AV32" s="408">
        <f>'Day 15'!$I$41</f>
        <v>22</v>
      </c>
      <c r="AW32" s="409">
        <f>'Day 15'!$I$42</f>
        <v>22.9</v>
      </c>
      <c r="AX32" s="410">
        <f>'Day 15'!$I$40</f>
        <v>22.391666666666669</v>
      </c>
      <c r="AY32" s="408">
        <f>'Day 15'!$K$41</f>
        <v>13</v>
      </c>
      <c r="AZ32" s="409">
        <f>'Day 15'!$K$42</f>
        <v>13</v>
      </c>
      <c r="BA32" s="410">
        <f>'Day 15'!$K$40</f>
        <v>13</v>
      </c>
      <c r="BB32" s="307" t="s">
        <v>69</v>
      </c>
      <c r="BC32" s="408">
        <f>'Day 15'!$L$41</f>
        <v>130</v>
      </c>
      <c r="BD32" s="409">
        <f>'Day 15'!$L$42</f>
        <v>138</v>
      </c>
      <c r="BE32" s="410">
        <f>'Day 15'!$L$40</f>
        <v>134.30000000000001</v>
      </c>
      <c r="BF32" s="408">
        <f>'Day 15'!$M$41</f>
        <v>220</v>
      </c>
      <c r="BG32" s="409">
        <f>'Day 15'!$M$42</f>
        <v>228</v>
      </c>
      <c r="BH32" s="410">
        <f>'Day 15'!$M$40</f>
        <v>224</v>
      </c>
      <c r="BI32" s="408">
        <f>'Day 15'!$N$41</f>
        <v>90</v>
      </c>
      <c r="BJ32" s="409">
        <f>'Day 15'!$N$42</f>
        <v>90</v>
      </c>
      <c r="BK32" s="410">
        <f>'Day 15'!$N$40</f>
        <v>90</v>
      </c>
      <c r="BL32" s="408">
        <f>'Day 15'!$O$41</f>
        <v>30</v>
      </c>
      <c r="BM32" s="409">
        <f>'Day 15'!$O$42</f>
        <v>50</v>
      </c>
      <c r="BN32" s="410">
        <f>'Day 15'!$O$40</f>
        <v>40</v>
      </c>
      <c r="BO32" s="408">
        <f>'Day 15'!$P$41</f>
        <v>11</v>
      </c>
      <c r="BP32" s="409">
        <f>'Day 15'!$P$42</f>
        <v>17</v>
      </c>
      <c r="BQ32" s="410">
        <f>'Day 15'!$P$40</f>
        <v>14</v>
      </c>
      <c r="BR32" s="414">
        <f>'Day 15'!$Q$41</f>
        <v>218.65</v>
      </c>
      <c r="BS32" s="415">
        <f>'Day 15'!$Q$42</f>
        <v>277.64</v>
      </c>
      <c r="BT32" s="416">
        <f>'Day 15'!$Q$44</f>
        <v>244.6446</v>
      </c>
      <c r="BU32" s="417" t="str">
        <f>'Day 15'!$R$41</f>
        <v/>
      </c>
      <c r="BV32" s="418" t="str">
        <f>'Day 15'!$R$42</f>
        <v/>
      </c>
      <c r="BW32" s="419" t="str">
        <f>'Day 15'!$R$40</f>
        <v/>
      </c>
      <c r="BX32" s="307" t="s">
        <v>69</v>
      </c>
    </row>
    <row r="33" spans="1:76" s="132" customFormat="1" ht="20.100000000000001" customHeight="1" x14ac:dyDescent="0.2">
      <c r="A33" s="156" t="s">
        <v>70</v>
      </c>
      <c r="B33" s="164">
        <f t="shared" si="7"/>
        <v>45824</v>
      </c>
      <c r="C33" s="165" t="str">
        <f>'Day 16'!$B$40</f>
        <v/>
      </c>
      <c r="D33" s="165" t="str">
        <f>'Day 16'!$C$40</f>
        <v/>
      </c>
      <c r="E33" s="165">
        <f>'Day 16'!$D$40</f>
        <v>7.6</v>
      </c>
      <c r="F33" s="165">
        <f>'Day 16'!$E$40</f>
        <v>65.7</v>
      </c>
      <c r="G33" s="375">
        <f>IF('Day 16'!$M$49="","",'Day 16'!$M$49)</f>
        <v>258.60000000000002</v>
      </c>
      <c r="H33" s="166">
        <f t="shared" si="8"/>
        <v>1.3667301725821881</v>
      </c>
      <c r="I33" s="375">
        <f>Volume!P19</f>
        <v>189.21071999999998</v>
      </c>
      <c r="J33" s="165">
        <f>'Day 16'!$N$40</f>
        <v>90</v>
      </c>
      <c r="K33" s="167">
        <f>'Day 16'!$F$40</f>
        <v>1943</v>
      </c>
      <c r="L33" s="165" t="str">
        <f>IF('Day 16'!$M$50="","",'Day 16'!$M$50)</f>
        <v/>
      </c>
      <c r="M33" s="168">
        <f>IF('Day 16'!$I$47="","",'Day 16'!$I$47)</f>
        <v>1</v>
      </c>
      <c r="N33" s="168">
        <f>IF('Day 16'!$I$48="","",'Day 16'!$I$48)</f>
        <v>0</v>
      </c>
      <c r="O33" s="168">
        <f>IF('Day 16'!$I$49="","",'Day 16'!$I$49)</f>
        <v>0</v>
      </c>
      <c r="P33" s="58">
        <f t="shared" si="5"/>
        <v>1</v>
      </c>
      <c r="Q33" s="169">
        <f t="shared" si="6"/>
        <v>1</v>
      </c>
      <c r="R33" s="170" t="str">
        <f>CONCATENATE('Day 16'!$AF$16,'Day 16'!$AF$17,'Day 16'!$AF$18,'Day 16'!$AF$19,'Day 16'!$AF$20,'Day 16'!$AF$21,'Day 16'!$AF$22,'Day 16'!$AF$23,'Day 16'!$AF$24,'Day 16'!$AF$25,'Day 16'!$AF$26,'Day 16'!$AF$27,'Day 16'!$AF$28,'Day 16'!$AF$29,'Day 16'!$AF$30,'Day 16'!$AF$31,'Day 16'!$AF$32,'Day 16'!$AF$33,'Day 16'!$AF$34,'Day 16'!$AF$35,'Day 16'!$AF$36,'Day 16'!$AF$37,'Day 16'!$AF$38,'Day 16'!$AF$39)</f>
        <v/>
      </c>
      <c r="T33" s="484" t="str">
        <f t="shared" ref="T33:Z33" si="9">T15</f>
        <v>Date</v>
      </c>
      <c r="U33" s="154" t="str">
        <f t="shared" si="9"/>
        <v>Last PM</v>
      </c>
      <c r="V33" s="482" t="str">
        <f t="shared" si="9"/>
        <v>Opr. Time
vs
Remarks</v>
      </c>
      <c r="W33" s="154" t="str">
        <f t="shared" si="9"/>
        <v>Daily</v>
      </c>
      <c r="X33" s="154" t="str">
        <f t="shared" si="9"/>
        <v>Daily</v>
      </c>
      <c r="Y33" s="154" t="str">
        <f t="shared" si="9"/>
        <v>Daily</v>
      </c>
      <c r="Z33" s="487" t="str">
        <f t="shared" si="9"/>
        <v>P Source</v>
      </c>
      <c r="AA33" s="488"/>
      <c r="AB33" s="489"/>
      <c r="AC33" s="487" t="str">
        <f>AC15</f>
        <v>P Discharge Header</v>
      </c>
      <c r="AD33" s="488"/>
      <c r="AE33" s="489"/>
      <c r="AF33" s="484" t="str">
        <f>AF15</f>
        <v>Date</v>
      </c>
      <c r="AG33" s="487" t="str">
        <f>AG15</f>
        <v>P Suct.</v>
      </c>
      <c r="AH33" s="488"/>
      <c r="AI33" s="489"/>
      <c r="AJ33" s="487" t="str">
        <f>AJ15</f>
        <v>P Disch.</v>
      </c>
      <c r="AK33" s="488"/>
      <c r="AL33" s="489"/>
      <c r="AM33" s="487" t="str">
        <f>AM15</f>
        <v>Speed</v>
      </c>
      <c r="AN33" s="488"/>
      <c r="AO33" s="489"/>
      <c r="AP33" s="487" t="str">
        <f>AP15</f>
        <v>P Manifold</v>
      </c>
      <c r="AQ33" s="488"/>
      <c r="AR33" s="489"/>
      <c r="AS33" s="487" t="str">
        <f>AS15</f>
        <v>Oil Press.</v>
      </c>
      <c r="AT33" s="488"/>
      <c r="AU33" s="489"/>
      <c r="AV33" s="487" t="str">
        <f>AV15</f>
        <v>Oil Diff.</v>
      </c>
      <c r="AW33" s="488"/>
      <c r="AX33" s="489"/>
      <c r="AY33" s="487" t="str">
        <f>AY15</f>
        <v>Voltage</v>
      </c>
      <c r="AZ33" s="488"/>
      <c r="BA33" s="489"/>
      <c r="BB33" s="484" t="str">
        <f>BB15</f>
        <v>Date</v>
      </c>
      <c r="BC33" s="487" t="str">
        <f>BC15</f>
        <v>Water Temp.</v>
      </c>
      <c r="BD33" s="488"/>
      <c r="BE33" s="489"/>
      <c r="BF33" s="487" t="str">
        <f>BF15</f>
        <v>T Disch. Before Cooler</v>
      </c>
      <c r="BG33" s="488"/>
      <c r="BH33" s="489"/>
      <c r="BI33" s="487" t="str">
        <f>BI15</f>
        <v>T Disch. After Cooler</v>
      </c>
      <c r="BJ33" s="488"/>
      <c r="BK33" s="489"/>
      <c r="BL33" s="487" t="str">
        <f>BL15</f>
        <v>Static</v>
      </c>
      <c r="BM33" s="488"/>
      <c r="BN33" s="489"/>
      <c r="BO33" s="487" t="str">
        <f>BO15</f>
        <v>Diff.</v>
      </c>
      <c r="BP33" s="488"/>
      <c r="BQ33" s="489"/>
      <c r="BR33" s="487" t="str">
        <f>BR15</f>
        <v>Flowrate</v>
      </c>
      <c r="BS33" s="488"/>
      <c r="BT33" s="489"/>
      <c r="BU33" s="487" t="str">
        <f>BU15</f>
        <v>Liquid Gain</v>
      </c>
      <c r="BV33" s="488"/>
      <c r="BW33" s="489"/>
      <c r="BX33" s="484" t="str">
        <f>BX15</f>
        <v>Date</v>
      </c>
    </row>
    <row r="34" spans="1:76" s="132" customFormat="1" ht="20.100000000000001" customHeight="1" x14ac:dyDescent="0.2">
      <c r="A34" s="156" t="s">
        <v>71</v>
      </c>
      <c r="B34" s="164">
        <f t="shared" si="7"/>
        <v>45825</v>
      </c>
      <c r="C34" s="165" t="str">
        <f>'Day 17'!$B$40</f>
        <v/>
      </c>
      <c r="D34" s="165" t="str">
        <f>'Day 17'!$C$40</f>
        <v/>
      </c>
      <c r="E34" s="165">
        <f>'Day 17'!$D$40</f>
        <v>7.6</v>
      </c>
      <c r="F34" s="165">
        <f>'Day 17'!$E$40</f>
        <v>67.599999999999994</v>
      </c>
      <c r="G34" s="375">
        <f>IF('Day 17'!$M$49="","",'Day 17'!$M$49)</f>
        <v>244.9</v>
      </c>
      <c r="H34" s="166">
        <f t="shared" si="8"/>
        <v>1.3020434585847038</v>
      </c>
      <c r="I34" s="375">
        <f>Volume!P20</f>
        <v>188.08895999999999</v>
      </c>
      <c r="J34" s="165">
        <f>'Day 17'!$N$40</f>
        <v>90</v>
      </c>
      <c r="K34" s="167">
        <f>'Day 17'!$F$40</f>
        <v>1946</v>
      </c>
      <c r="L34" s="165" t="str">
        <f>IF('Day 17'!$M$50="","",'Day 17'!$M$50)</f>
        <v/>
      </c>
      <c r="M34" s="168">
        <f>IF('Day 17'!$I$47="","",'Day 17'!$I$47)</f>
        <v>1</v>
      </c>
      <c r="N34" s="168">
        <f>IF('Day 17'!$I$48="","",'Day 17'!$I$48)</f>
        <v>0</v>
      </c>
      <c r="O34" s="168">
        <f>IF('Day 17'!$I$49="","",'Day 17'!$I$49)</f>
        <v>0</v>
      </c>
      <c r="P34" s="58">
        <f t="shared" si="5"/>
        <v>1</v>
      </c>
      <c r="Q34" s="169">
        <f t="shared" si="6"/>
        <v>1</v>
      </c>
      <c r="R34" s="170" t="str">
        <f>CONCATENATE('Day 17'!$AF$16,'Day 17'!$AF$17,'Day 17'!$AF$18,'Day 17'!$AF$19,'Day 17'!$AF$20,'Day 17'!$AF$21,'Day 17'!$AF$22,'Day 17'!$AF$23,'Day 17'!$AF$24,'Day 17'!$AF$25,'Day 17'!$AF$26,'Day 17'!$AF$27,'Day 17'!$AF$28,'Day 17'!$AF$29,'Day 17'!$AF$30,'Day 17'!$AF$31,'Day 17'!$AF$32,'Day 17'!$AF$33,'Day 17'!$AF$34,'Day 17'!$AF$35,'Day 17'!$AF$36,'Day 17'!$AF$37,'Day 17'!$AF$38,'Day 17'!$AF$39)</f>
        <v/>
      </c>
      <c r="T34" s="485"/>
      <c r="U34" s="303" t="str">
        <f>U16</f>
        <v>RH</v>
      </c>
      <c r="V34" s="483"/>
      <c r="W34" s="493" t="str">
        <f t="shared" ref="W34:AB34" si="10">W16</f>
        <v>Data - Flowrate</v>
      </c>
      <c r="X34" s="493" t="str">
        <f t="shared" si="10"/>
        <v>Data - Remarks</v>
      </c>
      <c r="Y34" s="493" t="str">
        <f t="shared" si="10"/>
        <v>Data - Content</v>
      </c>
      <c r="Z34" s="381" t="str">
        <f t="shared" si="10"/>
        <v>MIN.</v>
      </c>
      <c r="AA34" s="382" t="str">
        <f t="shared" si="10"/>
        <v>MAX.</v>
      </c>
      <c r="AB34" s="383" t="str">
        <f t="shared" si="10"/>
        <v>AVERAGE</v>
      </c>
      <c r="AC34" s="381" t="str">
        <f>AC16</f>
        <v>MIN.</v>
      </c>
      <c r="AD34" s="382" t="str">
        <f>AD16</f>
        <v>MAX.</v>
      </c>
      <c r="AE34" s="383" t="str">
        <f>AE16</f>
        <v>AVERAGE</v>
      </c>
      <c r="AF34" s="485"/>
      <c r="AG34" s="381" t="str">
        <f t="shared" ref="AG34:AI35" si="11">AG16</f>
        <v>MIN.</v>
      </c>
      <c r="AH34" s="382" t="str">
        <f t="shared" si="11"/>
        <v>MAX.</v>
      </c>
      <c r="AI34" s="383" t="str">
        <f t="shared" si="11"/>
        <v>AVERAGE</v>
      </c>
      <c r="AJ34" s="381" t="str">
        <f>AJ16</f>
        <v>MIN.</v>
      </c>
      <c r="AK34" s="382" t="str">
        <f>AK16</f>
        <v>MAX.</v>
      </c>
      <c r="AL34" s="383" t="str">
        <f>AL16</f>
        <v>AVERAGE</v>
      </c>
      <c r="AM34" s="381" t="str">
        <f>AM16</f>
        <v>MIN.</v>
      </c>
      <c r="AN34" s="382" t="str">
        <f>AN16</f>
        <v>MAX.</v>
      </c>
      <c r="AO34" s="383" t="str">
        <f>AO16</f>
        <v>AVERAGE</v>
      </c>
      <c r="AP34" s="381" t="str">
        <f>AP16</f>
        <v>MIN.</v>
      </c>
      <c r="AQ34" s="382" t="str">
        <f>AQ16</f>
        <v>MAX.</v>
      </c>
      <c r="AR34" s="383" t="str">
        <f>AR16</f>
        <v>AVERAGE</v>
      </c>
      <c r="AS34" s="381" t="str">
        <f>AS16</f>
        <v>MIN.</v>
      </c>
      <c r="AT34" s="382" t="str">
        <f>AT16</f>
        <v>MAX.</v>
      </c>
      <c r="AU34" s="383" t="str">
        <f>AU16</f>
        <v>AVERAGE</v>
      </c>
      <c r="AV34" s="381" t="str">
        <f>AV16</f>
        <v>MIN.</v>
      </c>
      <c r="AW34" s="382" t="str">
        <f>AW16</f>
        <v>MAX.</v>
      </c>
      <c r="AX34" s="383" t="str">
        <f>AX16</f>
        <v>AVERAGE</v>
      </c>
      <c r="AY34" s="381" t="str">
        <f>AY16</f>
        <v>MIN.</v>
      </c>
      <c r="AZ34" s="382" t="str">
        <f>AZ16</f>
        <v>MAX.</v>
      </c>
      <c r="BA34" s="383" t="str">
        <f>BA16</f>
        <v>AVERAGE</v>
      </c>
      <c r="BB34" s="485"/>
      <c r="BC34" s="381" t="str">
        <f t="shared" ref="BC34:BE35" si="12">BC16</f>
        <v>MIN.</v>
      </c>
      <c r="BD34" s="382" t="str">
        <f t="shared" si="12"/>
        <v>MAX.</v>
      </c>
      <c r="BE34" s="383" t="str">
        <f t="shared" si="12"/>
        <v>AVERAGE</v>
      </c>
      <c r="BF34" s="381" t="str">
        <f>BF16</f>
        <v>MIN.</v>
      </c>
      <c r="BG34" s="382" t="str">
        <f>BG16</f>
        <v>MAX.</v>
      </c>
      <c r="BH34" s="383" t="str">
        <f>BH16</f>
        <v>AVERAGE</v>
      </c>
      <c r="BI34" s="381" t="str">
        <f>BI16</f>
        <v>MIN.</v>
      </c>
      <c r="BJ34" s="382" t="str">
        <f>BJ16</f>
        <v>MAX.</v>
      </c>
      <c r="BK34" s="383" t="str">
        <f>BK16</f>
        <v>AVERAGE</v>
      </c>
      <c r="BL34" s="381" t="str">
        <f>BL16</f>
        <v>MIN.</v>
      </c>
      <c r="BM34" s="382" t="str">
        <f>BM16</f>
        <v>MAX.</v>
      </c>
      <c r="BN34" s="383" t="str">
        <f>BN16</f>
        <v>AVERAGE</v>
      </c>
      <c r="BO34" s="381" t="str">
        <f>BO16</f>
        <v>MIN.</v>
      </c>
      <c r="BP34" s="382" t="str">
        <f>BP16</f>
        <v>MAX.</v>
      </c>
      <c r="BQ34" s="383" t="str">
        <f>BQ16</f>
        <v>AVERAGE</v>
      </c>
      <c r="BR34" s="381" t="str">
        <f>BR16</f>
        <v>MIN.</v>
      </c>
      <c r="BS34" s="382" t="str">
        <f>BS16</f>
        <v>MAX.</v>
      </c>
      <c r="BT34" s="383" t="str">
        <f>BT16</f>
        <v>AVERAGE</v>
      </c>
      <c r="BU34" s="381" t="str">
        <f>BU16</f>
        <v>MIN.</v>
      </c>
      <c r="BV34" s="382" t="str">
        <f>BV16</f>
        <v>MAX.</v>
      </c>
      <c r="BW34" s="383" t="str">
        <f>BW16</f>
        <v>AVERAGE</v>
      </c>
      <c r="BX34" s="485"/>
    </row>
    <row r="35" spans="1:76" s="132" customFormat="1" ht="20.100000000000001" customHeight="1" thickBot="1" x14ac:dyDescent="0.25">
      <c r="A35" s="156" t="s">
        <v>72</v>
      </c>
      <c r="B35" s="164">
        <f t="shared" si="7"/>
        <v>45826</v>
      </c>
      <c r="C35" s="165" t="str">
        <f>'Day 18'!$B$40</f>
        <v/>
      </c>
      <c r="D35" s="165" t="str">
        <f>'Day 18'!$C$40</f>
        <v/>
      </c>
      <c r="E35" s="165">
        <f>'Day 18'!$D$40</f>
        <v>7.5</v>
      </c>
      <c r="F35" s="165">
        <f>'Day 18'!$E$40</f>
        <v>68.099999999999994</v>
      </c>
      <c r="G35" s="375">
        <f>IF('Day 18'!$M$49="","",'Day 18'!$M$49)</f>
        <v>248.4</v>
      </c>
      <c r="H35" s="166">
        <f t="shared" si="8"/>
        <v>1.3300692021512426</v>
      </c>
      <c r="I35" s="375">
        <f>Volume!P21</f>
        <v>186.75719999999998</v>
      </c>
      <c r="J35" s="165">
        <f>'Day 18'!$N$40</f>
        <v>90</v>
      </c>
      <c r="K35" s="167">
        <f>'Day 18'!$F$40</f>
        <v>1942</v>
      </c>
      <c r="L35" s="165" t="str">
        <f>IF('Day 18'!$M$50="","",'Day 18'!$M$50)</f>
        <v/>
      </c>
      <c r="M35" s="168">
        <f>IF('Day 18'!$I$47="","",'Day 18'!$I$47)</f>
        <v>1</v>
      </c>
      <c r="N35" s="168">
        <f>IF('Day 18'!$I$48="","",'Day 18'!$I$48)</f>
        <v>0</v>
      </c>
      <c r="O35" s="168">
        <f>IF('Day 18'!$I$49="","",'Day 18'!$I$49)</f>
        <v>0</v>
      </c>
      <c r="P35" s="58">
        <f t="shared" si="5"/>
        <v>1</v>
      </c>
      <c r="Q35" s="169">
        <f t="shared" si="6"/>
        <v>1</v>
      </c>
      <c r="R35" s="170" t="str">
        <f>CONCATENATE('Day 18'!$AF$16,'Day 18'!$AF$17,'Day 18'!$AF$18,'Day 18'!$AF$19,'Day 18'!$AF$20,'Day 18'!$AF$21,'Day 18'!$AF$22,'Day 18'!$AF$23,'Day 18'!$AF$24,'Day 18'!$AF$25,'Day 18'!$AF$26,'Day 18'!$AF$27,'Day 18'!$AF$28,'Day 18'!$AF$29,'Day 18'!$AF$30,'Day 18'!$AF$31,'Day 18'!$AF$32,'Day 18'!$AF$33,'Day 18'!$AF$34,'Day 18'!$AF$35,'Day 18'!$AF$36,'Day 18'!$AF$37,'Day 18'!$AF$38,'Day 18'!$AF$39)</f>
        <v/>
      </c>
      <c r="T35" s="486"/>
      <c r="U35" s="310" t="str">
        <f>IF(U17="","",U17)</f>
        <v/>
      </c>
      <c r="V35" s="481"/>
      <c r="W35" s="494"/>
      <c r="X35" s="494"/>
      <c r="Y35" s="494"/>
      <c r="Z35" s="371" t="str">
        <f>Z17</f>
        <v>psig</v>
      </c>
      <c r="AA35" s="372" t="str">
        <f>AA17</f>
        <v>psig</v>
      </c>
      <c r="AB35" s="373" t="str">
        <f>AB17</f>
        <v>psig</v>
      </c>
      <c r="AC35" s="371" t="str">
        <f>AC17</f>
        <v>psig</v>
      </c>
      <c r="AD35" s="372" t="str">
        <f>AD17</f>
        <v>psig</v>
      </c>
      <c r="AE35" s="373" t="str">
        <f>AE17</f>
        <v>psig</v>
      </c>
      <c r="AF35" s="486"/>
      <c r="AG35" s="371" t="str">
        <f t="shared" si="11"/>
        <v>psig</v>
      </c>
      <c r="AH35" s="372" t="str">
        <f t="shared" si="11"/>
        <v>psig</v>
      </c>
      <c r="AI35" s="373" t="str">
        <f t="shared" si="11"/>
        <v>psig</v>
      </c>
      <c r="AJ35" s="371" t="str">
        <f>AJ17</f>
        <v>psig</v>
      </c>
      <c r="AK35" s="372" t="str">
        <f>AK17</f>
        <v>psig</v>
      </c>
      <c r="AL35" s="373" t="str">
        <f>AL17</f>
        <v>psig</v>
      </c>
      <c r="AM35" s="371" t="str">
        <f>AM17</f>
        <v>RPM</v>
      </c>
      <c r="AN35" s="372" t="str">
        <f>AN17</f>
        <v>RPM</v>
      </c>
      <c r="AO35" s="373" t="str">
        <f>AO17</f>
        <v>RPM</v>
      </c>
      <c r="AP35" s="371" t="str">
        <f>AP17</f>
        <v>psig</v>
      </c>
      <c r="AQ35" s="372" t="str">
        <f>AQ17</f>
        <v>psig</v>
      </c>
      <c r="AR35" s="373" t="str">
        <f>AR17</f>
        <v>psig</v>
      </c>
      <c r="AS35" s="371" t="str">
        <f>AS17</f>
        <v>psig</v>
      </c>
      <c r="AT35" s="372" t="str">
        <f>AT17</f>
        <v>psig</v>
      </c>
      <c r="AU35" s="373" t="str">
        <f>AU17</f>
        <v>psig</v>
      </c>
      <c r="AV35" s="371" t="str">
        <f>AV17</f>
        <v>psig</v>
      </c>
      <c r="AW35" s="372" t="str">
        <f>AW17</f>
        <v>psig</v>
      </c>
      <c r="AX35" s="373" t="str">
        <f>AX17</f>
        <v>psig</v>
      </c>
      <c r="AY35" s="371" t="str">
        <f>AY17</f>
        <v>V</v>
      </c>
      <c r="AZ35" s="372" t="str">
        <f>AZ17</f>
        <v>V</v>
      </c>
      <c r="BA35" s="373" t="str">
        <f>BA17</f>
        <v>V</v>
      </c>
      <c r="BB35" s="486"/>
      <c r="BC35" s="371" t="str">
        <f t="shared" si="12"/>
        <v>°F</v>
      </c>
      <c r="BD35" s="372" t="str">
        <f t="shared" si="12"/>
        <v>°F</v>
      </c>
      <c r="BE35" s="373" t="str">
        <f t="shared" si="12"/>
        <v>°F</v>
      </c>
      <c r="BF35" s="371" t="str">
        <f>BF17</f>
        <v>°F</v>
      </c>
      <c r="BG35" s="372" t="str">
        <f>BG17</f>
        <v>°F</v>
      </c>
      <c r="BH35" s="373" t="str">
        <f>BH17</f>
        <v>°F</v>
      </c>
      <c r="BI35" s="371" t="str">
        <f>BI17</f>
        <v>°F</v>
      </c>
      <c r="BJ35" s="372" t="str">
        <f>BJ17</f>
        <v>°F</v>
      </c>
      <c r="BK35" s="373" t="str">
        <f>BK17</f>
        <v>°F</v>
      </c>
      <c r="BL35" s="371" t="str">
        <f t="shared" ref="BL35:BQ35" si="13">IF(BL17="","",BL17)</f>
        <v/>
      </c>
      <c r="BM35" s="372" t="str">
        <f t="shared" si="13"/>
        <v/>
      </c>
      <c r="BN35" s="373" t="str">
        <f t="shared" si="13"/>
        <v/>
      </c>
      <c r="BO35" s="371" t="str">
        <f t="shared" si="13"/>
        <v/>
      </c>
      <c r="BP35" s="372" t="str">
        <f t="shared" si="13"/>
        <v/>
      </c>
      <c r="BQ35" s="373" t="str">
        <f t="shared" si="13"/>
        <v/>
      </c>
      <c r="BR35" s="371" t="str">
        <f>BR17</f>
        <v>MSCF</v>
      </c>
      <c r="BS35" s="372" t="str">
        <f>BS17</f>
        <v>MSCF</v>
      </c>
      <c r="BT35" s="373" t="str">
        <f>BT17</f>
        <v>MSCF</v>
      </c>
      <c r="BU35" s="371" t="str">
        <f>BU17</f>
        <v>BPD</v>
      </c>
      <c r="BV35" s="372" t="str">
        <f>BV17</f>
        <v>BPD</v>
      </c>
      <c r="BW35" s="373" t="str">
        <f>BW17</f>
        <v>BPD</v>
      </c>
      <c r="BX35" s="486"/>
    </row>
    <row r="36" spans="1:76" s="132" customFormat="1" ht="20.100000000000001" customHeight="1" x14ac:dyDescent="0.2">
      <c r="A36" s="156" t="s">
        <v>73</v>
      </c>
      <c r="B36" s="164">
        <f t="shared" si="7"/>
        <v>45827</v>
      </c>
      <c r="C36" s="165" t="str">
        <f>'Day 19'!$B$40</f>
        <v/>
      </c>
      <c r="D36" s="165" t="str">
        <f>'Day 19'!$C$40</f>
        <v/>
      </c>
      <c r="E36" s="165">
        <f>'Day 19'!$D$40</f>
        <v>7.4</v>
      </c>
      <c r="F36" s="165">
        <f>'Day 19'!$E$40</f>
        <v>67.900000000000006</v>
      </c>
      <c r="G36" s="375">
        <f>IF('Day 19'!$M$49="","",'Day 19'!$M$49)</f>
        <v>240</v>
      </c>
      <c r="H36" s="166">
        <f t="shared" si="8"/>
        <v>1.2914490575004778</v>
      </c>
      <c r="I36" s="375">
        <f>Volume!P22</f>
        <v>185.83776</v>
      </c>
      <c r="J36" s="165">
        <f>'Day 19'!$N$40</f>
        <v>90</v>
      </c>
      <c r="K36" s="167">
        <f>'Day 19'!$F$40</f>
        <v>1945</v>
      </c>
      <c r="L36" s="165" t="str">
        <f>IF('Day 19'!$M$50="","",'Day 19'!$M$50)</f>
        <v/>
      </c>
      <c r="M36" s="168">
        <f>IF('Day 19'!$I$47="","",'Day 19'!$I$47)</f>
        <v>1</v>
      </c>
      <c r="N36" s="168">
        <f>IF('Day 19'!$I$48="","",'Day 19'!$I$48)</f>
        <v>0</v>
      </c>
      <c r="O36" s="168">
        <f>IF('Day 19'!$I$49="","",'Day 19'!$I$49)</f>
        <v>0</v>
      </c>
      <c r="P36" s="58">
        <f t="shared" si="5"/>
        <v>1</v>
      </c>
      <c r="Q36" s="169">
        <f t="shared" si="6"/>
        <v>1</v>
      </c>
      <c r="R36" s="170" t="str">
        <f>CONCATENATE('Day 19'!$AF$16,'Day 19'!$AF$17,'Day 19'!$AF$18,'Day 19'!$AF$19,'Day 19'!$AF$20,'Day 19'!$AF$21,'Day 19'!$AF$22,'Day 19'!$AF$23,'Day 19'!$AF$24,'Day 19'!$AF$25,'Day 19'!$AF$26,'Day 19'!$AF$27,'Day 19'!$AF$28,'Day 19'!$AF$29,'Day 19'!$AF$30,'Day 19'!$AF$31,'Day 19'!$AF$32,'Day 19'!$AF$33,'Day 19'!$AF$34,'Day 19'!$AF$35,'Day 19'!$AF$36,'Day 19'!$AF$37,'Day 19'!$AF$38,'Day 19'!$AF$39)</f>
        <v/>
      </c>
      <c r="T36" s="307" t="s">
        <v>70</v>
      </c>
      <c r="U36" s="308" t="str">
        <f>IF($U$17="","",IF(#REF!="","",IF($U$17+1000-#REF!&lt;=23,CONCATENATE("DO PM ",TEXT($U$17+1000,"#.##0")),IF($U$17+1000-#REF!&lt;=216,CONCATENATE("Prep. PM ",TEXT($U$17+1000,"#.##0"),""),""))))</f>
        <v/>
      </c>
      <c r="V36" s="309" t="str">
        <f t="shared" ref="V36:V50" si="14">IF(OR(M33="",N33="",O33=""),"Tdk Lngkp",IF(OR(AND(SUM(N33:O33)=0,R33&lt;&gt;""),AND(SUM(N33:O33)&lt;&gt;0,R33="")),"Cek",IF(AND(SUM(N33:O33)&lt;&gt;0,R33&lt;&gt;""),"Cocok ?","")))</f>
        <v/>
      </c>
      <c r="W36" s="308" t="str">
        <f>IF('Day 16'!$AG$40="","","CEK")</f>
        <v/>
      </c>
      <c r="X36" s="308" t="str">
        <f>IF('Day 16'!$AD$40="","","CEK")</f>
        <v/>
      </c>
      <c r="Y36" s="308" t="str">
        <f>IF('Day 16'!$AD$43="","","CEK")</f>
        <v/>
      </c>
      <c r="Z36" s="384" t="str">
        <f>'Day 16'!$B$41</f>
        <v/>
      </c>
      <c r="AA36" s="385" t="str">
        <f>'Day 16'!$B$42</f>
        <v/>
      </c>
      <c r="AB36" s="386" t="str">
        <f>'Day 16'!$B$40</f>
        <v/>
      </c>
      <c r="AC36" s="384" t="str">
        <f>'Day 16'!$C$41</f>
        <v/>
      </c>
      <c r="AD36" s="385" t="str">
        <f>'Day 16'!$C$42</f>
        <v/>
      </c>
      <c r="AE36" s="386" t="str">
        <f>'Day 16'!$C$40</f>
        <v/>
      </c>
      <c r="AF36" s="307" t="s">
        <v>70</v>
      </c>
      <c r="AG36" s="384">
        <f>'Day 16'!$D$41</f>
        <v>5.4</v>
      </c>
      <c r="AH36" s="385">
        <f>'Day 16'!$D$42</f>
        <v>9</v>
      </c>
      <c r="AI36" s="386">
        <f>'Day 16'!$D$40</f>
        <v>7.6</v>
      </c>
      <c r="AJ36" s="384">
        <f>'Day 16'!$E$41</f>
        <v>54.7</v>
      </c>
      <c r="AK36" s="385">
        <f>'Day 16'!$E$42</f>
        <v>84.5</v>
      </c>
      <c r="AL36" s="386">
        <f>'Day 16'!$E$40</f>
        <v>65.7</v>
      </c>
      <c r="AM36" s="387">
        <f>'Day 16'!$F$41</f>
        <v>1915</v>
      </c>
      <c r="AN36" s="388">
        <f>'Day 16'!$F$42</f>
        <v>1991</v>
      </c>
      <c r="AO36" s="389">
        <f>'Day 16'!$F$40</f>
        <v>1943</v>
      </c>
      <c r="AP36" s="384">
        <f>'Day 16'!$G$41</f>
        <v>-5.6</v>
      </c>
      <c r="AQ36" s="385">
        <f>'Day 16'!$G$42</f>
        <v>-5.6</v>
      </c>
      <c r="AR36" s="386">
        <f>'Day 16'!$G$40</f>
        <v>-5.5999999999999979</v>
      </c>
      <c r="AS36" s="384">
        <f>'Day 16'!$H$41</f>
        <v>72</v>
      </c>
      <c r="AT36" s="385">
        <f>'Day 16'!$H$42</f>
        <v>72.900000000000006</v>
      </c>
      <c r="AU36" s="386">
        <f>'Day 16'!$H$40</f>
        <v>72.440416666666678</v>
      </c>
      <c r="AV36" s="384">
        <f>'Day 16'!$I$41</f>
        <v>22</v>
      </c>
      <c r="AW36" s="385">
        <f>'Day 16'!$I$42</f>
        <v>22.9</v>
      </c>
      <c r="AX36" s="386">
        <f>'Day 16'!$I$40</f>
        <v>22.420833333333338</v>
      </c>
      <c r="AY36" s="384">
        <f>'Day 16'!$K$41</f>
        <v>13</v>
      </c>
      <c r="AZ36" s="385">
        <f>'Day 16'!$K$42</f>
        <v>13</v>
      </c>
      <c r="BA36" s="386">
        <f>'Day 16'!$K$40</f>
        <v>13</v>
      </c>
      <c r="BB36" s="307" t="s">
        <v>70</v>
      </c>
      <c r="BC36" s="384">
        <f>'Day 16'!$L$41</f>
        <v>130</v>
      </c>
      <c r="BD36" s="385">
        <f>'Day 16'!$L$42</f>
        <v>137</v>
      </c>
      <c r="BE36" s="386">
        <f>'Day 16'!$L$40</f>
        <v>132.9</v>
      </c>
      <c r="BF36" s="384">
        <f>'Day 16'!$M$41</f>
        <v>220</v>
      </c>
      <c r="BG36" s="385">
        <f>'Day 16'!$M$42</f>
        <v>228</v>
      </c>
      <c r="BH36" s="386">
        <f>'Day 16'!$M$40</f>
        <v>224</v>
      </c>
      <c r="BI36" s="384">
        <f>'Day 16'!$N$41</f>
        <v>90</v>
      </c>
      <c r="BJ36" s="385">
        <f>'Day 16'!$N$42</f>
        <v>90</v>
      </c>
      <c r="BK36" s="386">
        <f>'Day 16'!$N$40</f>
        <v>90</v>
      </c>
      <c r="BL36" s="384">
        <f>'Day 16'!$O$41</f>
        <v>45</v>
      </c>
      <c r="BM36" s="385">
        <f>'Day 16'!$O$42</f>
        <v>60</v>
      </c>
      <c r="BN36" s="386">
        <f>'Day 16'!$O$40</f>
        <v>49.6</v>
      </c>
      <c r="BO36" s="384">
        <f>'Day 16'!$P$41</f>
        <v>10</v>
      </c>
      <c r="BP36" s="385">
        <f>'Day 16'!$P$42</f>
        <v>15</v>
      </c>
      <c r="BQ36" s="386">
        <f>'Day 16'!$P$40</f>
        <v>12.5</v>
      </c>
      <c r="BR36" s="390">
        <f>'Day 16'!$Q$41</f>
        <v>217.99</v>
      </c>
      <c r="BS36" s="391">
        <f>'Day 16'!$Q$42</f>
        <v>267.35000000000002</v>
      </c>
      <c r="BT36" s="392">
        <f>'Day 16'!$Q$44</f>
        <v>251.19130000000001</v>
      </c>
      <c r="BU36" s="393" t="str">
        <f>'Day 16'!$R$41</f>
        <v/>
      </c>
      <c r="BV36" s="394" t="str">
        <f>'Day 16'!$R$42</f>
        <v/>
      </c>
      <c r="BW36" s="395" t="str">
        <f>'Day 16'!$R$40</f>
        <v/>
      </c>
      <c r="BX36" s="307" t="s">
        <v>70</v>
      </c>
    </row>
    <row r="37" spans="1:76" s="132" customFormat="1" ht="21" customHeight="1" x14ac:dyDescent="0.2">
      <c r="A37" s="156" t="s">
        <v>74</v>
      </c>
      <c r="B37" s="164">
        <f t="shared" si="7"/>
        <v>45828</v>
      </c>
      <c r="C37" s="165" t="str">
        <f>'Day 20'!$B$40</f>
        <v/>
      </c>
      <c r="D37" s="165" t="str">
        <f>'Day 20'!$C$40</f>
        <v/>
      </c>
      <c r="E37" s="165">
        <f>'Day 20'!$D$40</f>
        <v>7.3</v>
      </c>
      <c r="F37" s="165">
        <f>'Day 20'!$E$40</f>
        <v>61</v>
      </c>
      <c r="G37" s="375">
        <f>IF('Day 20'!$M$49="","",'Day 20'!$M$49)</f>
        <v>243.6</v>
      </c>
      <c r="H37" s="166">
        <f t="shared" si="8"/>
        <v>1.2900847769996315</v>
      </c>
      <c r="I37" s="375">
        <f>Volume!P23</f>
        <v>188.82479999999998</v>
      </c>
      <c r="J37" s="165">
        <f>'Day 20'!$N$40</f>
        <v>90</v>
      </c>
      <c r="K37" s="167">
        <f>'Day 20'!$F$40</f>
        <v>1941</v>
      </c>
      <c r="L37" s="165" t="str">
        <f>IF('Day 20'!$M$50="","",'Day 20'!$M$50)</f>
        <v/>
      </c>
      <c r="M37" s="168">
        <f>IF('Day 20'!$I$47="","",'Day 20'!$I$47)</f>
        <v>1</v>
      </c>
      <c r="N37" s="168">
        <f>IF('Day 20'!$I$48="","",'Day 20'!$I$48)</f>
        <v>0</v>
      </c>
      <c r="O37" s="168">
        <f>IF('Day 20'!$I$49="","",'Day 20'!$I$49)</f>
        <v>0</v>
      </c>
      <c r="P37" s="58">
        <f t="shared" si="5"/>
        <v>1</v>
      </c>
      <c r="Q37" s="169">
        <f t="shared" si="6"/>
        <v>1</v>
      </c>
      <c r="R37" s="170" t="str">
        <f>CONCATENATE('Day 20'!$AF$16,'Day 20'!$AF$17,'Day 20'!$AF$18,'Day 20'!$AF$19,'Day 20'!$AF$20,'Day 20'!$AF$21,'Day 20'!$AF$22,'Day 20'!$AF$23,'Day 20'!$AF$24,'Day 20'!$AF$25,'Day 20'!$AF$26,'Day 20'!$AF$27,'Day 20'!$AF$28,'Day 20'!$AF$29,'Day 20'!$AF$30,'Day 20'!$AF$31,'Day 20'!$AF$32,'Day 20'!$AF$33,'Day 20'!$AF$34,'Day 20'!$AF$35,'Day 20'!$AF$36,'Day 20'!$AF$37,'Day 20'!$AF$38,'Day 20'!$AF$39)</f>
        <v/>
      </c>
      <c r="T37" s="307" t="s">
        <v>71</v>
      </c>
      <c r="U37" s="308" t="str">
        <f>IF($U$17="","",IF(#REF!="","",IF($U$17+1000-#REF!&lt;=23,CONCATENATE("DO PM ",TEXT($U$17+1000,"#.##0")),IF($U$17+1000-#REF!&lt;=216,CONCATENATE("Prep. PM ",TEXT($U$17+1000,"#.##0"),""),""))))</f>
        <v/>
      </c>
      <c r="V37" s="309" t="str">
        <f t="shared" si="14"/>
        <v/>
      </c>
      <c r="W37" s="308" t="str">
        <f>IF('Day 17'!$AG$40="","","CEK")</f>
        <v/>
      </c>
      <c r="X37" s="308" t="str">
        <f>IF('Day 17'!$AD$40="","","CEK")</f>
        <v/>
      </c>
      <c r="Y37" s="308" t="str">
        <f>IF('Day 17'!$AD$43="","","CEK")</f>
        <v/>
      </c>
      <c r="Z37" s="396" t="str">
        <f>'Day 17'!$B$41</f>
        <v/>
      </c>
      <c r="AA37" s="397" t="str">
        <f>'Day 17'!$B$42</f>
        <v/>
      </c>
      <c r="AB37" s="398" t="str">
        <f>'Day 17'!$B$40</f>
        <v/>
      </c>
      <c r="AC37" s="396" t="str">
        <f>'Day 17'!$C$41</f>
        <v/>
      </c>
      <c r="AD37" s="397" t="str">
        <f>'Day 17'!$C$42</f>
        <v/>
      </c>
      <c r="AE37" s="398" t="str">
        <f>'Day 17'!$C$40</f>
        <v/>
      </c>
      <c r="AF37" s="307" t="s">
        <v>71</v>
      </c>
      <c r="AG37" s="396">
        <f>'Day 17'!$D$41</f>
        <v>5.4</v>
      </c>
      <c r="AH37" s="397">
        <f>'Day 17'!$D$42</f>
        <v>8.9</v>
      </c>
      <c r="AI37" s="398">
        <f>'Day 17'!$D$40</f>
        <v>7.6</v>
      </c>
      <c r="AJ37" s="396">
        <f>'Day 17'!$E$41</f>
        <v>57.4</v>
      </c>
      <c r="AK37" s="397">
        <f>'Day 17'!$E$42</f>
        <v>80.2</v>
      </c>
      <c r="AL37" s="398">
        <f>'Day 17'!$E$40</f>
        <v>67.599999999999994</v>
      </c>
      <c r="AM37" s="399">
        <f>'Day 17'!$F$41</f>
        <v>1920</v>
      </c>
      <c r="AN37" s="400">
        <f>'Day 17'!$F$42</f>
        <v>1990</v>
      </c>
      <c r="AO37" s="401">
        <f>'Day 17'!$F$40</f>
        <v>1946</v>
      </c>
      <c r="AP37" s="396">
        <f>'Day 17'!$G$41</f>
        <v>-5.6</v>
      </c>
      <c r="AQ37" s="397">
        <f>'Day 17'!$G$42</f>
        <v>-5.6</v>
      </c>
      <c r="AR37" s="398">
        <f>'Day 17'!$G$40</f>
        <v>-5.5999999999999979</v>
      </c>
      <c r="AS37" s="396">
        <f>'Day 17'!$H$41</f>
        <v>72</v>
      </c>
      <c r="AT37" s="397">
        <f>'Day 17'!$H$42</f>
        <v>72.900000000000006</v>
      </c>
      <c r="AU37" s="398">
        <f>'Day 17'!$H$40</f>
        <v>72.395833333333329</v>
      </c>
      <c r="AV37" s="396">
        <f>'Day 17'!$I$41</f>
        <v>22</v>
      </c>
      <c r="AW37" s="397">
        <f>'Day 17'!$I$42</f>
        <v>22.8</v>
      </c>
      <c r="AX37" s="398">
        <f>'Day 17'!$I$40</f>
        <v>22.420833333333331</v>
      </c>
      <c r="AY37" s="396">
        <f>'Day 17'!$K$41</f>
        <v>13</v>
      </c>
      <c r="AZ37" s="397">
        <f>'Day 17'!$K$42</f>
        <v>13</v>
      </c>
      <c r="BA37" s="398">
        <f>'Day 17'!$K$40</f>
        <v>13</v>
      </c>
      <c r="BB37" s="307" t="s">
        <v>71</v>
      </c>
      <c r="BC37" s="396">
        <f>'Day 17'!$L$41</f>
        <v>130</v>
      </c>
      <c r="BD37" s="397">
        <f>'Day 17'!$L$42</f>
        <v>137</v>
      </c>
      <c r="BE37" s="398">
        <f>'Day 17'!$L$40</f>
        <v>133.1</v>
      </c>
      <c r="BF37" s="396">
        <f>'Day 17'!$M$41</f>
        <v>220</v>
      </c>
      <c r="BG37" s="397">
        <f>'Day 17'!$M$42</f>
        <v>227</v>
      </c>
      <c r="BH37" s="398">
        <f>'Day 17'!$M$40</f>
        <v>223</v>
      </c>
      <c r="BI37" s="396">
        <f>'Day 17'!$N$41</f>
        <v>90</v>
      </c>
      <c r="BJ37" s="397">
        <f>'Day 17'!$N$42</f>
        <v>90</v>
      </c>
      <c r="BK37" s="398">
        <f>'Day 17'!$N$40</f>
        <v>90</v>
      </c>
      <c r="BL37" s="396">
        <f>'Day 17'!$O$41</f>
        <v>40</v>
      </c>
      <c r="BM37" s="397">
        <f>'Day 17'!$O$42</f>
        <v>50</v>
      </c>
      <c r="BN37" s="398">
        <f>'Day 17'!$O$40</f>
        <v>44</v>
      </c>
      <c r="BO37" s="396">
        <f>'Day 17'!$P$41</f>
        <v>13</v>
      </c>
      <c r="BP37" s="397">
        <f>'Day 17'!$P$42</f>
        <v>16</v>
      </c>
      <c r="BQ37" s="398">
        <f>'Day 17'!$P$40</f>
        <v>14.6</v>
      </c>
      <c r="BR37" s="402">
        <f>'Day 17'!$Q$41</f>
        <v>246.42</v>
      </c>
      <c r="BS37" s="403">
        <f>'Day 17'!$Q$42</f>
        <v>277.64</v>
      </c>
      <c r="BT37" s="404">
        <f>'Day 17'!$Q$44</f>
        <v>259.78289999999998</v>
      </c>
      <c r="BU37" s="405" t="str">
        <f>'Day 17'!$R$41</f>
        <v/>
      </c>
      <c r="BV37" s="406" t="str">
        <f>'Day 17'!$R$42</f>
        <v/>
      </c>
      <c r="BW37" s="407" t="str">
        <f>'Day 17'!$R$40</f>
        <v/>
      </c>
      <c r="BX37" s="307" t="s">
        <v>71</v>
      </c>
    </row>
    <row r="38" spans="1:76" s="132" customFormat="1" ht="20.100000000000001" customHeight="1" x14ac:dyDescent="0.2">
      <c r="A38" s="156" t="s">
        <v>75</v>
      </c>
      <c r="B38" s="164">
        <f t="shared" si="7"/>
        <v>45829</v>
      </c>
      <c r="C38" s="165" t="str">
        <f>'Day 21'!$B$40</f>
        <v/>
      </c>
      <c r="D38" s="165" t="str">
        <f>'Day 21'!$C$40</f>
        <v/>
      </c>
      <c r="E38" s="165">
        <f>'Day 21'!$D$40</f>
        <v>7</v>
      </c>
      <c r="F38" s="165">
        <f>'Day 21'!$E$40</f>
        <v>62.9</v>
      </c>
      <c r="G38" s="375">
        <f>IF('Day 21'!$M$49="","",'Day 21'!$M$49)</f>
        <v>232.6</v>
      </c>
      <c r="H38" s="171">
        <f t="shared" si="8"/>
        <v>1.2591813047846723</v>
      </c>
      <c r="I38" s="375">
        <f>Volume!P24</f>
        <v>184.72320000000002</v>
      </c>
      <c r="J38" s="165">
        <f>'Day 21'!$N$40</f>
        <v>90</v>
      </c>
      <c r="K38" s="167">
        <f>'Day 21'!$F$40</f>
        <v>1947</v>
      </c>
      <c r="L38" s="165" t="str">
        <f>IF('Day 21'!$M$50="","",'Day 21'!$M$50)</f>
        <v/>
      </c>
      <c r="M38" s="168">
        <f>IF('Day 21'!$I$47="","",'Day 21'!$I$47)</f>
        <v>1</v>
      </c>
      <c r="N38" s="168">
        <f>IF('Day 21'!$I$48="","",'Day 21'!$I$48)</f>
        <v>0</v>
      </c>
      <c r="O38" s="168">
        <f>IF('Day 21'!$I$49="","",'Day 21'!$I$49)</f>
        <v>0</v>
      </c>
      <c r="P38" s="59">
        <f t="shared" si="5"/>
        <v>1</v>
      </c>
      <c r="Q38" s="172">
        <f t="shared" si="6"/>
        <v>1</v>
      </c>
      <c r="R38" s="170" t="str">
        <f>CONCATENATE('Day 21'!$AF$16,'Day 21'!$AF$17,'Day 21'!$AF$18,'Day 21'!$AF$19,'Day 21'!$AF$20,'Day 21'!$AF$21,'Day 21'!$AF$22,'Day 21'!$AF$23,'Day 21'!$AF$24,'Day 21'!$AF$25,'Day 21'!$AF$26,'Day 21'!$AF$27,'Day 21'!$AF$28,'Day 21'!$AF$29,'Day 21'!$AF$30,'Day 21'!$AF$31,'Day 21'!$AF$32,'Day 21'!$AF$33,'Day 21'!$AF$34,'Day 21'!$AF$35,'Day 21'!$AF$36,'Day 21'!$AF$37,'Day 21'!$AF$38,'Day 21'!$AF$39)</f>
        <v/>
      </c>
      <c r="T38" s="307" t="s">
        <v>72</v>
      </c>
      <c r="U38" s="308" t="str">
        <f>IF($U$17="","",IF(#REF!="","",IF($U$17+1000-#REF!&lt;=23,CONCATENATE("DO PM ",TEXT($U$17+1000,"#.##0")),IF($U$17+1000-#REF!&lt;=216,CONCATENATE("Prep. PM ",TEXT($U$17+1000,"#.##0"),""),""))))</f>
        <v/>
      </c>
      <c r="V38" s="309" t="str">
        <f t="shared" si="14"/>
        <v/>
      </c>
      <c r="W38" s="308" t="str">
        <f>IF('Day 18'!$AG$40="","","CEK")</f>
        <v/>
      </c>
      <c r="X38" s="308" t="str">
        <f>IF('Day 18'!$AD$40="","","CEK")</f>
        <v/>
      </c>
      <c r="Y38" s="308" t="str">
        <f>IF('Day 18'!$AD$43="","","CEK")</f>
        <v/>
      </c>
      <c r="Z38" s="396" t="str">
        <f>'Day 18'!$B$41</f>
        <v/>
      </c>
      <c r="AA38" s="397" t="str">
        <f>'Day 18'!$B$42</f>
        <v/>
      </c>
      <c r="AB38" s="398" t="str">
        <f>'Day 18'!$B$40</f>
        <v/>
      </c>
      <c r="AC38" s="396" t="str">
        <f>'Day 18'!$C$41</f>
        <v/>
      </c>
      <c r="AD38" s="397" t="str">
        <f>'Day 18'!$C$42</f>
        <v/>
      </c>
      <c r="AE38" s="398" t="str">
        <f>'Day 18'!$C$40</f>
        <v/>
      </c>
      <c r="AF38" s="307" t="s">
        <v>72</v>
      </c>
      <c r="AG38" s="396">
        <f>'Day 18'!$D$41</f>
        <v>6.1</v>
      </c>
      <c r="AH38" s="397">
        <f>'Day 18'!$D$42</f>
        <v>8.9</v>
      </c>
      <c r="AI38" s="398">
        <f>'Day 18'!$D$40</f>
        <v>7.5</v>
      </c>
      <c r="AJ38" s="396">
        <f>'Day 18'!$E$41</f>
        <v>54.9</v>
      </c>
      <c r="AK38" s="397">
        <f>'Day 18'!$E$42</f>
        <v>88.2</v>
      </c>
      <c r="AL38" s="398">
        <f>'Day 18'!$E$40</f>
        <v>68.099999999999994</v>
      </c>
      <c r="AM38" s="399">
        <f>'Day 18'!$F$41</f>
        <v>1915</v>
      </c>
      <c r="AN38" s="400">
        <f>'Day 18'!$F$42</f>
        <v>1981</v>
      </c>
      <c r="AO38" s="401">
        <f>'Day 18'!$F$40</f>
        <v>1942</v>
      </c>
      <c r="AP38" s="396">
        <f>'Day 18'!$G$41</f>
        <v>-5.6</v>
      </c>
      <c r="AQ38" s="397">
        <f>'Day 18'!$G$42</f>
        <v>-5.6</v>
      </c>
      <c r="AR38" s="398">
        <f>'Day 18'!$G$40</f>
        <v>-5.5999999999999979</v>
      </c>
      <c r="AS38" s="396">
        <f>'Day 18'!$H$41</f>
        <v>72</v>
      </c>
      <c r="AT38" s="397">
        <f>'Day 18'!$H$42</f>
        <v>72.8</v>
      </c>
      <c r="AU38" s="398">
        <f>'Day 18'!$H$40</f>
        <v>72.329166666666652</v>
      </c>
      <c r="AV38" s="396">
        <f>'Day 18'!$I$41</f>
        <v>22</v>
      </c>
      <c r="AW38" s="397">
        <f>'Day 18'!$I$42</f>
        <v>22.9</v>
      </c>
      <c r="AX38" s="398">
        <f>'Day 18'!$I$40</f>
        <v>22.404166666666669</v>
      </c>
      <c r="AY38" s="396">
        <f>'Day 18'!$K$41</f>
        <v>13</v>
      </c>
      <c r="AZ38" s="397">
        <f>'Day 18'!$K$42</f>
        <v>13</v>
      </c>
      <c r="BA38" s="398">
        <f>'Day 18'!$K$40</f>
        <v>13</v>
      </c>
      <c r="BB38" s="307" t="s">
        <v>72</v>
      </c>
      <c r="BC38" s="396">
        <f>'Day 18'!$L$41</f>
        <v>130</v>
      </c>
      <c r="BD38" s="397">
        <f>'Day 18'!$L$42</f>
        <v>139</v>
      </c>
      <c r="BE38" s="398">
        <f>'Day 18'!$L$40</f>
        <v>135</v>
      </c>
      <c r="BF38" s="396">
        <f>'Day 18'!$M$41</f>
        <v>220</v>
      </c>
      <c r="BG38" s="397">
        <f>'Day 18'!$M$42</f>
        <v>228</v>
      </c>
      <c r="BH38" s="398">
        <f>'Day 18'!$M$40</f>
        <v>224</v>
      </c>
      <c r="BI38" s="396">
        <f>'Day 18'!$N$41</f>
        <v>90</v>
      </c>
      <c r="BJ38" s="397">
        <f>'Day 18'!$N$42</f>
        <v>90</v>
      </c>
      <c r="BK38" s="398">
        <f>'Day 18'!$N$40</f>
        <v>90</v>
      </c>
      <c r="BL38" s="396">
        <f>'Day 18'!$O$41</f>
        <v>45</v>
      </c>
      <c r="BM38" s="397">
        <f>'Day 18'!$O$42</f>
        <v>50</v>
      </c>
      <c r="BN38" s="398">
        <f>'Day 18'!$O$40</f>
        <v>45.8</v>
      </c>
      <c r="BO38" s="396">
        <f>'Day 18'!$P$41</f>
        <v>12</v>
      </c>
      <c r="BP38" s="397">
        <f>'Day 18'!$P$42</f>
        <v>16</v>
      </c>
      <c r="BQ38" s="398">
        <f>'Day 18'!$P$40</f>
        <v>13.4</v>
      </c>
      <c r="BR38" s="402">
        <f>'Day 18'!$Q$41</f>
        <v>238.62</v>
      </c>
      <c r="BS38" s="403">
        <f>'Day 18'!$Q$42</f>
        <v>275.22000000000003</v>
      </c>
      <c r="BT38" s="404">
        <f>'Day 18'!$Q$44</f>
        <v>253.7646</v>
      </c>
      <c r="BU38" s="405" t="str">
        <f>'Day 18'!$R$41</f>
        <v/>
      </c>
      <c r="BV38" s="406" t="str">
        <f>'Day 18'!$R$42</f>
        <v/>
      </c>
      <c r="BW38" s="407" t="str">
        <f>'Day 18'!$R$40</f>
        <v/>
      </c>
      <c r="BX38" s="307" t="s">
        <v>72</v>
      </c>
    </row>
    <row r="39" spans="1:76" s="132" customFormat="1" ht="20.100000000000001" customHeight="1" x14ac:dyDescent="0.2">
      <c r="A39" s="156" t="s">
        <v>76</v>
      </c>
      <c r="B39" s="164">
        <f t="shared" si="7"/>
        <v>45830</v>
      </c>
      <c r="C39" s="165" t="str">
        <f>'Day 22'!$B$40</f>
        <v/>
      </c>
      <c r="D39" s="165" t="str">
        <f>'Day 22'!$C$40</f>
        <v/>
      </c>
      <c r="E39" s="165">
        <f>'Day 22'!$D$40</f>
        <v>7.6</v>
      </c>
      <c r="F39" s="165">
        <f>'Day 22'!$E$40</f>
        <v>63</v>
      </c>
      <c r="G39" s="375">
        <f>IF('Day 22'!$M$49="","",'Day 22'!$M$49)</f>
        <v>212.8</v>
      </c>
      <c r="H39" s="171">
        <f t="shared" si="8"/>
        <v>1.216664646515468</v>
      </c>
      <c r="I39" s="375">
        <f>Volume!P25</f>
        <v>174.90439999999998</v>
      </c>
      <c r="J39" s="165">
        <f>'Day 22'!$N$40</f>
        <v>88</v>
      </c>
      <c r="K39" s="167">
        <f>'Day 22'!$F$40</f>
        <v>1951</v>
      </c>
      <c r="L39" s="165" t="str">
        <f>IF('Day 22'!$M$50="","",'Day 22'!$M$50)</f>
        <v/>
      </c>
      <c r="M39" s="168">
        <f>IF('Day 22'!$I$47="","",'Day 22'!$I$47)</f>
        <v>0.91666666666666663</v>
      </c>
      <c r="N39" s="168">
        <f>IF('Day 22'!$I$48="","",'Day 22'!$I$48)</f>
        <v>0</v>
      </c>
      <c r="O39" s="168">
        <f>IF('Day 22'!$I$49="","",'Day 22'!$I$49)</f>
        <v>8.333333333333337E-2</v>
      </c>
      <c r="P39" s="59">
        <f t="shared" si="5"/>
        <v>0.91666666666666663</v>
      </c>
      <c r="Q39" s="172">
        <f t="shared" si="6"/>
        <v>0.91666666666666663</v>
      </c>
      <c r="R39" s="170" t="str">
        <f>CONCATENATE('Day 22'!$AF$16,'Day 22'!$AF$17,'Day 22'!$AF$18,'Day 22'!$AF$19,'Day 22'!$AF$20,'Day 22'!$AF$21,'Day 22'!$AF$22,'Day 22'!$AF$23,'Day 22'!$AF$24,'Day 22'!$AF$25,'Day 22'!$AF$26,'Day 22'!$AF$27,'Day 22'!$AF$28,'Day 22'!$AF$29,'Day 22'!$AF$30,'Day 22'!$AF$31,'Day 22'!$AF$32,'Day 22'!$AF$33,'Day 22'!$AF$34,'Day 22'!$AF$35,'Day 22'!$AF$36,'Day 22'!$AF$37,'Day 22'!$AF$38,'Day 22'!$AF$39)</f>
        <v>21:00 - 23:00 SD/ High disch. press.</v>
      </c>
      <c r="T39" s="307" t="s">
        <v>73</v>
      </c>
      <c r="U39" s="308" t="str">
        <f>IF($U$17="","",IF(#REF!="","",IF($U$17+1000-#REF!&lt;=23,CONCATENATE("DO PM ",TEXT($U$17+1000,"#.##0")),IF($U$17+1000-#REF!&lt;=216,CONCATENATE("Prep. PM ",TEXT($U$17+1000,"#.##0"),""),""))))</f>
        <v/>
      </c>
      <c r="V39" s="309" t="str">
        <f t="shared" si="14"/>
        <v/>
      </c>
      <c r="W39" s="308" t="str">
        <f>IF('Day 19'!$AG$40="","","CEK")</f>
        <v/>
      </c>
      <c r="X39" s="308" t="str">
        <f>IF('Day 19'!$AD$40="","","CEK")</f>
        <v/>
      </c>
      <c r="Y39" s="308" t="str">
        <f>IF('Day 19'!$AD$43="","","CEK")</f>
        <v/>
      </c>
      <c r="Z39" s="396" t="str">
        <f>'Day 19'!$B$41</f>
        <v/>
      </c>
      <c r="AA39" s="397" t="str">
        <f>'Day 19'!$B$42</f>
        <v/>
      </c>
      <c r="AB39" s="398" t="str">
        <f>'Day 19'!$B$40</f>
        <v/>
      </c>
      <c r="AC39" s="396" t="str">
        <f>'Day 19'!$C$41</f>
        <v/>
      </c>
      <c r="AD39" s="397" t="str">
        <f>'Day 19'!$C$42</f>
        <v/>
      </c>
      <c r="AE39" s="398" t="str">
        <f>'Day 19'!$C$40</f>
        <v/>
      </c>
      <c r="AF39" s="307" t="s">
        <v>73</v>
      </c>
      <c r="AG39" s="396">
        <f>'Day 19'!$D$41</f>
        <v>5.2</v>
      </c>
      <c r="AH39" s="397">
        <f>'Day 19'!$D$42</f>
        <v>8.8000000000000007</v>
      </c>
      <c r="AI39" s="398">
        <f>'Day 19'!$D$40</f>
        <v>7.4</v>
      </c>
      <c r="AJ39" s="396">
        <f>'Day 19'!$E$41</f>
        <v>54.9</v>
      </c>
      <c r="AK39" s="397">
        <f>'Day 19'!$E$42</f>
        <v>77</v>
      </c>
      <c r="AL39" s="398">
        <f>'Day 19'!$E$40</f>
        <v>67.900000000000006</v>
      </c>
      <c r="AM39" s="399">
        <f>'Day 19'!$F$41</f>
        <v>1915</v>
      </c>
      <c r="AN39" s="400">
        <f>'Day 19'!$F$42</f>
        <v>1981</v>
      </c>
      <c r="AO39" s="401">
        <f>'Day 19'!$F$40</f>
        <v>1945</v>
      </c>
      <c r="AP39" s="396">
        <f>'Day 19'!$G$41</f>
        <v>-5.6</v>
      </c>
      <c r="AQ39" s="397">
        <f>'Day 19'!$G$42</f>
        <v>-5.6</v>
      </c>
      <c r="AR39" s="398">
        <f>'Day 19'!$G$40</f>
        <v>-5.5999999999999979</v>
      </c>
      <c r="AS39" s="396">
        <f>'Day 19'!$H$41</f>
        <v>71.599999999999994</v>
      </c>
      <c r="AT39" s="397">
        <f>'Day 19'!$H$42</f>
        <v>72.900000000000006</v>
      </c>
      <c r="AU39" s="398">
        <f>'Day 19'!$H$40</f>
        <v>72.341666666666654</v>
      </c>
      <c r="AV39" s="396">
        <f>'Day 19'!$I$41</f>
        <v>22.1</v>
      </c>
      <c r="AW39" s="397">
        <f>'Day 19'!$I$42</f>
        <v>22.9</v>
      </c>
      <c r="AX39" s="398">
        <f>'Day 19'!$I$40</f>
        <v>22.420833333333338</v>
      </c>
      <c r="AY39" s="396">
        <f>'Day 19'!$K$41</f>
        <v>13</v>
      </c>
      <c r="AZ39" s="397">
        <f>'Day 19'!$K$42</f>
        <v>13</v>
      </c>
      <c r="BA39" s="398">
        <f>'Day 19'!$K$40</f>
        <v>13</v>
      </c>
      <c r="BB39" s="307" t="s">
        <v>73</v>
      </c>
      <c r="BC39" s="396">
        <f>'Day 19'!$L$41</f>
        <v>130</v>
      </c>
      <c r="BD39" s="397">
        <f>'Day 19'!$L$42</f>
        <v>137</v>
      </c>
      <c r="BE39" s="398">
        <f>'Day 19'!$L$40</f>
        <v>133.80000000000001</v>
      </c>
      <c r="BF39" s="396">
        <f>'Day 19'!$M$41</f>
        <v>220</v>
      </c>
      <c r="BG39" s="397">
        <f>'Day 19'!$M$42</f>
        <v>227</v>
      </c>
      <c r="BH39" s="398">
        <f>'Day 19'!$M$40</f>
        <v>223</v>
      </c>
      <c r="BI39" s="396">
        <f>'Day 19'!$N$41</f>
        <v>90</v>
      </c>
      <c r="BJ39" s="397">
        <f>'Day 19'!$N$42</f>
        <v>90</v>
      </c>
      <c r="BK39" s="398">
        <f>'Day 19'!$N$40</f>
        <v>90</v>
      </c>
      <c r="BL39" s="396">
        <f>'Day 19'!$O$41</f>
        <v>30</v>
      </c>
      <c r="BM39" s="397">
        <f>'Day 19'!$O$42</f>
        <v>50</v>
      </c>
      <c r="BN39" s="398">
        <f>'Day 19'!$O$40</f>
        <v>40.6</v>
      </c>
      <c r="BO39" s="396">
        <f>'Day 19'!$P$41</f>
        <v>13</v>
      </c>
      <c r="BP39" s="397">
        <f>'Day 19'!$P$42</f>
        <v>17</v>
      </c>
      <c r="BQ39" s="398">
        <f>'Day 19'!$P$40</f>
        <v>14.8</v>
      </c>
      <c r="BR39" s="402">
        <f>'Day 19'!$Q$41</f>
        <v>237.74</v>
      </c>
      <c r="BS39" s="403">
        <f>'Day 19'!$Q$42</f>
        <v>286.67</v>
      </c>
      <c r="BT39" s="404">
        <f>'Day 19'!$Q$44</f>
        <v>252.82830000000001</v>
      </c>
      <c r="BU39" s="405" t="str">
        <f>'Day 19'!$R$41</f>
        <v/>
      </c>
      <c r="BV39" s="406" t="str">
        <f>'Day 19'!$R$42</f>
        <v/>
      </c>
      <c r="BW39" s="407" t="str">
        <f>'Day 19'!$R$40</f>
        <v/>
      </c>
      <c r="BX39" s="307" t="s">
        <v>73</v>
      </c>
    </row>
    <row r="40" spans="1:76" s="132" customFormat="1" ht="20.100000000000001" customHeight="1" x14ac:dyDescent="0.2">
      <c r="A40" s="156" t="s">
        <v>77</v>
      </c>
      <c r="B40" s="164">
        <f t="shared" si="7"/>
        <v>45831</v>
      </c>
      <c r="C40" s="165" t="str">
        <f>'Day 23'!$B$40</f>
        <v/>
      </c>
      <c r="D40" s="165" t="str">
        <f>'Day 23'!$C$40</f>
        <v/>
      </c>
      <c r="E40" s="165">
        <f>'Day 23'!$D$40</f>
        <v>6.3</v>
      </c>
      <c r="F40" s="165">
        <f>'Day 23'!$E$40</f>
        <v>63.2</v>
      </c>
      <c r="G40" s="375">
        <f>IF('Day 23'!$M$49="","",'Day 23'!$M$49)</f>
        <v>227</v>
      </c>
      <c r="H40" s="171">
        <f t="shared" si="8"/>
        <v>1.2822320372283365</v>
      </c>
      <c r="I40" s="375">
        <f>Volume!P26</f>
        <v>177.03503999999998</v>
      </c>
      <c r="J40" s="165">
        <f>'Day 23'!$N$40</f>
        <v>85</v>
      </c>
      <c r="K40" s="167">
        <f>'Day 23'!$F$40</f>
        <v>1954</v>
      </c>
      <c r="L40" s="165" t="str">
        <f>IF('Day 23'!$M$50="","",'Day 23'!$M$50)</f>
        <v/>
      </c>
      <c r="M40" s="168">
        <f>IF('Day 23'!$I$47="","",'Day 23'!$I$47)</f>
        <v>1</v>
      </c>
      <c r="N40" s="168">
        <f>IF('Day 23'!$I$48="","",'Day 23'!$I$48)</f>
        <v>0</v>
      </c>
      <c r="O40" s="168">
        <f>IF('Day 23'!$I$49="","",'Day 23'!$I$49)</f>
        <v>0</v>
      </c>
      <c r="P40" s="59">
        <f t="shared" si="5"/>
        <v>1</v>
      </c>
      <c r="Q40" s="172">
        <f t="shared" si="6"/>
        <v>1</v>
      </c>
      <c r="R40" s="170" t="str">
        <f>CONCATENATE('Day 23'!$AF$16,'Day 23'!$AF$17,'Day 23'!$AF$18,'Day 23'!$AF$19,'Day 23'!$AF$20,'Day 23'!$AF$21,'Day 23'!$AF$22,'Day 23'!$AF$23,'Day 23'!$AF$24,'Day 23'!$AF$25,'Day 23'!$AF$26,'Day 23'!$AF$27,'Day 23'!$AF$28,'Day 23'!$AF$29,'Day 23'!$AF$30,'Day 23'!$AF$31,'Day 23'!$AF$32,'Day 23'!$AF$33,'Day 23'!$AF$34,'Day 23'!$AF$35,'Day 23'!$AF$36,'Day 23'!$AF$37,'Day 23'!$AF$38,'Day 23'!$AF$39)</f>
        <v/>
      </c>
      <c r="T40" s="307" t="s">
        <v>74</v>
      </c>
      <c r="U40" s="308" t="str">
        <f>IF($U$17="","",IF(#REF!="","",IF($U$17+1000-#REF!&lt;=23,CONCATENATE("DO PM ",TEXT($U$17+1000,"#.##0")),IF($U$17+1000-#REF!&lt;=216,CONCATENATE("Prep. PM ",TEXT($U$17+1000,"#.##0"),""),""))))</f>
        <v/>
      </c>
      <c r="V40" s="309" t="str">
        <f t="shared" si="14"/>
        <v/>
      </c>
      <c r="W40" s="308" t="str">
        <f>IF('Day 20'!$AG$40="","","CEK")</f>
        <v/>
      </c>
      <c r="X40" s="308" t="str">
        <f>IF('Day 20'!$AD$40="","","CEK")</f>
        <v/>
      </c>
      <c r="Y40" s="308" t="str">
        <f>IF('Day 20'!$AD$43="","","CEK")</f>
        <v/>
      </c>
      <c r="Z40" s="396" t="str">
        <f>'Day 20'!$B$41</f>
        <v/>
      </c>
      <c r="AA40" s="397" t="str">
        <f>'Day 20'!$B$42</f>
        <v/>
      </c>
      <c r="AB40" s="398" t="str">
        <f>'Day 20'!$B$40</f>
        <v/>
      </c>
      <c r="AC40" s="396" t="str">
        <f>'Day 20'!$C$41</f>
        <v/>
      </c>
      <c r="AD40" s="397" t="str">
        <f>'Day 20'!$C$42</f>
        <v/>
      </c>
      <c r="AE40" s="398" t="str">
        <f>'Day 20'!$C$40</f>
        <v/>
      </c>
      <c r="AF40" s="307" t="s">
        <v>74</v>
      </c>
      <c r="AG40" s="396">
        <f>'Day 20'!$D$41</f>
        <v>5.8</v>
      </c>
      <c r="AH40" s="397">
        <f>'Day 20'!$D$42</f>
        <v>8.6</v>
      </c>
      <c r="AI40" s="398">
        <f>'Day 20'!$D$40</f>
        <v>7.3</v>
      </c>
      <c r="AJ40" s="396">
        <f>'Day 20'!$E$41</f>
        <v>53.4</v>
      </c>
      <c r="AK40" s="397">
        <f>'Day 20'!$E$42</f>
        <v>65.5</v>
      </c>
      <c r="AL40" s="398">
        <f>'Day 20'!$E$40</f>
        <v>61</v>
      </c>
      <c r="AM40" s="399">
        <f>'Day 20'!$F$41</f>
        <v>1915</v>
      </c>
      <c r="AN40" s="400">
        <f>'Day 20'!$F$42</f>
        <v>1983</v>
      </c>
      <c r="AO40" s="401">
        <f>'Day 20'!$F$40</f>
        <v>1941</v>
      </c>
      <c r="AP40" s="396">
        <f>'Day 20'!$G$41</f>
        <v>-5.6</v>
      </c>
      <c r="AQ40" s="397">
        <f>'Day 20'!$G$42</f>
        <v>-5.6</v>
      </c>
      <c r="AR40" s="398">
        <f>'Day 20'!$G$40</f>
        <v>-5.5999999999999979</v>
      </c>
      <c r="AS40" s="396">
        <f>'Day 20'!$H$41</f>
        <v>72</v>
      </c>
      <c r="AT40" s="397">
        <f>'Day 20'!$H$42</f>
        <v>72.900000000000006</v>
      </c>
      <c r="AU40" s="398">
        <f>'Day 20'!$H$40</f>
        <v>72.404166666666683</v>
      </c>
      <c r="AV40" s="396">
        <f>'Day 20'!$I$41</f>
        <v>22</v>
      </c>
      <c r="AW40" s="397">
        <f>'Day 20'!$I$42</f>
        <v>22.9</v>
      </c>
      <c r="AX40" s="398">
        <f>'Day 20'!$I$40</f>
        <v>22.416666666666671</v>
      </c>
      <c r="AY40" s="396">
        <f>'Day 20'!$K$41</f>
        <v>13</v>
      </c>
      <c r="AZ40" s="397">
        <f>'Day 20'!$K$42</f>
        <v>13</v>
      </c>
      <c r="BA40" s="398">
        <f>'Day 20'!$K$40</f>
        <v>13</v>
      </c>
      <c r="BB40" s="307" t="s">
        <v>74</v>
      </c>
      <c r="BC40" s="396">
        <f>'Day 20'!$L$41</f>
        <v>130</v>
      </c>
      <c r="BD40" s="397">
        <f>'Day 20'!$L$42</f>
        <v>137</v>
      </c>
      <c r="BE40" s="398">
        <f>'Day 20'!$L$40</f>
        <v>132.69999999999999</v>
      </c>
      <c r="BF40" s="396">
        <f>'Day 20'!$M$41</f>
        <v>220</v>
      </c>
      <c r="BG40" s="397">
        <f>'Day 20'!$M$42</f>
        <v>229</v>
      </c>
      <c r="BH40" s="398">
        <f>'Day 20'!$M$40</f>
        <v>224</v>
      </c>
      <c r="BI40" s="396">
        <f>'Day 20'!$N$41</f>
        <v>90</v>
      </c>
      <c r="BJ40" s="397">
        <f>'Day 20'!$N$42</f>
        <v>90</v>
      </c>
      <c r="BK40" s="398">
        <f>'Day 20'!$N$40</f>
        <v>90</v>
      </c>
      <c r="BL40" s="396">
        <f>'Day 20'!$O$41</f>
        <v>40</v>
      </c>
      <c r="BM40" s="397">
        <f>'Day 20'!$O$42</f>
        <v>50</v>
      </c>
      <c r="BN40" s="398">
        <f>'Day 20'!$O$40</f>
        <v>43.5</v>
      </c>
      <c r="BO40" s="396">
        <f>'Day 20'!$P$41</f>
        <v>12</v>
      </c>
      <c r="BP40" s="397">
        <f>'Day 20'!$P$42</f>
        <v>16</v>
      </c>
      <c r="BQ40" s="398">
        <f>'Day 20'!$P$40</f>
        <v>13.1</v>
      </c>
      <c r="BR40" s="402">
        <f>'Day 20'!$Q$41</f>
        <v>228.29</v>
      </c>
      <c r="BS40" s="403">
        <f>'Day 20'!$Q$42</f>
        <v>286.67</v>
      </c>
      <c r="BT40" s="404">
        <f>'Day 20'!$Q$44</f>
        <v>245.78129999999999</v>
      </c>
      <c r="BU40" s="405" t="str">
        <f>'Day 20'!$R$41</f>
        <v/>
      </c>
      <c r="BV40" s="406" t="str">
        <f>'Day 20'!$R$42</f>
        <v/>
      </c>
      <c r="BW40" s="407" t="str">
        <f>'Day 20'!$R$40</f>
        <v/>
      </c>
      <c r="BX40" s="307" t="s">
        <v>74</v>
      </c>
    </row>
    <row r="41" spans="1:76" s="132" customFormat="1" ht="20.100000000000001" customHeight="1" x14ac:dyDescent="0.2">
      <c r="A41" s="156" t="s">
        <v>78</v>
      </c>
      <c r="B41" s="164">
        <f t="shared" si="7"/>
        <v>45832</v>
      </c>
      <c r="C41" s="165" t="str">
        <f>'Day 24'!$B$40</f>
        <v/>
      </c>
      <c r="D41" s="165" t="str">
        <f>'Day 24'!$C$40</f>
        <v/>
      </c>
      <c r="E41" s="165">
        <f>'Day 24'!$D$40</f>
        <v>6.9</v>
      </c>
      <c r="F41" s="165">
        <f>'Day 24'!$E$40</f>
        <v>62.9</v>
      </c>
      <c r="G41" s="375">
        <f>IF('Day 24'!$M$49="","",'Day 24'!$M$49)</f>
        <v>214.8</v>
      </c>
      <c r="H41" s="171">
        <f t="shared" si="8"/>
        <v>1.1704533119905423</v>
      </c>
      <c r="I41" s="375">
        <f>Volume!P27</f>
        <v>183.51864</v>
      </c>
      <c r="J41" s="165">
        <f>'Day 24'!$N$40</f>
        <v>85</v>
      </c>
      <c r="K41" s="167">
        <f>'Day 24'!$F$40</f>
        <v>1955</v>
      </c>
      <c r="L41" s="165" t="str">
        <f>IF('Day 24'!$M$50="","",'Day 24'!$M$50)</f>
        <v/>
      </c>
      <c r="M41" s="168">
        <f>IF('Day 24'!$I$47="","",'Day 24'!$I$47)</f>
        <v>1</v>
      </c>
      <c r="N41" s="168">
        <f>IF('Day 24'!$I$48="","",'Day 24'!$I$48)</f>
        <v>0</v>
      </c>
      <c r="O41" s="168">
        <f>IF('Day 24'!$I$49="","",'Day 24'!$I$49)</f>
        <v>0</v>
      </c>
      <c r="P41" s="59">
        <f t="shared" si="5"/>
        <v>1</v>
      </c>
      <c r="Q41" s="172">
        <f t="shared" si="6"/>
        <v>1</v>
      </c>
      <c r="R41" s="170" t="str">
        <f>CONCATENATE('Day 24'!$AF$16,'Day 24'!$AF$17,'Day 24'!$AF$18,'Day 24'!$AF$19,'Day 24'!$AF$20,'Day 24'!$AF$21,'Day 24'!$AF$22,'Day 24'!$AF$23,'Day 24'!$AF$24,'Day 24'!$AF$25,'Day 24'!$AF$26,'Day 24'!$AF$27,'Day 24'!$AF$28,'Day 24'!$AF$29,'Day 24'!$AF$30,'Day 24'!$AF$31,'Day 24'!$AF$32,'Day 24'!$AF$33,'Day 24'!$AF$34,'Day 24'!$AF$35,'Day 24'!$AF$36,'Day 24'!$AF$37,'Day 24'!$AF$38,'Day 24'!$AF$39)</f>
        <v/>
      </c>
      <c r="T41" s="307" t="s">
        <v>75</v>
      </c>
      <c r="U41" s="308" t="str">
        <f>IF($U$17="","",IF(#REF!="","",IF($U$17+1000-#REF!&lt;=23,CONCATENATE("DO PM ",TEXT($U$17+1000,"#.##0")),IF($U$17+1000-#REF!&lt;=216,CONCATENATE("Prep. PM ",TEXT($U$17+1000,"#.##0"),""),""))))</f>
        <v/>
      </c>
      <c r="V41" s="309" t="str">
        <f t="shared" si="14"/>
        <v/>
      </c>
      <c r="W41" s="308" t="str">
        <f>IF('Day 21'!$AG$40="","","CEK")</f>
        <v/>
      </c>
      <c r="X41" s="308" t="str">
        <f>IF('Day 21'!$AD$40="","","CEK")</f>
        <v/>
      </c>
      <c r="Y41" s="308" t="str">
        <f>IF('Day 21'!$AD$43="","","CEK")</f>
        <v/>
      </c>
      <c r="Z41" s="396" t="str">
        <f>'Day 21'!$B$41</f>
        <v/>
      </c>
      <c r="AA41" s="397" t="str">
        <f>'Day 21'!$B$42</f>
        <v/>
      </c>
      <c r="AB41" s="398" t="str">
        <f>'Day 21'!$B$40</f>
        <v/>
      </c>
      <c r="AC41" s="396" t="str">
        <f>'Day 21'!$C$41</f>
        <v/>
      </c>
      <c r="AD41" s="397" t="str">
        <f>'Day 21'!$C$42</f>
        <v/>
      </c>
      <c r="AE41" s="398" t="str">
        <f>'Day 21'!$C$40</f>
        <v/>
      </c>
      <c r="AF41" s="307" t="s">
        <v>75</v>
      </c>
      <c r="AG41" s="396">
        <f>'Day 21'!$D$41</f>
        <v>5.3</v>
      </c>
      <c r="AH41" s="397">
        <f>'Day 21'!$D$42</f>
        <v>8.1999999999999993</v>
      </c>
      <c r="AI41" s="398">
        <f>'Day 21'!$D$40</f>
        <v>7</v>
      </c>
      <c r="AJ41" s="396">
        <f>'Day 21'!$E$41</f>
        <v>56.3</v>
      </c>
      <c r="AK41" s="397">
        <f>'Day 21'!$E$42</f>
        <v>67.400000000000006</v>
      </c>
      <c r="AL41" s="398">
        <f>'Day 21'!$E$40</f>
        <v>62.9</v>
      </c>
      <c r="AM41" s="399">
        <f>'Day 21'!$F$41</f>
        <v>1920</v>
      </c>
      <c r="AN41" s="400">
        <f>'Day 21'!$F$42</f>
        <v>1980</v>
      </c>
      <c r="AO41" s="401">
        <f>'Day 21'!$F$40</f>
        <v>1947</v>
      </c>
      <c r="AP41" s="396">
        <f>'Day 21'!$G$41</f>
        <v>-5.6</v>
      </c>
      <c r="AQ41" s="397">
        <f>'Day 21'!$G$42</f>
        <v>-5.6</v>
      </c>
      <c r="AR41" s="398">
        <f>'Day 21'!$G$40</f>
        <v>-5.5999999999999979</v>
      </c>
      <c r="AS41" s="396">
        <f>'Day 21'!$H$41</f>
        <v>72</v>
      </c>
      <c r="AT41" s="397">
        <f>'Day 21'!$H$42</f>
        <v>72.900000000000006</v>
      </c>
      <c r="AU41" s="398">
        <f>'Day 21'!$H$40</f>
        <v>72.399999999999991</v>
      </c>
      <c r="AV41" s="396">
        <f>'Day 21'!$I$41</f>
        <v>22</v>
      </c>
      <c r="AW41" s="397">
        <f>'Day 21'!$I$42</f>
        <v>22.8</v>
      </c>
      <c r="AX41" s="398">
        <f>'Day 21'!$I$40</f>
        <v>22.384166666666662</v>
      </c>
      <c r="AY41" s="396">
        <f>'Day 21'!$K$41</f>
        <v>13</v>
      </c>
      <c r="AZ41" s="397">
        <f>'Day 21'!$K$42</f>
        <v>13</v>
      </c>
      <c r="BA41" s="398">
        <f>'Day 21'!$K$40</f>
        <v>13</v>
      </c>
      <c r="BB41" s="307" t="s">
        <v>75</v>
      </c>
      <c r="BC41" s="396">
        <f>'Day 21'!$L$41</f>
        <v>127</v>
      </c>
      <c r="BD41" s="397">
        <f>'Day 21'!$L$42</f>
        <v>137</v>
      </c>
      <c r="BE41" s="398">
        <f>'Day 21'!$L$40</f>
        <v>131.4</v>
      </c>
      <c r="BF41" s="396">
        <f>'Day 21'!$M$41</f>
        <v>220</v>
      </c>
      <c r="BG41" s="397">
        <f>'Day 21'!$M$42</f>
        <v>230</v>
      </c>
      <c r="BH41" s="398">
        <f>'Day 21'!$M$40</f>
        <v>225</v>
      </c>
      <c r="BI41" s="396">
        <f>'Day 21'!$N$41</f>
        <v>90</v>
      </c>
      <c r="BJ41" s="397">
        <f>'Day 21'!$N$42</f>
        <v>90</v>
      </c>
      <c r="BK41" s="398">
        <f>'Day 21'!$N$40</f>
        <v>90</v>
      </c>
      <c r="BL41" s="396">
        <f>'Day 21'!$O$41</f>
        <v>20</v>
      </c>
      <c r="BM41" s="397">
        <f>'Day 21'!$O$42</f>
        <v>40</v>
      </c>
      <c r="BN41" s="398">
        <f>'Day 21'!$O$40</f>
        <v>32.700000000000003</v>
      </c>
      <c r="BO41" s="396">
        <f>'Day 21'!$P$41</f>
        <v>13</v>
      </c>
      <c r="BP41" s="397">
        <f>'Day 21'!$P$42</f>
        <v>20</v>
      </c>
      <c r="BQ41" s="398">
        <f>'Day 21'!$P$40</f>
        <v>15.6</v>
      </c>
      <c r="BR41" s="402">
        <f>'Day 21'!$Q$41</f>
        <v>214.5</v>
      </c>
      <c r="BS41" s="403">
        <f>'Day 21'!$Q$42</f>
        <v>273.14</v>
      </c>
      <c r="BT41" s="404">
        <f>'Day 21'!$Q$44</f>
        <v>238.9229</v>
      </c>
      <c r="BU41" s="405" t="str">
        <f>'Day 21'!$R$41</f>
        <v/>
      </c>
      <c r="BV41" s="406" t="str">
        <f>'Day 21'!$R$42</f>
        <v/>
      </c>
      <c r="BW41" s="407" t="str">
        <f>'Day 21'!$R$40</f>
        <v/>
      </c>
      <c r="BX41" s="307" t="s">
        <v>75</v>
      </c>
    </row>
    <row r="42" spans="1:76" s="132" customFormat="1" ht="20.100000000000001" customHeight="1" x14ac:dyDescent="0.2">
      <c r="A42" s="156" t="s">
        <v>79</v>
      </c>
      <c r="B42" s="164">
        <f t="shared" si="7"/>
        <v>45833</v>
      </c>
      <c r="C42" s="165" t="str">
        <f>'Day 25'!$B$40</f>
        <v/>
      </c>
      <c r="D42" s="165" t="str">
        <f>'Day 25'!$C$40</f>
        <v/>
      </c>
      <c r="E42" s="165">
        <f>'Day 25'!$D$40</f>
        <v>6.5</v>
      </c>
      <c r="F42" s="165">
        <f>'Day 25'!$E$40</f>
        <v>63.6</v>
      </c>
      <c r="G42" s="375">
        <f>IF('Day 25'!$M$49="","",'Day 25'!$M$49)</f>
        <v>225.1</v>
      </c>
      <c r="H42" s="171">
        <f t="shared" si="8"/>
        <v>1.2582223235805734</v>
      </c>
      <c r="I42" s="375">
        <f>Volume!P28</f>
        <v>178.90319999999997</v>
      </c>
      <c r="J42" s="165">
        <f>'Day 25'!$N$40</f>
        <v>85</v>
      </c>
      <c r="K42" s="167">
        <f>'Day 25'!$F$40</f>
        <v>1950</v>
      </c>
      <c r="L42" s="165" t="str">
        <f>IF('Day 25'!$M$50="","",'Day 25'!$M$50)</f>
        <v/>
      </c>
      <c r="M42" s="168">
        <f>IF('Day 25'!$I$47="","",'Day 25'!$I$47)</f>
        <v>1</v>
      </c>
      <c r="N42" s="168">
        <f>IF('Day 25'!$I$48="","",'Day 25'!$I$48)</f>
        <v>0</v>
      </c>
      <c r="O42" s="168">
        <f>IF('Day 25'!$I$49="","",'Day 25'!$I$49)</f>
        <v>0</v>
      </c>
      <c r="P42" s="59">
        <f t="shared" si="5"/>
        <v>1</v>
      </c>
      <c r="Q42" s="172">
        <f t="shared" si="6"/>
        <v>1</v>
      </c>
      <c r="R42" s="170" t="str">
        <f>CONCATENATE('Day 25'!$AF$16,'Day 25'!$AF$17,'Day 25'!$AF$18,'Day 25'!$AF$19,'Day 25'!$AF$20,'Day 25'!$AF$21,'Day 25'!$AF$22,'Day 25'!$AF$23,'Day 25'!$AF$24,'Day 25'!$AF$25,'Day 25'!$AF$26,'Day 25'!$AF$27,'Day 25'!$AF$28,'Day 25'!$AF$29,'Day 25'!$AF$30,'Day 25'!$AF$31,'Day 25'!$AF$32,'Day 25'!$AF$33,'Day 25'!$AF$34,'Day 25'!$AF$35,'Day 25'!$AF$36,'Day 25'!$AF$37,'Day 25'!$AF$38,'Day 25'!$AF$39)</f>
        <v/>
      </c>
      <c r="T42" s="307" t="s">
        <v>76</v>
      </c>
      <c r="U42" s="308" t="str">
        <f>IF($U$17="","",IF(#REF!="","",IF($U$17+1000-#REF!&lt;=23,CONCATENATE("DO PM ",TEXT($U$17+1000,"#.##0")),IF($U$17+1000-#REF!&lt;=216,CONCATENATE("Prep. PM ",TEXT($U$17+1000,"#.##0"),""),""))))</f>
        <v/>
      </c>
      <c r="V42" s="309" t="str">
        <f t="shared" si="14"/>
        <v>Cocok ?</v>
      </c>
      <c r="W42" s="308" t="str">
        <f>IF('Day 22'!$AG$40="","","CEK")</f>
        <v/>
      </c>
      <c r="X42" s="308" t="str">
        <f>IF('Day 22'!$AD$40="","","CEK")</f>
        <v/>
      </c>
      <c r="Y42" s="308" t="str">
        <f>IF('Day 22'!$AD$43="","","CEK")</f>
        <v/>
      </c>
      <c r="Z42" s="396" t="str">
        <f>'Day 22'!$B$41</f>
        <v/>
      </c>
      <c r="AA42" s="397" t="str">
        <f>'Day 22'!$B$42</f>
        <v/>
      </c>
      <c r="AB42" s="398" t="str">
        <f>'Day 22'!$B$40</f>
        <v/>
      </c>
      <c r="AC42" s="396" t="str">
        <f>'Day 22'!$C$41</f>
        <v/>
      </c>
      <c r="AD42" s="397" t="str">
        <f>'Day 22'!$C$42</f>
        <v/>
      </c>
      <c r="AE42" s="398" t="str">
        <f>'Day 22'!$C$40</f>
        <v/>
      </c>
      <c r="AF42" s="307" t="s">
        <v>76</v>
      </c>
      <c r="AG42" s="396">
        <f>'Day 22'!$D$41</f>
        <v>6.3</v>
      </c>
      <c r="AH42" s="397">
        <f>'Day 22'!$D$42</f>
        <v>9.3000000000000007</v>
      </c>
      <c r="AI42" s="398">
        <f>'Day 22'!$D$40</f>
        <v>7.6</v>
      </c>
      <c r="AJ42" s="396">
        <f>'Day 22'!$E$41</f>
        <v>61.2</v>
      </c>
      <c r="AK42" s="397">
        <f>'Day 22'!$E$42</f>
        <v>66.900000000000006</v>
      </c>
      <c r="AL42" s="398">
        <f>'Day 22'!$E$40</f>
        <v>63</v>
      </c>
      <c r="AM42" s="399">
        <f>'Day 22'!$F$41</f>
        <v>1925</v>
      </c>
      <c r="AN42" s="400">
        <f>'Day 22'!$F$42</f>
        <v>1986</v>
      </c>
      <c r="AO42" s="401">
        <f>'Day 22'!$F$40</f>
        <v>1951</v>
      </c>
      <c r="AP42" s="396">
        <f>'Day 22'!$G$41</f>
        <v>-5.6</v>
      </c>
      <c r="AQ42" s="397">
        <f>'Day 22'!$G$42</f>
        <v>-5.6</v>
      </c>
      <c r="AR42" s="398">
        <f>'Day 22'!$G$40</f>
        <v>-5.5999999999999979</v>
      </c>
      <c r="AS42" s="396">
        <f>'Day 22'!$H$41</f>
        <v>72</v>
      </c>
      <c r="AT42" s="397">
        <f>'Day 22'!$H$42</f>
        <v>72.8</v>
      </c>
      <c r="AU42" s="398">
        <f>'Day 22'!$H$40</f>
        <v>72.386363636363626</v>
      </c>
      <c r="AV42" s="396">
        <f>'Day 22'!$I$41</f>
        <v>22</v>
      </c>
      <c r="AW42" s="397">
        <f>'Day 22'!$I$42</f>
        <v>22.9</v>
      </c>
      <c r="AX42" s="398">
        <f>'Day 22'!$I$40</f>
        <v>22.454545454545453</v>
      </c>
      <c r="AY42" s="396">
        <f>'Day 22'!$K$41</f>
        <v>13</v>
      </c>
      <c r="AZ42" s="397">
        <f>'Day 22'!$K$42</f>
        <v>13</v>
      </c>
      <c r="BA42" s="398">
        <f>'Day 22'!$K$40</f>
        <v>13</v>
      </c>
      <c r="BB42" s="307" t="s">
        <v>76</v>
      </c>
      <c r="BC42" s="396">
        <f>'Day 22'!$L$41</f>
        <v>122</v>
      </c>
      <c r="BD42" s="397">
        <f>'Day 22'!$L$42</f>
        <v>133</v>
      </c>
      <c r="BE42" s="398">
        <f>'Day 22'!$L$40</f>
        <v>128</v>
      </c>
      <c r="BF42" s="396">
        <f>'Day 22'!$M$41</f>
        <v>217</v>
      </c>
      <c r="BG42" s="397">
        <f>'Day 22'!$M$42</f>
        <v>230</v>
      </c>
      <c r="BH42" s="398">
        <f>'Day 22'!$M$40</f>
        <v>223</v>
      </c>
      <c r="BI42" s="396">
        <f>'Day 22'!$N$41</f>
        <v>85</v>
      </c>
      <c r="BJ42" s="397">
        <f>'Day 22'!$N$42</f>
        <v>90</v>
      </c>
      <c r="BK42" s="398">
        <f>'Day 22'!$N$40</f>
        <v>88</v>
      </c>
      <c r="BL42" s="396">
        <f>'Day 22'!$O$41</f>
        <v>40</v>
      </c>
      <c r="BM42" s="397">
        <f>'Day 22'!$O$42</f>
        <v>55</v>
      </c>
      <c r="BN42" s="398">
        <f>'Day 22'!$O$40</f>
        <v>43</v>
      </c>
      <c r="BO42" s="396">
        <f>'Day 22'!$P$41</f>
        <v>9</v>
      </c>
      <c r="BP42" s="397">
        <f>'Day 22'!$P$42</f>
        <v>15</v>
      </c>
      <c r="BQ42" s="398">
        <f>'Day 22'!$P$40</f>
        <v>12.4</v>
      </c>
      <c r="BR42" s="402">
        <f>'Day 22'!$Q$41</f>
        <v>218.65</v>
      </c>
      <c r="BS42" s="403">
        <f>'Day 22'!$Q$42</f>
        <v>256.17</v>
      </c>
      <c r="BT42" s="404">
        <f>'Day 22'!$Q$44</f>
        <v>236.71090000000001</v>
      </c>
      <c r="BU42" s="405" t="str">
        <f>'Day 22'!$R$41</f>
        <v/>
      </c>
      <c r="BV42" s="406" t="str">
        <f>'Day 22'!$R$42</f>
        <v/>
      </c>
      <c r="BW42" s="407" t="str">
        <f>'Day 22'!$R$40</f>
        <v/>
      </c>
      <c r="BX42" s="307" t="s">
        <v>76</v>
      </c>
    </row>
    <row r="43" spans="1:76" s="132" customFormat="1" ht="20.100000000000001" customHeight="1" x14ac:dyDescent="0.2">
      <c r="A43" s="156" t="s">
        <v>80</v>
      </c>
      <c r="B43" s="164">
        <f t="shared" si="7"/>
        <v>45834</v>
      </c>
      <c r="C43" s="165" t="str">
        <f>'Day 26'!$B$40</f>
        <v/>
      </c>
      <c r="D43" s="165" t="str">
        <f>'Day 26'!$C$40</f>
        <v/>
      </c>
      <c r="E43" s="165">
        <f>'Day 26'!$D$40</f>
        <v>6.2</v>
      </c>
      <c r="F43" s="165">
        <f>'Day 26'!$E$40</f>
        <v>60.8</v>
      </c>
      <c r="G43" s="375">
        <f>IF('Day 26'!$M$49="","",'Day 26'!$M$49)</f>
        <v>229.4</v>
      </c>
      <c r="H43" s="171">
        <f t="shared" si="8"/>
        <v>1.2930365865096716</v>
      </c>
      <c r="I43" s="375">
        <f>Volume!P29</f>
        <v>177.41183999999998</v>
      </c>
      <c r="J43" s="165">
        <f>'Day 26'!$N$40</f>
        <v>90</v>
      </c>
      <c r="K43" s="167">
        <f>'Day 26'!$F$40</f>
        <v>1946</v>
      </c>
      <c r="L43" s="165" t="str">
        <f>IF('Day 26'!$M$50="","",'Day 26'!$M$50)</f>
        <v/>
      </c>
      <c r="M43" s="168">
        <f>IF('Day 26'!$I$47="","",'Day 26'!$I$47)</f>
        <v>1</v>
      </c>
      <c r="N43" s="168">
        <f>IF('Day 26'!$I$48="","",'Day 26'!$I$48)</f>
        <v>0</v>
      </c>
      <c r="O43" s="168">
        <f>IF('Day 26'!$I$49="","",'Day 26'!$I$49)</f>
        <v>0</v>
      </c>
      <c r="P43" s="59">
        <f t="shared" si="5"/>
        <v>1</v>
      </c>
      <c r="Q43" s="172">
        <f t="shared" si="6"/>
        <v>1</v>
      </c>
      <c r="R43" s="170" t="str">
        <f>CONCATENATE('Day 26'!$AF$16,'Day 26'!$AF$17,'Day 26'!$AF$18,'Day 26'!$AF$19,'Day 26'!$AF$20,'Day 26'!$AF$21,'Day 26'!$AF$22,'Day 26'!$AF$23,'Day 26'!$AF$24,'Day 26'!$AF$25,'Day 26'!$AF$26,'Day 26'!$AF$27,'Day 26'!$AF$28,'Day 26'!$AF$29,'Day 26'!$AF$30,'Day 26'!$AF$31,'Day 26'!$AF$32,'Day 26'!$AF$33,'Day 26'!$AF$34,'Day 26'!$AF$35,'Day 26'!$AF$36,'Day 26'!$AF$37,'Day 26'!$AF$38,'Day 26'!$AF$39)</f>
        <v/>
      </c>
      <c r="T43" s="307" t="s">
        <v>77</v>
      </c>
      <c r="U43" s="308" t="str">
        <f>IF($U$17="","",IF(#REF!="","",IF($U$17+1000-#REF!&lt;=23,CONCATENATE("DO PM ",TEXT($U$17+1000,"#.##0")),IF($U$17+1000-#REF!&lt;=216,CONCATENATE("Prep. PM ",TEXT($U$17+1000,"#.##0"),""),""))))</f>
        <v/>
      </c>
      <c r="V43" s="309" t="str">
        <f t="shared" si="14"/>
        <v/>
      </c>
      <c r="W43" s="308" t="str">
        <f>IF('Day 23'!$AG$40="","","CEK")</f>
        <v/>
      </c>
      <c r="X43" s="308" t="str">
        <f>IF('Day 23'!$AD$40="","","CEK")</f>
        <v/>
      </c>
      <c r="Y43" s="308" t="str">
        <f>IF('Day 23'!$AD$43="","","CEK")</f>
        <v/>
      </c>
      <c r="Z43" s="396" t="str">
        <f>'Day 23'!$B$41</f>
        <v/>
      </c>
      <c r="AA43" s="397" t="str">
        <f>'Day 23'!$B$42</f>
        <v/>
      </c>
      <c r="AB43" s="398" t="str">
        <f>'Day 23'!$B$40</f>
        <v/>
      </c>
      <c r="AC43" s="396" t="str">
        <f>'Day 23'!$C$41</f>
        <v/>
      </c>
      <c r="AD43" s="397" t="str">
        <f>'Day 23'!$C$42</f>
        <v/>
      </c>
      <c r="AE43" s="398" t="str">
        <f>'Day 23'!$C$40</f>
        <v/>
      </c>
      <c r="AF43" s="307" t="s">
        <v>77</v>
      </c>
      <c r="AG43" s="396">
        <f>'Day 23'!$D$41</f>
        <v>5</v>
      </c>
      <c r="AH43" s="397">
        <f>'Day 23'!$D$42</f>
        <v>6.9</v>
      </c>
      <c r="AI43" s="398">
        <f>'Day 23'!$D$40</f>
        <v>6.3</v>
      </c>
      <c r="AJ43" s="396">
        <f>'Day 23'!$E$41</f>
        <v>60</v>
      </c>
      <c r="AK43" s="397">
        <f>'Day 23'!$E$42</f>
        <v>66.400000000000006</v>
      </c>
      <c r="AL43" s="398">
        <f>'Day 23'!$E$40</f>
        <v>63.2</v>
      </c>
      <c r="AM43" s="399">
        <f>'Day 23'!$F$41</f>
        <v>1922</v>
      </c>
      <c r="AN43" s="400">
        <f>'Day 23'!$F$42</f>
        <v>1981</v>
      </c>
      <c r="AO43" s="401">
        <f>'Day 23'!$F$40</f>
        <v>1954</v>
      </c>
      <c r="AP43" s="396">
        <f>'Day 23'!$G$41</f>
        <v>-5.5</v>
      </c>
      <c r="AQ43" s="397">
        <f>'Day 23'!$G$42</f>
        <v>-5.5</v>
      </c>
      <c r="AR43" s="398">
        <f>'Day 23'!$G$40</f>
        <v>-5.5</v>
      </c>
      <c r="AS43" s="396">
        <f>'Day 23'!$H$41</f>
        <v>72</v>
      </c>
      <c r="AT43" s="397">
        <f>'Day 23'!$H$42</f>
        <v>72.900000000000006</v>
      </c>
      <c r="AU43" s="398">
        <f>'Day 23'!$H$40</f>
        <v>72.379166666666663</v>
      </c>
      <c r="AV43" s="396">
        <f>'Day 23'!$I$41</f>
        <v>22</v>
      </c>
      <c r="AW43" s="397">
        <f>'Day 23'!$I$42</f>
        <v>22.8</v>
      </c>
      <c r="AX43" s="398">
        <f>'Day 23'!$I$40</f>
        <v>22.391666666666666</v>
      </c>
      <c r="AY43" s="396">
        <f>'Day 23'!$K$41</f>
        <v>13</v>
      </c>
      <c r="AZ43" s="397">
        <f>'Day 23'!$K$42</f>
        <v>13</v>
      </c>
      <c r="BA43" s="398">
        <f>'Day 23'!$K$40</f>
        <v>13</v>
      </c>
      <c r="BB43" s="307" t="s">
        <v>77</v>
      </c>
      <c r="BC43" s="396">
        <f>'Day 23'!$L$41</f>
        <v>122</v>
      </c>
      <c r="BD43" s="397">
        <f>'Day 23'!$L$42</f>
        <v>130</v>
      </c>
      <c r="BE43" s="398">
        <f>'Day 23'!$L$40</f>
        <v>126.4</v>
      </c>
      <c r="BF43" s="396">
        <f>'Day 23'!$M$41</f>
        <v>221</v>
      </c>
      <c r="BG43" s="397">
        <f>'Day 23'!$M$42</f>
        <v>229</v>
      </c>
      <c r="BH43" s="398">
        <f>'Day 23'!$M$40</f>
        <v>226</v>
      </c>
      <c r="BI43" s="396">
        <f>'Day 23'!$N$41</f>
        <v>85</v>
      </c>
      <c r="BJ43" s="397">
        <f>'Day 23'!$N$42</f>
        <v>85</v>
      </c>
      <c r="BK43" s="398">
        <f>'Day 23'!$N$40</f>
        <v>85</v>
      </c>
      <c r="BL43" s="396">
        <f>'Day 23'!$O$41</f>
        <v>25</v>
      </c>
      <c r="BM43" s="397">
        <f>'Day 23'!$O$42</f>
        <v>40</v>
      </c>
      <c r="BN43" s="398">
        <f>'Day 23'!$O$40</f>
        <v>35</v>
      </c>
      <c r="BO43" s="396">
        <f>'Day 23'!$P$41</f>
        <v>8</v>
      </c>
      <c r="BP43" s="397">
        <f>'Day 23'!$P$42</f>
        <v>18</v>
      </c>
      <c r="BQ43" s="398">
        <f>'Day 23'!$P$40</f>
        <v>13.7</v>
      </c>
      <c r="BR43" s="402">
        <f>'Day 23'!$Q$41</f>
        <v>187.58</v>
      </c>
      <c r="BS43" s="403">
        <f>'Day 23'!$Q$42</f>
        <v>253.18</v>
      </c>
      <c r="BT43" s="404">
        <f>'Day 23'!$Q$44</f>
        <v>230.00749999999999</v>
      </c>
      <c r="BU43" s="405" t="str">
        <f>'Day 23'!$R$41</f>
        <v/>
      </c>
      <c r="BV43" s="406" t="str">
        <f>'Day 23'!$R$42</f>
        <v/>
      </c>
      <c r="BW43" s="407" t="str">
        <f>'Day 23'!$R$40</f>
        <v/>
      </c>
      <c r="BX43" s="307" t="s">
        <v>77</v>
      </c>
    </row>
    <row r="44" spans="1:76" s="132" customFormat="1" ht="20.100000000000001" customHeight="1" x14ac:dyDescent="0.2">
      <c r="A44" s="156" t="s">
        <v>81</v>
      </c>
      <c r="B44" s="164">
        <f t="shared" si="7"/>
        <v>45835</v>
      </c>
      <c r="C44" s="165" t="str">
        <f>'Day 27'!$B$40</f>
        <v/>
      </c>
      <c r="D44" s="165" t="str">
        <f>'Day 27'!$C$40</f>
        <v/>
      </c>
      <c r="E44" s="165">
        <f>'Day 27'!$D$40</f>
        <v>6.3</v>
      </c>
      <c r="F44" s="165">
        <f>'Day 27'!$E$40</f>
        <v>62.2</v>
      </c>
      <c r="G44" s="375">
        <f>IF('Day 27'!$M$49="","",'Day 27'!$M$49)</f>
        <v>234.1</v>
      </c>
      <c r="H44" s="171">
        <f t="shared" si="8"/>
        <v>1.3179240371329179</v>
      </c>
      <c r="I44" s="375">
        <f>Volume!P30</f>
        <v>177.62783999999999</v>
      </c>
      <c r="J44" s="165">
        <f>'Day 27'!$N$40</f>
        <v>85</v>
      </c>
      <c r="K44" s="167">
        <f>'Day 27'!$F$40</f>
        <v>1946</v>
      </c>
      <c r="L44" s="165" t="str">
        <f>IF('Day 27'!$M$50="","",'Day 27'!$M$50)</f>
        <v/>
      </c>
      <c r="M44" s="168">
        <f>IF('Day 27'!$I$47="","",'Day 27'!$I$47)</f>
        <v>1</v>
      </c>
      <c r="N44" s="168">
        <f>IF('Day 27'!$I$48="","",'Day 27'!$I$48)</f>
        <v>0</v>
      </c>
      <c r="O44" s="168">
        <f>IF('Day 27'!$I$49="","",'Day 27'!$I$49)</f>
        <v>0</v>
      </c>
      <c r="P44" s="59">
        <f t="shared" si="5"/>
        <v>1</v>
      </c>
      <c r="Q44" s="172">
        <f t="shared" si="6"/>
        <v>1</v>
      </c>
      <c r="R44" s="170" t="str">
        <f>CONCATENATE('Day 27'!$AF$16,'Day 27'!$AF$17,'Day 27'!$AF$18,'Day 27'!$AF$19,'Day 27'!$AF$20,'Day 27'!$AF$21,'Day 27'!$AF$22,'Day 27'!$AF$23,'Day 27'!$AF$24,'Day 27'!$AF$25,'Day 27'!$AF$26,'Day 27'!$AF$27,'Day 27'!$AF$28,'Day 27'!$AF$29,'Day 27'!$AF$30,'Day 27'!$AF$31,'Day 27'!$AF$32,'Day 27'!$AF$33,'Day 27'!$AF$34,'Day 27'!$AF$35,'Day 27'!$AF$36,'Day 27'!$AF$37,'Day 27'!$AF$38,'Day 27'!$AF$39)</f>
        <v/>
      </c>
      <c r="T44" s="307" t="s">
        <v>78</v>
      </c>
      <c r="U44" s="308" t="str">
        <f>IF($U$17="","",IF(#REF!="","",IF($U$17+1000-#REF!&lt;=23,CONCATENATE("DO PM ",TEXT($U$17+1000,"#.##0")),IF($U$17+1000-#REF!&lt;=216,CONCATENATE("Prep. PM ",TEXT($U$17+1000,"#.##0"),""),""))))</f>
        <v/>
      </c>
      <c r="V44" s="309" t="str">
        <f t="shared" si="14"/>
        <v/>
      </c>
      <c r="W44" s="308" t="str">
        <f>IF('Day 24'!$AG$40="","","CEK")</f>
        <v/>
      </c>
      <c r="X44" s="308" t="str">
        <f>IF('Day 24'!$AD$40="","","CEK")</f>
        <v/>
      </c>
      <c r="Y44" s="308" t="str">
        <f>IF('Day 24'!$AD$43="","","CEK")</f>
        <v/>
      </c>
      <c r="Z44" s="396" t="str">
        <f>'Day 24'!$B$41</f>
        <v/>
      </c>
      <c r="AA44" s="397" t="str">
        <f>'Day 24'!$B$42</f>
        <v/>
      </c>
      <c r="AB44" s="398" t="str">
        <f>'Day 24'!$B$40</f>
        <v/>
      </c>
      <c r="AC44" s="396" t="str">
        <f>'Day 24'!$C$41</f>
        <v/>
      </c>
      <c r="AD44" s="397" t="str">
        <f>'Day 24'!$C$42</f>
        <v/>
      </c>
      <c r="AE44" s="398" t="str">
        <f>'Day 24'!$C$40</f>
        <v/>
      </c>
      <c r="AF44" s="307" t="s">
        <v>78</v>
      </c>
      <c r="AG44" s="396">
        <f>'Day 24'!$D$41</f>
        <v>6.1</v>
      </c>
      <c r="AH44" s="397">
        <f>'Day 24'!$D$42</f>
        <v>7.6</v>
      </c>
      <c r="AI44" s="398">
        <f>'Day 24'!$D$40</f>
        <v>6.9</v>
      </c>
      <c r="AJ44" s="396">
        <f>'Day 24'!$E$41</f>
        <v>60.1</v>
      </c>
      <c r="AK44" s="397">
        <f>'Day 24'!$E$42</f>
        <v>66.3</v>
      </c>
      <c r="AL44" s="398">
        <f>'Day 24'!$E$40</f>
        <v>62.9</v>
      </c>
      <c r="AM44" s="399">
        <f>'Day 24'!$F$41</f>
        <v>1922</v>
      </c>
      <c r="AN44" s="400">
        <f>'Day 24'!$F$42</f>
        <v>1986</v>
      </c>
      <c r="AO44" s="401">
        <f>'Day 24'!$F$40</f>
        <v>1955</v>
      </c>
      <c r="AP44" s="396">
        <f>'Day 24'!$G$41</f>
        <v>-5.5</v>
      </c>
      <c r="AQ44" s="397">
        <f>'Day 24'!$G$42</f>
        <v>-5.5</v>
      </c>
      <c r="AR44" s="398">
        <f>'Day 24'!$G$40</f>
        <v>-5.5</v>
      </c>
      <c r="AS44" s="396">
        <f>'Day 24'!$H$41</f>
        <v>72</v>
      </c>
      <c r="AT44" s="397">
        <f>'Day 24'!$H$42</f>
        <v>72.900000000000006</v>
      </c>
      <c r="AU44" s="398">
        <f>'Day 24'!$H$40</f>
        <v>72.44583333333334</v>
      </c>
      <c r="AV44" s="396">
        <f>'Day 24'!$I$41</f>
        <v>22</v>
      </c>
      <c r="AW44" s="397">
        <f>'Day 24'!$I$42</f>
        <v>22.9</v>
      </c>
      <c r="AX44" s="398">
        <f>'Day 24'!$I$40</f>
        <v>22.408333333333335</v>
      </c>
      <c r="AY44" s="396">
        <f>'Day 24'!$K$41</f>
        <v>13</v>
      </c>
      <c r="AZ44" s="397">
        <f>'Day 24'!$K$42</f>
        <v>13</v>
      </c>
      <c r="BA44" s="398">
        <f>'Day 24'!$K$40</f>
        <v>13</v>
      </c>
      <c r="BB44" s="307" t="s">
        <v>78</v>
      </c>
      <c r="BC44" s="396">
        <f>'Day 24'!$L$41</f>
        <v>120</v>
      </c>
      <c r="BD44" s="397">
        <f>'Day 24'!$L$42</f>
        <v>132</v>
      </c>
      <c r="BE44" s="398">
        <f>'Day 24'!$L$40</f>
        <v>126.4</v>
      </c>
      <c r="BF44" s="396">
        <f>'Day 24'!$M$41</f>
        <v>220</v>
      </c>
      <c r="BG44" s="397">
        <f>'Day 24'!$M$42</f>
        <v>233</v>
      </c>
      <c r="BH44" s="398">
        <f>'Day 24'!$M$40</f>
        <v>226</v>
      </c>
      <c r="BI44" s="396">
        <f>'Day 24'!$N$41</f>
        <v>85</v>
      </c>
      <c r="BJ44" s="397">
        <f>'Day 24'!$N$42</f>
        <v>85</v>
      </c>
      <c r="BK44" s="398">
        <f>'Day 24'!$N$40</f>
        <v>85</v>
      </c>
      <c r="BL44" s="396">
        <f>'Day 24'!$O$41</f>
        <v>40</v>
      </c>
      <c r="BM44" s="397">
        <f>'Day 24'!$O$42</f>
        <v>45</v>
      </c>
      <c r="BN44" s="398">
        <f>'Day 24'!$O$40</f>
        <v>40.6</v>
      </c>
      <c r="BO44" s="396">
        <f>'Day 24'!$P$41</f>
        <v>11</v>
      </c>
      <c r="BP44" s="397">
        <f>'Day 24'!$P$42</f>
        <v>14</v>
      </c>
      <c r="BQ44" s="398">
        <f>'Day 24'!$P$40</f>
        <v>12.2</v>
      </c>
      <c r="BR44" s="402">
        <f>'Day 24'!$Q$41</f>
        <v>219.65</v>
      </c>
      <c r="BS44" s="403">
        <f>'Day 24'!$Q$42</f>
        <v>247.56</v>
      </c>
      <c r="BT44" s="404">
        <f>'Day 24'!$Q$44</f>
        <v>232.035</v>
      </c>
      <c r="BU44" s="405" t="str">
        <f>'Day 24'!$R$41</f>
        <v/>
      </c>
      <c r="BV44" s="406" t="str">
        <f>'Day 24'!$R$42</f>
        <v/>
      </c>
      <c r="BW44" s="407" t="str">
        <f>'Day 24'!$R$40</f>
        <v/>
      </c>
      <c r="BX44" s="307" t="s">
        <v>78</v>
      </c>
    </row>
    <row r="45" spans="1:76" s="132" customFormat="1" ht="20.100000000000001" customHeight="1" x14ac:dyDescent="0.2">
      <c r="A45" s="156" t="s">
        <v>82</v>
      </c>
      <c r="B45" s="164">
        <f t="shared" si="7"/>
        <v>45836</v>
      </c>
      <c r="C45" s="165" t="str">
        <f>'Day 28'!$B$40</f>
        <v/>
      </c>
      <c r="D45" s="165" t="str">
        <f>'Day 28'!$C$40</f>
        <v/>
      </c>
      <c r="E45" s="165">
        <f>'Day 28'!$D$40</f>
        <v>6.5</v>
      </c>
      <c r="F45" s="165">
        <f>'Day 28'!$E$40</f>
        <v>63.4</v>
      </c>
      <c r="G45" s="375">
        <f>IF('Day 28'!$M$49="","",'Day 28'!$M$49)</f>
        <v>240.5</v>
      </c>
      <c r="H45" s="171">
        <f t="shared" si="8"/>
        <v>1.3434193121693123</v>
      </c>
      <c r="I45" s="375">
        <f>Volume!P31</f>
        <v>179.02079999999998</v>
      </c>
      <c r="J45" s="165">
        <f>'Day 28'!$N$40</f>
        <v>85</v>
      </c>
      <c r="K45" s="167">
        <f>'Day 28'!$F$40</f>
        <v>1943</v>
      </c>
      <c r="L45" s="165" t="str">
        <f>IF('Day 28'!$M$50="","",'Day 28'!$M$50)</f>
        <v/>
      </c>
      <c r="M45" s="168">
        <f>IF('Day 28'!$I$47="","",'Day 28'!$I$47)</f>
        <v>1</v>
      </c>
      <c r="N45" s="168">
        <f>IF('Day 28'!$I$48="","",'Day 28'!$I$48)</f>
        <v>0</v>
      </c>
      <c r="O45" s="168">
        <f>IF('Day 28'!$I$49="","",'Day 28'!$I$49)</f>
        <v>0</v>
      </c>
      <c r="P45" s="59">
        <f t="shared" si="5"/>
        <v>1</v>
      </c>
      <c r="Q45" s="172">
        <f t="shared" si="6"/>
        <v>1</v>
      </c>
      <c r="R45" s="170" t="str">
        <f>CONCATENATE('Day 28'!$AF$16,'Day 28'!$AF$17,'Day 28'!$AF$18,'Day 28'!$AF$19,'Day 28'!$AF$20,'Day 28'!$AF$21,'Day 28'!$AF$22,'Day 28'!$AF$23,'Day 28'!$AF$24,'Day 28'!$AF$25,'Day 28'!$AF$26,'Day 28'!$AF$27,'Day 28'!$AF$28,'Day 28'!$AF$29,'Day 28'!$AF$30,'Day 28'!$AF$31,'Day 28'!$AF$32,'Day 28'!$AF$33,'Day 28'!$AF$34,'Day 28'!$AF$35,'Day 28'!$AF$36,'Day 28'!$AF$37,'Day 28'!$AF$38,'Day 28'!$AF$39)</f>
        <v/>
      </c>
      <c r="T45" s="307" t="s">
        <v>79</v>
      </c>
      <c r="U45" s="308" t="str">
        <f>IF($U$17="","",IF(#REF!="","",IF($U$17+1000-#REF!&lt;=23,CONCATENATE("DO PM ",TEXT($U$17+1000,"#.##0")),IF($U$17+1000-#REF!&lt;=216,CONCATENATE("Prep. PM ",TEXT($U$17+1000,"#.##0"),""),""))))</f>
        <v/>
      </c>
      <c r="V45" s="309" t="str">
        <f t="shared" si="14"/>
        <v/>
      </c>
      <c r="W45" s="308" t="str">
        <f>IF('Day 25'!$AG$40="","","CEK")</f>
        <v/>
      </c>
      <c r="X45" s="308" t="str">
        <f>IF('Day 25'!$AD$40="","","CEK")</f>
        <v/>
      </c>
      <c r="Y45" s="308" t="str">
        <f>IF('Day 25'!$AD$43="","","CEK")</f>
        <v/>
      </c>
      <c r="Z45" s="396" t="str">
        <f>'Day 25'!$B$41</f>
        <v/>
      </c>
      <c r="AA45" s="397" t="str">
        <f>'Day 25'!$B$42</f>
        <v/>
      </c>
      <c r="AB45" s="398" t="str">
        <f>'Day 25'!$B$40</f>
        <v/>
      </c>
      <c r="AC45" s="396" t="str">
        <f>'Day 25'!$C$41</f>
        <v/>
      </c>
      <c r="AD45" s="397" t="str">
        <f>'Day 25'!$C$42</f>
        <v/>
      </c>
      <c r="AE45" s="398" t="str">
        <f>'Day 25'!$C$40</f>
        <v/>
      </c>
      <c r="AF45" s="307" t="s">
        <v>79</v>
      </c>
      <c r="AG45" s="396">
        <f>'Day 25'!$D$41</f>
        <v>5.2</v>
      </c>
      <c r="AH45" s="397">
        <f>'Day 25'!$D$42</f>
        <v>7.8</v>
      </c>
      <c r="AI45" s="398">
        <f>'Day 25'!$D$40</f>
        <v>6.5</v>
      </c>
      <c r="AJ45" s="396">
        <f>'Day 25'!$E$41</f>
        <v>52.6</v>
      </c>
      <c r="AK45" s="397">
        <f>'Day 25'!$E$42</f>
        <v>77</v>
      </c>
      <c r="AL45" s="398">
        <f>'Day 25'!$E$40</f>
        <v>63.6</v>
      </c>
      <c r="AM45" s="399">
        <f>'Day 25'!$F$41</f>
        <v>1915</v>
      </c>
      <c r="AN45" s="400">
        <f>'Day 25'!$F$42</f>
        <v>1988</v>
      </c>
      <c r="AO45" s="401">
        <f>'Day 25'!$F$40</f>
        <v>1950</v>
      </c>
      <c r="AP45" s="396">
        <f>'Day 25'!$G$41</f>
        <v>-5.5</v>
      </c>
      <c r="AQ45" s="397">
        <f>'Day 25'!$G$42</f>
        <v>-5.5</v>
      </c>
      <c r="AR45" s="398">
        <f>'Day 25'!$G$40</f>
        <v>-5.5</v>
      </c>
      <c r="AS45" s="396">
        <f>'Day 25'!$H$41</f>
        <v>72</v>
      </c>
      <c r="AT45" s="397">
        <f>'Day 25'!$H$42</f>
        <v>72.900000000000006</v>
      </c>
      <c r="AU45" s="398">
        <f>'Day 25'!$H$40</f>
        <v>72.466666666666654</v>
      </c>
      <c r="AV45" s="396">
        <f>'Day 25'!$I$41</f>
        <v>22</v>
      </c>
      <c r="AW45" s="397">
        <f>'Day 25'!$I$42</f>
        <v>22.9</v>
      </c>
      <c r="AX45" s="398">
        <f>'Day 25'!$I$40</f>
        <v>22.395833333333332</v>
      </c>
      <c r="AY45" s="396">
        <f>'Day 25'!$K$41</f>
        <v>13</v>
      </c>
      <c r="AZ45" s="397">
        <f>'Day 25'!$K$42</f>
        <v>13</v>
      </c>
      <c r="BA45" s="398">
        <f>'Day 25'!$K$40</f>
        <v>13</v>
      </c>
      <c r="BB45" s="307" t="s">
        <v>79</v>
      </c>
      <c r="BC45" s="396">
        <f>'Day 25'!$L$41</f>
        <v>120</v>
      </c>
      <c r="BD45" s="397">
        <f>'Day 25'!$L$42</f>
        <v>127</v>
      </c>
      <c r="BE45" s="398">
        <f>'Day 25'!$L$40</f>
        <v>122.7</v>
      </c>
      <c r="BF45" s="396">
        <f>'Day 25'!$M$41</f>
        <v>220</v>
      </c>
      <c r="BG45" s="397">
        <f>'Day 25'!$M$42</f>
        <v>227</v>
      </c>
      <c r="BH45" s="398">
        <f>'Day 25'!$M$40</f>
        <v>222</v>
      </c>
      <c r="BI45" s="396">
        <f>'Day 25'!$N$41</f>
        <v>85</v>
      </c>
      <c r="BJ45" s="397">
        <f>'Day 25'!$N$42</f>
        <v>85</v>
      </c>
      <c r="BK45" s="398">
        <f>'Day 25'!$N$40</f>
        <v>85</v>
      </c>
      <c r="BL45" s="396">
        <f>'Day 25'!$O$41</f>
        <v>30</v>
      </c>
      <c r="BM45" s="397">
        <f>'Day 25'!$O$42</f>
        <v>60</v>
      </c>
      <c r="BN45" s="398">
        <f>'Day 25'!$O$40</f>
        <v>48.1</v>
      </c>
      <c r="BO45" s="396">
        <f>'Day 25'!$P$41</f>
        <v>9</v>
      </c>
      <c r="BP45" s="397">
        <f>'Day 25'!$P$42</f>
        <v>16</v>
      </c>
      <c r="BQ45" s="398">
        <f>'Day 25'!$P$40</f>
        <v>11.9</v>
      </c>
      <c r="BR45" s="402">
        <f>'Day 25'!$Q$41</f>
        <v>189.2</v>
      </c>
      <c r="BS45" s="403">
        <f>'Day 25'!$Q$42</f>
        <v>299.10000000000002</v>
      </c>
      <c r="BT45" s="404">
        <f>'Day 25'!$Q$44</f>
        <v>241.2354</v>
      </c>
      <c r="BU45" s="405" t="str">
        <f>'Day 25'!$R$41</f>
        <v/>
      </c>
      <c r="BV45" s="406" t="str">
        <f>'Day 25'!$R$42</f>
        <v/>
      </c>
      <c r="BW45" s="407" t="str">
        <f>'Day 25'!$R$40</f>
        <v/>
      </c>
      <c r="BX45" s="307" t="s">
        <v>79</v>
      </c>
    </row>
    <row r="46" spans="1:76" s="132" customFormat="1" ht="19.5" customHeight="1" x14ac:dyDescent="0.2">
      <c r="A46" s="156" t="s">
        <v>83</v>
      </c>
      <c r="B46" s="164">
        <f t="shared" si="7"/>
        <v>45837</v>
      </c>
      <c r="C46" s="165" t="str">
        <f>'Day 29'!$B$40</f>
        <v/>
      </c>
      <c r="D46" s="165" t="str">
        <f>'Day 29'!$C$40</f>
        <v/>
      </c>
      <c r="E46" s="165">
        <f>'Day 29'!$D$40</f>
        <v>6.2</v>
      </c>
      <c r="F46" s="165">
        <f>'Day 29'!$E$40</f>
        <v>59.6</v>
      </c>
      <c r="G46" s="375">
        <f>IF('Day 29'!$M$49="","",'Day 29'!$M$49)</f>
        <v>226.5</v>
      </c>
      <c r="H46" s="171">
        <f t="shared" si="8"/>
        <v>1.2715712376312331</v>
      </c>
      <c r="I46" s="375">
        <f>Volume!P32</f>
        <v>178.12607999999997</v>
      </c>
      <c r="J46" s="165">
        <f>'Day 29'!$N$40</f>
        <v>90</v>
      </c>
      <c r="K46" s="167">
        <f>'Day 29'!$F$40</f>
        <v>1944</v>
      </c>
      <c r="L46" s="165" t="str">
        <f>IF('Day 29'!$M$50="","",'Day 29'!$M$50)</f>
        <v/>
      </c>
      <c r="M46" s="168">
        <f>IF('Day 29'!$I$47="","",'Day 29'!$I$47)</f>
        <v>1</v>
      </c>
      <c r="N46" s="168">
        <f>IF('Day 29'!$I$48="","",'Day 29'!$I$48)</f>
        <v>0</v>
      </c>
      <c r="O46" s="168">
        <f>IF('Day 29'!$I$49="","",'Day 29'!$I$49)</f>
        <v>0</v>
      </c>
      <c r="P46" s="59">
        <f t="shared" si="5"/>
        <v>1</v>
      </c>
      <c r="Q46" s="172">
        <f t="shared" si="6"/>
        <v>1</v>
      </c>
      <c r="R46" s="170" t="str">
        <f>CONCATENATE('Day 29'!$AF$16,'Day 29'!$AF$17,'Day 29'!$AF$18,'Day 29'!$AF$19,'Day 29'!$AF$20,'Day 29'!$AF$21,'Day 29'!$AF$22,'Day 29'!$AF$23,'Day 29'!$AF$24,'Day 29'!$AF$25,'Day 29'!$AF$26,'Day 29'!$AF$27,'Day 29'!$AF$28,'Day 29'!$AF$29,'Day 29'!$AF$30,'Day 29'!$AF$31,'Day 29'!$AF$32,'Day 29'!$AF$33,'Day 29'!$AF$34,'Day 29'!$AF$35,'Day 29'!$AF$36,'Day 29'!$AF$37,'Day 29'!$AF$38,'Day 29'!$AF$39)</f>
        <v/>
      </c>
      <c r="T46" s="307" t="s">
        <v>80</v>
      </c>
      <c r="U46" s="308" t="str">
        <f>IF($U$17="","",IF(#REF!="","",IF($U$17+1000-#REF!&lt;=23,CONCATENATE("DO PM ",TEXT($U$17+1000,"#.##0")),IF($U$17+1000-#REF!&lt;=216,CONCATENATE("Prep. PM ",TEXT($U$17+1000,"#.##0"),""),""))))</f>
        <v/>
      </c>
      <c r="V46" s="309" t="str">
        <f t="shared" si="14"/>
        <v/>
      </c>
      <c r="W46" s="308" t="str">
        <f>IF('Day 26'!$AG$40="","","CEK")</f>
        <v/>
      </c>
      <c r="X46" s="308" t="str">
        <f>IF('Day 26'!$AD$40="","","CEK")</f>
        <v/>
      </c>
      <c r="Y46" s="308" t="str">
        <f>IF('Day 26'!$AD$43="","","CEK")</f>
        <v/>
      </c>
      <c r="Z46" s="396" t="str">
        <f>'Day 26'!$B$41</f>
        <v/>
      </c>
      <c r="AA46" s="397" t="str">
        <f>'Day 26'!$B$42</f>
        <v/>
      </c>
      <c r="AB46" s="398" t="str">
        <f>'Day 26'!$B$40</f>
        <v/>
      </c>
      <c r="AC46" s="396" t="str">
        <f>'Day 26'!$C$41</f>
        <v/>
      </c>
      <c r="AD46" s="397" t="str">
        <f>'Day 26'!$C$42</f>
        <v/>
      </c>
      <c r="AE46" s="398" t="str">
        <f>'Day 26'!$C$40</f>
        <v/>
      </c>
      <c r="AF46" s="307" t="s">
        <v>80</v>
      </c>
      <c r="AG46" s="396">
        <f>'Day 26'!$D$41</f>
        <v>5.3</v>
      </c>
      <c r="AH46" s="397">
        <f>'Day 26'!$D$42</f>
        <v>7.5</v>
      </c>
      <c r="AI46" s="398">
        <f>'Day 26'!$D$40</f>
        <v>6.2</v>
      </c>
      <c r="AJ46" s="396">
        <f>'Day 26'!$E$41</f>
        <v>57.7</v>
      </c>
      <c r="AK46" s="397">
        <f>'Day 26'!$E$42</f>
        <v>65.5</v>
      </c>
      <c r="AL46" s="398">
        <f>'Day 26'!$E$40</f>
        <v>60.8</v>
      </c>
      <c r="AM46" s="399">
        <f>'Day 26'!$F$41</f>
        <v>1922</v>
      </c>
      <c r="AN46" s="400">
        <f>'Day 26'!$F$42</f>
        <v>1978</v>
      </c>
      <c r="AO46" s="401">
        <f>'Day 26'!$F$40</f>
        <v>1946</v>
      </c>
      <c r="AP46" s="396">
        <f>'Day 26'!$G$41</f>
        <v>-5.5</v>
      </c>
      <c r="AQ46" s="397">
        <f>'Day 26'!$G$42</f>
        <v>-5.5</v>
      </c>
      <c r="AR46" s="398">
        <f>'Day 26'!$G$40</f>
        <v>-5.5</v>
      </c>
      <c r="AS46" s="396">
        <f>'Day 26'!$H$41</f>
        <v>72</v>
      </c>
      <c r="AT46" s="397">
        <f>'Day 26'!$H$42</f>
        <v>72.900000000000006</v>
      </c>
      <c r="AU46" s="398">
        <f>'Day 26'!$H$40</f>
        <v>72.433333333333323</v>
      </c>
      <c r="AV46" s="396">
        <f>'Day 26'!$I$41</f>
        <v>22</v>
      </c>
      <c r="AW46" s="397">
        <f>'Day 26'!$I$42</f>
        <v>22.9</v>
      </c>
      <c r="AX46" s="398">
        <f>'Day 26'!$I$40</f>
        <v>22.491666666666664</v>
      </c>
      <c r="AY46" s="396">
        <f>'Day 26'!$K$41</f>
        <v>13</v>
      </c>
      <c r="AZ46" s="397">
        <f>'Day 26'!$K$42</f>
        <v>13</v>
      </c>
      <c r="BA46" s="398">
        <f>'Day 26'!$K$40</f>
        <v>13</v>
      </c>
      <c r="BB46" s="307" t="s">
        <v>80</v>
      </c>
      <c r="BC46" s="396">
        <f>'Day 26'!$L$41</f>
        <v>120</v>
      </c>
      <c r="BD46" s="397">
        <f>'Day 26'!$L$42</f>
        <v>129</v>
      </c>
      <c r="BE46" s="398">
        <f>'Day 26'!$L$40</f>
        <v>123.9</v>
      </c>
      <c r="BF46" s="396">
        <f>'Day 26'!$M$41</f>
        <v>220</v>
      </c>
      <c r="BG46" s="397">
        <f>'Day 26'!$M$42</f>
        <v>227</v>
      </c>
      <c r="BH46" s="398">
        <f>'Day 26'!$M$40</f>
        <v>222</v>
      </c>
      <c r="BI46" s="396">
        <f>'Day 26'!$N$41</f>
        <v>90</v>
      </c>
      <c r="BJ46" s="397">
        <f>'Day 26'!$N$42</f>
        <v>90</v>
      </c>
      <c r="BK46" s="398">
        <f>'Day 26'!$N$40</f>
        <v>90</v>
      </c>
      <c r="BL46" s="396">
        <f>'Day 26'!$O$41</f>
        <v>35</v>
      </c>
      <c r="BM46" s="397">
        <f>'Day 26'!$O$42</f>
        <v>45</v>
      </c>
      <c r="BN46" s="398">
        <f>'Day 26'!$O$40</f>
        <v>40.200000000000003</v>
      </c>
      <c r="BO46" s="396">
        <f>'Day 26'!$P$41</f>
        <v>9</v>
      </c>
      <c r="BP46" s="397">
        <f>'Day 26'!$P$42</f>
        <v>13</v>
      </c>
      <c r="BQ46" s="398">
        <f>'Day 26'!$P$40</f>
        <v>12.4</v>
      </c>
      <c r="BR46" s="402">
        <f>'Day 26'!$Q$41</f>
        <v>197.95</v>
      </c>
      <c r="BS46" s="403">
        <f>'Day 26'!$Q$42</f>
        <v>248.28</v>
      </c>
      <c r="BT46" s="404">
        <f>'Day 26'!$Q$44</f>
        <v>232.4179</v>
      </c>
      <c r="BU46" s="405" t="str">
        <f>'Day 26'!$R$41</f>
        <v/>
      </c>
      <c r="BV46" s="406" t="str">
        <f>'Day 26'!$R$42</f>
        <v/>
      </c>
      <c r="BW46" s="407" t="str">
        <f>'Day 26'!$R$40</f>
        <v/>
      </c>
      <c r="BX46" s="307" t="s">
        <v>80</v>
      </c>
    </row>
    <row r="47" spans="1:76" s="132" customFormat="1" ht="20.100000000000001" customHeight="1" thickBot="1" x14ac:dyDescent="0.25">
      <c r="A47" s="156" t="s">
        <v>84</v>
      </c>
      <c r="B47" s="164">
        <f t="shared" si="7"/>
        <v>45838</v>
      </c>
      <c r="C47" s="165" t="str">
        <f>'Day 30'!$B$40</f>
        <v/>
      </c>
      <c r="D47" s="165" t="str">
        <f>'Day 30'!$C$40</f>
        <v/>
      </c>
      <c r="E47" s="165">
        <f>'Day 30'!$D$40</f>
        <v>7.2</v>
      </c>
      <c r="F47" s="165">
        <f>'Day 30'!$E$40</f>
        <v>63</v>
      </c>
      <c r="G47" s="375">
        <f>IF('Day 30'!$M$49="","",'Day 30'!$M$49)</f>
        <v>227.5</v>
      </c>
      <c r="H47" s="171">
        <f t="shared" si="8"/>
        <v>1.2191227032264149</v>
      </c>
      <c r="I47" s="375">
        <f>Volume!P33</f>
        <v>186.6096</v>
      </c>
      <c r="J47" s="165">
        <f>'Day 30'!$N$40</f>
        <v>88</v>
      </c>
      <c r="K47" s="167">
        <f>'Day 30'!$F$40</f>
        <v>1950</v>
      </c>
      <c r="L47" s="165" t="str">
        <f>IF('Day 30'!$M$50="","",'Day 30'!$M$50)</f>
        <v/>
      </c>
      <c r="M47" s="168">
        <f>IF('Day 30'!$I$47="","",'Day 30'!$I$47)</f>
        <v>1</v>
      </c>
      <c r="N47" s="168">
        <f>IF('Day 30'!$I$48="","",'Day 30'!$I$48)</f>
        <v>0</v>
      </c>
      <c r="O47" s="168">
        <f>IF('Day 30'!$I$49="","",'Day 30'!$I$49)</f>
        <v>0</v>
      </c>
      <c r="P47" s="59">
        <f t="shared" si="5"/>
        <v>1</v>
      </c>
      <c r="Q47" s="172">
        <f t="shared" si="6"/>
        <v>1</v>
      </c>
      <c r="R47" s="170" t="str">
        <f>CONCATENATE('Day 30'!$AF$16,'Day 30'!$AF$17,'Day 30'!$AF$18,'Day 30'!$AF$19,'Day 30'!$AF$20,'Day 30'!$AF$21,'Day 30'!$AF$22,'Day 30'!$AF$23,'Day 30'!$AF$24,'Day 30'!$AF$25,'Day 30'!$AF$26,'Day 30'!$AF$27,'Day 30'!$AF$28,'Day 30'!$AF$29,'Day 30'!$AF$30,'Day 30'!$AF$31,'Day 30'!$AF$32,'Day 30'!$AF$33,'Day 30'!$AF$34,'Day 30'!$AF$35,'Day 30'!$AF$36,'Day 30'!$AF$37,'Day 30'!$AF$38,'Day 30'!$AF$39)</f>
        <v/>
      </c>
      <c r="T47" s="307" t="s">
        <v>81</v>
      </c>
      <c r="U47" s="308" t="str">
        <f>IF($U$17="","",IF(#REF!="","",IF($U$17+1000-#REF!&lt;=23,CONCATENATE("DO PM ",TEXT($U$17+1000,"#.##0")),IF($U$17+1000-#REF!&lt;=216,CONCATENATE("Prep. PM ",TEXT($U$17+1000,"#.##0"),""),""))))</f>
        <v/>
      </c>
      <c r="V47" s="309" t="str">
        <f t="shared" si="14"/>
        <v/>
      </c>
      <c r="W47" s="308" t="str">
        <f>IF('Day 27'!$AG$40="","","CEK")</f>
        <v/>
      </c>
      <c r="X47" s="308" t="str">
        <f>IF('Day 27'!$AD$40="","","CEK")</f>
        <v/>
      </c>
      <c r="Y47" s="308" t="str">
        <f>IF('Day 27'!$AD$43="","","CEK")</f>
        <v/>
      </c>
      <c r="Z47" s="396" t="str">
        <f>'Day 27'!$B$41</f>
        <v/>
      </c>
      <c r="AA47" s="397" t="str">
        <f>'Day 27'!$B$42</f>
        <v/>
      </c>
      <c r="AB47" s="398" t="str">
        <f>'Day 27'!$B$40</f>
        <v/>
      </c>
      <c r="AC47" s="396" t="str">
        <f>'Day 27'!$C$41</f>
        <v/>
      </c>
      <c r="AD47" s="397" t="str">
        <f>'Day 27'!$C$42</f>
        <v/>
      </c>
      <c r="AE47" s="398" t="str">
        <f>'Day 27'!$C$40</f>
        <v/>
      </c>
      <c r="AF47" s="307" t="s">
        <v>81</v>
      </c>
      <c r="AG47" s="396">
        <f>'Day 27'!$D$41</f>
        <v>5.0999999999999996</v>
      </c>
      <c r="AH47" s="397">
        <f>'Day 27'!$D$42</f>
        <v>8</v>
      </c>
      <c r="AI47" s="398">
        <f>'Day 27'!$D$40</f>
        <v>6.3</v>
      </c>
      <c r="AJ47" s="396">
        <f>'Day 27'!$E$41</f>
        <v>52.7</v>
      </c>
      <c r="AK47" s="397">
        <f>'Day 27'!$E$42</f>
        <v>73.900000000000006</v>
      </c>
      <c r="AL47" s="398">
        <f>'Day 27'!$E$40</f>
        <v>62.2</v>
      </c>
      <c r="AM47" s="399">
        <f>'Day 27'!$F$41</f>
        <v>1915</v>
      </c>
      <c r="AN47" s="400">
        <f>'Day 27'!$F$42</f>
        <v>1986</v>
      </c>
      <c r="AO47" s="401">
        <f>'Day 27'!$F$40</f>
        <v>1946</v>
      </c>
      <c r="AP47" s="396">
        <f>'Day 27'!$G$41</f>
        <v>-5.5</v>
      </c>
      <c r="AQ47" s="397">
        <f>'Day 27'!$G$42</f>
        <v>-5.5</v>
      </c>
      <c r="AR47" s="398">
        <f>'Day 27'!$G$40</f>
        <v>-5.5</v>
      </c>
      <c r="AS47" s="396">
        <f>'Day 27'!$H$41</f>
        <v>72</v>
      </c>
      <c r="AT47" s="397">
        <f>'Day 27'!$H$42</f>
        <v>72.900000000000006</v>
      </c>
      <c r="AU47" s="398">
        <f>'Day 27'!$H$40</f>
        <v>72.4375</v>
      </c>
      <c r="AV47" s="396">
        <f>'Day 27'!$I$41</f>
        <v>22.1</v>
      </c>
      <c r="AW47" s="397">
        <f>'Day 27'!$I$42</f>
        <v>22.9</v>
      </c>
      <c r="AX47" s="398">
        <f>'Day 27'!$I$40</f>
        <v>22.584583333333331</v>
      </c>
      <c r="AY47" s="396">
        <f>'Day 27'!$K$41</f>
        <v>13</v>
      </c>
      <c r="AZ47" s="397">
        <f>'Day 27'!$K$42</f>
        <v>13</v>
      </c>
      <c r="BA47" s="398">
        <f>'Day 27'!$K$40</f>
        <v>13</v>
      </c>
      <c r="BB47" s="307" t="s">
        <v>81</v>
      </c>
      <c r="BC47" s="396">
        <f>'Day 27'!$L$41</f>
        <v>120</v>
      </c>
      <c r="BD47" s="397">
        <f>'Day 27'!$L$42</f>
        <v>127</v>
      </c>
      <c r="BE47" s="398">
        <f>'Day 27'!$L$40</f>
        <v>123.7</v>
      </c>
      <c r="BF47" s="396">
        <f>'Day 27'!$M$41</f>
        <v>217</v>
      </c>
      <c r="BG47" s="397">
        <f>'Day 27'!$M$42</f>
        <v>225</v>
      </c>
      <c r="BH47" s="398">
        <f>'Day 27'!$M$40</f>
        <v>221</v>
      </c>
      <c r="BI47" s="396">
        <f>'Day 27'!$N$41</f>
        <v>85</v>
      </c>
      <c r="BJ47" s="397">
        <f>'Day 27'!$N$42</f>
        <v>85</v>
      </c>
      <c r="BK47" s="398">
        <f>'Day 27'!$N$40</f>
        <v>85</v>
      </c>
      <c r="BL47" s="396">
        <f>'Day 27'!$O$41</f>
        <v>30</v>
      </c>
      <c r="BM47" s="397">
        <f>'Day 27'!$O$42</f>
        <v>60</v>
      </c>
      <c r="BN47" s="398">
        <f>'Day 27'!$O$40</f>
        <v>41</v>
      </c>
      <c r="BO47" s="396">
        <f>'Day 27'!$P$41</f>
        <v>10</v>
      </c>
      <c r="BP47" s="397">
        <f>'Day 27'!$P$42</f>
        <v>16</v>
      </c>
      <c r="BQ47" s="398">
        <f>'Day 27'!$P$40</f>
        <v>13.7</v>
      </c>
      <c r="BR47" s="402">
        <f>'Day 27'!$Q$41</f>
        <v>189.2</v>
      </c>
      <c r="BS47" s="403">
        <f>'Day 27'!$Q$42</f>
        <v>268.58999999999997</v>
      </c>
      <c r="BT47" s="404">
        <f>'Day 27'!$Q$44</f>
        <v>244.7963</v>
      </c>
      <c r="BU47" s="405" t="str">
        <f>'Day 27'!$R$41</f>
        <v/>
      </c>
      <c r="BV47" s="406" t="str">
        <f>'Day 27'!$R$42</f>
        <v/>
      </c>
      <c r="BW47" s="407" t="str">
        <f>'Day 27'!$R$40</f>
        <v/>
      </c>
      <c r="BX47" s="307" t="s">
        <v>81</v>
      </c>
    </row>
    <row r="48" spans="1:76" s="132" customFormat="1" ht="20.100000000000001" customHeight="1" x14ac:dyDescent="0.2">
      <c r="B48" s="154" t="s">
        <v>53</v>
      </c>
      <c r="C48" s="173" t="str">
        <f t="shared" ref="C48:I48" si="15">IFERROR(AVERAGE(C18:C47),"")</f>
        <v/>
      </c>
      <c r="D48" s="173" t="str">
        <f t="shared" si="15"/>
        <v/>
      </c>
      <c r="E48" s="173">
        <f t="shared" si="15"/>
        <v>6.9066666666666663</v>
      </c>
      <c r="F48" s="173">
        <f t="shared" si="15"/>
        <v>61.99666666666667</v>
      </c>
      <c r="G48" s="376">
        <f t="shared" si="15"/>
        <v>221.23333333333341</v>
      </c>
      <c r="H48" s="174">
        <f t="shared" si="15"/>
        <v>1.2057264943591024</v>
      </c>
      <c r="I48" s="376">
        <f t="shared" si="15"/>
        <v>183.53665866666668</v>
      </c>
      <c r="J48" s="173">
        <f>IFERROR(AVERAGEIF(J18:J47,"&lt;&gt;0",J18:J47),"")</f>
        <v>88.166666666666671</v>
      </c>
      <c r="K48" s="175">
        <f>IFERROR(AVERAGEIF(K18:K47,"&lt;&gt;0",K18:K47),"")</f>
        <v>1946.7666666666667</v>
      </c>
      <c r="L48" s="173" t="str">
        <f>IFERROR(AVERAGEIF(L18:L47,"&lt;&gt;0",L18:L47),"")</f>
        <v/>
      </c>
      <c r="M48" s="176">
        <f>IFERROR(AVERAGE(M18:M47),"")</f>
        <v>0.99722222222222223</v>
      </c>
      <c r="N48" s="177"/>
      <c r="O48" s="177"/>
      <c r="P48" s="60">
        <f>IFERROR(AVERAGE(P18:P47),"")</f>
        <v>0.99722222222222223</v>
      </c>
      <c r="Q48" s="178">
        <f>IFERROR(AVERAGE(Q18:Q47),"")</f>
        <v>0.99722222222222223</v>
      </c>
      <c r="R48" s="179"/>
      <c r="T48" s="307" t="s">
        <v>82</v>
      </c>
      <c r="U48" s="308" t="str">
        <f>IF($U$17="","",IF(#REF!="","",IF($U$17+1000-#REF!&lt;=23,CONCATENATE("DO PM ",TEXT($U$17+1000,"#.##0")),IF($U$17+1000-#REF!&lt;=216,CONCATENATE("Prep. PM ",TEXT($U$17+1000,"#.##0"),""),""))))</f>
        <v/>
      </c>
      <c r="V48" s="309" t="str">
        <f>IF(OR(M45="",N45="",O45=""),"Tdk Lngkp",IF(OR(AND(SUM(N45:O45)=0,R45&lt;&gt;""),AND(SUM(N45:O45)&lt;&gt;0,R45="")),"Cek",IF(AND(SUM(N45:O45)&lt;&gt;0,R45&lt;&gt;""),"Cocok ?","")))</f>
        <v/>
      </c>
      <c r="W48" s="308" t="str">
        <f>IF('Day 28'!$AG$40="","","CEK")</f>
        <v/>
      </c>
      <c r="X48" s="308" t="str">
        <f>IF('Day 28'!$AD$40="","","CEK")</f>
        <v/>
      </c>
      <c r="Y48" s="308" t="str">
        <f>IF('Day 28'!$AD$43="","","CEK")</f>
        <v/>
      </c>
      <c r="Z48" s="396" t="str">
        <f>'Day 28'!$B$41</f>
        <v/>
      </c>
      <c r="AA48" s="397" t="str">
        <f>'Day 28'!$B$42</f>
        <v/>
      </c>
      <c r="AB48" s="398" t="str">
        <f>'Day 28'!$B$40</f>
        <v/>
      </c>
      <c r="AC48" s="396" t="str">
        <f>'Day 28'!$C$41</f>
        <v/>
      </c>
      <c r="AD48" s="397" t="str">
        <f>'Day 28'!$C$42</f>
        <v/>
      </c>
      <c r="AE48" s="398" t="str">
        <f>'Day 28'!$C$40</f>
        <v/>
      </c>
      <c r="AF48" s="307" t="s">
        <v>82</v>
      </c>
      <c r="AG48" s="396">
        <f>'Day 28'!$D$41</f>
        <v>5.0999999999999996</v>
      </c>
      <c r="AH48" s="397">
        <f>'Day 28'!$D$42</f>
        <v>7.9</v>
      </c>
      <c r="AI48" s="398">
        <f>'Day 28'!$D$40</f>
        <v>6.5</v>
      </c>
      <c r="AJ48" s="396">
        <f>'Day 28'!$E$41</f>
        <v>58.7</v>
      </c>
      <c r="AK48" s="397">
        <f>'Day 28'!$E$42</f>
        <v>67.599999999999994</v>
      </c>
      <c r="AL48" s="398">
        <f>'Day 28'!$E$40</f>
        <v>63.4</v>
      </c>
      <c r="AM48" s="399">
        <f>'Day 28'!$F$41</f>
        <v>1915</v>
      </c>
      <c r="AN48" s="400">
        <f>'Day 28'!$F$42</f>
        <v>1965</v>
      </c>
      <c r="AO48" s="401">
        <f>'Day 28'!$F$40</f>
        <v>1943</v>
      </c>
      <c r="AP48" s="396">
        <f>'Day 28'!$G$41</f>
        <v>-5.5</v>
      </c>
      <c r="AQ48" s="397">
        <f>'Day 28'!$G$42</f>
        <v>-5.5</v>
      </c>
      <c r="AR48" s="398">
        <f>'Day 28'!$G$40</f>
        <v>-5.5</v>
      </c>
      <c r="AS48" s="396">
        <f>'Day 28'!$H$41</f>
        <v>72</v>
      </c>
      <c r="AT48" s="397">
        <f>'Day 28'!$H$42</f>
        <v>72.900000000000006</v>
      </c>
      <c r="AU48" s="398">
        <f>'Day 28'!$H$40</f>
        <v>72.391666666666652</v>
      </c>
      <c r="AV48" s="396">
        <f>'Day 28'!$I$41</f>
        <v>22</v>
      </c>
      <c r="AW48" s="397">
        <f>'Day 28'!$I$42</f>
        <v>22.9</v>
      </c>
      <c r="AX48" s="398">
        <f>'Day 28'!$I$40</f>
        <v>22.491666666666664</v>
      </c>
      <c r="AY48" s="396">
        <f>'Day 28'!$K$41</f>
        <v>13</v>
      </c>
      <c r="AZ48" s="397">
        <f>'Day 28'!$K$42</f>
        <v>13</v>
      </c>
      <c r="BA48" s="398">
        <f>'Day 28'!$K$40</f>
        <v>13</v>
      </c>
      <c r="BB48" s="307" t="s">
        <v>82</v>
      </c>
      <c r="BC48" s="396">
        <f>'Day 28'!$L$41</f>
        <v>122</v>
      </c>
      <c r="BD48" s="397">
        <f>'Day 28'!$L$42</f>
        <v>137</v>
      </c>
      <c r="BE48" s="398">
        <f>'Day 28'!$L$40</f>
        <v>130.4</v>
      </c>
      <c r="BF48" s="396">
        <f>'Day 28'!$M$41</f>
        <v>220</v>
      </c>
      <c r="BG48" s="397">
        <f>'Day 28'!$M$42</f>
        <v>227</v>
      </c>
      <c r="BH48" s="398">
        <f>'Day 28'!$M$40</f>
        <v>222</v>
      </c>
      <c r="BI48" s="396">
        <f>'Day 28'!$N$41</f>
        <v>85</v>
      </c>
      <c r="BJ48" s="397">
        <f>'Day 28'!$N$42</f>
        <v>85</v>
      </c>
      <c r="BK48" s="398">
        <f>'Day 28'!$N$40</f>
        <v>85</v>
      </c>
      <c r="BL48" s="396">
        <f>'Day 28'!$O$41</f>
        <v>40</v>
      </c>
      <c r="BM48" s="397">
        <f>'Day 28'!$O$42</f>
        <v>45</v>
      </c>
      <c r="BN48" s="398">
        <f>'Day 28'!$O$40</f>
        <v>42.9</v>
      </c>
      <c r="BO48" s="396">
        <f>'Day 28'!$P$41</f>
        <v>10</v>
      </c>
      <c r="BP48" s="397">
        <f>'Day 28'!$P$42</f>
        <v>15</v>
      </c>
      <c r="BQ48" s="398">
        <f>'Day 28'!$P$40</f>
        <v>12.8</v>
      </c>
      <c r="BR48" s="402">
        <f>'Day 28'!$Q$41</f>
        <v>219</v>
      </c>
      <c r="BS48" s="403">
        <f>'Day 28'!$Q$42</f>
        <v>258.77</v>
      </c>
      <c r="BT48" s="404">
        <f>'Day 28'!$Q$44</f>
        <v>242.8792</v>
      </c>
      <c r="BU48" s="405" t="str">
        <f>'Day 28'!$R$41</f>
        <v/>
      </c>
      <c r="BV48" s="406" t="str">
        <f>'Day 28'!$R$42</f>
        <v/>
      </c>
      <c r="BW48" s="407" t="str">
        <f>'Day 28'!$R$40</f>
        <v/>
      </c>
      <c r="BX48" s="307" t="s">
        <v>82</v>
      </c>
    </row>
    <row r="49" spans="1:76" s="132" customFormat="1" ht="20.100000000000001" customHeight="1" thickBot="1" x14ac:dyDescent="0.25">
      <c r="B49" s="155" t="s">
        <v>54</v>
      </c>
      <c r="C49" s="455"/>
      <c r="D49" s="455"/>
      <c r="E49" s="455"/>
      <c r="F49" s="455"/>
      <c r="G49" s="377">
        <f>IF(COUNT(G18:G47)=0,"",SUM(G18:G47))</f>
        <v>6637.0000000000018</v>
      </c>
      <c r="H49" s="181"/>
      <c r="I49" s="378"/>
      <c r="J49" s="455"/>
      <c r="K49" s="182"/>
      <c r="L49" s="180" t="str">
        <f>IF(COUNT(L18:L47)=0,"",SUM(L18:L47))</f>
        <v/>
      </c>
      <c r="M49" s="183">
        <f>IF(COUNT(M18:M47)=0,"",SUM(M18:M47))</f>
        <v>29.916666666666668</v>
      </c>
      <c r="N49" s="183">
        <f>IF(COUNT(N18:N47)=0,"",SUM(N18:N47))</f>
        <v>0</v>
      </c>
      <c r="O49" s="183">
        <f>IF(COUNT(O18:O47)=0,"",SUM(O18:O47))</f>
        <v>8.333333333333337E-2</v>
      </c>
      <c r="P49" s="184"/>
      <c r="Q49" s="185"/>
      <c r="R49" s="186"/>
      <c r="T49" s="307" t="s">
        <v>83</v>
      </c>
      <c r="U49" s="308" t="str">
        <f>IF($U$17="","",IF(#REF!="","",IF($U$17+1000-#REF!&lt;=23,CONCATENATE("DO PM ",TEXT($U$17+1000,"#.##0")),IF($U$17+1000-#REF!&lt;=216,CONCATENATE("Prep. PM ",TEXT($U$17+1000,"#.##0"),""),""))))</f>
        <v/>
      </c>
      <c r="V49" s="309" t="str">
        <f t="shared" si="14"/>
        <v/>
      </c>
      <c r="W49" s="308" t="str">
        <f>IF('Day 29'!$AG$40="","","CEK")</f>
        <v/>
      </c>
      <c r="X49" s="308" t="str">
        <f>IF('Day 29'!$AD$40="","","CEK")</f>
        <v/>
      </c>
      <c r="Y49" s="308" t="str">
        <f>IF('Day 29'!$AD$43="","","CEK")</f>
        <v/>
      </c>
      <c r="Z49" s="396" t="str">
        <f>'Day 29'!$B$41</f>
        <v/>
      </c>
      <c r="AA49" s="397" t="str">
        <f>'Day 29'!$B$42</f>
        <v/>
      </c>
      <c r="AB49" s="398" t="str">
        <f>'Day 29'!$B$40</f>
        <v/>
      </c>
      <c r="AC49" s="396" t="str">
        <f>'Day 29'!$C$41</f>
        <v/>
      </c>
      <c r="AD49" s="397" t="str">
        <f>'Day 29'!$C$42</f>
        <v/>
      </c>
      <c r="AE49" s="398" t="str">
        <f>'Day 29'!$C$40</f>
        <v/>
      </c>
      <c r="AF49" s="307" t="s">
        <v>83</v>
      </c>
      <c r="AG49" s="396">
        <f>'Day 29'!$D$41</f>
        <v>4.9000000000000004</v>
      </c>
      <c r="AH49" s="397">
        <f>'Day 29'!$D$42</f>
        <v>7.1</v>
      </c>
      <c r="AI49" s="398">
        <f>'Day 29'!$D$40</f>
        <v>6.2</v>
      </c>
      <c r="AJ49" s="396">
        <f>'Day 29'!$E$41</f>
        <v>52.6</v>
      </c>
      <c r="AK49" s="397">
        <f>'Day 29'!$E$42</f>
        <v>62.8</v>
      </c>
      <c r="AL49" s="398">
        <f>'Day 29'!$E$40</f>
        <v>59.6</v>
      </c>
      <c r="AM49" s="399">
        <f>'Day 29'!$F$41</f>
        <v>1913</v>
      </c>
      <c r="AN49" s="400">
        <f>'Day 29'!$F$42</f>
        <v>1991</v>
      </c>
      <c r="AO49" s="401">
        <f>'Day 29'!$F$40</f>
        <v>1944</v>
      </c>
      <c r="AP49" s="396">
        <f>'Day 29'!$G$41</f>
        <v>-5.6</v>
      </c>
      <c r="AQ49" s="397">
        <f>'Day 29'!$G$42</f>
        <v>-5.6</v>
      </c>
      <c r="AR49" s="398">
        <f>'Day 29'!$G$40</f>
        <v>-5.5999999999999979</v>
      </c>
      <c r="AS49" s="396">
        <f>'Day 29'!$H$41</f>
        <v>72</v>
      </c>
      <c r="AT49" s="397">
        <f>'Day 29'!$H$42</f>
        <v>72.900000000000006</v>
      </c>
      <c r="AU49" s="398">
        <f>'Day 29'!$H$40</f>
        <v>72.462499999999991</v>
      </c>
      <c r="AV49" s="396">
        <f>'Day 29'!$I$41</f>
        <v>23.1</v>
      </c>
      <c r="AW49" s="397">
        <f>'Day 29'!$I$42</f>
        <v>23.9</v>
      </c>
      <c r="AX49" s="398">
        <f>'Day 29'!$I$40</f>
        <v>23.466666666666669</v>
      </c>
      <c r="AY49" s="396">
        <f>'Day 29'!$K$41</f>
        <v>13</v>
      </c>
      <c r="AZ49" s="397">
        <f>'Day 29'!$K$42</f>
        <v>13</v>
      </c>
      <c r="BA49" s="398">
        <f>'Day 29'!$K$40</f>
        <v>13</v>
      </c>
      <c r="BB49" s="307" t="s">
        <v>83</v>
      </c>
      <c r="BC49" s="396">
        <f>'Day 29'!$L$41</f>
        <v>128</v>
      </c>
      <c r="BD49" s="397">
        <f>'Day 29'!$L$42</f>
        <v>137</v>
      </c>
      <c r="BE49" s="398">
        <f>'Day 29'!$L$40</f>
        <v>132.1</v>
      </c>
      <c r="BF49" s="396">
        <f>'Day 29'!$M$41</f>
        <v>220</v>
      </c>
      <c r="BG49" s="397">
        <f>'Day 29'!$M$42</f>
        <v>227</v>
      </c>
      <c r="BH49" s="398">
        <f>'Day 29'!$M$40</f>
        <v>222</v>
      </c>
      <c r="BI49" s="396">
        <f>'Day 29'!$N$41</f>
        <v>90</v>
      </c>
      <c r="BJ49" s="397">
        <f>'Day 29'!$N$42</f>
        <v>90</v>
      </c>
      <c r="BK49" s="398">
        <f>'Day 29'!$N$40</f>
        <v>90</v>
      </c>
      <c r="BL49" s="396">
        <f>'Day 29'!$O$41</f>
        <v>30</v>
      </c>
      <c r="BM49" s="397">
        <f>'Day 29'!$O$42</f>
        <v>45</v>
      </c>
      <c r="BN49" s="398">
        <f>'Day 29'!$O$40</f>
        <v>36</v>
      </c>
      <c r="BO49" s="396">
        <f>'Day 29'!$P$41</f>
        <v>12</v>
      </c>
      <c r="BP49" s="397">
        <f>'Day 29'!$P$42</f>
        <v>17</v>
      </c>
      <c r="BQ49" s="398">
        <f>'Day 29'!$P$40</f>
        <v>14.1</v>
      </c>
      <c r="BR49" s="402">
        <f>'Day 29'!$Q$41</f>
        <v>214.5</v>
      </c>
      <c r="BS49" s="403">
        <f>'Day 29'!$Q$42</f>
        <v>246.42</v>
      </c>
      <c r="BT49" s="404">
        <f>'Day 29'!$Q$44</f>
        <v>236.9796</v>
      </c>
      <c r="BU49" s="405" t="str">
        <f>'Day 29'!$R$41</f>
        <v/>
      </c>
      <c r="BV49" s="406" t="str">
        <f>'Day 29'!$R$42</f>
        <v/>
      </c>
      <c r="BW49" s="407" t="str">
        <f>'Day 29'!$R$40</f>
        <v/>
      </c>
      <c r="BX49" s="307" t="s">
        <v>83</v>
      </c>
    </row>
    <row r="50" spans="1:76" s="132" customFormat="1" ht="20.100000000000001" customHeight="1" thickBot="1" x14ac:dyDescent="0.25">
      <c r="B50" s="133"/>
      <c r="C50" s="187"/>
      <c r="D50" s="187"/>
      <c r="E50" s="187" t="s">
        <v>29</v>
      </c>
      <c r="F50" s="134"/>
      <c r="G50" s="134"/>
      <c r="H50" s="134"/>
      <c r="I50" s="134"/>
      <c r="J50" s="134"/>
      <c r="K50" s="134"/>
      <c r="L50" s="134"/>
      <c r="M50" s="68" t="s">
        <v>86</v>
      </c>
      <c r="N50" s="86"/>
      <c r="O50" s="86"/>
      <c r="P50" s="86"/>
      <c r="Q50" s="134"/>
      <c r="R50" s="150" t="s">
        <v>87</v>
      </c>
      <c r="T50" s="307" t="s">
        <v>84</v>
      </c>
      <c r="U50" s="308" t="str">
        <f>IF($U$17="","",IF(#REF!="","",IF($U$17+1000-#REF!&lt;=23,CONCATENATE("DO PM ",TEXT($U$17+1000,"#.##0")),IF($U$17+1000-#REF!&lt;=216,CONCATENATE("Prep. PM ",TEXT($U$17+1000,"#.##0"),""),""))))</f>
        <v/>
      </c>
      <c r="V50" s="309" t="str">
        <f t="shared" si="14"/>
        <v/>
      </c>
      <c r="W50" s="308" t="str">
        <f>IF('Day 30'!$AG$40="","","CEK")</f>
        <v/>
      </c>
      <c r="X50" s="308" t="str">
        <f>IF('Day 30'!$AD$40="","","CEK")</f>
        <v/>
      </c>
      <c r="Y50" s="308" t="str">
        <f>IF('Day 30'!$AD$43="","","CEK")</f>
        <v/>
      </c>
      <c r="Z50" s="396" t="str">
        <f>'Day 30'!$B$41</f>
        <v/>
      </c>
      <c r="AA50" s="397" t="str">
        <f>'Day 30'!$B$42</f>
        <v/>
      </c>
      <c r="AB50" s="398" t="str">
        <f>'Day 30'!$B$40</f>
        <v/>
      </c>
      <c r="AC50" s="396" t="str">
        <f>'Day 30'!$C$41</f>
        <v/>
      </c>
      <c r="AD50" s="397" t="str">
        <f>'Day 30'!$C$42</f>
        <v/>
      </c>
      <c r="AE50" s="398" t="str">
        <f>'Day 30'!$C$40</f>
        <v/>
      </c>
      <c r="AF50" s="307" t="s">
        <v>84</v>
      </c>
      <c r="AG50" s="396">
        <f>'Day 30'!$D$41</f>
        <v>6.2</v>
      </c>
      <c r="AH50" s="397">
        <f>'Day 30'!$D$42</f>
        <v>8.1999999999999993</v>
      </c>
      <c r="AI50" s="398">
        <f>'Day 30'!$D$40</f>
        <v>7.2</v>
      </c>
      <c r="AJ50" s="396">
        <f>'Day 30'!$E$41</f>
        <v>59.7</v>
      </c>
      <c r="AK50" s="397">
        <f>'Day 30'!$E$42</f>
        <v>66.5</v>
      </c>
      <c r="AL50" s="398">
        <f>'Day 30'!$E$40</f>
        <v>63</v>
      </c>
      <c r="AM50" s="399">
        <f>'Day 30'!$F$41</f>
        <v>1922</v>
      </c>
      <c r="AN50" s="400">
        <f>'Day 30'!$F$42</f>
        <v>1981</v>
      </c>
      <c r="AO50" s="401">
        <f>'Day 30'!$F$40</f>
        <v>1950</v>
      </c>
      <c r="AP50" s="396">
        <f>'Day 30'!$G$41</f>
        <v>-5.6</v>
      </c>
      <c r="AQ50" s="397">
        <f>'Day 30'!$G$42</f>
        <v>-5.6</v>
      </c>
      <c r="AR50" s="398">
        <f>'Day 30'!$G$40</f>
        <v>-5.5999999999999979</v>
      </c>
      <c r="AS50" s="396">
        <f>'Day 30'!$H$41</f>
        <v>72</v>
      </c>
      <c r="AT50" s="397">
        <f>'Day 30'!$H$42</f>
        <v>72.900000000000006</v>
      </c>
      <c r="AU50" s="398">
        <f>'Day 30'!$H$40</f>
        <v>72.362499999999997</v>
      </c>
      <c r="AV50" s="396">
        <f>'Day 30'!$I$41</f>
        <v>21</v>
      </c>
      <c r="AW50" s="397">
        <f>'Day 30'!$I$42</f>
        <v>23.9</v>
      </c>
      <c r="AX50" s="398">
        <f>'Day 30'!$I$40</f>
        <v>23.337500000000006</v>
      </c>
      <c r="AY50" s="396">
        <f>'Day 30'!$K$41</f>
        <v>13</v>
      </c>
      <c r="AZ50" s="397">
        <f>'Day 30'!$K$42</f>
        <v>13</v>
      </c>
      <c r="BA50" s="398">
        <f>'Day 30'!$K$40</f>
        <v>13</v>
      </c>
      <c r="BB50" s="307" t="s">
        <v>84</v>
      </c>
      <c r="BC50" s="396">
        <f>'Day 30'!$L$41</f>
        <v>122</v>
      </c>
      <c r="BD50" s="397">
        <f>'Day 30'!$L$42</f>
        <v>136</v>
      </c>
      <c r="BE50" s="398">
        <f>'Day 30'!$L$40</f>
        <v>131.1</v>
      </c>
      <c r="BF50" s="396">
        <f>'Day 30'!$M$41</f>
        <v>220</v>
      </c>
      <c r="BG50" s="397">
        <f>'Day 30'!$M$42</f>
        <v>227</v>
      </c>
      <c r="BH50" s="398">
        <f>'Day 30'!$M$40</f>
        <v>223</v>
      </c>
      <c r="BI50" s="396">
        <f>'Day 30'!$N$41</f>
        <v>85</v>
      </c>
      <c r="BJ50" s="397">
        <f>'Day 30'!$N$42</f>
        <v>90</v>
      </c>
      <c r="BK50" s="398">
        <f>'Day 30'!$N$40</f>
        <v>88</v>
      </c>
      <c r="BL50" s="396">
        <f>'Day 30'!$O$41</f>
        <v>30</v>
      </c>
      <c r="BM50" s="397">
        <f>'Day 30'!$O$42</f>
        <v>45</v>
      </c>
      <c r="BN50" s="398">
        <f>'Day 30'!$O$40</f>
        <v>35.200000000000003</v>
      </c>
      <c r="BO50" s="396">
        <f>'Day 30'!$P$41</f>
        <v>12</v>
      </c>
      <c r="BP50" s="397">
        <f>'Day 30'!$P$42</f>
        <v>16</v>
      </c>
      <c r="BQ50" s="398">
        <f>'Day 30'!$P$40</f>
        <v>13.8</v>
      </c>
      <c r="BR50" s="402">
        <f>'Day 30'!$Q$41</f>
        <v>217.49</v>
      </c>
      <c r="BS50" s="403">
        <f>'Day 30'!$Q$42</f>
        <v>249.43</v>
      </c>
      <c r="BT50" s="404">
        <f>'Day 30'!$Q$44</f>
        <v>232.93379999999999</v>
      </c>
      <c r="BU50" s="405" t="str">
        <f>'Day 30'!$R$41</f>
        <v/>
      </c>
      <c r="BV50" s="406" t="str">
        <f>'Day 30'!$R$42</f>
        <v/>
      </c>
      <c r="BW50" s="407" t="str">
        <f>'Day 30'!$R$40</f>
        <v/>
      </c>
      <c r="BX50" s="307" t="s">
        <v>84</v>
      </c>
    </row>
    <row r="51" spans="1:76" s="132" customFormat="1" ht="20.100000000000001" customHeight="1" thickBot="1" x14ac:dyDescent="0.25">
      <c r="B51" s="137"/>
      <c r="C51" s="188"/>
      <c r="D51" s="188"/>
      <c r="E51" s="188" t="s">
        <v>211</v>
      </c>
      <c r="F51" s="138"/>
      <c r="G51" s="138"/>
      <c r="H51" s="138"/>
      <c r="I51" s="138"/>
      <c r="J51" s="138"/>
      <c r="K51" s="138"/>
      <c r="L51" s="138"/>
      <c r="M51" s="64" t="str">
        <f>$F$12</f>
        <v>PT PERTAMINA EP Zona 7 - TAMBUN</v>
      </c>
      <c r="N51" s="65"/>
      <c r="O51" s="65"/>
      <c r="P51" s="65"/>
      <c r="Q51" s="138"/>
      <c r="R51" s="153" t="str">
        <f>$F$12</f>
        <v>PT PERTAMINA EP Zona 7 - TAMBUN</v>
      </c>
      <c r="T51" s="311" t="s">
        <v>93</v>
      </c>
      <c r="U51" s="312"/>
      <c r="V51" s="312"/>
      <c r="W51" s="312"/>
      <c r="X51" s="312"/>
      <c r="Y51" s="312"/>
      <c r="Z51" s="420" t="str">
        <f>IF(COUNT(Z18:Z32,Z36:Z50)&gt;0,MIN(Z18:Z32,Z36:Z50),"")</f>
        <v/>
      </c>
      <c r="AA51" s="421" t="str">
        <f>IF(COUNT(AA18:AA32,AA36:AA50)&gt;0,MAX(AA18:AA32,AA36:AA50),"")</f>
        <v/>
      </c>
      <c r="AB51" s="422" t="str">
        <f>IF(COUNT(AB18:AB32,AB36:AB50)&gt;0,AVERAGE(AB18:AB32,AB36:AB50),"")</f>
        <v/>
      </c>
      <c r="AC51" s="420" t="str">
        <f>IF(COUNT(AC18:AC32,AC36:AC50)&gt;0,MIN(AC18:AC32,AC36:AC50),"")</f>
        <v/>
      </c>
      <c r="AD51" s="421" t="str">
        <f>IF(COUNT(AD18:AD32,AD36:AD50)&gt;0,MAX(AD18:AD32,AD36:AD50),"")</f>
        <v/>
      </c>
      <c r="AE51" s="422" t="str">
        <f>IF(COUNT(AE18:AE32,AE36:AE50)&gt;0,AVERAGE(AE18:AE32,AE36:AE50),"")</f>
        <v/>
      </c>
      <c r="AF51" s="311" t="s">
        <v>93</v>
      </c>
      <c r="AG51" s="420">
        <f>IF(COUNT(AG18:AG32,AG36:AG50)&gt;0,MIN(AG18:AG32,AG36:AG50),"")</f>
        <v>3.5</v>
      </c>
      <c r="AH51" s="421">
        <f>IF(COUNT(AH18:AH32,AH36:AH50)&gt;0,MAX(AH18:AH32,AH36:AH50),"")</f>
        <v>9.3000000000000007</v>
      </c>
      <c r="AI51" s="422">
        <f>IF(COUNT(AI18:AI32,AI36:AI50)&gt;0,AVERAGE(AI18:AI32,AI36:AI50),"")</f>
        <v>6.9066666666666663</v>
      </c>
      <c r="AJ51" s="420">
        <f>IF(COUNT(AJ18:AJ32,AJ36:AJ50)&gt;0,MIN(AJ18:AJ32,AJ36:AJ50),"")</f>
        <v>48.3</v>
      </c>
      <c r="AK51" s="421">
        <f>IF(COUNT(AK18:AK32,AK36:AK50)&gt;0,MAX(AK18:AK32,AK36:AK50),"")</f>
        <v>88.2</v>
      </c>
      <c r="AL51" s="422">
        <f>IF(COUNT(AL18:AL32,AL36:AL50)&gt;0,AVERAGE(AL18:AL32,AL36:AL50),"")</f>
        <v>61.99666666666667</v>
      </c>
      <c r="AM51" s="423">
        <f>IF(COUNT(AM18:AM32,AM36:AM50)&gt;0,MIN(AM18:AM32,AM36:AM50),"")</f>
        <v>1632</v>
      </c>
      <c r="AN51" s="424">
        <f>IF(COUNT(AN18:AN32,AN36:AN50)&gt;0,MAX(AN18:AN32,AN36:AN50),"")</f>
        <v>1991</v>
      </c>
      <c r="AO51" s="425">
        <f>IF(COUNT(AO18:AO32,AO36:AO50)&gt;0,AVERAGE(AO18:AO32,AO36:AO50),"")</f>
        <v>1946.7666666666667</v>
      </c>
      <c r="AP51" s="420">
        <f>IF(COUNT(AP18:AP32,AP36:AP50)&gt;0,MIN(AP18:AP32,AP36:AP50),"")</f>
        <v>-5.6</v>
      </c>
      <c r="AQ51" s="421">
        <f>IF(COUNT(AQ18:AQ32,AQ36:AQ50)&gt;0,MAX(AQ18:AQ32,AQ36:AQ50),"")</f>
        <v>-5.5</v>
      </c>
      <c r="AR51" s="422">
        <f>IF(COUNT(AR18:AR32,AR36:AR50)&gt;0,AVERAGE(AR18:AR32,AR36:AR50),"")</f>
        <v>-5.5449999999999973</v>
      </c>
      <c r="AS51" s="420">
        <f>IF(COUNT(AS18:AS32,AS36:AS50)&gt;0,MIN(AS18:AS32,AS36:AS50),"")</f>
        <v>71</v>
      </c>
      <c r="AT51" s="421">
        <f>IF(COUNT(AT18:AT32,AT36:AT50)&gt;0,MAX(AT18:AT32,AT36:AT50),"")</f>
        <v>72.900000000000006</v>
      </c>
      <c r="AU51" s="422">
        <f>IF(COUNT(AU18:AU32,AU36:AU50)&gt;0,AVERAGE(AU18:AU32,AU36:AU50),"")</f>
        <v>72.003531565656587</v>
      </c>
      <c r="AV51" s="420">
        <f>IF(COUNT(AV18:AV32,AV36:AV50)&gt;0,MIN(AV18:AV32,AV36:AV50),"")</f>
        <v>20.3</v>
      </c>
      <c r="AW51" s="421">
        <f>IF(COUNT(AW18:AW32,AW36:AW50)&gt;0,MAX(AW18:AW32,AW36:AW50),"")</f>
        <v>23.9</v>
      </c>
      <c r="AX51" s="422">
        <f>IF(COUNT(AX18:AX32,AX36:AX50)&gt;0,AVERAGE(AX18:AX32,AX36:AX50),"")</f>
        <v>22.068832070707074</v>
      </c>
      <c r="AY51" s="420">
        <f>IF(COUNT(AY18:AY32,AY36:AY50)&gt;0,MIN(AY18:AY32,AY36:AY50),"")</f>
        <v>13</v>
      </c>
      <c r="AZ51" s="421">
        <f>IF(COUNT(AZ18:AZ32,AZ36:AZ50)&gt;0,MAX(AZ18:AZ32,AZ36:AZ50),"")</f>
        <v>13.01</v>
      </c>
      <c r="BA51" s="422">
        <f>IF(COUNT(BA18:BA32,BA36:BA50)&gt;0,AVERAGE(BA18:BA32,BA36:BA50),"")</f>
        <v>13.000333333333334</v>
      </c>
      <c r="BB51" s="311" t="s">
        <v>93</v>
      </c>
      <c r="BC51" s="420">
        <f>IF(COUNT(BC18:BC32,BC36:BC50)&gt;0,MIN(BC18:BC32,BC36:BC50),"")</f>
        <v>117</v>
      </c>
      <c r="BD51" s="421">
        <f>IF(COUNT(BD18:BD32,BD36:BD50)&gt;0,MAX(BD18:BD32,BD36:BD50),"")</f>
        <v>139</v>
      </c>
      <c r="BE51" s="422">
        <f>IF(COUNT(BE18:BE32,BE36:BE50)&gt;0,AVERAGE(BE18:BE32,BE36:BE50),"")</f>
        <v>128.14333333333332</v>
      </c>
      <c r="BF51" s="420">
        <f>IF(COUNT(BF18:BF32,BF36:BF50)&gt;0,MIN(BF18:BF32,BF36:BF50),"")</f>
        <v>217</v>
      </c>
      <c r="BG51" s="421">
        <f>IF(COUNT(BG18:BG32,BG36:BG50)&gt;0,MAX(BG18:BG32,BG36:BG50),"")</f>
        <v>233</v>
      </c>
      <c r="BH51" s="422">
        <f>IF(COUNT(BH18:BH32,BH36:BH50)&gt;0,AVERAGE(BH18:BH32,BH36:BH50),"")</f>
        <v>223.36666666666667</v>
      </c>
      <c r="BI51" s="420">
        <f>IF(COUNT(BI18:BI32,BI36:BI50)&gt;0,MIN(BI18:BI32,BI36:BI50),"")</f>
        <v>85</v>
      </c>
      <c r="BJ51" s="421">
        <f>IF(COUNT(BJ18:BJ32,BJ36:BJ50)&gt;0,MAX(BJ18:BJ32,BJ36:BJ50),"")</f>
        <v>90</v>
      </c>
      <c r="BK51" s="422">
        <f>IF(COUNT(BK18:BK32,BK36:BK50)&gt;0,AVERAGE(BK18:BK32,BK36:BK50),"")</f>
        <v>88.166666666666671</v>
      </c>
      <c r="BL51" s="420">
        <f>IF(COUNT(BL18:BL32,BL36:BL50)&gt;0,MIN(BL18:BL32,BL36:BL50),"")</f>
        <v>20</v>
      </c>
      <c r="BM51" s="421">
        <f>IF(COUNT(BM18:BM32,BM36:BM50)&gt;0,MAX(BM18:BM32,BM36:BM50),"")</f>
        <v>70</v>
      </c>
      <c r="BN51" s="422">
        <f>IF(COUNT(BN18:BN32,BN36:BN50)&gt;0,AVERAGE(BN18:BN32,BN36:BN50),"")</f>
        <v>43.844443333333338</v>
      </c>
      <c r="BO51" s="420">
        <f>IF(COUNT(BO18:BO32,BO36:BO50)&gt;0,MIN(BO18:BO32,BO36:BO50),"")</f>
        <v>5</v>
      </c>
      <c r="BP51" s="421">
        <f>IF(COUNT(BP18:BP32,BP36:BP50)&gt;0,MAX(BP18:BP32,BP36:BP50),"")</f>
        <v>20</v>
      </c>
      <c r="BQ51" s="422">
        <f>IF(COUNT(BQ18:BQ32,BQ36:BQ50)&gt;0,AVERAGE(BQ18:BQ32,BQ36:BQ50),"")</f>
        <v>11.938056666666666</v>
      </c>
      <c r="BR51" s="426">
        <f>IF(COUNT(BR18:BR32,BR36:BR50)&gt;0,MIN(BR18:BR32,BR36:BR50),"")</f>
        <v>161.77000000000001</v>
      </c>
      <c r="BS51" s="427">
        <f>IF(COUNT(BS18:BS32,BS36:BS50)&gt;0,MAX(BS18:BS32,BS36:BS50),"")</f>
        <v>299.10000000000002</v>
      </c>
      <c r="BT51" s="428">
        <f>IF(COUNT(BT18:BT32,BT36:BT50)&gt;0,AVERAGE(BT18:BT32,BT36:BT50),"")</f>
        <v>232.25806666666662</v>
      </c>
      <c r="BU51" s="429" t="str">
        <f>IF(COUNT(BU18:BU32,BU36:BU50)&gt;0,MIN(BU18:BU32,BU36:BU50),"")</f>
        <v/>
      </c>
      <c r="BV51" s="430" t="str">
        <f>IF(COUNT(BV18:BV32,BV36:BV50)&gt;0,MAX(BV18:BV32,BV36:BV50),"")</f>
        <v/>
      </c>
      <c r="BW51" s="431" t="str">
        <f>IF(COUNT(BW18:BW32,BW36:BW50)&gt;0,AVERAGE(BW18:BW32,BW36:BW50),"")</f>
        <v/>
      </c>
      <c r="BX51" s="311" t="s">
        <v>93</v>
      </c>
    </row>
    <row r="52" spans="1:76" s="132" customFormat="1" ht="20.100000000000001" customHeight="1" x14ac:dyDescent="0.25">
      <c r="B52" s="137"/>
      <c r="C52" s="138"/>
      <c r="D52" s="138"/>
      <c r="E52" s="138"/>
      <c r="F52" s="138"/>
      <c r="G52" s="138"/>
      <c r="H52" s="138"/>
      <c r="I52" s="138"/>
      <c r="J52" s="138"/>
      <c r="K52" s="138"/>
      <c r="L52" s="138"/>
      <c r="M52" s="65"/>
      <c r="N52" s="65"/>
      <c r="O52" s="65"/>
      <c r="P52" s="65"/>
      <c r="Q52" s="138"/>
      <c r="R52" s="141"/>
      <c r="X52" s="313"/>
      <c r="Y52" s="313"/>
      <c r="Z52" s="313"/>
      <c r="AA52" s="313"/>
      <c r="AB52" s="313"/>
      <c r="AC52" s="313"/>
      <c r="AE52" s="313"/>
      <c r="AF52" s="313"/>
      <c r="AH52" s="313" t="str">
        <f>IF(OR(AH51&lt;=60,AH51=""),"","P Suct. BERLEBIHAN")</f>
        <v/>
      </c>
      <c r="AI52" s="313"/>
      <c r="AK52" s="313" t="str">
        <f>IF(OR(AK51&lt;=420,AK51=""),"","P Disch. BERLEBIHAN")</f>
        <v/>
      </c>
      <c r="AL52" s="313"/>
      <c r="AN52" s="313" t="str">
        <f>IF(OR(AN51&lt;=2150,AN51=""),"","Speed TINGGI")</f>
        <v/>
      </c>
      <c r="AO52" s="313"/>
      <c r="AQ52" s="313" t="str">
        <f>IF(OR(AQ51&lt;=-2,AQ51=""),"","P Manifold TINGGI")</f>
        <v/>
      </c>
      <c r="AR52" s="313"/>
      <c r="AT52" s="313" t="str">
        <f>IF(OR(AT51&lt;=70,AT51=""),"","CEK Lube Oil")</f>
        <v>CEK Lube Oil</v>
      </c>
      <c r="AU52" s="313"/>
      <c r="AW52" s="313"/>
      <c r="AX52" s="313"/>
      <c r="BD52" s="313" t="str">
        <f>IF(OR(BD51&lt;=194,BD51=""),"","CEK Cooling Sys.")</f>
        <v/>
      </c>
      <c r="BE52" s="313"/>
      <c r="BG52" s="313" t="str">
        <f>IF(OR(BG51&lt;=350,BG51=""),"","CEK Cooling Sys.")</f>
        <v/>
      </c>
      <c r="BH52" s="313"/>
      <c r="BJ52" s="313" t="str">
        <f>IF(OR(BJ51&lt;=120,BJ51=""),"","T Disch. TINGGI")</f>
        <v/>
      </c>
      <c r="BK52" s="313"/>
      <c r="BM52" s="313"/>
      <c r="BN52" s="313"/>
      <c r="BP52" s="313"/>
      <c r="BQ52" s="313"/>
      <c r="BR52" s="313"/>
      <c r="BS52" s="313"/>
      <c r="BT52" s="313"/>
    </row>
    <row r="53" spans="1:76" s="132" customFormat="1" ht="20.100000000000001" customHeight="1" x14ac:dyDescent="0.25">
      <c r="B53" s="137"/>
      <c r="C53" s="138"/>
      <c r="D53" s="138"/>
      <c r="E53" s="138"/>
      <c r="F53" s="138"/>
      <c r="G53" s="138"/>
      <c r="H53" s="138"/>
      <c r="I53" s="138"/>
      <c r="J53" s="138"/>
      <c r="K53" s="138"/>
      <c r="L53" s="138"/>
      <c r="M53" s="65"/>
      <c r="N53" s="65"/>
      <c r="O53" s="65"/>
      <c r="P53" s="65"/>
      <c r="Q53" s="138"/>
      <c r="R53" s="141"/>
      <c r="U53" s="314"/>
      <c r="AJ53" s="313"/>
      <c r="AM53" s="313" t="str">
        <f>IF(OR(AM51&gt;=1500,AM51=""),"","Speed RENDAH")</f>
        <v/>
      </c>
      <c r="AP53" s="313" t="str">
        <f>IF(OR(AP51&gt;=-6,AP51=""),"","P Manifold TIDAK OPTIMUM")</f>
        <v/>
      </c>
      <c r="AS53" s="313" t="str">
        <f>IF(OR(AS51&gt;=50,AS51=""),"","CEK Lube Oil")</f>
        <v/>
      </c>
      <c r="AU53" s="313" t="str">
        <f>IF(OR(AND(AU51&gt;=50,AU51&lt;=70),AU51=""),"","CEK Lube Oil")</f>
        <v>CEK Lube Oil</v>
      </c>
      <c r="AV53" s="313"/>
      <c r="AY53" s="314" t="str">
        <f>IF(AY51="","",IF(AND(AY51&gt;12.2,AY51&lt;=15),"",IF(AND(AY51&gt;27,AY51&lt;=28),"","CEK kelistrikan")))</f>
        <v/>
      </c>
      <c r="AZ53" s="314"/>
      <c r="BA53" s="314"/>
      <c r="BC53" s="313"/>
    </row>
    <row r="54" spans="1:76" s="132" customFormat="1" ht="20.100000000000001" customHeight="1" x14ac:dyDescent="0.25">
      <c r="B54" s="137"/>
      <c r="C54" s="138"/>
      <c r="D54" s="138"/>
      <c r="E54" s="138"/>
      <c r="F54" s="138"/>
      <c r="G54" s="138"/>
      <c r="H54" s="138"/>
      <c r="I54" s="138"/>
      <c r="J54" s="138"/>
      <c r="K54" s="138"/>
      <c r="L54" s="138"/>
      <c r="M54" s="65"/>
      <c r="N54" s="65"/>
      <c r="O54" s="65"/>
      <c r="P54" s="65"/>
      <c r="Q54" s="138"/>
      <c r="R54" s="141"/>
      <c r="T54" s="302" t="s">
        <v>99</v>
      </c>
      <c r="U54" s="132" t="s">
        <v>100</v>
      </c>
      <c r="V54" s="132" t="s">
        <v>102</v>
      </c>
      <c r="AJ54" s="302"/>
      <c r="BF54" s="302"/>
    </row>
    <row r="55" spans="1:76" s="132" customFormat="1" ht="20.100000000000001" customHeight="1" x14ac:dyDescent="0.2">
      <c r="B55" s="137"/>
      <c r="C55" s="138"/>
      <c r="D55" s="138"/>
      <c r="E55" s="138"/>
      <c r="F55" s="138"/>
      <c r="G55" s="138"/>
      <c r="H55" s="138"/>
      <c r="I55" s="138"/>
      <c r="J55" s="138"/>
      <c r="K55" s="138"/>
      <c r="L55" s="138"/>
      <c r="M55" s="65"/>
      <c r="N55" s="65"/>
      <c r="O55" s="65"/>
      <c r="P55" s="65"/>
      <c r="Q55" s="138"/>
      <c r="R55" s="141"/>
      <c r="U55" s="132" t="s">
        <v>101</v>
      </c>
      <c r="V55" s="132" t="s">
        <v>104</v>
      </c>
    </row>
    <row r="56" spans="1:76" s="132" customFormat="1" ht="20.100000000000001" customHeight="1" x14ac:dyDescent="0.2">
      <c r="B56" s="137"/>
      <c r="C56" s="138"/>
      <c r="D56" s="138"/>
      <c r="E56" s="138"/>
      <c r="F56" s="138"/>
      <c r="G56" s="138"/>
      <c r="H56" s="138"/>
      <c r="I56" s="138"/>
      <c r="J56" s="138"/>
      <c r="K56" s="138"/>
      <c r="L56" s="138"/>
      <c r="M56" s="65"/>
      <c r="N56" s="65"/>
      <c r="O56" s="65"/>
      <c r="P56" s="65"/>
      <c r="Q56" s="138"/>
      <c r="R56" s="141"/>
      <c r="U56" s="132" t="s">
        <v>218</v>
      </c>
      <c r="V56" s="132" t="s">
        <v>105</v>
      </c>
    </row>
    <row r="57" spans="1:76" s="132" customFormat="1" ht="20.100000000000001" customHeight="1" x14ac:dyDescent="0.2">
      <c r="B57" s="137"/>
      <c r="C57" s="138"/>
      <c r="D57" s="138"/>
      <c r="E57" s="65" t="s">
        <v>295</v>
      </c>
      <c r="F57" s="138"/>
      <c r="G57" s="138"/>
      <c r="H57" s="138"/>
      <c r="I57" s="138"/>
      <c r="J57" s="138"/>
      <c r="K57" s="138"/>
      <c r="L57" s="138"/>
      <c r="M57" s="65" t="s">
        <v>320</v>
      </c>
      <c r="N57" s="65"/>
      <c r="O57" s="65"/>
      <c r="P57" s="65"/>
      <c r="Q57" s="138"/>
      <c r="R57" s="69" t="s">
        <v>296</v>
      </c>
    </row>
    <row r="58" spans="1:76" s="132" customFormat="1" ht="20.100000000000001" customHeight="1" x14ac:dyDescent="0.2">
      <c r="B58" s="137"/>
      <c r="C58" s="188"/>
      <c r="D58" s="188"/>
      <c r="E58" s="64" t="s">
        <v>106</v>
      </c>
      <c r="F58" s="138"/>
      <c r="G58" s="138"/>
      <c r="H58" s="138"/>
      <c r="I58" s="138"/>
      <c r="J58" s="138"/>
      <c r="K58" s="138"/>
      <c r="L58" s="138"/>
      <c r="M58" s="64" t="s">
        <v>298</v>
      </c>
      <c r="N58" s="65"/>
      <c r="O58" s="65"/>
      <c r="P58" s="65"/>
      <c r="Q58" s="138"/>
      <c r="R58" s="67" t="s">
        <v>297</v>
      </c>
    </row>
    <row r="59" spans="1:76" s="132" customFormat="1" ht="20.100000000000001" customHeight="1" thickBot="1" x14ac:dyDescent="0.25">
      <c r="B59" s="145"/>
      <c r="C59" s="189"/>
      <c r="D59" s="189"/>
      <c r="E59" s="189" t="str">
        <f>CONCATENATE("Date : ",TEXT($F$10,"[$-409]d mmm yyyy;@"))</f>
        <v>Date : 1 Jul 2025</v>
      </c>
      <c r="F59" s="146"/>
      <c r="G59" s="146"/>
      <c r="H59" s="146"/>
      <c r="I59" s="146"/>
      <c r="J59" s="146"/>
      <c r="K59" s="146"/>
      <c r="L59" s="146"/>
      <c r="M59" s="83" t="str">
        <f>CONCATENATE("Date : ",TEXT($F$10,"[$-409]d mmm yyyy;@"))</f>
        <v>Date : 1 Jul 2025</v>
      </c>
      <c r="N59" s="89"/>
      <c r="O59" s="89"/>
      <c r="P59" s="89"/>
      <c r="Q59" s="146"/>
      <c r="R59" s="190" t="str">
        <f>CONCATENATE("Date : ",TEXT($F$10,"[$-409]d mmm yyyy;@"))</f>
        <v>Date : 1 Jul 2025</v>
      </c>
    </row>
    <row r="60" spans="1:76" s="132" customFormat="1" ht="20.100000000000001" customHeight="1" x14ac:dyDescent="0.2">
      <c r="A60" s="136"/>
      <c r="B60" s="136"/>
      <c r="C60" s="136"/>
      <c r="D60" s="136"/>
      <c r="E60" s="136"/>
      <c r="F60" s="136"/>
      <c r="G60" s="136"/>
      <c r="H60" s="136"/>
      <c r="I60" s="136"/>
      <c r="J60" s="136"/>
      <c r="K60" s="136"/>
      <c r="L60" s="136"/>
      <c r="M60" s="136"/>
      <c r="N60" s="136"/>
      <c r="O60" s="136"/>
      <c r="P60" s="136"/>
      <c r="Q60" s="136"/>
      <c r="R60" s="136"/>
      <c r="T60" s="136"/>
      <c r="U60" s="136"/>
      <c r="V60" s="136"/>
      <c r="W60" s="136"/>
      <c r="X60" s="136"/>
      <c r="Y60" s="136"/>
      <c r="Z60" s="136"/>
      <c r="AA60" s="136"/>
      <c r="AB60" s="136"/>
      <c r="AC60" s="136"/>
      <c r="AD60" s="136"/>
      <c r="AE60" s="136"/>
      <c r="AF60" s="136"/>
      <c r="AG60" s="136"/>
      <c r="AH60" s="136"/>
      <c r="AI60" s="136"/>
      <c r="AJ60" s="136"/>
      <c r="AK60" s="136"/>
      <c r="AL60" s="136"/>
      <c r="AM60" s="136"/>
      <c r="AN60" s="136"/>
      <c r="AO60" s="136"/>
      <c r="AP60" s="136"/>
      <c r="AQ60" s="136"/>
      <c r="AR60" s="136"/>
      <c r="AS60" s="136"/>
      <c r="AT60" s="136"/>
      <c r="AU60" s="136"/>
      <c r="AV60" s="136"/>
      <c r="AW60" s="136"/>
      <c r="AX60" s="136"/>
      <c r="AY60" s="136"/>
      <c r="AZ60" s="136"/>
      <c r="BA60" s="136"/>
      <c r="BB60" s="136"/>
      <c r="BC60" s="136"/>
      <c r="BD60" s="136"/>
      <c r="BE60" s="136"/>
      <c r="BF60" s="136"/>
      <c r="BG60" s="136"/>
      <c r="BH60" s="136"/>
      <c r="BI60" s="136"/>
      <c r="BJ60" s="136"/>
      <c r="BK60" s="136"/>
      <c r="BL60" s="136"/>
      <c r="BM60" s="136"/>
      <c r="BN60" s="136"/>
      <c r="BO60" s="136"/>
      <c r="BP60" s="136"/>
      <c r="BQ60" s="136"/>
      <c r="BR60" s="136"/>
      <c r="BS60" s="136"/>
      <c r="BT60" s="136"/>
      <c r="BU60" s="136"/>
      <c r="BV60" s="136"/>
      <c r="BW60" s="136"/>
      <c r="BX60" s="136"/>
    </row>
    <row r="61" spans="1:76" ht="20.100000000000001" hidden="1" customHeight="1" x14ac:dyDescent="0.2"/>
    <row r="62" spans="1:76" ht="20.100000000000001" hidden="1" customHeight="1" x14ac:dyDescent="0.2"/>
    <row r="63" spans="1:76" ht="20.100000000000001" hidden="1" customHeight="1" x14ac:dyDescent="0.2"/>
  </sheetData>
  <sheetProtection algorithmName="SHA-512" hashValue="runiw1U6eQ40jjXm+ONtq+FrLoMvDQfic98hjfgdWK6mAQertgQ1uhdH1KvyiOa8YK7gyieXr+RT3mxptAA1Sg==" saltValue="J81KU25HBWb7MJGyK6c94w==" spinCount="100000" sheet="1" objects="1" scenarios="1" formatColumns="0" formatRows="0" insertColumns="0" insertRows="0" sort="0" autoFilter="0" pivotTables="0"/>
  <mergeCells count="54">
    <mergeCell ref="BX33:BX35"/>
    <mergeCell ref="AY33:BA33"/>
    <mergeCell ref="AM33:AO33"/>
    <mergeCell ref="AP33:AR33"/>
    <mergeCell ref="AS33:AU33"/>
    <mergeCell ref="AV33:AX33"/>
    <mergeCell ref="BC33:BE33"/>
    <mergeCell ref="BF33:BH33"/>
    <mergeCell ref="BI33:BK33"/>
    <mergeCell ref="BO33:BQ33"/>
    <mergeCell ref="BR33:BT33"/>
    <mergeCell ref="BU33:BW33"/>
    <mergeCell ref="BL33:BN33"/>
    <mergeCell ref="X34:X35"/>
    <mergeCell ref="BB33:BB35"/>
    <mergeCell ref="AF33:AF35"/>
    <mergeCell ref="Y34:Y35"/>
    <mergeCell ref="Z33:AB33"/>
    <mergeCell ref="AG33:AI33"/>
    <mergeCell ref="AJ33:AL33"/>
    <mergeCell ref="AC33:AE33"/>
    <mergeCell ref="T33:T35"/>
    <mergeCell ref="V33:V35"/>
    <mergeCell ref="AF15:AF17"/>
    <mergeCell ref="Z15:AB15"/>
    <mergeCell ref="AY15:BA15"/>
    <mergeCell ref="AM15:AO15"/>
    <mergeCell ref="AP15:AR15"/>
    <mergeCell ref="AV15:AX15"/>
    <mergeCell ref="AS15:AU15"/>
    <mergeCell ref="AG15:AI15"/>
    <mergeCell ref="AJ15:AL15"/>
    <mergeCell ref="Y16:Y17"/>
    <mergeCell ref="X16:X17"/>
    <mergeCell ref="W16:W17"/>
    <mergeCell ref="AC15:AE15"/>
    <mergeCell ref="W34:W35"/>
    <mergeCell ref="BB15:BB17"/>
    <mergeCell ref="BX15:BX17"/>
    <mergeCell ref="BO15:BQ15"/>
    <mergeCell ref="BU15:BW15"/>
    <mergeCell ref="BR15:BT15"/>
    <mergeCell ref="BC15:BE15"/>
    <mergeCell ref="BF15:BH15"/>
    <mergeCell ref="BI15:BK15"/>
    <mergeCell ref="BL15:BN15"/>
    <mergeCell ref="B8:R8"/>
    <mergeCell ref="B9:R9"/>
    <mergeCell ref="V15:V17"/>
    <mergeCell ref="T15:T17"/>
    <mergeCell ref="M16:O16"/>
    <mergeCell ref="B16:B17"/>
    <mergeCell ref="R16:R17"/>
    <mergeCell ref="F10:G10"/>
  </mergeCells>
  <conditionalFormatting sqref="U18:U32 U36:U50">
    <cfRule type="containsText" dxfId="185" priority="16" operator="containsText" text="Prep. PM">
      <formula>NOT(ISERROR(SEARCH("Prep. PM",U18)))</formula>
    </cfRule>
    <cfRule type="containsText" dxfId="184" priority="17" operator="containsText" text="DO PM">
      <formula>NOT(ISERROR(SEARCH("DO PM",U18)))</formula>
    </cfRule>
  </conditionalFormatting>
  <conditionalFormatting sqref="W18:X32 W36:X50">
    <cfRule type="containsText" dxfId="183" priority="15" operator="containsText" text="CEK">
      <formula>NOT(ISERROR(SEARCH("CEK",W18)))</formula>
    </cfRule>
  </conditionalFormatting>
  <conditionalFormatting sqref="Y18:Y32 Y36:Y50">
    <cfRule type="containsText" dxfId="182" priority="14" operator="containsText" text="CEK">
      <formula>NOT(ISERROR(SEARCH("CEK",Y18)))</formula>
    </cfRule>
  </conditionalFormatting>
  <conditionalFormatting sqref="AH18:AH32 AH36:AH51">
    <cfRule type="cellIs" dxfId="181" priority="13" operator="greaterThan">
      <formula>60</formula>
    </cfRule>
  </conditionalFormatting>
  <conditionalFormatting sqref="AK18:AK32 AK36:AK51">
    <cfRule type="cellIs" dxfId="180" priority="12" operator="greaterThan">
      <formula>420</formula>
    </cfRule>
  </conditionalFormatting>
  <conditionalFormatting sqref="AM18:AM32 AM36:AM51">
    <cfRule type="cellIs" dxfId="179" priority="11" operator="lessThan">
      <formula>1500</formula>
    </cfRule>
  </conditionalFormatting>
  <conditionalFormatting sqref="AN18:AN32 AN36:AN51">
    <cfRule type="cellIs" dxfId="178" priority="10" operator="greaterThan">
      <formula>2150</formula>
    </cfRule>
  </conditionalFormatting>
  <conditionalFormatting sqref="AP18:AP32 AP36:AP51">
    <cfRule type="cellIs" dxfId="177" priority="9" operator="lessThan">
      <formula>-6</formula>
    </cfRule>
  </conditionalFormatting>
  <conditionalFormatting sqref="AQ18:AQ32 AQ36:AQ51">
    <cfRule type="cellIs" dxfId="176" priority="8" operator="greaterThan">
      <formula>-2</formula>
    </cfRule>
  </conditionalFormatting>
  <conditionalFormatting sqref="AS18:AS32 AS36:AS51">
    <cfRule type="cellIs" dxfId="175" priority="7" operator="lessThan">
      <formula>50</formula>
    </cfRule>
  </conditionalFormatting>
  <conditionalFormatting sqref="AT18:AT32 AT36:AT51">
    <cfRule type="cellIs" dxfId="174" priority="6" operator="greaterThan">
      <formula>70</formula>
    </cfRule>
  </conditionalFormatting>
  <conditionalFormatting sqref="AU18:AU32 AU36:AU51">
    <cfRule type="cellIs" dxfId="173" priority="5" operator="notBetween">
      <formula>50</formula>
      <formula>70</formula>
    </cfRule>
  </conditionalFormatting>
  <conditionalFormatting sqref="AY18:BA32 AY36:BA51">
    <cfRule type="expression" dxfId="172" priority="4">
      <formula>NOT(OR(AND(AY18&gt;12.2,AY18&lt;=15),AND(AY18&gt;27,AY18&lt;=28)))</formula>
    </cfRule>
  </conditionalFormatting>
  <conditionalFormatting sqref="BC18:BE32 BC36:BE51">
    <cfRule type="cellIs" dxfId="171" priority="3" operator="notBetween">
      <formula>60</formula>
      <formula>194</formula>
    </cfRule>
  </conditionalFormatting>
  <conditionalFormatting sqref="BF18:BH32 BF36:BH51">
    <cfRule type="cellIs" dxfId="170" priority="2" operator="notBetween">
      <formula>150</formula>
      <formula>350</formula>
    </cfRule>
  </conditionalFormatting>
  <conditionalFormatting sqref="BI18:BK32 BI36:BK51">
    <cfRule type="cellIs" dxfId="169" priority="1" operator="notBetween">
      <formula>60</formula>
      <formula>120</formula>
    </cfRule>
  </conditionalFormatting>
  <dataValidations count="1">
    <dataValidation type="list" allowBlank="1" showInputMessage="1" showErrorMessage="1" sqref="U13" xr:uid="{112E08FB-C153-4334-B8A7-57D083DBB572}">
      <formula1>"Yes,No"</formula1>
    </dataValidation>
  </dataValidations>
  <printOptions horizontalCentered="1"/>
  <pageMargins left="0.59055118110236227" right="0.39370078740157483" top="0.39370078740157483" bottom="0.39370078740157483" header="0.31496062992125984" footer="0.31496062992125984"/>
  <pageSetup paperSize="9" scale="5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um">
    <tabColor theme="0"/>
    <pageSetUpPr fitToPage="1"/>
  </sheetPr>
  <dimension ref="A1:O42"/>
  <sheetViews>
    <sheetView topLeftCell="A22" zoomScale="85" zoomScaleNormal="85" workbookViewId="0">
      <selection activeCell="A36" sqref="A36:F36"/>
    </sheetView>
  </sheetViews>
  <sheetFormatPr defaultColWidth="17.85546875" defaultRowHeight="20.100000000000001" customHeight="1" x14ac:dyDescent="0.25"/>
  <cols>
    <col min="1" max="2" width="10.7109375" style="226" customWidth="1"/>
    <col min="3" max="3" width="20.7109375" style="226" customWidth="1"/>
    <col min="4" max="4" width="22.7109375" style="226" customWidth="1"/>
    <col min="5" max="6" width="16.7109375" style="226" customWidth="1"/>
    <col min="7" max="7" width="2.7109375" style="226" customWidth="1"/>
    <col min="8" max="8" width="5.7109375" style="340" customWidth="1"/>
    <col min="9" max="9" width="29.28515625" style="315" customWidth="1"/>
    <col min="10" max="12" width="22.7109375" style="315" customWidth="1"/>
    <col min="13" max="16384" width="17.85546875" style="315"/>
  </cols>
  <sheetData>
    <row r="1" spans="1:15" ht="20.100000000000001" customHeight="1" x14ac:dyDescent="0.25">
      <c r="H1" s="495" t="str">
        <f>CONCATENATE("PERFORMANCE ",MR!R10)</f>
        <v>PERFORMANCE 1 - 30 June 2025</v>
      </c>
      <c r="I1" s="495"/>
      <c r="J1" s="495"/>
      <c r="K1" s="495"/>
      <c r="L1" s="495"/>
      <c r="M1" s="495"/>
      <c r="N1" s="495"/>
    </row>
    <row r="2" spans="1:15" ht="20.100000000000001" customHeight="1" x14ac:dyDescent="0.25">
      <c r="H2" s="316"/>
      <c r="I2" s="317" t="s">
        <v>121</v>
      </c>
      <c r="J2" s="316" t="str">
        <f>MR!F14</f>
        <v>MPR 632  RFD</v>
      </c>
      <c r="K2" s="317" t="s">
        <v>176</v>
      </c>
      <c r="L2" s="316" t="str">
        <f>IF(MR!F12="","",MR!F12)</f>
        <v>PT PERTAMINA EP Zona 7 - TAMBUN</v>
      </c>
      <c r="N2" s="316"/>
    </row>
    <row r="3" spans="1:15" ht="20.100000000000001" customHeight="1" x14ac:dyDescent="0.25">
      <c r="H3" s="316"/>
      <c r="I3" s="316"/>
      <c r="J3" s="316"/>
      <c r="K3" s="316"/>
      <c r="L3" s="316"/>
      <c r="M3" s="316"/>
      <c r="N3" s="316"/>
    </row>
    <row r="4" spans="1:15" ht="20.100000000000001" customHeight="1" x14ac:dyDescent="0.25">
      <c r="B4" s="241"/>
      <c r="C4" s="241"/>
      <c r="D4" s="241"/>
      <c r="E4" s="241"/>
      <c r="F4" s="241"/>
      <c r="H4" s="496" t="s">
        <v>141</v>
      </c>
      <c r="I4" s="496" t="s">
        <v>142</v>
      </c>
      <c r="J4" s="496" t="s">
        <v>143</v>
      </c>
      <c r="K4" s="496" t="s">
        <v>144</v>
      </c>
      <c r="L4" s="496" t="s">
        <v>53</v>
      </c>
      <c r="M4" s="496" t="s">
        <v>145</v>
      </c>
      <c r="N4" s="496"/>
    </row>
    <row r="5" spans="1:15" ht="20.100000000000001" customHeight="1" x14ac:dyDescent="0.25">
      <c r="B5" s="319" t="s">
        <v>40</v>
      </c>
      <c r="C5" s="319" t="s">
        <v>114</v>
      </c>
      <c r="D5" s="319" t="s">
        <v>215</v>
      </c>
      <c r="E5" s="366" t="s">
        <v>187</v>
      </c>
      <c r="F5" s="319" t="s">
        <v>216</v>
      </c>
      <c r="H5" s="496"/>
      <c r="I5" s="496"/>
      <c r="J5" s="496"/>
      <c r="K5" s="496"/>
      <c r="L5" s="496"/>
      <c r="M5" s="318" t="s">
        <v>143</v>
      </c>
      <c r="N5" s="318" t="s">
        <v>144</v>
      </c>
    </row>
    <row r="6" spans="1:15" ht="20.100000000000001" customHeight="1" x14ac:dyDescent="0.25">
      <c r="A6" s="226" t="s">
        <v>55</v>
      </c>
      <c r="B6" s="320">
        <f>DATE(YEAR(MR!F10),MONTH(MR!F10)-1,1)</f>
        <v>45809</v>
      </c>
      <c r="C6" s="367" t="str">
        <f>IF(Volume!C4="","",Volume!C4)</f>
        <v>FP 65354</v>
      </c>
      <c r="D6" s="261" t="str">
        <f>IF(Volume!D4="","",Volume!D4)</f>
        <v>SP. Tambun - Cluster F</v>
      </c>
      <c r="E6" s="368">
        <f>IF(Volume!E4="","",Volume!E4)</f>
        <v>1.25</v>
      </c>
      <c r="F6" s="369" t="str">
        <f>IF(Volume!F4="","",Volume!F4)</f>
        <v>4/0</v>
      </c>
      <c r="H6" s="321">
        <v>1</v>
      </c>
      <c r="I6" s="322" t="s">
        <v>146</v>
      </c>
      <c r="J6" s="323">
        <f>MR!AG51</f>
        <v>3.5</v>
      </c>
      <c r="K6" s="323">
        <f>MR!AH51</f>
        <v>9.3000000000000007</v>
      </c>
      <c r="L6" s="323">
        <f>MR!AI51</f>
        <v>6.9066666666666663</v>
      </c>
      <c r="M6" s="324">
        <v>-9</v>
      </c>
      <c r="N6" s="324">
        <v>60</v>
      </c>
    </row>
    <row r="7" spans="1:15" ht="20.100000000000001" customHeight="1" x14ac:dyDescent="0.25">
      <c r="A7" s="226" t="s">
        <v>56</v>
      </c>
      <c r="B7" s="320">
        <f>B6+1</f>
        <v>45810</v>
      </c>
      <c r="C7" s="367" t="str">
        <f>IF(Volume!C5="","",Volume!C5)</f>
        <v>FP 65354</v>
      </c>
      <c r="D7" s="261" t="str">
        <f>IF(Volume!D5="","",Volume!D5)</f>
        <v>SP. Tambun - Cluster F</v>
      </c>
      <c r="E7" s="368">
        <f>IF(Volume!E5="","",Volume!E5)</f>
        <v>1.25</v>
      </c>
      <c r="F7" s="369" t="str">
        <f>IF(Volume!F5="","",Volume!F5)</f>
        <v>4/0</v>
      </c>
      <c r="H7" s="321">
        <v>2</v>
      </c>
      <c r="I7" s="322" t="s">
        <v>147</v>
      </c>
      <c r="J7" s="323">
        <f>MR!AJ51</f>
        <v>48.3</v>
      </c>
      <c r="K7" s="323">
        <f>MR!AK51</f>
        <v>88.2</v>
      </c>
      <c r="L7" s="323">
        <f>MR!AL51</f>
        <v>61.99666666666667</v>
      </c>
      <c r="M7" s="324">
        <v>50</v>
      </c>
      <c r="N7" s="324">
        <v>400</v>
      </c>
    </row>
    <row r="8" spans="1:15" ht="20.100000000000001" customHeight="1" x14ac:dyDescent="0.25">
      <c r="A8" s="226" t="s">
        <v>57</v>
      </c>
      <c r="B8" s="320">
        <f t="shared" ref="B8:B35" si="0">B7+1</f>
        <v>45811</v>
      </c>
      <c r="C8" s="367" t="str">
        <f>IF(Volume!C6="","",Volume!C6)</f>
        <v>FP 65354</v>
      </c>
      <c r="D8" s="261" t="str">
        <f>IF(Volume!D6="","",Volume!D6)</f>
        <v>SP. Tambun - Cluster F</v>
      </c>
      <c r="E8" s="368">
        <f>IF(Volume!E6="","",Volume!E6)</f>
        <v>1.25</v>
      </c>
      <c r="F8" s="369" t="str">
        <f>IF(Volume!F6="","",Volume!F6)</f>
        <v>4/0</v>
      </c>
      <c r="H8" s="321">
        <v>3</v>
      </c>
      <c r="I8" s="322" t="s">
        <v>148</v>
      </c>
      <c r="J8" s="325">
        <f>MR!AM51</f>
        <v>1632</v>
      </c>
      <c r="K8" s="325">
        <f>MR!AN51</f>
        <v>1991</v>
      </c>
      <c r="L8" s="325">
        <f>MR!AO51</f>
        <v>1946.7666666666667</v>
      </c>
      <c r="M8" s="326">
        <v>1200</v>
      </c>
      <c r="N8" s="326">
        <v>2100</v>
      </c>
      <c r="O8" s="315" t="s">
        <v>149</v>
      </c>
    </row>
    <row r="9" spans="1:15" ht="20.100000000000001" customHeight="1" x14ac:dyDescent="0.25">
      <c r="A9" s="226" t="s">
        <v>58</v>
      </c>
      <c r="B9" s="320">
        <f t="shared" si="0"/>
        <v>45812</v>
      </c>
      <c r="C9" s="367" t="str">
        <f>IF(Volume!C7="","",Volume!C7)</f>
        <v>FP 65354</v>
      </c>
      <c r="D9" s="261" t="str">
        <f>IF(Volume!D7="","",Volume!D7)</f>
        <v>SP. Tambun - Cluster F</v>
      </c>
      <c r="E9" s="368">
        <f>IF(Volume!E7="","",Volume!E7)</f>
        <v>1.25</v>
      </c>
      <c r="F9" s="369" t="str">
        <f>IF(Volume!F7="","",Volume!F7)</f>
        <v>4/0</v>
      </c>
      <c r="H9" s="321">
        <v>4</v>
      </c>
      <c r="I9" s="322" t="s">
        <v>150</v>
      </c>
      <c r="J9" s="327">
        <f>MR!BR51</f>
        <v>161.77000000000001</v>
      </c>
      <c r="K9" s="327">
        <f>MR!BS51</f>
        <v>299.10000000000002</v>
      </c>
      <c r="L9" s="327">
        <f>MR!BT51</f>
        <v>232.25806666666662</v>
      </c>
      <c r="M9" s="328"/>
      <c r="N9" s="328"/>
    </row>
    <row r="10" spans="1:15" ht="20.100000000000001" customHeight="1" x14ac:dyDescent="0.25">
      <c r="A10" s="226" t="s">
        <v>59</v>
      </c>
      <c r="B10" s="320">
        <f t="shared" si="0"/>
        <v>45813</v>
      </c>
      <c r="C10" s="367" t="str">
        <f>IF(Volume!C8="","",Volume!C8)</f>
        <v>FP 65354</v>
      </c>
      <c r="D10" s="261" t="str">
        <f>IF(Volume!D8="","",Volume!D8)</f>
        <v>SP. Tambun - Cluster F</v>
      </c>
      <c r="E10" s="368">
        <f>IF(Volume!E8="","",Volume!E8)</f>
        <v>1.25</v>
      </c>
      <c r="F10" s="369" t="str">
        <f>IF(Volume!F8="","",Volume!F8)</f>
        <v>4/0</v>
      </c>
      <c r="H10" s="321">
        <v>5</v>
      </c>
      <c r="I10" s="322" t="s">
        <v>151</v>
      </c>
      <c r="J10" s="117">
        <f>Volume!$O$36</f>
        <v>1.1036838023390831</v>
      </c>
      <c r="K10" s="117">
        <f>Volume!$O$37</f>
        <v>1.3811703781019364</v>
      </c>
      <c r="L10" s="117">
        <f>Volume!$O$34</f>
        <v>1.2622782517096296</v>
      </c>
      <c r="M10" s="329">
        <v>0.9</v>
      </c>
      <c r="N10" s="330"/>
    </row>
    <row r="11" spans="1:15" ht="20.100000000000001" customHeight="1" x14ac:dyDescent="0.25">
      <c r="A11" s="226" t="s">
        <v>60</v>
      </c>
      <c r="B11" s="320">
        <f t="shared" si="0"/>
        <v>45814</v>
      </c>
      <c r="C11" s="367" t="str">
        <f>IF(Volume!C9="","",Volume!C9)</f>
        <v>FP 65354</v>
      </c>
      <c r="D11" s="261" t="str">
        <f>IF(Volume!D9="","",Volume!D9)</f>
        <v>SP. Tambun - Cluster F</v>
      </c>
      <c r="E11" s="368">
        <f>IF(Volume!E9="","",Volume!E9)</f>
        <v>1.25</v>
      </c>
      <c r="F11" s="369" t="str">
        <f>IF(Volume!F9="","",Volume!F9)</f>
        <v>4/0</v>
      </c>
      <c r="H11" s="321">
        <v>6</v>
      </c>
      <c r="I11" s="322" t="s">
        <v>152</v>
      </c>
      <c r="J11" s="323">
        <f>MR!AP51</f>
        <v>-5.6</v>
      </c>
      <c r="K11" s="323">
        <f>MR!AQ51</f>
        <v>-5.5</v>
      </c>
      <c r="L11" s="323">
        <f>MR!AR51</f>
        <v>-5.5449999999999973</v>
      </c>
      <c r="M11" s="324">
        <v>-6</v>
      </c>
      <c r="N11" s="324">
        <v>-2</v>
      </c>
    </row>
    <row r="12" spans="1:15" ht="20.100000000000001" customHeight="1" x14ac:dyDescent="0.25">
      <c r="A12" s="226" t="s">
        <v>61</v>
      </c>
      <c r="B12" s="320">
        <f t="shared" si="0"/>
        <v>45815</v>
      </c>
      <c r="C12" s="367" t="str">
        <f>IF(Volume!C10="","",Volume!C10)</f>
        <v>FP 65354</v>
      </c>
      <c r="D12" s="261" t="str">
        <f>IF(Volume!D10="","",Volume!D10)</f>
        <v>SP. Tambun - Cluster F</v>
      </c>
      <c r="E12" s="368">
        <f>IF(Volume!E10="","",Volume!E10)</f>
        <v>1.25</v>
      </c>
      <c r="F12" s="369" t="str">
        <f>IF(Volume!F10="","",Volume!F10)</f>
        <v>4/0</v>
      </c>
      <c r="H12" s="321">
        <v>7</v>
      </c>
      <c r="I12" s="322" t="s">
        <v>153</v>
      </c>
      <c r="J12" s="323">
        <f>MR!AS51</f>
        <v>71</v>
      </c>
      <c r="K12" s="323">
        <f>MR!AT51</f>
        <v>72.900000000000006</v>
      </c>
      <c r="L12" s="323">
        <f>MR!AU51</f>
        <v>72.003531565656587</v>
      </c>
      <c r="M12" s="324">
        <v>30</v>
      </c>
      <c r="N12" s="324">
        <v>70</v>
      </c>
      <c r="O12" s="315" t="s">
        <v>154</v>
      </c>
    </row>
    <row r="13" spans="1:15" ht="20.100000000000001" customHeight="1" x14ac:dyDescent="0.25">
      <c r="A13" s="226" t="s">
        <v>62</v>
      </c>
      <c r="B13" s="320">
        <f t="shared" si="0"/>
        <v>45816</v>
      </c>
      <c r="C13" s="367" t="str">
        <f>IF(Volume!C11="","",Volume!C11)</f>
        <v>FP 65354</v>
      </c>
      <c r="D13" s="261" t="str">
        <f>IF(Volume!D11="","",Volume!D11)</f>
        <v>SP. Tambun - Cluster F</v>
      </c>
      <c r="E13" s="368">
        <f>IF(Volume!E11="","",Volume!E11)</f>
        <v>1.25</v>
      </c>
      <c r="F13" s="369" t="str">
        <f>IF(Volume!F11="","",Volume!F11)</f>
        <v>4/0</v>
      </c>
      <c r="H13" s="321">
        <v>8</v>
      </c>
      <c r="I13" s="322" t="s">
        <v>155</v>
      </c>
      <c r="J13" s="323">
        <f>MR!AV51</f>
        <v>20.3</v>
      </c>
      <c r="K13" s="323">
        <f>MR!AW51</f>
        <v>23.9</v>
      </c>
      <c r="L13" s="323">
        <f>MR!AX51</f>
        <v>22.068832070707074</v>
      </c>
      <c r="M13" s="331"/>
      <c r="N13" s="331"/>
    </row>
    <row r="14" spans="1:15" ht="20.100000000000001" customHeight="1" x14ac:dyDescent="0.25">
      <c r="A14" s="226" t="s">
        <v>63</v>
      </c>
      <c r="B14" s="320">
        <f t="shared" si="0"/>
        <v>45817</v>
      </c>
      <c r="C14" s="367" t="str">
        <f>IF(Volume!C12="","",Volume!C12)</f>
        <v>FP 65354</v>
      </c>
      <c r="D14" s="261" t="str">
        <f>IF(Volume!D12="","",Volume!D12)</f>
        <v>SP. Tambun - Cluster F</v>
      </c>
      <c r="E14" s="368">
        <f>IF(Volume!E12="","",Volume!E12)</f>
        <v>1.25</v>
      </c>
      <c r="F14" s="369" t="str">
        <f>IF(Volume!F12="","",Volume!F12)</f>
        <v>4/0</v>
      </c>
      <c r="H14" s="321">
        <v>9</v>
      </c>
      <c r="I14" s="322" t="s">
        <v>156</v>
      </c>
      <c r="J14" s="323" t="str">
        <f>IF(MR!AY51&gt;15,MR!AY51,"")</f>
        <v/>
      </c>
      <c r="K14" s="323" t="str">
        <f>IF(MR!AZ51&gt;15,MR!AZ51,"")</f>
        <v/>
      </c>
      <c r="L14" s="323" t="str">
        <f>IF(MR!BA51&gt;15,MR!BA51,"")</f>
        <v/>
      </c>
      <c r="M14" s="324">
        <v>27</v>
      </c>
      <c r="N14" s="324">
        <v>28</v>
      </c>
    </row>
    <row r="15" spans="1:15" ht="20.100000000000001" customHeight="1" x14ac:dyDescent="0.25">
      <c r="A15" s="226" t="s">
        <v>64</v>
      </c>
      <c r="B15" s="320">
        <f t="shared" si="0"/>
        <v>45818</v>
      </c>
      <c r="C15" s="367" t="str">
        <f>IF(Volume!C13="","",Volume!C13)</f>
        <v>FP 65354</v>
      </c>
      <c r="D15" s="261" t="str">
        <f>IF(Volume!D13="","",Volume!D13)</f>
        <v>SP. Tambun - Cluster F</v>
      </c>
      <c r="E15" s="368">
        <f>IF(Volume!E13="","",Volume!E13)</f>
        <v>1.25</v>
      </c>
      <c r="F15" s="369" t="str">
        <f>IF(Volume!F13="","",Volume!F13)</f>
        <v>4/0</v>
      </c>
      <c r="H15" s="321">
        <v>10</v>
      </c>
      <c r="I15" s="322" t="s">
        <v>157</v>
      </c>
      <c r="J15" s="323">
        <f>IF(MR!AY51&lt;=15,MR!AY51,"")</f>
        <v>13</v>
      </c>
      <c r="K15" s="323">
        <f>IF(MR!AZ51&lt;=15,MR!AZ51,"")</f>
        <v>13.01</v>
      </c>
      <c r="L15" s="323">
        <f>IF(MR!BA51&lt;=15,MR!BA51,"")</f>
        <v>13.000333333333334</v>
      </c>
      <c r="M15" s="324">
        <v>12.2</v>
      </c>
      <c r="N15" s="324">
        <v>14</v>
      </c>
    </row>
    <row r="16" spans="1:15" ht="20.100000000000001" customHeight="1" x14ac:dyDescent="0.25">
      <c r="A16" s="226" t="s">
        <v>65</v>
      </c>
      <c r="B16" s="320">
        <f t="shared" si="0"/>
        <v>45819</v>
      </c>
      <c r="C16" s="367" t="str">
        <f>IF(Volume!C14="","",Volume!C14)</f>
        <v>FP 65354</v>
      </c>
      <c r="D16" s="261" t="str">
        <f>IF(Volume!D14="","",Volume!D14)</f>
        <v>SP. Tambun - Cluster F</v>
      </c>
      <c r="E16" s="368">
        <f>IF(Volume!E14="","",Volume!E14)</f>
        <v>1.25</v>
      </c>
      <c r="F16" s="369" t="str">
        <f>IF(Volume!F14="","",Volume!F14)</f>
        <v>4/0</v>
      </c>
      <c r="H16" s="321">
        <v>11</v>
      </c>
      <c r="I16" s="322" t="s">
        <v>158</v>
      </c>
      <c r="J16" s="323">
        <f>MR!BC51</f>
        <v>117</v>
      </c>
      <c r="K16" s="323">
        <f>MR!BD51</f>
        <v>139</v>
      </c>
      <c r="L16" s="323">
        <f>MR!BE51</f>
        <v>128.14333333333332</v>
      </c>
      <c r="M16" s="331"/>
      <c r="N16" s="324">
        <v>194</v>
      </c>
    </row>
    <row r="17" spans="1:15" ht="20.100000000000001" customHeight="1" x14ac:dyDescent="0.25">
      <c r="A17" s="226" t="s">
        <v>66</v>
      </c>
      <c r="B17" s="320">
        <f t="shared" si="0"/>
        <v>45820</v>
      </c>
      <c r="C17" s="367" t="str">
        <f>IF(Volume!C15="","",Volume!C15)</f>
        <v>FP 65354</v>
      </c>
      <c r="D17" s="261" t="str">
        <f>IF(Volume!D15="","",Volume!D15)</f>
        <v>SP. Tambun - Cluster F</v>
      </c>
      <c r="E17" s="368">
        <f>IF(Volume!E15="","",Volume!E15)</f>
        <v>1.25</v>
      </c>
      <c r="F17" s="369" t="str">
        <f>IF(Volume!F15="","",Volume!F15)</f>
        <v>4/0</v>
      </c>
      <c r="H17" s="321">
        <v>12</v>
      </c>
      <c r="I17" s="322" t="s">
        <v>159</v>
      </c>
      <c r="J17" s="323">
        <f>MR!BF51</f>
        <v>217</v>
      </c>
      <c r="K17" s="323">
        <f>MR!BG51</f>
        <v>233</v>
      </c>
      <c r="L17" s="323">
        <f>MR!BH51</f>
        <v>223.36666666666667</v>
      </c>
      <c r="M17" s="331"/>
      <c r="N17" s="324">
        <v>350</v>
      </c>
    </row>
    <row r="18" spans="1:15" ht="20.100000000000001" customHeight="1" x14ac:dyDescent="0.25">
      <c r="A18" s="226" t="s">
        <v>67</v>
      </c>
      <c r="B18" s="320">
        <f t="shared" si="0"/>
        <v>45821</v>
      </c>
      <c r="C18" s="367" t="str">
        <f>IF(Volume!C16="","",Volume!C16)</f>
        <v>FP 65354</v>
      </c>
      <c r="D18" s="261" t="str">
        <f>IF(Volume!D16="","",Volume!D16)</f>
        <v>SP. Tambun - Cluster F</v>
      </c>
      <c r="E18" s="368">
        <f>IF(Volume!E16="","",Volume!E16)</f>
        <v>1.25</v>
      </c>
      <c r="F18" s="369" t="str">
        <f>IF(Volume!F16="","",Volume!F16)</f>
        <v>4/0</v>
      </c>
      <c r="H18" s="321">
        <v>13</v>
      </c>
      <c r="I18" s="322" t="s">
        <v>160</v>
      </c>
      <c r="J18" s="323">
        <f>MR!BI51</f>
        <v>85</v>
      </c>
      <c r="K18" s="323">
        <f>MR!BJ51</f>
        <v>90</v>
      </c>
      <c r="L18" s="323">
        <f>MR!BK51</f>
        <v>88.166666666666671</v>
      </c>
      <c r="M18" s="331"/>
      <c r="N18" s="324">
        <v>120</v>
      </c>
      <c r="O18" s="315" t="s">
        <v>175</v>
      </c>
    </row>
    <row r="19" spans="1:15" ht="20.100000000000001" customHeight="1" x14ac:dyDescent="0.25">
      <c r="A19" s="226" t="s">
        <v>68</v>
      </c>
      <c r="B19" s="320">
        <f t="shared" si="0"/>
        <v>45822</v>
      </c>
      <c r="C19" s="367" t="str">
        <f>IF(Volume!C17="","",Volume!C17)</f>
        <v>FP 65354</v>
      </c>
      <c r="D19" s="261" t="str">
        <f>IF(Volume!D17="","",Volume!D17)</f>
        <v>SP. Tambun - Cluster F</v>
      </c>
      <c r="E19" s="368">
        <f>IF(Volume!E17="","",Volume!E17)</f>
        <v>1.25</v>
      </c>
      <c r="F19" s="369" t="str">
        <f>IF(Volume!F17="","",Volume!F17)</f>
        <v>4/0</v>
      </c>
      <c r="H19" s="321">
        <v>14</v>
      </c>
      <c r="I19" s="322" t="s">
        <v>161</v>
      </c>
      <c r="J19" s="321"/>
      <c r="K19" s="321"/>
      <c r="L19" s="321"/>
      <c r="M19" s="322"/>
      <c r="N19" s="322"/>
    </row>
    <row r="20" spans="1:15" ht="20.100000000000001" customHeight="1" x14ac:dyDescent="0.25">
      <c r="A20" s="226" t="s">
        <v>69</v>
      </c>
      <c r="B20" s="320">
        <f t="shared" si="0"/>
        <v>45823</v>
      </c>
      <c r="C20" s="367" t="str">
        <f>IF(Volume!C18="","",Volume!C18)</f>
        <v>FP 65354</v>
      </c>
      <c r="D20" s="261" t="str">
        <f>IF(Volume!D18="","",Volume!D18)</f>
        <v>SP. Tambun - Cluster F</v>
      </c>
      <c r="E20" s="368">
        <f>IF(Volume!E18="","",Volume!E18)</f>
        <v>1.25</v>
      </c>
      <c r="F20" s="369" t="str">
        <f>IF(Volume!F18="","",Volume!F18)</f>
        <v>4/0</v>
      </c>
      <c r="H20" s="321"/>
      <c r="I20" s="332" t="s">
        <v>162</v>
      </c>
      <c r="J20" s="119">
        <v>43539</v>
      </c>
      <c r="K20" s="113"/>
      <c r="L20" s="113"/>
      <c r="M20" s="114"/>
      <c r="N20" s="114"/>
    </row>
    <row r="21" spans="1:15" ht="20.100000000000001" customHeight="1" x14ac:dyDescent="0.25">
      <c r="A21" s="226" t="s">
        <v>70</v>
      </c>
      <c r="B21" s="320">
        <f t="shared" si="0"/>
        <v>45824</v>
      </c>
      <c r="C21" s="367" t="str">
        <f>IF(Volume!C19="","",Volume!C19)</f>
        <v>FP 65354</v>
      </c>
      <c r="D21" s="261" t="str">
        <f>IF(Volume!D19="","",Volume!D19)</f>
        <v>SP. Tambun - Cluster F</v>
      </c>
      <c r="E21" s="368">
        <f>IF(Volume!E19="","",Volume!E19)</f>
        <v>1.25</v>
      </c>
      <c r="F21" s="369" t="str">
        <f>IF(Volume!F19="","",Volume!F19)</f>
        <v>4/0</v>
      </c>
      <c r="H21" s="321"/>
      <c r="I21" s="332" t="s">
        <v>163</v>
      </c>
      <c r="J21" s="120" t="str">
        <f>IF(MR!U17="","",MR!U17)</f>
        <v/>
      </c>
      <c r="K21" s="114"/>
      <c r="L21" s="114"/>
      <c r="M21" s="114"/>
      <c r="N21" s="114"/>
    </row>
    <row r="22" spans="1:15" ht="20.100000000000001" customHeight="1" x14ac:dyDescent="0.25">
      <c r="A22" s="226" t="s">
        <v>71</v>
      </c>
      <c r="B22" s="320">
        <f t="shared" si="0"/>
        <v>45825</v>
      </c>
      <c r="C22" s="367" t="str">
        <f>IF(Volume!C20="","",Volume!C20)</f>
        <v>FP 65354</v>
      </c>
      <c r="D22" s="261" t="str">
        <f>IF(Volume!D20="","",Volume!D20)</f>
        <v>SP. Tambun - Cluster F</v>
      </c>
      <c r="E22" s="368">
        <f>IF(Volume!E20="","",Volume!E20)</f>
        <v>1.25</v>
      </c>
      <c r="F22" s="369" t="str">
        <f>IF(Volume!F20="","",Volume!F20)</f>
        <v>4/0</v>
      </c>
      <c r="H22" s="321"/>
      <c r="I22" s="332" t="s">
        <v>164</v>
      </c>
      <c r="J22" s="113"/>
      <c r="K22" s="113"/>
      <c r="L22" s="113"/>
      <c r="M22" s="114"/>
      <c r="N22" s="114"/>
    </row>
    <row r="23" spans="1:15" ht="20.100000000000001" customHeight="1" x14ac:dyDescent="0.25">
      <c r="A23" s="226" t="s">
        <v>72</v>
      </c>
      <c r="B23" s="320">
        <f t="shared" si="0"/>
        <v>45826</v>
      </c>
      <c r="C23" s="367" t="str">
        <f>IF(Volume!C21="","",Volume!C21)</f>
        <v>FP 65354</v>
      </c>
      <c r="D23" s="261" t="str">
        <f>IF(Volume!D21="","",Volume!D21)</f>
        <v>SP. Tambun - Cluster F</v>
      </c>
      <c r="E23" s="368">
        <f>IF(Volume!E21="","",Volume!E21)</f>
        <v>1.25</v>
      </c>
      <c r="F23" s="369" t="str">
        <f>IF(Volume!F21="","",Volume!F21)</f>
        <v>4/0</v>
      </c>
      <c r="H23" s="321"/>
      <c r="I23" s="332" t="s">
        <v>165</v>
      </c>
      <c r="J23" s="113"/>
      <c r="K23" s="113"/>
      <c r="L23" s="113"/>
      <c r="M23" s="114"/>
      <c r="N23" s="114"/>
    </row>
    <row r="24" spans="1:15" ht="27" x14ac:dyDescent="0.25">
      <c r="A24" s="226" t="s">
        <v>73</v>
      </c>
      <c r="B24" s="320">
        <f t="shared" si="0"/>
        <v>45827</v>
      </c>
      <c r="C24" s="367" t="str">
        <f>IF(Volume!C22="","",Volume!C22)</f>
        <v>FP 65354</v>
      </c>
      <c r="D24" s="261" t="str">
        <f>IF(Volume!D22="","",Volume!D22)</f>
        <v>SP. Tambun - Cluster F</v>
      </c>
      <c r="E24" s="368">
        <f>IF(Volume!E22="","",Volume!E22)</f>
        <v>1.25</v>
      </c>
      <c r="F24" s="369" t="str">
        <f>IF(Volume!F22="","",Volume!F22)</f>
        <v>4/0</v>
      </c>
      <c r="H24" s="321">
        <v>15</v>
      </c>
      <c r="I24" s="334" t="s">
        <v>183</v>
      </c>
      <c r="J24" s="335"/>
      <c r="K24" s="335" t="str">
        <f>IFERROR(K25/COUNTA(B6:B35),"")</f>
        <v/>
      </c>
      <c r="L24" s="335"/>
      <c r="M24" s="336">
        <v>1</v>
      </c>
      <c r="N24" s="336">
        <v>3</v>
      </c>
    </row>
    <row r="25" spans="1:15" ht="27" x14ac:dyDescent="0.25">
      <c r="A25" s="226" t="s">
        <v>74</v>
      </c>
      <c r="B25" s="320">
        <f t="shared" si="0"/>
        <v>45828</v>
      </c>
      <c r="C25" s="367" t="str">
        <f>IF(Volume!C23="","",Volume!C23)</f>
        <v>FP 65354</v>
      </c>
      <c r="D25" s="261" t="str">
        <f>IF(Volume!D23="","",Volume!D23)</f>
        <v>SP. Tambun - Cluster F</v>
      </c>
      <c r="E25" s="368">
        <f>IF(Volume!E23="","",Volume!E23)</f>
        <v>1.25</v>
      </c>
      <c r="F25" s="369" t="str">
        <f>IF(Volume!F23="","",Volume!F23)</f>
        <v>4/0</v>
      </c>
      <c r="H25" s="321">
        <v>16</v>
      </c>
      <c r="I25" s="334" t="s">
        <v>209</v>
      </c>
      <c r="J25" s="335"/>
      <c r="K25" s="335" t="str">
        <f>Lube!D35</f>
        <v/>
      </c>
      <c r="L25" s="335"/>
      <c r="M25" s="336"/>
      <c r="N25" s="336"/>
    </row>
    <row r="26" spans="1:15" ht="20.100000000000001" customHeight="1" x14ac:dyDescent="0.25">
      <c r="A26" s="226" t="s">
        <v>75</v>
      </c>
      <c r="B26" s="320">
        <f t="shared" si="0"/>
        <v>45829</v>
      </c>
      <c r="C26" s="367" t="str">
        <f>IF(Volume!C24="","",Volume!C24)</f>
        <v>FP 65354</v>
      </c>
      <c r="D26" s="261" t="str">
        <f>IF(Volume!D24="","",Volume!D24)</f>
        <v>SP. Tambun - Cluster F</v>
      </c>
      <c r="E26" s="368">
        <f>IF(Volume!E24="","",Volume!E24)</f>
        <v>1.25</v>
      </c>
      <c r="F26" s="369" t="str">
        <f>IF(Volume!F24="","",Volume!F24)</f>
        <v>4/0</v>
      </c>
      <c r="H26" s="321">
        <v>17</v>
      </c>
      <c r="I26" s="322" t="s">
        <v>166</v>
      </c>
      <c r="J26" s="113"/>
      <c r="K26" s="113"/>
      <c r="L26" s="113" t="s">
        <v>167</v>
      </c>
      <c r="M26" s="322"/>
      <c r="N26" s="322"/>
    </row>
    <row r="27" spans="1:15" ht="20.100000000000001" customHeight="1" x14ac:dyDescent="0.25">
      <c r="A27" s="226" t="s">
        <v>76</v>
      </c>
      <c r="B27" s="320">
        <f t="shared" si="0"/>
        <v>45830</v>
      </c>
      <c r="C27" s="367" t="str">
        <f>IF(Volume!C25="","",Volume!C25)</f>
        <v>FP 65354</v>
      </c>
      <c r="D27" s="261" t="str">
        <f>IF(Volume!D25="","",Volume!D25)</f>
        <v>SP. Tambun - Cluster F</v>
      </c>
      <c r="E27" s="368">
        <f>IF(Volume!E25="","",Volume!E25)</f>
        <v>1.25</v>
      </c>
      <c r="F27" s="369" t="str">
        <f>IF(Volume!F25="","",Volume!F25)</f>
        <v>4/0</v>
      </c>
      <c r="H27" s="321"/>
      <c r="I27" s="332" t="s">
        <v>168</v>
      </c>
      <c r="J27" s="119"/>
      <c r="K27" s="119"/>
      <c r="L27" s="119">
        <v>43539</v>
      </c>
      <c r="M27" s="333"/>
      <c r="N27" s="333"/>
    </row>
    <row r="28" spans="1:15" ht="20.100000000000001" customHeight="1" x14ac:dyDescent="0.25">
      <c r="A28" s="226" t="s">
        <v>77</v>
      </c>
      <c r="B28" s="320">
        <f t="shared" si="0"/>
        <v>45831</v>
      </c>
      <c r="C28" s="367" t="str">
        <f>IF(Volume!C26="","",Volume!C26)</f>
        <v>FP 65354</v>
      </c>
      <c r="D28" s="261" t="str">
        <f>IF(Volume!D26="","",Volume!D26)</f>
        <v>SP. Tambun - Cluster F</v>
      </c>
      <c r="E28" s="368">
        <f>IF(Volume!E26="","",Volume!E26)</f>
        <v>1.25</v>
      </c>
      <c r="F28" s="369" t="str">
        <f>IF(Volume!F26="","",Volume!F26)</f>
        <v>4/0</v>
      </c>
      <c r="H28" s="321"/>
      <c r="I28" s="332" t="s">
        <v>169</v>
      </c>
      <c r="J28" s="115"/>
      <c r="K28" s="115"/>
      <c r="L28" s="115">
        <v>0.95498295277336431</v>
      </c>
      <c r="M28" s="337"/>
      <c r="N28" s="337"/>
    </row>
    <row r="29" spans="1:15" ht="20.100000000000001" customHeight="1" x14ac:dyDescent="0.25">
      <c r="A29" s="226" t="s">
        <v>78</v>
      </c>
      <c r="B29" s="320">
        <f t="shared" si="0"/>
        <v>45832</v>
      </c>
      <c r="C29" s="367" t="str">
        <f>IF(Volume!C27="","",Volume!C27)</f>
        <v>FP 65354</v>
      </c>
      <c r="D29" s="261" t="str">
        <f>IF(Volume!D27="","",Volume!D27)</f>
        <v>SP. Tambun - Cluster F</v>
      </c>
      <c r="E29" s="368">
        <f>IF(Volume!E27="","",Volume!E27)</f>
        <v>1.25</v>
      </c>
      <c r="F29" s="369" t="str">
        <f>IF(Volume!F27="","",Volume!F27)</f>
        <v>4/0</v>
      </c>
      <c r="H29" s="321"/>
      <c r="I29" s="332" t="s">
        <v>170</v>
      </c>
      <c r="J29" s="112"/>
      <c r="K29" s="112"/>
      <c r="L29" s="112">
        <v>1463.6335691533859</v>
      </c>
      <c r="M29" s="335">
        <v>800</v>
      </c>
      <c r="N29" s="335">
        <v>1300</v>
      </c>
    </row>
    <row r="30" spans="1:15" ht="20.100000000000001" customHeight="1" x14ac:dyDescent="0.25">
      <c r="A30" s="226" t="s">
        <v>79</v>
      </c>
      <c r="B30" s="320">
        <f t="shared" si="0"/>
        <v>45833</v>
      </c>
      <c r="C30" s="367" t="str">
        <f>IF(Volume!C28="","",Volume!C28)</f>
        <v>FP 65354</v>
      </c>
      <c r="D30" s="261" t="str">
        <f>IF(Volume!D28="","",Volume!D28)</f>
        <v>SP. Tambun - Cluster F</v>
      </c>
      <c r="E30" s="368">
        <f>IF(Volume!E28="","",Volume!E28)</f>
        <v>1.25</v>
      </c>
      <c r="F30" s="369" t="str">
        <f>IF(Volume!F28="","",Volume!F28)</f>
        <v>4/0</v>
      </c>
      <c r="H30" s="321"/>
      <c r="I30" s="332" t="s">
        <v>171</v>
      </c>
      <c r="J30" s="116"/>
      <c r="K30" s="116"/>
      <c r="L30" s="116">
        <v>0.62492999999999999</v>
      </c>
      <c r="M30" s="338"/>
      <c r="N30" s="338"/>
    </row>
    <row r="31" spans="1:15" ht="20.100000000000001" customHeight="1" x14ac:dyDescent="0.25">
      <c r="A31" s="226" t="s">
        <v>80</v>
      </c>
      <c r="B31" s="320">
        <f t="shared" si="0"/>
        <v>45834</v>
      </c>
      <c r="C31" s="367" t="str">
        <f>IF(Volume!C29="","",Volume!C29)</f>
        <v>FP 65354</v>
      </c>
      <c r="D31" s="261" t="str">
        <f>IF(Volume!D29="","",Volume!D29)</f>
        <v>SP. Tambun - Cluster F</v>
      </c>
      <c r="E31" s="368">
        <f>IF(Volume!E29="","",Volume!E29)</f>
        <v>1.25</v>
      </c>
      <c r="F31" s="369" t="str">
        <f>IF(Volume!F29="","",Volume!F29)</f>
        <v>4/0</v>
      </c>
      <c r="H31" s="321"/>
      <c r="I31" s="332" t="s">
        <v>172</v>
      </c>
      <c r="J31" s="116"/>
      <c r="K31" s="116"/>
      <c r="L31" s="116">
        <v>6.8669999999999995E-2</v>
      </c>
      <c r="M31" s="338"/>
      <c r="N31" s="338">
        <v>0.15</v>
      </c>
    </row>
    <row r="32" spans="1:15" ht="20.100000000000001" customHeight="1" x14ac:dyDescent="0.25">
      <c r="A32" s="226" t="s">
        <v>81</v>
      </c>
      <c r="B32" s="320">
        <f t="shared" si="0"/>
        <v>45835</v>
      </c>
      <c r="C32" s="367" t="str">
        <f>IF(Volume!C30="","",Volume!C30)</f>
        <v>FP 65354</v>
      </c>
      <c r="D32" s="261" t="str">
        <f>IF(Volume!D30="","",Volume!D30)</f>
        <v>SP. Tambun - Cluster F</v>
      </c>
      <c r="E32" s="368">
        <f>IF(Volume!E30="","",Volume!E30)</f>
        <v>1.25</v>
      </c>
      <c r="F32" s="369" t="str">
        <f>IF(Volume!F30="","",Volume!F30)</f>
        <v>4/0</v>
      </c>
      <c r="H32" s="321"/>
      <c r="I32" s="332" t="s">
        <v>177</v>
      </c>
      <c r="J32" s="120"/>
      <c r="K32" s="120"/>
      <c r="L32" s="120"/>
      <c r="M32" s="325"/>
      <c r="N32" s="325">
        <v>50</v>
      </c>
    </row>
    <row r="33" spans="1:14" ht="20.100000000000001" customHeight="1" x14ac:dyDescent="0.25">
      <c r="A33" s="226" t="s">
        <v>82</v>
      </c>
      <c r="B33" s="320">
        <f t="shared" si="0"/>
        <v>45836</v>
      </c>
      <c r="C33" s="367" t="str">
        <f>IF(Volume!C31="","",Volume!C31)</f>
        <v>FP 65354</v>
      </c>
      <c r="D33" s="261" t="str">
        <f>IF(Volume!D31="","",Volume!D31)</f>
        <v>SP. Tambun - Cluster F</v>
      </c>
      <c r="E33" s="368">
        <f>IF(Volume!E31="","",Volume!E31)</f>
        <v>1.25</v>
      </c>
      <c r="F33" s="369" t="str">
        <f>IF(Volume!F31="","",Volume!F31)</f>
        <v>4/0</v>
      </c>
      <c r="H33" s="339" t="s">
        <v>173</v>
      </c>
    </row>
    <row r="34" spans="1:14" ht="20.100000000000001" customHeight="1" x14ac:dyDescent="0.25">
      <c r="A34" s="226" t="s">
        <v>83</v>
      </c>
      <c r="B34" s="320">
        <f t="shared" si="0"/>
        <v>45837</v>
      </c>
      <c r="C34" s="367" t="str">
        <f>IF(Volume!C32="","",Volume!C32)</f>
        <v>FP 65354</v>
      </c>
      <c r="D34" s="261" t="str">
        <f>IF(Volume!D32="","",Volume!D32)</f>
        <v>SP. Tambun - Cluster F</v>
      </c>
      <c r="E34" s="368">
        <f>IF(Volume!E32="","",Volume!E32)</f>
        <v>1.25</v>
      </c>
      <c r="F34" s="369" t="str">
        <f>IF(Volume!F32="","",Volume!F32)</f>
        <v>4/0</v>
      </c>
      <c r="H34" s="340">
        <v>1</v>
      </c>
      <c r="I34" s="118"/>
      <c r="J34" s="118"/>
      <c r="K34" s="118"/>
      <c r="L34" s="118"/>
      <c r="M34" s="118"/>
      <c r="N34" s="118"/>
    </row>
    <row r="35" spans="1:14" ht="20.100000000000001" customHeight="1" x14ac:dyDescent="0.25">
      <c r="A35" s="226" t="s">
        <v>84</v>
      </c>
      <c r="B35" s="320">
        <f t="shared" si="0"/>
        <v>45838</v>
      </c>
      <c r="C35" s="367" t="str">
        <f>IF(Volume!C33="","",Volume!C33)</f>
        <v>FP 65354</v>
      </c>
      <c r="D35" s="261" t="str">
        <f>IF(Volume!D33="","",Volume!D33)</f>
        <v>SP. Tambun - Cluster F</v>
      </c>
      <c r="E35" s="368">
        <f>IF(Volume!E33="","",Volume!E33)</f>
        <v>1.25</v>
      </c>
      <c r="F35" s="369" t="str">
        <f>IF(Volume!F33="","",Volume!F33)</f>
        <v>4/0</v>
      </c>
      <c r="H35" s="340">
        <v>2</v>
      </c>
      <c r="I35" s="118"/>
      <c r="J35" s="118"/>
      <c r="K35" s="118"/>
      <c r="L35" s="118"/>
      <c r="M35" s="118"/>
      <c r="N35" s="118"/>
    </row>
    <row r="36" spans="1:14" ht="20.100000000000001" customHeight="1" x14ac:dyDescent="0.25">
      <c r="H36" s="340">
        <v>3</v>
      </c>
      <c r="I36" s="118"/>
      <c r="J36" s="118"/>
      <c r="K36" s="118"/>
      <c r="L36" s="118"/>
      <c r="M36" s="118"/>
      <c r="N36" s="118"/>
    </row>
    <row r="37" spans="1:14" ht="20.100000000000001" customHeight="1" x14ac:dyDescent="0.25">
      <c r="H37" s="340">
        <v>4</v>
      </c>
      <c r="I37" s="118"/>
      <c r="J37" s="118"/>
      <c r="K37" s="118"/>
      <c r="L37" s="118"/>
      <c r="M37" s="118"/>
      <c r="N37" s="118"/>
    </row>
    <row r="38" spans="1:14" ht="20.100000000000001" customHeight="1" x14ac:dyDescent="0.25">
      <c r="H38" s="339" t="s">
        <v>174</v>
      </c>
    </row>
    <row r="39" spans="1:14" ht="20.100000000000001" customHeight="1" x14ac:dyDescent="0.25">
      <c r="H39" s="340">
        <v>1</v>
      </c>
      <c r="I39" s="118"/>
      <c r="J39" s="118"/>
      <c r="K39" s="118"/>
      <c r="L39" s="118"/>
      <c r="M39" s="118"/>
      <c r="N39" s="118"/>
    </row>
    <row r="40" spans="1:14" ht="20.100000000000001" customHeight="1" x14ac:dyDescent="0.25">
      <c r="H40" s="340">
        <v>2</v>
      </c>
      <c r="I40" s="118"/>
      <c r="J40" s="118"/>
      <c r="K40" s="118"/>
      <c r="L40" s="118"/>
      <c r="M40" s="118"/>
      <c r="N40" s="118"/>
    </row>
    <row r="41" spans="1:14" ht="20.100000000000001" customHeight="1" x14ac:dyDescent="0.25">
      <c r="H41" s="340">
        <v>3</v>
      </c>
      <c r="I41" s="118"/>
      <c r="J41" s="118"/>
      <c r="K41" s="118"/>
      <c r="L41" s="118"/>
      <c r="M41" s="118"/>
      <c r="N41" s="118"/>
    </row>
    <row r="42" spans="1:14" ht="20.100000000000001" customHeight="1" x14ac:dyDescent="0.25">
      <c r="H42" s="340">
        <v>4</v>
      </c>
      <c r="I42" s="118"/>
      <c r="J42" s="118"/>
      <c r="K42" s="118"/>
      <c r="L42" s="118"/>
      <c r="M42" s="118"/>
      <c r="N42" s="118"/>
    </row>
  </sheetData>
  <sheetProtection algorithmName="SHA-512" hashValue="YJlInJuePF6McNLz5LiQD6o6wTycnAv13RK0g/sZyVreNBcBRM5ICX6sjjFaNO913UVnyKvjkc3nxmU8IWshhw==" saltValue="5qQirTeftxjWz48wpDSoDw==" spinCount="100000" sheet="1" objects="1" scenarios="1" formatColumns="0" formatRows="0" insertColumns="0" insertRows="0" sort="0" autoFilter="0" pivotTables="0"/>
  <mergeCells count="7">
    <mergeCell ref="H1:N1"/>
    <mergeCell ref="H4:H5"/>
    <mergeCell ref="I4:I5"/>
    <mergeCell ref="J4:J5"/>
    <mergeCell ref="K4:K5"/>
    <mergeCell ref="L4:L5"/>
    <mergeCell ref="M4:N4"/>
  </mergeCells>
  <conditionalFormatting sqref="J6:L8">
    <cfRule type="containsBlanks" priority="10" stopIfTrue="1">
      <formula>LEN(TRIM(J6))=0</formula>
    </cfRule>
  </conditionalFormatting>
  <conditionalFormatting sqref="J6:L6">
    <cfRule type="cellIs" dxfId="168" priority="16" operator="notBetween">
      <formula>-9</formula>
      <formula>50</formula>
    </cfRule>
  </conditionalFormatting>
  <conditionalFormatting sqref="J10:L12">
    <cfRule type="containsBlanks" priority="7" stopIfTrue="1">
      <formula>LEN(TRIM(J10))=0</formula>
    </cfRule>
  </conditionalFormatting>
  <conditionalFormatting sqref="J14:L18">
    <cfRule type="containsBlanks" priority="1" stopIfTrue="1">
      <formula>LEN(TRIM(J14))=0</formula>
    </cfRule>
  </conditionalFormatting>
  <conditionalFormatting sqref="J7:L7">
    <cfRule type="cellIs" dxfId="167" priority="14" operator="notBetween">
      <formula>50</formula>
      <formula>400</formula>
    </cfRule>
  </conditionalFormatting>
  <conditionalFormatting sqref="J8:L8">
    <cfRule type="cellIs" dxfId="166" priority="11" operator="notBetween">
      <formula>1500</formula>
      <formula>2100</formula>
    </cfRule>
  </conditionalFormatting>
  <conditionalFormatting sqref="J10:L10">
    <cfRule type="cellIs" dxfId="165" priority="13" operator="lessThan">
      <formula>0.9</formula>
    </cfRule>
  </conditionalFormatting>
  <conditionalFormatting sqref="J11:L11">
    <cfRule type="cellIs" dxfId="164" priority="9" operator="notBetween">
      <formula>-6</formula>
      <formula>-2</formula>
    </cfRule>
  </conditionalFormatting>
  <conditionalFormatting sqref="J12:L12">
    <cfRule type="cellIs" dxfId="163" priority="8" operator="notBetween">
      <formula>30</formula>
      <formula>70</formula>
    </cfRule>
  </conditionalFormatting>
  <conditionalFormatting sqref="J14:L14">
    <cfRule type="cellIs" dxfId="162" priority="12" operator="notBetween">
      <formula>27</formula>
      <formula>28</formula>
    </cfRule>
  </conditionalFormatting>
  <conditionalFormatting sqref="J15:L15">
    <cfRule type="cellIs" dxfId="161" priority="6" operator="between">
      <formula>12.2</formula>
      <formula>14</formula>
    </cfRule>
  </conditionalFormatting>
  <conditionalFormatting sqref="J16:L16">
    <cfRule type="cellIs" dxfId="160" priority="5" operator="greaterThan">
      <formula>194</formula>
    </cfRule>
  </conditionalFormatting>
  <conditionalFormatting sqref="J17:L17">
    <cfRule type="cellIs" dxfId="159" priority="4" operator="greaterThan">
      <formula>350</formula>
    </cfRule>
  </conditionalFormatting>
  <conditionalFormatting sqref="J18:L18">
    <cfRule type="cellIs" dxfId="158" priority="2" operator="greaterThan">
      <formula>150</formula>
    </cfRule>
    <cfRule type="cellIs" dxfId="157" priority="3" operator="greaterThan">
      <formula>120</formula>
    </cfRule>
  </conditionalFormatting>
  <printOptions horizontalCentered="1"/>
  <pageMargins left="0.59055118110236227" right="0.39370078740157483" top="0.39370078740157483" bottom="0.39370078740157483" header="0.19685039370078741" footer="0.19685039370078741"/>
  <pageSetup paperSize="9" scale="75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F31FA-32A7-48BA-A787-5F490BC71322}">
  <sheetPr codeName="VCalc">
    <tabColor rgb="FF0000FF"/>
  </sheetPr>
  <dimension ref="A1:C6"/>
  <sheetViews>
    <sheetView zoomScale="85" zoomScaleNormal="85" workbookViewId="0"/>
  </sheetViews>
  <sheetFormatPr defaultColWidth="9.140625" defaultRowHeight="13.5" x14ac:dyDescent="0.25"/>
  <cols>
    <col min="1" max="1" width="28.140625" style="124" customWidth="1"/>
    <col min="2" max="2" width="13.42578125" style="124" bestFit="1" customWidth="1"/>
    <col min="3" max="3" width="16" style="124" bestFit="1" customWidth="1"/>
    <col min="4" max="16384" width="9.140625" style="124"/>
  </cols>
  <sheetData>
    <row r="1" spans="1:3" x14ac:dyDescent="0.25">
      <c r="A1" s="122" t="s">
        <v>184</v>
      </c>
      <c r="B1" s="123">
        <v>500</v>
      </c>
    </row>
    <row r="2" spans="1:3" x14ac:dyDescent="0.25">
      <c r="A2" s="122" t="s">
        <v>185</v>
      </c>
      <c r="B2" s="123">
        <v>100</v>
      </c>
    </row>
    <row r="3" spans="1:3" x14ac:dyDescent="0.25">
      <c r="A3" s="122" t="s">
        <v>186</v>
      </c>
      <c r="B3" s="125">
        <v>2</v>
      </c>
    </row>
    <row r="4" spans="1:3" x14ac:dyDescent="0.25">
      <c r="A4" s="122" t="s">
        <v>187</v>
      </c>
      <c r="B4" s="125">
        <f>7/8</f>
        <v>0.875</v>
      </c>
    </row>
    <row r="5" spans="1:3" x14ac:dyDescent="0.25">
      <c r="A5" s="122" t="s">
        <v>188</v>
      </c>
      <c r="B5" s="126">
        <v>158.47</v>
      </c>
    </row>
    <row r="6" spans="1:3" x14ac:dyDescent="0.25">
      <c r="A6" s="122" t="s">
        <v>189</v>
      </c>
      <c r="B6" s="127">
        <v>0.63607464142166403</v>
      </c>
      <c r="C6" s="124" t="s">
        <v>190</v>
      </c>
    </row>
  </sheetData>
  <sheetProtection algorithmName="SHA-512" hashValue="flnNufR6spUXF3mjAGTdscGCLgcgcCTItT4Ws0KfplxKJDZFkCpA/CGwuGCkjZrPuCqoAYl/hUpwLOowCaDIoQ==" saltValue="f77LMe/iz8UcqpBKLRFJww==" spinCount="100000" sheet="1" objects="1" scenarios="1" formatColumns="0" formatRows="0" insertColumns="0" insertRows="0" sort="0" autoFilter="0" pivotTables="0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95105-A58E-45E8-AD9E-E136A12425EF}">
  <sheetPr codeName="Flowrate">
    <tabColor rgb="FF0000FF"/>
    <pageSetUpPr fitToPage="1"/>
  </sheetPr>
  <dimension ref="A1:AV748"/>
  <sheetViews>
    <sheetView zoomScale="85" zoomScaleNormal="85" workbookViewId="0">
      <selection activeCell="A34" sqref="A34:Z34"/>
    </sheetView>
  </sheetViews>
  <sheetFormatPr defaultColWidth="0" defaultRowHeight="20.100000000000001" customHeight="1" x14ac:dyDescent="0.25"/>
  <cols>
    <col min="1" max="2" width="10.7109375" style="226" customWidth="1"/>
    <col min="3" max="3" width="20.7109375" style="226" customWidth="1"/>
    <col min="4" max="4" width="22.7109375" style="226" customWidth="1"/>
    <col min="5" max="6" width="16.7109375" style="226" customWidth="1"/>
    <col min="7" max="7" width="2.7109375" style="226" customWidth="1"/>
    <col min="8" max="8" width="10.7109375" style="226" customWidth="1"/>
    <col min="9" max="9" width="12.7109375" style="226" customWidth="1"/>
    <col min="10" max="13" width="12.7109375" style="246" customWidth="1"/>
    <col min="14" max="14" width="10.7109375" style="247" customWidth="1"/>
    <col min="15" max="15" width="12.7109375" style="248" customWidth="1"/>
    <col min="16" max="16" width="18.7109375" style="249" customWidth="1"/>
    <col min="17" max="17" width="12.7109375" style="247" customWidth="1"/>
    <col min="18" max="18" width="2.7109375" style="247" customWidth="1"/>
    <col min="19" max="19" width="10.7109375" style="226" customWidth="1"/>
    <col min="20" max="26" width="12.7109375" style="246" customWidth="1"/>
    <col min="27" max="27" width="2.7109375" style="247" customWidth="1"/>
    <col min="28" max="29" width="10.7109375" style="250" customWidth="1"/>
    <col min="30" max="31" width="12.7109375" style="250" customWidth="1"/>
    <col min="32" max="32" width="10.7109375" style="250" customWidth="1"/>
    <col min="33" max="33" width="2.7109375" style="250" customWidth="1"/>
    <col min="34" max="36" width="12.7109375" style="250" customWidth="1"/>
    <col min="37" max="37" width="12.7109375" style="226" customWidth="1"/>
    <col min="38" max="38" width="12.7109375" style="250" customWidth="1"/>
    <col min="39" max="39" width="12.7109375" style="226" customWidth="1"/>
    <col min="40" max="41" width="12.7109375" style="250" customWidth="1"/>
    <col min="42" max="42" width="12.7109375" style="226" customWidth="1"/>
    <col min="43" max="48" width="0" style="226" hidden="1" customWidth="1"/>
    <col min="49" max="16384" width="12.7109375" style="226" hidden="1"/>
  </cols>
  <sheetData>
    <row r="1" spans="1:42" ht="20.100000000000001" customHeight="1" thickBot="1" x14ac:dyDescent="0.3">
      <c r="C1" s="241"/>
      <c r="D1" s="241"/>
      <c r="E1" s="241"/>
      <c r="F1" s="241"/>
      <c r="I1" s="497" t="s">
        <v>259</v>
      </c>
      <c r="J1" s="498"/>
      <c r="K1" s="498"/>
      <c r="L1" s="498"/>
      <c r="M1" s="498"/>
      <c r="N1" s="498"/>
      <c r="O1" s="498"/>
      <c r="P1" s="498"/>
      <c r="Q1" s="499"/>
      <c r="R1" s="246"/>
      <c r="T1" s="459"/>
      <c r="U1" s="459"/>
      <c r="V1" s="458"/>
      <c r="W1" s="459"/>
      <c r="X1" s="459"/>
      <c r="Y1" s="458"/>
      <c r="Z1" s="458"/>
      <c r="AA1" s="246"/>
      <c r="AB1" s="247"/>
      <c r="AC1" s="248"/>
      <c r="AD1" s="249"/>
      <c r="AE1" s="247"/>
      <c r="AF1" s="247"/>
      <c r="AK1" s="250"/>
      <c r="AM1" s="250"/>
    </row>
    <row r="2" spans="1:42" ht="39.950000000000003" customHeight="1" thickBot="1" x14ac:dyDescent="0.3">
      <c r="B2" s="251"/>
      <c r="C2" s="251"/>
      <c r="D2" s="251"/>
      <c r="E2" s="251"/>
      <c r="F2" s="251"/>
      <c r="I2" s="252" t="s">
        <v>234</v>
      </c>
      <c r="J2" s="252" t="s">
        <v>235</v>
      </c>
      <c r="K2" s="252" t="s">
        <v>266</v>
      </c>
      <c r="L2" s="252" t="s">
        <v>270</v>
      </c>
      <c r="M2" s="252" t="s">
        <v>267</v>
      </c>
      <c r="N2" s="500" t="s">
        <v>237</v>
      </c>
      <c r="O2" s="253" t="s">
        <v>268</v>
      </c>
      <c r="P2" s="252" t="s">
        <v>238</v>
      </c>
      <c r="Q2" s="252" t="s">
        <v>239</v>
      </c>
      <c r="R2" s="250"/>
      <c r="T2" s="252" t="s">
        <v>235</v>
      </c>
      <c r="U2" s="252" t="s">
        <v>301</v>
      </c>
      <c r="V2" s="252" t="s">
        <v>302</v>
      </c>
      <c r="W2" s="252" t="s">
        <v>303</v>
      </c>
      <c r="X2" s="252" t="s">
        <v>304</v>
      </c>
      <c r="Y2" s="252" t="s">
        <v>305</v>
      </c>
      <c r="Z2" s="252" t="s">
        <v>306</v>
      </c>
      <c r="AA2" s="250"/>
      <c r="AH2" s="254" t="s">
        <v>240</v>
      </c>
      <c r="AI2" s="254" t="s">
        <v>241</v>
      </c>
      <c r="AJ2" s="254" t="s">
        <v>242</v>
      </c>
      <c r="AK2" s="254" t="s">
        <v>243</v>
      </c>
      <c r="AL2" s="255">
        <v>0.4</v>
      </c>
      <c r="AM2" s="254" t="s">
        <v>240</v>
      </c>
      <c r="AN2" s="254" t="s">
        <v>241</v>
      </c>
      <c r="AO2" s="254" t="s">
        <v>242</v>
      </c>
      <c r="AP2" s="254" t="s">
        <v>244</v>
      </c>
    </row>
    <row r="3" spans="1:42" ht="20.100000000000001" customHeight="1" thickBot="1" x14ac:dyDescent="0.3">
      <c r="B3" s="256" t="s">
        <v>233</v>
      </c>
      <c r="C3" s="256" t="s">
        <v>262</v>
      </c>
      <c r="D3" s="256" t="s">
        <v>263</v>
      </c>
      <c r="E3" s="256" t="s">
        <v>264</v>
      </c>
      <c r="F3" s="256" t="s">
        <v>265</v>
      </c>
      <c r="I3" s="238" t="s">
        <v>1</v>
      </c>
      <c r="J3" s="238" t="s">
        <v>1</v>
      </c>
      <c r="K3" s="238" t="str">
        <f>IF(IFERROR(AVERAGE(K4:K33),1)&lt;1,"MMSCF","MSCF")</f>
        <v>MSCF</v>
      </c>
      <c r="L3" s="238" t="str">
        <f>IF(IFERROR(AVERAGE(L4:L33),1)&lt;1,"MMSCF","MSCF")</f>
        <v>MSCF</v>
      </c>
      <c r="M3" s="238" t="str">
        <f>IF(IFERROR(AVERAGE(M4:M33),1)&lt;1,"MMSCF","MSCF")</f>
        <v>MSCF</v>
      </c>
      <c r="N3" s="501"/>
      <c r="O3" s="238" t="s">
        <v>49</v>
      </c>
      <c r="P3" s="238" t="str">
        <f>IF(IFERROR(AVERAGE(P4:P33),1)&lt;1,"MMSCFD","MSCFD")</f>
        <v>MSCFD</v>
      </c>
      <c r="Q3" s="238" t="s">
        <v>25</v>
      </c>
      <c r="R3" s="250"/>
      <c r="T3" s="238" t="s">
        <v>1</v>
      </c>
      <c r="U3" s="238" t="s">
        <v>1</v>
      </c>
      <c r="V3" s="238" t="s">
        <v>14</v>
      </c>
      <c r="W3" s="238" t="s">
        <v>1</v>
      </c>
      <c r="X3" s="238" t="s">
        <v>1</v>
      </c>
      <c r="Y3" s="238" t="s">
        <v>14</v>
      </c>
      <c r="Z3" s="238" t="s">
        <v>14</v>
      </c>
      <c r="AA3" s="250"/>
      <c r="AB3" s="257">
        <v>1</v>
      </c>
      <c r="AC3" s="226"/>
      <c r="AD3" s="226"/>
      <c r="AH3" s="258">
        <f t="shared" ref="AH3:AJ66" si="0">AM3</f>
        <v>-9</v>
      </c>
      <c r="AI3" s="258">
        <f t="shared" si="0"/>
        <v>50</v>
      </c>
      <c r="AJ3" s="259" t="str">
        <f t="shared" si="0"/>
        <v>4/0</v>
      </c>
      <c r="AK3" s="260">
        <f t="shared" ref="AK3:AK37" si="1">(1-$AL$2)*AP3</f>
        <v>19.2</v>
      </c>
      <c r="AL3" s="261"/>
      <c r="AM3" s="258">
        <v>-9</v>
      </c>
      <c r="AN3" s="258">
        <v>50</v>
      </c>
      <c r="AO3" s="262" t="s">
        <v>179</v>
      </c>
      <c r="AP3" s="260">
        <v>32</v>
      </c>
    </row>
    <row r="4" spans="1:42" ht="20.100000000000001" customHeight="1" x14ac:dyDescent="0.25">
      <c r="A4" s="226" t="s">
        <v>55</v>
      </c>
      <c r="B4" s="263">
        <f>DATE(YEAR(MR!F10),MONTH(MR!F10)-1,1)</f>
        <v>45809</v>
      </c>
      <c r="C4" s="462" t="s">
        <v>354</v>
      </c>
      <c r="D4" s="130" t="s">
        <v>292</v>
      </c>
      <c r="E4" s="341">
        <v>1.25</v>
      </c>
      <c r="F4" s="343" t="s">
        <v>179</v>
      </c>
      <c r="H4" s="226" t="s">
        <v>55</v>
      </c>
      <c r="I4" s="264">
        <f>MR!E18</f>
        <v>7.4</v>
      </c>
      <c r="J4" s="264">
        <f>MR!F18</f>
        <v>59.1</v>
      </c>
      <c r="K4" s="265">
        <f>IF('Day 1'!$M$51="","",'Day 1'!$M$51)</f>
        <v>212.97040000000001</v>
      </c>
      <c r="L4" s="344">
        <v>217.4</v>
      </c>
      <c r="M4" s="265">
        <f>IF(L4="","",K4-L4)</f>
        <v>-4.4295999999999935</v>
      </c>
      <c r="N4" s="266">
        <f>MR!M18</f>
        <v>1</v>
      </c>
      <c r="O4" s="267">
        <f>IF(OR(K4="",P4="",N4=""),"",K4/P4)</f>
        <v>1.1150805817906433</v>
      </c>
      <c r="P4" s="265">
        <f>IF(OR(N4="",Q4=""),"",IF(K4&lt;1,Q4*N4/1000,Q4*N4))</f>
        <v>190.99104</v>
      </c>
      <c r="Q4" s="268">
        <f>AD5</f>
        <v>190.99104</v>
      </c>
      <c r="R4" s="250"/>
      <c r="S4" s="226" t="s">
        <v>55</v>
      </c>
      <c r="T4" s="264">
        <f t="shared" ref="T4:T33" si="2">J4</f>
        <v>59.1</v>
      </c>
      <c r="U4" s="265">
        <f>IF('Day 1'!$O$46="","",'Day 1'!$O$46)</f>
        <v>43.333300000000001</v>
      </c>
      <c r="V4" s="265">
        <f>IF('Day 1'!$O$47="","",'Day 1'!$O$47)</f>
        <v>10.541700000000001</v>
      </c>
      <c r="W4" s="344">
        <v>47.250500000000002</v>
      </c>
      <c r="X4" s="265">
        <f t="shared" ref="X4:X33" si="3">IF(W4="","",U4-W4)</f>
        <v>-3.9172000000000011</v>
      </c>
      <c r="Y4" s="344">
        <v>10.0749</v>
      </c>
      <c r="Z4" s="265">
        <f t="shared" ref="Z4:Z33" si="4">IF(Y4="","",V4-Y4)</f>
        <v>0.46680000000000099</v>
      </c>
      <c r="AA4" s="250"/>
      <c r="AB4" s="241" t="s">
        <v>245</v>
      </c>
      <c r="AC4" s="241" t="s">
        <v>246</v>
      </c>
      <c r="AD4" s="241" t="s">
        <v>236</v>
      </c>
      <c r="AH4" s="258">
        <f t="shared" si="0"/>
        <v>-8</v>
      </c>
      <c r="AI4" s="258">
        <f t="shared" si="0"/>
        <v>50</v>
      </c>
      <c r="AJ4" s="259" t="str">
        <f t="shared" si="0"/>
        <v>4/0</v>
      </c>
      <c r="AK4" s="260">
        <f t="shared" si="1"/>
        <v>30</v>
      </c>
      <c r="AL4" s="269"/>
      <c r="AM4" s="258">
        <v>-8</v>
      </c>
      <c r="AN4" s="258">
        <v>50</v>
      </c>
      <c r="AO4" s="262" t="s">
        <v>179</v>
      </c>
      <c r="AP4" s="260">
        <v>50</v>
      </c>
    </row>
    <row r="5" spans="1:42" ht="20.100000000000001" customHeight="1" x14ac:dyDescent="0.25">
      <c r="A5" s="226" t="s">
        <v>56</v>
      </c>
      <c r="B5" s="270">
        <f>B4+1</f>
        <v>45810</v>
      </c>
      <c r="C5" s="462" t="s">
        <v>354</v>
      </c>
      <c r="D5" s="131" t="s">
        <v>292</v>
      </c>
      <c r="E5" s="342">
        <v>1.25</v>
      </c>
      <c r="F5" s="343" t="s">
        <v>179</v>
      </c>
      <c r="H5" s="226" t="s">
        <v>56</v>
      </c>
      <c r="I5" s="271">
        <f>MR!E19</f>
        <v>6.9</v>
      </c>
      <c r="J5" s="271">
        <f>MR!F19</f>
        <v>57.5</v>
      </c>
      <c r="K5" s="272">
        <f>IF('Day 2'!$M$51="","",'Day 2'!$M$51)</f>
        <v>220.6183</v>
      </c>
      <c r="L5" s="345">
        <v>206.6</v>
      </c>
      <c r="M5" s="272">
        <f t="shared" ref="M5:M33" si="5">IF(L5="","",K5-L5)</f>
        <v>14.018300000000011</v>
      </c>
      <c r="N5" s="273">
        <f>MR!M19</f>
        <v>1</v>
      </c>
      <c r="O5" s="274">
        <f t="shared" ref="O5:O33" si="6">IF(OR(K5="",P5="",N5=""),"",K5/P5)</f>
        <v>1.1820399481360038</v>
      </c>
      <c r="P5" s="272">
        <f t="shared" ref="P5:P33" si="7">IF(OR(N5="",Q5=""),"",IF(K5&lt;1,Q5*N5/1000,Q5*N5))</f>
        <v>186.642</v>
      </c>
      <c r="Q5" s="275">
        <f>AD15</f>
        <v>186.642</v>
      </c>
      <c r="R5" s="250"/>
      <c r="S5" s="226" t="s">
        <v>56</v>
      </c>
      <c r="T5" s="271">
        <f t="shared" si="2"/>
        <v>57.5</v>
      </c>
      <c r="U5" s="272">
        <f>IF('Day 2'!$O$46="","",'Day 2'!$O$46)</f>
        <v>55</v>
      </c>
      <c r="V5" s="272">
        <f>IF('Day 2'!$O$47="","",'Day 2'!$O$47)</f>
        <v>9</v>
      </c>
      <c r="W5" s="345">
        <v>49.836399999999998</v>
      </c>
      <c r="X5" s="272">
        <f t="shared" si="3"/>
        <v>5.1636000000000024</v>
      </c>
      <c r="Y5" s="345">
        <v>8.7155000000000005</v>
      </c>
      <c r="Z5" s="272">
        <f t="shared" si="4"/>
        <v>0.28449999999999953</v>
      </c>
      <c r="AA5" s="250"/>
      <c r="AB5" s="276">
        <f>IF(I4="","",I4)</f>
        <v>7.4</v>
      </c>
      <c r="AC5" s="277">
        <f>IF(J4="","",J4)</f>
        <v>59.1</v>
      </c>
      <c r="AD5" s="278">
        <f>IF(OR(AB5="",AC5=""),"",IF(AE9&lt;&gt;"",AE11,AVERAGEIF(AD11:AF11,"&lt;&gt;0",AD11:AF11)))</f>
        <v>190.99104</v>
      </c>
      <c r="AH5" s="258">
        <f t="shared" si="0"/>
        <v>-7</v>
      </c>
      <c r="AI5" s="258">
        <f t="shared" si="0"/>
        <v>50</v>
      </c>
      <c r="AJ5" s="259" t="str">
        <f t="shared" si="0"/>
        <v>4/0</v>
      </c>
      <c r="AK5" s="260">
        <f t="shared" si="1"/>
        <v>41.4</v>
      </c>
      <c r="AL5" s="261"/>
      <c r="AM5" s="258">
        <v>-7</v>
      </c>
      <c r="AN5" s="258">
        <v>50</v>
      </c>
      <c r="AO5" s="262" t="s">
        <v>179</v>
      </c>
      <c r="AP5" s="260">
        <v>69</v>
      </c>
    </row>
    <row r="6" spans="1:42" ht="20.100000000000001" customHeight="1" x14ac:dyDescent="0.25">
      <c r="A6" s="226" t="s">
        <v>57</v>
      </c>
      <c r="B6" s="270">
        <f t="shared" ref="B6:B33" si="8">B5+1</f>
        <v>45811</v>
      </c>
      <c r="C6" s="462" t="s">
        <v>354</v>
      </c>
      <c r="D6" s="131" t="s">
        <v>292</v>
      </c>
      <c r="E6" s="342">
        <v>1.25</v>
      </c>
      <c r="F6" s="343" t="s">
        <v>179</v>
      </c>
      <c r="H6" s="226" t="s">
        <v>57</v>
      </c>
      <c r="I6" s="271">
        <f>MR!E20</f>
        <v>6.5</v>
      </c>
      <c r="J6" s="271">
        <f>MR!F20</f>
        <v>58.6</v>
      </c>
      <c r="K6" s="272">
        <f>IF('Day 3'!$M$51="","",'Day 3'!$M$51)</f>
        <v>228.2483</v>
      </c>
      <c r="L6" s="345">
        <v>210.3</v>
      </c>
      <c r="M6" s="272">
        <f t="shared" si="5"/>
        <v>17.948299999999989</v>
      </c>
      <c r="N6" s="273">
        <f>MR!M20</f>
        <v>1</v>
      </c>
      <c r="O6" s="274">
        <f t="shared" si="6"/>
        <v>1.2551929354520821</v>
      </c>
      <c r="P6" s="272">
        <f t="shared" si="7"/>
        <v>181.84319999999997</v>
      </c>
      <c r="Q6" s="275">
        <f>AD25</f>
        <v>181.84319999999997</v>
      </c>
      <c r="R6" s="250"/>
      <c r="S6" s="226" t="s">
        <v>57</v>
      </c>
      <c r="T6" s="271">
        <f t="shared" si="2"/>
        <v>58.6</v>
      </c>
      <c r="U6" s="272">
        <f>IF('Day 3'!$O$46="","",'Day 3'!$O$46)</f>
        <v>44.4</v>
      </c>
      <c r="V6" s="272">
        <f>IF('Day 3'!$O$47="","",'Day 3'!$O$47)</f>
        <v>11.3</v>
      </c>
      <c r="W6" s="345">
        <v>37.634</v>
      </c>
      <c r="X6" s="272">
        <f t="shared" si="3"/>
        <v>6.7659999999999982</v>
      </c>
      <c r="Y6" s="345">
        <v>11.203099999999999</v>
      </c>
      <c r="Z6" s="272">
        <f t="shared" si="4"/>
        <v>9.690000000000154E-2</v>
      </c>
      <c r="AA6" s="250"/>
      <c r="AC6" s="250" t="s">
        <v>182</v>
      </c>
      <c r="AE6" s="279" t="s">
        <v>247</v>
      </c>
      <c r="AH6" s="258">
        <f t="shared" si="0"/>
        <v>-6</v>
      </c>
      <c r="AI6" s="258">
        <f t="shared" si="0"/>
        <v>50</v>
      </c>
      <c r="AJ6" s="259" t="str">
        <f t="shared" si="0"/>
        <v>4/0</v>
      </c>
      <c r="AK6" s="260">
        <f t="shared" si="1"/>
        <v>52.199999999999996</v>
      </c>
      <c r="AL6" s="280"/>
      <c r="AM6" s="258">
        <v>-6</v>
      </c>
      <c r="AN6" s="258">
        <v>50</v>
      </c>
      <c r="AO6" s="262" t="s">
        <v>179</v>
      </c>
      <c r="AP6" s="260">
        <v>87</v>
      </c>
    </row>
    <row r="7" spans="1:42" ht="20.100000000000001" customHeight="1" x14ac:dyDescent="0.25">
      <c r="A7" s="226" t="s">
        <v>58</v>
      </c>
      <c r="B7" s="270">
        <f t="shared" si="8"/>
        <v>45812</v>
      </c>
      <c r="C7" s="462" t="s">
        <v>354</v>
      </c>
      <c r="D7" s="131" t="s">
        <v>292</v>
      </c>
      <c r="E7" s="342">
        <v>1.25</v>
      </c>
      <c r="F7" s="343" t="s">
        <v>179</v>
      </c>
      <c r="H7" s="226" t="s">
        <v>58</v>
      </c>
      <c r="I7" s="271">
        <f>MR!E21</f>
        <v>7</v>
      </c>
      <c r="J7" s="271">
        <f>MR!F21</f>
        <v>58.8</v>
      </c>
      <c r="K7" s="272">
        <f>IF('Day 4'!$M$51="","",'Day 4'!$M$51)</f>
        <v>234.10040000000001</v>
      </c>
      <c r="L7" s="345">
        <v>194.1</v>
      </c>
      <c r="M7" s="272">
        <f t="shared" si="5"/>
        <v>40.000400000000013</v>
      </c>
      <c r="N7" s="273">
        <f>MR!M21</f>
        <v>1</v>
      </c>
      <c r="O7" s="274">
        <f t="shared" si="6"/>
        <v>1.2619260160077279</v>
      </c>
      <c r="P7" s="272">
        <f t="shared" si="7"/>
        <v>185.5104</v>
      </c>
      <c r="Q7" s="275">
        <f>AD35</f>
        <v>185.5104</v>
      </c>
      <c r="R7" s="250"/>
      <c r="S7" s="226" t="s">
        <v>58</v>
      </c>
      <c r="T7" s="271">
        <f t="shared" si="2"/>
        <v>58.8</v>
      </c>
      <c r="U7" s="272">
        <f>IF('Day 4'!$O$46="","",'Day 4'!$O$46)</f>
        <v>50</v>
      </c>
      <c r="V7" s="272">
        <f>IF('Day 4'!$O$47="","",'Day 4'!$O$47)</f>
        <v>10.7</v>
      </c>
      <c r="W7" s="345">
        <v>45.442100000000003</v>
      </c>
      <c r="X7" s="272">
        <f t="shared" si="3"/>
        <v>4.5578999999999965</v>
      </c>
      <c r="Y7" s="345">
        <v>8.2605000000000004</v>
      </c>
      <c r="Z7" s="272">
        <f t="shared" si="4"/>
        <v>2.4394999999999989</v>
      </c>
      <c r="AA7" s="250"/>
      <c r="AC7" s="281"/>
      <c r="AD7" s="282">
        <f>IF(AE7&gt;=400,400,IF(AE7&gt;=350,350,IF(AE7&gt;=325,325,IF(AE7&gt;=300,300,IF(AE7&gt;=275,275,IF(AE7&gt;=250,250,IF(AE7&gt;=225,225,IF(AE7&gt;=200,200,IF(AE7&gt;=175,175,IF(AE7&gt;=150,150,IF(AE7&gt;=125,125,IF(AE7&gt;=100,100,IF(AE7&gt;=75,75,50)))))))))))))</f>
        <v>50</v>
      </c>
      <c r="AE7" s="283">
        <f>AC5</f>
        <v>59.1</v>
      </c>
      <c r="AF7" s="282">
        <f>IF(AE7&lt;=50,50,IF(AE7&lt;=75,75,IF(AE7&lt;=100,100,IF(AE7&lt;=125,125,IF(AE7&lt;=150,150,IF(AE7&lt;=175,175,IF(AE7&lt;=200,200,IF(AE7&lt;=225,225,IF(AE7&lt;=250,250,IF(AE7&lt;=275,275,IF(AE7&lt;=300,300,IF(AE7&lt;=325,325,IF(AE7&lt;=350,350,400)))))))))))))</f>
        <v>75</v>
      </c>
      <c r="AH7" s="258">
        <f t="shared" si="0"/>
        <v>-5</v>
      </c>
      <c r="AI7" s="258">
        <f t="shared" si="0"/>
        <v>50</v>
      </c>
      <c r="AJ7" s="259" t="str">
        <f t="shared" si="0"/>
        <v>4/0</v>
      </c>
      <c r="AK7" s="260">
        <f t="shared" si="1"/>
        <v>63.599999999999994</v>
      </c>
      <c r="AL7" s="261"/>
      <c r="AM7" s="258">
        <v>-5</v>
      </c>
      <c r="AN7" s="258">
        <v>50</v>
      </c>
      <c r="AO7" s="262" t="s">
        <v>179</v>
      </c>
      <c r="AP7" s="260">
        <v>106</v>
      </c>
    </row>
    <row r="8" spans="1:42" ht="20.100000000000001" customHeight="1" x14ac:dyDescent="0.25">
      <c r="A8" s="226" t="s">
        <v>59</v>
      </c>
      <c r="B8" s="270">
        <f t="shared" si="8"/>
        <v>45813</v>
      </c>
      <c r="C8" s="462" t="s">
        <v>354</v>
      </c>
      <c r="D8" s="131" t="s">
        <v>292</v>
      </c>
      <c r="E8" s="342">
        <v>1.25</v>
      </c>
      <c r="F8" s="343" t="s">
        <v>179</v>
      </c>
      <c r="H8" s="226" t="s">
        <v>59</v>
      </c>
      <c r="I8" s="271">
        <f>MR!E22</f>
        <v>6.8</v>
      </c>
      <c r="J8" s="271">
        <f>MR!F22</f>
        <v>61.2</v>
      </c>
      <c r="K8" s="272">
        <f>IF('Day 5'!$M$51="","",'Day 5'!$M$51)</f>
        <v>227.38919999999999</v>
      </c>
      <c r="L8" s="345">
        <v>200.1</v>
      </c>
      <c r="M8" s="272">
        <f t="shared" si="5"/>
        <v>27.289199999999994</v>
      </c>
      <c r="N8" s="273">
        <f>MR!M22</f>
        <v>1</v>
      </c>
      <c r="O8" s="274">
        <f t="shared" si="6"/>
        <v>1.2394818915849899</v>
      </c>
      <c r="P8" s="272">
        <f t="shared" si="7"/>
        <v>183.45504</v>
      </c>
      <c r="Q8" s="275">
        <f>AD45</f>
        <v>183.45504</v>
      </c>
      <c r="R8" s="250"/>
      <c r="S8" s="226" t="s">
        <v>59</v>
      </c>
      <c r="T8" s="271">
        <f t="shared" si="2"/>
        <v>61.2</v>
      </c>
      <c r="U8" s="272">
        <f>IF('Day 5'!$O$46="","",'Day 5'!$O$46)</f>
        <v>54</v>
      </c>
      <c r="V8" s="272">
        <f>IF('Day 5'!$O$47="","",'Day 5'!$O$47)</f>
        <v>9.6</v>
      </c>
      <c r="W8" s="345">
        <v>49.533799999999999</v>
      </c>
      <c r="X8" s="272">
        <f t="shared" si="3"/>
        <v>4.4662000000000006</v>
      </c>
      <c r="Y8" s="345">
        <v>8.2104999999999997</v>
      </c>
      <c r="Z8" s="272">
        <f t="shared" si="4"/>
        <v>1.3895</v>
      </c>
      <c r="AA8" s="250"/>
      <c r="AC8" s="282">
        <f>IF(AC9&gt;=0,ROUNDDOWN(AC9,0),ROUNDUP(AC9,0))</f>
        <v>7</v>
      </c>
      <c r="AD8" s="284">
        <f>IF(AD7=400,VLOOKUP(AC8,$AH$700:$AK$748,4),IF(AD7=350,VLOOKUP(AC8,$AH$650:$AK$698,4),IF(AD7=325,VLOOKUP(AC8,$AH$598:$AK$648,4),IF(AD7=300,VLOOKUP(AC8,$AH$544:$AK$596,4),IF(AD7=275,VLOOKUP(AC8,$AH$488:$AK$542,4),IF(AD7=250,VLOOKUP(AC8,$AH$431:$AK$486,4),IF(AD7=225,VLOOKUP(AC8,$AH$379:$AK$429,4),IF(AD7=200,VLOOKUP(AC8,$AH$319:$AK$377,4),IF(AD7=175,VLOOKUP(AC8,$AH$256:$AK$317,4),IF(AD7=150,VLOOKUP(AC8,$AH$192:$AK$254,4),IF(AD7=125,VLOOKUP(AC8,$AH$126:$AK$190,4),IF(AD7=100,VLOOKUP(AC8,$AH$81:$AK$124,4),IF(AD7=75,VLOOKUP(AC8,$AH$39:$AK$79,4),IF(AD7=50,VLOOKUP(AC8,$AH$3:$AK$37,4)))))))))))))))</f>
        <v>192</v>
      </c>
      <c r="AE8" s="285">
        <f>IFERROR((AE7-AD7)/(AF7-AD7)*(AF8-AD8)+AD8,"")</f>
        <v>186.75839999999999</v>
      </c>
      <c r="AF8" s="284">
        <f>IF(AF7=400,VLOOKUP(AC8,$AH$700:$AK$748,4),IF(AF7=350,VLOOKUP(AC8,$AH$650:$AK$698,4),IF(AF7=325,VLOOKUP(AC8,$AH$598:$AK$648,4),IF(AF7=300,VLOOKUP(AC8,$AH$544:$AK$596,4),IF(AF7=275,VLOOKUP(AC8,$AH$488:$AK$542,4),IF(AF7=250,VLOOKUP(AC8,$AH$431:$AK$486,4),IF(AF7=225,VLOOKUP(AC8,$AH$379:$AK$429,4),IF(AF7=200,VLOOKUP(AC8,$AH$319:$AK$377,4),IF(AF7=175,VLOOKUP(AC8,$AH$256:$AK$317,4),IF(AF7=150,VLOOKUP(AC8,$AH$192:$AK$254,4),IF(AF7=125,VLOOKUP(AC8,$AH$126:$AK$190,4),IF(AF7=100,VLOOKUP(AC8,$AH$81:$AK$124,4),IF(AF7=75,VLOOKUP(AC8,$AH$39:$AK$79,4),IF(AF7=50,VLOOKUP(AC8,$AH$3:$AK$37,4)))))))))))))))</f>
        <v>177.6</v>
      </c>
      <c r="AH8" s="258">
        <f t="shared" si="0"/>
        <v>-4</v>
      </c>
      <c r="AI8" s="258">
        <f t="shared" si="0"/>
        <v>50</v>
      </c>
      <c r="AJ8" s="259" t="str">
        <f t="shared" si="0"/>
        <v>4/0</v>
      </c>
      <c r="AK8" s="260">
        <f t="shared" si="1"/>
        <v>74.399999999999991</v>
      </c>
      <c r="AL8" s="286"/>
      <c r="AM8" s="258">
        <v>-4</v>
      </c>
      <c r="AN8" s="258">
        <v>50</v>
      </c>
      <c r="AO8" s="262" t="s">
        <v>179</v>
      </c>
      <c r="AP8" s="260">
        <v>124</v>
      </c>
    </row>
    <row r="9" spans="1:42" ht="20.100000000000001" customHeight="1" x14ac:dyDescent="0.25">
      <c r="A9" s="226" t="s">
        <v>60</v>
      </c>
      <c r="B9" s="270">
        <f t="shared" si="8"/>
        <v>45814</v>
      </c>
      <c r="C9" s="462" t="s">
        <v>354</v>
      </c>
      <c r="D9" s="131" t="s">
        <v>292</v>
      </c>
      <c r="E9" s="342">
        <v>1.25</v>
      </c>
      <c r="F9" s="343" t="s">
        <v>179</v>
      </c>
      <c r="H9" s="226" t="s">
        <v>60</v>
      </c>
      <c r="I9" s="271">
        <f>MR!E23</f>
        <v>6.9</v>
      </c>
      <c r="J9" s="271">
        <f>MR!F23</f>
        <v>62.7</v>
      </c>
      <c r="K9" s="272">
        <f>IF('Day 6'!$M$51="","",'Day 6'!$M$51)</f>
        <v>219.58</v>
      </c>
      <c r="L9" s="345">
        <v>243.6</v>
      </c>
      <c r="M9" s="272">
        <f t="shared" si="5"/>
        <v>-24.019999999999982</v>
      </c>
      <c r="N9" s="273">
        <f>MR!M23</f>
        <v>1</v>
      </c>
      <c r="O9" s="274">
        <f t="shared" si="6"/>
        <v>1.1957459803810095</v>
      </c>
      <c r="P9" s="272">
        <f t="shared" si="7"/>
        <v>183.63432</v>
      </c>
      <c r="Q9" s="275">
        <f>AD55</f>
        <v>183.63432</v>
      </c>
      <c r="R9" s="250"/>
      <c r="S9" s="226" t="s">
        <v>60</v>
      </c>
      <c r="T9" s="271">
        <f t="shared" si="2"/>
        <v>62.7</v>
      </c>
      <c r="U9" s="272">
        <f>IF('Day 6'!$O$46="","",'Day 6'!$O$46)</f>
        <v>46.5</v>
      </c>
      <c r="V9" s="272">
        <f>IF('Day 6'!$O$47="","",'Day 6'!$O$47)</f>
        <v>10.1</v>
      </c>
      <c r="W9" s="345">
        <v>78.971299999999999</v>
      </c>
      <c r="X9" s="272">
        <f t="shared" si="3"/>
        <v>-32.471299999999999</v>
      </c>
      <c r="Y9" s="345">
        <v>8.2805999999999997</v>
      </c>
      <c r="Z9" s="272">
        <f t="shared" si="4"/>
        <v>1.8193999999999999</v>
      </c>
      <c r="AA9" s="250"/>
      <c r="AB9" s="287" t="s">
        <v>248</v>
      </c>
      <c r="AC9" s="288">
        <f>AB5</f>
        <v>7.4</v>
      </c>
      <c r="AD9" s="285">
        <f>IFERROR((AC9-AC8)/(AC10-AC8)*(AD10-AD8)+AD8,"")</f>
        <v>196.32</v>
      </c>
      <c r="AE9" s="278">
        <f>IFERROR((AE7-AF7)/(AD7-AF7)*(AD9-AF9)+AF9,"")</f>
        <v>190.99104</v>
      </c>
      <c r="AF9" s="285">
        <f>IFERROR((AC9-AC8)/(AC10-AC8)*(AF10-AF8)+AF8,"")</f>
        <v>181.68</v>
      </c>
      <c r="AH9" s="258">
        <f t="shared" si="0"/>
        <v>-3</v>
      </c>
      <c r="AI9" s="258">
        <f t="shared" si="0"/>
        <v>50</v>
      </c>
      <c r="AJ9" s="259" t="str">
        <f t="shared" si="0"/>
        <v>4/0</v>
      </c>
      <c r="AK9" s="260">
        <f t="shared" si="1"/>
        <v>85.8</v>
      </c>
      <c r="AL9" s="261"/>
      <c r="AM9" s="258">
        <v>-3</v>
      </c>
      <c r="AN9" s="258">
        <v>50</v>
      </c>
      <c r="AO9" s="262" t="s">
        <v>179</v>
      </c>
      <c r="AP9" s="260">
        <v>143</v>
      </c>
    </row>
    <row r="10" spans="1:42" ht="20.100000000000001" customHeight="1" x14ac:dyDescent="0.25">
      <c r="A10" s="226" t="s">
        <v>61</v>
      </c>
      <c r="B10" s="270">
        <f t="shared" si="8"/>
        <v>45815</v>
      </c>
      <c r="C10" s="462" t="s">
        <v>354</v>
      </c>
      <c r="D10" s="131" t="s">
        <v>292</v>
      </c>
      <c r="E10" s="342">
        <v>1.25</v>
      </c>
      <c r="F10" s="343" t="s">
        <v>179</v>
      </c>
      <c r="H10" s="226" t="s">
        <v>61</v>
      </c>
      <c r="I10" s="271">
        <f>MR!E24</f>
        <v>6.9</v>
      </c>
      <c r="J10" s="271">
        <f>MR!F24</f>
        <v>62</v>
      </c>
      <c r="K10" s="272">
        <f>IF('Day 7'!$M$51="","",'Day 7'!$M$51)</f>
        <v>211.18459999999999</v>
      </c>
      <c r="L10" s="345">
        <v>199.6</v>
      </c>
      <c r="M10" s="272">
        <f t="shared" si="5"/>
        <v>11.584599999999995</v>
      </c>
      <c r="N10" s="273">
        <f>MR!M24</f>
        <v>1</v>
      </c>
      <c r="O10" s="274">
        <f t="shared" si="6"/>
        <v>1.1474979243552461</v>
      </c>
      <c r="P10" s="272">
        <f t="shared" si="7"/>
        <v>184.03919999999999</v>
      </c>
      <c r="Q10" s="275">
        <f>AD65</f>
        <v>184.03919999999999</v>
      </c>
      <c r="R10" s="250"/>
      <c r="S10" s="226" t="s">
        <v>61</v>
      </c>
      <c r="T10" s="271">
        <f t="shared" si="2"/>
        <v>62</v>
      </c>
      <c r="U10" s="272">
        <f>IF('Day 7'!$O$46="","",'Day 7'!$O$46)</f>
        <v>53.3</v>
      </c>
      <c r="V10" s="272">
        <f>IF('Day 7'!$O$47="","",'Day 7'!$O$47)</f>
        <v>8.1999999999999993</v>
      </c>
      <c r="W10" s="345">
        <v>48.8063</v>
      </c>
      <c r="X10" s="272">
        <f t="shared" si="3"/>
        <v>4.4936999999999969</v>
      </c>
      <c r="Y10" s="345">
        <v>8.1892999999999994</v>
      </c>
      <c r="Z10" s="272">
        <f t="shared" si="4"/>
        <v>1.0699999999999932E-2</v>
      </c>
      <c r="AA10" s="250"/>
      <c r="AC10" s="282">
        <f>IF(AC9&gt;=0,ROUNDUP(AC9,0),ROUNDDOWN(AC9,0))</f>
        <v>8</v>
      </c>
      <c r="AD10" s="284">
        <f>IF(AD7=400,VLOOKUP(AC10,$AH$700:$AK$748,4),IF(AD7=350,VLOOKUP(AC10,$AH$650:$AK$698,4),IF(AD7=325,VLOOKUP(AC10,$AH$598:$AK$648,4),IF(AD7=300,VLOOKUP(AC10,$AH$544:$AK$596,4),IF(AD7=275,VLOOKUP(AC10,$AH$488:$AK$542,4),IF(AD7=250,VLOOKUP(AC10,$AH$431:$AK$486,4),IF(AD7=225,VLOOKUP(AC10,$AH$379:$AK$429,4),IF(AD7=200,VLOOKUP(AC10,$AH$319:$AK$377,4),IF(AD7=175,VLOOKUP(AC10,$AH$256:$AK$317,4),IF(AD7=150,VLOOKUP(AC10,$AH$192:$AK$254,4),IF(AD7=125,VLOOKUP(AC10,$AH$126:$AK$190,4),IF(AD7=100,VLOOKUP(AC10,$AH$81:$AK$124,4),IF(AD7=75,VLOOKUP(AC10,$AH$39:$AK$79,4),IF(AD7=50,VLOOKUP(AC10,$AH$3:$AK$37,4)))))))))))))))</f>
        <v>202.79999999999998</v>
      </c>
      <c r="AE10" s="285">
        <f>IFERROR((AE7-AD7)/(AF7-AD7)*(AF10-AD10)+AD10,"")</f>
        <v>197.33999999999997</v>
      </c>
      <c r="AF10" s="284">
        <f>IF(AF7=400,VLOOKUP(AC10,$AH$700:$AK$748,4),IF(AF7=350,VLOOKUP(AC10,$AH$650:$AK$698,4),IF(AF7=325,VLOOKUP(AC10,$AH$598:$AK$648,4),IF(AF7=300,VLOOKUP(AC10,$AH$544:$AK$596,4),IF(AF7=275,VLOOKUP(AC10,$AH$488:$AK$542,4),IF(AF7=250,VLOOKUP(AC10,$AH$431:$AK$486,4),IF(AF7=225,VLOOKUP(AC10,$AH$379:$AK$429,4),IF(AF7=200,VLOOKUP(AC10,$AH$319:$AK$377,4),IF(AF7=175,VLOOKUP(AC10,$AH$256:$AK$317,4),IF(AF7=150,VLOOKUP(AC10,$AH$192:$AK$254,4),IF(AF7=125,VLOOKUP(AC10,$AH$126:$AK$190,4),IF(AF7=100,VLOOKUP(AC10,$AH$81:$AK$124,4),IF(AF7=75,VLOOKUP(AC10,$AH$39:$AK$79,4),IF(AF7=50,VLOOKUP(AC10,$AH$3:$AK$37,4)))))))))))))))</f>
        <v>187.79999999999998</v>
      </c>
      <c r="AH10" s="258">
        <f t="shared" si="0"/>
        <v>-2</v>
      </c>
      <c r="AI10" s="258">
        <f t="shared" si="0"/>
        <v>50</v>
      </c>
      <c r="AJ10" s="259" t="str">
        <f t="shared" si="0"/>
        <v>4/0</v>
      </c>
      <c r="AK10" s="260">
        <f t="shared" si="1"/>
        <v>97.2</v>
      </c>
      <c r="AL10" s="286"/>
      <c r="AM10" s="258">
        <v>-2</v>
      </c>
      <c r="AN10" s="258">
        <v>50</v>
      </c>
      <c r="AO10" s="262" t="s">
        <v>179</v>
      </c>
      <c r="AP10" s="260">
        <v>162</v>
      </c>
    </row>
    <row r="11" spans="1:42" ht="20.100000000000001" customHeight="1" x14ac:dyDescent="0.25">
      <c r="A11" s="226" t="s">
        <v>62</v>
      </c>
      <c r="B11" s="270">
        <f t="shared" si="8"/>
        <v>45816</v>
      </c>
      <c r="C11" s="462" t="s">
        <v>354</v>
      </c>
      <c r="D11" s="131" t="s">
        <v>292</v>
      </c>
      <c r="E11" s="342">
        <v>1.25</v>
      </c>
      <c r="F11" s="343" t="s">
        <v>179</v>
      </c>
      <c r="H11" s="226" t="s">
        <v>62</v>
      </c>
      <c r="I11" s="271">
        <f>MR!E25</f>
        <v>6.3</v>
      </c>
      <c r="J11" s="271">
        <f>MR!F25</f>
        <v>58.8</v>
      </c>
      <c r="K11" s="272">
        <f>IF('Day 8'!$M$51="","",'Day 8'!$M$51)</f>
        <v>222.13329999999999</v>
      </c>
      <c r="L11" s="345">
        <v>193.4</v>
      </c>
      <c r="M11" s="272">
        <f t="shared" si="5"/>
        <v>28.733299999999986</v>
      </c>
      <c r="N11" s="273">
        <f>MR!M25</f>
        <v>1</v>
      </c>
      <c r="O11" s="274">
        <f t="shared" si="6"/>
        <v>1.2365238548199053</v>
      </c>
      <c r="P11" s="272">
        <f t="shared" si="7"/>
        <v>179.64336</v>
      </c>
      <c r="Q11" s="275">
        <f>AD75</f>
        <v>179.64336</v>
      </c>
      <c r="R11" s="250"/>
      <c r="S11" s="226" t="s">
        <v>62</v>
      </c>
      <c r="T11" s="271">
        <f t="shared" si="2"/>
        <v>58.8</v>
      </c>
      <c r="U11" s="272">
        <f>IF('Day 8'!$O$46="","",'Day 8'!$O$46)</f>
        <v>45.6</v>
      </c>
      <c r="V11" s="272">
        <f>IF('Day 8'!$O$47="","",'Day 8'!$O$47)</f>
        <v>10.4</v>
      </c>
      <c r="W11" s="345">
        <v>42.125399999999999</v>
      </c>
      <c r="X11" s="272">
        <f t="shared" si="3"/>
        <v>3.4746000000000024</v>
      </c>
      <c r="Y11" s="345">
        <v>8.6119000000000003</v>
      </c>
      <c r="Z11" s="272">
        <f t="shared" si="4"/>
        <v>1.7881</v>
      </c>
      <c r="AA11" s="250"/>
      <c r="AD11" s="289">
        <f>IF(AD9&lt;&gt;"",AD9,AVERAGE(AD8:AD10))</f>
        <v>196.32</v>
      </c>
      <c r="AE11" s="289">
        <f>IF(AE9&lt;&gt;"",AE9,IF(SUM(AE8:AE10)=0,"",AVERAGE(AE8:AE10)))</f>
        <v>190.99104</v>
      </c>
      <c r="AF11" s="289">
        <f>IF(AF9&lt;&gt;"",AF9,AVERAGE(AF8:AF10))</f>
        <v>181.68</v>
      </c>
      <c r="AH11" s="258">
        <f t="shared" si="0"/>
        <v>-1</v>
      </c>
      <c r="AI11" s="258">
        <f t="shared" si="0"/>
        <v>50</v>
      </c>
      <c r="AJ11" s="259" t="str">
        <f t="shared" si="0"/>
        <v>4/0</v>
      </c>
      <c r="AK11" s="260">
        <f t="shared" si="1"/>
        <v>108.6</v>
      </c>
      <c r="AL11" s="261"/>
      <c r="AM11" s="258">
        <v>-1</v>
      </c>
      <c r="AN11" s="258">
        <v>50</v>
      </c>
      <c r="AO11" s="262" t="s">
        <v>179</v>
      </c>
      <c r="AP11" s="260">
        <v>181</v>
      </c>
    </row>
    <row r="12" spans="1:42" ht="20.100000000000001" customHeight="1" x14ac:dyDescent="0.25">
      <c r="A12" s="226" t="s">
        <v>63</v>
      </c>
      <c r="B12" s="270">
        <f t="shared" si="8"/>
        <v>45817</v>
      </c>
      <c r="C12" s="462" t="s">
        <v>354</v>
      </c>
      <c r="D12" s="131" t="s">
        <v>292</v>
      </c>
      <c r="E12" s="342">
        <v>1.25</v>
      </c>
      <c r="F12" s="343" t="s">
        <v>179</v>
      </c>
      <c r="H12" s="226" t="s">
        <v>63</v>
      </c>
      <c r="I12" s="271">
        <f>MR!E26</f>
        <v>7</v>
      </c>
      <c r="J12" s="271">
        <f>MR!F26</f>
        <v>62.3</v>
      </c>
      <c r="K12" s="272">
        <f>IF('Day 9'!$M$51="","",'Day 9'!$M$51)</f>
        <v>214.9725</v>
      </c>
      <c r="L12" s="345">
        <v>201.5</v>
      </c>
      <c r="M12" s="272">
        <f t="shared" si="5"/>
        <v>13.472499999999997</v>
      </c>
      <c r="N12" s="273">
        <f>MR!M26</f>
        <v>1</v>
      </c>
      <c r="O12" s="274">
        <f t="shared" si="6"/>
        <v>1.1630294354419861</v>
      </c>
      <c r="P12" s="272">
        <f t="shared" si="7"/>
        <v>184.83840000000001</v>
      </c>
      <c r="Q12" s="275">
        <f>AD85</f>
        <v>184.83840000000001</v>
      </c>
      <c r="R12" s="250"/>
      <c r="S12" s="226" t="s">
        <v>63</v>
      </c>
      <c r="T12" s="271">
        <f t="shared" si="2"/>
        <v>62.3</v>
      </c>
      <c r="U12" s="272">
        <f>IF('Day 9'!$O$46="","",'Day 9'!$O$46)</f>
        <v>50.8</v>
      </c>
      <c r="V12" s="272">
        <f>IF('Day 9'!$O$47="","",'Day 9'!$O$47)</f>
        <v>8.8000000000000007</v>
      </c>
      <c r="W12" s="345">
        <v>47.573799999999999</v>
      </c>
      <c r="X12" s="272">
        <f t="shared" si="3"/>
        <v>3.2261999999999986</v>
      </c>
      <c r="Y12" s="345">
        <v>8.5188000000000006</v>
      </c>
      <c r="Z12" s="272">
        <f t="shared" si="4"/>
        <v>0.28120000000000012</v>
      </c>
      <c r="AA12" s="250"/>
      <c r="AH12" s="258">
        <f t="shared" si="0"/>
        <v>0</v>
      </c>
      <c r="AI12" s="258">
        <f t="shared" si="0"/>
        <v>50</v>
      </c>
      <c r="AJ12" s="259" t="str">
        <f t="shared" si="0"/>
        <v>4/0</v>
      </c>
      <c r="AK12" s="260">
        <f t="shared" si="1"/>
        <v>120</v>
      </c>
      <c r="AL12" s="286"/>
      <c r="AM12" s="258">
        <v>0</v>
      </c>
      <c r="AN12" s="258">
        <v>50</v>
      </c>
      <c r="AO12" s="262" t="s">
        <v>179</v>
      </c>
      <c r="AP12" s="260">
        <v>200</v>
      </c>
    </row>
    <row r="13" spans="1:42" ht="20.100000000000001" customHeight="1" x14ac:dyDescent="0.25">
      <c r="A13" s="226" t="s">
        <v>64</v>
      </c>
      <c r="B13" s="270">
        <f t="shared" si="8"/>
        <v>45818</v>
      </c>
      <c r="C13" s="462" t="s">
        <v>354</v>
      </c>
      <c r="D13" s="131" t="s">
        <v>292</v>
      </c>
      <c r="E13" s="342">
        <v>1.25</v>
      </c>
      <c r="F13" s="343" t="s">
        <v>179</v>
      </c>
      <c r="H13" s="226" t="s">
        <v>64</v>
      </c>
      <c r="I13" s="271">
        <f>MR!E27</f>
        <v>6.7</v>
      </c>
      <c r="J13" s="271">
        <f>MR!F27</f>
        <v>60.2</v>
      </c>
      <c r="K13" s="272">
        <f>IF('Day 10'!$M$51="","",'Day 10'!$M$51)</f>
        <v>201.96459999999999</v>
      </c>
      <c r="L13" s="345">
        <v>196.1</v>
      </c>
      <c r="M13" s="272">
        <f t="shared" si="5"/>
        <v>5.8645999999999958</v>
      </c>
      <c r="N13" s="273">
        <f>MR!M27</f>
        <v>1</v>
      </c>
      <c r="O13" s="274">
        <f t="shared" si="6"/>
        <v>1.1036838023390831</v>
      </c>
      <c r="P13" s="272">
        <f t="shared" si="7"/>
        <v>182.99135999999999</v>
      </c>
      <c r="Q13" s="275">
        <f>AD95</f>
        <v>182.99135999999999</v>
      </c>
      <c r="R13" s="250"/>
      <c r="S13" s="226" t="s">
        <v>64</v>
      </c>
      <c r="T13" s="271">
        <f t="shared" si="2"/>
        <v>60.2</v>
      </c>
      <c r="U13" s="272">
        <f>IF('Day 10'!$O$46="","",'Day 10'!$O$46)</f>
        <v>51.5</v>
      </c>
      <c r="V13" s="272">
        <f>IF('Day 10'!$O$47="","",'Day 10'!$O$47)</f>
        <v>7.8</v>
      </c>
      <c r="W13" s="345">
        <v>48.124400000000001</v>
      </c>
      <c r="X13" s="272">
        <f t="shared" si="3"/>
        <v>3.3755999999999986</v>
      </c>
      <c r="Y13" s="345">
        <v>7.9908000000000001</v>
      </c>
      <c r="Z13" s="272">
        <f t="shared" si="4"/>
        <v>-0.1908000000000003</v>
      </c>
      <c r="AA13" s="250"/>
      <c r="AB13" s="257">
        <v>2</v>
      </c>
      <c r="AC13" s="226"/>
      <c r="AD13" s="226"/>
      <c r="AH13" s="258">
        <f t="shared" si="0"/>
        <v>1</v>
      </c>
      <c r="AI13" s="258">
        <f t="shared" si="0"/>
        <v>50</v>
      </c>
      <c r="AJ13" s="259" t="str">
        <f t="shared" si="0"/>
        <v>4/0</v>
      </c>
      <c r="AK13" s="260">
        <f t="shared" si="1"/>
        <v>130.19999999999999</v>
      </c>
      <c r="AL13" s="261"/>
      <c r="AM13" s="258">
        <v>1</v>
      </c>
      <c r="AN13" s="258">
        <v>50</v>
      </c>
      <c r="AO13" s="262" t="s">
        <v>179</v>
      </c>
      <c r="AP13" s="260">
        <v>217</v>
      </c>
    </row>
    <row r="14" spans="1:42" ht="20.100000000000001" customHeight="1" x14ac:dyDescent="0.25">
      <c r="A14" s="226" t="s">
        <v>65</v>
      </c>
      <c r="B14" s="270">
        <f t="shared" si="8"/>
        <v>45819</v>
      </c>
      <c r="C14" s="462" t="s">
        <v>354</v>
      </c>
      <c r="D14" s="131" t="s">
        <v>292</v>
      </c>
      <c r="E14" s="342">
        <v>1.25</v>
      </c>
      <c r="F14" s="343" t="s">
        <v>179</v>
      </c>
      <c r="H14" s="226" t="s">
        <v>65</v>
      </c>
      <c r="I14" s="271">
        <f>MR!E28</f>
        <v>6.9</v>
      </c>
      <c r="J14" s="271">
        <f>MR!F28</f>
        <v>58.1</v>
      </c>
      <c r="K14" s="272">
        <f>IF('Day 11'!$M$51="","",'Day 11'!$M$51)</f>
        <v>210.845</v>
      </c>
      <c r="L14" s="345">
        <v>211.2</v>
      </c>
      <c r="M14" s="272">
        <f t="shared" si="5"/>
        <v>-0.35499999999998977</v>
      </c>
      <c r="N14" s="273">
        <f>MR!M28</f>
        <v>1</v>
      </c>
      <c r="O14" s="274">
        <f t="shared" si="6"/>
        <v>1.1317804840238297</v>
      </c>
      <c r="P14" s="272">
        <f t="shared" si="7"/>
        <v>186.29496</v>
      </c>
      <c r="Q14" s="275">
        <f>AD105</f>
        <v>186.29496</v>
      </c>
      <c r="R14" s="250"/>
      <c r="S14" s="226" t="s">
        <v>65</v>
      </c>
      <c r="T14" s="271">
        <f t="shared" si="2"/>
        <v>58.1</v>
      </c>
      <c r="U14" s="272">
        <f>IF('Day 11'!$O$46="","",'Day 11'!$O$46)</f>
        <v>37.5</v>
      </c>
      <c r="V14" s="272">
        <f>IF('Day 11'!$O$47="","",'Day 11'!$O$47)</f>
        <v>11.3</v>
      </c>
      <c r="W14" s="345">
        <v>43.459400000000002</v>
      </c>
      <c r="X14" s="272">
        <f t="shared" si="3"/>
        <v>-5.9594000000000023</v>
      </c>
      <c r="Y14" s="345">
        <v>10.0388</v>
      </c>
      <c r="Z14" s="272">
        <f t="shared" si="4"/>
        <v>1.2612000000000005</v>
      </c>
      <c r="AA14" s="250"/>
      <c r="AB14" s="241" t="s">
        <v>245</v>
      </c>
      <c r="AC14" s="241" t="s">
        <v>246</v>
      </c>
      <c r="AD14" s="241" t="s">
        <v>236</v>
      </c>
      <c r="AH14" s="258">
        <f t="shared" si="0"/>
        <v>2</v>
      </c>
      <c r="AI14" s="258">
        <f t="shared" si="0"/>
        <v>50</v>
      </c>
      <c r="AJ14" s="259" t="str">
        <f t="shared" si="0"/>
        <v>4/0</v>
      </c>
      <c r="AK14" s="260">
        <f t="shared" si="1"/>
        <v>140.4</v>
      </c>
      <c r="AL14" s="286"/>
      <c r="AM14" s="258">
        <v>2</v>
      </c>
      <c r="AN14" s="258">
        <v>50</v>
      </c>
      <c r="AO14" s="262" t="s">
        <v>179</v>
      </c>
      <c r="AP14" s="260">
        <v>234</v>
      </c>
    </row>
    <row r="15" spans="1:42" ht="20.100000000000001" customHeight="1" x14ac:dyDescent="0.25">
      <c r="A15" s="226" t="s">
        <v>66</v>
      </c>
      <c r="B15" s="270">
        <f t="shared" si="8"/>
        <v>45820</v>
      </c>
      <c r="C15" s="462" t="s">
        <v>354</v>
      </c>
      <c r="D15" s="131" t="s">
        <v>292</v>
      </c>
      <c r="E15" s="342">
        <v>1.25</v>
      </c>
      <c r="F15" s="343" t="s">
        <v>179</v>
      </c>
      <c r="H15" s="226" t="s">
        <v>66</v>
      </c>
      <c r="I15" s="271">
        <f>MR!E29</f>
        <v>6.6</v>
      </c>
      <c r="J15" s="271">
        <f>MR!F29</f>
        <v>58.8</v>
      </c>
      <c r="K15" s="272">
        <f>IF('Day 12'!$M$51="","",'Day 12'!$M$51)</f>
        <v>225.56720000000001</v>
      </c>
      <c r="L15" s="345">
        <v>214.3</v>
      </c>
      <c r="M15" s="272">
        <f t="shared" si="5"/>
        <v>11.267200000000003</v>
      </c>
      <c r="N15" s="273">
        <f>MR!M29</f>
        <v>1</v>
      </c>
      <c r="O15" s="274">
        <f t="shared" si="6"/>
        <v>1.2341809274686333</v>
      </c>
      <c r="P15" s="272">
        <f t="shared" si="7"/>
        <v>182.76671999999999</v>
      </c>
      <c r="Q15" s="275">
        <f>AD115</f>
        <v>182.76671999999999</v>
      </c>
      <c r="R15" s="250"/>
      <c r="S15" s="226" t="s">
        <v>66</v>
      </c>
      <c r="T15" s="271">
        <f t="shared" si="2"/>
        <v>58.8</v>
      </c>
      <c r="U15" s="272">
        <f>IF('Day 12'!$O$46="","",'Day 12'!$O$46)</f>
        <v>40.6</v>
      </c>
      <c r="V15" s="272">
        <f>IF('Day 12'!$O$47="","",'Day 12'!$O$47)</f>
        <v>11.8</v>
      </c>
      <c r="W15" s="345">
        <v>43.065300000000001</v>
      </c>
      <c r="X15" s="272">
        <f t="shared" si="3"/>
        <v>-2.4652999999999992</v>
      </c>
      <c r="Y15" s="345">
        <v>10.409700000000001</v>
      </c>
      <c r="Z15" s="272">
        <f t="shared" si="4"/>
        <v>1.3902999999999999</v>
      </c>
      <c r="AA15" s="250"/>
      <c r="AB15" s="276">
        <f>IF(I5="","",I5)</f>
        <v>6.9</v>
      </c>
      <c r="AC15" s="277">
        <f>IF(J5="","",J5)</f>
        <v>57.5</v>
      </c>
      <c r="AD15" s="278">
        <f>IF(OR(AB15="",AC15=""),"",IF(AE19&lt;&gt;"",AE21,AVERAGEIF(AD21:AF21,"&lt;&gt;0",AD21:AF21)))</f>
        <v>186.642</v>
      </c>
      <c r="AH15" s="258">
        <f t="shared" si="0"/>
        <v>3</v>
      </c>
      <c r="AI15" s="258">
        <f t="shared" si="0"/>
        <v>50</v>
      </c>
      <c r="AJ15" s="259" t="str">
        <f t="shared" si="0"/>
        <v>4/0</v>
      </c>
      <c r="AK15" s="260">
        <f t="shared" si="1"/>
        <v>150.6</v>
      </c>
      <c r="AL15" s="226"/>
      <c r="AM15" s="258">
        <v>3</v>
      </c>
      <c r="AN15" s="258">
        <v>50</v>
      </c>
      <c r="AO15" s="262" t="s">
        <v>179</v>
      </c>
      <c r="AP15" s="260">
        <v>251</v>
      </c>
    </row>
    <row r="16" spans="1:42" ht="20.100000000000001" customHeight="1" x14ac:dyDescent="0.25">
      <c r="A16" s="226" t="s">
        <v>67</v>
      </c>
      <c r="B16" s="270">
        <f t="shared" si="8"/>
        <v>45821</v>
      </c>
      <c r="C16" s="462" t="s">
        <v>354</v>
      </c>
      <c r="D16" s="131" t="s">
        <v>292</v>
      </c>
      <c r="E16" s="342">
        <v>1.25</v>
      </c>
      <c r="F16" s="343" t="s">
        <v>179</v>
      </c>
      <c r="H16" s="226" t="s">
        <v>67</v>
      </c>
      <c r="I16" s="271">
        <f>MR!E30</f>
        <v>6.7</v>
      </c>
      <c r="J16" s="271">
        <f>MR!F30</f>
        <v>61.5</v>
      </c>
      <c r="K16" s="272">
        <f>IF('Day 13'!$M$51="","",'Day 13'!$M$51)</f>
        <v>235.1138</v>
      </c>
      <c r="L16" s="345">
        <v>217.9</v>
      </c>
      <c r="M16" s="272">
        <f t="shared" si="5"/>
        <v>17.213799999999992</v>
      </c>
      <c r="N16" s="273">
        <f>MR!M30</f>
        <v>1</v>
      </c>
      <c r="O16" s="274">
        <f t="shared" si="6"/>
        <v>1.2901809330023291</v>
      </c>
      <c r="P16" s="272">
        <f t="shared" si="7"/>
        <v>182.23319999999998</v>
      </c>
      <c r="Q16" s="275">
        <f>AD125</f>
        <v>182.23319999999998</v>
      </c>
      <c r="R16" s="250"/>
      <c r="S16" s="226" t="s">
        <v>67</v>
      </c>
      <c r="T16" s="271">
        <f t="shared" si="2"/>
        <v>61.5</v>
      </c>
      <c r="U16" s="272">
        <f>IF('Day 13'!$O$46="","",'Day 13'!$O$46)</f>
        <v>44.2</v>
      </c>
      <c r="V16" s="272">
        <f>IF('Day 13'!$O$47="","",'Day 13'!$O$47)</f>
        <v>11.8</v>
      </c>
      <c r="W16" s="345">
        <v>43.979799999999997</v>
      </c>
      <c r="X16" s="272">
        <f t="shared" si="3"/>
        <v>0.2202000000000055</v>
      </c>
      <c r="Y16" s="345">
        <v>10.5937</v>
      </c>
      <c r="Z16" s="272">
        <f t="shared" si="4"/>
        <v>1.2063000000000006</v>
      </c>
      <c r="AA16" s="250"/>
      <c r="AC16" s="250" t="s">
        <v>182</v>
      </c>
      <c r="AE16" s="279" t="s">
        <v>247</v>
      </c>
      <c r="AH16" s="258">
        <f t="shared" si="0"/>
        <v>4</v>
      </c>
      <c r="AI16" s="258">
        <f t="shared" si="0"/>
        <v>50</v>
      </c>
      <c r="AJ16" s="259" t="str">
        <f t="shared" si="0"/>
        <v>4/0</v>
      </c>
      <c r="AK16" s="260">
        <f t="shared" si="1"/>
        <v>161.4</v>
      </c>
      <c r="AL16" s="226"/>
      <c r="AM16" s="258">
        <v>4</v>
      </c>
      <c r="AN16" s="258">
        <v>50</v>
      </c>
      <c r="AO16" s="262" t="s">
        <v>179</v>
      </c>
      <c r="AP16" s="260">
        <v>269</v>
      </c>
    </row>
    <row r="17" spans="1:42" ht="20.100000000000001" customHeight="1" x14ac:dyDescent="0.25">
      <c r="A17" s="226" t="s">
        <v>68</v>
      </c>
      <c r="B17" s="270">
        <f t="shared" si="8"/>
        <v>45822</v>
      </c>
      <c r="C17" s="462" t="s">
        <v>354</v>
      </c>
      <c r="D17" s="131" t="s">
        <v>292</v>
      </c>
      <c r="E17" s="342">
        <v>1.25</v>
      </c>
      <c r="F17" s="343" t="s">
        <v>179</v>
      </c>
      <c r="H17" s="226" t="s">
        <v>68</v>
      </c>
      <c r="I17" s="271">
        <f>MR!E31</f>
        <v>7.1</v>
      </c>
      <c r="J17" s="271">
        <f>MR!F31</f>
        <v>62.6</v>
      </c>
      <c r="K17" s="272">
        <f>IF('Day 14'!$M$51="","",'Day 14'!$M$51)</f>
        <v>226.1429</v>
      </c>
      <c r="L17" s="345">
        <v>210.2</v>
      </c>
      <c r="M17" s="272">
        <f t="shared" si="5"/>
        <v>15.942900000000009</v>
      </c>
      <c r="N17" s="273">
        <f>MR!M31</f>
        <v>1</v>
      </c>
      <c r="O17" s="274">
        <f t="shared" si="6"/>
        <v>1.2171821458989445</v>
      </c>
      <c r="P17" s="272">
        <f t="shared" si="7"/>
        <v>185.79215999999997</v>
      </c>
      <c r="Q17" s="275">
        <f>AD135</f>
        <v>185.79215999999997</v>
      </c>
      <c r="R17" s="250"/>
      <c r="S17" s="226" t="s">
        <v>68</v>
      </c>
      <c r="T17" s="271">
        <f t="shared" si="2"/>
        <v>62.6</v>
      </c>
      <c r="U17" s="272">
        <f>IF('Day 14'!$O$46="","",'Day 14'!$O$46)</f>
        <v>40.4</v>
      </c>
      <c r="V17" s="272">
        <f>IF('Day 14'!$O$47="","",'Day 14'!$O$47)</f>
        <v>11.8</v>
      </c>
      <c r="W17" s="345">
        <v>36.8371</v>
      </c>
      <c r="X17" s="272">
        <f t="shared" si="3"/>
        <v>3.5628999999999991</v>
      </c>
      <c r="Y17" s="345">
        <v>11.367000000000001</v>
      </c>
      <c r="Z17" s="272">
        <f t="shared" si="4"/>
        <v>0.43299999999999983</v>
      </c>
      <c r="AA17" s="250"/>
      <c r="AC17" s="281"/>
      <c r="AD17" s="282">
        <f>IF(AE17&gt;=400,400,IF(AE17&gt;=350,350,IF(AE17&gt;=325,325,IF(AE17&gt;=300,300,IF(AE17&gt;=275,275,IF(AE17&gt;=250,250,IF(AE17&gt;=225,225,IF(AE17&gt;=200,200,IF(AE17&gt;=175,175,IF(AE17&gt;=150,150,IF(AE17&gt;=125,125,IF(AE17&gt;=100,100,IF(AE17&gt;=75,75,50)))))))))))))</f>
        <v>50</v>
      </c>
      <c r="AE17" s="283">
        <f>AC15</f>
        <v>57.5</v>
      </c>
      <c r="AF17" s="282">
        <f>IF(AE17&lt;=50,50,IF(AE17&lt;=75,75,IF(AE17&lt;=100,100,IF(AE17&lt;=125,125,IF(AE17&lt;=150,150,IF(AE17&lt;=175,175,IF(AE17&lt;=200,200,IF(AE17&lt;=225,225,IF(AE17&lt;=250,250,IF(AE17&lt;=275,275,IF(AE17&lt;=300,300,IF(AE17&lt;=325,325,IF(AE17&lt;=350,350,400)))))))))))))</f>
        <v>75</v>
      </c>
      <c r="AH17" s="258">
        <f t="shared" si="0"/>
        <v>5</v>
      </c>
      <c r="AI17" s="258">
        <f t="shared" si="0"/>
        <v>50</v>
      </c>
      <c r="AJ17" s="259" t="str">
        <f t="shared" si="0"/>
        <v>4/0</v>
      </c>
      <c r="AK17" s="260">
        <f t="shared" si="1"/>
        <v>171.6</v>
      </c>
      <c r="AL17" s="226"/>
      <c r="AM17" s="258">
        <v>5</v>
      </c>
      <c r="AN17" s="258">
        <v>50</v>
      </c>
      <c r="AO17" s="262" t="s">
        <v>179</v>
      </c>
      <c r="AP17" s="260">
        <v>286</v>
      </c>
    </row>
    <row r="18" spans="1:42" ht="20.100000000000001" customHeight="1" x14ac:dyDescent="0.25">
      <c r="A18" s="226" t="s">
        <v>69</v>
      </c>
      <c r="B18" s="270">
        <f t="shared" si="8"/>
        <v>45823</v>
      </c>
      <c r="C18" s="462" t="s">
        <v>354</v>
      </c>
      <c r="D18" s="131" t="s">
        <v>292</v>
      </c>
      <c r="E18" s="342">
        <v>1.25</v>
      </c>
      <c r="F18" s="343" t="s">
        <v>179</v>
      </c>
      <c r="H18" s="226" t="s">
        <v>69</v>
      </c>
      <c r="I18" s="271">
        <f>MR!E32</f>
        <v>7.4</v>
      </c>
      <c r="J18" s="271">
        <f>MR!F32</f>
        <v>62.8</v>
      </c>
      <c r="K18" s="272">
        <f>IF('Day 15'!$M$51="","",'Day 15'!$M$51)</f>
        <v>244.6446</v>
      </c>
      <c r="L18" s="345">
        <v>214.9</v>
      </c>
      <c r="M18" s="272">
        <f t="shared" si="5"/>
        <v>29.744599999999991</v>
      </c>
      <c r="N18" s="273">
        <f>MR!M32</f>
        <v>1</v>
      </c>
      <c r="O18" s="274">
        <f t="shared" si="6"/>
        <v>1.2956201828239073</v>
      </c>
      <c r="P18" s="272">
        <f t="shared" si="7"/>
        <v>188.82432</v>
      </c>
      <c r="Q18" s="275">
        <f>AD145</f>
        <v>188.82432</v>
      </c>
      <c r="R18" s="250"/>
      <c r="S18" s="226" t="s">
        <v>69</v>
      </c>
      <c r="T18" s="271">
        <f t="shared" si="2"/>
        <v>62.8</v>
      </c>
      <c r="U18" s="272">
        <f>IF('Day 15'!$O$46="","",'Day 15'!$O$46)</f>
        <v>40</v>
      </c>
      <c r="V18" s="272">
        <f>IF('Day 15'!$O$47="","",'Day 15'!$O$47)</f>
        <v>14</v>
      </c>
      <c r="W18" s="472">
        <v>34.945700000000002</v>
      </c>
      <c r="X18" s="272">
        <f t="shared" si="3"/>
        <v>5.0542999999999978</v>
      </c>
      <c r="Y18" s="345">
        <v>12.3531</v>
      </c>
      <c r="Z18" s="272">
        <f t="shared" si="4"/>
        <v>1.6469000000000005</v>
      </c>
      <c r="AA18" s="250"/>
      <c r="AC18" s="282">
        <f>IF(AC19&gt;=0,ROUNDDOWN(AC19,0),ROUNDUP(AC19,0))</f>
        <v>6</v>
      </c>
      <c r="AD18" s="284">
        <f>IF(AD17=400,VLOOKUP(AC18,$AH$700:$AK$748,4),IF(AD17=350,VLOOKUP(AC18,$AH$650:$AK$698,4),IF(AD17=325,VLOOKUP(AC18,$AH$598:$AK$648,4),IF(AD17=300,VLOOKUP(AC18,$AH$544:$AK$596,4),IF(AD17=275,VLOOKUP(AC18,$AH$488:$AK$542,4),IF(AD17=250,VLOOKUP(AC18,$AH$431:$AK$486,4),IF(AD17=225,VLOOKUP(AC18,$AH$379:$AK$429,4),IF(AD17=200,VLOOKUP(AC18,$AH$319:$AK$377,4),IF(AD17=175,VLOOKUP(AC18,$AH$256:$AK$317,4),IF(AD17=150,VLOOKUP(AC18,$AH$192:$AK$254,4),IF(AD17=125,VLOOKUP(AC18,$AH$126:$AK$190,4),IF(AD17=100,VLOOKUP(AC18,$AH$81:$AK$124,4),IF(AD17=75,VLOOKUP(AC18,$AH$39:$AK$79,4),IF(AD17=50,VLOOKUP(AC18,$AH$3:$AK$37,4)))))))))))))))</f>
        <v>181.79999999999998</v>
      </c>
      <c r="AE18" s="285">
        <f>IFERROR((AE17-AD17)/(AF17-AD17)*(AF18-AD18)+AD18,"")</f>
        <v>177.29999999999998</v>
      </c>
      <c r="AF18" s="284">
        <f>IF(AF17=400,VLOOKUP(AC18,$AH$700:$AK$748,4),IF(AF17=350,VLOOKUP(AC18,$AH$650:$AK$698,4),IF(AF17=325,VLOOKUP(AC18,$AH$598:$AK$648,4),IF(AF17=300,VLOOKUP(AC18,$AH$544:$AK$596,4),IF(AF17=275,VLOOKUP(AC18,$AH$488:$AK$542,4),IF(AF17=250,VLOOKUP(AC18,$AH$431:$AK$486,4),IF(AF17=225,VLOOKUP(AC18,$AH$379:$AK$429,4),IF(AF17=200,VLOOKUP(AC18,$AH$319:$AK$377,4),IF(AF17=175,VLOOKUP(AC18,$AH$256:$AK$317,4),IF(AF17=150,VLOOKUP(AC18,$AH$192:$AK$254,4),IF(AF17=125,VLOOKUP(AC18,$AH$126:$AK$190,4),IF(AF17=100,VLOOKUP(AC18,$AH$81:$AK$124,4),IF(AF17=75,VLOOKUP(AC18,$AH$39:$AK$79,4),IF(AF17=50,VLOOKUP(AC18,$AH$3:$AK$37,4)))))))))))))))</f>
        <v>166.79999999999998</v>
      </c>
      <c r="AH18" s="258">
        <f t="shared" si="0"/>
        <v>6</v>
      </c>
      <c r="AI18" s="258">
        <f t="shared" si="0"/>
        <v>50</v>
      </c>
      <c r="AJ18" s="259" t="str">
        <f t="shared" si="0"/>
        <v>4/0</v>
      </c>
      <c r="AK18" s="260">
        <f t="shared" si="1"/>
        <v>181.79999999999998</v>
      </c>
      <c r="AL18" s="226"/>
      <c r="AM18" s="258">
        <v>6</v>
      </c>
      <c r="AN18" s="258">
        <v>50</v>
      </c>
      <c r="AO18" s="262" t="s">
        <v>179</v>
      </c>
      <c r="AP18" s="260">
        <v>303</v>
      </c>
    </row>
    <row r="19" spans="1:42" ht="20.100000000000001" customHeight="1" x14ac:dyDescent="0.25">
      <c r="A19" s="226" t="s">
        <v>70</v>
      </c>
      <c r="B19" s="270">
        <f t="shared" si="8"/>
        <v>45824</v>
      </c>
      <c r="C19" s="462" t="s">
        <v>354</v>
      </c>
      <c r="D19" s="131" t="s">
        <v>292</v>
      </c>
      <c r="E19" s="342">
        <v>1.25</v>
      </c>
      <c r="F19" s="343" t="s">
        <v>179</v>
      </c>
      <c r="H19" s="226" t="s">
        <v>70</v>
      </c>
      <c r="I19" s="271">
        <f>MR!E33</f>
        <v>7.6</v>
      </c>
      <c r="J19" s="271">
        <f>MR!F33</f>
        <v>65.7</v>
      </c>
      <c r="K19" s="272">
        <f>IF('Day 16'!$M$51="","",'Day 16'!$M$51)</f>
        <v>251.19130000000001</v>
      </c>
      <c r="L19" s="345">
        <v>258.60000000000002</v>
      </c>
      <c r="M19" s="272">
        <f t="shared" si="5"/>
        <v>-7.4087000000000103</v>
      </c>
      <c r="N19" s="273">
        <f>MR!M33</f>
        <v>1</v>
      </c>
      <c r="O19" s="274">
        <f t="shared" si="6"/>
        <v>1.3275743573091421</v>
      </c>
      <c r="P19" s="272">
        <f t="shared" si="7"/>
        <v>189.21071999999998</v>
      </c>
      <c r="Q19" s="275">
        <f>AD155</f>
        <v>189.21071999999998</v>
      </c>
      <c r="R19" s="250"/>
      <c r="S19" s="226" t="s">
        <v>70</v>
      </c>
      <c r="T19" s="271">
        <f t="shared" si="2"/>
        <v>65.7</v>
      </c>
      <c r="U19" s="272">
        <f>IF('Day 16'!$O$46="","",'Day 16'!$O$46)</f>
        <v>49.6</v>
      </c>
      <c r="V19" s="272">
        <f>IF('Day 16'!$O$47="","",'Day 16'!$O$47)</f>
        <v>12.5</v>
      </c>
      <c r="W19" s="345">
        <v>48.491199999999999</v>
      </c>
      <c r="X19" s="272">
        <f t="shared" si="3"/>
        <v>1.1088000000000022</v>
      </c>
      <c r="Y19" s="345">
        <v>13.998100000000001</v>
      </c>
      <c r="Z19" s="272">
        <f t="shared" si="4"/>
        <v>-1.4981000000000009</v>
      </c>
      <c r="AA19" s="250"/>
      <c r="AB19" s="287" t="s">
        <v>248</v>
      </c>
      <c r="AC19" s="288">
        <f>AB15</f>
        <v>6.9</v>
      </c>
      <c r="AD19" s="285">
        <f>IFERROR((AC19-AC18)/(AC20-AC18)*(AD20-AD18)+AD18,"")</f>
        <v>190.98</v>
      </c>
      <c r="AE19" s="278">
        <f>IFERROR((AE17-AF17)/(AD17-AF17)*(AD19-AF19)+AF19,"")</f>
        <v>186.642</v>
      </c>
      <c r="AF19" s="285">
        <f>IFERROR((AC19-AC18)/(AC20-AC18)*(AF20-AF18)+AF18,"")</f>
        <v>176.52</v>
      </c>
      <c r="AH19" s="258">
        <f t="shared" si="0"/>
        <v>7</v>
      </c>
      <c r="AI19" s="258">
        <f t="shared" si="0"/>
        <v>50</v>
      </c>
      <c r="AJ19" s="259" t="str">
        <f t="shared" si="0"/>
        <v>4/0</v>
      </c>
      <c r="AK19" s="260">
        <f t="shared" si="1"/>
        <v>192</v>
      </c>
      <c r="AL19" s="226"/>
      <c r="AM19" s="258">
        <v>7</v>
      </c>
      <c r="AN19" s="258">
        <v>50</v>
      </c>
      <c r="AO19" s="262" t="s">
        <v>179</v>
      </c>
      <c r="AP19" s="260">
        <v>320</v>
      </c>
    </row>
    <row r="20" spans="1:42" ht="20.100000000000001" customHeight="1" x14ac:dyDescent="0.25">
      <c r="A20" s="226" t="s">
        <v>71</v>
      </c>
      <c r="B20" s="270">
        <f t="shared" si="8"/>
        <v>45825</v>
      </c>
      <c r="C20" s="462" t="s">
        <v>354</v>
      </c>
      <c r="D20" s="131" t="s">
        <v>292</v>
      </c>
      <c r="E20" s="342">
        <v>1.25</v>
      </c>
      <c r="F20" s="343" t="s">
        <v>179</v>
      </c>
      <c r="H20" s="226" t="s">
        <v>71</v>
      </c>
      <c r="I20" s="271">
        <f>MR!E34</f>
        <v>7.6</v>
      </c>
      <c r="J20" s="271">
        <f>MR!F34</f>
        <v>67.599999999999994</v>
      </c>
      <c r="K20" s="272">
        <f>IF('Day 17'!$M$51="","",'Day 17'!$M$51)</f>
        <v>259.78289999999998</v>
      </c>
      <c r="L20" s="345">
        <v>244.9</v>
      </c>
      <c r="M20" s="272">
        <f t="shared" si="5"/>
        <v>14.882899999999978</v>
      </c>
      <c r="N20" s="273">
        <f>MR!M34</f>
        <v>1</v>
      </c>
      <c r="O20" s="274">
        <f t="shared" si="6"/>
        <v>1.3811703781019364</v>
      </c>
      <c r="P20" s="272">
        <f t="shared" si="7"/>
        <v>188.08895999999999</v>
      </c>
      <c r="Q20" s="275">
        <f>AD165</f>
        <v>188.08895999999999</v>
      </c>
      <c r="R20" s="250"/>
      <c r="S20" s="226" t="s">
        <v>71</v>
      </c>
      <c r="T20" s="271">
        <f t="shared" si="2"/>
        <v>67.599999999999994</v>
      </c>
      <c r="U20" s="272">
        <f>IF('Day 17'!$O$46="","",'Day 17'!$O$46)</f>
        <v>44</v>
      </c>
      <c r="V20" s="272">
        <f>IF('Day 17'!$O$47="","",'Day 17'!$O$47)</f>
        <v>14.6</v>
      </c>
      <c r="W20" s="345">
        <v>44.232300000000002</v>
      </c>
      <c r="X20" s="272">
        <f t="shared" si="3"/>
        <v>-0.23230000000000217</v>
      </c>
      <c r="Y20" s="345">
        <v>13.479200000000001</v>
      </c>
      <c r="Z20" s="272">
        <f t="shared" si="4"/>
        <v>1.1207999999999991</v>
      </c>
      <c r="AA20" s="250"/>
      <c r="AC20" s="282">
        <f>IF(AC19&gt;=0,ROUNDUP(AC19,0),ROUNDDOWN(AC19,0))</f>
        <v>7</v>
      </c>
      <c r="AD20" s="284">
        <f>IF(AD17=400,VLOOKUP(AC20,$AH$700:$AK$748,4),IF(AD17=350,VLOOKUP(AC20,$AH$650:$AK$698,4),IF(AD17=325,VLOOKUP(AC20,$AH$598:$AK$648,4),IF(AD17=300,VLOOKUP(AC20,$AH$544:$AK$596,4),IF(AD17=275,VLOOKUP(AC20,$AH$488:$AK$542,4),IF(AD17=250,VLOOKUP(AC20,$AH$431:$AK$486,4),IF(AD17=225,VLOOKUP(AC20,$AH$379:$AK$429,4),IF(AD17=200,VLOOKUP(AC20,$AH$319:$AK$377,4),IF(AD17=175,VLOOKUP(AC20,$AH$256:$AK$317,4),IF(AD17=150,VLOOKUP(AC20,$AH$192:$AK$254,4),IF(AD17=125,VLOOKUP(AC20,$AH$126:$AK$190,4),IF(AD17=100,VLOOKUP(AC20,$AH$81:$AK$124,4),IF(AD17=75,VLOOKUP(AC20,$AH$39:$AK$79,4),IF(AD17=50,VLOOKUP(AC20,$AH$3:$AK$37,4)))))))))))))))</f>
        <v>192</v>
      </c>
      <c r="AE20" s="285">
        <f>IFERROR((AE17-AD17)/(AF17-AD17)*(AF20-AD20)+AD20,"")</f>
        <v>187.68</v>
      </c>
      <c r="AF20" s="284">
        <f>IF(AF17=400,VLOOKUP(AC20,$AH$700:$AK$748,4),IF(AF17=350,VLOOKUP(AC20,$AH$650:$AK$698,4),IF(AF17=325,VLOOKUP(AC20,$AH$598:$AK$648,4),IF(AF17=300,VLOOKUP(AC20,$AH$544:$AK$596,4),IF(AF17=275,VLOOKUP(AC20,$AH$488:$AK$542,4),IF(AF17=250,VLOOKUP(AC20,$AH$431:$AK$486,4),IF(AF17=225,VLOOKUP(AC20,$AH$379:$AK$429,4),IF(AF17=200,VLOOKUP(AC20,$AH$319:$AK$377,4),IF(AF17=175,VLOOKUP(AC20,$AH$256:$AK$317,4),IF(AF17=150,VLOOKUP(AC20,$AH$192:$AK$254,4),IF(AF17=125,VLOOKUP(AC20,$AH$126:$AK$190,4),IF(AF17=100,VLOOKUP(AC20,$AH$81:$AK$124,4),IF(AF17=75,VLOOKUP(AC20,$AH$39:$AK$79,4),IF(AF17=50,VLOOKUP(AC20,$AH$3:$AK$37,4)))))))))))))))</f>
        <v>177.6</v>
      </c>
      <c r="AH20" s="258">
        <f t="shared" si="0"/>
        <v>8</v>
      </c>
      <c r="AI20" s="258">
        <f t="shared" si="0"/>
        <v>50</v>
      </c>
      <c r="AJ20" s="259" t="str">
        <f t="shared" si="0"/>
        <v>4/0</v>
      </c>
      <c r="AK20" s="260">
        <f t="shared" si="1"/>
        <v>202.79999999999998</v>
      </c>
      <c r="AL20" s="226"/>
      <c r="AM20" s="258">
        <v>8</v>
      </c>
      <c r="AN20" s="258">
        <v>50</v>
      </c>
      <c r="AO20" s="262" t="s">
        <v>179</v>
      </c>
      <c r="AP20" s="260">
        <v>338</v>
      </c>
    </row>
    <row r="21" spans="1:42" ht="20.100000000000001" customHeight="1" x14ac:dyDescent="0.25">
      <c r="A21" s="226" t="s">
        <v>72</v>
      </c>
      <c r="B21" s="270">
        <f t="shared" si="8"/>
        <v>45826</v>
      </c>
      <c r="C21" s="462" t="s">
        <v>354</v>
      </c>
      <c r="D21" s="131" t="s">
        <v>292</v>
      </c>
      <c r="E21" s="342">
        <v>1.25</v>
      </c>
      <c r="F21" s="343" t="s">
        <v>179</v>
      </c>
      <c r="H21" s="226" t="s">
        <v>72</v>
      </c>
      <c r="I21" s="271">
        <f>MR!E35</f>
        <v>7.5</v>
      </c>
      <c r="J21" s="271">
        <f>MR!F35</f>
        <v>68.099999999999994</v>
      </c>
      <c r="K21" s="272">
        <f>IF('Day 18'!$M$51="","",'Day 18'!$M$51)</f>
        <v>253.7646</v>
      </c>
      <c r="L21" s="345">
        <v>248.4</v>
      </c>
      <c r="M21" s="272">
        <f t="shared" si="5"/>
        <v>5.3645999999999958</v>
      </c>
      <c r="N21" s="273">
        <f>MR!M35</f>
        <v>1</v>
      </c>
      <c r="O21" s="274">
        <f t="shared" si="6"/>
        <v>1.3587941990991512</v>
      </c>
      <c r="P21" s="272">
        <f t="shared" si="7"/>
        <v>186.75719999999998</v>
      </c>
      <c r="Q21" s="275">
        <f>AD175</f>
        <v>186.75719999999998</v>
      </c>
      <c r="R21" s="250"/>
      <c r="S21" s="226" t="s">
        <v>72</v>
      </c>
      <c r="T21" s="271">
        <f t="shared" si="2"/>
        <v>68.099999999999994</v>
      </c>
      <c r="U21" s="272">
        <f>IF('Day 18'!$O$46="","",'Day 18'!$O$46)</f>
        <v>45.8</v>
      </c>
      <c r="V21" s="272">
        <f>IF('Day 18'!$O$47="","",'Day 18'!$O$47)</f>
        <v>13.4</v>
      </c>
      <c r="W21" s="345">
        <v>45.402900000000002</v>
      </c>
      <c r="X21" s="272">
        <f t="shared" si="3"/>
        <v>0.39709999999999468</v>
      </c>
      <c r="Y21" s="345">
        <v>13.5947</v>
      </c>
      <c r="Z21" s="272">
        <f t="shared" si="4"/>
        <v>-0.19469999999999921</v>
      </c>
      <c r="AA21" s="250"/>
      <c r="AD21" s="289">
        <f>IF(AD19&lt;&gt;"",AD19,AVERAGE(AD18:AD20))</f>
        <v>190.98</v>
      </c>
      <c r="AE21" s="289">
        <f>IF(AE19&lt;&gt;"",AE19,IF(SUM(AE18:AE20)=0,"",AVERAGE(AE18:AE20)))</f>
        <v>186.642</v>
      </c>
      <c r="AF21" s="289">
        <f>IF(AF19&lt;&gt;"",AF19,AVERAGE(AF18:AF20))</f>
        <v>176.52</v>
      </c>
      <c r="AH21" s="258">
        <f t="shared" si="0"/>
        <v>9</v>
      </c>
      <c r="AI21" s="258">
        <f t="shared" si="0"/>
        <v>50</v>
      </c>
      <c r="AJ21" s="259" t="str">
        <f t="shared" si="0"/>
        <v>4/0</v>
      </c>
      <c r="AK21" s="260">
        <f t="shared" si="1"/>
        <v>213</v>
      </c>
      <c r="AL21" s="226"/>
      <c r="AM21" s="258">
        <v>9</v>
      </c>
      <c r="AN21" s="258">
        <v>50</v>
      </c>
      <c r="AO21" s="262" t="s">
        <v>179</v>
      </c>
      <c r="AP21" s="260">
        <v>355</v>
      </c>
    </row>
    <row r="22" spans="1:42" ht="20.100000000000001" customHeight="1" x14ac:dyDescent="0.25">
      <c r="A22" s="226" t="s">
        <v>73</v>
      </c>
      <c r="B22" s="270">
        <f t="shared" si="8"/>
        <v>45827</v>
      </c>
      <c r="C22" s="462" t="s">
        <v>354</v>
      </c>
      <c r="D22" s="131" t="s">
        <v>292</v>
      </c>
      <c r="E22" s="342">
        <v>1.25</v>
      </c>
      <c r="F22" s="343" t="s">
        <v>179</v>
      </c>
      <c r="H22" s="226" t="s">
        <v>73</v>
      </c>
      <c r="I22" s="271">
        <f>MR!E36</f>
        <v>7.4</v>
      </c>
      <c r="J22" s="271">
        <f>MR!F36</f>
        <v>67.900000000000006</v>
      </c>
      <c r="K22" s="272">
        <f>IF('Day 19'!$M$51="","",'Day 19'!$M$51)</f>
        <v>252.82830000000001</v>
      </c>
      <c r="L22" s="345">
        <v>240</v>
      </c>
      <c r="M22" s="272">
        <f t="shared" si="5"/>
        <v>12.828300000000013</v>
      </c>
      <c r="N22" s="273">
        <f>MR!M36</f>
        <v>1</v>
      </c>
      <c r="O22" s="274">
        <f t="shared" si="6"/>
        <v>1.3604786239352002</v>
      </c>
      <c r="P22" s="272">
        <f t="shared" si="7"/>
        <v>185.83776</v>
      </c>
      <c r="Q22" s="275">
        <f>AD185</f>
        <v>185.83776</v>
      </c>
      <c r="R22" s="250"/>
      <c r="S22" s="226" t="s">
        <v>73</v>
      </c>
      <c r="T22" s="271">
        <f t="shared" si="2"/>
        <v>67.900000000000006</v>
      </c>
      <c r="U22" s="272">
        <f>IF('Day 19'!$O$46="","",'Day 19'!$O$46)</f>
        <v>40.6</v>
      </c>
      <c r="V22" s="272">
        <f>IF('Day 19'!$O$47="","",'Day 19'!$O$47)</f>
        <v>14.8</v>
      </c>
      <c r="W22" s="345">
        <v>41.064</v>
      </c>
      <c r="X22" s="272">
        <f t="shared" si="3"/>
        <v>-0.46399999999999864</v>
      </c>
      <c r="Y22" s="345">
        <v>13.7018</v>
      </c>
      <c r="Z22" s="272">
        <f t="shared" si="4"/>
        <v>1.0982000000000003</v>
      </c>
      <c r="AA22" s="250"/>
      <c r="AH22" s="258">
        <f t="shared" si="0"/>
        <v>10</v>
      </c>
      <c r="AI22" s="258">
        <f t="shared" si="0"/>
        <v>50</v>
      </c>
      <c r="AJ22" s="259" t="str">
        <f t="shared" si="0"/>
        <v>4/0</v>
      </c>
      <c r="AK22" s="260">
        <f t="shared" si="1"/>
        <v>223.79999999999998</v>
      </c>
      <c r="AL22" s="226"/>
      <c r="AM22" s="258">
        <v>10</v>
      </c>
      <c r="AN22" s="258">
        <v>50</v>
      </c>
      <c r="AO22" s="262" t="s">
        <v>179</v>
      </c>
      <c r="AP22" s="260">
        <v>373</v>
      </c>
    </row>
    <row r="23" spans="1:42" ht="20.100000000000001" customHeight="1" x14ac:dyDescent="0.25">
      <c r="A23" s="226" t="s">
        <v>74</v>
      </c>
      <c r="B23" s="270">
        <f t="shared" si="8"/>
        <v>45828</v>
      </c>
      <c r="C23" s="462" t="s">
        <v>354</v>
      </c>
      <c r="D23" s="131" t="s">
        <v>292</v>
      </c>
      <c r="E23" s="342">
        <v>1.25</v>
      </c>
      <c r="F23" s="343" t="s">
        <v>179</v>
      </c>
      <c r="H23" s="226" t="s">
        <v>74</v>
      </c>
      <c r="I23" s="271">
        <f>MR!E37</f>
        <v>7.3</v>
      </c>
      <c r="J23" s="271">
        <f>MR!F37</f>
        <v>61</v>
      </c>
      <c r="K23" s="272">
        <f>IF('Day 20'!$M$51="","",'Day 20'!$M$51)</f>
        <v>245.78129999999999</v>
      </c>
      <c r="L23" s="345">
        <v>243.6</v>
      </c>
      <c r="M23" s="272">
        <f t="shared" si="5"/>
        <v>2.1812999999999931</v>
      </c>
      <c r="N23" s="273">
        <f>MR!M37</f>
        <v>1</v>
      </c>
      <c r="O23" s="274">
        <f t="shared" si="6"/>
        <v>1.3016367553414594</v>
      </c>
      <c r="P23" s="272">
        <f t="shared" si="7"/>
        <v>188.82479999999998</v>
      </c>
      <c r="Q23" s="275">
        <f>AD195</f>
        <v>188.82479999999998</v>
      </c>
      <c r="R23" s="250"/>
      <c r="S23" s="226" t="s">
        <v>74</v>
      </c>
      <c r="T23" s="271">
        <f t="shared" si="2"/>
        <v>61</v>
      </c>
      <c r="U23" s="272">
        <f>IF('Day 20'!$O$46="","",'Day 20'!$O$46)</f>
        <v>43.5</v>
      </c>
      <c r="V23" s="272">
        <f>IF('Day 20'!$O$47="","",'Day 20'!$O$47)</f>
        <v>13.1</v>
      </c>
      <c r="W23" s="345">
        <v>41.313800000000001</v>
      </c>
      <c r="X23" s="272">
        <f t="shared" si="3"/>
        <v>2.1861999999999995</v>
      </c>
      <c r="Y23" s="345">
        <v>14.043799999999999</v>
      </c>
      <c r="Z23" s="272">
        <f t="shared" si="4"/>
        <v>-0.94379999999999953</v>
      </c>
      <c r="AA23" s="250"/>
      <c r="AB23" s="257">
        <v>3</v>
      </c>
      <c r="AC23" s="226"/>
      <c r="AD23" s="226"/>
      <c r="AH23" s="258">
        <f t="shared" si="0"/>
        <v>11</v>
      </c>
      <c r="AI23" s="258">
        <f t="shared" si="0"/>
        <v>50</v>
      </c>
      <c r="AJ23" s="259" t="str">
        <f t="shared" si="0"/>
        <v>4/0</v>
      </c>
      <c r="AK23" s="260">
        <f t="shared" si="1"/>
        <v>234</v>
      </c>
      <c r="AL23" s="226"/>
      <c r="AM23" s="258">
        <v>11</v>
      </c>
      <c r="AN23" s="258">
        <v>50</v>
      </c>
      <c r="AO23" s="262" t="s">
        <v>179</v>
      </c>
      <c r="AP23" s="260">
        <v>390</v>
      </c>
    </row>
    <row r="24" spans="1:42" ht="20.100000000000001" customHeight="1" x14ac:dyDescent="0.25">
      <c r="A24" s="226" t="s">
        <v>75</v>
      </c>
      <c r="B24" s="270">
        <f t="shared" si="8"/>
        <v>45829</v>
      </c>
      <c r="C24" s="462" t="s">
        <v>354</v>
      </c>
      <c r="D24" s="131" t="s">
        <v>292</v>
      </c>
      <c r="E24" s="342">
        <v>1.25</v>
      </c>
      <c r="F24" s="343" t="s">
        <v>179</v>
      </c>
      <c r="H24" s="226" t="s">
        <v>75</v>
      </c>
      <c r="I24" s="271">
        <f>MR!E38</f>
        <v>7</v>
      </c>
      <c r="J24" s="271">
        <f>MR!F38</f>
        <v>62.9</v>
      </c>
      <c r="K24" s="272">
        <f>IF('Day 21'!$M$51="","",'Day 21'!$M$51)</f>
        <v>238.9229</v>
      </c>
      <c r="L24" s="345">
        <v>232.6</v>
      </c>
      <c r="M24" s="272">
        <f t="shared" si="5"/>
        <v>6.3229000000000042</v>
      </c>
      <c r="N24" s="290">
        <f>MR!M38</f>
        <v>1</v>
      </c>
      <c r="O24" s="274">
        <f t="shared" si="6"/>
        <v>1.2934103566850292</v>
      </c>
      <c r="P24" s="272">
        <f t="shared" si="7"/>
        <v>184.72320000000002</v>
      </c>
      <c r="Q24" s="275">
        <f>AD205</f>
        <v>184.72320000000002</v>
      </c>
      <c r="R24" s="250"/>
      <c r="S24" s="226" t="s">
        <v>75</v>
      </c>
      <c r="T24" s="271">
        <f t="shared" si="2"/>
        <v>62.9</v>
      </c>
      <c r="U24" s="272">
        <f>IF('Day 21'!$O$46="","",'Day 21'!$O$46)</f>
        <v>32.700000000000003</v>
      </c>
      <c r="V24" s="272">
        <f>IF('Day 21'!$O$47="","",'Day 21'!$O$47)</f>
        <v>15.6</v>
      </c>
      <c r="W24" s="345">
        <v>33.1068</v>
      </c>
      <c r="X24" s="272">
        <f t="shared" si="3"/>
        <v>-0.40679999999999694</v>
      </c>
      <c r="Y24" s="345">
        <v>15.063700000000001</v>
      </c>
      <c r="Z24" s="272">
        <f t="shared" si="4"/>
        <v>0.53629999999999889</v>
      </c>
      <c r="AA24" s="250"/>
      <c r="AB24" s="241" t="s">
        <v>245</v>
      </c>
      <c r="AC24" s="241" t="s">
        <v>246</v>
      </c>
      <c r="AD24" s="241" t="s">
        <v>236</v>
      </c>
      <c r="AH24" s="258">
        <f t="shared" si="0"/>
        <v>12</v>
      </c>
      <c r="AI24" s="258">
        <f t="shared" si="0"/>
        <v>50</v>
      </c>
      <c r="AJ24" s="259" t="str">
        <f t="shared" si="0"/>
        <v>4/0</v>
      </c>
      <c r="AK24" s="260">
        <f t="shared" si="1"/>
        <v>244.2</v>
      </c>
      <c r="AL24" s="226"/>
      <c r="AM24" s="258">
        <v>12</v>
      </c>
      <c r="AN24" s="258">
        <v>50</v>
      </c>
      <c r="AO24" s="262" t="s">
        <v>179</v>
      </c>
      <c r="AP24" s="260">
        <v>407</v>
      </c>
    </row>
    <row r="25" spans="1:42" ht="20.100000000000001" customHeight="1" x14ac:dyDescent="0.25">
      <c r="A25" s="226" t="s">
        <v>76</v>
      </c>
      <c r="B25" s="270">
        <f t="shared" si="8"/>
        <v>45830</v>
      </c>
      <c r="C25" s="462" t="s">
        <v>354</v>
      </c>
      <c r="D25" s="131" t="s">
        <v>292</v>
      </c>
      <c r="E25" s="342">
        <v>1.25</v>
      </c>
      <c r="F25" s="343" t="s">
        <v>179</v>
      </c>
      <c r="H25" s="226" t="s">
        <v>76</v>
      </c>
      <c r="I25" s="271">
        <f>MR!E39</f>
        <v>7.6</v>
      </c>
      <c r="J25" s="271">
        <f>MR!F39</f>
        <v>63</v>
      </c>
      <c r="K25" s="272">
        <f>IF('Day 22'!$M$51="","",'Day 22'!$M$51)</f>
        <v>216.98500000000001</v>
      </c>
      <c r="L25" s="345">
        <v>212.8</v>
      </c>
      <c r="M25" s="272">
        <f t="shared" si="5"/>
        <v>4.1850000000000023</v>
      </c>
      <c r="N25" s="290">
        <f>MR!M39</f>
        <v>0.91666666666666663</v>
      </c>
      <c r="O25" s="274">
        <f t="shared" si="6"/>
        <v>1.240592003403002</v>
      </c>
      <c r="P25" s="272">
        <f t="shared" si="7"/>
        <v>174.90439999999998</v>
      </c>
      <c r="Q25" s="275">
        <f>AD215</f>
        <v>190.80479999999997</v>
      </c>
      <c r="R25" s="250"/>
      <c r="S25" s="226" t="s">
        <v>76</v>
      </c>
      <c r="T25" s="271">
        <f t="shared" si="2"/>
        <v>63</v>
      </c>
      <c r="U25" s="272">
        <f>IF('Day 22'!$O$46="","",'Day 22'!$O$46)</f>
        <v>43</v>
      </c>
      <c r="V25" s="272">
        <f>IF('Day 22'!$O$47="","",'Day 22'!$O$47)</f>
        <v>12.4</v>
      </c>
      <c r="W25" s="345">
        <v>31.29</v>
      </c>
      <c r="X25" s="272">
        <f t="shared" si="3"/>
        <v>11.71</v>
      </c>
      <c r="Y25" s="345">
        <v>13.0487</v>
      </c>
      <c r="Z25" s="272">
        <f t="shared" si="4"/>
        <v>-0.64869999999999983</v>
      </c>
      <c r="AA25" s="250"/>
      <c r="AB25" s="276">
        <f>IF(I6="","",I6)</f>
        <v>6.5</v>
      </c>
      <c r="AC25" s="277">
        <f>IF(J6="","",J6)</f>
        <v>58.6</v>
      </c>
      <c r="AD25" s="278">
        <f>IF(OR(AB25="",AC25=""),"",IF(AE29&lt;&gt;"",AE31,AVERAGEIF(AD31:AF31,"&lt;&gt;0",AD31:AF31)))</f>
        <v>181.84319999999997</v>
      </c>
      <c r="AH25" s="258">
        <f t="shared" si="0"/>
        <v>13</v>
      </c>
      <c r="AI25" s="258">
        <f t="shared" si="0"/>
        <v>50</v>
      </c>
      <c r="AJ25" s="259" t="str">
        <f t="shared" si="0"/>
        <v>4/0</v>
      </c>
      <c r="AK25" s="260">
        <f t="shared" si="1"/>
        <v>255</v>
      </c>
      <c r="AL25" s="226"/>
      <c r="AM25" s="258">
        <v>13</v>
      </c>
      <c r="AN25" s="258">
        <v>50</v>
      </c>
      <c r="AO25" s="262" t="s">
        <v>179</v>
      </c>
      <c r="AP25" s="260">
        <v>425</v>
      </c>
    </row>
    <row r="26" spans="1:42" ht="20.100000000000001" customHeight="1" x14ac:dyDescent="0.25">
      <c r="A26" s="226" t="s">
        <v>77</v>
      </c>
      <c r="B26" s="270">
        <f t="shared" si="8"/>
        <v>45831</v>
      </c>
      <c r="C26" s="462" t="s">
        <v>354</v>
      </c>
      <c r="D26" s="131" t="s">
        <v>292</v>
      </c>
      <c r="E26" s="342">
        <v>1.25</v>
      </c>
      <c r="F26" s="343" t="s">
        <v>179</v>
      </c>
      <c r="H26" s="226" t="s">
        <v>77</v>
      </c>
      <c r="I26" s="271">
        <f>MR!E40</f>
        <v>6.3</v>
      </c>
      <c r="J26" s="271">
        <f>MR!F40</f>
        <v>63.2</v>
      </c>
      <c r="K26" s="272">
        <f>IF('Day 23'!$M$51="","",'Day 23'!$M$51)</f>
        <v>230.00749999999999</v>
      </c>
      <c r="L26" s="345">
        <v>227</v>
      </c>
      <c r="M26" s="272">
        <f t="shared" si="5"/>
        <v>3.0074999999999932</v>
      </c>
      <c r="N26" s="290">
        <f>MR!M40</f>
        <v>1</v>
      </c>
      <c r="O26" s="274">
        <f t="shared" si="6"/>
        <v>1.2992201995717911</v>
      </c>
      <c r="P26" s="272">
        <f t="shared" si="7"/>
        <v>177.03503999999998</v>
      </c>
      <c r="Q26" s="275">
        <f>AD225</f>
        <v>177.03503999999998</v>
      </c>
      <c r="R26" s="250"/>
      <c r="S26" s="226" t="s">
        <v>77</v>
      </c>
      <c r="T26" s="271">
        <f t="shared" si="2"/>
        <v>63.2</v>
      </c>
      <c r="U26" s="272">
        <f>IF('Day 23'!$O$46="","",'Day 23'!$O$46)</f>
        <v>35</v>
      </c>
      <c r="V26" s="272">
        <f>IF('Day 23'!$O$47="","",'Day 23'!$O$47)</f>
        <v>13.7</v>
      </c>
      <c r="W26" s="345">
        <v>30.605899999999998</v>
      </c>
      <c r="X26" s="272">
        <f t="shared" si="3"/>
        <v>4.3941000000000017</v>
      </c>
      <c r="Y26" s="345">
        <v>15.011799999999999</v>
      </c>
      <c r="Z26" s="272">
        <f t="shared" si="4"/>
        <v>-1.3117999999999999</v>
      </c>
      <c r="AA26" s="250"/>
      <c r="AC26" s="250" t="s">
        <v>182</v>
      </c>
      <c r="AE26" s="279" t="s">
        <v>247</v>
      </c>
      <c r="AH26" s="258">
        <f t="shared" si="0"/>
        <v>14</v>
      </c>
      <c r="AI26" s="258">
        <f t="shared" si="0"/>
        <v>50</v>
      </c>
      <c r="AJ26" s="259" t="str">
        <f t="shared" si="0"/>
        <v>4/0</v>
      </c>
      <c r="AK26" s="260">
        <f t="shared" si="1"/>
        <v>265.2</v>
      </c>
      <c r="AL26" s="226"/>
      <c r="AM26" s="258">
        <v>14</v>
      </c>
      <c r="AN26" s="258">
        <v>50</v>
      </c>
      <c r="AO26" s="262" t="s">
        <v>179</v>
      </c>
      <c r="AP26" s="260">
        <v>442</v>
      </c>
    </row>
    <row r="27" spans="1:42" ht="20.100000000000001" customHeight="1" x14ac:dyDescent="0.25">
      <c r="A27" s="226" t="s">
        <v>78</v>
      </c>
      <c r="B27" s="270">
        <f t="shared" si="8"/>
        <v>45832</v>
      </c>
      <c r="C27" s="462" t="s">
        <v>354</v>
      </c>
      <c r="D27" s="131" t="s">
        <v>292</v>
      </c>
      <c r="E27" s="342">
        <v>1.25</v>
      </c>
      <c r="F27" s="343" t="s">
        <v>179</v>
      </c>
      <c r="H27" s="226" t="s">
        <v>78</v>
      </c>
      <c r="I27" s="271">
        <f>MR!E41</f>
        <v>6.9</v>
      </c>
      <c r="J27" s="271">
        <f>MR!F41</f>
        <v>62.9</v>
      </c>
      <c r="K27" s="272">
        <f>IF('Day 24'!$M$51="","",'Day 24'!$M$51)</f>
        <v>232.035</v>
      </c>
      <c r="L27" s="345">
        <v>214.8</v>
      </c>
      <c r="M27" s="272">
        <f t="shared" si="5"/>
        <v>17.234999999999985</v>
      </c>
      <c r="N27" s="290">
        <f>MR!M41</f>
        <v>1</v>
      </c>
      <c r="O27" s="274">
        <f t="shared" si="6"/>
        <v>1.2643674778758167</v>
      </c>
      <c r="P27" s="272">
        <f t="shared" si="7"/>
        <v>183.51864</v>
      </c>
      <c r="Q27" s="275">
        <f>AD235</f>
        <v>183.51864</v>
      </c>
      <c r="R27" s="250"/>
      <c r="S27" s="226" t="s">
        <v>78</v>
      </c>
      <c r="T27" s="271">
        <f t="shared" si="2"/>
        <v>62.9</v>
      </c>
      <c r="U27" s="272">
        <f>IF('Day 24'!$O$46="","",'Day 24'!$O$46)</f>
        <v>40.6</v>
      </c>
      <c r="V27" s="272">
        <f>IF('Day 24'!$O$47="","",'Day 24'!$O$47)</f>
        <v>12.2</v>
      </c>
      <c r="W27" s="345">
        <v>38.770000000000003</v>
      </c>
      <c r="X27" s="272">
        <f t="shared" si="3"/>
        <v>1.8299999999999983</v>
      </c>
      <c r="Y27" s="345">
        <v>11.3286</v>
      </c>
      <c r="Z27" s="272">
        <f t="shared" si="4"/>
        <v>0.87139999999999951</v>
      </c>
      <c r="AA27" s="250"/>
      <c r="AC27" s="281"/>
      <c r="AD27" s="282">
        <f>IF(AE27&gt;=400,400,IF(AE27&gt;=350,350,IF(AE27&gt;=325,325,IF(AE27&gt;=300,300,IF(AE27&gt;=275,275,IF(AE27&gt;=250,250,IF(AE27&gt;=225,225,IF(AE27&gt;=200,200,IF(AE27&gt;=175,175,IF(AE27&gt;=150,150,IF(AE27&gt;=125,125,IF(AE27&gt;=100,100,IF(AE27&gt;=75,75,50)))))))))))))</f>
        <v>50</v>
      </c>
      <c r="AE27" s="283">
        <f>AC25</f>
        <v>58.6</v>
      </c>
      <c r="AF27" s="282">
        <f>IF(AE27&lt;=50,50,IF(AE27&lt;=75,75,IF(AE27&lt;=100,100,IF(AE27&lt;=125,125,IF(AE27&lt;=150,150,IF(AE27&lt;=175,175,IF(AE27&lt;=200,200,IF(AE27&lt;=225,225,IF(AE27&lt;=250,250,IF(AE27&lt;=275,275,IF(AE27&lt;=300,300,IF(AE27&lt;=325,325,IF(AE27&lt;=350,350,400)))))))))))))</f>
        <v>75</v>
      </c>
      <c r="AH27" s="258">
        <f t="shared" si="0"/>
        <v>15</v>
      </c>
      <c r="AI27" s="258">
        <f t="shared" si="0"/>
        <v>50</v>
      </c>
      <c r="AJ27" s="259" t="str">
        <f t="shared" si="0"/>
        <v>4/0</v>
      </c>
      <c r="AK27" s="260">
        <f t="shared" si="1"/>
        <v>276</v>
      </c>
      <c r="AL27" s="226"/>
      <c r="AM27" s="258">
        <v>15</v>
      </c>
      <c r="AN27" s="258">
        <v>50</v>
      </c>
      <c r="AO27" s="262" t="s">
        <v>179</v>
      </c>
      <c r="AP27" s="260">
        <v>460</v>
      </c>
    </row>
    <row r="28" spans="1:42" ht="20.100000000000001" customHeight="1" x14ac:dyDescent="0.25">
      <c r="A28" s="226" t="s">
        <v>79</v>
      </c>
      <c r="B28" s="270">
        <f t="shared" si="8"/>
        <v>45833</v>
      </c>
      <c r="C28" s="462" t="s">
        <v>354</v>
      </c>
      <c r="D28" s="131" t="s">
        <v>292</v>
      </c>
      <c r="E28" s="342">
        <v>1.25</v>
      </c>
      <c r="F28" s="343" t="s">
        <v>179</v>
      </c>
      <c r="H28" s="226" t="s">
        <v>79</v>
      </c>
      <c r="I28" s="271">
        <f>MR!E42</f>
        <v>6.5</v>
      </c>
      <c r="J28" s="271">
        <f>MR!F42</f>
        <v>63.6</v>
      </c>
      <c r="K28" s="272">
        <f>IF('Day 25'!$M$51="","",'Day 25'!$M$51)</f>
        <v>241.2354</v>
      </c>
      <c r="L28" s="345">
        <v>225.1</v>
      </c>
      <c r="M28" s="272">
        <f t="shared" si="5"/>
        <v>16.135400000000004</v>
      </c>
      <c r="N28" s="290">
        <f>MR!M42</f>
        <v>1</v>
      </c>
      <c r="O28" s="274">
        <f t="shared" si="6"/>
        <v>1.3484129965254956</v>
      </c>
      <c r="P28" s="272">
        <f t="shared" si="7"/>
        <v>178.90319999999997</v>
      </c>
      <c r="Q28" s="275">
        <f>AD245</f>
        <v>178.90319999999997</v>
      </c>
      <c r="R28" s="250"/>
      <c r="S28" s="226" t="s">
        <v>79</v>
      </c>
      <c r="T28" s="271">
        <f t="shared" si="2"/>
        <v>63.6</v>
      </c>
      <c r="U28" s="272">
        <f>IF('Day 25'!$O$46="","",'Day 25'!$O$46)</f>
        <v>48.1</v>
      </c>
      <c r="V28" s="272">
        <f>IF('Day 25'!$O$47="","",'Day 25'!$O$47)</f>
        <v>11.9</v>
      </c>
      <c r="W28" s="345">
        <v>41.945700000000002</v>
      </c>
      <c r="X28" s="272">
        <f t="shared" si="3"/>
        <v>6.1542999999999992</v>
      </c>
      <c r="Y28" s="345">
        <v>11.7361</v>
      </c>
      <c r="Z28" s="272">
        <f t="shared" si="4"/>
        <v>0.16389999999999993</v>
      </c>
      <c r="AA28" s="250"/>
      <c r="AC28" s="282">
        <f>IF(AC29&gt;=0,ROUNDDOWN(AC29,0),ROUNDUP(AC29,0))</f>
        <v>6</v>
      </c>
      <c r="AD28" s="284">
        <f>IF(AD27=400,VLOOKUP(AC28,$AH$700:$AK$748,4),IF(AD27=350,VLOOKUP(AC28,$AH$650:$AK$698,4),IF(AD27=325,VLOOKUP(AC28,$AH$598:$AK$648,4),IF(AD27=300,VLOOKUP(AC28,$AH$544:$AK$596,4),IF(AD27=275,VLOOKUP(AC28,$AH$488:$AK$542,4),IF(AD27=250,VLOOKUP(AC28,$AH$431:$AK$486,4),IF(AD27=225,VLOOKUP(AC28,$AH$379:$AK$429,4),IF(AD27=200,VLOOKUP(AC28,$AH$319:$AK$377,4),IF(AD27=175,VLOOKUP(AC28,$AH$256:$AK$317,4),IF(AD27=150,VLOOKUP(AC28,$AH$192:$AK$254,4),IF(AD27=125,VLOOKUP(AC28,$AH$126:$AK$190,4),IF(AD27=100,VLOOKUP(AC28,$AH$81:$AK$124,4),IF(AD27=75,VLOOKUP(AC28,$AH$39:$AK$79,4),IF(AD27=50,VLOOKUP(AC28,$AH$3:$AK$37,4)))))))))))))))</f>
        <v>181.79999999999998</v>
      </c>
      <c r="AE28" s="285">
        <f>IFERROR((AE27-AD27)/(AF27-AD27)*(AF28-AD28)+AD28,"")</f>
        <v>176.64</v>
      </c>
      <c r="AF28" s="284">
        <f>IF(AF27=400,VLOOKUP(AC28,$AH$700:$AK$748,4),IF(AF27=350,VLOOKUP(AC28,$AH$650:$AK$698,4),IF(AF27=325,VLOOKUP(AC28,$AH$598:$AK$648,4),IF(AF27=300,VLOOKUP(AC28,$AH$544:$AK$596,4),IF(AF27=275,VLOOKUP(AC28,$AH$488:$AK$542,4),IF(AF27=250,VLOOKUP(AC28,$AH$431:$AK$486,4),IF(AF27=225,VLOOKUP(AC28,$AH$379:$AK$429,4),IF(AF27=200,VLOOKUP(AC28,$AH$319:$AK$377,4),IF(AF27=175,VLOOKUP(AC28,$AH$256:$AK$317,4),IF(AF27=150,VLOOKUP(AC28,$AH$192:$AK$254,4),IF(AF27=125,VLOOKUP(AC28,$AH$126:$AK$190,4),IF(AF27=100,VLOOKUP(AC28,$AH$81:$AK$124,4),IF(AF27=75,VLOOKUP(AC28,$AH$39:$AK$79,4),IF(AF27=50,VLOOKUP(AC28,$AH$3:$AK$37,4)))))))))))))))</f>
        <v>166.79999999999998</v>
      </c>
      <c r="AH28" s="258">
        <f t="shared" si="0"/>
        <v>16</v>
      </c>
      <c r="AI28" s="258">
        <f t="shared" si="0"/>
        <v>50</v>
      </c>
      <c r="AJ28" s="259" t="str">
        <f t="shared" si="0"/>
        <v>4/0</v>
      </c>
      <c r="AK28" s="260">
        <f t="shared" si="1"/>
        <v>286.2</v>
      </c>
      <c r="AL28" s="226"/>
      <c r="AM28" s="258">
        <v>16</v>
      </c>
      <c r="AN28" s="258">
        <v>50</v>
      </c>
      <c r="AO28" s="262" t="s">
        <v>179</v>
      </c>
      <c r="AP28" s="260">
        <v>477</v>
      </c>
    </row>
    <row r="29" spans="1:42" ht="20.100000000000001" customHeight="1" x14ac:dyDescent="0.25">
      <c r="A29" s="226" t="s">
        <v>80</v>
      </c>
      <c r="B29" s="270">
        <f t="shared" si="8"/>
        <v>45834</v>
      </c>
      <c r="C29" s="462" t="s">
        <v>354</v>
      </c>
      <c r="D29" s="131" t="s">
        <v>292</v>
      </c>
      <c r="E29" s="342">
        <v>1.25</v>
      </c>
      <c r="F29" s="343" t="s">
        <v>179</v>
      </c>
      <c r="H29" s="226" t="s">
        <v>80</v>
      </c>
      <c r="I29" s="271">
        <f>MR!E43</f>
        <v>6.2</v>
      </c>
      <c r="J29" s="271">
        <f>MR!F43</f>
        <v>60.8</v>
      </c>
      <c r="K29" s="272">
        <f>IF('Day 26'!$M$51="","",'Day 26'!$M$51)</f>
        <v>232.4179</v>
      </c>
      <c r="L29" s="345">
        <v>229.4</v>
      </c>
      <c r="M29" s="272">
        <f t="shared" si="5"/>
        <v>3.0178999999999974</v>
      </c>
      <c r="N29" s="290">
        <f>MR!M43</f>
        <v>1</v>
      </c>
      <c r="O29" s="274">
        <f t="shared" si="6"/>
        <v>1.3100472888393471</v>
      </c>
      <c r="P29" s="272">
        <f t="shared" si="7"/>
        <v>177.41183999999998</v>
      </c>
      <c r="Q29" s="275">
        <f>AD255</f>
        <v>177.41183999999998</v>
      </c>
      <c r="R29" s="250"/>
      <c r="S29" s="226" t="s">
        <v>80</v>
      </c>
      <c r="T29" s="271">
        <f t="shared" si="2"/>
        <v>60.8</v>
      </c>
      <c r="U29" s="272">
        <f>IF('Day 26'!$O$46="","",'Day 26'!$O$46)</f>
        <v>40.200000000000003</v>
      </c>
      <c r="V29" s="272">
        <f>IF('Day 26'!$O$47="","",'Day 26'!$O$47)</f>
        <v>12.4</v>
      </c>
      <c r="W29" s="345">
        <v>41.512300000000003</v>
      </c>
      <c r="X29" s="272">
        <f t="shared" si="3"/>
        <v>-1.3123000000000005</v>
      </c>
      <c r="Y29" s="345">
        <v>12.2836</v>
      </c>
      <c r="Z29" s="272">
        <f t="shared" si="4"/>
        <v>0.1164000000000005</v>
      </c>
      <c r="AA29" s="250"/>
      <c r="AB29" s="287" t="s">
        <v>248</v>
      </c>
      <c r="AC29" s="288">
        <f>AB25</f>
        <v>6.5</v>
      </c>
      <c r="AD29" s="285">
        <f>IFERROR((AC29-AC28)/(AC30-AC28)*(AD30-AD28)+AD28,"")</f>
        <v>186.89999999999998</v>
      </c>
      <c r="AE29" s="278">
        <f>IFERROR((AE27-AF27)/(AD27-AF27)*(AD29-AF29)+AF29,"")</f>
        <v>181.84319999999997</v>
      </c>
      <c r="AF29" s="285">
        <f>IFERROR((AC29-AC28)/(AC30-AC28)*(AF30-AF28)+AF28,"")</f>
        <v>172.2</v>
      </c>
      <c r="AH29" s="258">
        <f t="shared" si="0"/>
        <v>17</v>
      </c>
      <c r="AI29" s="258">
        <f t="shared" si="0"/>
        <v>50</v>
      </c>
      <c r="AJ29" s="259" t="str">
        <f t="shared" si="0"/>
        <v>4/0</v>
      </c>
      <c r="AK29" s="260">
        <f t="shared" si="1"/>
        <v>297</v>
      </c>
      <c r="AL29" s="226"/>
      <c r="AM29" s="258">
        <v>17</v>
      </c>
      <c r="AN29" s="258">
        <v>50</v>
      </c>
      <c r="AO29" s="262" t="s">
        <v>179</v>
      </c>
      <c r="AP29" s="260">
        <v>495</v>
      </c>
    </row>
    <row r="30" spans="1:42" ht="20.100000000000001" customHeight="1" x14ac:dyDescent="0.25">
      <c r="A30" s="226" t="s">
        <v>81</v>
      </c>
      <c r="B30" s="270">
        <f t="shared" si="8"/>
        <v>45835</v>
      </c>
      <c r="C30" s="462" t="s">
        <v>354</v>
      </c>
      <c r="D30" s="131" t="s">
        <v>292</v>
      </c>
      <c r="E30" s="342">
        <v>1.25</v>
      </c>
      <c r="F30" s="343" t="s">
        <v>179</v>
      </c>
      <c r="H30" s="226" t="s">
        <v>81</v>
      </c>
      <c r="I30" s="271">
        <f>MR!E44</f>
        <v>6.3</v>
      </c>
      <c r="J30" s="271">
        <f>MR!F44</f>
        <v>62.2</v>
      </c>
      <c r="K30" s="272">
        <f>IF('Day 27'!$M$51="","",'Day 27'!$M$51)</f>
        <v>244.7963</v>
      </c>
      <c r="L30" s="345">
        <v>234.1</v>
      </c>
      <c r="M30" s="272">
        <f t="shared" si="5"/>
        <v>10.696300000000008</v>
      </c>
      <c r="N30" s="290">
        <f>MR!M44</f>
        <v>1</v>
      </c>
      <c r="O30" s="274">
        <f t="shared" si="6"/>
        <v>1.3781415120512641</v>
      </c>
      <c r="P30" s="272">
        <f t="shared" si="7"/>
        <v>177.62783999999999</v>
      </c>
      <c r="Q30" s="275">
        <f>AD265</f>
        <v>177.62783999999999</v>
      </c>
      <c r="R30" s="250"/>
      <c r="S30" s="226" t="s">
        <v>81</v>
      </c>
      <c r="T30" s="271">
        <f t="shared" si="2"/>
        <v>62.2</v>
      </c>
      <c r="U30" s="272">
        <f>IF('Day 27'!$O$46="","",'Day 27'!$O$46)</f>
        <v>41</v>
      </c>
      <c r="V30" s="272">
        <f>IF('Day 27'!$O$47="","",'Day 27'!$O$47)</f>
        <v>13.7</v>
      </c>
      <c r="W30" s="345">
        <v>39.954000000000001</v>
      </c>
      <c r="X30" s="272">
        <f t="shared" si="3"/>
        <v>1.0459999999999994</v>
      </c>
      <c r="Y30" s="345">
        <v>13.172499999999999</v>
      </c>
      <c r="Z30" s="272">
        <f t="shared" si="4"/>
        <v>0.52749999999999986</v>
      </c>
      <c r="AA30" s="250"/>
      <c r="AC30" s="282">
        <f>IF(AC29&gt;=0,ROUNDUP(AC29,0),ROUNDDOWN(AC29,0))</f>
        <v>7</v>
      </c>
      <c r="AD30" s="284">
        <f>IF(AD27=400,VLOOKUP(AC30,$AH$700:$AK$748,4),IF(AD27=350,VLOOKUP(AC30,$AH$650:$AK$698,4),IF(AD27=325,VLOOKUP(AC30,$AH$598:$AK$648,4),IF(AD27=300,VLOOKUP(AC30,$AH$544:$AK$596,4),IF(AD27=275,VLOOKUP(AC30,$AH$488:$AK$542,4),IF(AD27=250,VLOOKUP(AC30,$AH$431:$AK$486,4),IF(AD27=225,VLOOKUP(AC30,$AH$379:$AK$429,4),IF(AD27=200,VLOOKUP(AC30,$AH$319:$AK$377,4),IF(AD27=175,VLOOKUP(AC30,$AH$256:$AK$317,4),IF(AD27=150,VLOOKUP(AC30,$AH$192:$AK$254,4),IF(AD27=125,VLOOKUP(AC30,$AH$126:$AK$190,4),IF(AD27=100,VLOOKUP(AC30,$AH$81:$AK$124,4),IF(AD27=75,VLOOKUP(AC30,$AH$39:$AK$79,4),IF(AD27=50,VLOOKUP(AC30,$AH$3:$AK$37,4)))))))))))))))</f>
        <v>192</v>
      </c>
      <c r="AE30" s="285">
        <f>IFERROR((AE27-AD27)/(AF27-AD27)*(AF30-AD30)+AD30,"")</f>
        <v>187.04640000000001</v>
      </c>
      <c r="AF30" s="284">
        <f>IF(AF27=400,VLOOKUP(AC30,$AH$700:$AK$748,4),IF(AF27=350,VLOOKUP(AC30,$AH$650:$AK$698,4),IF(AF27=325,VLOOKUP(AC30,$AH$598:$AK$648,4),IF(AF27=300,VLOOKUP(AC30,$AH$544:$AK$596,4),IF(AF27=275,VLOOKUP(AC30,$AH$488:$AK$542,4),IF(AF27=250,VLOOKUP(AC30,$AH$431:$AK$486,4),IF(AF27=225,VLOOKUP(AC30,$AH$379:$AK$429,4),IF(AF27=200,VLOOKUP(AC30,$AH$319:$AK$377,4),IF(AF27=175,VLOOKUP(AC30,$AH$256:$AK$317,4),IF(AF27=150,VLOOKUP(AC30,$AH$192:$AK$254,4),IF(AF27=125,VLOOKUP(AC30,$AH$126:$AK$190,4),IF(AF27=100,VLOOKUP(AC30,$AH$81:$AK$124,4),IF(AF27=75,VLOOKUP(AC30,$AH$39:$AK$79,4),IF(AF27=50,VLOOKUP(AC30,$AH$3:$AK$37,4)))))))))))))))</f>
        <v>177.6</v>
      </c>
      <c r="AH30" s="258">
        <f t="shared" si="0"/>
        <v>18</v>
      </c>
      <c r="AI30" s="258">
        <f t="shared" si="0"/>
        <v>50</v>
      </c>
      <c r="AJ30" s="259" t="str">
        <f t="shared" si="0"/>
        <v>4/0</v>
      </c>
      <c r="AK30" s="260">
        <f t="shared" si="1"/>
        <v>307.8</v>
      </c>
      <c r="AL30" s="226"/>
      <c r="AM30" s="258">
        <v>18</v>
      </c>
      <c r="AN30" s="258">
        <v>50</v>
      </c>
      <c r="AO30" s="262" t="s">
        <v>179</v>
      </c>
      <c r="AP30" s="260">
        <v>513</v>
      </c>
    </row>
    <row r="31" spans="1:42" ht="20.100000000000001" customHeight="1" x14ac:dyDescent="0.25">
      <c r="A31" s="226" t="s">
        <v>82</v>
      </c>
      <c r="B31" s="270">
        <f t="shared" si="8"/>
        <v>45836</v>
      </c>
      <c r="C31" s="462" t="s">
        <v>354</v>
      </c>
      <c r="D31" s="131" t="s">
        <v>292</v>
      </c>
      <c r="E31" s="342">
        <v>1.25</v>
      </c>
      <c r="F31" s="343" t="s">
        <v>179</v>
      </c>
      <c r="H31" s="226" t="s">
        <v>82</v>
      </c>
      <c r="I31" s="271">
        <f>MR!E45</f>
        <v>6.5</v>
      </c>
      <c r="J31" s="271">
        <f>MR!F45</f>
        <v>63.4</v>
      </c>
      <c r="K31" s="272">
        <f>IF('Day 28'!$M$51="","",'Day 28'!$M$51)</f>
        <v>242.8792</v>
      </c>
      <c r="L31" s="345">
        <v>240.5</v>
      </c>
      <c r="M31" s="272">
        <f t="shared" si="5"/>
        <v>2.3791999999999973</v>
      </c>
      <c r="N31" s="290">
        <f>MR!M45</f>
        <v>1</v>
      </c>
      <c r="O31" s="274">
        <f t="shared" si="6"/>
        <v>1.3567093879593881</v>
      </c>
      <c r="P31" s="272">
        <f t="shared" si="7"/>
        <v>179.02079999999998</v>
      </c>
      <c r="Q31" s="275">
        <f>AD275</f>
        <v>179.02079999999998</v>
      </c>
      <c r="R31" s="250"/>
      <c r="S31" s="226" t="s">
        <v>82</v>
      </c>
      <c r="T31" s="271">
        <f t="shared" si="2"/>
        <v>63.4</v>
      </c>
      <c r="U31" s="272">
        <f>IF('Day 28'!$O$46="","",'Day 28'!$O$46)</f>
        <v>42.9</v>
      </c>
      <c r="V31" s="272">
        <f>IF('Day 28'!$O$47="","",'Day 28'!$O$47)</f>
        <v>12.8</v>
      </c>
      <c r="W31" s="345">
        <v>43.294499999999999</v>
      </c>
      <c r="X31" s="272">
        <f t="shared" si="3"/>
        <v>-0.39450000000000074</v>
      </c>
      <c r="Y31" s="345">
        <v>13.0914</v>
      </c>
      <c r="Z31" s="272">
        <f t="shared" si="4"/>
        <v>-0.29139999999999944</v>
      </c>
      <c r="AA31" s="250"/>
      <c r="AD31" s="289">
        <f>IF(AD29&lt;&gt;"",AD29,AVERAGE(AD28:AD30))</f>
        <v>186.89999999999998</v>
      </c>
      <c r="AE31" s="289">
        <f>IF(AE29&lt;&gt;"",AE29,IF(SUM(AE28:AE30)=0,"",AVERAGE(AE28:AE30)))</f>
        <v>181.84319999999997</v>
      </c>
      <c r="AF31" s="289">
        <f>IF(AF29&lt;&gt;"",AF29,AVERAGE(AF28:AF30))</f>
        <v>172.2</v>
      </c>
      <c r="AH31" s="258">
        <f t="shared" si="0"/>
        <v>19</v>
      </c>
      <c r="AI31" s="258">
        <f t="shared" si="0"/>
        <v>50</v>
      </c>
      <c r="AJ31" s="259" t="str">
        <f t="shared" si="0"/>
        <v>4/0</v>
      </c>
      <c r="AK31" s="260">
        <f t="shared" si="1"/>
        <v>318</v>
      </c>
      <c r="AL31" s="226"/>
      <c r="AM31" s="258">
        <v>19</v>
      </c>
      <c r="AN31" s="258">
        <v>50</v>
      </c>
      <c r="AO31" s="262" t="s">
        <v>179</v>
      </c>
      <c r="AP31" s="260">
        <v>530</v>
      </c>
    </row>
    <row r="32" spans="1:42" ht="20.100000000000001" customHeight="1" x14ac:dyDescent="0.25">
      <c r="A32" s="226" t="s">
        <v>83</v>
      </c>
      <c r="B32" s="270">
        <f t="shared" si="8"/>
        <v>45837</v>
      </c>
      <c r="C32" s="462" t="s">
        <v>354</v>
      </c>
      <c r="D32" s="131" t="s">
        <v>292</v>
      </c>
      <c r="E32" s="342">
        <v>1.25</v>
      </c>
      <c r="F32" s="343" t="s">
        <v>179</v>
      </c>
      <c r="H32" s="226" t="s">
        <v>83</v>
      </c>
      <c r="I32" s="271">
        <f>MR!E46</f>
        <v>6.2</v>
      </c>
      <c r="J32" s="271">
        <f>MR!F46</f>
        <v>59.6</v>
      </c>
      <c r="K32" s="272">
        <f>IF('Day 29'!$M$51="","",'Day 29'!$M$51)</f>
        <v>236.9796</v>
      </c>
      <c r="L32" s="345">
        <v>226.5</v>
      </c>
      <c r="M32" s="272">
        <f t="shared" si="5"/>
        <v>10.479600000000005</v>
      </c>
      <c r="N32" s="290">
        <f>MR!M46</f>
        <v>1</v>
      </c>
      <c r="O32" s="274">
        <f t="shared" si="6"/>
        <v>1.3304037230258481</v>
      </c>
      <c r="P32" s="272">
        <f t="shared" si="7"/>
        <v>178.12607999999997</v>
      </c>
      <c r="Q32" s="275">
        <f>AD285</f>
        <v>178.12607999999997</v>
      </c>
      <c r="R32" s="250"/>
      <c r="S32" s="226" t="s">
        <v>83</v>
      </c>
      <c r="T32" s="271">
        <f t="shared" si="2"/>
        <v>59.6</v>
      </c>
      <c r="U32" s="272">
        <f>IF('Day 29'!$O$46="","",'Day 29'!$O$46)</f>
        <v>36</v>
      </c>
      <c r="V32" s="272">
        <f>IF('Day 29'!$O$47="","",'Day 29'!$O$47)</f>
        <v>14.1</v>
      </c>
      <c r="W32" s="345">
        <v>37.719099999999997</v>
      </c>
      <c r="X32" s="272">
        <f t="shared" si="3"/>
        <v>-1.7190999999999974</v>
      </c>
      <c r="Y32" s="345">
        <v>12.991</v>
      </c>
      <c r="Z32" s="272">
        <f t="shared" si="4"/>
        <v>1.109</v>
      </c>
      <c r="AA32" s="250"/>
      <c r="AH32" s="258">
        <f t="shared" si="0"/>
        <v>20</v>
      </c>
      <c r="AI32" s="258">
        <f t="shared" si="0"/>
        <v>50</v>
      </c>
      <c r="AJ32" s="259" t="str">
        <f t="shared" si="0"/>
        <v>4/0</v>
      </c>
      <c r="AK32" s="260">
        <f t="shared" si="1"/>
        <v>328.8</v>
      </c>
      <c r="AL32" s="226"/>
      <c r="AM32" s="258">
        <v>20</v>
      </c>
      <c r="AN32" s="258">
        <v>50</v>
      </c>
      <c r="AO32" s="262" t="s">
        <v>179</v>
      </c>
      <c r="AP32" s="260">
        <v>548</v>
      </c>
    </row>
    <row r="33" spans="1:42" ht="20.100000000000001" customHeight="1" thickBot="1" x14ac:dyDescent="0.3">
      <c r="A33" s="226" t="s">
        <v>84</v>
      </c>
      <c r="B33" s="270">
        <f t="shared" si="8"/>
        <v>45838</v>
      </c>
      <c r="C33" s="462" t="s">
        <v>354</v>
      </c>
      <c r="D33" s="131" t="s">
        <v>292</v>
      </c>
      <c r="E33" s="342">
        <v>1.25</v>
      </c>
      <c r="F33" s="343" t="s">
        <v>179</v>
      </c>
      <c r="H33" s="226" t="s">
        <v>84</v>
      </c>
      <c r="I33" s="271">
        <f>MR!E47</f>
        <v>7.2</v>
      </c>
      <c r="J33" s="271">
        <f>MR!F47</f>
        <v>63</v>
      </c>
      <c r="K33" s="272">
        <f>IF('Day 30'!$M$51="","",'Day 30'!$M$51)</f>
        <v>232.93379999999999</v>
      </c>
      <c r="L33" s="345">
        <v>227.5</v>
      </c>
      <c r="M33" s="272">
        <f t="shared" si="5"/>
        <v>5.4337999999999909</v>
      </c>
      <c r="N33" s="290">
        <f>MR!M47</f>
        <v>1</v>
      </c>
      <c r="O33" s="274">
        <f t="shared" si="6"/>
        <v>1.248241248038686</v>
      </c>
      <c r="P33" s="272">
        <f t="shared" si="7"/>
        <v>186.6096</v>
      </c>
      <c r="Q33" s="275">
        <f>AD295</f>
        <v>186.6096</v>
      </c>
      <c r="R33" s="250"/>
      <c r="S33" s="226" t="s">
        <v>84</v>
      </c>
      <c r="T33" s="271">
        <f t="shared" si="2"/>
        <v>63</v>
      </c>
      <c r="U33" s="272">
        <f>IF('Day 30'!$O$46="","",'Day 30'!$O$46)</f>
        <v>35.200000000000003</v>
      </c>
      <c r="V33" s="272">
        <f>IF('Day 30'!$O$47="","",'Day 30'!$O$47)</f>
        <v>13.8</v>
      </c>
      <c r="W33" s="345">
        <v>38.008000000000003</v>
      </c>
      <c r="X33" s="272">
        <f t="shared" si="3"/>
        <v>-2.8079999999999998</v>
      </c>
      <c r="Y33" s="345">
        <v>12.978</v>
      </c>
      <c r="Z33" s="272">
        <f t="shared" si="4"/>
        <v>0.82200000000000095</v>
      </c>
      <c r="AA33" s="250"/>
      <c r="AB33" s="257">
        <v>4</v>
      </c>
      <c r="AC33" s="226"/>
      <c r="AD33" s="226"/>
      <c r="AH33" s="258">
        <f t="shared" si="0"/>
        <v>21</v>
      </c>
      <c r="AI33" s="258">
        <f t="shared" si="0"/>
        <v>50</v>
      </c>
      <c r="AJ33" s="259" t="str">
        <f t="shared" si="0"/>
        <v>4/0</v>
      </c>
      <c r="AK33" s="260">
        <f t="shared" si="1"/>
        <v>339</v>
      </c>
      <c r="AL33" s="226"/>
      <c r="AM33" s="258">
        <v>21</v>
      </c>
      <c r="AN33" s="258">
        <v>50</v>
      </c>
      <c r="AO33" s="262" t="s">
        <v>179</v>
      </c>
      <c r="AP33" s="260">
        <v>565</v>
      </c>
    </row>
    <row r="34" spans="1:42" ht="20.100000000000001" customHeight="1" thickBot="1" x14ac:dyDescent="0.3">
      <c r="B34" s="235" t="s">
        <v>261</v>
      </c>
      <c r="C34" s="291" t="str">
        <f>LOOKUP(2,1/(C4:C33&lt;&gt;""),C4:C33)</f>
        <v>FP 65354</v>
      </c>
      <c r="D34" s="291" t="str">
        <f>LOOKUP(2,1/(D4:D33&lt;&gt;""),D4:D33)</f>
        <v>SP. Tambun - Cluster F</v>
      </c>
      <c r="E34" s="292">
        <f>LOOKUP(2,1/(E4:E33&lt;&gt;""),E4:E33)</f>
        <v>1.25</v>
      </c>
      <c r="F34" s="293" t="str">
        <f>LOOKUP(2,1/(F4:F33&lt;&gt;""),F4:F33)</f>
        <v>4/0</v>
      </c>
      <c r="H34" s="432" t="s">
        <v>53</v>
      </c>
      <c r="I34" s="433">
        <f t="shared" ref="I34:Q34" si="9">IFERROR(AVERAGE(I4:I33),"")</f>
        <v>6.9066666666666663</v>
      </c>
      <c r="J34" s="433">
        <f t="shared" si="9"/>
        <v>61.99666666666667</v>
      </c>
      <c r="K34" s="434">
        <f t="shared" si="9"/>
        <v>231.60053666666661</v>
      </c>
      <c r="L34" s="434">
        <f t="shared" si="9"/>
        <v>221.23333333333341</v>
      </c>
      <c r="M34" s="434">
        <f t="shared" si="9"/>
        <v>10.367203333333331</v>
      </c>
      <c r="N34" s="435">
        <f t="shared" si="9"/>
        <v>0.99722222222222223</v>
      </c>
      <c r="O34" s="436">
        <f t="shared" si="9"/>
        <v>1.2622782517096296</v>
      </c>
      <c r="P34" s="434">
        <f t="shared" si="9"/>
        <v>183.53665866666668</v>
      </c>
      <c r="Q34" s="434">
        <f t="shared" si="9"/>
        <v>184.06667199999998</v>
      </c>
      <c r="R34" s="250"/>
      <c r="S34" s="432" t="s">
        <v>53</v>
      </c>
      <c r="T34" s="433">
        <f t="shared" ref="T34:Z34" si="10">IFERROR(AVERAGE(T4:T33),"")</f>
        <v>61.99666666666667</v>
      </c>
      <c r="U34" s="434">
        <f t="shared" si="10"/>
        <v>43.844443333333338</v>
      </c>
      <c r="V34" s="434">
        <f t="shared" si="10"/>
        <v>11.938056666666666</v>
      </c>
      <c r="W34" s="434">
        <f t="shared" si="10"/>
        <v>43.143193333333336</v>
      </c>
      <c r="X34" s="434">
        <f t="shared" si="10"/>
        <v>0.70124999999999982</v>
      </c>
      <c r="Y34" s="434">
        <f t="shared" si="10"/>
        <v>11.411373333333334</v>
      </c>
      <c r="Z34" s="434">
        <f t="shared" si="10"/>
        <v>0.52668333333333339</v>
      </c>
      <c r="AA34" s="250"/>
      <c r="AB34" s="241" t="s">
        <v>245</v>
      </c>
      <c r="AC34" s="241" t="s">
        <v>246</v>
      </c>
      <c r="AD34" s="241" t="s">
        <v>236</v>
      </c>
      <c r="AH34" s="258">
        <f t="shared" si="0"/>
        <v>22</v>
      </c>
      <c r="AI34" s="258">
        <f t="shared" si="0"/>
        <v>50</v>
      </c>
      <c r="AJ34" s="259" t="str">
        <f t="shared" si="0"/>
        <v>4/0</v>
      </c>
      <c r="AK34" s="260">
        <f t="shared" si="1"/>
        <v>349.8</v>
      </c>
      <c r="AL34" s="226"/>
      <c r="AM34" s="258">
        <v>22</v>
      </c>
      <c r="AN34" s="258">
        <v>50</v>
      </c>
      <c r="AO34" s="262" t="s">
        <v>179</v>
      </c>
      <c r="AP34" s="260">
        <v>583</v>
      </c>
    </row>
    <row r="35" spans="1:42" ht="20.100000000000001" customHeight="1" thickBot="1" x14ac:dyDescent="0.3">
      <c r="H35" s="155" t="s">
        <v>54</v>
      </c>
      <c r="I35" s="437"/>
      <c r="J35" s="437"/>
      <c r="K35" s="299">
        <f>IFERROR(SUM(K4:K33),"")</f>
        <v>6948.016099999998</v>
      </c>
      <c r="L35" s="299">
        <f>IFERROR(SUM(L4:L33),"")</f>
        <v>6637.0000000000018</v>
      </c>
      <c r="M35" s="299">
        <f>IFERROR(SUM(M4:M33),"")</f>
        <v>311.01609999999994</v>
      </c>
      <c r="N35" s="300">
        <f>IFERROR(SUM(N4:N33),"")</f>
        <v>29.916666666666668</v>
      </c>
      <c r="O35" s="438"/>
      <c r="P35" s="299">
        <f>IFERROR(SUM(P4:P33),"")</f>
        <v>5506.0997600000001</v>
      </c>
      <c r="Q35" s="299">
        <f>IFERROR(SUM(Q4:Q33),"")</f>
        <v>5522.0001599999996</v>
      </c>
      <c r="R35" s="250"/>
      <c r="S35" s="155" t="s">
        <v>54</v>
      </c>
      <c r="T35" s="437"/>
      <c r="U35" s="299">
        <f t="shared" ref="U35:Z35" si="11">IFERROR(SUM(U4:U33),"")</f>
        <v>1315.3333000000002</v>
      </c>
      <c r="V35" s="299">
        <f t="shared" si="11"/>
        <v>358.14170000000001</v>
      </c>
      <c r="W35" s="299">
        <f t="shared" si="11"/>
        <v>1294.2958000000001</v>
      </c>
      <c r="X35" s="299">
        <f t="shared" si="11"/>
        <v>21.037499999999994</v>
      </c>
      <c r="Y35" s="299">
        <f t="shared" si="11"/>
        <v>342.34120000000001</v>
      </c>
      <c r="Z35" s="299">
        <f t="shared" si="11"/>
        <v>15.800500000000001</v>
      </c>
      <c r="AA35" s="250"/>
      <c r="AB35" s="276">
        <f>IF(I7="","",I7)</f>
        <v>7</v>
      </c>
      <c r="AC35" s="277">
        <f>IF(J7="","",J7)</f>
        <v>58.8</v>
      </c>
      <c r="AD35" s="278">
        <f>IF(OR(AB35="",AC35=""),"",IF(AE39&lt;&gt;"",AE41,AVERAGEIF(AD41:AF41,"&lt;&gt;0",AD41:AF41)))</f>
        <v>185.5104</v>
      </c>
      <c r="AH35" s="258">
        <f t="shared" si="0"/>
        <v>23</v>
      </c>
      <c r="AI35" s="258">
        <f t="shared" si="0"/>
        <v>50</v>
      </c>
      <c r="AJ35" s="259" t="str">
        <f t="shared" si="0"/>
        <v>4/0</v>
      </c>
      <c r="AK35" s="260">
        <f t="shared" si="1"/>
        <v>360</v>
      </c>
      <c r="AL35" s="226"/>
      <c r="AM35" s="258">
        <v>23</v>
      </c>
      <c r="AN35" s="258">
        <v>50</v>
      </c>
      <c r="AO35" s="262" t="s">
        <v>179</v>
      </c>
      <c r="AP35" s="260">
        <v>600</v>
      </c>
    </row>
    <row r="36" spans="1:42" ht="20.100000000000001" customHeight="1" x14ac:dyDescent="0.25">
      <c r="H36" s="432" t="s">
        <v>143</v>
      </c>
      <c r="I36" s="433">
        <f t="shared" ref="I36:Q36" si="12">IF(COUNT(I4:I33)&gt;0,MIN(I4:I33),"")</f>
        <v>6.2</v>
      </c>
      <c r="J36" s="433">
        <f t="shared" si="12"/>
        <v>57.5</v>
      </c>
      <c r="K36" s="434">
        <f t="shared" si="12"/>
        <v>201.96459999999999</v>
      </c>
      <c r="L36" s="434">
        <f t="shared" si="12"/>
        <v>193.4</v>
      </c>
      <c r="M36" s="434">
        <f t="shared" si="12"/>
        <v>-24.019999999999982</v>
      </c>
      <c r="N36" s="435">
        <f t="shared" si="12"/>
        <v>0.91666666666666663</v>
      </c>
      <c r="O36" s="436">
        <f t="shared" si="12"/>
        <v>1.1036838023390831</v>
      </c>
      <c r="P36" s="434">
        <f t="shared" si="12"/>
        <v>174.90439999999998</v>
      </c>
      <c r="Q36" s="434">
        <f t="shared" si="12"/>
        <v>177.03503999999998</v>
      </c>
      <c r="R36" s="250"/>
      <c r="S36" s="294" t="s">
        <v>143</v>
      </c>
      <c r="T36" s="295">
        <f t="shared" ref="T36:Z36" si="13">IF(COUNT(T4:T33)&gt;0,MIN(T4:T33),"")</f>
        <v>57.5</v>
      </c>
      <c r="U36" s="296">
        <f t="shared" si="13"/>
        <v>32.700000000000003</v>
      </c>
      <c r="V36" s="296">
        <f t="shared" si="13"/>
        <v>7.8</v>
      </c>
      <c r="W36" s="296">
        <f t="shared" si="13"/>
        <v>30.605899999999998</v>
      </c>
      <c r="X36" s="296">
        <f t="shared" si="13"/>
        <v>-32.471299999999999</v>
      </c>
      <c r="Y36" s="296">
        <f t="shared" si="13"/>
        <v>7.9908000000000001</v>
      </c>
      <c r="Z36" s="296">
        <f t="shared" si="13"/>
        <v>-1.4981000000000009</v>
      </c>
      <c r="AA36" s="250"/>
      <c r="AC36" s="250" t="s">
        <v>182</v>
      </c>
      <c r="AE36" s="279" t="s">
        <v>247</v>
      </c>
      <c r="AH36" s="258">
        <f t="shared" si="0"/>
        <v>24</v>
      </c>
      <c r="AI36" s="258">
        <f t="shared" si="0"/>
        <v>50</v>
      </c>
      <c r="AJ36" s="259" t="str">
        <f t="shared" si="0"/>
        <v>4/0</v>
      </c>
      <c r="AK36" s="260">
        <f t="shared" si="1"/>
        <v>370.8</v>
      </c>
      <c r="AL36" s="226"/>
      <c r="AM36" s="258">
        <v>24</v>
      </c>
      <c r="AN36" s="258">
        <v>50</v>
      </c>
      <c r="AO36" s="262" t="s">
        <v>179</v>
      </c>
      <c r="AP36" s="260">
        <v>618</v>
      </c>
    </row>
    <row r="37" spans="1:42" ht="20.100000000000001" customHeight="1" thickBot="1" x14ac:dyDescent="0.3">
      <c r="H37" s="297" t="s">
        <v>144</v>
      </c>
      <c r="I37" s="298">
        <f t="shared" ref="I37:Q37" si="14">IF(COUNT(I4:I33)&gt;0,MAX(I4:I33),"")</f>
        <v>7.6</v>
      </c>
      <c r="J37" s="298">
        <f t="shared" si="14"/>
        <v>68.099999999999994</v>
      </c>
      <c r="K37" s="299">
        <f t="shared" si="14"/>
        <v>259.78289999999998</v>
      </c>
      <c r="L37" s="299">
        <f t="shared" si="14"/>
        <v>258.60000000000002</v>
      </c>
      <c r="M37" s="299">
        <f t="shared" si="14"/>
        <v>40.000400000000013</v>
      </c>
      <c r="N37" s="300">
        <f t="shared" si="14"/>
        <v>1</v>
      </c>
      <c r="O37" s="301">
        <f t="shared" si="14"/>
        <v>1.3811703781019364</v>
      </c>
      <c r="P37" s="299">
        <f t="shared" si="14"/>
        <v>190.99104</v>
      </c>
      <c r="Q37" s="299">
        <f t="shared" si="14"/>
        <v>190.99104</v>
      </c>
      <c r="R37" s="250"/>
      <c r="S37" s="297" t="s">
        <v>144</v>
      </c>
      <c r="T37" s="298">
        <f t="shared" ref="T37:Z37" si="15">IF(COUNT(T4:T33)&gt;0,MAX(T4:T33),"")</f>
        <v>68.099999999999994</v>
      </c>
      <c r="U37" s="299">
        <f t="shared" si="15"/>
        <v>55</v>
      </c>
      <c r="V37" s="299">
        <f t="shared" si="15"/>
        <v>15.6</v>
      </c>
      <c r="W37" s="299">
        <f t="shared" si="15"/>
        <v>78.971299999999999</v>
      </c>
      <c r="X37" s="299">
        <f t="shared" si="15"/>
        <v>11.71</v>
      </c>
      <c r="Y37" s="299">
        <f t="shared" si="15"/>
        <v>15.063700000000001</v>
      </c>
      <c r="Z37" s="299">
        <f t="shared" si="15"/>
        <v>2.4394999999999989</v>
      </c>
      <c r="AA37" s="250"/>
      <c r="AC37" s="281"/>
      <c r="AD37" s="282">
        <f>IF(AE37&gt;=400,400,IF(AE37&gt;=350,350,IF(AE37&gt;=325,325,IF(AE37&gt;=300,300,IF(AE37&gt;=275,275,IF(AE37&gt;=250,250,IF(AE37&gt;=225,225,IF(AE37&gt;=200,200,IF(AE37&gt;=175,175,IF(AE37&gt;=150,150,IF(AE37&gt;=125,125,IF(AE37&gt;=100,100,IF(AE37&gt;=75,75,50)))))))))))))</f>
        <v>50</v>
      </c>
      <c r="AE37" s="283">
        <f>AC35</f>
        <v>58.8</v>
      </c>
      <c r="AF37" s="282">
        <f>IF(AE37&lt;=50,50,IF(AE37&lt;=75,75,IF(AE37&lt;=100,100,IF(AE37&lt;=125,125,IF(AE37&lt;=150,150,IF(AE37&lt;=175,175,IF(AE37&lt;=200,200,IF(AE37&lt;=225,225,IF(AE37&lt;=250,250,IF(AE37&lt;=275,275,IF(AE37&lt;=300,300,IF(AE37&lt;=325,325,IF(AE37&lt;=350,350,400)))))))))))))</f>
        <v>75</v>
      </c>
      <c r="AH37" s="258">
        <f t="shared" si="0"/>
        <v>25</v>
      </c>
      <c r="AI37" s="258">
        <f t="shared" si="0"/>
        <v>50</v>
      </c>
      <c r="AJ37" s="259" t="str">
        <f t="shared" si="0"/>
        <v>4/0</v>
      </c>
      <c r="AK37" s="260">
        <f t="shared" si="1"/>
        <v>381.59999999999997</v>
      </c>
      <c r="AL37" s="226"/>
      <c r="AM37" s="258">
        <v>25</v>
      </c>
      <c r="AN37" s="258">
        <v>50</v>
      </c>
      <c r="AO37" s="262" t="s">
        <v>179</v>
      </c>
      <c r="AP37" s="260">
        <v>636</v>
      </c>
    </row>
    <row r="38" spans="1:42" ht="20.100000000000001" customHeight="1" x14ac:dyDescent="0.25">
      <c r="I38" s="246"/>
      <c r="K38" s="247"/>
      <c r="L38" s="247"/>
      <c r="M38" s="247"/>
      <c r="N38" s="248"/>
      <c r="O38" s="249"/>
      <c r="P38" s="247"/>
      <c r="R38" s="250"/>
      <c r="U38" s="247"/>
      <c r="V38" s="247"/>
      <c r="W38" s="247"/>
      <c r="X38" s="247"/>
      <c r="Y38" s="247"/>
      <c r="Z38" s="247"/>
      <c r="AA38" s="250"/>
      <c r="AC38" s="282">
        <f>IF(AC39&gt;=0,ROUNDDOWN(AC39,0),ROUNDUP(AC39,0))</f>
        <v>7</v>
      </c>
      <c r="AD38" s="284">
        <f>IF(AD37=400,VLOOKUP(AC38,$AH$700:$AK$748,4),IF(AD37=350,VLOOKUP(AC38,$AH$650:$AK$698,4),IF(AD37=325,VLOOKUP(AC38,$AH$598:$AK$648,4),IF(AD37=300,VLOOKUP(AC38,$AH$544:$AK$596,4),IF(AD37=275,VLOOKUP(AC38,$AH$488:$AK$542,4),IF(AD37=250,VLOOKUP(AC38,$AH$431:$AK$486,4),IF(AD37=225,VLOOKUP(AC38,$AH$379:$AK$429,4),IF(AD37=200,VLOOKUP(AC38,$AH$319:$AK$377,4),IF(AD37=175,VLOOKUP(AC38,$AH$256:$AK$317,4),IF(AD37=150,VLOOKUP(AC38,$AH$192:$AK$254,4),IF(AD37=125,VLOOKUP(AC38,$AH$126:$AK$190,4),IF(AD37=100,VLOOKUP(AC38,$AH$81:$AK$124,4),IF(AD37=75,VLOOKUP(AC38,$AH$39:$AK$79,4),IF(AD37=50,VLOOKUP(AC38,$AH$3:$AK$37,4)))))))))))))))</f>
        <v>192</v>
      </c>
      <c r="AE38" s="285">
        <f>IFERROR((AE37-AD37)/(AF37-AD37)*(AF38-AD38)+AD38,"")</f>
        <v>186.93119999999999</v>
      </c>
      <c r="AF38" s="284">
        <f>IF(AF37=400,VLOOKUP(AC38,$AH$700:$AK$748,4),IF(AF37=350,VLOOKUP(AC38,$AH$650:$AK$698,4),IF(AF37=325,VLOOKUP(AC38,$AH$598:$AK$648,4),IF(AF37=300,VLOOKUP(AC38,$AH$544:$AK$596,4),IF(AF37=275,VLOOKUP(AC38,$AH$488:$AK$542,4),IF(AF37=250,VLOOKUP(AC38,$AH$431:$AK$486,4),IF(AF37=225,VLOOKUP(AC38,$AH$379:$AK$429,4),IF(AF37=200,VLOOKUP(AC38,$AH$319:$AK$377,4),IF(AF37=175,VLOOKUP(AC38,$AH$256:$AK$317,4),IF(AF37=150,VLOOKUP(AC38,$AH$192:$AK$254,4),IF(AF37=125,VLOOKUP(AC38,$AH$126:$AK$190,4),IF(AF37=100,VLOOKUP(AC38,$AH$81:$AK$124,4),IF(AF37=75,VLOOKUP(AC38,$AH$39:$AK$79,4),IF(AF37=50,VLOOKUP(AC38,$AH$3:$AK$37,4)))))))))))))))</f>
        <v>177.6</v>
      </c>
      <c r="AH38" s="258" t="str">
        <f t="shared" si="0"/>
        <v>&gt;&gt;&gt;&gt;&gt;&gt;</v>
      </c>
      <c r="AI38" s="258"/>
      <c r="AJ38" s="258"/>
      <c r="AK38" s="258"/>
      <c r="AL38" s="226"/>
      <c r="AM38" s="258" t="s">
        <v>249</v>
      </c>
      <c r="AN38" s="258"/>
      <c r="AO38" s="262"/>
      <c r="AP38" s="258"/>
    </row>
    <row r="39" spans="1:42" ht="20.100000000000001" customHeight="1" x14ac:dyDescent="0.25">
      <c r="I39" s="246"/>
      <c r="K39" s="247"/>
      <c r="L39" s="247"/>
      <c r="M39" s="247"/>
      <c r="N39" s="248"/>
      <c r="O39" s="249"/>
      <c r="P39" s="247"/>
      <c r="R39" s="250"/>
      <c r="U39" s="247"/>
      <c r="V39" s="247"/>
      <c r="W39" s="247"/>
      <c r="X39" s="247"/>
      <c r="Y39" s="247"/>
      <c r="Z39" s="247"/>
      <c r="AA39" s="250"/>
      <c r="AB39" s="287" t="s">
        <v>248</v>
      </c>
      <c r="AC39" s="288">
        <f>AB35</f>
        <v>7</v>
      </c>
      <c r="AD39" s="285" t="str">
        <f>IFERROR((AC39-AC38)/(AC40-AC38)*(AD40-AD38)+AD38,"")</f>
        <v/>
      </c>
      <c r="AE39" s="278" t="str">
        <f>IFERROR((AE37-AF37)/(AD37-AF37)*(AD39-AF39)+AF39,"")</f>
        <v/>
      </c>
      <c r="AF39" s="285" t="str">
        <f>IFERROR((AC39-AC38)/(AC40-AC38)*(AF40-AF38)+AF38,"")</f>
        <v/>
      </c>
      <c r="AH39" s="258">
        <f t="shared" si="0"/>
        <v>-7</v>
      </c>
      <c r="AI39" s="258">
        <f t="shared" si="0"/>
        <v>75</v>
      </c>
      <c r="AJ39" s="259" t="str">
        <f t="shared" si="0"/>
        <v>4/0</v>
      </c>
      <c r="AK39" s="260">
        <f t="shared" ref="AK39:AK79" si="16">(1-$AL$2)*AP39</f>
        <v>28.2</v>
      </c>
      <c r="AL39" s="226"/>
      <c r="AM39" s="258">
        <v>-7</v>
      </c>
      <c r="AN39" s="258">
        <v>75</v>
      </c>
      <c r="AO39" s="262" t="s">
        <v>179</v>
      </c>
      <c r="AP39" s="260">
        <v>47</v>
      </c>
    </row>
    <row r="40" spans="1:42" ht="20.100000000000001" customHeight="1" x14ac:dyDescent="0.25">
      <c r="I40" s="246"/>
      <c r="K40" s="247"/>
      <c r="L40" s="247"/>
      <c r="M40" s="247"/>
      <c r="N40" s="248"/>
      <c r="O40" s="249"/>
      <c r="P40" s="247"/>
      <c r="R40" s="250"/>
      <c r="U40" s="247"/>
      <c r="V40" s="247"/>
      <c r="W40" s="247"/>
      <c r="X40" s="247"/>
      <c r="Y40" s="247"/>
      <c r="Z40" s="247"/>
      <c r="AA40" s="250"/>
      <c r="AC40" s="282">
        <f>IF(AC39&gt;=0,ROUNDUP(AC39,0),ROUNDDOWN(AC39,0))</f>
        <v>7</v>
      </c>
      <c r="AD40" s="284">
        <f>IF(AD37=400,VLOOKUP(AC40,$AH$700:$AK$748,4),IF(AD37=350,VLOOKUP(AC40,$AH$650:$AK$698,4),IF(AD37=325,VLOOKUP(AC40,$AH$598:$AK$648,4),IF(AD37=300,VLOOKUP(AC40,$AH$544:$AK$596,4),IF(AD37=275,VLOOKUP(AC40,$AH$488:$AK$542,4),IF(AD37=250,VLOOKUP(AC40,$AH$431:$AK$486,4),IF(AD37=225,VLOOKUP(AC40,$AH$379:$AK$429,4),IF(AD37=200,VLOOKUP(AC40,$AH$319:$AK$377,4),IF(AD37=175,VLOOKUP(AC40,$AH$256:$AK$317,4),IF(AD37=150,VLOOKUP(AC40,$AH$192:$AK$254,4),IF(AD37=125,VLOOKUP(AC40,$AH$126:$AK$190,4),IF(AD37=100,VLOOKUP(AC40,$AH$81:$AK$124,4),IF(AD37=75,VLOOKUP(AC40,$AH$39:$AK$79,4),IF(AD37=50,VLOOKUP(AC40,$AH$3:$AK$37,4)))))))))))))))</f>
        <v>192</v>
      </c>
      <c r="AE40" s="285">
        <f>IFERROR((AE37-AD37)/(AF37-AD37)*(AF40-AD40)+AD40,"")</f>
        <v>186.93119999999999</v>
      </c>
      <c r="AF40" s="284">
        <f>IF(AF37=400,VLOOKUP(AC40,$AH$700:$AK$748,4),IF(AF37=350,VLOOKUP(AC40,$AH$650:$AK$698,4),IF(AF37=325,VLOOKUP(AC40,$AH$598:$AK$648,4),IF(AF37=300,VLOOKUP(AC40,$AH$544:$AK$596,4),IF(AF37=275,VLOOKUP(AC40,$AH$488:$AK$542,4),IF(AF37=250,VLOOKUP(AC40,$AH$431:$AK$486,4),IF(AF37=225,VLOOKUP(AC40,$AH$379:$AK$429,4),IF(AF37=200,VLOOKUP(AC40,$AH$319:$AK$377,4),IF(AF37=175,VLOOKUP(AC40,$AH$256:$AK$317,4),IF(AF37=150,VLOOKUP(AC40,$AH$192:$AK$254,4),IF(AF37=125,VLOOKUP(AC40,$AH$126:$AK$190,4),IF(AF37=100,VLOOKUP(AC40,$AH$81:$AK$124,4),IF(AF37=75,VLOOKUP(AC40,$AH$39:$AK$79,4),IF(AF37=50,VLOOKUP(AC40,$AH$3:$AK$37,4)))))))))))))))</f>
        <v>177.6</v>
      </c>
      <c r="AH40" s="258">
        <f t="shared" si="0"/>
        <v>-6</v>
      </c>
      <c r="AI40" s="258">
        <f t="shared" si="0"/>
        <v>75</v>
      </c>
      <c r="AJ40" s="259" t="str">
        <f t="shared" si="0"/>
        <v>4/0</v>
      </c>
      <c r="AK40" s="260">
        <f t="shared" si="16"/>
        <v>39</v>
      </c>
      <c r="AL40" s="226"/>
      <c r="AM40" s="258">
        <v>-6</v>
      </c>
      <c r="AN40" s="258">
        <v>75</v>
      </c>
      <c r="AO40" s="262" t="s">
        <v>179</v>
      </c>
      <c r="AP40" s="260">
        <v>65</v>
      </c>
    </row>
    <row r="41" spans="1:42" ht="20.100000000000001" customHeight="1" x14ac:dyDescent="0.25">
      <c r="I41" s="246"/>
      <c r="K41" s="247"/>
      <c r="L41" s="247"/>
      <c r="M41" s="247"/>
      <c r="N41" s="248"/>
      <c r="O41" s="249"/>
      <c r="P41" s="247"/>
      <c r="R41" s="250"/>
      <c r="U41" s="247"/>
      <c r="V41" s="247"/>
      <c r="W41" s="247"/>
      <c r="X41" s="247"/>
      <c r="Y41" s="247"/>
      <c r="Z41" s="247"/>
      <c r="AA41" s="250"/>
      <c r="AD41" s="289">
        <f>IF(AD39&lt;&gt;"",AD39,AVERAGE(AD38:AD40))</f>
        <v>192</v>
      </c>
      <c r="AE41" s="289">
        <f>IF(AE39&lt;&gt;"",AE39,IF(SUM(AE38:AE40)=0,"",AVERAGE(AE38:AE40)))</f>
        <v>186.93119999999999</v>
      </c>
      <c r="AF41" s="289">
        <f>IF(AF39&lt;&gt;"",AF39,AVERAGE(AF38:AF40))</f>
        <v>177.6</v>
      </c>
      <c r="AH41" s="258">
        <f t="shared" si="0"/>
        <v>-5</v>
      </c>
      <c r="AI41" s="258">
        <f t="shared" si="0"/>
        <v>75</v>
      </c>
      <c r="AJ41" s="259" t="str">
        <f t="shared" si="0"/>
        <v>4/0</v>
      </c>
      <c r="AK41" s="260">
        <f t="shared" si="16"/>
        <v>49.8</v>
      </c>
      <c r="AL41" s="226"/>
      <c r="AM41" s="258">
        <v>-5</v>
      </c>
      <c r="AN41" s="258">
        <v>75</v>
      </c>
      <c r="AO41" s="262" t="s">
        <v>179</v>
      </c>
      <c r="AP41" s="260">
        <v>83</v>
      </c>
    </row>
    <row r="42" spans="1:42" ht="20.100000000000001" customHeight="1" x14ac:dyDescent="0.25">
      <c r="I42" s="246"/>
      <c r="K42" s="247"/>
      <c r="L42" s="247"/>
      <c r="M42" s="247"/>
      <c r="N42" s="248"/>
      <c r="O42" s="249"/>
      <c r="P42" s="247"/>
      <c r="R42" s="250"/>
      <c r="U42" s="247"/>
      <c r="V42" s="247"/>
      <c r="W42" s="247"/>
      <c r="X42" s="247"/>
      <c r="Y42" s="247"/>
      <c r="Z42" s="247"/>
      <c r="AA42" s="250"/>
      <c r="AH42" s="258">
        <f t="shared" si="0"/>
        <v>-4</v>
      </c>
      <c r="AI42" s="258">
        <f t="shared" si="0"/>
        <v>75</v>
      </c>
      <c r="AJ42" s="259" t="str">
        <f t="shared" si="0"/>
        <v>4/0</v>
      </c>
      <c r="AK42" s="260">
        <f t="shared" si="16"/>
        <v>61.199999999999996</v>
      </c>
      <c r="AL42" s="226"/>
      <c r="AM42" s="258">
        <v>-4</v>
      </c>
      <c r="AN42" s="258">
        <v>75</v>
      </c>
      <c r="AO42" s="262" t="s">
        <v>179</v>
      </c>
      <c r="AP42" s="260">
        <v>102</v>
      </c>
    </row>
    <row r="43" spans="1:42" ht="20.100000000000001" customHeight="1" x14ac:dyDescent="0.25">
      <c r="I43" s="246"/>
      <c r="K43" s="247"/>
      <c r="L43" s="247"/>
      <c r="M43" s="247"/>
      <c r="N43" s="248"/>
      <c r="O43" s="249"/>
      <c r="P43" s="247"/>
      <c r="R43" s="250"/>
      <c r="U43" s="247"/>
      <c r="V43" s="247"/>
      <c r="W43" s="247"/>
      <c r="X43" s="247"/>
      <c r="Y43" s="247"/>
      <c r="Z43" s="247"/>
      <c r="AA43" s="250"/>
      <c r="AB43" s="257">
        <v>5</v>
      </c>
      <c r="AC43" s="226"/>
      <c r="AD43" s="226"/>
      <c r="AH43" s="258">
        <f t="shared" si="0"/>
        <v>-3</v>
      </c>
      <c r="AI43" s="258">
        <f t="shared" si="0"/>
        <v>75</v>
      </c>
      <c r="AJ43" s="259" t="str">
        <f t="shared" si="0"/>
        <v>4/0</v>
      </c>
      <c r="AK43" s="260">
        <f t="shared" si="16"/>
        <v>72</v>
      </c>
      <c r="AL43" s="226"/>
      <c r="AM43" s="258">
        <v>-3</v>
      </c>
      <c r="AN43" s="258">
        <v>75</v>
      </c>
      <c r="AO43" s="262" t="s">
        <v>179</v>
      </c>
      <c r="AP43" s="260">
        <v>120</v>
      </c>
    </row>
    <row r="44" spans="1:42" ht="20.100000000000001" customHeight="1" x14ac:dyDescent="0.25">
      <c r="I44" s="246"/>
      <c r="K44" s="247"/>
      <c r="L44" s="247"/>
      <c r="M44" s="247"/>
      <c r="N44" s="248"/>
      <c r="O44" s="249"/>
      <c r="P44" s="247"/>
      <c r="R44" s="250"/>
      <c r="U44" s="247"/>
      <c r="V44" s="247"/>
      <c r="W44" s="247"/>
      <c r="X44" s="247"/>
      <c r="Y44" s="247"/>
      <c r="Z44" s="247"/>
      <c r="AA44" s="250"/>
      <c r="AB44" s="241" t="s">
        <v>245</v>
      </c>
      <c r="AC44" s="241" t="s">
        <v>246</v>
      </c>
      <c r="AD44" s="241" t="s">
        <v>236</v>
      </c>
      <c r="AH44" s="258">
        <f t="shared" si="0"/>
        <v>-2</v>
      </c>
      <c r="AI44" s="258">
        <f t="shared" si="0"/>
        <v>75</v>
      </c>
      <c r="AJ44" s="259" t="str">
        <f t="shared" si="0"/>
        <v>4/0</v>
      </c>
      <c r="AK44" s="260">
        <f t="shared" si="16"/>
        <v>83.399999999999991</v>
      </c>
      <c r="AL44" s="226"/>
      <c r="AM44" s="258">
        <v>-2</v>
      </c>
      <c r="AN44" s="258">
        <v>75</v>
      </c>
      <c r="AO44" s="262" t="s">
        <v>179</v>
      </c>
      <c r="AP44" s="260">
        <v>139</v>
      </c>
    </row>
    <row r="45" spans="1:42" ht="20.100000000000001" customHeight="1" x14ac:dyDescent="0.25">
      <c r="I45" s="246"/>
      <c r="K45" s="247"/>
      <c r="L45" s="247"/>
      <c r="M45" s="247"/>
      <c r="N45" s="248"/>
      <c r="O45" s="249"/>
      <c r="P45" s="247"/>
      <c r="R45" s="250"/>
      <c r="U45" s="247"/>
      <c r="V45" s="247"/>
      <c r="W45" s="247"/>
      <c r="X45" s="247"/>
      <c r="Y45" s="247"/>
      <c r="Z45" s="247"/>
      <c r="AA45" s="250"/>
      <c r="AB45" s="276">
        <f>IF(I8="","",I8)</f>
        <v>6.8</v>
      </c>
      <c r="AC45" s="277">
        <f>IF(J8="","",J8)</f>
        <v>61.2</v>
      </c>
      <c r="AD45" s="278">
        <f>IF(OR(AB45="",AC45=""),"",IF(AE49&lt;&gt;"",AE51,AVERAGEIF(AD51:AF51,"&lt;&gt;0",AD51:AF51)))</f>
        <v>183.45504</v>
      </c>
      <c r="AH45" s="258">
        <f t="shared" si="0"/>
        <v>-1</v>
      </c>
      <c r="AI45" s="258">
        <f t="shared" si="0"/>
        <v>75</v>
      </c>
      <c r="AJ45" s="259" t="str">
        <f t="shared" si="0"/>
        <v>4/0</v>
      </c>
      <c r="AK45" s="260">
        <f t="shared" si="16"/>
        <v>94.2</v>
      </c>
      <c r="AL45" s="226"/>
      <c r="AM45" s="258">
        <v>-1</v>
      </c>
      <c r="AN45" s="258">
        <v>75</v>
      </c>
      <c r="AO45" s="262" t="s">
        <v>179</v>
      </c>
      <c r="AP45" s="260">
        <v>157</v>
      </c>
    </row>
    <row r="46" spans="1:42" ht="20.100000000000001" customHeight="1" x14ac:dyDescent="0.25">
      <c r="I46" s="246"/>
      <c r="K46" s="247"/>
      <c r="L46" s="247"/>
      <c r="M46" s="247"/>
      <c r="N46" s="248"/>
      <c r="O46" s="249"/>
      <c r="P46" s="247"/>
      <c r="R46" s="250"/>
      <c r="U46" s="247"/>
      <c r="V46" s="247"/>
      <c r="W46" s="247"/>
      <c r="X46" s="247"/>
      <c r="Y46" s="247"/>
      <c r="Z46" s="247"/>
      <c r="AA46" s="250"/>
      <c r="AC46" s="250" t="s">
        <v>182</v>
      </c>
      <c r="AE46" s="279" t="s">
        <v>247</v>
      </c>
      <c r="AH46" s="258">
        <f t="shared" si="0"/>
        <v>0</v>
      </c>
      <c r="AI46" s="258">
        <f t="shared" si="0"/>
        <v>75</v>
      </c>
      <c r="AJ46" s="259" t="str">
        <f t="shared" si="0"/>
        <v>4/0</v>
      </c>
      <c r="AK46" s="260">
        <f t="shared" si="16"/>
        <v>105.6</v>
      </c>
      <c r="AL46" s="226"/>
      <c r="AM46" s="258">
        <v>0</v>
      </c>
      <c r="AN46" s="258">
        <v>75</v>
      </c>
      <c r="AO46" s="262" t="s">
        <v>179</v>
      </c>
      <c r="AP46" s="260">
        <v>176</v>
      </c>
    </row>
    <row r="47" spans="1:42" ht="20.100000000000001" customHeight="1" x14ac:dyDescent="0.25">
      <c r="I47" s="246"/>
      <c r="K47" s="247"/>
      <c r="L47" s="247"/>
      <c r="M47" s="247"/>
      <c r="N47" s="248"/>
      <c r="O47" s="249"/>
      <c r="P47" s="247"/>
      <c r="R47" s="250"/>
      <c r="U47" s="247"/>
      <c r="V47" s="247"/>
      <c r="W47" s="247"/>
      <c r="X47" s="247"/>
      <c r="Y47" s="247"/>
      <c r="Z47" s="247"/>
      <c r="AA47" s="250"/>
      <c r="AC47" s="281"/>
      <c r="AD47" s="282">
        <f>IF(AE47&gt;=400,400,IF(AE47&gt;=350,350,IF(AE47&gt;=325,325,IF(AE47&gt;=300,300,IF(AE47&gt;=275,275,IF(AE47&gt;=250,250,IF(AE47&gt;=225,225,IF(AE47&gt;=200,200,IF(AE47&gt;=175,175,IF(AE47&gt;=150,150,IF(AE47&gt;=125,125,IF(AE47&gt;=100,100,IF(AE47&gt;=75,75,50)))))))))))))</f>
        <v>50</v>
      </c>
      <c r="AE47" s="283">
        <f>AC45</f>
        <v>61.2</v>
      </c>
      <c r="AF47" s="282">
        <f>IF(AE47&lt;=50,50,IF(AE47&lt;=75,75,IF(AE47&lt;=100,100,IF(AE47&lt;=125,125,IF(AE47&lt;=150,150,IF(AE47&lt;=175,175,IF(AE47&lt;=200,200,IF(AE47&lt;=225,225,IF(AE47&lt;=250,250,IF(AE47&lt;=275,275,IF(AE47&lt;=300,300,IF(AE47&lt;=325,325,IF(AE47&lt;=350,350,400)))))))))))))</f>
        <v>75</v>
      </c>
      <c r="AH47" s="258">
        <f t="shared" si="0"/>
        <v>1</v>
      </c>
      <c r="AI47" s="258">
        <f t="shared" si="0"/>
        <v>75</v>
      </c>
      <c r="AJ47" s="259" t="str">
        <f t="shared" si="0"/>
        <v>4/0</v>
      </c>
      <c r="AK47" s="260">
        <f t="shared" si="16"/>
        <v>115.8</v>
      </c>
      <c r="AL47" s="226"/>
      <c r="AM47" s="258">
        <v>1</v>
      </c>
      <c r="AN47" s="258">
        <v>75</v>
      </c>
      <c r="AO47" s="262" t="s">
        <v>179</v>
      </c>
      <c r="AP47" s="260">
        <v>193</v>
      </c>
    </row>
    <row r="48" spans="1:42" ht="20.100000000000001" customHeight="1" x14ac:dyDescent="0.25">
      <c r="I48" s="246"/>
      <c r="K48" s="247"/>
      <c r="L48" s="247"/>
      <c r="M48" s="247"/>
      <c r="N48" s="248"/>
      <c r="O48" s="249"/>
      <c r="P48" s="247"/>
      <c r="R48" s="250"/>
      <c r="U48" s="247"/>
      <c r="V48" s="247"/>
      <c r="W48" s="247"/>
      <c r="X48" s="247"/>
      <c r="Y48" s="247"/>
      <c r="Z48" s="247"/>
      <c r="AA48" s="250"/>
      <c r="AC48" s="282">
        <f>IF(AC49&gt;=0,ROUNDDOWN(AC49,0),ROUNDUP(AC49,0))</f>
        <v>6</v>
      </c>
      <c r="AD48" s="284">
        <f>IF(AD47=400,VLOOKUP(AC48,$AH$700:$AK$748,4),IF(AD47=350,VLOOKUP(AC48,$AH$650:$AK$698,4),IF(AD47=325,VLOOKUP(AC48,$AH$598:$AK$648,4),IF(AD47=300,VLOOKUP(AC48,$AH$544:$AK$596,4),IF(AD47=275,VLOOKUP(AC48,$AH$488:$AK$542,4),IF(AD47=250,VLOOKUP(AC48,$AH$431:$AK$486,4),IF(AD47=225,VLOOKUP(AC48,$AH$379:$AK$429,4),IF(AD47=200,VLOOKUP(AC48,$AH$319:$AK$377,4),IF(AD47=175,VLOOKUP(AC48,$AH$256:$AK$317,4),IF(AD47=150,VLOOKUP(AC48,$AH$192:$AK$254,4),IF(AD47=125,VLOOKUP(AC48,$AH$126:$AK$190,4),IF(AD47=100,VLOOKUP(AC48,$AH$81:$AK$124,4),IF(AD47=75,VLOOKUP(AC48,$AH$39:$AK$79,4),IF(AD47=50,VLOOKUP(AC48,$AH$3:$AK$37,4)))))))))))))))</f>
        <v>181.79999999999998</v>
      </c>
      <c r="AE48" s="285">
        <f>IFERROR((AE47-AD47)/(AF47-AD47)*(AF48-AD48)+AD48,"")</f>
        <v>175.07999999999998</v>
      </c>
      <c r="AF48" s="284">
        <f>IF(AF47=400,VLOOKUP(AC48,$AH$700:$AK$748,4),IF(AF47=350,VLOOKUP(AC48,$AH$650:$AK$698,4),IF(AF47=325,VLOOKUP(AC48,$AH$598:$AK$648,4),IF(AF47=300,VLOOKUP(AC48,$AH$544:$AK$596,4),IF(AF47=275,VLOOKUP(AC48,$AH$488:$AK$542,4),IF(AF47=250,VLOOKUP(AC48,$AH$431:$AK$486,4),IF(AF47=225,VLOOKUP(AC48,$AH$379:$AK$429,4),IF(AF47=200,VLOOKUP(AC48,$AH$319:$AK$377,4),IF(AF47=175,VLOOKUP(AC48,$AH$256:$AK$317,4),IF(AF47=150,VLOOKUP(AC48,$AH$192:$AK$254,4),IF(AF47=125,VLOOKUP(AC48,$AH$126:$AK$190,4),IF(AF47=100,VLOOKUP(AC48,$AH$81:$AK$124,4),IF(AF47=75,VLOOKUP(AC48,$AH$39:$AK$79,4),IF(AF47=50,VLOOKUP(AC48,$AH$3:$AK$37,4)))))))))))))))</f>
        <v>166.79999999999998</v>
      </c>
      <c r="AH48" s="258">
        <f t="shared" si="0"/>
        <v>2</v>
      </c>
      <c r="AI48" s="258">
        <f t="shared" si="0"/>
        <v>75</v>
      </c>
      <c r="AJ48" s="259" t="str">
        <f t="shared" si="0"/>
        <v>4/0</v>
      </c>
      <c r="AK48" s="260">
        <f t="shared" si="16"/>
        <v>126</v>
      </c>
      <c r="AL48" s="226"/>
      <c r="AM48" s="258">
        <v>2</v>
      </c>
      <c r="AN48" s="258">
        <v>75</v>
      </c>
      <c r="AO48" s="262" t="s">
        <v>179</v>
      </c>
      <c r="AP48" s="260">
        <v>210</v>
      </c>
    </row>
    <row r="49" spans="9:42" ht="20.100000000000001" customHeight="1" x14ac:dyDescent="0.25">
      <c r="I49" s="246"/>
      <c r="K49" s="247"/>
      <c r="L49" s="247"/>
      <c r="M49" s="247"/>
      <c r="N49" s="248"/>
      <c r="O49" s="249"/>
      <c r="P49" s="247"/>
      <c r="R49" s="250"/>
      <c r="U49" s="247"/>
      <c r="V49" s="247"/>
      <c r="W49" s="247"/>
      <c r="X49" s="247"/>
      <c r="Y49" s="247"/>
      <c r="Z49" s="247"/>
      <c r="AA49" s="250"/>
      <c r="AB49" s="287" t="s">
        <v>248</v>
      </c>
      <c r="AC49" s="288">
        <f>AB45</f>
        <v>6.8</v>
      </c>
      <c r="AD49" s="285">
        <f>IFERROR((AC49-AC48)/(AC50-AC48)*(AD50-AD48)+AD48,"")</f>
        <v>189.96</v>
      </c>
      <c r="AE49" s="278">
        <f>IFERROR((AE47-AF47)/(AD47-AF47)*(AD49-AF49)+AF49,"")</f>
        <v>183.45504</v>
      </c>
      <c r="AF49" s="285">
        <f>IFERROR((AC49-AC48)/(AC50-AC48)*(AF50-AF48)+AF48,"")</f>
        <v>175.44</v>
      </c>
      <c r="AH49" s="258">
        <f t="shared" si="0"/>
        <v>3</v>
      </c>
      <c r="AI49" s="258">
        <f t="shared" si="0"/>
        <v>75</v>
      </c>
      <c r="AJ49" s="259" t="str">
        <f t="shared" si="0"/>
        <v>4/0</v>
      </c>
      <c r="AK49" s="260">
        <f t="shared" si="16"/>
        <v>136.19999999999999</v>
      </c>
      <c r="AL49" s="226"/>
      <c r="AM49" s="258">
        <v>3</v>
      </c>
      <c r="AN49" s="258">
        <v>75</v>
      </c>
      <c r="AO49" s="262" t="s">
        <v>179</v>
      </c>
      <c r="AP49" s="260">
        <v>227</v>
      </c>
    </row>
    <row r="50" spans="9:42" ht="20.100000000000001" customHeight="1" x14ac:dyDescent="0.25">
      <c r="I50" s="246"/>
      <c r="K50" s="247"/>
      <c r="L50" s="247"/>
      <c r="M50" s="247"/>
      <c r="N50" s="248"/>
      <c r="O50" s="249"/>
      <c r="P50" s="247"/>
      <c r="R50" s="250"/>
      <c r="U50" s="247"/>
      <c r="V50" s="247"/>
      <c r="W50" s="247"/>
      <c r="X50" s="247"/>
      <c r="Y50" s="247"/>
      <c r="Z50" s="247"/>
      <c r="AA50" s="250"/>
      <c r="AC50" s="282">
        <f>IF(AC49&gt;=0,ROUNDUP(AC49,0),ROUNDDOWN(AC49,0))</f>
        <v>7</v>
      </c>
      <c r="AD50" s="284">
        <f>IF(AD47=400,VLOOKUP(AC50,$AH$700:$AK$748,4),IF(AD47=350,VLOOKUP(AC50,$AH$650:$AK$698,4),IF(AD47=325,VLOOKUP(AC50,$AH$598:$AK$648,4),IF(AD47=300,VLOOKUP(AC50,$AH$544:$AK$596,4),IF(AD47=275,VLOOKUP(AC50,$AH$488:$AK$542,4),IF(AD47=250,VLOOKUP(AC50,$AH$431:$AK$486,4),IF(AD47=225,VLOOKUP(AC50,$AH$379:$AK$429,4),IF(AD47=200,VLOOKUP(AC50,$AH$319:$AK$377,4),IF(AD47=175,VLOOKUP(AC50,$AH$256:$AK$317,4),IF(AD47=150,VLOOKUP(AC50,$AH$192:$AK$254,4),IF(AD47=125,VLOOKUP(AC50,$AH$126:$AK$190,4),IF(AD47=100,VLOOKUP(AC50,$AH$81:$AK$124,4),IF(AD47=75,VLOOKUP(AC50,$AH$39:$AK$79,4),IF(AD47=50,VLOOKUP(AC50,$AH$3:$AK$37,4)))))))))))))))</f>
        <v>192</v>
      </c>
      <c r="AE50" s="285">
        <f>IFERROR((AE47-AD47)/(AF47-AD47)*(AF50-AD50)+AD50,"")</f>
        <v>185.5488</v>
      </c>
      <c r="AF50" s="284">
        <f>IF(AF47=400,VLOOKUP(AC50,$AH$700:$AK$748,4),IF(AF47=350,VLOOKUP(AC50,$AH$650:$AK$698,4),IF(AF47=325,VLOOKUP(AC50,$AH$598:$AK$648,4),IF(AF47=300,VLOOKUP(AC50,$AH$544:$AK$596,4),IF(AF47=275,VLOOKUP(AC50,$AH$488:$AK$542,4),IF(AF47=250,VLOOKUP(AC50,$AH$431:$AK$486,4),IF(AF47=225,VLOOKUP(AC50,$AH$379:$AK$429,4),IF(AF47=200,VLOOKUP(AC50,$AH$319:$AK$377,4),IF(AF47=175,VLOOKUP(AC50,$AH$256:$AK$317,4),IF(AF47=150,VLOOKUP(AC50,$AH$192:$AK$254,4),IF(AF47=125,VLOOKUP(AC50,$AH$126:$AK$190,4),IF(AF47=100,VLOOKUP(AC50,$AH$81:$AK$124,4),IF(AF47=75,VLOOKUP(AC50,$AH$39:$AK$79,4),IF(AF47=50,VLOOKUP(AC50,$AH$3:$AK$37,4)))))))))))))))</f>
        <v>177.6</v>
      </c>
      <c r="AH50" s="258">
        <f t="shared" si="0"/>
        <v>4</v>
      </c>
      <c r="AI50" s="258">
        <f t="shared" si="0"/>
        <v>75</v>
      </c>
      <c r="AJ50" s="259" t="str">
        <f t="shared" si="0"/>
        <v>4/0</v>
      </c>
      <c r="AK50" s="260">
        <f t="shared" si="16"/>
        <v>146.4</v>
      </c>
      <c r="AL50" s="226"/>
      <c r="AM50" s="258">
        <v>4</v>
      </c>
      <c r="AN50" s="258">
        <v>75</v>
      </c>
      <c r="AO50" s="262" t="s">
        <v>179</v>
      </c>
      <c r="AP50" s="260">
        <v>244</v>
      </c>
    </row>
    <row r="51" spans="9:42" ht="20.100000000000001" customHeight="1" x14ac:dyDescent="0.25">
      <c r="I51" s="246"/>
      <c r="K51" s="247"/>
      <c r="L51" s="247"/>
      <c r="M51" s="247"/>
      <c r="N51" s="248"/>
      <c r="O51" s="249"/>
      <c r="P51" s="247"/>
      <c r="R51" s="250"/>
      <c r="U51" s="247"/>
      <c r="V51" s="247"/>
      <c r="W51" s="247"/>
      <c r="X51" s="247"/>
      <c r="Y51" s="247"/>
      <c r="Z51" s="247"/>
      <c r="AA51" s="250"/>
      <c r="AD51" s="289">
        <f>IF(AD49&lt;&gt;"",AD49,AVERAGE(AD48:AD50))</f>
        <v>189.96</v>
      </c>
      <c r="AE51" s="289">
        <f>IF(AE49&lt;&gt;"",AE49,IF(SUM(AE48:AE50)=0,"",AVERAGE(AE48:AE50)))</f>
        <v>183.45504</v>
      </c>
      <c r="AF51" s="289">
        <f>IF(AF49&lt;&gt;"",AF49,AVERAGE(AF48:AF50))</f>
        <v>175.44</v>
      </c>
      <c r="AH51" s="258">
        <f t="shared" si="0"/>
        <v>5</v>
      </c>
      <c r="AI51" s="258">
        <f t="shared" si="0"/>
        <v>75</v>
      </c>
      <c r="AJ51" s="259" t="str">
        <f t="shared" si="0"/>
        <v>4/0</v>
      </c>
      <c r="AK51" s="260">
        <f t="shared" si="16"/>
        <v>156.6</v>
      </c>
      <c r="AL51" s="226"/>
      <c r="AM51" s="258">
        <v>5</v>
      </c>
      <c r="AN51" s="258">
        <v>75</v>
      </c>
      <c r="AO51" s="262" t="s">
        <v>179</v>
      </c>
      <c r="AP51" s="260">
        <v>261</v>
      </c>
    </row>
    <row r="52" spans="9:42" ht="20.100000000000001" customHeight="1" x14ac:dyDescent="0.25">
      <c r="I52" s="246"/>
      <c r="K52" s="247"/>
      <c r="L52" s="247"/>
      <c r="M52" s="247"/>
      <c r="N52" s="248"/>
      <c r="O52" s="249"/>
      <c r="P52" s="247"/>
      <c r="R52" s="250"/>
      <c r="U52" s="247"/>
      <c r="V52" s="247"/>
      <c r="W52" s="247"/>
      <c r="X52" s="247"/>
      <c r="Y52" s="247"/>
      <c r="Z52" s="247"/>
      <c r="AA52" s="250"/>
      <c r="AH52" s="258">
        <f t="shared" si="0"/>
        <v>6</v>
      </c>
      <c r="AI52" s="258">
        <f t="shared" si="0"/>
        <v>75</v>
      </c>
      <c r="AJ52" s="259" t="str">
        <f t="shared" si="0"/>
        <v>4/0</v>
      </c>
      <c r="AK52" s="260">
        <f t="shared" si="16"/>
        <v>166.79999999999998</v>
      </c>
      <c r="AL52" s="226"/>
      <c r="AM52" s="258">
        <v>6</v>
      </c>
      <c r="AN52" s="258">
        <v>75</v>
      </c>
      <c r="AO52" s="262" t="s">
        <v>179</v>
      </c>
      <c r="AP52" s="260">
        <v>278</v>
      </c>
    </row>
    <row r="53" spans="9:42" ht="20.100000000000001" customHeight="1" x14ac:dyDescent="0.25">
      <c r="I53" s="246"/>
      <c r="K53" s="247"/>
      <c r="L53" s="247"/>
      <c r="M53" s="247"/>
      <c r="N53" s="248"/>
      <c r="O53" s="249"/>
      <c r="P53" s="247"/>
      <c r="R53" s="250"/>
      <c r="U53" s="247"/>
      <c r="V53" s="247"/>
      <c r="W53" s="247"/>
      <c r="X53" s="247"/>
      <c r="Y53" s="247"/>
      <c r="Z53" s="247"/>
      <c r="AA53" s="250"/>
      <c r="AB53" s="257">
        <v>6</v>
      </c>
      <c r="AC53" s="226"/>
      <c r="AD53" s="226"/>
      <c r="AH53" s="258">
        <f t="shared" si="0"/>
        <v>7</v>
      </c>
      <c r="AI53" s="258">
        <f t="shared" si="0"/>
        <v>75</v>
      </c>
      <c r="AJ53" s="259" t="str">
        <f t="shared" si="0"/>
        <v>4/0</v>
      </c>
      <c r="AK53" s="260">
        <f t="shared" si="16"/>
        <v>177.6</v>
      </c>
      <c r="AL53" s="226"/>
      <c r="AM53" s="258">
        <v>7</v>
      </c>
      <c r="AN53" s="258">
        <v>75</v>
      </c>
      <c r="AO53" s="262" t="s">
        <v>179</v>
      </c>
      <c r="AP53" s="260">
        <v>296</v>
      </c>
    </row>
    <row r="54" spans="9:42" ht="20.100000000000001" customHeight="1" x14ac:dyDescent="0.25">
      <c r="I54" s="246"/>
      <c r="K54" s="247"/>
      <c r="L54" s="247"/>
      <c r="M54" s="247"/>
      <c r="N54" s="248"/>
      <c r="O54" s="249"/>
      <c r="P54" s="247"/>
      <c r="R54" s="250"/>
      <c r="U54" s="247"/>
      <c r="V54" s="247"/>
      <c r="W54" s="247"/>
      <c r="X54" s="247"/>
      <c r="Y54" s="247"/>
      <c r="Z54" s="247"/>
      <c r="AA54" s="250"/>
      <c r="AB54" s="241" t="s">
        <v>245</v>
      </c>
      <c r="AC54" s="241" t="s">
        <v>246</v>
      </c>
      <c r="AD54" s="241" t="s">
        <v>236</v>
      </c>
      <c r="AH54" s="258">
        <f t="shared" si="0"/>
        <v>8</v>
      </c>
      <c r="AI54" s="258">
        <f t="shared" si="0"/>
        <v>75</v>
      </c>
      <c r="AJ54" s="259" t="str">
        <f t="shared" si="0"/>
        <v>4/0</v>
      </c>
      <c r="AK54" s="260">
        <f t="shared" si="16"/>
        <v>187.79999999999998</v>
      </c>
      <c r="AL54" s="226"/>
      <c r="AM54" s="258">
        <v>8</v>
      </c>
      <c r="AN54" s="258">
        <v>75</v>
      </c>
      <c r="AO54" s="262" t="s">
        <v>179</v>
      </c>
      <c r="AP54" s="260">
        <v>313</v>
      </c>
    </row>
    <row r="55" spans="9:42" ht="20.100000000000001" customHeight="1" x14ac:dyDescent="0.25">
      <c r="I55" s="246"/>
      <c r="K55" s="247"/>
      <c r="L55" s="247"/>
      <c r="M55" s="247"/>
      <c r="N55" s="248"/>
      <c r="O55" s="249"/>
      <c r="P55" s="247"/>
      <c r="R55" s="250"/>
      <c r="U55" s="247"/>
      <c r="V55" s="247"/>
      <c r="W55" s="247"/>
      <c r="X55" s="247"/>
      <c r="Y55" s="247"/>
      <c r="Z55" s="247"/>
      <c r="AA55" s="250"/>
      <c r="AB55" s="276">
        <f>IF(I9="","",I9)</f>
        <v>6.9</v>
      </c>
      <c r="AC55" s="277">
        <f>IF(J9="","",J9)</f>
        <v>62.7</v>
      </c>
      <c r="AD55" s="278">
        <f>IF(OR(AB55="",AC55=""),"",IF(AE59&lt;&gt;"",AE61,AVERAGEIF(AD61:AF61,"&lt;&gt;0",AD61:AF61)))</f>
        <v>183.63432</v>
      </c>
      <c r="AH55" s="258">
        <f t="shared" si="0"/>
        <v>9</v>
      </c>
      <c r="AI55" s="258">
        <f t="shared" si="0"/>
        <v>75</v>
      </c>
      <c r="AJ55" s="259" t="str">
        <f t="shared" si="0"/>
        <v>4/0</v>
      </c>
      <c r="AK55" s="260">
        <f t="shared" si="16"/>
        <v>198</v>
      </c>
      <c r="AL55" s="226"/>
      <c r="AM55" s="258">
        <v>9</v>
      </c>
      <c r="AN55" s="258">
        <v>75</v>
      </c>
      <c r="AO55" s="262" t="s">
        <v>179</v>
      </c>
      <c r="AP55" s="260">
        <v>330</v>
      </c>
    </row>
    <row r="56" spans="9:42" ht="20.100000000000001" customHeight="1" x14ac:dyDescent="0.25">
      <c r="I56" s="246"/>
      <c r="K56" s="247"/>
      <c r="L56" s="247"/>
      <c r="M56" s="247"/>
      <c r="N56" s="248"/>
      <c r="O56" s="249"/>
      <c r="P56" s="247"/>
      <c r="R56" s="250"/>
      <c r="U56" s="247"/>
      <c r="V56" s="247"/>
      <c r="W56" s="247"/>
      <c r="X56" s="247"/>
      <c r="Y56" s="247"/>
      <c r="Z56" s="247"/>
      <c r="AA56" s="250"/>
      <c r="AC56" s="250" t="s">
        <v>182</v>
      </c>
      <c r="AE56" s="279" t="s">
        <v>247</v>
      </c>
      <c r="AH56" s="258">
        <f t="shared" si="0"/>
        <v>10</v>
      </c>
      <c r="AI56" s="258">
        <f t="shared" si="0"/>
        <v>75</v>
      </c>
      <c r="AJ56" s="259" t="str">
        <f t="shared" si="0"/>
        <v>4/0</v>
      </c>
      <c r="AK56" s="260">
        <f t="shared" si="16"/>
        <v>208.2</v>
      </c>
      <c r="AL56" s="226"/>
      <c r="AM56" s="258">
        <v>10</v>
      </c>
      <c r="AN56" s="258">
        <v>75</v>
      </c>
      <c r="AO56" s="262" t="s">
        <v>179</v>
      </c>
      <c r="AP56" s="260">
        <v>347</v>
      </c>
    </row>
    <row r="57" spans="9:42" ht="20.100000000000001" customHeight="1" x14ac:dyDescent="0.25">
      <c r="I57" s="246"/>
      <c r="K57" s="247"/>
      <c r="L57" s="247"/>
      <c r="M57" s="247"/>
      <c r="N57" s="248"/>
      <c r="O57" s="249"/>
      <c r="P57" s="247"/>
      <c r="R57" s="250"/>
      <c r="U57" s="247"/>
      <c r="V57" s="247"/>
      <c r="W57" s="247"/>
      <c r="X57" s="247"/>
      <c r="Y57" s="247"/>
      <c r="Z57" s="247"/>
      <c r="AA57" s="250"/>
      <c r="AC57" s="281"/>
      <c r="AD57" s="282">
        <f>IF(AE57&gt;=400,400,IF(AE57&gt;=350,350,IF(AE57&gt;=325,325,IF(AE57&gt;=300,300,IF(AE57&gt;=275,275,IF(AE57&gt;=250,250,IF(AE57&gt;=225,225,IF(AE57&gt;=200,200,IF(AE57&gt;=175,175,IF(AE57&gt;=150,150,IF(AE57&gt;=125,125,IF(AE57&gt;=100,100,IF(AE57&gt;=75,75,50)))))))))))))</f>
        <v>50</v>
      </c>
      <c r="AE57" s="283">
        <f>AC55</f>
        <v>62.7</v>
      </c>
      <c r="AF57" s="282">
        <f>IF(AE57&lt;=50,50,IF(AE57&lt;=75,75,IF(AE57&lt;=100,100,IF(AE57&lt;=125,125,IF(AE57&lt;=150,150,IF(AE57&lt;=175,175,IF(AE57&lt;=200,200,IF(AE57&lt;=225,225,IF(AE57&lt;=250,250,IF(AE57&lt;=275,275,IF(AE57&lt;=300,300,IF(AE57&lt;=325,325,IF(AE57&lt;=350,350,400)))))))))))))</f>
        <v>75</v>
      </c>
      <c r="AH57" s="258">
        <f t="shared" si="0"/>
        <v>11</v>
      </c>
      <c r="AI57" s="258">
        <f t="shared" si="0"/>
        <v>75</v>
      </c>
      <c r="AJ57" s="259" t="str">
        <f t="shared" si="0"/>
        <v>4/0</v>
      </c>
      <c r="AK57" s="260">
        <f t="shared" si="16"/>
        <v>218.4</v>
      </c>
      <c r="AL57" s="226"/>
      <c r="AM57" s="258">
        <v>11</v>
      </c>
      <c r="AN57" s="258">
        <v>75</v>
      </c>
      <c r="AO57" s="262" t="s">
        <v>179</v>
      </c>
      <c r="AP57" s="260">
        <v>364</v>
      </c>
    </row>
    <row r="58" spans="9:42" ht="20.100000000000001" customHeight="1" x14ac:dyDescent="0.25">
      <c r="I58" s="246"/>
      <c r="K58" s="247"/>
      <c r="L58" s="247"/>
      <c r="M58" s="247"/>
      <c r="N58" s="248"/>
      <c r="O58" s="249"/>
      <c r="P58" s="247"/>
      <c r="R58" s="250"/>
      <c r="U58" s="247"/>
      <c r="V58" s="247"/>
      <c r="W58" s="247"/>
      <c r="X58" s="247"/>
      <c r="Y58" s="247"/>
      <c r="Z58" s="247"/>
      <c r="AA58" s="250"/>
      <c r="AC58" s="282">
        <f>IF(AC59&gt;=0,ROUNDDOWN(AC59,0),ROUNDUP(AC59,0))</f>
        <v>6</v>
      </c>
      <c r="AD58" s="284">
        <f>IF(AD57=400,VLOOKUP(AC58,$AH$700:$AK$748,4),IF(AD57=350,VLOOKUP(AC58,$AH$650:$AK$698,4),IF(AD57=325,VLOOKUP(AC58,$AH$598:$AK$648,4),IF(AD57=300,VLOOKUP(AC58,$AH$544:$AK$596,4),IF(AD57=275,VLOOKUP(AC58,$AH$488:$AK$542,4),IF(AD57=250,VLOOKUP(AC58,$AH$431:$AK$486,4),IF(AD57=225,VLOOKUP(AC58,$AH$379:$AK$429,4),IF(AD57=200,VLOOKUP(AC58,$AH$319:$AK$377,4),IF(AD57=175,VLOOKUP(AC58,$AH$256:$AK$317,4),IF(AD57=150,VLOOKUP(AC58,$AH$192:$AK$254,4),IF(AD57=125,VLOOKUP(AC58,$AH$126:$AK$190,4),IF(AD57=100,VLOOKUP(AC58,$AH$81:$AK$124,4),IF(AD57=75,VLOOKUP(AC58,$AH$39:$AK$79,4),IF(AD57=50,VLOOKUP(AC58,$AH$3:$AK$37,4)))))))))))))))</f>
        <v>181.79999999999998</v>
      </c>
      <c r="AE58" s="285">
        <f>IFERROR((AE57-AD57)/(AF57-AD57)*(AF58-AD58)+AD58,"")</f>
        <v>174.17999999999998</v>
      </c>
      <c r="AF58" s="284">
        <f>IF(AF57=400,VLOOKUP(AC58,$AH$700:$AK$748,4),IF(AF57=350,VLOOKUP(AC58,$AH$650:$AK$698,4),IF(AF57=325,VLOOKUP(AC58,$AH$598:$AK$648,4),IF(AF57=300,VLOOKUP(AC58,$AH$544:$AK$596,4),IF(AF57=275,VLOOKUP(AC58,$AH$488:$AK$542,4),IF(AF57=250,VLOOKUP(AC58,$AH$431:$AK$486,4),IF(AF57=225,VLOOKUP(AC58,$AH$379:$AK$429,4),IF(AF57=200,VLOOKUP(AC58,$AH$319:$AK$377,4),IF(AF57=175,VLOOKUP(AC58,$AH$256:$AK$317,4),IF(AF57=150,VLOOKUP(AC58,$AH$192:$AK$254,4),IF(AF57=125,VLOOKUP(AC58,$AH$126:$AK$190,4),IF(AF57=100,VLOOKUP(AC58,$AH$81:$AK$124,4),IF(AF57=75,VLOOKUP(AC58,$AH$39:$AK$79,4),IF(AF57=50,VLOOKUP(AC58,$AH$3:$AK$37,4)))))))))))))))</f>
        <v>166.79999999999998</v>
      </c>
      <c r="AH58" s="258">
        <f t="shared" si="0"/>
        <v>12</v>
      </c>
      <c r="AI58" s="258">
        <f t="shared" si="0"/>
        <v>75</v>
      </c>
      <c r="AJ58" s="259" t="str">
        <f t="shared" si="0"/>
        <v>4/0</v>
      </c>
      <c r="AK58" s="260">
        <f t="shared" si="16"/>
        <v>229.2</v>
      </c>
      <c r="AL58" s="226"/>
      <c r="AM58" s="258">
        <v>12</v>
      </c>
      <c r="AN58" s="258">
        <v>75</v>
      </c>
      <c r="AO58" s="262" t="s">
        <v>179</v>
      </c>
      <c r="AP58" s="260">
        <v>382</v>
      </c>
    </row>
    <row r="59" spans="9:42" ht="20.100000000000001" customHeight="1" x14ac:dyDescent="0.25">
      <c r="I59" s="246"/>
      <c r="K59" s="247"/>
      <c r="L59" s="247"/>
      <c r="M59" s="247"/>
      <c r="N59" s="248"/>
      <c r="O59" s="249"/>
      <c r="P59" s="247"/>
      <c r="R59" s="250"/>
      <c r="U59" s="247"/>
      <c r="V59" s="247"/>
      <c r="W59" s="247"/>
      <c r="X59" s="247"/>
      <c r="Y59" s="247"/>
      <c r="Z59" s="247"/>
      <c r="AA59" s="250"/>
      <c r="AB59" s="287" t="s">
        <v>248</v>
      </c>
      <c r="AC59" s="288">
        <f>AB55</f>
        <v>6.9</v>
      </c>
      <c r="AD59" s="285">
        <f>IFERROR((AC59-AC58)/(AC60-AC58)*(AD60-AD58)+AD58,"")</f>
        <v>190.98</v>
      </c>
      <c r="AE59" s="278">
        <f>IFERROR((AE57-AF57)/(AD57-AF57)*(AD59-AF59)+AF59,"")</f>
        <v>183.63432</v>
      </c>
      <c r="AF59" s="285">
        <f>IFERROR((AC59-AC58)/(AC60-AC58)*(AF60-AF58)+AF58,"")</f>
        <v>176.52</v>
      </c>
      <c r="AH59" s="258">
        <f t="shared" si="0"/>
        <v>13</v>
      </c>
      <c r="AI59" s="258">
        <f t="shared" si="0"/>
        <v>75</v>
      </c>
      <c r="AJ59" s="259" t="str">
        <f t="shared" si="0"/>
        <v>4/0</v>
      </c>
      <c r="AK59" s="260">
        <f t="shared" si="16"/>
        <v>239.39999999999998</v>
      </c>
      <c r="AL59" s="226"/>
      <c r="AM59" s="258">
        <v>13</v>
      </c>
      <c r="AN59" s="258">
        <v>75</v>
      </c>
      <c r="AO59" s="262" t="s">
        <v>179</v>
      </c>
      <c r="AP59" s="260">
        <v>399</v>
      </c>
    </row>
    <row r="60" spans="9:42" ht="20.100000000000001" customHeight="1" x14ac:dyDescent="0.25">
      <c r="I60" s="246"/>
      <c r="K60" s="247"/>
      <c r="L60" s="247"/>
      <c r="M60" s="247"/>
      <c r="N60" s="248"/>
      <c r="O60" s="249"/>
      <c r="P60" s="247"/>
      <c r="R60" s="250"/>
      <c r="U60" s="247"/>
      <c r="V60" s="247"/>
      <c r="W60" s="247"/>
      <c r="X60" s="247"/>
      <c r="Y60" s="247"/>
      <c r="Z60" s="247"/>
      <c r="AA60" s="250"/>
      <c r="AC60" s="282">
        <f>IF(AC59&gt;=0,ROUNDUP(AC59,0),ROUNDDOWN(AC59,0))</f>
        <v>7</v>
      </c>
      <c r="AD60" s="284">
        <f>IF(AD57=400,VLOOKUP(AC60,$AH$700:$AK$748,4),IF(AD57=350,VLOOKUP(AC60,$AH$650:$AK$698,4),IF(AD57=325,VLOOKUP(AC60,$AH$598:$AK$648,4),IF(AD57=300,VLOOKUP(AC60,$AH$544:$AK$596,4),IF(AD57=275,VLOOKUP(AC60,$AH$488:$AK$542,4),IF(AD57=250,VLOOKUP(AC60,$AH$431:$AK$486,4),IF(AD57=225,VLOOKUP(AC60,$AH$379:$AK$429,4),IF(AD57=200,VLOOKUP(AC60,$AH$319:$AK$377,4),IF(AD57=175,VLOOKUP(AC60,$AH$256:$AK$317,4),IF(AD57=150,VLOOKUP(AC60,$AH$192:$AK$254,4),IF(AD57=125,VLOOKUP(AC60,$AH$126:$AK$190,4),IF(AD57=100,VLOOKUP(AC60,$AH$81:$AK$124,4),IF(AD57=75,VLOOKUP(AC60,$AH$39:$AK$79,4),IF(AD57=50,VLOOKUP(AC60,$AH$3:$AK$37,4)))))))))))))))</f>
        <v>192</v>
      </c>
      <c r="AE60" s="285">
        <f>IFERROR((AE57-AD57)/(AF57-AD57)*(AF60-AD60)+AD60,"")</f>
        <v>184.6848</v>
      </c>
      <c r="AF60" s="284">
        <f>IF(AF57=400,VLOOKUP(AC60,$AH$700:$AK$748,4),IF(AF57=350,VLOOKUP(AC60,$AH$650:$AK$698,4),IF(AF57=325,VLOOKUP(AC60,$AH$598:$AK$648,4),IF(AF57=300,VLOOKUP(AC60,$AH$544:$AK$596,4),IF(AF57=275,VLOOKUP(AC60,$AH$488:$AK$542,4),IF(AF57=250,VLOOKUP(AC60,$AH$431:$AK$486,4),IF(AF57=225,VLOOKUP(AC60,$AH$379:$AK$429,4),IF(AF57=200,VLOOKUP(AC60,$AH$319:$AK$377,4),IF(AF57=175,VLOOKUP(AC60,$AH$256:$AK$317,4),IF(AF57=150,VLOOKUP(AC60,$AH$192:$AK$254,4),IF(AF57=125,VLOOKUP(AC60,$AH$126:$AK$190,4),IF(AF57=100,VLOOKUP(AC60,$AH$81:$AK$124,4),IF(AF57=75,VLOOKUP(AC60,$AH$39:$AK$79,4),IF(AF57=50,VLOOKUP(AC60,$AH$3:$AK$37,4)))))))))))))))</f>
        <v>177.6</v>
      </c>
      <c r="AH60" s="258">
        <f t="shared" si="0"/>
        <v>14</v>
      </c>
      <c r="AI60" s="258">
        <f t="shared" si="0"/>
        <v>75</v>
      </c>
      <c r="AJ60" s="259" t="str">
        <f t="shared" si="0"/>
        <v>4/0</v>
      </c>
      <c r="AK60" s="260">
        <f t="shared" si="16"/>
        <v>249.6</v>
      </c>
      <c r="AL60" s="226"/>
      <c r="AM60" s="258">
        <v>14</v>
      </c>
      <c r="AN60" s="258">
        <v>75</v>
      </c>
      <c r="AO60" s="262" t="s">
        <v>179</v>
      </c>
      <c r="AP60" s="260">
        <v>416</v>
      </c>
    </row>
    <row r="61" spans="9:42" ht="20.100000000000001" customHeight="1" x14ac:dyDescent="0.25">
      <c r="I61" s="246"/>
      <c r="K61" s="247"/>
      <c r="L61" s="247"/>
      <c r="M61" s="247"/>
      <c r="N61" s="248"/>
      <c r="O61" s="249"/>
      <c r="P61" s="247"/>
      <c r="R61" s="250"/>
      <c r="U61" s="247"/>
      <c r="V61" s="247"/>
      <c r="W61" s="247"/>
      <c r="X61" s="247"/>
      <c r="Y61" s="247"/>
      <c r="Z61" s="247"/>
      <c r="AA61" s="250"/>
      <c r="AD61" s="289">
        <f>IF(AD59&lt;&gt;"",AD59,AVERAGE(AD58:AD60))</f>
        <v>190.98</v>
      </c>
      <c r="AE61" s="289">
        <f>IF(AE59&lt;&gt;"",AE59,IF(SUM(AE58:AE60)=0,"",AVERAGE(AE58:AE60)))</f>
        <v>183.63432</v>
      </c>
      <c r="AF61" s="289">
        <f>IF(AF59&lt;&gt;"",AF59,AVERAGE(AF58:AF60))</f>
        <v>176.52</v>
      </c>
      <c r="AH61" s="258">
        <f t="shared" si="0"/>
        <v>15</v>
      </c>
      <c r="AI61" s="258">
        <f t="shared" si="0"/>
        <v>75</v>
      </c>
      <c r="AJ61" s="259" t="str">
        <f t="shared" si="0"/>
        <v>4/0</v>
      </c>
      <c r="AK61" s="260">
        <f t="shared" si="16"/>
        <v>260.39999999999998</v>
      </c>
      <c r="AL61" s="226"/>
      <c r="AM61" s="258">
        <v>15</v>
      </c>
      <c r="AN61" s="258">
        <v>75</v>
      </c>
      <c r="AO61" s="262" t="s">
        <v>179</v>
      </c>
      <c r="AP61" s="260">
        <v>434</v>
      </c>
    </row>
    <row r="62" spans="9:42" ht="20.100000000000001" customHeight="1" x14ac:dyDescent="0.25">
      <c r="I62" s="246"/>
      <c r="K62" s="247"/>
      <c r="L62" s="247"/>
      <c r="M62" s="247"/>
      <c r="N62" s="248"/>
      <c r="O62" s="249"/>
      <c r="P62" s="247"/>
      <c r="R62" s="250"/>
      <c r="U62" s="247"/>
      <c r="V62" s="247"/>
      <c r="W62" s="247"/>
      <c r="X62" s="247"/>
      <c r="Y62" s="247"/>
      <c r="Z62" s="247"/>
      <c r="AA62" s="250"/>
      <c r="AH62" s="258">
        <f t="shared" si="0"/>
        <v>16</v>
      </c>
      <c r="AI62" s="258">
        <f t="shared" si="0"/>
        <v>75</v>
      </c>
      <c r="AJ62" s="259" t="str">
        <f t="shared" si="0"/>
        <v>4/0</v>
      </c>
      <c r="AK62" s="260">
        <f t="shared" si="16"/>
        <v>270.59999999999997</v>
      </c>
      <c r="AL62" s="226"/>
      <c r="AM62" s="258">
        <v>16</v>
      </c>
      <c r="AN62" s="258">
        <v>75</v>
      </c>
      <c r="AO62" s="262" t="s">
        <v>179</v>
      </c>
      <c r="AP62" s="260">
        <v>451</v>
      </c>
    </row>
    <row r="63" spans="9:42" ht="20.100000000000001" customHeight="1" x14ac:dyDescent="0.25">
      <c r="I63" s="246"/>
      <c r="K63" s="247"/>
      <c r="L63" s="247"/>
      <c r="M63" s="247"/>
      <c r="N63" s="248"/>
      <c r="O63" s="249"/>
      <c r="P63" s="247"/>
      <c r="R63" s="250"/>
      <c r="U63" s="247"/>
      <c r="V63" s="247"/>
      <c r="W63" s="247"/>
      <c r="X63" s="247"/>
      <c r="Y63" s="247"/>
      <c r="Z63" s="247"/>
      <c r="AA63" s="250"/>
      <c r="AB63" s="257">
        <v>7</v>
      </c>
      <c r="AC63" s="226"/>
      <c r="AD63" s="226"/>
      <c r="AH63" s="258">
        <f t="shared" si="0"/>
        <v>17</v>
      </c>
      <c r="AI63" s="258">
        <f t="shared" si="0"/>
        <v>75</v>
      </c>
      <c r="AJ63" s="259" t="str">
        <f t="shared" si="0"/>
        <v>4/0</v>
      </c>
      <c r="AK63" s="260">
        <f t="shared" si="16"/>
        <v>281.39999999999998</v>
      </c>
      <c r="AL63" s="226"/>
      <c r="AM63" s="258">
        <v>17</v>
      </c>
      <c r="AN63" s="258">
        <v>75</v>
      </c>
      <c r="AO63" s="262" t="s">
        <v>179</v>
      </c>
      <c r="AP63" s="260">
        <v>469</v>
      </c>
    </row>
    <row r="64" spans="9:42" ht="20.100000000000001" customHeight="1" x14ac:dyDescent="0.25">
      <c r="I64" s="246"/>
      <c r="K64" s="247"/>
      <c r="L64" s="247"/>
      <c r="M64" s="247"/>
      <c r="N64" s="248"/>
      <c r="O64" s="249"/>
      <c r="P64" s="247"/>
      <c r="R64" s="250"/>
      <c r="U64" s="247"/>
      <c r="V64" s="247"/>
      <c r="W64" s="247"/>
      <c r="X64" s="247"/>
      <c r="Y64" s="247"/>
      <c r="Z64" s="247"/>
      <c r="AA64" s="250"/>
      <c r="AB64" s="241" t="s">
        <v>245</v>
      </c>
      <c r="AC64" s="241" t="s">
        <v>246</v>
      </c>
      <c r="AD64" s="241" t="s">
        <v>236</v>
      </c>
      <c r="AH64" s="258">
        <f t="shared" si="0"/>
        <v>18</v>
      </c>
      <c r="AI64" s="258">
        <f t="shared" si="0"/>
        <v>75</v>
      </c>
      <c r="AJ64" s="259" t="str">
        <f t="shared" si="0"/>
        <v>4/0</v>
      </c>
      <c r="AK64" s="260">
        <f t="shared" si="16"/>
        <v>291.59999999999997</v>
      </c>
      <c r="AL64" s="226"/>
      <c r="AM64" s="258">
        <v>18</v>
      </c>
      <c r="AN64" s="258">
        <v>75</v>
      </c>
      <c r="AO64" s="262" t="s">
        <v>179</v>
      </c>
      <c r="AP64" s="260">
        <v>486</v>
      </c>
    </row>
    <row r="65" spans="9:42" ht="20.100000000000001" customHeight="1" x14ac:dyDescent="0.25">
      <c r="I65" s="246"/>
      <c r="K65" s="247"/>
      <c r="L65" s="247"/>
      <c r="M65" s="247"/>
      <c r="N65" s="248"/>
      <c r="O65" s="249"/>
      <c r="P65" s="247"/>
      <c r="R65" s="250"/>
      <c r="U65" s="247"/>
      <c r="V65" s="247"/>
      <c r="W65" s="247"/>
      <c r="X65" s="247"/>
      <c r="Y65" s="247"/>
      <c r="Z65" s="247"/>
      <c r="AA65" s="250"/>
      <c r="AB65" s="276">
        <f>IF(I10="","",I10)</f>
        <v>6.9</v>
      </c>
      <c r="AC65" s="277">
        <f>IF(J10="","",J10)</f>
        <v>62</v>
      </c>
      <c r="AD65" s="278">
        <f>IF(OR(AB65="",AC65=""),"",IF(AE69&lt;&gt;"",AE71,AVERAGEIF(AD71:AF71,"&lt;&gt;0",AD71:AF71)))</f>
        <v>184.03919999999999</v>
      </c>
      <c r="AH65" s="258">
        <f t="shared" si="0"/>
        <v>19</v>
      </c>
      <c r="AI65" s="258">
        <f t="shared" si="0"/>
        <v>75</v>
      </c>
      <c r="AJ65" s="259" t="str">
        <f t="shared" si="0"/>
        <v>4/0</v>
      </c>
      <c r="AK65" s="260">
        <f t="shared" si="16"/>
        <v>301.8</v>
      </c>
      <c r="AL65" s="226"/>
      <c r="AM65" s="258">
        <v>19</v>
      </c>
      <c r="AN65" s="258">
        <v>75</v>
      </c>
      <c r="AO65" s="262" t="s">
        <v>179</v>
      </c>
      <c r="AP65" s="260">
        <v>503</v>
      </c>
    </row>
    <row r="66" spans="9:42" ht="20.100000000000001" customHeight="1" x14ac:dyDescent="0.25">
      <c r="I66" s="246"/>
      <c r="K66" s="247"/>
      <c r="L66" s="247"/>
      <c r="M66" s="247"/>
      <c r="N66" s="248"/>
      <c r="O66" s="249"/>
      <c r="P66" s="247"/>
      <c r="R66" s="250"/>
      <c r="U66" s="247"/>
      <c r="V66" s="247"/>
      <c r="W66" s="247"/>
      <c r="X66" s="247"/>
      <c r="Y66" s="247"/>
      <c r="Z66" s="247"/>
      <c r="AA66" s="250"/>
      <c r="AC66" s="250" t="s">
        <v>182</v>
      </c>
      <c r="AE66" s="279" t="s">
        <v>247</v>
      </c>
      <c r="AH66" s="258">
        <f t="shared" si="0"/>
        <v>20</v>
      </c>
      <c r="AI66" s="258">
        <f t="shared" si="0"/>
        <v>75</v>
      </c>
      <c r="AJ66" s="259" t="str">
        <f t="shared" si="0"/>
        <v>4/0</v>
      </c>
      <c r="AK66" s="260">
        <f t="shared" si="16"/>
        <v>312.59999999999997</v>
      </c>
      <c r="AL66" s="226"/>
      <c r="AM66" s="258">
        <v>20</v>
      </c>
      <c r="AN66" s="258">
        <v>75</v>
      </c>
      <c r="AO66" s="262" t="s">
        <v>179</v>
      </c>
      <c r="AP66" s="260">
        <v>521</v>
      </c>
    </row>
    <row r="67" spans="9:42" ht="20.100000000000001" customHeight="1" x14ac:dyDescent="0.25">
      <c r="I67" s="246"/>
      <c r="K67" s="247"/>
      <c r="L67" s="247"/>
      <c r="M67" s="247"/>
      <c r="N67" s="248"/>
      <c r="O67" s="249"/>
      <c r="P67" s="247"/>
      <c r="R67" s="250"/>
      <c r="U67" s="247"/>
      <c r="V67" s="247"/>
      <c r="W67" s="247"/>
      <c r="X67" s="247"/>
      <c r="Y67" s="247"/>
      <c r="Z67" s="247"/>
      <c r="AA67" s="250"/>
      <c r="AC67" s="281"/>
      <c r="AD67" s="282">
        <f>IF(AE67&gt;=400,400,IF(AE67&gt;=350,350,IF(AE67&gt;=325,325,IF(AE67&gt;=300,300,IF(AE67&gt;=275,275,IF(AE67&gt;=250,250,IF(AE67&gt;=225,225,IF(AE67&gt;=200,200,IF(AE67&gt;=175,175,IF(AE67&gt;=150,150,IF(AE67&gt;=125,125,IF(AE67&gt;=100,100,IF(AE67&gt;=75,75,50)))))))))))))</f>
        <v>50</v>
      </c>
      <c r="AE67" s="283">
        <f>AC65</f>
        <v>62</v>
      </c>
      <c r="AF67" s="282">
        <f>IF(AE67&lt;=50,50,IF(AE67&lt;=75,75,IF(AE67&lt;=100,100,IF(AE67&lt;=125,125,IF(AE67&lt;=150,150,IF(AE67&lt;=175,175,IF(AE67&lt;=200,200,IF(AE67&lt;=225,225,IF(AE67&lt;=250,250,IF(AE67&lt;=275,275,IF(AE67&lt;=300,300,IF(AE67&lt;=325,325,IF(AE67&lt;=350,350,400)))))))))))))</f>
        <v>75</v>
      </c>
      <c r="AH67" s="258">
        <f t="shared" ref="AH67:AJ130" si="17">AM67</f>
        <v>21</v>
      </c>
      <c r="AI67" s="258">
        <f t="shared" si="17"/>
        <v>75</v>
      </c>
      <c r="AJ67" s="259" t="str">
        <f t="shared" si="17"/>
        <v>4/0</v>
      </c>
      <c r="AK67" s="260">
        <f t="shared" si="16"/>
        <v>322.8</v>
      </c>
      <c r="AL67" s="226"/>
      <c r="AM67" s="258">
        <v>21</v>
      </c>
      <c r="AN67" s="258">
        <v>75</v>
      </c>
      <c r="AO67" s="262" t="s">
        <v>179</v>
      </c>
      <c r="AP67" s="260">
        <v>538</v>
      </c>
    </row>
    <row r="68" spans="9:42" ht="20.100000000000001" customHeight="1" x14ac:dyDescent="0.25">
      <c r="I68" s="246"/>
      <c r="K68" s="247"/>
      <c r="L68" s="247"/>
      <c r="M68" s="247"/>
      <c r="N68" s="248"/>
      <c r="O68" s="249"/>
      <c r="P68" s="247"/>
      <c r="R68" s="250"/>
      <c r="U68" s="247"/>
      <c r="V68" s="247"/>
      <c r="W68" s="247"/>
      <c r="X68" s="247"/>
      <c r="Y68" s="247"/>
      <c r="Z68" s="247"/>
      <c r="AA68" s="250"/>
      <c r="AC68" s="282">
        <f>IF(AC69&gt;=0,ROUNDDOWN(AC69,0),ROUNDUP(AC69,0))</f>
        <v>6</v>
      </c>
      <c r="AD68" s="284">
        <f>IF(AD67=400,VLOOKUP(AC68,$AH$700:$AK$748,4),IF(AD67=350,VLOOKUP(AC68,$AH$650:$AK$698,4),IF(AD67=325,VLOOKUP(AC68,$AH$598:$AK$648,4),IF(AD67=300,VLOOKUP(AC68,$AH$544:$AK$596,4),IF(AD67=275,VLOOKUP(AC68,$AH$488:$AK$542,4),IF(AD67=250,VLOOKUP(AC68,$AH$431:$AK$486,4),IF(AD67=225,VLOOKUP(AC68,$AH$379:$AK$429,4),IF(AD67=200,VLOOKUP(AC68,$AH$319:$AK$377,4),IF(AD67=175,VLOOKUP(AC68,$AH$256:$AK$317,4),IF(AD67=150,VLOOKUP(AC68,$AH$192:$AK$254,4),IF(AD67=125,VLOOKUP(AC68,$AH$126:$AK$190,4),IF(AD67=100,VLOOKUP(AC68,$AH$81:$AK$124,4),IF(AD67=75,VLOOKUP(AC68,$AH$39:$AK$79,4),IF(AD67=50,VLOOKUP(AC68,$AH$3:$AK$37,4)))))))))))))))</f>
        <v>181.79999999999998</v>
      </c>
      <c r="AE68" s="285">
        <f>IFERROR((AE67-AD67)/(AF67-AD67)*(AF68-AD68)+AD68,"")</f>
        <v>174.6</v>
      </c>
      <c r="AF68" s="284">
        <f>IF(AF67=400,VLOOKUP(AC68,$AH$700:$AK$748,4),IF(AF67=350,VLOOKUP(AC68,$AH$650:$AK$698,4),IF(AF67=325,VLOOKUP(AC68,$AH$598:$AK$648,4),IF(AF67=300,VLOOKUP(AC68,$AH$544:$AK$596,4),IF(AF67=275,VLOOKUP(AC68,$AH$488:$AK$542,4),IF(AF67=250,VLOOKUP(AC68,$AH$431:$AK$486,4),IF(AF67=225,VLOOKUP(AC68,$AH$379:$AK$429,4),IF(AF67=200,VLOOKUP(AC68,$AH$319:$AK$377,4),IF(AF67=175,VLOOKUP(AC68,$AH$256:$AK$317,4),IF(AF67=150,VLOOKUP(AC68,$AH$192:$AK$254,4),IF(AF67=125,VLOOKUP(AC68,$AH$126:$AK$190,4),IF(AF67=100,VLOOKUP(AC68,$AH$81:$AK$124,4),IF(AF67=75,VLOOKUP(AC68,$AH$39:$AK$79,4),IF(AF67=50,VLOOKUP(AC68,$AH$3:$AK$37,4)))))))))))))))</f>
        <v>166.79999999999998</v>
      </c>
      <c r="AH68" s="258">
        <f t="shared" si="17"/>
        <v>22</v>
      </c>
      <c r="AI68" s="258">
        <f t="shared" si="17"/>
        <v>75</v>
      </c>
      <c r="AJ68" s="259" t="str">
        <f t="shared" si="17"/>
        <v>4/0</v>
      </c>
      <c r="AK68" s="260">
        <f t="shared" si="16"/>
        <v>333.59999999999997</v>
      </c>
      <c r="AL68" s="226"/>
      <c r="AM68" s="258">
        <v>22</v>
      </c>
      <c r="AN68" s="258">
        <v>75</v>
      </c>
      <c r="AO68" s="262" t="s">
        <v>179</v>
      </c>
      <c r="AP68" s="260">
        <v>556</v>
      </c>
    </row>
    <row r="69" spans="9:42" ht="20.100000000000001" customHeight="1" x14ac:dyDescent="0.25">
      <c r="I69" s="246"/>
      <c r="K69" s="247"/>
      <c r="L69" s="247"/>
      <c r="M69" s="247"/>
      <c r="N69" s="248"/>
      <c r="O69" s="249"/>
      <c r="P69" s="247"/>
      <c r="R69" s="250"/>
      <c r="U69" s="247"/>
      <c r="V69" s="247"/>
      <c r="W69" s="247"/>
      <c r="X69" s="247"/>
      <c r="Y69" s="247"/>
      <c r="Z69" s="247"/>
      <c r="AA69" s="250"/>
      <c r="AB69" s="287" t="s">
        <v>248</v>
      </c>
      <c r="AC69" s="288">
        <f>AB65</f>
        <v>6.9</v>
      </c>
      <c r="AD69" s="285">
        <f>IFERROR((AC69-AC68)/(AC70-AC68)*(AD70-AD68)+AD68,"")</f>
        <v>190.98</v>
      </c>
      <c r="AE69" s="278">
        <f>IFERROR((AE67-AF67)/(AD67-AF67)*(AD69-AF69)+AF69,"")</f>
        <v>184.03919999999999</v>
      </c>
      <c r="AF69" s="285">
        <f>IFERROR((AC69-AC68)/(AC70-AC68)*(AF70-AF68)+AF68,"")</f>
        <v>176.52</v>
      </c>
      <c r="AH69" s="258">
        <f t="shared" si="17"/>
        <v>23</v>
      </c>
      <c r="AI69" s="258">
        <f t="shared" si="17"/>
        <v>75</v>
      </c>
      <c r="AJ69" s="259" t="str">
        <f t="shared" si="17"/>
        <v>4/0</v>
      </c>
      <c r="AK69" s="260">
        <f t="shared" si="16"/>
        <v>343.8</v>
      </c>
      <c r="AL69" s="226"/>
      <c r="AM69" s="258">
        <v>23</v>
      </c>
      <c r="AN69" s="258">
        <v>75</v>
      </c>
      <c r="AO69" s="262" t="s">
        <v>179</v>
      </c>
      <c r="AP69" s="260">
        <v>573</v>
      </c>
    </row>
    <row r="70" spans="9:42" ht="20.100000000000001" customHeight="1" x14ac:dyDescent="0.25">
      <c r="I70" s="246"/>
      <c r="K70" s="247"/>
      <c r="L70" s="247"/>
      <c r="M70" s="247"/>
      <c r="N70" s="248"/>
      <c r="O70" s="249"/>
      <c r="P70" s="247"/>
      <c r="R70" s="250"/>
      <c r="U70" s="247"/>
      <c r="V70" s="247"/>
      <c r="W70" s="247"/>
      <c r="X70" s="247"/>
      <c r="Y70" s="247"/>
      <c r="Z70" s="247"/>
      <c r="AA70" s="250"/>
      <c r="AC70" s="282">
        <f>IF(AC69&gt;=0,ROUNDUP(AC69,0),ROUNDDOWN(AC69,0))</f>
        <v>7</v>
      </c>
      <c r="AD70" s="284">
        <f>IF(AD67=400,VLOOKUP(AC70,$AH$700:$AK$748,4),IF(AD67=350,VLOOKUP(AC70,$AH$650:$AK$698,4),IF(AD67=325,VLOOKUP(AC70,$AH$598:$AK$648,4),IF(AD67=300,VLOOKUP(AC70,$AH$544:$AK$596,4),IF(AD67=275,VLOOKUP(AC70,$AH$488:$AK$542,4),IF(AD67=250,VLOOKUP(AC70,$AH$431:$AK$486,4),IF(AD67=225,VLOOKUP(AC70,$AH$379:$AK$429,4),IF(AD67=200,VLOOKUP(AC70,$AH$319:$AK$377,4),IF(AD67=175,VLOOKUP(AC70,$AH$256:$AK$317,4),IF(AD67=150,VLOOKUP(AC70,$AH$192:$AK$254,4),IF(AD67=125,VLOOKUP(AC70,$AH$126:$AK$190,4),IF(AD67=100,VLOOKUP(AC70,$AH$81:$AK$124,4),IF(AD67=75,VLOOKUP(AC70,$AH$39:$AK$79,4),IF(AD67=50,VLOOKUP(AC70,$AH$3:$AK$37,4)))))))))))))))</f>
        <v>192</v>
      </c>
      <c r="AE70" s="285">
        <f>IFERROR((AE67-AD67)/(AF67-AD67)*(AF70-AD70)+AD70,"")</f>
        <v>185.08799999999999</v>
      </c>
      <c r="AF70" s="284">
        <f>IF(AF67=400,VLOOKUP(AC70,$AH$700:$AK$748,4),IF(AF67=350,VLOOKUP(AC70,$AH$650:$AK$698,4),IF(AF67=325,VLOOKUP(AC70,$AH$598:$AK$648,4),IF(AF67=300,VLOOKUP(AC70,$AH$544:$AK$596,4),IF(AF67=275,VLOOKUP(AC70,$AH$488:$AK$542,4),IF(AF67=250,VLOOKUP(AC70,$AH$431:$AK$486,4),IF(AF67=225,VLOOKUP(AC70,$AH$379:$AK$429,4),IF(AF67=200,VLOOKUP(AC70,$AH$319:$AK$377,4),IF(AF67=175,VLOOKUP(AC70,$AH$256:$AK$317,4),IF(AF67=150,VLOOKUP(AC70,$AH$192:$AK$254,4),IF(AF67=125,VLOOKUP(AC70,$AH$126:$AK$190,4),IF(AF67=100,VLOOKUP(AC70,$AH$81:$AK$124,4),IF(AF67=75,VLOOKUP(AC70,$AH$39:$AK$79,4),IF(AF67=50,VLOOKUP(AC70,$AH$3:$AK$37,4)))))))))))))))</f>
        <v>177.6</v>
      </c>
      <c r="AH70" s="258">
        <f t="shared" si="17"/>
        <v>24</v>
      </c>
      <c r="AI70" s="258">
        <f t="shared" si="17"/>
        <v>75</v>
      </c>
      <c r="AJ70" s="259" t="str">
        <f t="shared" si="17"/>
        <v>4/0</v>
      </c>
      <c r="AK70" s="260">
        <f t="shared" si="16"/>
        <v>354.59999999999997</v>
      </c>
      <c r="AL70" s="226"/>
      <c r="AM70" s="258">
        <v>24</v>
      </c>
      <c r="AN70" s="258">
        <v>75</v>
      </c>
      <c r="AO70" s="262" t="s">
        <v>179</v>
      </c>
      <c r="AP70" s="260">
        <v>591</v>
      </c>
    </row>
    <row r="71" spans="9:42" ht="20.100000000000001" customHeight="1" x14ac:dyDescent="0.25">
      <c r="I71" s="246"/>
      <c r="K71" s="247"/>
      <c r="L71" s="247"/>
      <c r="M71" s="247"/>
      <c r="N71" s="248"/>
      <c r="O71" s="249"/>
      <c r="P71" s="247"/>
      <c r="R71" s="250"/>
      <c r="U71" s="247"/>
      <c r="V71" s="247"/>
      <c r="W71" s="247"/>
      <c r="X71" s="247"/>
      <c r="Y71" s="247"/>
      <c r="Z71" s="247"/>
      <c r="AA71" s="250"/>
      <c r="AD71" s="289">
        <f>IF(AD69&lt;&gt;"",AD69,AVERAGE(AD68:AD70))</f>
        <v>190.98</v>
      </c>
      <c r="AE71" s="289">
        <f>IF(AE69&lt;&gt;"",AE69,IF(SUM(AE68:AE70)=0,"",AVERAGE(AE68:AE70)))</f>
        <v>184.03919999999999</v>
      </c>
      <c r="AF71" s="289">
        <f>IF(AF69&lt;&gt;"",AF69,AVERAGE(AF68:AF70))</f>
        <v>176.52</v>
      </c>
      <c r="AH71" s="258">
        <f t="shared" si="17"/>
        <v>25</v>
      </c>
      <c r="AI71" s="258">
        <f t="shared" si="17"/>
        <v>75</v>
      </c>
      <c r="AJ71" s="259" t="str">
        <f t="shared" si="17"/>
        <v>4/0</v>
      </c>
      <c r="AK71" s="260">
        <f t="shared" si="16"/>
        <v>364.8</v>
      </c>
      <c r="AL71" s="226"/>
      <c r="AM71" s="258">
        <v>25</v>
      </c>
      <c r="AN71" s="258">
        <v>75</v>
      </c>
      <c r="AO71" s="262" t="s">
        <v>179</v>
      </c>
      <c r="AP71" s="260">
        <v>608</v>
      </c>
    </row>
    <row r="72" spans="9:42" ht="20.100000000000001" customHeight="1" x14ac:dyDescent="0.25">
      <c r="I72" s="246"/>
      <c r="K72" s="247"/>
      <c r="L72" s="247"/>
      <c r="M72" s="247"/>
      <c r="N72" s="248"/>
      <c r="O72" s="249"/>
      <c r="P72" s="247"/>
      <c r="R72" s="250"/>
      <c r="U72" s="247"/>
      <c r="V72" s="247"/>
      <c r="W72" s="247"/>
      <c r="X72" s="247"/>
      <c r="Y72" s="247"/>
      <c r="Z72" s="247"/>
      <c r="AA72" s="250"/>
      <c r="AH72" s="258">
        <f t="shared" si="17"/>
        <v>26</v>
      </c>
      <c r="AI72" s="258">
        <f t="shared" si="17"/>
        <v>75</v>
      </c>
      <c r="AJ72" s="259" t="str">
        <f t="shared" si="17"/>
        <v>4/0</v>
      </c>
      <c r="AK72" s="260">
        <f t="shared" si="16"/>
        <v>375.59999999999997</v>
      </c>
      <c r="AL72" s="226"/>
      <c r="AM72" s="258">
        <v>26</v>
      </c>
      <c r="AN72" s="258">
        <v>75</v>
      </c>
      <c r="AO72" s="262" t="s">
        <v>179</v>
      </c>
      <c r="AP72" s="260">
        <v>626</v>
      </c>
    </row>
    <row r="73" spans="9:42" ht="20.100000000000001" customHeight="1" x14ac:dyDescent="0.25">
      <c r="I73" s="246"/>
      <c r="K73" s="247"/>
      <c r="L73" s="247"/>
      <c r="M73" s="247"/>
      <c r="N73" s="248"/>
      <c r="O73" s="249"/>
      <c r="P73" s="247"/>
      <c r="R73" s="250"/>
      <c r="U73" s="247"/>
      <c r="V73" s="247"/>
      <c r="W73" s="247"/>
      <c r="X73" s="247"/>
      <c r="Y73" s="247"/>
      <c r="Z73" s="247"/>
      <c r="AA73" s="250"/>
      <c r="AB73" s="257">
        <v>8</v>
      </c>
      <c r="AC73" s="226"/>
      <c r="AD73" s="226"/>
      <c r="AH73" s="258">
        <f t="shared" si="17"/>
        <v>27</v>
      </c>
      <c r="AI73" s="258">
        <f t="shared" si="17"/>
        <v>75</v>
      </c>
      <c r="AJ73" s="259" t="str">
        <f t="shared" si="17"/>
        <v>4/0</v>
      </c>
      <c r="AK73" s="260">
        <f t="shared" si="16"/>
        <v>386.4</v>
      </c>
      <c r="AL73" s="226"/>
      <c r="AM73" s="258">
        <v>27</v>
      </c>
      <c r="AN73" s="258">
        <v>75</v>
      </c>
      <c r="AO73" s="262" t="s">
        <v>179</v>
      </c>
      <c r="AP73" s="260">
        <v>644</v>
      </c>
    </row>
    <row r="74" spans="9:42" ht="20.100000000000001" customHeight="1" x14ac:dyDescent="0.25">
      <c r="I74" s="246"/>
      <c r="K74" s="247"/>
      <c r="L74" s="247"/>
      <c r="M74" s="247"/>
      <c r="N74" s="248"/>
      <c r="O74" s="249"/>
      <c r="P74" s="247"/>
      <c r="R74" s="250"/>
      <c r="U74" s="247"/>
      <c r="V74" s="247"/>
      <c r="W74" s="247"/>
      <c r="X74" s="247"/>
      <c r="Y74" s="247"/>
      <c r="Z74" s="247"/>
      <c r="AA74" s="250"/>
      <c r="AB74" s="241" t="s">
        <v>245</v>
      </c>
      <c r="AC74" s="241" t="s">
        <v>246</v>
      </c>
      <c r="AD74" s="241" t="s">
        <v>236</v>
      </c>
      <c r="AH74" s="258">
        <f t="shared" si="17"/>
        <v>28</v>
      </c>
      <c r="AI74" s="258">
        <f t="shared" si="17"/>
        <v>75</v>
      </c>
      <c r="AJ74" s="259" t="str">
        <f t="shared" si="17"/>
        <v>4/0</v>
      </c>
      <c r="AK74" s="260">
        <f t="shared" si="16"/>
        <v>396.59999999999997</v>
      </c>
      <c r="AL74" s="226"/>
      <c r="AM74" s="258">
        <v>28</v>
      </c>
      <c r="AN74" s="258">
        <v>75</v>
      </c>
      <c r="AO74" s="262" t="s">
        <v>179</v>
      </c>
      <c r="AP74" s="260">
        <v>661</v>
      </c>
    </row>
    <row r="75" spans="9:42" ht="20.100000000000001" customHeight="1" x14ac:dyDescent="0.25">
      <c r="I75" s="246"/>
      <c r="K75" s="247"/>
      <c r="L75" s="247"/>
      <c r="M75" s="247"/>
      <c r="N75" s="248"/>
      <c r="O75" s="249"/>
      <c r="P75" s="247"/>
      <c r="R75" s="250"/>
      <c r="U75" s="247"/>
      <c r="V75" s="247"/>
      <c r="W75" s="247"/>
      <c r="X75" s="247"/>
      <c r="Y75" s="247"/>
      <c r="Z75" s="247"/>
      <c r="AA75" s="250"/>
      <c r="AB75" s="276">
        <f>IF(I11="","",I11)</f>
        <v>6.3</v>
      </c>
      <c r="AC75" s="277">
        <f>IF(J11="","",J11)</f>
        <v>58.8</v>
      </c>
      <c r="AD75" s="278">
        <f>IF(OR(AB75="",AC75=""),"",IF(AE79&lt;&gt;"",AE81,AVERAGEIF(AD81:AF81,"&lt;&gt;0",AD81:AF81)))</f>
        <v>179.64336</v>
      </c>
      <c r="AH75" s="258">
        <f t="shared" si="17"/>
        <v>29</v>
      </c>
      <c r="AI75" s="258">
        <f t="shared" si="17"/>
        <v>75</v>
      </c>
      <c r="AJ75" s="259" t="str">
        <f t="shared" si="17"/>
        <v>4/0</v>
      </c>
      <c r="AK75" s="260">
        <f t="shared" si="16"/>
        <v>407.4</v>
      </c>
      <c r="AL75" s="226"/>
      <c r="AM75" s="258">
        <v>29</v>
      </c>
      <c r="AN75" s="258">
        <v>75</v>
      </c>
      <c r="AO75" s="262" t="s">
        <v>179</v>
      </c>
      <c r="AP75" s="260">
        <v>679</v>
      </c>
    </row>
    <row r="76" spans="9:42" ht="20.100000000000001" customHeight="1" x14ac:dyDescent="0.25">
      <c r="I76" s="246"/>
      <c r="K76" s="247"/>
      <c r="L76" s="247"/>
      <c r="M76" s="247"/>
      <c r="N76" s="248"/>
      <c r="O76" s="249"/>
      <c r="P76" s="247"/>
      <c r="R76" s="250"/>
      <c r="U76" s="247"/>
      <c r="V76" s="247"/>
      <c r="W76" s="247"/>
      <c r="X76" s="247"/>
      <c r="Y76" s="247"/>
      <c r="Z76" s="247"/>
      <c r="AA76" s="250"/>
      <c r="AC76" s="250" t="s">
        <v>182</v>
      </c>
      <c r="AE76" s="279" t="s">
        <v>247</v>
      </c>
      <c r="AH76" s="258">
        <f t="shared" si="17"/>
        <v>30</v>
      </c>
      <c r="AI76" s="258">
        <f t="shared" si="17"/>
        <v>75</v>
      </c>
      <c r="AJ76" s="259" t="str">
        <f t="shared" si="17"/>
        <v>4/0</v>
      </c>
      <c r="AK76" s="260">
        <f t="shared" si="16"/>
        <v>417.59999999999997</v>
      </c>
      <c r="AL76" s="226"/>
      <c r="AM76" s="258">
        <v>30</v>
      </c>
      <c r="AN76" s="258">
        <v>75</v>
      </c>
      <c r="AO76" s="262" t="s">
        <v>179</v>
      </c>
      <c r="AP76" s="260">
        <v>696</v>
      </c>
    </row>
    <row r="77" spans="9:42" ht="20.100000000000001" customHeight="1" x14ac:dyDescent="0.25">
      <c r="I77" s="246"/>
      <c r="K77" s="247"/>
      <c r="L77" s="247"/>
      <c r="M77" s="247"/>
      <c r="N77" s="248"/>
      <c r="O77" s="249"/>
      <c r="P77" s="247"/>
      <c r="R77" s="250"/>
      <c r="U77" s="247"/>
      <c r="V77" s="247"/>
      <c r="W77" s="247"/>
      <c r="X77" s="247"/>
      <c r="Y77" s="247"/>
      <c r="Z77" s="247"/>
      <c r="AA77" s="250"/>
      <c r="AC77" s="281"/>
      <c r="AD77" s="282">
        <f>IF(AE77&gt;=400,400,IF(AE77&gt;=350,350,IF(AE77&gt;=325,325,IF(AE77&gt;=300,300,IF(AE77&gt;=275,275,IF(AE77&gt;=250,250,IF(AE77&gt;=225,225,IF(AE77&gt;=200,200,IF(AE77&gt;=175,175,IF(AE77&gt;=150,150,IF(AE77&gt;=125,125,IF(AE77&gt;=100,100,IF(AE77&gt;=75,75,50)))))))))))))</f>
        <v>50</v>
      </c>
      <c r="AE77" s="283">
        <f>AC75</f>
        <v>58.8</v>
      </c>
      <c r="AF77" s="282">
        <f>IF(AE77&lt;=50,50,IF(AE77&lt;=75,75,IF(AE77&lt;=100,100,IF(AE77&lt;=125,125,IF(AE77&lt;=150,150,IF(AE77&lt;=175,175,IF(AE77&lt;=200,200,IF(AE77&lt;=225,225,IF(AE77&lt;=250,250,IF(AE77&lt;=275,275,IF(AE77&lt;=300,300,IF(AE77&lt;=325,325,IF(AE77&lt;=350,350,400)))))))))))))</f>
        <v>75</v>
      </c>
      <c r="AH77" s="258">
        <f t="shared" si="17"/>
        <v>31</v>
      </c>
      <c r="AI77" s="258">
        <f t="shared" si="17"/>
        <v>75</v>
      </c>
      <c r="AJ77" s="259" t="str">
        <f t="shared" si="17"/>
        <v>4/0</v>
      </c>
      <c r="AK77" s="260">
        <f t="shared" si="16"/>
        <v>427.8</v>
      </c>
      <c r="AL77" s="226"/>
      <c r="AM77" s="258">
        <v>31</v>
      </c>
      <c r="AN77" s="258">
        <v>75</v>
      </c>
      <c r="AO77" s="262" t="s">
        <v>179</v>
      </c>
      <c r="AP77" s="260">
        <v>713</v>
      </c>
    </row>
    <row r="78" spans="9:42" ht="20.100000000000001" customHeight="1" x14ac:dyDescent="0.25">
      <c r="I78" s="246"/>
      <c r="K78" s="247"/>
      <c r="L78" s="247"/>
      <c r="M78" s="247"/>
      <c r="N78" s="248"/>
      <c r="O78" s="249"/>
      <c r="P78" s="247"/>
      <c r="R78" s="250"/>
      <c r="U78" s="247"/>
      <c r="V78" s="247"/>
      <c r="W78" s="247"/>
      <c r="X78" s="247"/>
      <c r="Y78" s="247"/>
      <c r="Z78" s="247"/>
      <c r="AA78" s="250"/>
      <c r="AC78" s="282">
        <f>IF(AC79&gt;=0,ROUNDDOWN(AC79,0),ROUNDUP(AC79,0))</f>
        <v>6</v>
      </c>
      <c r="AD78" s="284">
        <f>IF(AD77=400,VLOOKUP(AC78,$AH$700:$AK$748,4),IF(AD77=350,VLOOKUP(AC78,$AH$650:$AK$698,4),IF(AD77=325,VLOOKUP(AC78,$AH$598:$AK$648,4),IF(AD77=300,VLOOKUP(AC78,$AH$544:$AK$596,4),IF(AD77=275,VLOOKUP(AC78,$AH$488:$AK$542,4),IF(AD77=250,VLOOKUP(AC78,$AH$431:$AK$486,4),IF(AD77=225,VLOOKUP(AC78,$AH$379:$AK$429,4),IF(AD77=200,VLOOKUP(AC78,$AH$319:$AK$377,4),IF(AD77=175,VLOOKUP(AC78,$AH$256:$AK$317,4),IF(AD77=150,VLOOKUP(AC78,$AH$192:$AK$254,4),IF(AD77=125,VLOOKUP(AC78,$AH$126:$AK$190,4),IF(AD77=100,VLOOKUP(AC78,$AH$81:$AK$124,4),IF(AD77=75,VLOOKUP(AC78,$AH$39:$AK$79,4),IF(AD77=50,VLOOKUP(AC78,$AH$3:$AK$37,4)))))))))))))))</f>
        <v>181.79999999999998</v>
      </c>
      <c r="AE78" s="285">
        <f>IFERROR((AE77-AD77)/(AF77-AD77)*(AF78-AD78)+AD78,"")</f>
        <v>176.51999999999998</v>
      </c>
      <c r="AF78" s="284">
        <f>IF(AF77=400,VLOOKUP(AC78,$AH$700:$AK$748,4),IF(AF77=350,VLOOKUP(AC78,$AH$650:$AK$698,4),IF(AF77=325,VLOOKUP(AC78,$AH$598:$AK$648,4),IF(AF77=300,VLOOKUP(AC78,$AH$544:$AK$596,4),IF(AF77=275,VLOOKUP(AC78,$AH$488:$AK$542,4),IF(AF77=250,VLOOKUP(AC78,$AH$431:$AK$486,4),IF(AF77=225,VLOOKUP(AC78,$AH$379:$AK$429,4),IF(AF77=200,VLOOKUP(AC78,$AH$319:$AK$377,4),IF(AF77=175,VLOOKUP(AC78,$AH$256:$AK$317,4),IF(AF77=150,VLOOKUP(AC78,$AH$192:$AK$254,4),IF(AF77=125,VLOOKUP(AC78,$AH$126:$AK$190,4),IF(AF77=100,VLOOKUP(AC78,$AH$81:$AK$124,4),IF(AF77=75,VLOOKUP(AC78,$AH$39:$AK$79,4),IF(AF77=50,VLOOKUP(AC78,$AH$3:$AK$37,4)))))))))))))))</f>
        <v>166.79999999999998</v>
      </c>
      <c r="AH78" s="258">
        <f t="shared" si="17"/>
        <v>32</v>
      </c>
      <c r="AI78" s="258">
        <f t="shared" si="17"/>
        <v>75</v>
      </c>
      <c r="AJ78" s="259" t="str">
        <f t="shared" si="17"/>
        <v>4/0</v>
      </c>
      <c r="AK78" s="260">
        <f t="shared" si="16"/>
        <v>438.59999999999997</v>
      </c>
      <c r="AL78" s="226"/>
      <c r="AM78" s="258">
        <v>32</v>
      </c>
      <c r="AN78" s="258">
        <v>75</v>
      </c>
      <c r="AO78" s="262" t="s">
        <v>179</v>
      </c>
      <c r="AP78" s="260">
        <v>731</v>
      </c>
    </row>
    <row r="79" spans="9:42" ht="20.100000000000001" customHeight="1" x14ac:dyDescent="0.25">
      <c r="I79" s="246"/>
      <c r="K79" s="247"/>
      <c r="L79" s="247"/>
      <c r="M79" s="247"/>
      <c r="N79" s="248"/>
      <c r="O79" s="249"/>
      <c r="P79" s="247"/>
      <c r="R79" s="250"/>
      <c r="U79" s="247"/>
      <c r="V79" s="247"/>
      <c r="W79" s="247"/>
      <c r="X79" s="247"/>
      <c r="Y79" s="247"/>
      <c r="Z79" s="247"/>
      <c r="AA79" s="250"/>
      <c r="AB79" s="287" t="s">
        <v>248</v>
      </c>
      <c r="AC79" s="288">
        <f>AB75</f>
        <v>6.3</v>
      </c>
      <c r="AD79" s="285">
        <f>IFERROR((AC79-AC78)/(AC80-AC78)*(AD80-AD78)+AD78,"")</f>
        <v>184.85999999999999</v>
      </c>
      <c r="AE79" s="278">
        <f>IFERROR((AE77-AF77)/(AD77-AF77)*(AD79-AF79)+AF79,"")</f>
        <v>179.64336</v>
      </c>
      <c r="AF79" s="285">
        <f>IFERROR((AC79-AC78)/(AC80-AC78)*(AF80-AF78)+AF78,"")</f>
        <v>170.04</v>
      </c>
      <c r="AH79" s="258">
        <f t="shared" si="17"/>
        <v>33</v>
      </c>
      <c r="AI79" s="258">
        <f t="shared" si="17"/>
        <v>75</v>
      </c>
      <c r="AJ79" s="259" t="str">
        <f t="shared" si="17"/>
        <v>4/0</v>
      </c>
      <c r="AK79" s="260">
        <f t="shared" si="16"/>
        <v>449.4</v>
      </c>
      <c r="AL79" s="226"/>
      <c r="AM79" s="258">
        <v>33</v>
      </c>
      <c r="AN79" s="258">
        <v>75</v>
      </c>
      <c r="AO79" s="262" t="s">
        <v>179</v>
      </c>
      <c r="AP79" s="260">
        <v>749</v>
      </c>
    </row>
    <row r="80" spans="9:42" ht="20.100000000000001" customHeight="1" x14ac:dyDescent="0.25">
      <c r="I80" s="246"/>
      <c r="K80" s="247"/>
      <c r="L80" s="247"/>
      <c r="M80" s="247"/>
      <c r="N80" s="248"/>
      <c r="O80" s="249"/>
      <c r="P80" s="247"/>
      <c r="R80" s="250"/>
      <c r="U80" s="247"/>
      <c r="V80" s="247"/>
      <c r="W80" s="247"/>
      <c r="X80" s="247"/>
      <c r="Y80" s="247"/>
      <c r="Z80" s="247"/>
      <c r="AA80" s="250"/>
      <c r="AC80" s="282">
        <f>IF(AC79&gt;=0,ROUNDUP(AC79,0),ROUNDDOWN(AC79,0))</f>
        <v>7</v>
      </c>
      <c r="AD80" s="284">
        <f>IF(AD77=400,VLOOKUP(AC80,$AH$700:$AK$748,4),IF(AD77=350,VLOOKUP(AC80,$AH$650:$AK$698,4),IF(AD77=325,VLOOKUP(AC80,$AH$598:$AK$648,4),IF(AD77=300,VLOOKUP(AC80,$AH$544:$AK$596,4),IF(AD77=275,VLOOKUP(AC80,$AH$488:$AK$542,4),IF(AD77=250,VLOOKUP(AC80,$AH$431:$AK$486,4),IF(AD77=225,VLOOKUP(AC80,$AH$379:$AK$429,4),IF(AD77=200,VLOOKUP(AC80,$AH$319:$AK$377,4),IF(AD77=175,VLOOKUP(AC80,$AH$256:$AK$317,4),IF(AD77=150,VLOOKUP(AC80,$AH$192:$AK$254,4),IF(AD77=125,VLOOKUP(AC80,$AH$126:$AK$190,4),IF(AD77=100,VLOOKUP(AC80,$AH$81:$AK$124,4),IF(AD77=75,VLOOKUP(AC80,$AH$39:$AK$79,4),IF(AD77=50,VLOOKUP(AC80,$AH$3:$AK$37,4)))))))))))))))</f>
        <v>192</v>
      </c>
      <c r="AE80" s="285">
        <f>IFERROR((AE77-AD77)/(AF77-AD77)*(AF80-AD80)+AD80,"")</f>
        <v>186.93119999999999</v>
      </c>
      <c r="AF80" s="284">
        <f>IF(AF77=400,VLOOKUP(AC80,$AH$700:$AK$748,4),IF(AF77=350,VLOOKUP(AC80,$AH$650:$AK$698,4),IF(AF77=325,VLOOKUP(AC80,$AH$598:$AK$648,4),IF(AF77=300,VLOOKUP(AC80,$AH$544:$AK$596,4),IF(AF77=275,VLOOKUP(AC80,$AH$488:$AK$542,4),IF(AF77=250,VLOOKUP(AC80,$AH$431:$AK$486,4),IF(AF77=225,VLOOKUP(AC80,$AH$379:$AK$429,4),IF(AF77=200,VLOOKUP(AC80,$AH$319:$AK$377,4),IF(AF77=175,VLOOKUP(AC80,$AH$256:$AK$317,4),IF(AF77=150,VLOOKUP(AC80,$AH$192:$AK$254,4),IF(AF77=125,VLOOKUP(AC80,$AH$126:$AK$190,4),IF(AF77=100,VLOOKUP(AC80,$AH$81:$AK$124,4),IF(AF77=75,VLOOKUP(AC80,$AH$39:$AK$79,4),IF(AF77=50,VLOOKUP(AC80,$AH$3:$AK$37,4)))))))))))))))</f>
        <v>177.6</v>
      </c>
      <c r="AH80" s="258" t="str">
        <f t="shared" si="17"/>
        <v>&gt;&gt;&gt;&gt;&gt;&gt;</v>
      </c>
      <c r="AI80" s="258"/>
      <c r="AJ80" s="259"/>
      <c r="AK80" s="260"/>
      <c r="AL80" s="226"/>
      <c r="AM80" s="258" t="s">
        <v>249</v>
      </c>
      <c r="AN80" s="258"/>
      <c r="AO80" s="262"/>
      <c r="AP80" s="260"/>
    </row>
    <row r="81" spans="9:42" ht="20.100000000000001" customHeight="1" x14ac:dyDescent="0.25">
      <c r="I81" s="246"/>
      <c r="K81" s="247"/>
      <c r="L81" s="247"/>
      <c r="M81" s="247"/>
      <c r="N81" s="248"/>
      <c r="O81" s="249"/>
      <c r="P81" s="247"/>
      <c r="R81" s="250"/>
      <c r="U81" s="247"/>
      <c r="V81" s="247"/>
      <c r="W81" s="247"/>
      <c r="X81" s="247"/>
      <c r="Y81" s="247"/>
      <c r="Z81" s="247"/>
      <c r="AA81" s="250"/>
      <c r="AD81" s="289">
        <f>IF(AD79&lt;&gt;"",AD79,AVERAGE(AD78:AD80))</f>
        <v>184.85999999999999</v>
      </c>
      <c r="AE81" s="289">
        <f>IF(AE79&lt;&gt;"",AE79,IF(SUM(AE78:AE80)=0,"",AVERAGE(AE78:AE80)))</f>
        <v>179.64336</v>
      </c>
      <c r="AF81" s="289">
        <f>IF(AF79&lt;&gt;"",AF79,AVERAGE(AF78:AF80))</f>
        <v>170.04</v>
      </c>
      <c r="AH81" s="258">
        <f t="shared" si="17"/>
        <v>-6</v>
      </c>
      <c r="AI81" s="258">
        <f t="shared" si="17"/>
        <v>100</v>
      </c>
      <c r="AJ81" s="259" t="str">
        <f t="shared" si="17"/>
        <v>4/0</v>
      </c>
      <c r="AK81" s="260">
        <f t="shared" ref="AK81:AK124" si="18">(1-$AL$2)*AP81</f>
        <v>25.8</v>
      </c>
      <c r="AL81" s="226"/>
      <c r="AM81" s="258">
        <v>-6</v>
      </c>
      <c r="AN81" s="258">
        <v>100</v>
      </c>
      <c r="AO81" s="262" t="s">
        <v>179</v>
      </c>
      <c r="AP81" s="260">
        <v>43</v>
      </c>
    </row>
    <row r="82" spans="9:42" ht="20.100000000000001" customHeight="1" x14ac:dyDescent="0.25">
      <c r="I82" s="246"/>
      <c r="K82" s="247"/>
      <c r="L82" s="247"/>
      <c r="M82" s="247"/>
      <c r="N82" s="248"/>
      <c r="O82" s="249"/>
      <c r="P82" s="247"/>
      <c r="R82" s="250"/>
      <c r="U82" s="247"/>
      <c r="V82" s="247"/>
      <c r="W82" s="247"/>
      <c r="X82" s="247"/>
      <c r="Y82" s="247"/>
      <c r="Z82" s="247"/>
      <c r="AA82" s="250"/>
      <c r="AH82" s="258">
        <f t="shared" si="17"/>
        <v>-5</v>
      </c>
      <c r="AI82" s="258">
        <f t="shared" si="17"/>
        <v>100</v>
      </c>
      <c r="AJ82" s="259" t="str">
        <f t="shared" si="17"/>
        <v>4/0</v>
      </c>
      <c r="AK82" s="260">
        <f t="shared" si="18"/>
        <v>37.199999999999996</v>
      </c>
      <c r="AL82" s="226"/>
      <c r="AM82" s="258">
        <v>-5</v>
      </c>
      <c r="AN82" s="258">
        <v>100</v>
      </c>
      <c r="AO82" s="262" t="s">
        <v>179</v>
      </c>
      <c r="AP82" s="260">
        <v>62</v>
      </c>
    </row>
    <row r="83" spans="9:42" ht="20.100000000000001" customHeight="1" x14ac:dyDescent="0.25">
      <c r="I83" s="246"/>
      <c r="K83" s="247"/>
      <c r="L83" s="247"/>
      <c r="M83" s="247"/>
      <c r="N83" s="248"/>
      <c r="O83" s="249"/>
      <c r="P83" s="247"/>
      <c r="R83" s="250"/>
      <c r="U83" s="247"/>
      <c r="V83" s="247"/>
      <c r="W83" s="247"/>
      <c r="X83" s="247"/>
      <c r="Y83" s="247"/>
      <c r="Z83" s="247"/>
      <c r="AA83" s="250"/>
      <c r="AB83" s="257">
        <v>9</v>
      </c>
      <c r="AC83" s="226"/>
      <c r="AD83" s="226"/>
      <c r="AH83" s="258">
        <f t="shared" si="17"/>
        <v>-4</v>
      </c>
      <c r="AI83" s="258">
        <f t="shared" si="17"/>
        <v>100</v>
      </c>
      <c r="AJ83" s="259" t="str">
        <f t="shared" si="17"/>
        <v>4/0</v>
      </c>
      <c r="AK83" s="260">
        <f t="shared" si="18"/>
        <v>48</v>
      </c>
      <c r="AL83" s="226"/>
      <c r="AM83" s="258">
        <v>-4</v>
      </c>
      <c r="AN83" s="258">
        <v>100</v>
      </c>
      <c r="AO83" s="262" t="s">
        <v>179</v>
      </c>
      <c r="AP83" s="260">
        <v>80</v>
      </c>
    </row>
    <row r="84" spans="9:42" ht="20.100000000000001" customHeight="1" x14ac:dyDescent="0.25">
      <c r="I84" s="246"/>
      <c r="K84" s="247"/>
      <c r="L84" s="247"/>
      <c r="M84" s="247"/>
      <c r="N84" s="248"/>
      <c r="O84" s="249"/>
      <c r="P84" s="247"/>
      <c r="R84" s="250"/>
      <c r="U84" s="247"/>
      <c r="V84" s="247"/>
      <c r="W84" s="247"/>
      <c r="X84" s="247"/>
      <c r="Y84" s="247"/>
      <c r="Z84" s="247"/>
      <c r="AA84" s="250"/>
      <c r="AB84" s="241" t="s">
        <v>245</v>
      </c>
      <c r="AC84" s="241" t="s">
        <v>246</v>
      </c>
      <c r="AD84" s="241" t="s">
        <v>236</v>
      </c>
      <c r="AH84" s="258">
        <f t="shared" si="17"/>
        <v>-3</v>
      </c>
      <c r="AI84" s="258">
        <f t="shared" si="17"/>
        <v>100</v>
      </c>
      <c r="AJ84" s="259" t="str">
        <f t="shared" si="17"/>
        <v>4/0</v>
      </c>
      <c r="AK84" s="260">
        <f t="shared" si="18"/>
        <v>58.8</v>
      </c>
      <c r="AL84" s="226"/>
      <c r="AM84" s="258">
        <v>-3</v>
      </c>
      <c r="AN84" s="258">
        <v>100</v>
      </c>
      <c r="AO84" s="262" t="s">
        <v>179</v>
      </c>
      <c r="AP84" s="260">
        <v>98</v>
      </c>
    </row>
    <row r="85" spans="9:42" ht="20.100000000000001" customHeight="1" x14ac:dyDescent="0.25">
      <c r="I85" s="246"/>
      <c r="K85" s="247"/>
      <c r="L85" s="247"/>
      <c r="M85" s="247"/>
      <c r="N85" s="248"/>
      <c r="O85" s="249"/>
      <c r="P85" s="247"/>
      <c r="R85" s="250"/>
      <c r="U85" s="247"/>
      <c r="V85" s="247"/>
      <c r="W85" s="247"/>
      <c r="X85" s="247"/>
      <c r="Y85" s="247"/>
      <c r="Z85" s="247"/>
      <c r="AA85" s="250"/>
      <c r="AB85" s="276">
        <f>IF(I12="","",I12)</f>
        <v>7</v>
      </c>
      <c r="AC85" s="277">
        <f>IF(J12="","",J12)</f>
        <v>62.3</v>
      </c>
      <c r="AD85" s="278">
        <f>IF(OR(AB85="",AC85=""),"",IF(AE89&lt;&gt;"",AE91,AVERAGEIF(AD91:AF91,"&lt;&gt;0",AD91:AF91)))</f>
        <v>184.83840000000001</v>
      </c>
      <c r="AH85" s="258">
        <f t="shared" si="17"/>
        <v>-2</v>
      </c>
      <c r="AI85" s="258">
        <f t="shared" si="17"/>
        <v>100</v>
      </c>
      <c r="AJ85" s="259" t="str">
        <f t="shared" si="17"/>
        <v>4/0</v>
      </c>
      <c r="AK85" s="260">
        <f t="shared" si="18"/>
        <v>69.599999999999994</v>
      </c>
      <c r="AL85" s="226"/>
      <c r="AM85" s="258">
        <v>-2</v>
      </c>
      <c r="AN85" s="258">
        <v>100</v>
      </c>
      <c r="AO85" s="262" t="s">
        <v>179</v>
      </c>
      <c r="AP85" s="260">
        <v>116</v>
      </c>
    </row>
    <row r="86" spans="9:42" ht="20.100000000000001" customHeight="1" x14ac:dyDescent="0.25">
      <c r="I86" s="246"/>
      <c r="K86" s="247"/>
      <c r="L86" s="247"/>
      <c r="M86" s="247"/>
      <c r="N86" s="248"/>
      <c r="O86" s="249"/>
      <c r="P86" s="247"/>
      <c r="R86" s="250"/>
      <c r="U86" s="247"/>
      <c r="V86" s="247"/>
      <c r="W86" s="247"/>
      <c r="X86" s="247"/>
      <c r="Y86" s="247"/>
      <c r="Z86" s="247"/>
      <c r="AA86" s="250"/>
      <c r="AC86" s="250" t="s">
        <v>182</v>
      </c>
      <c r="AE86" s="279" t="s">
        <v>247</v>
      </c>
      <c r="AH86" s="258">
        <f t="shared" si="17"/>
        <v>-1</v>
      </c>
      <c r="AI86" s="258">
        <f t="shared" si="17"/>
        <v>100</v>
      </c>
      <c r="AJ86" s="259" t="str">
        <f t="shared" si="17"/>
        <v>4/0</v>
      </c>
      <c r="AK86" s="260">
        <f t="shared" si="18"/>
        <v>81</v>
      </c>
      <c r="AL86" s="226"/>
      <c r="AM86" s="258">
        <v>-1</v>
      </c>
      <c r="AN86" s="258">
        <v>100</v>
      </c>
      <c r="AO86" s="262" t="s">
        <v>179</v>
      </c>
      <c r="AP86" s="260">
        <v>135</v>
      </c>
    </row>
    <row r="87" spans="9:42" ht="20.100000000000001" customHeight="1" x14ac:dyDescent="0.25">
      <c r="I87" s="246"/>
      <c r="K87" s="247"/>
      <c r="L87" s="247"/>
      <c r="M87" s="247"/>
      <c r="N87" s="248"/>
      <c r="O87" s="249"/>
      <c r="P87" s="247"/>
      <c r="R87" s="250"/>
      <c r="U87" s="247"/>
      <c r="V87" s="247"/>
      <c r="W87" s="247"/>
      <c r="X87" s="247"/>
      <c r="Y87" s="247"/>
      <c r="Z87" s="247"/>
      <c r="AA87" s="250"/>
      <c r="AC87" s="281"/>
      <c r="AD87" s="282">
        <f>IF(AE87&gt;=400,400,IF(AE87&gt;=350,350,IF(AE87&gt;=325,325,IF(AE87&gt;=300,300,IF(AE87&gt;=275,275,IF(AE87&gt;=250,250,IF(AE87&gt;=225,225,IF(AE87&gt;=200,200,IF(AE87&gt;=175,175,IF(AE87&gt;=150,150,IF(AE87&gt;=125,125,IF(AE87&gt;=100,100,IF(AE87&gt;=75,75,50)))))))))))))</f>
        <v>50</v>
      </c>
      <c r="AE87" s="283">
        <f>AC85</f>
        <v>62.3</v>
      </c>
      <c r="AF87" s="282">
        <f>IF(AE87&lt;=50,50,IF(AE87&lt;=75,75,IF(AE87&lt;=100,100,IF(AE87&lt;=125,125,IF(AE87&lt;=150,150,IF(AE87&lt;=175,175,IF(AE87&lt;=200,200,IF(AE87&lt;=225,225,IF(AE87&lt;=250,250,IF(AE87&lt;=275,275,IF(AE87&lt;=300,300,IF(AE87&lt;=325,325,IF(AE87&lt;=350,350,400)))))))))))))</f>
        <v>75</v>
      </c>
      <c r="AH87" s="258">
        <f t="shared" si="17"/>
        <v>0</v>
      </c>
      <c r="AI87" s="258">
        <f t="shared" si="17"/>
        <v>100</v>
      </c>
      <c r="AJ87" s="259" t="str">
        <f t="shared" si="17"/>
        <v>4/0</v>
      </c>
      <c r="AK87" s="260">
        <f t="shared" si="18"/>
        <v>91.8</v>
      </c>
      <c r="AL87" s="226"/>
      <c r="AM87" s="258">
        <v>0</v>
      </c>
      <c r="AN87" s="258">
        <v>100</v>
      </c>
      <c r="AO87" s="262" t="s">
        <v>179</v>
      </c>
      <c r="AP87" s="260">
        <v>153</v>
      </c>
    </row>
    <row r="88" spans="9:42" ht="20.100000000000001" customHeight="1" x14ac:dyDescent="0.25">
      <c r="I88" s="246"/>
      <c r="K88" s="247"/>
      <c r="L88" s="247"/>
      <c r="M88" s="247"/>
      <c r="N88" s="248"/>
      <c r="O88" s="249"/>
      <c r="P88" s="247"/>
      <c r="R88" s="250"/>
      <c r="U88" s="247"/>
      <c r="V88" s="247"/>
      <c r="W88" s="247"/>
      <c r="X88" s="247"/>
      <c r="Y88" s="247"/>
      <c r="Z88" s="247"/>
      <c r="AA88" s="250"/>
      <c r="AC88" s="282">
        <f>IF(AC89&gt;=0,ROUNDDOWN(AC89,0),ROUNDUP(AC89,0))</f>
        <v>7</v>
      </c>
      <c r="AD88" s="284">
        <f>IF(AD87=400,VLOOKUP(AC88,$AH$700:$AK$748,4),IF(AD87=350,VLOOKUP(AC88,$AH$650:$AK$698,4),IF(AD87=325,VLOOKUP(AC88,$AH$598:$AK$648,4),IF(AD87=300,VLOOKUP(AC88,$AH$544:$AK$596,4),IF(AD87=275,VLOOKUP(AC88,$AH$488:$AK$542,4),IF(AD87=250,VLOOKUP(AC88,$AH$431:$AK$486,4),IF(AD87=225,VLOOKUP(AC88,$AH$379:$AK$429,4),IF(AD87=200,VLOOKUP(AC88,$AH$319:$AK$377,4),IF(AD87=175,VLOOKUP(AC88,$AH$256:$AK$317,4),IF(AD87=150,VLOOKUP(AC88,$AH$192:$AK$254,4),IF(AD87=125,VLOOKUP(AC88,$AH$126:$AK$190,4),IF(AD87=100,VLOOKUP(AC88,$AH$81:$AK$124,4),IF(AD87=75,VLOOKUP(AC88,$AH$39:$AK$79,4),IF(AD87=50,VLOOKUP(AC88,$AH$3:$AK$37,4)))))))))))))))</f>
        <v>192</v>
      </c>
      <c r="AE88" s="285">
        <f>IFERROR((AE87-AD87)/(AF87-AD87)*(AF88-AD88)+AD88,"")</f>
        <v>184.9152</v>
      </c>
      <c r="AF88" s="284">
        <f>IF(AF87=400,VLOOKUP(AC88,$AH$700:$AK$748,4),IF(AF87=350,VLOOKUP(AC88,$AH$650:$AK$698,4),IF(AF87=325,VLOOKUP(AC88,$AH$598:$AK$648,4),IF(AF87=300,VLOOKUP(AC88,$AH$544:$AK$596,4),IF(AF87=275,VLOOKUP(AC88,$AH$488:$AK$542,4),IF(AF87=250,VLOOKUP(AC88,$AH$431:$AK$486,4),IF(AF87=225,VLOOKUP(AC88,$AH$379:$AK$429,4),IF(AF87=200,VLOOKUP(AC88,$AH$319:$AK$377,4),IF(AF87=175,VLOOKUP(AC88,$AH$256:$AK$317,4),IF(AF87=150,VLOOKUP(AC88,$AH$192:$AK$254,4),IF(AF87=125,VLOOKUP(AC88,$AH$126:$AK$190,4),IF(AF87=100,VLOOKUP(AC88,$AH$81:$AK$124,4),IF(AF87=75,VLOOKUP(AC88,$AH$39:$AK$79,4),IF(AF87=50,VLOOKUP(AC88,$AH$3:$AK$37,4)))))))))))))))</f>
        <v>177.6</v>
      </c>
      <c r="AH88" s="258">
        <f t="shared" si="17"/>
        <v>1</v>
      </c>
      <c r="AI88" s="258">
        <f t="shared" si="17"/>
        <v>100</v>
      </c>
      <c r="AJ88" s="259" t="str">
        <f t="shared" si="17"/>
        <v>4/0</v>
      </c>
      <c r="AK88" s="260">
        <f t="shared" si="18"/>
        <v>102</v>
      </c>
      <c r="AL88" s="226"/>
      <c r="AM88" s="258">
        <v>1</v>
      </c>
      <c r="AN88" s="258">
        <v>100</v>
      </c>
      <c r="AO88" s="262" t="s">
        <v>179</v>
      </c>
      <c r="AP88" s="260">
        <v>170</v>
      </c>
    </row>
    <row r="89" spans="9:42" ht="20.100000000000001" customHeight="1" x14ac:dyDescent="0.25">
      <c r="I89" s="246"/>
      <c r="K89" s="247"/>
      <c r="L89" s="247"/>
      <c r="M89" s="247"/>
      <c r="N89" s="248"/>
      <c r="O89" s="249"/>
      <c r="P89" s="247"/>
      <c r="R89" s="250"/>
      <c r="U89" s="247"/>
      <c r="V89" s="247"/>
      <c r="W89" s="247"/>
      <c r="X89" s="247"/>
      <c r="Y89" s="247"/>
      <c r="Z89" s="247"/>
      <c r="AA89" s="250"/>
      <c r="AB89" s="287" t="s">
        <v>248</v>
      </c>
      <c r="AC89" s="288">
        <f>AB85</f>
        <v>7</v>
      </c>
      <c r="AD89" s="285" t="str">
        <f>IFERROR((AC89-AC88)/(AC90-AC88)*(AD90-AD88)+AD88,"")</f>
        <v/>
      </c>
      <c r="AE89" s="278" t="str">
        <f>IFERROR((AE87-AF87)/(AD87-AF87)*(AD89-AF89)+AF89,"")</f>
        <v/>
      </c>
      <c r="AF89" s="285" t="str">
        <f>IFERROR((AC89-AC88)/(AC90-AC88)*(AF90-AF88)+AF88,"")</f>
        <v/>
      </c>
      <c r="AH89" s="258">
        <f t="shared" si="17"/>
        <v>2</v>
      </c>
      <c r="AI89" s="258">
        <f t="shared" si="17"/>
        <v>100</v>
      </c>
      <c r="AJ89" s="259" t="str">
        <f t="shared" si="17"/>
        <v>4/0</v>
      </c>
      <c r="AK89" s="260">
        <f t="shared" si="18"/>
        <v>112.2</v>
      </c>
      <c r="AL89" s="226"/>
      <c r="AM89" s="258">
        <v>2</v>
      </c>
      <c r="AN89" s="258">
        <v>100</v>
      </c>
      <c r="AO89" s="262" t="s">
        <v>179</v>
      </c>
      <c r="AP89" s="260">
        <v>187</v>
      </c>
    </row>
    <row r="90" spans="9:42" ht="20.100000000000001" customHeight="1" x14ac:dyDescent="0.25">
      <c r="I90" s="246"/>
      <c r="K90" s="247"/>
      <c r="L90" s="247"/>
      <c r="M90" s="247"/>
      <c r="N90" s="248"/>
      <c r="O90" s="249"/>
      <c r="P90" s="247"/>
      <c r="R90" s="250"/>
      <c r="U90" s="247"/>
      <c r="V90" s="247"/>
      <c r="W90" s="247"/>
      <c r="X90" s="247"/>
      <c r="Y90" s="247"/>
      <c r="Z90" s="247"/>
      <c r="AA90" s="250"/>
      <c r="AC90" s="282">
        <f>IF(AC89&gt;=0,ROUNDUP(AC89,0),ROUNDDOWN(AC89,0))</f>
        <v>7</v>
      </c>
      <c r="AD90" s="284">
        <f>IF(AD87=400,VLOOKUP(AC90,$AH$700:$AK$748,4),IF(AD87=350,VLOOKUP(AC90,$AH$650:$AK$698,4),IF(AD87=325,VLOOKUP(AC90,$AH$598:$AK$648,4),IF(AD87=300,VLOOKUP(AC90,$AH$544:$AK$596,4),IF(AD87=275,VLOOKUP(AC90,$AH$488:$AK$542,4),IF(AD87=250,VLOOKUP(AC90,$AH$431:$AK$486,4),IF(AD87=225,VLOOKUP(AC90,$AH$379:$AK$429,4),IF(AD87=200,VLOOKUP(AC90,$AH$319:$AK$377,4),IF(AD87=175,VLOOKUP(AC90,$AH$256:$AK$317,4),IF(AD87=150,VLOOKUP(AC90,$AH$192:$AK$254,4),IF(AD87=125,VLOOKUP(AC90,$AH$126:$AK$190,4),IF(AD87=100,VLOOKUP(AC90,$AH$81:$AK$124,4),IF(AD87=75,VLOOKUP(AC90,$AH$39:$AK$79,4),IF(AD87=50,VLOOKUP(AC90,$AH$3:$AK$37,4)))))))))))))))</f>
        <v>192</v>
      </c>
      <c r="AE90" s="285">
        <f>IFERROR((AE87-AD87)/(AF87-AD87)*(AF90-AD90)+AD90,"")</f>
        <v>184.9152</v>
      </c>
      <c r="AF90" s="284">
        <f>IF(AF87=400,VLOOKUP(AC90,$AH$700:$AK$748,4),IF(AF87=350,VLOOKUP(AC90,$AH$650:$AK$698,4),IF(AF87=325,VLOOKUP(AC90,$AH$598:$AK$648,4),IF(AF87=300,VLOOKUP(AC90,$AH$544:$AK$596,4),IF(AF87=275,VLOOKUP(AC90,$AH$488:$AK$542,4),IF(AF87=250,VLOOKUP(AC90,$AH$431:$AK$486,4),IF(AF87=225,VLOOKUP(AC90,$AH$379:$AK$429,4),IF(AF87=200,VLOOKUP(AC90,$AH$319:$AK$377,4),IF(AF87=175,VLOOKUP(AC90,$AH$256:$AK$317,4),IF(AF87=150,VLOOKUP(AC90,$AH$192:$AK$254,4),IF(AF87=125,VLOOKUP(AC90,$AH$126:$AK$190,4),IF(AF87=100,VLOOKUP(AC90,$AH$81:$AK$124,4),IF(AF87=75,VLOOKUP(AC90,$AH$39:$AK$79,4),IF(AF87=50,VLOOKUP(AC90,$AH$3:$AK$37,4)))))))))))))))</f>
        <v>177.6</v>
      </c>
      <c r="AH90" s="258">
        <f t="shared" si="17"/>
        <v>3</v>
      </c>
      <c r="AI90" s="258">
        <f t="shared" si="17"/>
        <v>100</v>
      </c>
      <c r="AJ90" s="259" t="str">
        <f t="shared" si="17"/>
        <v>4/0</v>
      </c>
      <c r="AK90" s="260">
        <f t="shared" si="18"/>
        <v>122.39999999999999</v>
      </c>
      <c r="AL90" s="226"/>
      <c r="AM90" s="258">
        <v>3</v>
      </c>
      <c r="AN90" s="258">
        <v>100</v>
      </c>
      <c r="AO90" s="262" t="s">
        <v>179</v>
      </c>
      <c r="AP90" s="260">
        <v>204</v>
      </c>
    </row>
    <row r="91" spans="9:42" ht="20.100000000000001" customHeight="1" x14ac:dyDescent="0.25">
      <c r="I91" s="246"/>
      <c r="K91" s="247"/>
      <c r="L91" s="247"/>
      <c r="M91" s="247"/>
      <c r="N91" s="248"/>
      <c r="O91" s="249"/>
      <c r="P91" s="247"/>
      <c r="R91" s="250"/>
      <c r="U91" s="247"/>
      <c r="V91" s="247"/>
      <c r="W91" s="247"/>
      <c r="X91" s="247"/>
      <c r="Y91" s="247"/>
      <c r="Z91" s="247"/>
      <c r="AA91" s="250"/>
      <c r="AD91" s="289">
        <f>IF(AD89&lt;&gt;"",AD89,AVERAGE(AD88:AD90))</f>
        <v>192</v>
      </c>
      <c r="AE91" s="289">
        <f>IF(AE89&lt;&gt;"",AE89,IF(SUM(AE88:AE90)=0,"",AVERAGE(AE88:AE90)))</f>
        <v>184.9152</v>
      </c>
      <c r="AF91" s="289">
        <f>IF(AF89&lt;&gt;"",AF89,AVERAGE(AF88:AF90))</f>
        <v>177.6</v>
      </c>
      <c r="AH91" s="258">
        <f t="shared" si="17"/>
        <v>4</v>
      </c>
      <c r="AI91" s="258">
        <f t="shared" si="17"/>
        <v>100</v>
      </c>
      <c r="AJ91" s="259" t="str">
        <f t="shared" si="17"/>
        <v>4/0</v>
      </c>
      <c r="AK91" s="260">
        <f t="shared" si="18"/>
        <v>132</v>
      </c>
      <c r="AL91" s="226"/>
      <c r="AM91" s="258">
        <v>4</v>
      </c>
      <c r="AN91" s="258">
        <v>100</v>
      </c>
      <c r="AO91" s="262" t="s">
        <v>179</v>
      </c>
      <c r="AP91" s="260">
        <v>220</v>
      </c>
    </row>
    <row r="92" spans="9:42" ht="20.100000000000001" customHeight="1" x14ac:dyDescent="0.25">
      <c r="I92" s="246"/>
      <c r="K92" s="247"/>
      <c r="L92" s="247"/>
      <c r="M92" s="247"/>
      <c r="N92" s="248"/>
      <c r="O92" s="249"/>
      <c r="P92" s="247"/>
      <c r="R92" s="250"/>
      <c r="U92" s="247"/>
      <c r="V92" s="247"/>
      <c r="W92" s="247"/>
      <c r="X92" s="247"/>
      <c r="Y92" s="247"/>
      <c r="Z92" s="247"/>
      <c r="AA92" s="250"/>
      <c r="AH92" s="258">
        <f t="shared" si="17"/>
        <v>5</v>
      </c>
      <c r="AI92" s="258">
        <f t="shared" si="17"/>
        <v>100</v>
      </c>
      <c r="AJ92" s="259" t="str">
        <f t="shared" si="17"/>
        <v>4/0</v>
      </c>
      <c r="AK92" s="260">
        <f t="shared" si="18"/>
        <v>142.19999999999999</v>
      </c>
      <c r="AL92" s="226"/>
      <c r="AM92" s="258">
        <v>5</v>
      </c>
      <c r="AN92" s="258">
        <v>100</v>
      </c>
      <c r="AO92" s="262" t="s">
        <v>179</v>
      </c>
      <c r="AP92" s="260">
        <v>237</v>
      </c>
    </row>
    <row r="93" spans="9:42" ht="20.100000000000001" customHeight="1" x14ac:dyDescent="0.25">
      <c r="I93" s="246"/>
      <c r="K93" s="247"/>
      <c r="L93" s="247"/>
      <c r="M93" s="247"/>
      <c r="N93" s="248"/>
      <c r="O93" s="249"/>
      <c r="P93" s="247"/>
      <c r="R93" s="250"/>
      <c r="U93" s="247"/>
      <c r="V93" s="247"/>
      <c r="W93" s="247"/>
      <c r="X93" s="247"/>
      <c r="Y93" s="247"/>
      <c r="Z93" s="247"/>
      <c r="AA93" s="250"/>
      <c r="AB93" s="257">
        <v>10</v>
      </c>
      <c r="AC93" s="226"/>
      <c r="AD93" s="226"/>
      <c r="AH93" s="258">
        <f t="shared" si="17"/>
        <v>6</v>
      </c>
      <c r="AI93" s="258">
        <f t="shared" si="17"/>
        <v>100</v>
      </c>
      <c r="AJ93" s="259" t="str">
        <f t="shared" si="17"/>
        <v>4/0</v>
      </c>
      <c r="AK93" s="260">
        <f t="shared" si="18"/>
        <v>152.4</v>
      </c>
      <c r="AL93" s="226"/>
      <c r="AM93" s="258">
        <v>6</v>
      </c>
      <c r="AN93" s="258">
        <v>100</v>
      </c>
      <c r="AO93" s="262" t="s">
        <v>179</v>
      </c>
      <c r="AP93" s="260">
        <v>254</v>
      </c>
    </row>
    <row r="94" spans="9:42" ht="20.100000000000001" customHeight="1" x14ac:dyDescent="0.25">
      <c r="I94" s="246"/>
      <c r="K94" s="247"/>
      <c r="L94" s="247"/>
      <c r="M94" s="247"/>
      <c r="N94" s="248"/>
      <c r="O94" s="249"/>
      <c r="P94" s="247"/>
      <c r="R94" s="250"/>
      <c r="U94" s="247"/>
      <c r="V94" s="247"/>
      <c r="W94" s="247"/>
      <c r="X94" s="247"/>
      <c r="Y94" s="247"/>
      <c r="Z94" s="247"/>
      <c r="AA94" s="250"/>
      <c r="AB94" s="241" t="s">
        <v>245</v>
      </c>
      <c r="AC94" s="241" t="s">
        <v>246</v>
      </c>
      <c r="AD94" s="241" t="s">
        <v>236</v>
      </c>
      <c r="AH94" s="258">
        <f t="shared" si="17"/>
        <v>7</v>
      </c>
      <c r="AI94" s="258">
        <f t="shared" si="17"/>
        <v>100</v>
      </c>
      <c r="AJ94" s="259" t="str">
        <f t="shared" si="17"/>
        <v>4/0</v>
      </c>
      <c r="AK94" s="260">
        <f t="shared" si="18"/>
        <v>162.6</v>
      </c>
      <c r="AL94" s="226"/>
      <c r="AM94" s="258">
        <v>7</v>
      </c>
      <c r="AN94" s="258">
        <v>100</v>
      </c>
      <c r="AO94" s="262" t="s">
        <v>179</v>
      </c>
      <c r="AP94" s="260">
        <v>271</v>
      </c>
    </row>
    <row r="95" spans="9:42" ht="20.100000000000001" customHeight="1" x14ac:dyDescent="0.25">
      <c r="I95" s="246"/>
      <c r="K95" s="247"/>
      <c r="L95" s="247"/>
      <c r="M95" s="247"/>
      <c r="N95" s="248"/>
      <c r="O95" s="249"/>
      <c r="P95" s="247"/>
      <c r="R95" s="250"/>
      <c r="U95" s="247"/>
      <c r="V95" s="247"/>
      <c r="W95" s="247"/>
      <c r="X95" s="247"/>
      <c r="Y95" s="247"/>
      <c r="Z95" s="247"/>
      <c r="AA95" s="250"/>
      <c r="AB95" s="276">
        <f>IF(I13="","",I13)</f>
        <v>6.7</v>
      </c>
      <c r="AC95" s="277">
        <f>IF(J13="","",J13)</f>
        <v>60.2</v>
      </c>
      <c r="AD95" s="278">
        <f>IF(OR(AB95="",AC95=""),"",IF(AE99&lt;&gt;"",AE101,AVERAGEIF(AD101:AF101,"&lt;&gt;0",AD101:AF101)))</f>
        <v>182.99135999999999</v>
      </c>
      <c r="AH95" s="258">
        <f t="shared" si="17"/>
        <v>8</v>
      </c>
      <c r="AI95" s="258">
        <f t="shared" si="17"/>
        <v>100</v>
      </c>
      <c r="AJ95" s="259" t="str">
        <f t="shared" si="17"/>
        <v>4/0</v>
      </c>
      <c r="AK95" s="260">
        <f t="shared" si="18"/>
        <v>172.79999999999998</v>
      </c>
      <c r="AL95" s="226"/>
      <c r="AM95" s="258">
        <v>8</v>
      </c>
      <c r="AN95" s="258">
        <v>100</v>
      </c>
      <c r="AO95" s="262" t="s">
        <v>179</v>
      </c>
      <c r="AP95" s="260">
        <v>288</v>
      </c>
    </row>
    <row r="96" spans="9:42" ht="20.100000000000001" customHeight="1" x14ac:dyDescent="0.25">
      <c r="I96" s="246"/>
      <c r="K96" s="247"/>
      <c r="L96" s="247"/>
      <c r="M96" s="247"/>
      <c r="N96" s="248"/>
      <c r="O96" s="249"/>
      <c r="P96" s="247"/>
      <c r="R96" s="250"/>
      <c r="U96" s="247"/>
      <c r="V96" s="247"/>
      <c r="W96" s="247"/>
      <c r="X96" s="247"/>
      <c r="Y96" s="247"/>
      <c r="Z96" s="247"/>
      <c r="AA96" s="250"/>
      <c r="AC96" s="250" t="s">
        <v>182</v>
      </c>
      <c r="AE96" s="279" t="s">
        <v>247</v>
      </c>
      <c r="AH96" s="258">
        <f t="shared" si="17"/>
        <v>9</v>
      </c>
      <c r="AI96" s="258">
        <f t="shared" si="17"/>
        <v>100</v>
      </c>
      <c r="AJ96" s="259" t="str">
        <f t="shared" si="17"/>
        <v>4/0</v>
      </c>
      <c r="AK96" s="260">
        <f t="shared" si="18"/>
        <v>183.6</v>
      </c>
      <c r="AL96" s="226"/>
      <c r="AM96" s="258">
        <v>9</v>
      </c>
      <c r="AN96" s="258">
        <v>100</v>
      </c>
      <c r="AO96" s="262" t="s">
        <v>179</v>
      </c>
      <c r="AP96" s="260">
        <v>306</v>
      </c>
    </row>
    <row r="97" spans="9:42" ht="20.100000000000001" customHeight="1" x14ac:dyDescent="0.25">
      <c r="I97" s="246"/>
      <c r="K97" s="247"/>
      <c r="L97" s="247"/>
      <c r="M97" s="247"/>
      <c r="N97" s="248"/>
      <c r="O97" s="249"/>
      <c r="P97" s="247"/>
      <c r="R97" s="250"/>
      <c r="U97" s="247"/>
      <c r="V97" s="247"/>
      <c r="W97" s="247"/>
      <c r="X97" s="247"/>
      <c r="Y97" s="247"/>
      <c r="Z97" s="247"/>
      <c r="AA97" s="250"/>
      <c r="AC97" s="281"/>
      <c r="AD97" s="282">
        <f>IF(AE97&gt;=400,400,IF(AE97&gt;=350,350,IF(AE97&gt;=325,325,IF(AE97&gt;=300,300,IF(AE97&gt;=275,275,IF(AE97&gt;=250,250,IF(AE97&gt;=225,225,IF(AE97&gt;=200,200,IF(AE97&gt;=175,175,IF(AE97&gt;=150,150,IF(AE97&gt;=125,125,IF(AE97&gt;=100,100,IF(AE97&gt;=75,75,50)))))))))))))</f>
        <v>50</v>
      </c>
      <c r="AE97" s="283">
        <f>AC95</f>
        <v>60.2</v>
      </c>
      <c r="AF97" s="282">
        <f>IF(AE97&lt;=50,50,IF(AE97&lt;=75,75,IF(AE97&lt;=100,100,IF(AE97&lt;=125,125,IF(AE97&lt;=150,150,IF(AE97&lt;=175,175,IF(AE97&lt;=200,200,IF(AE97&lt;=225,225,IF(AE97&lt;=250,250,IF(AE97&lt;=275,275,IF(AE97&lt;=300,300,IF(AE97&lt;=325,325,IF(AE97&lt;=350,350,400)))))))))))))</f>
        <v>75</v>
      </c>
      <c r="AH97" s="258">
        <f t="shared" si="17"/>
        <v>10</v>
      </c>
      <c r="AI97" s="258">
        <f t="shared" si="17"/>
        <v>100</v>
      </c>
      <c r="AJ97" s="259" t="str">
        <f t="shared" si="17"/>
        <v>4/0</v>
      </c>
      <c r="AK97" s="260">
        <f t="shared" si="18"/>
        <v>193.79999999999998</v>
      </c>
      <c r="AL97" s="226"/>
      <c r="AM97" s="258">
        <v>10</v>
      </c>
      <c r="AN97" s="258">
        <v>100</v>
      </c>
      <c r="AO97" s="262" t="s">
        <v>179</v>
      </c>
      <c r="AP97" s="260">
        <v>323</v>
      </c>
    </row>
    <row r="98" spans="9:42" ht="20.100000000000001" customHeight="1" x14ac:dyDescent="0.25">
      <c r="I98" s="246"/>
      <c r="K98" s="247"/>
      <c r="L98" s="247"/>
      <c r="M98" s="247"/>
      <c r="N98" s="248"/>
      <c r="O98" s="249"/>
      <c r="P98" s="247"/>
      <c r="R98" s="250"/>
      <c r="U98" s="247"/>
      <c r="V98" s="247"/>
      <c r="W98" s="247"/>
      <c r="X98" s="247"/>
      <c r="Y98" s="247"/>
      <c r="Z98" s="247"/>
      <c r="AA98" s="250"/>
      <c r="AC98" s="282">
        <f>IF(AC99&gt;=0,ROUNDDOWN(AC99,0),ROUNDUP(AC99,0))</f>
        <v>6</v>
      </c>
      <c r="AD98" s="284">
        <f>IF(AD97=400,VLOOKUP(AC98,$AH$700:$AK$748,4),IF(AD97=350,VLOOKUP(AC98,$AH$650:$AK$698,4),IF(AD97=325,VLOOKUP(AC98,$AH$598:$AK$648,4),IF(AD97=300,VLOOKUP(AC98,$AH$544:$AK$596,4),IF(AD97=275,VLOOKUP(AC98,$AH$488:$AK$542,4),IF(AD97=250,VLOOKUP(AC98,$AH$431:$AK$486,4),IF(AD97=225,VLOOKUP(AC98,$AH$379:$AK$429,4),IF(AD97=200,VLOOKUP(AC98,$AH$319:$AK$377,4),IF(AD97=175,VLOOKUP(AC98,$AH$256:$AK$317,4),IF(AD97=150,VLOOKUP(AC98,$AH$192:$AK$254,4),IF(AD97=125,VLOOKUP(AC98,$AH$126:$AK$190,4),IF(AD97=100,VLOOKUP(AC98,$AH$81:$AK$124,4),IF(AD97=75,VLOOKUP(AC98,$AH$39:$AK$79,4),IF(AD97=50,VLOOKUP(AC98,$AH$3:$AK$37,4)))))))))))))))</f>
        <v>181.79999999999998</v>
      </c>
      <c r="AE98" s="285">
        <f>IFERROR((AE97-AD97)/(AF97-AD97)*(AF98-AD98)+AD98,"")</f>
        <v>175.67999999999998</v>
      </c>
      <c r="AF98" s="284">
        <f>IF(AF97=400,VLOOKUP(AC98,$AH$700:$AK$748,4),IF(AF97=350,VLOOKUP(AC98,$AH$650:$AK$698,4),IF(AF97=325,VLOOKUP(AC98,$AH$598:$AK$648,4),IF(AF97=300,VLOOKUP(AC98,$AH$544:$AK$596,4),IF(AF97=275,VLOOKUP(AC98,$AH$488:$AK$542,4),IF(AF97=250,VLOOKUP(AC98,$AH$431:$AK$486,4),IF(AF97=225,VLOOKUP(AC98,$AH$379:$AK$429,4),IF(AF97=200,VLOOKUP(AC98,$AH$319:$AK$377,4),IF(AF97=175,VLOOKUP(AC98,$AH$256:$AK$317,4),IF(AF97=150,VLOOKUP(AC98,$AH$192:$AK$254,4),IF(AF97=125,VLOOKUP(AC98,$AH$126:$AK$190,4),IF(AF97=100,VLOOKUP(AC98,$AH$81:$AK$124,4),IF(AF97=75,VLOOKUP(AC98,$AH$39:$AK$79,4),IF(AF97=50,VLOOKUP(AC98,$AH$3:$AK$37,4)))))))))))))))</f>
        <v>166.79999999999998</v>
      </c>
      <c r="AH98" s="258">
        <f t="shared" si="17"/>
        <v>11</v>
      </c>
      <c r="AI98" s="258">
        <f t="shared" si="17"/>
        <v>100</v>
      </c>
      <c r="AJ98" s="259" t="str">
        <f t="shared" si="17"/>
        <v>4/0</v>
      </c>
      <c r="AK98" s="260">
        <f t="shared" si="18"/>
        <v>204</v>
      </c>
      <c r="AL98" s="226"/>
      <c r="AM98" s="258">
        <v>11</v>
      </c>
      <c r="AN98" s="258">
        <v>100</v>
      </c>
      <c r="AO98" s="262" t="s">
        <v>179</v>
      </c>
      <c r="AP98" s="260">
        <v>340</v>
      </c>
    </row>
    <row r="99" spans="9:42" ht="20.100000000000001" customHeight="1" x14ac:dyDescent="0.25">
      <c r="I99" s="246"/>
      <c r="K99" s="247"/>
      <c r="L99" s="247"/>
      <c r="M99" s="247"/>
      <c r="N99" s="248"/>
      <c r="O99" s="249"/>
      <c r="P99" s="247"/>
      <c r="R99" s="250"/>
      <c r="U99" s="247"/>
      <c r="V99" s="247"/>
      <c r="W99" s="247"/>
      <c r="X99" s="247"/>
      <c r="Y99" s="247"/>
      <c r="Z99" s="247"/>
      <c r="AA99" s="250"/>
      <c r="AB99" s="287" t="s">
        <v>248</v>
      </c>
      <c r="AC99" s="288">
        <f>AB95</f>
        <v>6.7</v>
      </c>
      <c r="AD99" s="285">
        <f>IFERROR((AC99-AC98)/(AC100-AC98)*(AD100-AD98)+AD98,"")</f>
        <v>188.94</v>
      </c>
      <c r="AE99" s="278">
        <f>IFERROR((AE97-AF97)/(AD97-AF97)*(AD99-AF99)+AF99,"")</f>
        <v>182.99135999999999</v>
      </c>
      <c r="AF99" s="285">
        <f>IFERROR((AC99-AC98)/(AC100-AC98)*(AF100-AF98)+AF98,"")</f>
        <v>174.35999999999999</v>
      </c>
      <c r="AH99" s="258">
        <f t="shared" si="17"/>
        <v>12</v>
      </c>
      <c r="AI99" s="258">
        <f t="shared" si="17"/>
        <v>100</v>
      </c>
      <c r="AJ99" s="259" t="str">
        <f t="shared" si="17"/>
        <v>4/0</v>
      </c>
      <c r="AK99" s="260">
        <f t="shared" si="18"/>
        <v>214.2</v>
      </c>
      <c r="AL99" s="226"/>
      <c r="AM99" s="258">
        <v>12</v>
      </c>
      <c r="AN99" s="258">
        <v>100</v>
      </c>
      <c r="AO99" s="262" t="s">
        <v>179</v>
      </c>
      <c r="AP99" s="260">
        <v>357</v>
      </c>
    </row>
    <row r="100" spans="9:42" ht="20.100000000000001" customHeight="1" x14ac:dyDescent="0.25">
      <c r="I100" s="246"/>
      <c r="K100" s="247"/>
      <c r="L100" s="247"/>
      <c r="M100" s="247"/>
      <c r="N100" s="248"/>
      <c r="O100" s="249"/>
      <c r="P100" s="247"/>
      <c r="R100" s="250"/>
      <c r="U100" s="247"/>
      <c r="V100" s="247"/>
      <c r="W100" s="247"/>
      <c r="X100" s="247"/>
      <c r="Y100" s="247"/>
      <c r="Z100" s="247"/>
      <c r="AA100" s="250"/>
      <c r="AC100" s="282">
        <f>IF(AC99&gt;=0,ROUNDUP(AC99,0),ROUNDDOWN(AC99,0))</f>
        <v>7</v>
      </c>
      <c r="AD100" s="284">
        <f>IF(AD97=400,VLOOKUP(AC100,$AH$700:$AK$748,4),IF(AD97=350,VLOOKUP(AC100,$AH$650:$AK$698,4),IF(AD97=325,VLOOKUP(AC100,$AH$598:$AK$648,4),IF(AD97=300,VLOOKUP(AC100,$AH$544:$AK$596,4),IF(AD97=275,VLOOKUP(AC100,$AH$488:$AK$542,4),IF(AD97=250,VLOOKUP(AC100,$AH$431:$AK$486,4),IF(AD97=225,VLOOKUP(AC100,$AH$379:$AK$429,4),IF(AD97=200,VLOOKUP(AC100,$AH$319:$AK$377,4),IF(AD97=175,VLOOKUP(AC100,$AH$256:$AK$317,4),IF(AD97=150,VLOOKUP(AC100,$AH$192:$AK$254,4),IF(AD97=125,VLOOKUP(AC100,$AH$126:$AK$190,4),IF(AD97=100,VLOOKUP(AC100,$AH$81:$AK$124,4),IF(AD97=75,VLOOKUP(AC100,$AH$39:$AK$79,4),IF(AD97=50,VLOOKUP(AC100,$AH$3:$AK$37,4)))))))))))))))</f>
        <v>192</v>
      </c>
      <c r="AE100" s="285">
        <f>IFERROR((AE97-AD97)/(AF97-AD97)*(AF100-AD100)+AD100,"")</f>
        <v>186.12479999999999</v>
      </c>
      <c r="AF100" s="284">
        <f>IF(AF97=400,VLOOKUP(AC100,$AH$700:$AK$748,4),IF(AF97=350,VLOOKUP(AC100,$AH$650:$AK$698,4),IF(AF97=325,VLOOKUP(AC100,$AH$598:$AK$648,4),IF(AF97=300,VLOOKUP(AC100,$AH$544:$AK$596,4),IF(AF97=275,VLOOKUP(AC100,$AH$488:$AK$542,4),IF(AF97=250,VLOOKUP(AC100,$AH$431:$AK$486,4),IF(AF97=225,VLOOKUP(AC100,$AH$379:$AK$429,4),IF(AF97=200,VLOOKUP(AC100,$AH$319:$AK$377,4),IF(AF97=175,VLOOKUP(AC100,$AH$256:$AK$317,4),IF(AF97=150,VLOOKUP(AC100,$AH$192:$AK$254,4),IF(AF97=125,VLOOKUP(AC100,$AH$126:$AK$190,4),IF(AF97=100,VLOOKUP(AC100,$AH$81:$AK$124,4),IF(AF97=75,VLOOKUP(AC100,$AH$39:$AK$79,4),IF(AF97=50,VLOOKUP(AC100,$AH$3:$AK$37,4)))))))))))))))</f>
        <v>177.6</v>
      </c>
      <c r="AH100" s="258">
        <f t="shared" si="17"/>
        <v>13</v>
      </c>
      <c r="AI100" s="258">
        <f t="shared" si="17"/>
        <v>100</v>
      </c>
      <c r="AJ100" s="259" t="str">
        <f t="shared" si="17"/>
        <v>4/0</v>
      </c>
      <c r="AK100" s="260">
        <f t="shared" si="18"/>
        <v>224.4</v>
      </c>
      <c r="AL100" s="226"/>
      <c r="AM100" s="258">
        <v>13</v>
      </c>
      <c r="AN100" s="258">
        <v>100</v>
      </c>
      <c r="AO100" s="262" t="s">
        <v>179</v>
      </c>
      <c r="AP100" s="260">
        <v>374</v>
      </c>
    </row>
    <row r="101" spans="9:42" ht="20.100000000000001" customHeight="1" x14ac:dyDescent="0.25">
      <c r="I101" s="246"/>
      <c r="K101" s="247"/>
      <c r="L101" s="247"/>
      <c r="M101" s="247"/>
      <c r="N101" s="248"/>
      <c r="O101" s="249"/>
      <c r="P101" s="247"/>
      <c r="R101" s="250"/>
      <c r="U101" s="247"/>
      <c r="V101" s="247"/>
      <c r="W101" s="247"/>
      <c r="X101" s="247"/>
      <c r="Y101" s="247"/>
      <c r="Z101" s="247"/>
      <c r="AA101" s="250"/>
      <c r="AD101" s="289">
        <f>IF(AD99&lt;&gt;"",AD99,AVERAGE(AD98:AD100))</f>
        <v>188.94</v>
      </c>
      <c r="AE101" s="289">
        <f>IF(AE99&lt;&gt;"",AE99,IF(SUM(AE98:AE100)=0,"",AVERAGE(AE98:AE100)))</f>
        <v>182.99135999999999</v>
      </c>
      <c r="AF101" s="289">
        <f>IF(AF99&lt;&gt;"",AF99,AVERAGE(AF98:AF100))</f>
        <v>174.35999999999999</v>
      </c>
      <c r="AH101" s="258">
        <f t="shared" si="17"/>
        <v>14</v>
      </c>
      <c r="AI101" s="258">
        <f t="shared" si="17"/>
        <v>100</v>
      </c>
      <c r="AJ101" s="259" t="str">
        <f t="shared" si="17"/>
        <v>4/0</v>
      </c>
      <c r="AK101" s="260">
        <f t="shared" si="18"/>
        <v>234.6</v>
      </c>
      <c r="AL101" s="226"/>
      <c r="AM101" s="258">
        <v>14</v>
      </c>
      <c r="AN101" s="258">
        <v>100</v>
      </c>
      <c r="AO101" s="262" t="s">
        <v>179</v>
      </c>
      <c r="AP101" s="260">
        <v>391</v>
      </c>
    </row>
    <row r="102" spans="9:42" ht="20.100000000000001" customHeight="1" x14ac:dyDescent="0.25">
      <c r="I102" s="246"/>
      <c r="K102" s="247"/>
      <c r="L102" s="247"/>
      <c r="M102" s="247"/>
      <c r="N102" s="248"/>
      <c r="O102" s="249"/>
      <c r="P102" s="247"/>
      <c r="R102" s="250"/>
      <c r="U102" s="247"/>
      <c r="V102" s="247"/>
      <c r="W102" s="247"/>
      <c r="X102" s="247"/>
      <c r="Y102" s="247"/>
      <c r="Z102" s="247"/>
      <c r="AA102" s="250"/>
      <c r="AH102" s="258">
        <f t="shared" si="17"/>
        <v>15</v>
      </c>
      <c r="AI102" s="258">
        <f t="shared" si="17"/>
        <v>100</v>
      </c>
      <c r="AJ102" s="259" t="str">
        <f t="shared" si="17"/>
        <v>4/0</v>
      </c>
      <c r="AK102" s="260">
        <f t="shared" si="18"/>
        <v>245.39999999999998</v>
      </c>
      <c r="AL102" s="226"/>
      <c r="AM102" s="258">
        <v>15</v>
      </c>
      <c r="AN102" s="258">
        <v>100</v>
      </c>
      <c r="AO102" s="262" t="s">
        <v>179</v>
      </c>
      <c r="AP102" s="260">
        <v>409</v>
      </c>
    </row>
    <row r="103" spans="9:42" ht="20.100000000000001" customHeight="1" x14ac:dyDescent="0.25">
      <c r="I103" s="246"/>
      <c r="K103" s="247"/>
      <c r="L103" s="247"/>
      <c r="M103" s="247"/>
      <c r="N103" s="248"/>
      <c r="O103" s="249"/>
      <c r="P103" s="247"/>
      <c r="R103" s="250"/>
      <c r="U103" s="247"/>
      <c r="V103" s="247"/>
      <c r="W103" s="247"/>
      <c r="X103" s="247"/>
      <c r="Y103" s="247"/>
      <c r="Z103" s="247"/>
      <c r="AA103" s="250"/>
      <c r="AB103" s="257">
        <v>11</v>
      </c>
      <c r="AC103" s="226"/>
      <c r="AD103" s="226"/>
      <c r="AH103" s="258">
        <f t="shared" si="17"/>
        <v>16</v>
      </c>
      <c r="AI103" s="258">
        <f t="shared" si="17"/>
        <v>100</v>
      </c>
      <c r="AJ103" s="259" t="str">
        <f t="shared" si="17"/>
        <v>4/0</v>
      </c>
      <c r="AK103" s="260">
        <f t="shared" si="18"/>
        <v>255.6</v>
      </c>
      <c r="AL103" s="226"/>
      <c r="AM103" s="258">
        <v>16</v>
      </c>
      <c r="AN103" s="258">
        <v>100</v>
      </c>
      <c r="AO103" s="262" t="s">
        <v>179</v>
      </c>
      <c r="AP103" s="260">
        <v>426</v>
      </c>
    </row>
    <row r="104" spans="9:42" ht="20.100000000000001" customHeight="1" x14ac:dyDescent="0.25">
      <c r="I104" s="246"/>
      <c r="K104" s="247"/>
      <c r="L104" s="247"/>
      <c r="M104" s="247"/>
      <c r="N104" s="248"/>
      <c r="O104" s="249"/>
      <c r="P104" s="247"/>
      <c r="R104" s="250"/>
      <c r="U104" s="247"/>
      <c r="V104" s="247"/>
      <c r="W104" s="247"/>
      <c r="X104" s="247"/>
      <c r="Y104" s="247"/>
      <c r="Z104" s="247"/>
      <c r="AA104" s="250"/>
      <c r="AB104" s="241" t="s">
        <v>245</v>
      </c>
      <c r="AC104" s="241" t="s">
        <v>246</v>
      </c>
      <c r="AD104" s="241" t="s">
        <v>236</v>
      </c>
      <c r="AH104" s="258">
        <f t="shared" si="17"/>
        <v>17</v>
      </c>
      <c r="AI104" s="258">
        <f t="shared" si="17"/>
        <v>100</v>
      </c>
      <c r="AJ104" s="259" t="str">
        <f t="shared" si="17"/>
        <v>4/0</v>
      </c>
      <c r="AK104" s="260">
        <f t="shared" si="18"/>
        <v>265.8</v>
      </c>
      <c r="AL104" s="226"/>
      <c r="AM104" s="258">
        <v>17</v>
      </c>
      <c r="AN104" s="258">
        <v>100</v>
      </c>
      <c r="AO104" s="262" t="s">
        <v>179</v>
      </c>
      <c r="AP104" s="260">
        <v>443</v>
      </c>
    </row>
    <row r="105" spans="9:42" ht="20.100000000000001" customHeight="1" x14ac:dyDescent="0.25">
      <c r="I105" s="246"/>
      <c r="K105" s="247"/>
      <c r="L105" s="247"/>
      <c r="M105" s="247"/>
      <c r="N105" s="248"/>
      <c r="O105" s="249"/>
      <c r="P105" s="247"/>
      <c r="R105" s="250"/>
      <c r="U105" s="247"/>
      <c r="V105" s="247"/>
      <c r="W105" s="247"/>
      <c r="X105" s="247"/>
      <c r="Y105" s="247"/>
      <c r="Z105" s="247"/>
      <c r="AA105" s="250"/>
      <c r="AB105" s="276">
        <f>IF(I14="","",I14)</f>
        <v>6.9</v>
      </c>
      <c r="AC105" s="277">
        <f>IF(J14="","",J14)</f>
        <v>58.1</v>
      </c>
      <c r="AD105" s="278">
        <f>IF(OR(AB105="",AC105=""),"",IF(AE109&lt;&gt;"",AE111,AVERAGEIF(AD111:AF111,"&lt;&gt;0",AD111:AF111)))</f>
        <v>186.29496</v>
      </c>
      <c r="AH105" s="258">
        <f t="shared" si="17"/>
        <v>18</v>
      </c>
      <c r="AI105" s="258">
        <f t="shared" si="17"/>
        <v>100</v>
      </c>
      <c r="AJ105" s="259" t="str">
        <f t="shared" si="17"/>
        <v>4/0</v>
      </c>
      <c r="AK105" s="260">
        <f t="shared" si="18"/>
        <v>276</v>
      </c>
      <c r="AL105" s="226"/>
      <c r="AM105" s="258">
        <v>18</v>
      </c>
      <c r="AN105" s="258">
        <v>100</v>
      </c>
      <c r="AO105" s="262" t="s">
        <v>179</v>
      </c>
      <c r="AP105" s="260">
        <v>460</v>
      </c>
    </row>
    <row r="106" spans="9:42" ht="20.100000000000001" customHeight="1" x14ac:dyDescent="0.25">
      <c r="I106" s="246"/>
      <c r="K106" s="247"/>
      <c r="L106" s="247"/>
      <c r="M106" s="247"/>
      <c r="N106" s="248"/>
      <c r="O106" s="249"/>
      <c r="P106" s="247"/>
      <c r="R106" s="250"/>
      <c r="U106" s="247"/>
      <c r="V106" s="247"/>
      <c r="W106" s="247"/>
      <c r="X106" s="247"/>
      <c r="Y106" s="247"/>
      <c r="Z106" s="247"/>
      <c r="AA106" s="250"/>
      <c r="AC106" s="250" t="s">
        <v>182</v>
      </c>
      <c r="AE106" s="279" t="s">
        <v>247</v>
      </c>
      <c r="AH106" s="258">
        <f t="shared" si="17"/>
        <v>19</v>
      </c>
      <c r="AI106" s="258">
        <f t="shared" si="17"/>
        <v>100</v>
      </c>
      <c r="AJ106" s="259" t="str">
        <f t="shared" si="17"/>
        <v>4/0</v>
      </c>
      <c r="AK106" s="260">
        <f t="shared" si="18"/>
        <v>286.8</v>
      </c>
      <c r="AL106" s="226"/>
      <c r="AM106" s="258">
        <v>19</v>
      </c>
      <c r="AN106" s="258">
        <v>100</v>
      </c>
      <c r="AO106" s="262" t="s">
        <v>179</v>
      </c>
      <c r="AP106" s="260">
        <v>478</v>
      </c>
    </row>
    <row r="107" spans="9:42" ht="20.100000000000001" customHeight="1" x14ac:dyDescent="0.25">
      <c r="I107" s="246"/>
      <c r="K107" s="247"/>
      <c r="L107" s="247"/>
      <c r="M107" s="247"/>
      <c r="N107" s="248"/>
      <c r="O107" s="249"/>
      <c r="P107" s="247"/>
      <c r="R107" s="250"/>
      <c r="U107" s="247"/>
      <c r="V107" s="247"/>
      <c r="W107" s="247"/>
      <c r="X107" s="247"/>
      <c r="Y107" s="247"/>
      <c r="Z107" s="247"/>
      <c r="AA107" s="250"/>
      <c r="AC107" s="281"/>
      <c r="AD107" s="282">
        <f>IF(AE107&gt;=400,400,IF(AE107&gt;=350,350,IF(AE107&gt;=325,325,IF(AE107&gt;=300,300,IF(AE107&gt;=275,275,IF(AE107&gt;=250,250,IF(AE107&gt;=225,225,IF(AE107&gt;=200,200,IF(AE107&gt;=175,175,IF(AE107&gt;=150,150,IF(AE107&gt;=125,125,IF(AE107&gt;=100,100,IF(AE107&gt;=75,75,50)))))))))))))</f>
        <v>50</v>
      </c>
      <c r="AE107" s="283">
        <f>AC105</f>
        <v>58.1</v>
      </c>
      <c r="AF107" s="282">
        <f>IF(AE107&lt;=50,50,IF(AE107&lt;=75,75,IF(AE107&lt;=100,100,IF(AE107&lt;=125,125,IF(AE107&lt;=150,150,IF(AE107&lt;=175,175,IF(AE107&lt;=200,200,IF(AE107&lt;=225,225,IF(AE107&lt;=250,250,IF(AE107&lt;=275,275,IF(AE107&lt;=300,300,IF(AE107&lt;=325,325,IF(AE107&lt;=350,350,400)))))))))))))</f>
        <v>75</v>
      </c>
      <c r="AH107" s="258">
        <f t="shared" si="17"/>
        <v>20</v>
      </c>
      <c r="AI107" s="258">
        <f t="shared" si="17"/>
        <v>100</v>
      </c>
      <c r="AJ107" s="259" t="str">
        <f t="shared" si="17"/>
        <v>4/0</v>
      </c>
      <c r="AK107" s="260">
        <f t="shared" si="18"/>
        <v>297</v>
      </c>
      <c r="AL107" s="226"/>
      <c r="AM107" s="258">
        <v>20</v>
      </c>
      <c r="AN107" s="258">
        <v>100</v>
      </c>
      <c r="AO107" s="262" t="s">
        <v>179</v>
      </c>
      <c r="AP107" s="260">
        <v>495</v>
      </c>
    </row>
    <row r="108" spans="9:42" ht="20.100000000000001" customHeight="1" x14ac:dyDescent="0.25">
      <c r="I108" s="246"/>
      <c r="K108" s="247"/>
      <c r="L108" s="247"/>
      <c r="M108" s="247"/>
      <c r="N108" s="248"/>
      <c r="O108" s="249"/>
      <c r="P108" s="247"/>
      <c r="R108" s="250"/>
      <c r="U108" s="247"/>
      <c r="V108" s="247"/>
      <c r="W108" s="247"/>
      <c r="X108" s="247"/>
      <c r="Y108" s="247"/>
      <c r="Z108" s="247"/>
      <c r="AA108" s="250"/>
      <c r="AC108" s="282">
        <f>IF(AC109&gt;=0,ROUNDDOWN(AC109,0),ROUNDUP(AC109,0))</f>
        <v>6</v>
      </c>
      <c r="AD108" s="284">
        <f>IF(AD107=400,VLOOKUP(AC108,$AH$700:$AK$748,4),IF(AD107=350,VLOOKUP(AC108,$AH$650:$AK$698,4),IF(AD107=325,VLOOKUP(AC108,$AH$598:$AK$648,4),IF(AD107=300,VLOOKUP(AC108,$AH$544:$AK$596,4),IF(AD107=275,VLOOKUP(AC108,$AH$488:$AK$542,4),IF(AD107=250,VLOOKUP(AC108,$AH$431:$AK$486,4),IF(AD107=225,VLOOKUP(AC108,$AH$379:$AK$429,4),IF(AD107=200,VLOOKUP(AC108,$AH$319:$AK$377,4),IF(AD107=175,VLOOKUP(AC108,$AH$256:$AK$317,4),IF(AD107=150,VLOOKUP(AC108,$AH$192:$AK$254,4),IF(AD107=125,VLOOKUP(AC108,$AH$126:$AK$190,4),IF(AD107=100,VLOOKUP(AC108,$AH$81:$AK$124,4),IF(AD107=75,VLOOKUP(AC108,$AH$39:$AK$79,4),IF(AD107=50,VLOOKUP(AC108,$AH$3:$AK$37,4)))))))))))))))</f>
        <v>181.79999999999998</v>
      </c>
      <c r="AE108" s="285">
        <f>IFERROR((AE107-AD107)/(AF107-AD107)*(AF108-AD108)+AD108,"")</f>
        <v>176.93999999999997</v>
      </c>
      <c r="AF108" s="284">
        <f>IF(AF107=400,VLOOKUP(AC108,$AH$700:$AK$748,4),IF(AF107=350,VLOOKUP(AC108,$AH$650:$AK$698,4),IF(AF107=325,VLOOKUP(AC108,$AH$598:$AK$648,4),IF(AF107=300,VLOOKUP(AC108,$AH$544:$AK$596,4),IF(AF107=275,VLOOKUP(AC108,$AH$488:$AK$542,4),IF(AF107=250,VLOOKUP(AC108,$AH$431:$AK$486,4),IF(AF107=225,VLOOKUP(AC108,$AH$379:$AK$429,4),IF(AF107=200,VLOOKUP(AC108,$AH$319:$AK$377,4),IF(AF107=175,VLOOKUP(AC108,$AH$256:$AK$317,4),IF(AF107=150,VLOOKUP(AC108,$AH$192:$AK$254,4),IF(AF107=125,VLOOKUP(AC108,$AH$126:$AK$190,4),IF(AF107=100,VLOOKUP(AC108,$AH$81:$AK$124,4),IF(AF107=75,VLOOKUP(AC108,$AH$39:$AK$79,4),IF(AF107=50,VLOOKUP(AC108,$AH$3:$AK$37,4)))))))))))))))</f>
        <v>166.79999999999998</v>
      </c>
      <c r="AH108" s="258">
        <f t="shared" si="17"/>
        <v>21</v>
      </c>
      <c r="AI108" s="258">
        <f t="shared" si="17"/>
        <v>100</v>
      </c>
      <c r="AJ108" s="259" t="str">
        <f t="shared" si="17"/>
        <v>4/0</v>
      </c>
      <c r="AK108" s="260">
        <f t="shared" si="18"/>
        <v>307.2</v>
      </c>
      <c r="AL108" s="226"/>
      <c r="AM108" s="258">
        <v>21</v>
      </c>
      <c r="AN108" s="258">
        <v>100</v>
      </c>
      <c r="AO108" s="262" t="s">
        <v>179</v>
      </c>
      <c r="AP108" s="260">
        <v>512</v>
      </c>
    </row>
    <row r="109" spans="9:42" ht="20.100000000000001" customHeight="1" x14ac:dyDescent="0.25">
      <c r="I109" s="246"/>
      <c r="K109" s="247"/>
      <c r="L109" s="247"/>
      <c r="M109" s="247"/>
      <c r="N109" s="248"/>
      <c r="O109" s="249"/>
      <c r="P109" s="247"/>
      <c r="R109" s="250"/>
      <c r="U109" s="247"/>
      <c r="V109" s="247"/>
      <c r="W109" s="247"/>
      <c r="X109" s="247"/>
      <c r="Y109" s="247"/>
      <c r="Z109" s="247"/>
      <c r="AA109" s="250"/>
      <c r="AB109" s="287" t="s">
        <v>248</v>
      </c>
      <c r="AC109" s="288">
        <f>AB105</f>
        <v>6.9</v>
      </c>
      <c r="AD109" s="285">
        <f>IFERROR((AC109-AC108)/(AC110-AC108)*(AD110-AD108)+AD108,"")</f>
        <v>190.98</v>
      </c>
      <c r="AE109" s="278">
        <f>IFERROR((AE107-AF107)/(AD107-AF107)*(AD109-AF109)+AF109,"")</f>
        <v>186.29496</v>
      </c>
      <c r="AF109" s="285">
        <f>IFERROR((AC109-AC108)/(AC110-AC108)*(AF110-AF108)+AF108,"")</f>
        <v>176.52</v>
      </c>
      <c r="AH109" s="258">
        <f t="shared" si="17"/>
        <v>22</v>
      </c>
      <c r="AI109" s="258">
        <f t="shared" si="17"/>
        <v>100</v>
      </c>
      <c r="AJ109" s="259" t="str">
        <f t="shared" si="17"/>
        <v>4/0</v>
      </c>
      <c r="AK109" s="260">
        <f t="shared" si="18"/>
        <v>318</v>
      </c>
      <c r="AL109" s="226"/>
      <c r="AM109" s="258">
        <v>22</v>
      </c>
      <c r="AN109" s="258">
        <v>100</v>
      </c>
      <c r="AO109" s="262" t="s">
        <v>179</v>
      </c>
      <c r="AP109" s="260">
        <v>530</v>
      </c>
    </row>
    <row r="110" spans="9:42" ht="20.100000000000001" customHeight="1" x14ac:dyDescent="0.25">
      <c r="I110" s="246"/>
      <c r="K110" s="247"/>
      <c r="L110" s="247"/>
      <c r="M110" s="247"/>
      <c r="N110" s="248"/>
      <c r="O110" s="249"/>
      <c r="P110" s="247"/>
      <c r="R110" s="250"/>
      <c r="U110" s="247"/>
      <c r="V110" s="247"/>
      <c r="W110" s="247"/>
      <c r="X110" s="247"/>
      <c r="Y110" s="247"/>
      <c r="Z110" s="247"/>
      <c r="AA110" s="250"/>
      <c r="AC110" s="282">
        <f>IF(AC109&gt;=0,ROUNDUP(AC109,0),ROUNDDOWN(AC109,0))</f>
        <v>7</v>
      </c>
      <c r="AD110" s="284">
        <f>IF(AD107=400,VLOOKUP(AC110,$AH$700:$AK$748,4),IF(AD107=350,VLOOKUP(AC110,$AH$650:$AK$698,4),IF(AD107=325,VLOOKUP(AC110,$AH$598:$AK$648,4),IF(AD107=300,VLOOKUP(AC110,$AH$544:$AK$596,4),IF(AD107=275,VLOOKUP(AC110,$AH$488:$AK$542,4),IF(AD107=250,VLOOKUP(AC110,$AH$431:$AK$486,4),IF(AD107=225,VLOOKUP(AC110,$AH$379:$AK$429,4),IF(AD107=200,VLOOKUP(AC110,$AH$319:$AK$377,4),IF(AD107=175,VLOOKUP(AC110,$AH$256:$AK$317,4),IF(AD107=150,VLOOKUP(AC110,$AH$192:$AK$254,4),IF(AD107=125,VLOOKUP(AC110,$AH$126:$AK$190,4),IF(AD107=100,VLOOKUP(AC110,$AH$81:$AK$124,4),IF(AD107=75,VLOOKUP(AC110,$AH$39:$AK$79,4),IF(AD107=50,VLOOKUP(AC110,$AH$3:$AK$37,4)))))))))))))))</f>
        <v>192</v>
      </c>
      <c r="AE110" s="285">
        <f>IFERROR((AE107-AD107)/(AF107-AD107)*(AF110-AD110)+AD110,"")</f>
        <v>187.33439999999999</v>
      </c>
      <c r="AF110" s="284">
        <f>IF(AF107=400,VLOOKUP(AC110,$AH$700:$AK$748,4),IF(AF107=350,VLOOKUP(AC110,$AH$650:$AK$698,4),IF(AF107=325,VLOOKUP(AC110,$AH$598:$AK$648,4),IF(AF107=300,VLOOKUP(AC110,$AH$544:$AK$596,4),IF(AF107=275,VLOOKUP(AC110,$AH$488:$AK$542,4),IF(AF107=250,VLOOKUP(AC110,$AH$431:$AK$486,4),IF(AF107=225,VLOOKUP(AC110,$AH$379:$AK$429,4),IF(AF107=200,VLOOKUP(AC110,$AH$319:$AK$377,4),IF(AF107=175,VLOOKUP(AC110,$AH$256:$AK$317,4),IF(AF107=150,VLOOKUP(AC110,$AH$192:$AK$254,4),IF(AF107=125,VLOOKUP(AC110,$AH$126:$AK$190,4),IF(AF107=100,VLOOKUP(AC110,$AH$81:$AK$124,4),IF(AF107=75,VLOOKUP(AC110,$AH$39:$AK$79,4),IF(AF107=50,VLOOKUP(AC110,$AH$3:$AK$37,4)))))))))))))))</f>
        <v>177.6</v>
      </c>
      <c r="AH110" s="258">
        <f t="shared" si="17"/>
        <v>23</v>
      </c>
      <c r="AI110" s="258">
        <f t="shared" si="17"/>
        <v>100</v>
      </c>
      <c r="AJ110" s="259" t="str">
        <f t="shared" si="17"/>
        <v>4/0</v>
      </c>
      <c r="AK110" s="260">
        <f t="shared" si="18"/>
        <v>328.2</v>
      </c>
      <c r="AL110" s="226"/>
      <c r="AM110" s="258">
        <v>23</v>
      </c>
      <c r="AN110" s="258">
        <v>100</v>
      </c>
      <c r="AO110" s="262" t="s">
        <v>179</v>
      </c>
      <c r="AP110" s="260">
        <v>547</v>
      </c>
    </row>
    <row r="111" spans="9:42" ht="20.100000000000001" customHeight="1" x14ac:dyDescent="0.25">
      <c r="I111" s="246"/>
      <c r="K111" s="247"/>
      <c r="L111" s="247"/>
      <c r="M111" s="247"/>
      <c r="N111" s="248"/>
      <c r="O111" s="249"/>
      <c r="P111" s="247"/>
      <c r="R111" s="250"/>
      <c r="U111" s="247"/>
      <c r="V111" s="247"/>
      <c r="W111" s="247"/>
      <c r="X111" s="247"/>
      <c r="Y111" s="247"/>
      <c r="Z111" s="247"/>
      <c r="AA111" s="250"/>
      <c r="AD111" s="289">
        <f>IF(AD109&lt;&gt;"",AD109,AVERAGE(AD108:AD110))</f>
        <v>190.98</v>
      </c>
      <c r="AE111" s="289">
        <f>IF(AE109&lt;&gt;"",AE109,IF(SUM(AE108:AE110)=0,"",AVERAGE(AE108:AE110)))</f>
        <v>186.29496</v>
      </c>
      <c r="AF111" s="289">
        <f>IF(AF109&lt;&gt;"",AF109,AVERAGE(AF108:AF110))</f>
        <v>176.52</v>
      </c>
      <c r="AH111" s="258">
        <f t="shared" si="17"/>
        <v>24</v>
      </c>
      <c r="AI111" s="258">
        <f t="shared" si="17"/>
        <v>100</v>
      </c>
      <c r="AJ111" s="259" t="str">
        <f t="shared" si="17"/>
        <v>4/0</v>
      </c>
      <c r="AK111" s="260">
        <f t="shared" si="18"/>
        <v>339</v>
      </c>
      <c r="AL111" s="226"/>
      <c r="AM111" s="258">
        <v>24</v>
      </c>
      <c r="AN111" s="258">
        <v>100</v>
      </c>
      <c r="AO111" s="262" t="s">
        <v>179</v>
      </c>
      <c r="AP111" s="260">
        <v>565</v>
      </c>
    </row>
    <row r="112" spans="9:42" ht="20.100000000000001" customHeight="1" x14ac:dyDescent="0.25">
      <c r="I112" s="246"/>
      <c r="K112" s="247"/>
      <c r="L112" s="247"/>
      <c r="M112" s="247"/>
      <c r="N112" s="248"/>
      <c r="O112" s="249"/>
      <c r="P112" s="247"/>
      <c r="R112" s="250"/>
      <c r="U112" s="247"/>
      <c r="V112" s="247"/>
      <c r="W112" s="247"/>
      <c r="X112" s="247"/>
      <c r="Y112" s="247"/>
      <c r="Z112" s="247"/>
      <c r="AA112" s="250"/>
      <c r="AH112" s="258">
        <f t="shared" si="17"/>
        <v>25</v>
      </c>
      <c r="AI112" s="258">
        <f t="shared" si="17"/>
        <v>100</v>
      </c>
      <c r="AJ112" s="259" t="str">
        <f t="shared" si="17"/>
        <v>4/0</v>
      </c>
      <c r="AK112" s="260">
        <f t="shared" si="18"/>
        <v>349.2</v>
      </c>
      <c r="AL112" s="226"/>
      <c r="AM112" s="258">
        <v>25</v>
      </c>
      <c r="AN112" s="258">
        <v>100</v>
      </c>
      <c r="AO112" s="262" t="s">
        <v>179</v>
      </c>
      <c r="AP112" s="260">
        <v>582</v>
      </c>
    </row>
    <row r="113" spans="9:42" ht="20.100000000000001" customHeight="1" x14ac:dyDescent="0.25">
      <c r="I113" s="246"/>
      <c r="K113" s="247"/>
      <c r="L113" s="247"/>
      <c r="M113" s="247"/>
      <c r="N113" s="248"/>
      <c r="O113" s="249"/>
      <c r="P113" s="247"/>
      <c r="R113" s="250"/>
      <c r="U113" s="247"/>
      <c r="V113" s="247"/>
      <c r="W113" s="247"/>
      <c r="X113" s="247"/>
      <c r="Y113" s="247"/>
      <c r="Z113" s="247"/>
      <c r="AA113" s="250"/>
      <c r="AB113" s="257">
        <v>12</v>
      </c>
      <c r="AC113" s="226"/>
      <c r="AD113" s="226"/>
      <c r="AH113" s="258">
        <f t="shared" si="17"/>
        <v>26</v>
      </c>
      <c r="AI113" s="258">
        <f t="shared" si="17"/>
        <v>100</v>
      </c>
      <c r="AJ113" s="259" t="str">
        <f t="shared" si="17"/>
        <v>4/1</v>
      </c>
      <c r="AK113" s="260">
        <f t="shared" si="18"/>
        <v>347.4</v>
      </c>
      <c r="AL113" s="226"/>
      <c r="AM113" s="258">
        <v>26</v>
      </c>
      <c r="AN113" s="258">
        <v>100</v>
      </c>
      <c r="AO113" s="262" t="s">
        <v>250</v>
      </c>
      <c r="AP113" s="260">
        <v>579</v>
      </c>
    </row>
    <row r="114" spans="9:42" ht="20.100000000000001" customHeight="1" x14ac:dyDescent="0.25">
      <c r="I114" s="246"/>
      <c r="K114" s="247"/>
      <c r="L114" s="247"/>
      <c r="M114" s="247"/>
      <c r="N114" s="248"/>
      <c r="O114" s="249"/>
      <c r="P114" s="247"/>
      <c r="R114" s="250"/>
      <c r="U114" s="247"/>
      <c r="V114" s="247"/>
      <c r="W114" s="247"/>
      <c r="X114" s="247"/>
      <c r="Y114" s="247"/>
      <c r="Z114" s="247"/>
      <c r="AA114" s="250"/>
      <c r="AB114" s="241" t="s">
        <v>245</v>
      </c>
      <c r="AC114" s="241" t="s">
        <v>246</v>
      </c>
      <c r="AD114" s="241" t="s">
        <v>236</v>
      </c>
      <c r="AH114" s="258">
        <f t="shared" si="17"/>
        <v>27</v>
      </c>
      <c r="AI114" s="258">
        <f t="shared" si="17"/>
        <v>100</v>
      </c>
      <c r="AJ114" s="259" t="str">
        <f t="shared" si="17"/>
        <v>4/1</v>
      </c>
      <c r="AK114" s="260">
        <f t="shared" si="18"/>
        <v>358.2</v>
      </c>
      <c r="AL114" s="226"/>
      <c r="AM114" s="258">
        <v>27</v>
      </c>
      <c r="AN114" s="258">
        <v>100</v>
      </c>
      <c r="AO114" s="262" t="s">
        <v>250</v>
      </c>
      <c r="AP114" s="260">
        <v>597</v>
      </c>
    </row>
    <row r="115" spans="9:42" ht="20.100000000000001" customHeight="1" x14ac:dyDescent="0.25">
      <c r="I115" s="246"/>
      <c r="K115" s="247"/>
      <c r="L115" s="247"/>
      <c r="M115" s="247"/>
      <c r="N115" s="248"/>
      <c r="O115" s="249"/>
      <c r="P115" s="247"/>
      <c r="R115" s="250"/>
      <c r="U115" s="247"/>
      <c r="V115" s="247"/>
      <c r="W115" s="247"/>
      <c r="X115" s="247"/>
      <c r="Y115" s="247"/>
      <c r="Z115" s="247"/>
      <c r="AA115" s="250"/>
      <c r="AB115" s="276">
        <f>IF(I15="","",I15)</f>
        <v>6.6</v>
      </c>
      <c r="AC115" s="277">
        <f>IF(J15="","",J15)</f>
        <v>58.8</v>
      </c>
      <c r="AD115" s="278">
        <f>IF(OR(AB115="",AC115=""),"",IF(AE119&lt;&gt;"",AE121,AVERAGEIF(AD121:AF121,"&lt;&gt;0",AD121:AF121)))</f>
        <v>182.76671999999999</v>
      </c>
      <c r="AH115" s="258">
        <f t="shared" si="17"/>
        <v>28</v>
      </c>
      <c r="AI115" s="258">
        <f t="shared" si="17"/>
        <v>100</v>
      </c>
      <c r="AJ115" s="259" t="str">
        <f t="shared" si="17"/>
        <v>4/1</v>
      </c>
      <c r="AK115" s="260">
        <f t="shared" si="18"/>
        <v>368.4</v>
      </c>
      <c r="AL115" s="226"/>
      <c r="AM115" s="258">
        <v>28</v>
      </c>
      <c r="AN115" s="258">
        <v>100</v>
      </c>
      <c r="AO115" s="262" t="s">
        <v>250</v>
      </c>
      <c r="AP115" s="260">
        <v>614</v>
      </c>
    </row>
    <row r="116" spans="9:42" ht="20.100000000000001" customHeight="1" x14ac:dyDescent="0.25">
      <c r="I116" s="246"/>
      <c r="K116" s="247"/>
      <c r="L116" s="247"/>
      <c r="M116" s="247"/>
      <c r="N116" s="248"/>
      <c r="O116" s="249"/>
      <c r="P116" s="247"/>
      <c r="R116" s="250"/>
      <c r="U116" s="247"/>
      <c r="V116" s="247"/>
      <c r="W116" s="247"/>
      <c r="X116" s="247"/>
      <c r="Y116" s="247"/>
      <c r="Z116" s="247"/>
      <c r="AA116" s="250"/>
      <c r="AC116" s="250" t="s">
        <v>182</v>
      </c>
      <c r="AE116" s="279" t="s">
        <v>247</v>
      </c>
      <c r="AH116" s="258">
        <f t="shared" si="17"/>
        <v>29</v>
      </c>
      <c r="AI116" s="258">
        <f t="shared" si="17"/>
        <v>100</v>
      </c>
      <c r="AJ116" s="259" t="str">
        <f t="shared" si="17"/>
        <v>4/1</v>
      </c>
      <c r="AK116" s="260">
        <f t="shared" si="18"/>
        <v>379.2</v>
      </c>
      <c r="AL116" s="226"/>
      <c r="AM116" s="258">
        <v>29</v>
      </c>
      <c r="AN116" s="258">
        <v>100</v>
      </c>
      <c r="AO116" s="262" t="s">
        <v>250</v>
      </c>
      <c r="AP116" s="260">
        <v>632</v>
      </c>
    </row>
    <row r="117" spans="9:42" ht="20.100000000000001" customHeight="1" x14ac:dyDescent="0.25">
      <c r="I117" s="246"/>
      <c r="K117" s="247"/>
      <c r="L117" s="247"/>
      <c r="M117" s="247"/>
      <c r="N117" s="248"/>
      <c r="O117" s="249"/>
      <c r="P117" s="247"/>
      <c r="R117" s="250"/>
      <c r="U117" s="247"/>
      <c r="V117" s="247"/>
      <c r="W117" s="247"/>
      <c r="X117" s="247"/>
      <c r="Y117" s="247"/>
      <c r="Z117" s="247"/>
      <c r="AA117" s="250"/>
      <c r="AC117" s="281"/>
      <c r="AD117" s="282">
        <f>IF(AE117&gt;=400,400,IF(AE117&gt;=350,350,IF(AE117&gt;=325,325,IF(AE117&gt;=300,300,IF(AE117&gt;=275,275,IF(AE117&gt;=250,250,IF(AE117&gt;=225,225,IF(AE117&gt;=200,200,IF(AE117&gt;=175,175,IF(AE117&gt;=150,150,IF(AE117&gt;=125,125,IF(AE117&gt;=100,100,IF(AE117&gt;=75,75,50)))))))))))))</f>
        <v>50</v>
      </c>
      <c r="AE117" s="283">
        <f>AC115</f>
        <v>58.8</v>
      </c>
      <c r="AF117" s="282">
        <f>IF(AE117&lt;=50,50,IF(AE117&lt;=75,75,IF(AE117&lt;=100,100,IF(AE117&lt;=125,125,IF(AE117&lt;=150,150,IF(AE117&lt;=175,175,IF(AE117&lt;=200,200,IF(AE117&lt;=225,225,IF(AE117&lt;=250,250,IF(AE117&lt;=275,275,IF(AE117&lt;=300,300,IF(AE117&lt;=325,325,IF(AE117&lt;=350,350,400)))))))))))))</f>
        <v>75</v>
      </c>
      <c r="AH117" s="258">
        <f t="shared" si="17"/>
        <v>30</v>
      </c>
      <c r="AI117" s="258">
        <f t="shared" si="17"/>
        <v>100</v>
      </c>
      <c r="AJ117" s="259" t="str">
        <f t="shared" si="17"/>
        <v>4/1</v>
      </c>
      <c r="AK117" s="260">
        <f t="shared" si="18"/>
        <v>390</v>
      </c>
      <c r="AL117" s="226"/>
      <c r="AM117" s="258">
        <v>30</v>
      </c>
      <c r="AN117" s="258">
        <v>100</v>
      </c>
      <c r="AO117" s="262" t="s">
        <v>250</v>
      </c>
      <c r="AP117" s="260">
        <v>650</v>
      </c>
    </row>
    <row r="118" spans="9:42" ht="20.100000000000001" customHeight="1" x14ac:dyDescent="0.25">
      <c r="I118" s="246"/>
      <c r="K118" s="247"/>
      <c r="L118" s="247"/>
      <c r="M118" s="247"/>
      <c r="N118" s="248"/>
      <c r="O118" s="249"/>
      <c r="P118" s="247"/>
      <c r="R118" s="250"/>
      <c r="U118" s="247"/>
      <c r="V118" s="247"/>
      <c r="W118" s="247"/>
      <c r="X118" s="247"/>
      <c r="Y118" s="247"/>
      <c r="Z118" s="247"/>
      <c r="AA118" s="250"/>
      <c r="AC118" s="282">
        <f>IF(AC119&gt;=0,ROUNDDOWN(AC119,0),ROUNDUP(AC119,0))</f>
        <v>6</v>
      </c>
      <c r="AD118" s="284">
        <f>IF(AD117=400,VLOOKUP(AC118,$AH$700:$AK$748,4),IF(AD117=350,VLOOKUP(AC118,$AH$650:$AK$698,4),IF(AD117=325,VLOOKUP(AC118,$AH$598:$AK$648,4),IF(AD117=300,VLOOKUP(AC118,$AH$544:$AK$596,4),IF(AD117=275,VLOOKUP(AC118,$AH$488:$AK$542,4),IF(AD117=250,VLOOKUP(AC118,$AH$431:$AK$486,4),IF(AD117=225,VLOOKUP(AC118,$AH$379:$AK$429,4),IF(AD117=200,VLOOKUP(AC118,$AH$319:$AK$377,4),IF(AD117=175,VLOOKUP(AC118,$AH$256:$AK$317,4),IF(AD117=150,VLOOKUP(AC118,$AH$192:$AK$254,4),IF(AD117=125,VLOOKUP(AC118,$AH$126:$AK$190,4),IF(AD117=100,VLOOKUP(AC118,$AH$81:$AK$124,4),IF(AD117=75,VLOOKUP(AC118,$AH$39:$AK$79,4),IF(AD117=50,VLOOKUP(AC118,$AH$3:$AK$37,4)))))))))))))))</f>
        <v>181.79999999999998</v>
      </c>
      <c r="AE118" s="285">
        <f>IFERROR((AE117-AD117)/(AF117-AD117)*(AF118-AD118)+AD118,"")</f>
        <v>176.51999999999998</v>
      </c>
      <c r="AF118" s="284">
        <f>IF(AF117=400,VLOOKUP(AC118,$AH$700:$AK$748,4),IF(AF117=350,VLOOKUP(AC118,$AH$650:$AK$698,4),IF(AF117=325,VLOOKUP(AC118,$AH$598:$AK$648,4),IF(AF117=300,VLOOKUP(AC118,$AH$544:$AK$596,4),IF(AF117=275,VLOOKUP(AC118,$AH$488:$AK$542,4),IF(AF117=250,VLOOKUP(AC118,$AH$431:$AK$486,4),IF(AF117=225,VLOOKUP(AC118,$AH$379:$AK$429,4),IF(AF117=200,VLOOKUP(AC118,$AH$319:$AK$377,4),IF(AF117=175,VLOOKUP(AC118,$AH$256:$AK$317,4),IF(AF117=150,VLOOKUP(AC118,$AH$192:$AK$254,4),IF(AF117=125,VLOOKUP(AC118,$AH$126:$AK$190,4),IF(AF117=100,VLOOKUP(AC118,$AH$81:$AK$124,4),IF(AF117=75,VLOOKUP(AC118,$AH$39:$AK$79,4),IF(AF117=50,VLOOKUP(AC118,$AH$3:$AK$37,4)))))))))))))))</f>
        <v>166.79999999999998</v>
      </c>
      <c r="AH118" s="258">
        <f t="shared" si="17"/>
        <v>31</v>
      </c>
      <c r="AI118" s="258">
        <f t="shared" si="17"/>
        <v>100</v>
      </c>
      <c r="AJ118" s="259" t="str">
        <f t="shared" si="17"/>
        <v>4/1</v>
      </c>
      <c r="AK118" s="260">
        <f t="shared" si="18"/>
        <v>400.2</v>
      </c>
      <c r="AL118" s="226"/>
      <c r="AM118" s="258">
        <v>31</v>
      </c>
      <c r="AN118" s="258">
        <v>100</v>
      </c>
      <c r="AO118" s="262" t="s">
        <v>250</v>
      </c>
      <c r="AP118" s="260">
        <v>667</v>
      </c>
    </row>
    <row r="119" spans="9:42" ht="20.100000000000001" customHeight="1" x14ac:dyDescent="0.25">
      <c r="I119" s="246"/>
      <c r="K119" s="247"/>
      <c r="L119" s="247"/>
      <c r="M119" s="247"/>
      <c r="N119" s="248"/>
      <c r="O119" s="249"/>
      <c r="P119" s="247"/>
      <c r="R119" s="250"/>
      <c r="U119" s="247"/>
      <c r="V119" s="247"/>
      <c r="W119" s="247"/>
      <c r="X119" s="247"/>
      <c r="Y119" s="247"/>
      <c r="Z119" s="247"/>
      <c r="AA119" s="250"/>
      <c r="AB119" s="287" t="s">
        <v>248</v>
      </c>
      <c r="AC119" s="288">
        <f>AB115</f>
        <v>6.6</v>
      </c>
      <c r="AD119" s="285">
        <f>IFERROR((AC119-AC118)/(AC120-AC118)*(AD120-AD118)+AD118,"")</f>
        <v>187.92</v>
      </c>
      <c r="AE119" s="278">
        <f>IFERROR((AE117-AF117)/(AD117-AF117)*(AD119-AF119)+AF119,"")</f>
        <v>182.76671999999999</v>
      </c>
      <c r="AF119" s="285">
        <f>IFERROR((AC119-AC118)/(AC120-AC118)*(AF120-AF118)+AF118,"")</f>
        <v>173.27999999999997</v>
      </c>
      <c r="AH119" s="258">
        <f t="shared" si="17"/>
        <v>32</v>
      </c>
      <c r="AI119" s="258">
        <f t="shared" si="17"/>
        <v>100</v>
      </c>
      <c r="AJ119" s="259" t="str">
        <f t="shared" si="17"/>
        <v>4/2</v>
      </c>
      <c r="AK119" s="260">
        <f t="shared" si="18"/>
        <v>399.59999999999997</v>
      </c>
      <c r="AL119" s="226"/>
      <c r="AM119" s="258">
        <v>32</v>
      </c>
      <c r="AN119" s="258">
        <v>100</v>
      </c>
      <c r="AO119" s="262" t="s">
        <v>251</v>
      </c>
      <c r="AP119" s="260">
        <v>666</v>
      </c>
    </row>
    <row r="120" spans="9:42" ht="20.100000000000001" customHeight="1" x14ac:dyDescent="0.25">
      <c r="I120" s="246"/>
      <c r="K120" s="247"/>
      <c r="L120" s="247"/>
      <c r="M120" s="247"/>
      <c r="N120" s="248"/>
      <c r="O120" s="249"/>
      <c r="P120" s="247"/>
      <c r="R120" s="250"/>
      <c r="U120" s="247"/>
      <c r="V120" s="247"/>
      <c r="W120" s="247"/>
      <c r="X120" s="247"/>
      <c r="Y120" s="247"/>
      <c r="Z120" s="247"/>
      <c r="AA120" s="250"/>
      <c r="AC120" s="282">
        <f>IF(AC119&gt;=0,ROUNDUP(AC119,0),ROUNDDOWN(AC119,0))</f>
        <v>7</v>
      </c>
      <c r="AD120" s="284">
        <f>IF(AD117=400,VLOOKUP(AC120,$AH$700:$AK$748,4),IF(AD117=350,VLOOKUP(AC120,$AH$650:$AK$698,4),IF(AD117=325,VLOOKUP(AC120,$AH$598:$AK$648,4),IF(AD117=300,VLOOKUP(AC120,$AH$544:$AK$596,4),IF(AD117=275,VLOOKUP(AC120,$AH$488:$AK$542,4),IF(AD117=250,VLOOKUP(AC120,$AH$431:$AK$486,4),IF(AD117=225,VLOOKUP(AC120,$AH$379:$AK$429,4),IF(AD117=200,VLOOKUP(AC120,$AH$319:$AK$377,4),IF(AD117=175,VLOOKUP(AC120,$AH$256:$AK$317,4),IF(AD117=150,VLOOKUP(AC120,$AH$192:$AK$254,4),IF(AD117=125,VLOOKUP(AC120,$AH$126:$AK$190,4),IF(AD117=100,VLOOKUP(AC120,$AH$81:$AK$124,4),IF(AD117=75,VLOOKUP(AC120,$AH$39:$AK$79,4),IF(AD117=50,VLOOKUP(AC120,$AH$3:$AK$37,4)))))))))))))))</f>
        <v>192</v>
      </c>
      <c r="AE120" s="285">
        <f>IFERROR((AE117-AD117)/(AF117-AD117)*(AF120-AD120)+AD120,"")</f>
        <v>186.93119999999999</v>
      </c>
      <c r="AF120" s="284">
        <f>IF(AF117=400,VLOOKUP(AC120,$AH$700:$AK$748,4),IF(AF117=350,VLOOKUP(AC120,$AH$650:$AK$698,4),IF(AF117=325,VLOOKUP(AC120,$AH$598:$AK$648,4),IF(AF117=300,VLOOKUP(AC120,$AH$544:$AK$596,4),IF(AF117=275,VLOOKUP(AC120,$AH$488:$AK$542,4),IF(AF117=250,VLOOKUP(AC120,$AH$431:$AK$486,4),IF(AF117=225,VLOOKUP(AC120,$AH$379:$AK$429,4),IF(AF117=200,VLOOKUP(AC120,$AH$319:$AK$377,4),IF(AF117=175,VLOOKUP(AC120,$AH$256:$AK$317,4),IF(AF117=150,VLOOKUP(AC120,$AH$192:$AK$254,4),IF(AF117=125,VLOOKUP(AC120,$AH$126:$AK$190,4),IF(AF117=100,VLOOKUP(AC120,$AH$81:$AK$124,4),IF(AF117=75,VLOOKUP(AC120,$AH$39:$AK$79,4),IF(AF117=50,VLOOKUP(AC120,$AH$3:$AK$37,4)))))))))))))))</f>
        <v>177.6</v>
      </c>
      <c r="AH120" s="258">
        <f t="shared" si="17"/>
        <v>33</v>
      </c>
      <c r="AI120" s="258">
        <f t="shared" si="17"/>
        <v>100</v>
      </c>
      <c r="AJ120" s="259" t="str">
        <f t="shared" si="17"/>
        <v>4/2</v>
      </c>
      <c r="AK120" s="260">
        <f t="shared" si="18"/>
        <v>410.4</v>
      </c>
      <c r="AL120" s="226"/>
      <c r="AM120" s="258">
        <v>33</v>
      </c>
      <c r="AN120" s="258">
        <v>100</v>
      </c>
      <c r="AO120" s="262" t="s">
        <v>251</v>
      </c>
      <c r="AP120" s="260">
        <v>684</v>
      </c>
    </row>
    <row r="121" spans="9:42" ht="20.100000000000001" customHeight="1" x14ac:dyDescent="0.25">
      <c r="I121" s="246"/>
      <c r="K121" s="247"/>
      <c r="L121" s="247"/>
      <c r="M121" s="247"/>
      <c r="N121" s="248"/>
      <c r="O121" s="249"/>
      <c r="P121" s="247"/>
      <c r="R121" s="250"/>
      <c r="U121" s="247"/>
      <c r="V121" s="247"/>
      <c r="W121" s="247"/>
      <c r="X121" s="247"/>
      <c r="Y121" s="247"/>
      <c r="Z121" s="247"/>
      <c r="AA121" s="250"/>
      <c r="AD121" s="289">
        <f>IF(AD119&lt;&gt;"",AD119,AVERAGE(AD118:AD120))</f>
        <v>187.92</v>
      </c>
      <c r="AE121" s="289">
        <f>IF(AE119&lt;&gt;"",AE119,IF(SUM(AE118:AE120)=0,"",AVERAGE(AE118:AE120)))</f>
        <v>182.76671999999999</v>
      </c>
      <c r="AF121" s="289">
        <f>IF(AF119&lt;&gt;"",AF119,AVERAGE(AF118:AF120))</f>
        <v>173.27999999999997</v>
      </c>
      <c r="AH121" s="258">
        <f t="shared" si="17"/>
        <v>34</v>
      </c>
      <c r="AI121" s="258">
        <f t="shared" si="17"/>
        <v>100</v>
      </c>
      <c r="AJ121" s="259" t="str">
        <f t="shared" si="17"/>
        <v>4/2</v>
      </c>
      <c r="AK121" s="260">
        <f t="shared" si="18"/>
        <v>421.2</v>
      </c>
      <c r="AL121" s="226"/>
      <c r="AM121" s="258">
        <v>34</v>
      </c>
      <c r="AN121" s="258">
        <v>100</v>
      </c>
      <c r="AO121" s="262" t="s">
        <v>251</v>
      </c>
      <c r="AP121" s="260">
        <v>702</v>
      </c>
    </row>
    <row r="122" spans="9:42" ht="20.100000000000001" customHeight="1" x14ac:dyDescent="0.25">
      <c r="I122" s="246"/>
      <c r="K122" s="247"/>
      <c r="L122" s="247"/>
      <c r="M122" s="247"/>
      <c r="N122" s="248"/>
      <c r="O122" s="249"/>
      <c r="P122" s="247"/>
      <c r="R122" s="250"/>
      <c r="U122" s="247"/>
      <c r="V122" s="247"/>
      <c r="W122" s="247"/>
      <c r="X122" s="247"/>
      <c r="Y122" s="247"/>
      <c r="Z122" s="247"/>
      <c r="AA122" s="250"/>
      <c r="AH122" s="258">
        <f t="shared" si="17"/>
        <v>35</v>
      </c>
      <c r="AI122" s="258">
        <f t="shared" si="17"/>
        <v>100</v>
      </c>
      <c r="AJ122" s="259" t="str">
        <f t="shared" si="17"/>
        <v>4/2</v>
      </c>
      <c r="AK122" s="260">
        <f t="shared" si="18"/>
        <v>431.4</v>
      </c>
      <c r="AL122" s="226"/>
      <c r="AM122" s="258">
        <v>35</v>
      </c>
      <c r="AN122" s="258">
        <v>100</v>
      </c>
      <c r="AO122" s="262" t="s">
        <v>251</v>
      </c>
      <c r="AP122" s="260">
        <v>719</v>
      </c>
    </row>
    <row r="123" spans="9:42" ht="20.100000000000001" customHeight="1" x14ac:dyDescent="0.25">
      <c r="I123" s="246"/>
      <c r="K123" s="247"/>
      <c r="L123" s="247"/>
      <c r="M123" s="247"/>
      <c r="N123" s="248"/>
      <c r="O123" s="249"/>
      <c r="P123" s="247"/>
      <c r="R123" s="250"/>
      <c r="U123" s="247"/>
      <c r="V123" s="247"/>
      <c r="W123" s="247"/>
      <c r="X123" s="247"/>
      <c r="Y123" s="247"/>
      <c r="Z123" s="247"/>
      <c r="AA123" s="250"/>
      <c r="AB123" s="257">
        <v>13</v>
      </c>
      <c r="AC123" s="226"/>
      <c r="AD123" s="226"/>
      <c r="AH123" s="258">
        <f t="shared" si="17"/>
        <v>36</v>
      </c>
      <c r="AI123" s="258">
        <f t="shared" si="17"/>
        <v>100</v>
      </c>
      <c r="AJ123" s="259" t="str">
        <f t="shared" si="17"/>
        <v>4/2</v>
      </c>
      <c r="AK123" s="260">
        <f t="shared" si="18"/>
        <v>442.2</v>
      </c>
      <c r="AL123" s="226"/>
      <c r="AM123" s="258">
        <v>36</v>
      </c>
      <c r="AN123" s="258">
        <v>100</v>
      </c>
      <c r="AO123" s="262" t="s">
        <v>251</v>
      </c>
      <c r="AP123" s="260">
        <v>737</v>
      </c>
    </row>
    <row r="124" spans="9:42" ht="20.100000000000001" customHeight="1" x14ac:dyDescent="0.25">
      <c r="I124" s="246"/>
      <c r="K124" s="247"/>
      <c r="L124" s="247"/>
      <c r="M124" s="247"/>
      <c r="N124" s="248"/>
      <c r="O124" s="249"/>
      <c r="P124" s="247"/>
      <c r="R124" s="250"/>
      <c r="U124" s="247"/>
      <c r="V124" s="247"/>
      <c r="W124" s="247"/>
      <c r="X124" s="247"/>
      <c r="Y124" s="247"/>
      <c r="Z124" s="247"/>
      <c r="AA124" s="250"/>
      <c r="AB124" s="241" t="s">
        <v>245</v>
      </c>
      <c r="AC124" s="241" t="s">
        <v>246</v>
      </c>
      <c r="AD124" s="241" t="s">
        <v>236</v>
      </c>
      <c r="AH124" s="258">
        <f t="shared" si="17"/>
        <v>37</v>
      </c>
      <c r="AI124" s="258">
        <f t="shared" si="17"/>
        <v>100</v>
      </c>
      <c r="AJ124" s="259" t="str">
        <f t="shared" si="17"/>
        <v>4/2</v>
      </c>
      <c r="AK124" s="260">
        <f t="shared" si="18"/>
        <v>453</v>
      </c>
      <c r="AL124" s="226"/>
      <c r="AM124" s="258">
        <v>37</v>
      </c>
      <c r="AN124" s="258">
        <v>100</v>
      </c>
      <c r="AO124" s="262" t="s">
        <v>251</v>
      </c>
      <c r="AP124" s="260">
        <v>755</v>
      </c>
    </row>
    <row r="125" spans="9:42" ht="20.100000000000001" customHeight="1" x14ac:dyDescent="0.25">
      <c r="I125" s="246"/>
      <c r="K125" s="247"/>
      <c r="L125" s="247"/>
      <c r="M125" s="247"/>
      <c r="N125" s="248"/>
      <c r="O125" s="249"/>
      <c r="P125" s="247"/>
      <c r="R125" s="250"/>
      <c r="U125" s="247"/>
      <c r="V125" s="247"/>
      <c r="W125" s="247"/>
      <c r="X125" s="247"/>
      <c r="Y125" s="247"/>
      <c r="Z125" s="247"/>
      <c r="AA125" s="250"/>
      <c r="AB125" s="276">
        <f>IF(I16="","",I16)</f>
        <v>6.7</v>
      </c>
      <c r="AC125" s="277">
        <f>IF(J16="","",J16)</f>
        <v>61.5</v>
      </c>
      <c r="AD125" s="278">
        <f>IF(OR(AB125="",AC125=""),"",IF(AE129&lt;&gt;"",AE131,AVERAGEIF(AD131:AF131,"&lt;&gt;0",AD131:AF131)))</f>
        <v>182.23319999999998</v>
      </c>
      <c r="AH125" s="258" t="str">
        <f t="shared" si="17"/>
        <v>&gt;&gt;&gt;&gt;&gt;&gt;</v>
      </c>
      <c r="AI125" s="258"/>
      <c r="AJ125" s="259"/>
      <c r="AK125" s="260"/>
      <c r="AL125" s="226"/>
      <c r="AM125" s="258" t="s">
        <v>249</v>
      </c>
      <c r="AN125" s="258"/>
      <c r="AO125" s="262"/>
      <c r="AP125" s="260"/>
    </row>
    <row r="126" spans="9:42" ht="20.100000000000001" customHeight="1" x14ac:dyDescent="0.25">
      <c r="I126" s="246"/>
      <c r="K126" s="247"/>
      <c r="L126" s="247"/>
      <c r="M126" s="247"/>
      <c r="N126" s="248"/>
      <c r="O126" s="249"/>
      <c r="P126" s="247"/>
      <c r="R126" s="250"/>
      <c r="U126" s="247"/>
      <c r="V126" s="247"/>
      <c r="W126" s="247"/>
      <c r="X126" s="247"/>
      <c r="Y126" s="247"/>
      <c r="Z126" s="247"/>
      <c r="AA126" s="250"/>
      <c r="AC126" s="250" t="s">
        <v>182</v>
      </c>
      <c r="AE126" s="279" t="s">
        <v>247</v>
      </c>
      <c r="AH126" s="258">
        <f t="shared" si="17"/>
        <v>-4</v>
      </c>
      <c r="AI126" s="258">
        <f t="shared" si="17"/>
        <v>125</v>
      </c>
      <c r="AJ126" s="259" t="str">
        <f t="shared" si="17"/>
        <v>4/0</v>
      </c>
      <c r="AK126" s="260">
        <f t="shared" ref="AK126:AK162" si="19">(1-$AL$2)*AP126</f>
        <v>34.799999999999997</v>
      </c>
      <c r="AL126" s="226"/>
      <c r="AM126" s="258">
        <v>-4</v>
      </c>
      <c r="AN126" s="258">
        <v>125</v>
      </c>
      <c r="AO126" s="262" t="s">
        <v>179</v>
      </c>
      <c r="AP126" s="260">
        <v>58</v>
      </c>
    </row>
    <row r="127" spans="9:42" ht="20.100000000000001" customHeight="1" x14ac:dyDescent="0.25">
      <c r="I127" s="246"/>
      <c r="K127" s="247"/>
      <c r="L127" s="247"/>
      <c r="M127" s="247"/>
      <c r="N127" s="248"/>
      <c r="O127" s="249"/>
      <c r="P127" s="247"/>
      <c r="R127" s="250"/>
      <c r="U127" s="247"/>
      <c r="V127" s="247"/>
      <c r="W127" s="247"/>
      <c r="X127" s="247"/>
      <c r="Y127" s="247"/>
      <c r="Z127" s="247"/>
      <c r="AA127" s="250"/>
      <c r="AC127" s="281"/>
      <c r="AD127" s="282">
        <f>IF(AE127&gt;=400,400,IF(AE127&gt;=350,350,IF(AE127&gt;=325,325,IF(AE127&gt;=300,300,IF(AE127&gt;=275,275,IF(AE127&gt;=250,250,IF(AE127&gt;=225,225,IF(AE127&gt;=200,200,IF(AE127&gt;=175,175,IF(AE127&gt;=150,150,IF(AE127&gt;=125,125,IF(AE127&gt;=100,100,IF(AE127&gt;=75,75,50)))))))))))))</f>
        <v>50</v>
      </c>
      <c r="AE127" s="283">
        <f>AC125</f>
        <v>61.5</v>
      </c>
      <c r="AF127" s="282">
        <f>IF(AE127&lt;=50,50,IF(AE127&lt;=75,75,IF(AE127&lt;=100,100,IF(AE127&lt;=125,125,IF(AE127&lt;=150,150,IF(AE127&lt;=175,175,IF(AE127&lt;=200,200,IF(AE127&lt;=225,225,IF(AE127&lt;=250,250,IF(AE127&lt;=275,275,IF(AE127&lt;=300,300,IF(AE127&lt;=325,325,IF(AE127&lt;=350,350,400)))))))))))))</f>
        <v>75</v>
      </c>
      <c r="AH127" s="258">
        <f t="shared" si="17"/>
        <v>-3</v>
      </c>
      <c r="AI127" s="258">
        <f t="shared" si="17"/>
        <v>125</v>
      </c>
      <c r="AJ127" s="259" t="str">
        <f t="shared" si="17"/>
        <v>4/0</v>
      </c>
      <c r="AK127" s="260">
        <f t="shared" si="19"/>
        <v>45.6</v>
      </c>
      <c r="AL127" s="226"/>
      <c r="AM127" s="258">
        <v>-3</v>
      </c>
      <c r="AN127" s="258">
        <v>125</v>
      </c>
      <c r="AO127" s="262" t="s">
        <v>179</v>
      </c>
      <c r="AP127" s="260">
        <v>76</v>
      </c>
    </row>
    <row r="128" spans="9:42" ht="20.100000000000001" customHeight="1" x14ac:dyDescent="0.25">
      <c r="I128" s="246"/>
      <c r="K128" s="247"/>
      <c r="L128" s="247"/>
      <c r="M128" s="247"/>
      <c r="N128" s="248"/>
      <c r="O128" s="249"/>
      <c r="P128" s="247"/>
      <c r="R128" s="250"/>
      <c r="U128" s="247"/>
      <c r="V128" s="247"/>
      <c r="W128" s="247"/>
      <c r="X128" s="247"/>
      <c r="Y128" s="247"/>
      <c r="Z128" s="247"/>
      <c r="AA128" s="250"/>
      <c r="AC128" s="282">
        <f>IF(AC129&gt;=0,ROUNDDOWN(AC129,0),ROUNDUP(AC129,0))</f>
        <v>6</v>
      </c>
      <c r="AD128" s="284">
        <f>IF(AD127=400,VLOOKUP(AC128,$AH$700:$AK$748,4),IF(AD127=350,VLOOKUP(AC128,$AH$650:$AK$698,4),IF(AD127=325,VLOOKUP(AC128,$AH$598:$AK$648,4),IF(AD127=300,VLOOKUP(AC128,$AH$544:$AK$596,4),IF(AD127=275,VLOOKUP(AC128,$AH$488:$AK$542,4),IF(AD127=250,VLOOKUP(AC128,$AH$431:$AK$486,4),IF(AD127=225,VLOOKUP(AC128,$AH$379:$AK$429,4),IF(AD127=200,VLOOKUP(AC128,$AH$319:$AK$377,4),IF(AD127=175,VLOOKUP(AC128,$AH$256:$AK$317,4),IF(AD127=150,VLOOKUP(AC128,$AH$192:$AK$254,4),IF(AD127=125,VLOOKUP(AC128,$AH$126:$AK$190,4),IF(AD127=100,VLOOKUP(AC128,$AH$81:$AK$124,4),IF(AD127=75,VLOOKUP(AC128,$AH$39:$AK$79,4),IF(AD127=50,VLOOKUP(AC128,$AH$3:$AK$37,4)))))))))))))))</f>
        <v>181.79999999999998</v>
      </c>
      <c r="AE128" s="285">
        <f>IFERROR((AE127-AD127)/(AF127-AD127)*(AF128-AD128)+AD128,"")</f>
        <v>174.89999999999998</v>
      </c>
      <c r="AF128" s="284">
        <f>IF(AF127=400,VLOOKUP(AC128,$AH$700:$AK$748,4),IF(AF127=350,VLOOKUP(AC128,$AH$650:$AK$698,4),IF(AF127=325,VLOOKUP(AC128,$AH$598:$AK$648,4),IF(AF127=300,VLOOKUP(AC128,$AH$544:$AK$596,4),IF(AF127=275,VLOOKUP(AC128,$AH$488:$AK$542,4),IF(AF127=250,VLOOKUP(AC128,$AH$431:$AK$486,4),IF(AF127=225,VLOOKUP(AC128,$AH$379:$AK$429,4),IF(AF127=200,VLOOKUP(AC128,$AH$319:$AK$377,4),IF(AF127=175,VLOOKUP(AC128,$AH$256:$AK$317,4),IF(AF127=150,VLOOKUP(AC128,$AH$192:$AK$254,4),IF(AF127=125,VLOOKUP(AC128,$AH$126:$AK$190,4),IF(AF127=100,VLOOKUP(AC128,$AH$81:$AK$124,4),IF(AF127=75,VLOOKUP(AC128,$AH$39:$AK$79,4),IF(AF127=50,VLOOKUP(AC128,$AH$3:$AK$37,4)))))))))))))))</f>
        <v>166.79999999999998</v>
      </c>
      <c r="AH128" s="258">
        <f t="shared" si="17"/>
        <v>-2</v>
      </c>
      <c r="AI128" s="258">
        <f t="shared" si="17"/>
        <v>125</v>
      </c>
      <c r="AJ128" s="259" t="str">
        <f t="shared" si="17"/>
        <v>4/0</v>
      </c>
      <c r="AK128" s="260">
        <f t="shared" si="19"/>
        <v>56.4</v>
      </c>
      <c r="AL128" s="226"/>
      <c r="AM128" s="258">
        <v>-2</v>
      </c>
      <c r="AN128" s="258">
        <v>125</v>
      </c>
      <c r="AO128" s="262" t="s">
        <v>179</v>
      </c>
      <c r="AP128" s="260">
        <v>94</v>
      </c>
    </row>
    <row r="129" spans="9:42" ht="20.100000000000001" customHeight="1" x14ac:dyDescent="0.25">
      <c r="I129" s="246"/>
      <c r="K129" s="247"/>
      <c r="L129" s="247"/>
      <c r="M129" s="247"/>
      <c r="N129" s="248"/>
      <c r="O129" s="249"/>
      <c r="P129" s="247"/>
      <c r="R129" s="250"/>
      <c r="U129" s="247"/>
      <c r="V129" s="247"/>
      <c r="W129" s="247"/>
      <c r="X129" s="247"/>
      <c r="Y129" s="247"/>
      <c r="Z129" s="247"/>
      <c r="AA129" s="250"/>
      <c r="AB129" s="287" t="s">
        <v>248</v>
      </c>
      <c r="AC129" s="288">
        <f>AB125</f>
        <v>6.7</v>
      </c>
      <c r="AD129" s="285">
        <f>IFERROR((AC129-AC128)/(AC130-AC128)*(AD130-AD128)+AD128,"")</f>
        <v>188.94</v>
      </c>
      <c r="AE129" s="278">
        <f>IFERROR((AE127-AF127)/(AD127-AF127)*(AD129-AF129)+AF129,"")</f>
        <v>182.23319999999998</v>
      </c>
      <c r="AF129" s="285">
        <f>IFERROR((AC129-AC128)/(AC130-AC128)*(AF130-AF128)+AF128,"")</f>
        <v>174.35999999999999</v>
      </c>
      <c r="AH129" s="258">
        <f t="shared" si="17"/>
        <v>-1</v>
      </c>
      <c r="AI129" s="258">
        <f t="shared" si="17"/>
        <v>125</v>
      </c>
      <c r="AJ129" s="259" t="str">
        <f t="shared" si="17"/>
        <v>4/0</v>
      </c>
      <c r="AK129" s="260">
        <f t="shared" si="19"/>
        <v>67.8</v>
      </c>
      <c r="AL129" s="226"/>
      <c r="AM129" s="258">
        <v>-1</v>
      </c>
      <c r="AN129" s="258">
        <v>125</v>
      </c>
      <c r="AO129" s="262" t="s">
        <v>179</v>
      </c>
      <c r="AP129" s="260">
        <v>113</v>
      </c>
    </row>
    <row r="130" spans="9:42" ht="20.100000000000001" customHeight="1" x14ac:dyDescent="0.25">
      <c r="I130" s="246"/>
      <c r="K130" s="247"/>
      <c r="L130" s="247"/>
      <c r="M130" s="247"/>
      <c r="N130" s="248"/>
      <c r="O130" s="249"/>
      <c r="P130" s="247"/>
      <c r="R130" s="250"/>
      <c r="U130" s="247"/>
      <c r="V130" s="247"/>
      <c r="W130" s="247"/>
      <c r="X130" s="247"/>
      <c r="Y130" s="247"/>
      <c r="Z130" s="247"/>
      <c r="AA130" s="250"/>
      <c r="AC130" s="282">
        <f>IF(AC129&gt;=0,ROUNDUP(AC129,0),ROUNDDOWN(AC129,0))</f>
        <v>7</v>
      </c>
      <c r="AD130" s="284">
        <f>IF(AD127=400,VLOOKUP(AC130,$AH$700:$AK$748,4),IF(AD127=350,VLOOKUP(AC130,$AH$650:$AK$698,4),IF(AD127=325,VLOOKUP(AC130,$AH$598:$AK$648,4),IF(AD127=300,VLOOKUP(AC130,$AH$544:$AK$596,4),IF(AD127=275,VLOOKUP(AC130,$AH$488:$AK$542,4),IF(AD127=250,VLOOKUP(AC130,$AH$431:$AK$486,4),IF(AD127=225,VLOOKUP(AC130,$AH$379:$AK$429,4),IF(AD127=200,VLOOKUP(AC130,$AH$319:$AK$377,4),IF(AD127=175,VLOOKUP(AC130,$AH$256:$AK$317,4),IF(AD127=150,VLOOKUP(AC130,$AH$192:$AK$254,4),IF(AD127=125,VLOOKUP(AC130,$AH$126:$AK$190,4),IF(AD127=100,VLOOKUP(AC130,$AH$81:$AK$124,4),IF(AD127=75,VLOOKUP(AC130,$AH$39:$AK$79,4),IF(AD127=50,VLOOKUP(AC130,$AH$3:$AK$37,4)))))))))))))))</f>
        <v>192</v>
      </c>
      <c r="AE130" s="285">
        <f>IFERROR((AE127-AD127)/(AF127-AD127)*(AF130-AD130)+AD130,"")</f>
        <v>185.376</v>
      </c>
      <c r="AF130" s="284">
        <f>IF(AF127=400,VLOOKUP(AC130,$AH$700:$AK$748,4),IF(AF127=350,VLOOKUP(AC130,$AH$650:$AK$698,4),IF(AF127=325,VLOOKUP(AC130,$AH$598:$AK$648,4),IF(AF127=300,VLOOKUP(AC130,$AH$544:$AK$596,4),IF(AF127=275,VLOOKUP(AC130,$AH$488:$AK$542,4),IF(AF127=250,VLOOKUP(AC130,$AH$431:$AK$486,4),IF(AF127=225,VLOOKUP(AC130,$AH$379:$AK$429,4),IF(AF127=200,VLOOKUP(AC130,$AH$319:$AK$377,4),IF(AF127=175,VLOOKUP(AC130,$AH$256:$AK$317,4),IF(AF127=150,VLOOKUP(AC130,$AH$192:$AK$254,4),IF(AF127=125,VLOOKUP(AC130,$AH$126:$AK$190,4),IF(AF127=100,VLOOKUP(AC130,$AH$81:$AK$124,4),IF(AF127=75,VLOOKUP(AC130,$AH$39:$AK$79,4),IF(AF127=50,VLOOKUP(AC130,$AH$3:$AK$37,4)))))))))))))))</f>
        <v>177.6</v>
      </c>
      <c r="AH130" s="258">
        <f t="shared" si="17"/>
        <v>0</v>
      </c>
      <c r="AI130" s="258">
        <f t="shared" si="17"/>
        <v>125</v>
      </c>
      <c r="AJ130" s="259" t="str">
        <f t="shared" si="17"/>
        <v>4/0</v>
      </c>
      <c r="AK130" s="260">
        <f t="shared" si="19"/>
        <v>78.599999999999994</v>
      </c>
      <c r="AL130" s="226"/>
      <c r="AM130" s="258">
        <v>0</v>
      </c>
      <c r="AN130" s="258">
        <v>125</v>
      </c>
      <c r="AO130" s="262" t="s">
        <v>179</v>
      </c>
      <c r="AP130" s="260">
        <v>131</v>
      </c>
    </row>
    <row r="131" spans="9:42" ht="20.100000000000001" customHeight="1" x14ac:dyDescent="0.25">
      <c r="I131" s="246"/>
      <c r="K131" s="247"/>
      <c r="L131" s="247"/>
      <c r="M131" s="247"/>
      <c r="N131" s="248"/>
      <c r="O131" s="249"/>
      <c r="P131" s="247"/>
      <c r="R131" s="250"/>
      <c r="U131" s="247"/>
      <c r="V131" s="247"/>
      <c r="W131" s="247"/>
      <c r="X131" s="247"/>
      <c r="Y131" s="247"/>
      <c r="Z131" s="247"/>
      <c r="AA131" s="250"/>
      <c r="AD131" s="289">
        <f>IF(AD129&lt;&gt;"",AD129,AVERAGE(AD128:AD130))</f>
        <v>188.94</v>
      </c>
      <c r="AE131" s="289">
        <f>IF(AE129&lt;&gt;"",AE129,IF(SUM(AE128:AE130)=0,"",AVERAGE(AE128:AE130)))</f>
        <v>182.23319999999998</v>
      </c>
      <c r="AF131" s="289">
        <f>IF(AF129&lt;&gt;"",AF129,AVERAGE(AF128:AF130))</f>
        <v>174.35999999999999</v>
      </c>
      <c r="AH131" s="258">
        <f t="shared" ref="AH131:AJ209" si="20">AM131</f>
        <v>1</v>
      </c>
      <c r="AI131" s="258">
        <f t="shared" si="20"/>
        <v>125</v>
      </c>
      <c r="AJ131" s="259" t="str">
        <f t="shared" si="20"/>
        <v>4/0</v>
      </c>
      <c r="AK131" s="260">
        <f t="shared" si="19"/>
        <v>88.8</v>
      </c>
      <c r="AL131" s="226"/>
      <c r="AM131" s="258">
        <v>1</v>
      </c>
      <c r="AN131" s="258">
        <v>125</v>
      </c>
      <c r="AO131" s="262" t="s">
        <v>179</v>
      </c>
      <c r="AP131" s="260">
        <v>148</v>
      </c>
    </row>
    <row r="132" spans="9:42" ht="20.100000000000001" customHeight="1" x14ac:dyDescent="0.25">
      <c r="I132" s="246"/>
      <c r="K132" s="247"/>
      <c r="L132" s="247"/>
      <c r="M132" s="247"/>
      <c r="N132" s="248"/>
      <c r="O132" s="249"/>
      <c r="P132" s="247"/>
      <c r="R132" s="250"/>
      <c r="U132" s="247"/>
      <c r="V132" s="247"/>
      <c r="W132" s="247"/>
      <c r="X132" s="247"/>
      <c r="Y132" s="247"/>
      <c r="Z132" s="247"/>
      <c r="AA132" s="250"/>
      <c r="AH132" s="258">
        <f t="shared" si="20"/>
        <v>2</v>
      </c>
      <c r="AI132" s="258">
        <f t="shared" si="20"/>
        <v>125</v>
      </c>
      <c r="AJ132" s="259" t="str">
        <f t="shared" si="20"/>
        <v>4/0</v>
      </c>
      <c r="AK132" s="260">
        <f t="shared" si="19"/>
        <v>98.399999999999991</v>
      </c>
      <c r="AL132" s="226"/>
      <c r="AM132" s="258">
        <v>2</v>
      </c>
      <c r="AN132" s="258">
        <v>125</v>
      </c>
      <c r="AO132" s="262" t="s">
        <v>179</v>
      </c>
      <c r="AP132" s="260">
        <v>164</v>
      </c>
    </row>
    <row r="133" spans="9:42" ht="20.100000000000001" customHeight="1" x14ac:dyDescent="0.25">
      <c r="I133" s="246"/>
      <c r="K133" s="247"/>
      <c r="L133" s="247"/>
      <c r="M133" s="247"/>
      <c r="N133" s="248"/>
      <c r="O133" s="249"/>
      <c r="P133" s="247"/>
      <c r="R133" s="250"/>
      <c r="U133" s="247"/>
      <c r="V133" s="247"/>
      <c r="W133" s="247"/>
      <c r="X133" s="247"/>
      <c r="Y133" s="247"/>
      <c r="Z133" s="247"/>
      <c r="AA133" s="250"/>
      <c r="AB133" s="257">
        <v>14</v>
      </c>
      <c r="AC133" s="226"/>
      <c r="AD133" s="226"/>
      <c r="AH133" s="258">
        <f t="shared" si="20"/>
        <v>3</v>
      </c>
      <c r="AI133" s="258">
        <f t="shared" si="20"/>
        <v>125</v>
      </c>
      <c r="AJ133" s="259" t="str">
        <f t="shared" si="20"/>
        <v>4/0</v>
      </c>
      <c r="AK133" s="260">
        <f t="shared" si="19"/>
        <v>108.6</v>
      </c>
      <c r="AL133" s="226"/>
      <c r="AM133" s="258">
        <v>3</v>
      </c>
      <c r="AN133" s="258">
        <v>125</v>
      </c>
      <c r="AO133" s="262" t="s">
        <v>179</v>
      </c>
      <c r="AP133" s="260">
        <v>181</v>
      </c>
    </row>
    <row r="134" spans="9:42" ht="20.100000000000001" customHeight="1" x14ac:dyDescent="0.25">
      <c r="I134" s="246"/>
      <c r="K134" s="247"/>
      <c r="L134" s="247"/>
      <c r="M134" s="247"/>
      <c r="N134" s="248"/>
      <c r="O134" s="249"/>
      <c r="P134" s="247"/>
      <c r="R134" s="250"/>
      <c r="U134" s="247"/>
      <c r="V134" s="247"/>
      <c r="W134" s="247"/>
      <c r="X134" s="247"/>
      <c r="Y134" s="247"/>
      <c r="Z134" s="247"/>
      <c r="AA134" s="250"/>
      <c r="AB134" s="241" t="s">
        <v>245</v>
      </c>
      <c r="AC134" s="241" t="s">
        <v>246</v>
      </c>
      <c r="AD134" s="241" t="s">
        <v>236</v>
      </c>
      <c r="AH134" s="258">
        <f t="shared" si="20"/>
        <v>4</v>
      </c>
      <c r="AI134" s="258">
        <f t="shared" si="20"/>
        <v>125</v>
      </c>
      <c r="AJ134" s="259" t="str">
        <f t="shared" si="20"/>
        <v>4/0</v>
      </c>
      <c r="AK134" s="260">
        <f t="shared" si="19"/>
        <v>118.8</v>
      </c>
      <c r="AL134" s="226"/>
      <c r="AM134" s="258">
        <v>4</v>
      </c>
      <c r="AN134" s="258">
        <v>125</v>
      </c>
      <c r="AO134" s="262" t="s">
        <v>179</v>
      </c>
      <c r="AP134" s="260">
        <v>198</v>
      </c>
    </row>
    <row r="135" spans="9:42" ht="20.100000000000001" customHeight="1" x14ac:dyDescent="0.25">
      <c r="I135" s="246"/>
      <c r="K135" s="247"/>
      <c r="L135" s="247"/>
      <c r="M135" s="247"/>
      <c r="N135" s="248"/>
      <c r="O135" s="249"/>
      <c r="P135" s="247"/>
      <c r="R135" s="250"/>
      <c r="U135" s="247"/>
      <c r="V135" s="247"/>
      <c r="W135" s="247"/>
      <c r="X135" s="247"/>
      <c r="Y135" s="247"/>
      <c r="Z135" s="247"/>
      <c r="AA135" s="250"/>
      <c r="AB135" s="288">
        <f>IF(I17="","",I17)</f>
        <v>7.1</v>
      </c>
      <c r="AC135" s="283">
        <f>IF(J17="","",J17)</f>
        <v>62.6</v>
      </c>
      <c r="AD135" s="278">
        <f>IF(OR(AB135="",AC135=""),"",IF(AE139&lt;&gt;"",AE141,AVERAGEIF(AD141:AF141,"&lt;&gt;0",AD141:AF141)))</f>
        <v>185.79215999999997</v>
      </c>
      <c r="AH135" s="258">
        <f t="shared" si="20"/>
        <v>5</v>
      </c>
      <c r="AI135" s="258">
        <f t="shared" si="20"/>
        <v>125</v>
      </c>
      <c r="AJ135" s="259" t="str">
        <f t="shared" si="20"/>
        <v>4/0</v>
      </c>
      <c r="AK135" s="260">
        <f t="shared" si="19"/>
        <v>129</v>
      </c>
      <c r="AL135" s="226"/>
      <c r="AM135" s="258">
        <v>5</v>
      </c>
      <c r="AN135" s="258">
        <v>125</v>
      </c>
      <c r="AO135" s="262" t="s">
        <v>179</v>
      </c>
      <c r="AP135" s="260">
        <v>215</v>
      </c>
    </row>
    <row r="136" spans="9:42" ht="20.100000000000001" customHeight="1" x14ac:dyDescent="0.25">
      <c r="I136" s="246"/>
      <c r="K136" s="247"/>
      <c r="L136" s="247"/>
      <c r="M136" s="247"/>
      <c r="N136" s="248"/>
      <c r="O136" s="249"/>
      <c r="P136" s="247"/>
      <c r="R136" s="250"/>
      <c r="U136" s="247"/>
      <c r="V136" s="247"/>
      <c r="W136" s="247"/>
      <c r="X136" s="247"/>
      <c r="Y136" s="247"/>
      <c r="Z136" s="247"/>
      <c r="AA136" s="250"/>
      <c r="AC136" s="250" t="s">
        <v>182</v>
      </c>
      <c r="AE136" s="279" t="s">
        <v>247</v>
      </c>
      <c r="AH136" s="258">
        <f t="shared" si="20"/>
        <v>6</v>
      </c>
      <c r="AI136" s="258">
        <f t="shared" si="20"/>
        <v>125</v>
      </c>
      <c r="AJ136" s="259" t="str">
        <f t="shared" si="20"/>
        <v>4/0</v>
      </c>
      <c r="AK136" s="260">
        <f t="shared" si="19"/>
        <v>138.6</v>
      </c>
      <c r="AL136" s="226"/>
      <c r="AM136" s="258">
        <v>6</v>
      </c>
      <c r="AN136" s="258">
        <v>125</v>
      </c>
      <c r="AO136" s="262" t="s">
        <v>179</v>
      </c>
      <c r="AP136" s="260">
        <v>231</v>
      </c>
    </row>
    <row r="137" spans="9:42" ht="20.100000000000001" customHeight="1" x14ac:dyDescent="0.25">
      <c r="I137" s="246"/>
      <c r="K137" s="247"/>
      <c r="L137" s="247"/>
      <c r="M137" s="247"/>
      <c r="N137" s="248"/>
      <c r="O137" s="249"/>
      <c r="P137" s="247"/>
      <c r="R137" s="250"/>
      <c r="U137" s="247"/>
      <c r="V137" s="247"/>
      <c r="W137" s="247"/>
      <c r="X137" s="247"/>
      <c r="Y137" s="247"/>
      <c r="Z137" s="247"/>
      <c r="AA137" s="250"/>
      <c r="AC137" s="281"/>
      <c r="AD137" s="282">
        <f>IF(AE137&gt;=400,400,IF(AE137&gt;=350,350,IF(AE137&gt;=325,325,IF(AE137&gt;=300,300,IF(AE137&gt;=275,275,IF(AE137&gt;=250,250,IF(AE137&gt;=225,225,IF(AE137&gt;=200,200,IF(AE137&gt;=175,175,IF(AE137&gt;=150,150,IF(AE137&gt;=125,125,IF(AE137&gt;=100,100,IF(AE137&gt;=75,75,50)))))))))))))</f>
        <v>50</v>
      </c>
      <c r="AE137" s="283">
        <f>AC135</f>
        <v>62.6</v>
      </c>
      <c r="AF137" s="282">
        <f>IF(AE137&lt;=50,50,IF(AE137&lt;=75,75,IF(AE137&lt;=100,100,IF(AE137&lt;=125,125,IF(AE137&lt;=150,150,IF(AE137&lt;=175,175,IF(AE137&lt;=200,200,IF(AE137&lt;=225,225,IF(AE137&lt;=250,250,IF(AE137&lt;=275,275,IF(AE137&lt;=300,300,IF(AE137&lt;=325,325,IF(AE137&lt;=350,350,400)))))))))))))</f>
        <v>75</v>
      </c>
      <c r="AH137" s="258">
        <f t="shared" si="20"/>
        <v>7</v>
      </c>
      <c r="AI137" s="258">
        <f t="shared" si="20"/>
        <v>125</v>
      </c>
      <c r="AJ137" s="259" t="str">
        <f t="shared" si="20"/>
        <v>4/0</v>
      </c>
      <c r="AK137" s="260">
        <f t="shared" si="19"/>
        <v>148.79999999999998</v>
      </c>
      <c r="AL137" s="226"/>
      <c r="AM137" s="258">
        <v>7</v>
      </c>
      <c r="AN137" s="258">
        <v>125</v>
      </c>
      <c r="AO137" s="262" t="s">
        <v>179</v>
      </c>
      <c r="AP137" s="260">
        <v>248</v>
      </c>
    </row>
    <row r="138" spans="9:42" ht="20.100000000000001" customHeight="1" x14ac:dyDescent="0.25">
      <c r="I138" s="246"/>
      <c r="K138" s="247"/>
      <c r="L138" s="247"/>
      <c r="M138" s="247"/>
      <c r="N138" s="248"/>
      <c r="O138" s="249"/>
      <c r="P138" s="247"/>
      <c r="R138" s="250"/>
      <c r="U138" s="247"/>
      <c r="V138" s="247"/>
      <c r="W138" s="247"/>
      <c r="X138" s="247"/>
      <c r="Y138" s="247"/>
      <c r="Z138" s="247"/>
      <c r="AA138" s="250"/>
      <c r="AC138" s="282">
        <f>IF(AC139&gt;=0,ROUNDDOWN(AC139,0),ROUNDUP(AC139,0))</f>
        <v>7</v>
      </c>
      <c r="AD138" s="284">
        <f>IF(AD137=400,VLOOKUP(AC138,$AH$700:$AK$748,4),IF(AD137=350,VLOOKUP(AC138,$AH$650:$AK$698,4),IF(AD137=325,VLOOKUP(AC138,$AH$598:$AK$648,4),IF(AD137=300,VLOOKUP(AC138,$AH$544:$AK$596,4),IF(AD137=275,VLOOKUP(AC138,$AH$488:$AK$542,4),IF(AD137=250,VLOOKUP(AC138,$AH$431:$AK$486,4),IF(AD137=225,VLOOKUP(AC138,$AH$379:$AK$429,4),IF(AD137=200,VLOOKUP(AC138,$AH$319:$AK$377,4),IF(AD137=175,VLOOKUP(AC138,$AH$256:$AK$317,4),IF(AD137=150,VLOOKUP(AC138,$AH$192:$AK$254,4),IF(AD137=125,VLOOKUP(AC138,$AH$126:$AK$190,4),IF(AD137=100,VLOOKUP(AC138,$AH$81:$AK$124,4),IF(AD137=75,VLOOKUP(AC138,$AH$39:$AK$79,4),IF(AD137=50,VLOOKUP(AC138,$AH$3:$AK$37,4)))))))))))))))</f>
        <v>192</v>
      </c>
      <c r="AE138" s="285">
        <f>IFERROR((AE137-AD137)/(AF137-AD137)*(AF138-AD138)+AD138,"")</f>
        <v>184.7424</v>
      </c>
      <c r="AF138" s="284">
        <f>IF(AF137=400,VLOOKUP(AC138,$AH$700:$AK$748,4),IF(AF137=350,VLOOKUP(AC138,$AH$650:$AK$698,4),IF(AF137=325,VLOOKUP(AC138,$AH$598:$AK$648,4),IF(AF137=300,VLOOKUP(AC138,$AH$544:$AK$596,4),IF(AF137=275,VLOOKUP(AC138,$AH$488:$AK$542,4),IF(AF137=250,VLOOKUP(AC138,$AH$431:$AK$486,4),IF(AF137=225,VLOOKUP(AC138,$AH$379:$AK$429,4),IF(AF137=200,VLOOKUP(AC138,$AH$319:$AK$377,4),IF(AF137=175,VLOOKUP(AC138,$AH$256:$AK$317,4),IF(AF137=150,VLOOKUP(AC138,$AH$192:$AK$254,4),IF(AF137=125,VLOOKUP(AC138,$AH$126:$AK$190,4),IF(AF137=100,VLOOKUP(AC138,$AH$81:$AK$124,4),IF(AF137=75,VLOOKUP(AC138,$AH$39:$AK$79,4),IF(AF137=50,VLOOKUP(AC138,$AH$3:$AK$37,4)))))))))))))))</f>
        <v>177.6</v>
      </c>
      <c r="AH138" s="258">
        <f t="shared" si="20"/>
        <v>8</v>
      </c>
      <c r="AI138" s="258">
        <f t="shared" si="20"/>
        <v>125</v>
      </c>
      <c r="AJ138" s="259" t="str">
        <f t="shared" si="20"/>
        <v>4/0</v>
      </c>
      <c r="AK138" s="260">
        <f t="shared" si="19"/>
        <v>159</v>
      </c>
      <c r="AL138" s="226"/>
      <c r="AM138" s="258">
        <v>8</v>
      </c>
      <c r="AN138" s="258">
        <v>125</v>
      </c>
      <c r="AO138" s="262" t="s">
        <v>179</v>
      </c>
      <c r="AP138" s="260">
        <v>265</v>
      </c>
    </row>
    <row r="139" spans="9:42" ht="20.100000000000001" customHeight="1" x14ac:dyDescent="0.25">
      <c r="I139" s="246"/>
      <c r="K139" s="247"/>
      <c r="L139" s="247"/>
      <c r="M139" s="247"/>
      <c r="N139" s="248"/>
      <c r="O139" s="249"/>
      <c r="P139" s="247"/>
      <c r="R139" s="250"/>
      <c r="U139" s="247"/>
      <c r="V139" s="247"/>
      <c r="W139" s="247"/>
      <c r="X139" s="247"/>
      <c r="Y139" s="247"/>
      <c r="Z139" s="247"/>
      <c r="AA139" s="250"/>
      <c r="AB139" s="287" t="s">
        <v>248</v>
      </c>
      <c r="AC139" s="288">
        <f>AB135</f>
        <v>7.1</v>
      </c>
      <c r="AD139" s="285">
        <f>IFERROR((AC139-AC138)/(AC140-AC138)*(AD140-AD138)+AD138,"")</f>
        <v>193.07999999999998</v>
      </c>
      <c r="AE139" s="278">
        <f>IFERROR((AE137-AF137)/(AD137-AF137)*(AD139-AF139)+AF139,"")</f>
        <v>185.79215999999997</v>
      </c>
      <c r="AF139" s="285">
        <f>IFERROR((AC139-AC138)/(AC140-AC138)*(AF140-AF138)+AF138,"")</f>
        <v>178.61999999999998</v>
      </c>
      <c r="AH139" s="258">
        <f t="shared" si="20"/>
        <v>9</v>
      </c>
      <c r="AI139" s="258">
        <f t="shared" si="20"/>
        <v>125</v>
      </c>
      <c r="AJ139" s="259" t="str">
        <f t="shared" si="20"/>
        <v>4/0</v>
      </c>
      <c r="AK139" s="260">
        <f t="shared" si="19"/>
        <v>169.2</v>
      </c>
      <c r="AL139" s="226"/>
      <c r="AM139" s="258">
        <v>9</v>
      </c>
      <c r="AN139" s="258">
        <v>125</v>
      </c>
      <c r="AO139" s="262" t="s">
        <v>179</v>
      </c>
      <c r="AP139" s="260">
        <v>282</v>
      </c>
    </row>
    <row r="140" spans="9:42" ht="20.100000000000001" customHeight="1" x14ac:dyDescent="0.25">
      <c r="I140" s="246"/>
      <c r="K140" s="247"/>
      <c r="L140" s="247"/>
      <c r="M140" s="247"/>
      <c r="N140" s="248"/>
      <c r="O140" s="249"/>
      <c r="P140" s="247"/>
      <c r="R140" s="250"/>
      <c r="U140" s="247"/>
      <c r="V140" s="247"/>
      <c r="W140" s="247"/>
      <c r="X140" s="247"/>
      <c r="Y140" s="247"/>
      <c r="Z140" s="247"/>
      <c r="AA140" s="250"/>
      <c r="AC140" s="282">
        <f>IF(AC139&gt;=0,ROUNDUP(AC139,0),ROUNDDOWN(AC139,0))</f>
        <v>8</v>
      </c>
      <c r="AD140" s="284">
        <f>IF(AD137=400,VLOOKUP(AC140,$AH$700:$AK$748,4),IF(AD137=350,VLOOKUP(AC140,$AH$650:$AK$698,4),IF(AD137=325,VLOOKUP(AC140,$AH$598:$AK$648,4),IF(AD137=300,VLOOKUP(AC140,$AH$544:$AK$596,4),IF(AD137=275,VLOOKUP(AC140,$AH$488:$AK$542,4),IF(AD137=250,VLOOKUP(AC140,$AH$431:$AK$486,4),IF(AD137=225,VLOOKUP(AC140,$AH$379:$AK$429,4),IF(AD137=200,VLOOKUP(AC140,$AH$319:$AK$377,4),IF(AD137=175,VLOOKUP(AC140,$AH$256:$AK$317,4),IF(AD137=150,VLOOKUP(AC140,$AH$192:$AK$254,4),IF(AD137=125,VLOOKUP(AC140,$AH$126:$AK$190,4),IF(AD137=100,VLOOKUP(AC140,$AH$81:$AK$124,4),IF(AD137=75,VLOOKUP(AC140,$AH$39:$AK$79,4),IF(AD137=50,VLOOKUP(AC140,$AH$3:$AK$37,4)))))))))))))))</f>
        <v>202.79999999999998</v>
      </c>
      <c r="AE140" s="285">
        <f>IFERROR((AE137-AD137)/(AF137-AD137)*(AF140-AD140)+AD140,"")</f>
        <v>195.23999999999998</v>
      </c>
      <c r="AF140" s="284">
        <f>IF(AF137=400,VLOOKUP(AC140,$AH$700:$AK$748,4),IF(AF137=350,VLOOKUP(AC140,$AH$650:$AK$698,4),IF(AF137=325,VLOOKUP(AC140,$AH$598:$AK$648,4),IF(AF137=300,VLOOKUP(AC140,$AH$544:$AK$596,4),IF(AF137=275,VLOOKUP(AC140,$AH$488:$AK$542,4),IF(AF137=250,VLOOKUP(AC140,$AH$431:$AK$486,4),IF(AF137=225,VLOOKUP(AC140,$AH$379:$AK$429,4),IF(AF137=200,VLOOKUP(AC140,$AH$319:$AK$377,4),IF(AF137=175,VLOOKUP(AC140,$AH$256:$AK$317,4),IF(AF137=150,VLOOKUP(AC140,$AH$192:$AK$254,4),IF(AF137=125,VLOOKUP(AC140,$AH$126:$AK$190,4),IF(AF137=100,VLOOKUP(AC140,$AH$81:$AK$124,4),IF(AF137=75,VLOOKUP(AC140,$AH$39:$AK$79,4),IF(AF137=50,VLOOKUP(AC140,$AH$3:$AK$37,4)))))))))))))))</f>
        <v>187.79999999999998</v>
      </c>
      <c r="AH140" s="258">
        <f t="shared" si="20"/>
        <v>10</v>
      </c>
      <c r="AI140" s="258">
        <f t="shared" si="20"/>
        <v>125</v>
      </c>
      <c r="AJ140" s="259" t="str">
        <f t="shared" si="20"/>
        <v>4/0</v>
      </c>
      <c r="AK140" s="260">
        <f t="shared" si="19"/>
        <v>179.4</v>
      </c>
      <c r="AL140" s="226"/>
      <c r="AM140" s="258">
        <v>10</v>
      </c>
      <c r="AN140" s="258">
        <v>125</v>
      </c>
      <c r="AO140" s="262" t="s">
        <v>179</v>
      </c>
      <c r="AP140" s="260">
        <v>299</v>
      </c>
    </row>
    <row r="141" spans="9:42" ht="20.100000000000001" customHeight="1" x14ac:dyDescent="0.25">
      <c r="I141" s="246"/>
      <c r="K141" s="247"/>
      <c r="L141" s="247"/>
      <c r="M141" s="247"/>
      <c r="N141" s="248"/>
      <c r="O141" s="249"/>
      <c r="P141" s="247"/>
      <c r="R141" s="250"/>
      <c r="U141" s="247"/>
      <c r="V141" s="247"/>
      <c r="W141" s="247"/>
      <c r="X141" s="247"/>
      <c r="Y141" s="247"/>
      <c r="Z141" s="247"/>
      <c r="AA141" s="250"/>
      <c r="AD141" s="289">
        <f>IF(AD139&lt;&gt;"",AD139,AVERAGE(AD138:AD140))</f>
        <v>193.07999999999998</v>
      </c>
      <c r="AE141" s="289">
        <f>IF(AE139&lt;&gt;"",AE139,IF(SUM(AE138:AE140)=0,"",AVERAGE(AE138:AE140)))</f>
        <v>185.79215999999997</v>
      </c>
      <c r="AF141" s="289">
        <f>IF(AF139&lt;&gt;"",AF139,AVERAGE(AF138:AF140))</f>
        <v>178.61999999999998</v>
      </c>
      <c r="AH141" s="258">
        <f t="shared" si="20"/>
        <v>11</v>
      </c>
      <c r="AI141" s="258">
        <f t="shared" si="20"/>
        <v>125</v>
      </c>
      <c r="AJ141" s="259" t="str">
        <f t="shared" si="20"/>
        <v>4/0</v>
      </c>
      <c r="AK141" s="260">
        <f t="shared" si="19"/>
        <v>189.6</v>
      </c>
      <c r="AL141" s="226"/>
      <c r="AM141" s="258">
        <v>11</v>
      </c>
      <c r="AN141" s="258">
        <v>125</v>
      </c>
      <c r="AO141" s="262" t="s">
        <v>179</v>
      </c>
      <c r="AP141" s="260">
        <v>316</v>
      </c>
    </row>
    <row r="142" spans="9:42" ht="20.100000000000001" customHeight="1" x14ac:dyDescent="0.25">
      <c r="I142" s="246"/>
      <c r="K142" s="247"/>
      <c r="L142" s="247"/>
      <c r="M142" s="247"/>
      <c r="N142" s="248"/>
      <c r="O142" s="249"/>
      <c r="P142" s="247"/>
      <c r="R142" s="250"/>
      <c r="U142" s="247"/>
      <c r="V142" s="247"/>
      <c r="W142" s="247"/>
      <c r="X142" s="247"/>
      <c r="Y142" s="247"/>
      <c r="Z142" s="247"/>
      <c r="AA142" s="250"/>
      <c r="AH142" s="258">
        <f t="shared" si="20"/>
        <v>12</v>
      </c>
      <c r="AI142" s="258">
        <f t="shared" si="20"/>
        <v>125</v>
      </c>
      <c r="AJ142" s="259" t="str">
        <f t="shared" si="20"/>
        <v>4/0</v>
      </c>
      <c r="AK142" s="260">
        <f t="shared" si="19"/>
        <v>199.79999999999998</v>
      </c>
      <c r="AL142" s="226"/>
      <c r="AM142" s="258">
        <v>12</v>
      </c>
      <c r="AN142" s="258">
        <v>125</v>
      </c>
      <c r="AO142" s="262" t="s">
        <v>179</v>
      </c>
      <c r="AP142" s="260">
        <v>333</v>
      </c>
    </row>
    <row r="143" spans="9:42" ht="20.100000000000001" customHeight="1" x14ac:dyDescent="0.25">
      <c r="I143" s="246"/>
      <c r="K143" s="247"/>
      <c r="L143" s="247"/>
      <c r="M143" s="247"/>
      <c r="N143" s="248"/>
      <c r="O143" s="249"/>
      <c r="P143" s="247"/>
      <c r="R143" s="250"/>
      <c r="U143" s="247"/>
      <c r="V143" s="247"/>
      <c r="W143" s="247"/>
      <c r="X143" s="247"/>
      <c r="Y143" s="247"/>
      <c r="Z143" s="247"/>
      <c r="AA143" s="250"/>
      <c r="AB143" s="257">
        <v>15</v>
      </c>
      <c r="AC143" s="226"/>
      <c r="AD143" s="226"/>
      <c r="AH143" s="258">
        <f t="shared" si="20"/>
        <v>13</v>
      </c>
      <c r="AI143" s="258">
        <f t="shared" si="20"/>
        <v>125</v>
      </c>
      <c r="AJ143" s="259" t="str">
        <f t="shared" si="20"/>
        <v>4/0</v>
      </c>
      <c r="AK143" s="260">
        <f t="shared" si="19"/>
        <v>210</v>
      </c>
      <c r="AL143" s="226"/>
      <c r="AM143" s="258">
        <v>13</v>
      </c>
      <c r="AN143" s="258">
        <v>125</v>
      </c>
      <c r="AO143" s="262" t="s">
        <v>179</v>
      </c>
      <c r="AP143" s="260">
        <v>350</v>
      </c>
    </row>
    <row r="144" spans="9:42" ht="20.100000000000001" customHeight="1" x14ac:dyDescent="0.25">
      <c r="I144" s="246"/>
      <c r="K144" s="247"/>
      <c r="L144" s="247"/>
      <c r="M144" s="247"/>
      <c r="N144" s="248"/>
      <c r="O144" s="249"/>
      <c r="P144" s="247"/>
      <c r="R144" s="250"/>
      <c r="U144" s="247"/>
      <c r="V144" s="247"/>
      <c r="W144" s="247"/>
      <c r="X144" s="247"/>
      <c r="Y144" s="247"/>
      <c r="Z144" s="247"/>
      <c r="AA144" s="250"/>
      <c r="AB144" s="241" t="s">
        <v>245</v>
      </c>
      <c r="AC144" s="241" t="s">
        <v>246</v>
      </c>
      <c r="AD144" s="241" t="s">
        <v>236</v>
      </c>
      <c r="AH144" s="258">
        <f t="shared" si="20"/>
        <v>14</v>
      </c>
      <c r="AI144" s="258">
        <f t="shared" si="20"/>
        <v>125</v>
      </c>
      <c r="AJ144" s="259" t="str">
        <f t="shared" si="20"/>
        <v>4/0</v>
      </c>
      <c r="AK144" s="260">
        <f t="shared" si="19"/>
        <v>220.2</v>
      </c>
      <c r="AL144" s="226"/>
      <c r="AM144" s="258">
        <v>14</v>
      </c>
      <c r="AN144" s="258">
        <v>125</v>
      </c>
      <c r="AO144" s="262" t="s">
        <v>179</v>
      </c>
      <c r="AP144" s="260">
        <v>367</v>
      </c>
    </row>
    <row r="145" spans="9:42" ht="20.100000000000001" customHeight="1" x14ac:dyDescent="0.25">
      <c r="I145" s="246"/>
      <c r="K145" s="247"/>
      <c r="L145" s="247"/>
      <c r="M145" s="247"/>
      <c r="N145" s="248"/>
      <c r="O145" s="249"/>
      <c r="P145" s="247"/>
      <c r="R145" s="250"/>
      <c r="U145" s="247"/>
      <c r="V145" s="247"/>
      <c r="W145" s="247"/>
      <c r="X145" s="247"/>
      <c r="Y145" s="247"/>
      <c r="Z145" s="247"/>
      <c r="AA145" s="250"/>
      <c r="AB145" s="288">
        <f>IF(I18="","",I18)</f>
        <v>7.4</v>
      </c>
      <c r="AC145" s="283">
        <f>IF(J18="","",J18)</f>
        <v>62.8</v>
      </c>
      <c r="AD145" s="278">
        <f>IF(OR(AB145="",AC145=""),"",IF(AE149&lt;&gt;"",AE151,AVERAGEIF(AD151:AF151,"&lt;&gt;0",AD151:AF151)))</f>
        <v>188.82432</v>
      </c>
      <c r="AH145" s="258">
        <f t="shared" si="20"/>
        <v>15</v>
      </c>
      <c r="AI145" s="258">
        <f t="shared" si="20"/>
        <v>125</v>
      </c>
      <c r="AJ145" s="259" t="str">
        <f t="shared" si="20"/>
        <v>4/0</v>
      </c>
      <c r="AK145" s="260">
        <f t="shared" si="19"/>
        <v>230.39999999999998</v>
      </c>
      <c r="AL145" s="226"/>
      <c r="AM145" s="258">
        <v>15</v>
      </c>
      <c r="AN145" s="258">
        <v>125</v>
      </c>
      <c r="AO145" s="262" t="s">
        <v>179</v>
      </c>
      <c r="AP145" s="260">
        <v>384</v>
      </c>
    </row>
    <row r="146" spans="9:42" ht="20.100000000000001" customHeight="1" x14ac:dyDescent="0.25">
      <c r="I146" s="246"/>
      <c r="K146" s="247"/>
      <c r="L146" s="247"/>
      <c r="M146" s="247"/>
      <c r="N146" s="248"/>
      <c r="O146" s="249"/>
      <c r="P146" s="247"/>
      <c r="R146" s="250"/>
      <c r="U146" s="247"/>
      <c r="V146" s="247"/>
      <c r="W146" s="247"/>
      <c r="X146" s="247"/>
      <c r="Y146" s="247"/>
      <c r="Z146" s="247"/>
      <c r="AA146" s="250"/>
      <c r="AC146" s="250" t="s">
        <v>182</v>
      </c>
      <c r="AE146" s="279" t="s">
        <v>247</v>
      </c>
      <c r="AH146" s="258">
        <f t="shared" si="20"/>
        <v>16</v>
      </c>
      <c r="AI146" s="258">
        <f t="shared" si="20"/>
        <v>125</v>
      </c>
      <c r="AJ146" s="259" t="str">
        <f t="shared" si="20"/>
        <v>4/0</v>
      </c>
      <c r="AK146" s="260">
        <f t="shared" si="19"/>
        <v>241.79999999999998</v>
      </c>
      <c r="AL146" s="226"/>
      <c r="AM146" s="258">
        <v>16</v>
      </c>
      <c r="AN146" s="258">
        <v>125</v>
      </c>
      <c r="AO146" s="262" t="s">
        <v>179</v>
      </c>
      <c r="AP146" s="260">
        <v>403</v>
      </c>
    </row>
    <row r="147" spans="9:42" ht="20.100000000000001" customHeight="1" x14ac:dyDescent="0.25">
      <c r="I147" s="246"/>
      <c r="K147" s="247"/>
      <c r="L147" s="247"/>
      <c r="M147" s="247"/>
      <c r="N147" s="248"/>
      <c r="O147" s="249"/>
      <c r="P147" s="247"/>
      <c r="R147" s="250"/>
      <c r="U147" s="247"/>
      <c r="V147" s="247"/>
      <c r="W147" s="247"/>
      <c r="X147" s="247"/>
      <c r="Y147" s="247"/>
      <c r="Z147" s="247"/>
      <c r="AA147" s="250"/>
      <c r="AC147" s="281"/>
      <c r="AD147" s="282">
        <f>IF(AE147&gt;=400,400,IF(AE147&gt;=350,350,IF(AE147&gt;=325,325,IF(AE147&gt;=300,300,IF(AE147&gt;=275,275,IF(AE147&gt;=250,250,IF(AE147&gt;=225,225,IF(AE147&gt;=200,200,IF(AE147&gt;=175,175,IF(AE147&gt;=150,150,IF(AE147&gt;=125,125,IF(AE147&gt;=100,100,IF(AE147&gt;=75,75,50)))))))))))))</f>
        <v>50</v>
      </c>
      <c r="AE147" s="283">
        <f>AC145</f>
        <v>62.8</v>
      </c>
      <c r="AF147" s="282">
        <f>IF(AE147&lt;=50,50,IF(AE147&lt;=75,75,IF(AE147&lt;=100,100,IF(AE147&lt;=125,125,IF(AE147&lt;=150,150,IF(AE147&lt;=175,175,IF(AE147&lt;=200,200,IF(AE147&lt;=225,225,IF(AE147&lt;=250,250,IF(AE147&lt;=275,275,IF(AE147&lt;=300,300,IF(AE147&lt;=325,325,IF(AE147&lt;=350,350,400)))))))))))))</f>
        <v>75</v>
      </c>
      <c r="AH147" s="258">
        <f t="shared" si="20"/>
        <v>17</v>
      </c>
      <c r="AI147" s="258">
        <f t="shared" si="20"/>
        <v>125</v>
      </c>
      <c r="AJ147" s="259" t="str">
        <f t="shared" si="20"/>
        <v>4/0</v>
      </c>
      <c r="AK147" s="260">
        <f t="shared" si="19"/>
        <v>251.39999999999998</v>
      </c>
      <c r="AL147" s="226"/>
      <c r="AM147" s="258">
        <v>17</v>
      </c>
      <c r="AN147" s="258">
        <v>125</v>
      </c>
      <c r="AO147" s="262" t="s">
        <v>179</v>
      </c>
      <c r="AP147" s="260">
        <v>419</v>
      </c>
    </row>
    <row r="148" spans="9:42" ht="20.100000000000001" customHeight="1" x14ac:dyDescent="0.25">
      <c r="I148" s="246"/>
      <c r="K148" s="247"/>
      <c r="L148" s="247"/>
      <c r="M148" s="247"/>
      <c r="N148" s="248"/>
      <c r="O148" s="249"/>
      <c r="P148" s="247"/>
      <c r="R148" s="250"/>
      <c r="U148" s="247"/>
      <c r="V148" s="247"/>
      <c r="W148" s="247"/>
      <c r="X148" s="247"/>
      <c r="Y148" s="247"/>
      <c r="Z148" s="247"/>
      <c r="AA148" s="250"/>
      <c r="AC148" s="282">
        <f>IF(AC149&gt;=0,ROUNDDOWN(AC149,0),ROUNDUP(AC149,0))</f>
        <v>7</v>
      </c>
      <c r="AD148" s="284">
        <f>IF(AD147=400,VLOOKUP(AC148,$AH$700:$AK$748,4),IF(AD147=350,VLOOKUP(AC148,$AH$650:$AK$698,4),IF(AD147=325,VLOOKUP(AC148,$AH$598:$AK$648,4),IF(AD147=300,VLOOKUP(AC148,$AH$544:$AK$596,4),IF(AD147=275,VLOOKUP(AC148,$AH$488:$AK$542,4),IF(AD147=250,VLOOKUP(AC148,$AH$431:$AK$486,4),IF(AD147=225,VLOOKUP(AC148,$AH$379:$AK$429,4),IF(AD147=200,VLOOKUP(AC148,$AH$319:$AK$377,4),IF(AD147=175,VLOOKUP(AC148,$AH$256:$AK$317,4),IF(AD147=150,VLOOKUP(AC148,$AH$192:$AK$254,4),IF(AD147=125,VLOOKUP(AC148,$AH$126:$AK$190,4),IF(AD147=100,VLOOKUP(AC148,$AH$81:$AK$124,4),IF(AD147=75,VLOOKUP(AC148,$AH$39:$AK$79,4),IF(AD147=50,VLOOKUP(AC148,$AH$3:$AK$37,4)))))))))))))))</f>
        <v>192</v>
      </c>
      <c r="AE148" s="285">
        <f>IFERROR((AE147-AD147)/(AF147-AD147)*(AF148-AD148)+AD148,"")</f>
        <v>184.62719999999999</v>
      </c>
      <c r="AF148" s="284">
        <f>IF(AF147=400,VLOOKUP(AC148,$AH$700:$AK$748,4),IF(AF147=350,VLOOKUP(AC148,$AH$650:$AK$698,4),IF(AF147=325,VLOOKUP(AC148,$AH$598:$AK$648,4),IF(AF147=300,VLOOKUP(AC148,$AH$544:$AK$596,4),IF(AF147=275,VLOOKUP(AC148,$AH$488:$AK$542,4),IF(AF147=250,VLOOKUP(AC148,$AH$431:$AK$486,4),IF(AF147=225,VLOOKUP(AC148,$AH$379:$AK$429,4),IF(AF147=200,VLOOKUP(AC148,$AH$319:$AK$377,4),IF(AF147=175,VLOOKUP(AC148,$AH$256:$AK$317,4),IF(AF147=150,VLOOKUP(AC148,$AH$192:$AK$254,4),IF(AF147=125,VLOOKUP(AC148,$AH$126:$AK$190,4),IF(AF147=100,VLOOKUP(AC148,$AH$81:$AK$124,4),IF(AF147=75,VLOOKUP(AC148,$AH$39:$AK$79,4),IF(AF147=50,VLOOKUP(AC148,$AH$3:$AK$37,4)))))))))))))))</f>
        <v>177.6</v>
      </c>
      <c r="AH148" s="258">
        <f t="shared" si="20"/>
        <v>18</v>
      </c>
      <c r="AI148" s="258">
        <f t="shared" si="20"/>
        <v>125</v>
      </c>
      <c r="AJ148" s="259" t="str">
        <f t="shared" si="20"/>
        <v>4/1</v>
      </c>
      <c r="AK148" s="260">
        <f t="shared" si="19"/>
        <v>245.39999999999998</v>
      </c>
      <c r="AL148" s="226"/>
      <c r="AM148" s="258">
        <v>18</v>
      </c>
      <c r="AN148" s="258">
        <v>125</v>
      </c>
      <c r="AO148" s="262" t="s">
        <v>250</v>
      </c>
      <c r="AP148" s="260">
        <v>409</v>
      </c>
    </row>
    <row r="149" spans="9:42" ht="20.100000000000001" customHeight="1" x14ac:dyDescent="0.25">
      <c r="I149" s="246"/>
      <c r="K149" s="247"/>
      <c r="L149" s="247"/>
      <c r="M149" s="247"/>
      <c r="N149" s="248"/>
      <c r="O149" s="249"/>
      <c r="P149" s="247"/>
      <c r="R149" s="250"/>
      <c r="U149" s="247"/>
      <c r="V149" s="247"/>
      <c r="W149" s="247"/>
      <c r="X149" s="247"/>
      <c r="Y149" s="247"/>
      <c r="Z149" s="247"/>
      <c r="AA149" s="250"/>
      <c r="AB149" s="287" t="s">
        <v>248</v>
      </c>
      <c r="AC149" s="288">
        <f>AB145</f>
        <v>7.4</v>
      </c>
      <c r="AD149" s="285">
        <f>IFERROR((AC149-AC148)/(AC150-AC148)*(AD150-AD148)+AD148,"")</f>
        <v>196.32</v>
      </c>
      <c r="AE149" s="278">
        <f>IFERROR((AE147-AF147)/(AD147-AF147)*(AD149-AF149)+AF149,"")</f>
        <v>188.82432</v>
      </c>
      <c r="AF149" s="285">
        <f>IFERROR((AC149-AC148)/(AC150-AC148)*(AF150-AF148)+AF148,"")</f>
        <v>181.68</v>
      </c>
      <c r="AH149" s="258">
        <f t="shared" si="20"/>
        <v>19</v>
      </c>
      <c r="AI149" s="258">
        <f t="shared" si="20"/>
        <v>125</v>
      </c>
      <c r="AJ149" s="259" t="str">
        <f t="shared" si="20"/>
        <v>4/1</v>
      </c>
      <c r="AK149" s="260">
        <f t="shared" si="19"/>
        <v>256.2</v>
      </c>
      <c r="AL149" s="226"/>
      <c r="AM149" s="258">
        <v>19</v>
      </c>
      <c r="AN149" s="258">
        <v>125</v>
      </c>
      <c r="AO149" s="262" t="s">
        <v>250</v>
      </c>
      <c r="AP149" s="260">
        <v>427</v>
      </c>
    </row>
    <row r="150" spans="9:42" ht="20.100000000000001" customHeight="1" x14ac:dyDescent="0.25">
      <c r="I150" s="246"/>
      <c r="K150" s="247"/>
      <c r="L150" s="247"/>
      <c r="M150" s="247"/>
      <c r="N150" s="248"/>
      <c r="O150" s="249"/>
      <c r="P150" s="247"/>
      <c r="R150" s="250"/>
      <c r="U150" s="247"/>
      <c r="V150" s="247"/>
      <c r="W150" s="247"/>
      <c r="X150" s="247"/>
      <c r="Y150" s="247"/>
      <c r="Z150" s="247"/>
      <c r="AA150" s="250"/>
      <c r="AC150" s="282">
        <f>IF(AC149&gt;=0,ROUNDUP(AC149,0),ROUNDDOWN(AC149,0))</f>
        <v>8</v>
      </c>
      <c r="AD150" s="284">
        <f>IF(AD147=400,VLOOKUP(AC150,$AH$700:$AK$748,4),IF(AD147=350,VLOOKUP(AC150,$AH$650:$AK$698,4),IF(AD147=325,VLOOKUP(AC150,$AH$598:$AK$648,4),IF(AD147=300,VLOOKUP(AC150,$AH$544:$AK$596,4),IF(AD147=275,VLOOKUP(AC150,$AH$488:$AK$542,4),IF(AD147=250,VLOOKUP(AC150,$AH$431:$AK$486,4),IF(AD147=225,VLOOKUP(AC150,$AH$379:$AK$429,4),IF(AD147=200,VLOOKUP(AC150,$AH$319:$AK$377,4),IF(AD147=175,VLOOKUP(AC150,$AH$256:$AK$317,4),IF(AD147=150,VLOOKUP(AC150,$AH$192:$AK$254,4),IF(AD147=125,VLOOKUP(AC150,$AH$126:$AK$190,4),IF(AD147=100,VLOOKUP(AC150,$AH$81:$AK$124,4),IF(AD147=75,VLOOKUP(AC150,$AH$39:$AK$79,4),IF(AD147=50,VLOOKUP(AC150,$AH$3:$AK$37,4)))))))))))))))</f>
        <v>202.79999999999998</v>
      </c>
      <c r="AE150" s="285">
        <f>IFERROR((AE147-AD147)/(AF147-AD147)*(AF150-AD150)+AD150,"")</f>
        <v>195.11999999999998</v>
      </c>
      <c r="AF150" s="284">
        <f>IF(AF147=400,VLOOKUP(AC150,$AH$700:$AK$748,4),IF(AF147=350,VLOOKUP(AC150,$AH$650:$AK$698,4),IF(AF147=325,VLOOKUP(AC150,$AH$598:$AK$648,4),IF(AF147=300,VLOOKUP(AC150,$AH$544:$AK$596,4),IF(AF147=275,VLOOKUP(AC150,$AH$488:$AK$542,4),IF(AF147=250,VLOOKUP(AC150,$AH$431:$AK$486,4),IF(AF147=225,VLOOKUP(AC150,$AH$379:$AK$429,4),IF(AF147=200,VLOOKUP(AC150,$AH$319:$AK$377,4),IF(AF147=175,VLOOKUP(AC150,$AH$256:$AK$317,4),IF(AF147=150,VLOOKUP(AC150,$AH$192:$AK$254,4),IF(AF147=125,VLOOKUP(AC150,$AH$126:$AK$190,4),IF(AF147=100,VLOOKUP(AC150,$AH$81:$AK$124,4),IF(AF147=75,VLOOKUP(AC150,$AH$39:$AK$79,4),IF(AF147=50,VLOOKUP(AC150,$AH$3:$AK$37,4)))))))))))))))</f>
        <v>187.79999999999998</v>
      </c>
      <c r="AH150" s="258">
        <f t="shared" si="20"/>
        <v>20</v>
      </c>
      <c r="AI150" s="258">
        <f t="shared" si="20"/>
        <v>125</v>
      </c>
      <c r="AJ150" s="259" t="str">
        <f t="shared" si="20"/>
        <v>4/1</v>
      </c>
      <c r="AK150" s="260">
        <f t="shared" si="19"/>
        <v>266.39999999999998</v>
      </c>
      <c r="AL150" s="226"/>
      <c r="AM150" s="258">
        <v>20</v>
      </c>
      <c r="AN150" s="258">
        <v>125</v>
      </c>
      <c r="AO150" s="262" t="s">
        <v>250</v>
      </c>
      <c r="AP150" s="260">
        <v>444</v>
      </c>
    </row>
    <row r="151" spans="9:42" ht="20.100000000000001" customHeight="1" x14ac:dyDescent="0.25">
      <c r="I151" s="246"/>
      <c r="K151" s="247"/>
      <c r="L151" s="247"/>
      <c r="M151" s="247"/>
      <c r="N151" s="248"/>
      <c r="O151" s="249"/>
      <c r="P151" s="247"/>
      <c r="R151" s="250"/>
      <c r="U151" s="247"/>
      <c r="V151" s="247"/>
      <c r="W151" s="247"/>
      <c r="X151" s="247"/>
      <c r="Y151" s="247"/>
      <c r="Z151" s="247"/>
      <c r="AA151" s="250"/>
      <c r="AD151" s="289">
        <f>IF(AD149&lt;&gt;"",AD149,AVERAGE(AD148:AD150))</f>
        <v>196.32</v>
      </c>
      <c r="AE151" s="289">
        <f>IF(AE149&lt;&gt;"",AE149,IF(SUM(AE148:AE150)=0,"",AVERAGE(AE148:AE150)))</f>
        <v>188.82432</v>
      </c>
      <c r="AF151" s="289">
        <f>IF(AF149&lt;&gt;"",AF149,AVERAGE(AF148:AF150))</f>
        <v>181.68</v>
      </c>
      <c r="AH151" s="258">
        <f t="shared" si="20"/>
        <v>21</v>
      </c>
      <c r="AI151" s="258">
        <f t="shared" si="20"/>
        <v>125</v>
      </c>
      <c r="AJ151" s="259" t="str">
        <f t="shared" si="20"/>
        <v>4/2</v>
      </c>
      <c r="AK151" s="260">
        <f t="shared" si="19"/>
        <v>261</v>
      </c>
      <c r="AL151" s="226"/>
      <c r="AM151" s="258">
        <v>21</v>
      </c>
      <c r="AN151" s="258">
        <v>125</v>
      </c>
      <c r="AO151" s="262" t="s">
        <v>251</v>
      </c>
      <c r="AP151" s="260">
        <v>435</v>
      </c>
    </row>
    <row r="152" spans="9:42" ht="20.100000000000001" customHeight="1" x14ac:dyDescent="0.25">
      <c r="I152" s="246"/>
      <c r="K152" s="247"/>
      <c r="L152" s="247"/>
      <c r="M152" s="247"/>
      <c r="N152" s="248"/>
      <c r="O152" s="249"/>
      <c r="P152" s="247"/>
      <c r="R152" s="250"/>
      <c r="U152" s="247"/>
      <c r="V152" s="247"/>
      <c r="W152" s="247"/>
      <c r="X152" s="247"/>
      <c r="Y152" s="247"/>
      <c r="Z152" s="247"/>
      <c r="AA152" s="250"/>
      <c r="AH152" s="258">
        <f t="shared" si="20"/>
        <v>22</v>
      </c>
      <c r="AI152" s="258">
        <f t="shared" si="20"/>
        <v>125</v>
      </c>
      <c r="AJ152" s="259" t="str">
        <f t="shared" si="20"/>
        <v>4/2</v>
      </c>
      <c r="AK152" s="260">
        <f t="shared" si="19"/>
        <v>271.8</v>
      </c>
      <c r="AL152" s="226"/>
      <c r="AM152" s="258">
        <v>22</v>
      </c>
      <c r="AN152" s="258">
        <v>125</v>
      </c>
      <c r="AO152" s="262" t="s">
        <v>251</v>
      </c>
      <c r="AP152" s="260">
        <v>453</v>
      </c>
    </row>
    <row r="153" spans="9:42" ht="20.100000000000001" customHeight="1" x14ac:dyDescent="0.25">
      <c r="I153" s="246"/>
      <c r="K153" s="247"/>
      <c r="L153" s="247"/>
      <c r="M153" s="247"/>
      <c r="N153" s="248"/>
      <c r="O153" s="249"/>
      <c r="P153" s="247"/>
      <c r="R153" s="250"/>
      <c r="U153" s="247"/>
      <c r="V153" s="247"/>
      <c r="W153" s="247"/>
      <c r="X153" s="247"/>
      <c r="Y153" s="247"/>
      <c r="Z153" s="247"/>
      <c r="AA153" s="250"/>
      <c r="AB153" s="257">
        <v>16</v>
      </c>
      <c r="AC153" s="226"/>
      <c r="AD153" s="226"/>
      <c r="AH153" s="258">
        <f t="shared" si="20"/>
        <v>23</v>
      </c>
      <c r="AI153" s="258">
        <f t="shared" si="20"/>
        <v>125</v>
      </c>
      <c r="AJ153" s="259" t="str">
        <f t="shared" si="20"/>
        <v>4/2</v>
      </c>
      <c r="AK153" s="260">
        <f t="shared" si="19"/>
        <v>282</v>
      </c>
      <c r="AL153" s="226"/>
      <c r="AM153" s="258">
        <v>23</v>
      </c>
      <c r="AN153" s="258">
        <v>125</v>
      </c>
      <c r="AO153" s="262" t="s">
        <v>251</v>
      </c>
      <c r="AP153" s="260">
        <v>470</v>
      </c>
    </row>
    <row r="154" spans="9:42" ht="20.100000000000001" customHeight="1" x14ac:dyDescent="0.25">
      <c r="I154" s="246"/>
      <c r="K154" s="247"/>
      <c r="L154" s="247"/>
      <c r="M154" s="247"/>
      <c r="N154" s="248"/>
      <c r="O154" s="249"/>
      <c r="P154" s="247"/>
      <c r="R154" s="250"/>
      <c r="U154" s="247"/>
      <c r="V154" s="247"/>
      <c r="W154" s="247"/>
      <c r="X154" s="247"/>
      <c r="Y154" s="247"/>
      <c r="Z154" s="247"/>
      <c r="AA154" s="250"/>
      <c r="AB154" s="241" t="s">
        <v>245</v>
      </c>
      <c r="AC154" s="241" t="s">
        <v>246</v>
      </c>
      <c r="AD154" s="241" t="s">
        <v>236</v>
      </c>
      <c r="AH154" s="258">
        <f t="shared" si="20"/>
        <v>24</v>
      </c>
      <c r="AI154" s="258">
        <f t="shared" si="20"/>
        <v>125</v>
      </c>
      <c r="AJ154" s="259" t="str">
        <f t="shared" si="20"/>
        <v>4/2</v>
      </c>
      <c r="AK154" s="260">
        <f t="shared" si="19"/>
        <v>292.8</v>
      </c>
      <c r="AL154" s="226"/>
      <c r="AM154" s="258">
        <v>24</v>
      </c>
      <c r="AN154" s="258">
        <v>125</v>
      </c>
      <c r="AO154" s="262" t="s">
        <v>251</v>
      </c>
      <c r="AP154" s="260">
        <v>488</v>
      </c>
    </row>
    <row r="155" spans="9:42" ht="20.100000000000001" customHeight="1" x14ac:dyDescent="0.25">
      <c r="I155" s="246"/>
      <c r="K155" s="247"/>
      <c r="L155" s="247"/>
      <c r="M155" s="247"/>
      <c r="N155" s="248"/>
      <c r="O155" s="249"/>
      <c r="P155" s="247"/>
      <c r="R155" s="250"/>
      <c r="U155" s="247"/>
      <c r="V155" s="247"/>
      <c r="W155" s="247"/>
      <c r="X155" s="247"/>
      <c r="Y155" s="247"/>
      <c r="Z155" s="247"/>
      <c r="AA155" s="250"/>
      <c r="AB155" s="288">
        <f>IF(I19="","",I19)</f>
        <v>7.6</v>
      </c>
      <c r="AC155" s="283">
        <f>IF(J19="","",J19)</f>
        <v>65.7</v>
      </c>
      <c r="AD155" s="278">
        <f>IF(OR(AB155="",AC155=""),"",IF(AE159&lt;&gt;"",AE161,AVERAGEIF(AD161:AF161,"&lt;&gt;0",AD161:AF161)))</f>
        <v>189.21071999999998</v>
      </c>
      <c r="AH155" s="258">
        <f t="shared" ref="AH155:AH159" si="21">AM155</f>
        <v>25</v>
      </c>
      <c r="AI155" s="258">
        <f t="shared" ref="AI155:AI159" si="22">AN155</f>
        <v>125</v>
      </c>
      <c r="AJ155" s="259" t="str">
        <f t="shared" ref="AJ155:AJ159" si="23">AO155</f>
        <v>3/2</v>
      </c>
      <c r="AK155" s="260">
        <f t="shared" ref="AK155:AK159" si="24">(1-$AL$2)*AP155</f>
        <v>252</v>
      </c>
      <c r="AL155" s="226"/>
      <c r="AM155" s="258">
        <v>25</v>
      </c>
      <c r="AN155" s="258">
        <v>125</v>
      </c>
      <c r="AO155" s="439" t="s">
        <v>255</v>
      </c>
      <c r="AP155" s="260">
        <v>420</v>
      </c>
    </row>
    <row r="156" spans="9:42" ht="20.100000000000001" customHeight="1" x14ac:dyDescent="0.25">
      <c r="I156" s="246"/>
      <c r="K156" s="247"/>
      <c r="L156" s="247"/>
      <c r="M156" s="247"/>
      <c r="N156" s="248"/>
      <c r="O156" s="249"/>
      <c r="P156" s="247"/>
      <c r="R156" s="250"/>
      <c r="U156" s="247"/>
      <c r="V156" s="247"/>
      <c r="W156" s="247"/>
      <c r="X156" s="247"/>
      <c r="Y156" s="247"/>
      <c r="Z156" s="247"/>
      <c r="AA156" s="250"/>
      <c r="AC156" s="250" t="s">
        <v>182</v>
      </c>
      <c r="AE156" s="279" t="s">
        <v>247</v>
      </c>
      <c r="AH156" s="258">
        <f t="shared" si="21"/>
        <v>26</v>
      </c>
      <c r="AI156" s="258">
        <f t="shared" si="22"/>
        <v>125</v>
      </c>
      <c r="AJ156" s="259" t="str">
        <f t="shared" si="23"/>
        <v>3/2</v>
      </c>
      <c r="AK156" s="260">
        <f t="shared" si="24"/>
        <v>259.68</v>
      </c>
      <c r="AL156" s="226"/>
      <c r="AM156" s="258">
        <v>26</v>
      </c>
      <c r="AN156" s="258">
        <v>125</v>
      </c>
      <c r="AO156" s="439" t="s">
        <v>255</v>
      </c>
      <c r="AP156" s="260">
        <v>432.8</v>
      </c>
    </row>
    <row r="157" spans="9:42" ht="20.100000000000001" customHeight="1" x14ac:dyDescent="0.25">
      <c r="I157" s="246"/>
      <c r="K157" s="247"/>
      <c r="L157" s="247"/>
      <c r="M157" s="247"/>
      <c r="N157" s="248"/>
      <c r="O157" s="249"/>
      <c r="P157" s="247"/>
      <c r="R157" s="250"/>
      <c r="U157" s="247"/>
      <c r="V157" s="247"/>
      <c r="W157" s="247"/>
      <c r="X157" s="247"/>
      <c r="Y157" s="247"/>
      <c r="Z157" s="247"/>
      <c r="AA157" s="250"/>
      <c r="AC157" s="281"/>
      <c r="AD157" s="282">
        <f>IF(AE157&gt;=400,400,IF(AE157&gt;=350,350,IF(AE157&gt;=325,325,IF(AE157&gt;=300,300,IF(AE157&gt;=275,275,IF(AE157&gt;=250,250,IF(AE157&gt;=225,225,IF(AE157&gt;=200,200,IF(AE157&gt;=175,175,IF(AE157&gt;=150,150,IF(AE157&gt;=125,125,IF(AE157&gt;=100,100,IF(AE157&gt;=75,75,50)))))))))))))</f>
        <v>50</v>
      </c>
      <c r="AE157" s="283">
        <f>AC155</f>
        <v>65.7</v>
      </c>
      <c r="AF157" s="282">
        <f>IF(AE157&lt;=50,50,IF(AE157&lt;=75,75,IF(AE157&lt;=100,100,IF(AE157&lt;=125,125,IF(AE157&lt;=150,150,IF(AE157&lt;=175,175,IF(AE157&lt;=200,200,IF(AE157&lt;=225,225,IF(AE157&lt;=250,250,IF(AE157&lt;=275,275,IF(AE157&lt;=300,300,IF(AE157&lt;=325,325,IF(AE157&lt;=350,350,400)))))))))))))</f>
        <v>75</v>
      </c>
      <c r="AH157" s="258">
        <f t="shared" si="21"/>
        <v>27</v>
      </c>
      <c r="AI157" s="258">
        <f t="shared" si="22"/>
        <v>125</v>
      </c>
      <c r="AJ157" s="259" t="str">
        <f t="shared" si="23"/>
        <v>3/2</v>
      </c>
      <c r="AK157" s="260">
        <f t="shared" si="24"/>
        <v>267.36</v>
      </c>
      <c r="AL157" s="226"/>
      <c r="AM157" s="258">
        <v>27</v>
      </c>
      <c r="AN157" s="258">
        <v>125</v>
      </c>
      <c r="AO157" s="439" t="s">
        <v>255</v>
      </c>
      <c r="AP157" s="260">
        <v>445.6</v>
      </c>
    </row>
    <row r="158" spans="9:42" ht="20.100000000000001" customHeight="1" x14ac:dyDescent="0.25">
      <c r="I158" s="246"/>
      <c r="K158" s="247"/>
      <c r="L158" s="247"/>
      <c r="M158" s="247"/>
      <c r="N158" s="248"/>
      <c r="O158" s="249"/>
      <c r="P158" s="247"/>
      <c r="R158" s="250"/>
      <c r="U158" s="247"/>
      <c r="V158" s="247"/>
      <c r="W158" s="247"/>
      <c r="X158" s="247"/>
      <c r="Y158" s="247"/>
      <c r="Z158" s="247"/>
      <c r="AA158" s="250"/>
      <c r="AC158" s="282">
        <f>IF(AC159&gt;=0,ROUNDDOWN(AC159,0),ROUNDUP(AC159,0))</f>
        <v>7</v>
      </c>
      <c r="AD158" s="284">
        <f>IF(AD157=400,VLOOKUP(AC158,$AH$700:$AK$748,4),IF(AD157=350,VLOOKUP(AC158,$AH$650:$AK$698,4),IF(AD157=325,VLOOKUP(AC158,$AH$598:$AK$648,4),IF(AD157=300,VLOOKUP(AC158,$AH$544:$AK$596,4),IF(AD157=275,VLOOKUP(AC158,$AH$488:$AK$542,4),IF(AD157=250,VLOOKUP(AC158,$AH$431:$AK$486,4),IF(AD157=225,VLOOKUP(AC158,$AH$379:$AK$429,4),IF(AD157=200,VLOOKUP(AC158,$AH$319:$AK$377,4),IF(AD157=175,VLOOKUP(AC158,$AH$256:$AK$317,4),IF(AD157=150,VLOOKUP(AC158,$AH$192:$AK$254,4),IF(AD157=125,VLOOKUP(AC158,$AH$126:$AK$190,4),IF(AD157=100,VLOOKUP(AC158,$AH$81:$AK$124,4),IF(AD157=75,VLOOKUP(AC158,$AH$39:$AK$79,4),IF(AD157=50,VLOOKUP(AC158,$AH$3:$AK$37,4)))))))))))))))</f>
        <v>192</v>
      </c>
      <c r="AE158" s="285">
        <f>IFERROR((AE157-AD157)/(AF157-AD157)*(AF158-AD158)+AD158,"")</f>
        <v>182.95679999999999</v>
      </c>
      <c r="AF158" s="284">
        <f>IF(AF157=400,VLOOKUP(AC158,$AH$700:$AK$748,4),IF(AF157=350,VLOOKUP(AC158,$AH$650:$AK$698,4),IF(AF157=325,VLOOKUP(AC158,$AH$598:$AK$648,4),IF(AF157=300,VLOOKUP(AC158,$AH$544:$AK$596,4),IF(AF157=275,VLOOKUP(AC158,$AH$488:$AK$542,4),IF(AF157=250,VLOOKUP(AC158,$AH$431:$AK$486,4),IF(AF157=225,VLOOKUP(AC158,$AH$379:$AK$429,4),IF(AF157=200,VLOOKUP(AC158,$AH$319:$AK$377,4),IF(AF157=175,VLOOKUP(AC158,$AH$256:$AK$317,4),IF(AF157=150,VLOOKUP(AC158,$AH$192:$AK$254,4),IF(AF157=125,VLOOKUP(AC158,$AH$126:$AK$190,4),IF(AF157=100,VLOOKUP(AC158,$AH$81:$AK$124,4),IF(AF157=75,VLOOKUP(AC158,$AH$39:$AK$79,4),IF(AF157=50,VLOOKUP(AC158,$AH$3:$AK$37,4)))))))))))))))</f>
        <v>177.6</v>
      </c>
      <c r="AH158" s="258">
        <f t="shared" si="21"/>
        <v>28</v>
      </c>
      <c r="AI158" s="258">
        <f t="shared" si="22"/>
        <v>125</v>
      </c>
      <c r="AJ158" s="259" t="str">
        <f t="shared" si="23"/>
        <v>3/2</v>
      </c>
      <c r="AK158" s="260">
        <f t="shared" si="24"/>
        <v>275.03999999999996</v>
      </c>
      <c r="AL158" s="226"/>
      <c r="AM158" s="258">
        <v>28</v>
      </c>
      <c r="AN158" s="258">
        <v>125</v>
      </c>
      <c r="AO158" s="439" t="s">
        <v>255</v>
      </c>
      <c r="AP158" s="260">
        <v>458.4</v>
      </c>
    </row>
    <row r="159" spans="9:42" ht="20.100000000000001" customHeight="1" x14ac:dyDescent="0.25">
      <c r="I159" s="246"/>
      <c r="K159" s="247"/>
      <c r="L159" s="247"/>
      <c r="M159" s="247"/>
      <c r="N159" s="248"/>
      <c r="O159" s="249"/>
      <c r="P159" s="247"/>
      <c r="R159" s="250"/>
      <c r="U159" s="247"/>
      <c r="V159" s="247"/>
      <c r="W159" s="247"/>
      <c r="X159" s="247"/>
      <c r="Y159" s="247"/>
      <c r="Z159" s="247"/>
      <c r="AA159" s="250"/>
      <c r="AB159" s="287" t="s">
        <v>248</v>
      </c>
      <c r="AC159" s="288">
        <f>AB155</f>
        <v>7.6</v>
      </c>
      <c r="AD159" s="285">
        <f>IFERROR((AC159-AC158)/(AC160-AC158)*(AD160-AD158)+AD158,"")</f>
        <v>198.48</v>
      </c>
      <c r="AE159" s="278">
        <f>IFERROR((AE157-AF157)/(AD157-AF157)*(AD159-AF159)+AF159,"")</f>
        <v>189.21071999999998</v>
      </c>
      <c r="AF159" s="285">
        <f>IFERROR((AC159-AC158)/(AC160-AC158)*(AF160-AF158)+AF158,"")</f>
        <v>183.71999999999997</v>
      </c>
      <c r="AH159" s="258">
        <f t="shared" si="21"/>
        <v>29</v>
      </c>
      <c r="AI159" s="258">
        <f t="shared" si="22"/>
        <v>125</v>
      </c>
      <c r="AJ159" s="259" t="str">
        <f t="shared" si="23"/>
        <v>3/2</v>
      </c>
      <c r="AK159" s="260">
        <f t="shared" si="24"/>
        <v>282.59999999999997</v>
      </c>
      <c r="AL159" s="226"/>
      <c r="AM159" s="258">
        <v>29</v>
      </c>
      <c r="AN159" s="258">
        <v>125</v>
      </c>
      <c r="AO159" s="439" t="s">
        <v>255</v>
      </c>
      <c r="AP159" s="260">
        <v>471</v>
      </c>
    </row>
    <row r="160" spans="9:42" ht="20.100000000000001" customHeight="1" x14ac:dyDescent="0.25">
      <c r="I160" s="246"/>
      <c r="K160" s="247"/>
      <c r="L160" s="247"/>
      <c r="M160" s="247"/>
      <c r="N160" s="248"/>
      <c r="O160" s="249"/>
      <c r="P160" s="247"/>
      <c r="R160" s="250"/>
      <c r="U160" s="247"/>
      <c r="V160" s="247"/>
      <c r="W160" s="247"/>
      <c r="X160" s="247"/>
      <c r="Y160" s="247"/>
      <c r="Z160" s="247"/>
      <c r="AA160" s="250"/>
      <c r="AC160" s="282">
        <f>IF(AC159&gt;=0,ROUNDUP(AC159,0),ROUNDDOWN(AC159,0))</f>
        <v>8</v>
      </c>
      <c r="AD160" s="284">
        <f>IF(AD157=400,VLOOKUP(AC160,$AH$700:$AK$748,4),IF(AD157=350,VLOOKUP(AC160,$AH$650:$AK$698,4),IF(AD157=325,VLOOKUP(AC160,$AH$598:$AK$648,4),IF(AD157=300,VLOOKUP(AC160,$AH$544:$AK$596,4),IF(AD157=275,VLOOKUP(AC160,$AH$488:$AK$542,4),IF(AD157=250,VLOOKUP(AC160,$AH$431:$AK$486,4),IF(AD157=225,VLOOKUP(AC160,$AH$379:$AK$429,4),IF(AD157=200,VLOOKUP(AC160,$AH$319:$AK$377,4),IF(AD157=175,VLOOKUP(AC160,$AH$256:$AK$317,4),IF(AD157=150,VLOOKUP(AC160,$AH$192:$AK$254,4),IF(AD157=125,VLOOKUP(AC160,$AH$126:$AK$190,4),IF(AD157=100,VLOOKUP(AC160,$AH$81:$AK$124,4),IF(AD157=75,VLOOKUP(AC160,$AH$39:$AK$79,4),IF(AD157=50,VLOOKUP(AC160,$AH$3:$AK$37,4)))))))))))))))</f>
        <v>202.79999999999998</v>
      </c>
      <c r="AE160" s="285">
        <f>IFERROR((AE157-AD157)/(AF157-AD157)*(AF160-AD160)+AD160,"")</f>
        <v>193.38</v>
      </c>
      <c r="AF160" s="284">
        <f>IF(AF157=400,VLOOKUP(AC160,$AH$700:$AK$748,4),IF(AF157=350,VLOOKUP(AC160,$AH$650:$AK$698,4),IF(AF157=325,VLOOKUP(AC160,$AH$598:$AK$648,4),IF(AF157=300,VLOOKUP(AC160,$AH$544:$AK$596,4),IF(AF157=275,VLOOKUP(AC160,$AH$488:$AK$542,4),IF(AF157=250,VLOOKUP(AC160,$AH$431:$AK$486,4),IF(AF157=225,VLOOKUP(AC160,$AH$379:$AK$429,4),IF(AF157=200,VLOOKUP(AC160,$AH$319:$AK$377,4),IF(AF157=175,VLOOKUP(AC160,$AH$256:$AK$317,4),IF(AF157=150,VLOOKUP(AC160,$AH$192:$AK$254,4),IF(AF157=125,VLOOKUP(AC160,$AH$126:$AK$190,4),IF(AF157=100,VLOOKUP(AC160,$AH$81:$AK$124,4),IF(AF157=75,VLOOKUP(AC160,$AH$39:$AK$79,4),IF(AF157=50,VLOOKUP(AC160,$AH$3:$AK$37,4)))))))))))))))</f>
        <v>187.79999999999998</v>
      </c>
      <c r="AH160" s="258">
        <f t="shared" si="20"/>
        <v>30</v>
      </c>
      <c r="AI160" s="258">
        <f t="shared" si="20"/>
        <v>125</v>
      </c>
      <c r="AJ160" s="259" t="str">
        <f t="shared" si="20"/>
        <v>3/0</v>
      </c>
      <c r="AK160" s="260">
        <f t="shared" si="19"/>
        <v>289.2</v>
      </c>
      <c r="AL160" s="226"/>
      <c r="AM160" s="258">
        <v>30</v>
      </c>
      <c r="AN160" s="258">
        <v>125</v>
      </c>
      <c r="AO160" s="439" t="s">
        <v>252</v>
      </c>
      <c r="AP160" s="260">
        <v>482</v>
      </c>
    </row>
    <row r="161" spans="9:42" ht="20.100000000000001" customHeight="1" x14ac:dyDescent="0.25">
      <c r="I161" s="246"/>
      <c r="K161" s="247"/>
      <c r="L161" s="247"/>
      <c r="M161" s="247"/>
      <c r="N161" s="248"/>
      <c r="O161" s="249"/>
      <c r="P161" s="247"/>
      <c r="R161" s="250"/>
      <c r="U161" s="247"/>
      <c r="V161" s="247"/>
      <c r="W161" s="247"/>
      <c r="X161" s="247"/>
      <c r="Y161" s="247"/>
      <c r="Z161" s="247"/>
      <c r="AA161" s="250"/>
      <c r="AD161" s="289">
        <f>IF(AD159&lt;&gt;"",AD159,AVERAGE(AD158:AD160))</f>
        <v>198.48</v>
      </c>
      <c r="AE161" s="289">
        <f>IF(AE159&lt;&gt;"",AE159,IF(SUM(AE158:AE160)=0,"",AVERAGE(AE158:AE160)))</f>
        <v>189.21071999999998</v>
      </c>
      <c r="AF161" s="289">
        <f>IF(AF159&lt;&gt;"",AF159,AVERAGE(AF158:AF160))</f>
        <v>183.71999999999997</v>
      </c>
      <c r="AH161" s="258">
        <f t="shared" si="20"/>
        <v>31</v>
      </c>
      <c r="AI161" s="258">
        <f t="shared" si="20"/>
        <v>125</v>
      </c>
      <c r="AJ161" s="259" t="str">
        <f t="shared" si="20"/>
        <v>3/0</v>
      </c>
      <c r="AK161" s="260">
        <f t="shared" si="19"/>
        <v>297</v>
      </c>
      <c r="AL161" s="226"/>
      <c r="AM161" s="258">
        <v>31</v>
      </c>
      <c r="AN161" s="258">
        <v>125</v>
      </c>
      <c r="AO161" s="262" t="s">
        <v>252</v>
      </c>
      <c r="AP161" s="260">
        <v>495</v>
      </c>
    </row>
    <row r="162" spans="9:42" ht="20.100000000000001" customHeight="1" x14ac:dyDescent="0.25">
      <c r="I162" s="246"/>
      <c r="K162" s="247"/>
      <c r="L162" s="247"/>
      <c r="M162" s="247"/>
      <c r="N162" s="248"/>
      <c r="O162" s="249"/>
      <c r="P162" s="247"/>
      <c r="R162" s="250"/>
      <c r="U162" s="247"/>
      <c r="V162" s="247"/>
      <c r="W162" s="247"/>
      <c r="X162" s="247"/>
      <c r="Y162" s="247"/>
      <c r="Z162" s="247"/>
      <c r="AA162" s="250"/>
      <c r="AH162" s="258">
        <f t="shared" si="20"/>
        <v>32</v>
      </c>
      <c r="AI162" s="258">
        <f t="shared" si="20"/>
        <v>125</v>
      </c>
      <c r="AJ162" s="259" t="str">
        <f t="shared" si="20"/>
        <v>3/0</v>
      </c>
      <c r="AK162" s="260">
        <f t="shared" si="19"/>
        <v>304.8</v>
      </c>
      <c r="AL162" s="226"/>
      <c r="AM162" s="258">
        <v>32</v>
      </c>
      <c r="AN162" s="258">
        <v>125</v>
      </c>
      <c r="AO162" s="262" t="s">
        <v>252</v>
      </c>
      <c r="AP162" s="260">
        <v>508</v>
      </c>
    </row>
    <row r="163" spans="9:42" ht="20.100000000000001" customHeight="1" x14ac:dyDescent="0.25">
      <c r="I163" s="246"/>
      <c r="K163" s="247"/>
      <c r="L163" s="247"/>
      <c r="M163" s="247"/>
      <c r="N163" s="248"/>
      <c r="O163" s="249"/>
      <c r="P163" s="247"/>
      <c r="R163" s="250"/>
      <c r="U163" s="247"/>
      <c r="V163" s="247"/>
      <c r="W163" s="247"/>
      <c r="X163" s="247"/>
      <c r="Y163" s="247"/>
      <c r="Z163" s="247"/>
      <c r="AA163" s="250"/>
      <c r="AB163" s="257">
        <v>17</v>
      </c>
      <c r="AC163" s="226"/>
      <c r="AD163" s="226"/>
      <c r="AH163" s="258">
        <f t="shared" si="20"/>
        <v>33</v>
      </c>
      <c r="AI163" s="258">
        <f t="shared" si="20"/>
        <v>125</v>
      </c>
      <c r="AJ163" s="259" t="str">
        <f t="shared" si="20"/>
        <v>3/0</v>
      </c>
      <c r="AK163" s="260">
        <f t="shared" ref="AK163:AK190" si="25">(1-$AL$2)*AP163</f>
        <v>313.2</v>
      </c>
      <c r="AL163" s="226"/>
      <c r="AM163" s="258">
        <v>33</v>
      </c>
      <c r="AN163" s="258">
        <v>125</v>
      </c>
      <c r="AO163" s="262" t="s">
        <v>252</v>
      </c>
      <c r="AP163" s="260">
        <v>522</v>
      </c>
    </row>
    <row r="164" spans="9:42" ht="20.100000000000001" customHeight="1" x14ac:dyDescent="0.25">
      <c r="I164" s="246"/>
      <c r="K164" s="247"/>
      <c r="L164" s="247"/>
      <c r="M164" s="247"/>
      <c r="N164" s="248"/>
      <c r="O164" s="249"/>
      <c r="P164" s="247"/>
      <c r="R164" s="250"/>
      <c r="U164" s="247"/>
      <c r="V164" s="247"/>
      <c r="W164" s="247"/>
      <c r="X164" s="247"/>
      <c r="Y164" s="247"/>
      <c r="Z164" s="247"/>
      <c r="AA164" s="250"/>
      <c r="AB164" s="241" t="s">
        <v>245</v>
      </c>
      <c r="AC164" s="241" t="s">
        <v>246</v>
      </c>
      <c r="AD164" s="241" t="s">
        <v>236</v>
      </c>
      <c r="AH164" s="258">
        <f t="shared" si="20"/>
        <v>34</v>
      </c>
      <c r="AI164" s="258">
        <f t="shared" si="20"/>
        <v>125</v>
      </c>
      <c r="AJ164" s="259" t="str">
        <f t="shared" si="20"/>
        <v>3/0</v>
      </c>
      <c r="AK164" s="260">
        <f t="shared" si="25"/>
        <v>321</v>
      </c>
      <c r="AL164" s="226"/>
      <c r="AM164" s="258">
        <v>34</v>
      </c>
      <c r="AN164" s="258">
        <v>125</v>
      </c>
      <c r="AO164" s="262" t="s">
        <v>252</v>
      </c>
      <c r="AP164" s="260">
        <v>535</v>
      </c>
    </row>
    <row r="165" spans="9:42" ht="20.100000000000001" customHeight="1" x14ac:dyDescent="0.25">
      <c r="I165" s="246"/>
      <c r="K165" s="247"/>
      <c r="L165" s="247"/>
      <c r="M165" s="247"/>
      <c r="N165" s="248"/>
      <c r="O165" s="249"/>
      <c r="P165" s="247"/>
      <c r="R165" s="250"/>
      <c r="U165" s="247"/>
      <c r="V165" s="247"/>
      <c r="W165" s="247"/>
      <c r="X165" s="247"/>
      <c r="Y165" s="247"/>
      <c r="Z165" s="247"/>
      <c r="AA165" s="250"/>
      <c r="AB165" s="288">
        <f>IF(I20="","",I20)</f>
        <v>7.6</v>
      </c>
      <c r="AC165" s="283">
        <f>IF(J20="","",J20)</f>
        <v>67.599999999999994</v>
      </c>
      <c r="AD165" s="278">
        <f>IF(OR(AB165="",AC165=""),"",IF(AE169&lt;&gt;"",AE171,AVERAGEIF(AD171:AF171,"&lt;&gt;0",AD171:AF171)))</f>
        <v>188.08895999999999</v>
      </c>
      <c r="AH165" s="258">
        <f t="shared" si="20"/>
        <v>35</v>
      </c>
      <c r="AI165" s="258">
        <f t="shared" si="20"/>
        <v>125</v>
      </c>
      <c r="AJ165" s="259" t="str">
        <f t="shared" si="20"/>
        <v>3/0</v>
      </c>
      <c r="AK165" s="260">
        <f t="shared" si="25"/>
        <v>328.8</v>
      </c>
      <c r="AL165" s="226"/>
      <c r="AM165" s="258">
        <v>35</v>
      </c>
      <c r="AN165" s="258">
        <v>125</v>
      </c>
      <c r="AO165" s="262" t="s">
        <v>252</v>
      </c>
      <c r="AP165" s="260">
        <v>548</v>
      </c>
    </row>
    <row r="166" spans="9:42" ht="20.100000000000001" customHeight="1" x14ac:dyDescent="0.25">
      <c r="I166" s="246"/>
      <c r="K166" s="247"/>
      <c r="L166" s="247"/>
      <c r="M166" s="247"/>
      <c r="N166" s="248"/>
      <c r="O166" s="249"/>
      <c r="P166" s="247"/>
      <c r="R166" s="250"/>
      <c r="U166" s="247"/>
      <c r="V166" s="247"/>
      <c r="W166" s="247"/>
      <c r="X166" s="247"/>
      <c r="Y166" s="247"/>
      <c r="Z166" s="247"/>
      <c r="AA166" s="250"/>
      <c r="AC166" s="250" t="s">
        <v>182</v>
      </c>
      <c r="AE166" s="279" t="s">
        <v>247</v>
      </c>
      <c r="AH166" s="258">
        <f t="shared" si="20"/>
        <v>36</v>
      </c>
      <c r="AI166" s="258">
        <f t="shared" si="20"/>
        <v>125</v>
      </c>
      <c r="AJ166" s="259" t="str">
        <f t="shared" si="20"/>
        <v>3/0</v>
      </c>
      <c r="AK166" s="260">
        <f t="shared" si="25"/>
        <v>336.59999999999997</v>
      </c>
      <c r="AL166" s="226"/>
      <c r="AM166" s="258">
        <v>36</v>
      </c>
      <c r="AN166" s="258">
        <v>125</v>
      </c>
      <c r="AO166" s="262" t="s">
        <v>252</v>
      </c>
      <c r="AP166" s="260">
        <v>561</v>
      </c>
    </row>
    <row r="167" spans="9:42" ht="20.100000000000001" customHeight="1" x14ac:dyDescent="0.25">
      <c r="I167" s="246"/>
      <c r="K167" s="247"/>
      <c r="L167" s="247"/>
      <c r="M167" s="247"/>
      <c r="N167" s="248"/>
      <c r="O167" s="249"/>
      <c r="P167" s="247"/>
      <c r="R167" s="250"/>
      <c r="U167" s="247"/>
      <c r="V167" s="247"/>
      <c r="W167" s="247"/>
      <c r="X167" s="247"/>
      <c r="Y167" s="247"/>
      <c r="Z167" s="247"/>
      <c r="AA167" s="250"/>
      <c r="AC167" s="281"/>
      <c r="AD167" s="282">
        <f>IF(AE167&gt;=400,400,IF(AE167&gt;=350,350,IF(AE167&gt;=325,325,IF(AE167&gt;=300,300,IF(AE167&gt;=275,275,IF(AE167&gt;=250,250,IF(AE167&gt;=225,225,IF(AE167&gt;=200,200,IF(AE167&gt;=175,175,IF(AE167&gt;=150,150,IF(AE167&gt;=125,125,IF(AE167&gt;=100,100,IF(AE167&gt;=75,75,50)))))))))))))</f>
        <v>50</v>
      </c>
      <c r="AE167" s="283">
        <f>AC165</f>
        <v>67.599999999999994</v>
      </c>
      <c r="AF167" s="282">
        <f>IF(AE167&lt;=50,50,IF(AE167&lt;=75,75,IF(AE167&lt;=100,100,IF(AE167&lt;=125,125,IF(AE167&lt;=150,150,IF(AE167&lt;=175,175,IF(AE167&lt;=200,200,IF(AE167&lt;=225,225,IF(AE167&lt;=250,250,IF(AE167&lt;=275,275,IF(AE167&lt;=300,300,IF(AE167&lt;=325,325,IF(AE167&lt;=350,350,400)))))))))))))</f>
        <v>75</v>
      </c>
      <c r="AH167" s="258">
        <f t="shared" si="20"/>
        <v>37</v>
      </c>
      <c r="AI167" s="258">
        <f t="shared" si="20"/>
        <v>125</v>
      </c>
      <c r="AJ167" s="259" t="str">
        <f t="shared" si="20"/>
        <v>3/0</v>
      </c>
      <c r="AK167" s="260">
        <f t="shared" si="25"/>
        <v>344.4</v>
      </c>
      <c r="AL167" s="226"/>
      <c r="AM167" s="258">
        <v>37</v>
      </c>
      <c r="AN167" s="258">
        <v>125</v>
      </c>
      <c r="AO167" s="262" t="s">
        <v>252</v>
      </c>
      <c r="AP167" s="260">
        <v>574</v>
      </c>
    </row>
    <row r="168" spans="9:42" ht="20.100000000000001" customHeight="1" x14ac:dyDescent="0.25">
      <c r="I168" s="246"/>
      <c r="K168" s="247"/>
      <c r="L168" s="247"/>
      <c r="M168" s="247"/>
      <c r="N168" s="248"/>
      <c r="O168" s="249"/>
      <c r="P168" s="247"/>
      <c r="R168" s="250"/>
      <c r="U168" s="247"/>
      <c r="V168" s="247"/>
      <c r="W168" s="247"/>
      <c r="X168" s="247"/>
      <c r="Y168" s="247"/>
      <c r="Z168" s="247"/>
      <c r="AA168" s="250"/>
      <c r="AC168" s="282">
        <f>IF(AC169&gt;=0,ROUNDDOWN(AC169,0),ROUNDUP(AC169,0))</f>
        <v>7</v>
      </c>
      <c r="AD168" s="284">
        <f>IF(AD167=400,VLOOKUP(AC168,$AH$700:$AK$748,4),IF(AD167=350,VLOOKUP(AC168,$AH$650:$AK$698,4),IF(AD167=325,VLOOKUP(AC168,$AH$598:$AK$648,4),IF(AD167=300,VLOOKUP(AC168,$AH$544:$AK$596,4),IF(AD167=275,VLOOKUP(AC168,$AH$488:$AK$542,4),IF(AD167=250,VLOOKUP(AC168,$AH$431:$AK$486,4),IF(AD167=225,VLOOKUP(AC168,$AH$379:$AK$429,4),IF(AD167=200,VLOOKUP(AC168,$AH$319:$AK$377,4),IF(AD167=175,VLOOKUP(AC168,$AH$256:$AK$317,4),IF(AD167=150,VLOOKUP(AC168,$AH$192:$AK$254,4),IF(AD167=125,VLOOKUP(AC168,$AH$126:$AK$190,4),IF(AD167=100,VLOOKUP(AC168,$AH$81:$AK$124,4),IF(AD167=75,VLOOKUP(AC168,$AH$39:$AK$79,4),IF(AD167=50,VLOOKUP(AC168,$AH$3:$AK$37,4)))))))))))))))</f>
        <v>192</v>
      </c>
      <c r="AE168" s="285">
        <f>IFERROR((AE167-AD167)/(AF167-AD167)*(AF168-AD168)+AD168,"")</f>
        <v>181.86240000000001</v>
      </c>
      <c r="AF168" s="284">
        <f>IF(AF167=400,VLOOKUP(AC168,$AH$700:$AK$748,4),IF(AF167=350,VLOOKUP(AC168,$AH$650:$AK$698,4),IF(AF167=325,VLOOKUP(AC168,$AH$598:$AK$648,4),IF(AF167=300,VLOOKUP(AC168,$AH$544:$AK$596,4),IF(AF167=275,VLOOKUP(AC168,$AH$488:$AK$542,4),IF(AF167=250,VLOOKUP(AC168,$AH$431:$AK$486,4),IF(AF167=225,VLOOKUP(AC168,$AH$379:$AK$429,4),IF(AF167=200,VLOOKUP(AC168,$AH$319:$AK$377,4),IF(AF167=175,VLOOKUP(AC168,$AH$256:$AK$317,4),IF(AF167=150,VLOOKUP(AC168,$AH$192:$AK$254,4),IF(AF167=125,VLOOKUP(AC168,$AH$126:$AK$190,4),IF(AF167=100,VLOOKUP(AC168,$AH$81:$AK$124,4),IF(AF167=75,VLOOKUP(AC168,$AH$39:$AK$79,4),IF(AF167=50,VLOOKUP(AC168,$AH$3:$AK$37,4)))))))))))))))</f>
        <v>177.6</v>
      </c>
      <c r="AH168" s="258">
        <f t="shared" si="20"/>
        <v>38</v>
      </c>
      <c r="AI168" s="258">
        <f t="shared" si="20"/>
        <v>125</v>
      </c>
      <c r="AJ168" s="259" t="str">
        <f t="shared" si="20"/>
        <v>3/0</v>
      </c>
      <c r="AK168" s="260">
        <f t="shared" si="25"/>
        <v>352.2</v>
      </c>
      <c r="AL168" s="226"/>
      <c r="AM168" s="258">
        <v>38</v>
      </c>
      <c r="AN168" s="258">
        <v>125</v>
      </c>
      <c r="AO168" s="262" t="s">
        <v>252</v>
      </c>
      <c r="AP168" s="260">
        <v>587</v>
      </c>
    </row>
    <row r="169" spans="9:42" ht="20.100000000000001" customHeight="1" x14ac:dyDescent="0.25">
      <c r="I169" s="246"/>
      <c r="K169" s="247"/>
      <c r="L169" s="247"/>
      <c r="M169" s="247"/>
      <c r="N169" s="248"/>
      <c r="O169" s="249"/>
      <c r="P169" s="247"/>
      <c r="R169" s="250"/>
      <c r="U169" s="247"/>
      <c r="V169" s="247"/>
      <c r="W169" s="247"/>
      <c r="X169" s="247"/>
      <c r="Y169" s="247"/>
      <c r="Z169" s="247"/>
      <c r="AA169" s="250"/>
      <c r="AB169" s="287" t="s">
        <v>248</v>
      </c>
      <c r="AC169" s="288">
        <f>AB165</f>
        <v>7.6</v>
      </c>
      <c r="AD169" s="285">
        <f>IFERROR((AC169-AC168)/(AC170-AC168)*(AD170-AD168)+AD168,"")</f>
        <v>198.48</v>
      </c>
      <c r="AE169" s="278">
        <f>IFERROR((AE167-AF167)/(AD167-AF167)*(AD169-AF169)+AF169,"")</f>
        <v>188.08895999999999</v>
      </c>
      <c r="AF169" s="285">
        <f>IFERROR((AC169-AC168)/(AC170-AC168)*(AF170-AF168)+AF168,"")</f>
        <v>183.71999999999997</v>
      </c>
      <c r="AH169" s="258">
        <f t="shared" si="20"/>
        <v>39</v>
      </c>
      <c r="AI169" s="258">
        <f t="shared" si="20"/>
        <v>125</v>
      </c>
      <c r="AJ169" s="259" t="str">
        <f t="shared" si="20"/>
        <v>3/0</v>
      </c>
      <c r="AK169" s="260">
        <f t="shared" si="25"/>
        <v>360</v>
      </c>
      <c r="AL169" s="226"/>
      <c r="AM169" s="258">
        <v>39</v>
      </c>
      <c r="AN169" s="258">
        <v>125</v>
      </c>
      <c r="AO169" s="262" t="s">
        <v>252</v>
      </c>
      <c r="AP169" s="260">
        <v>600</v>
      </c>
    </row>
    <row r="170" spans="9:42" ht="20.100000000000001" customHeight="1" x14ac:dyDescent="0.25">
      <c r="I170" s="246"/>
      <c r="K170" s="247"/>
      <c r="L170" s="247"/>
      <c r="M170" s="247"/>
      <c r="N170" s="248"/>
      <c r="O170" s="249"/>
      <c r="P170" s="247"/>
      <c r="R170" s="250"/>
      <c r="U170" s="247"/>
      <c r="V170" s="247"/>
      <c r="W170" s="247"/>
      <c r="X170" s="247"/>
      <c r="Y170" s="247"/>
      <c r="Z170" s="247"/>
      <c r="AA170" s="250"/>
      <c r="AC170" s="282">
        <f>IF(AC169&gt;=0,ROUNDUP(AC169,0),ROUNDDOWN(AC169,0))</f>
        <v>8</v>
      </c>
      <c r="AD170" s="284">
        <f>IF(AD167=400,VLOOKUP(AC170,$AH$700:$AK$748,4),IF(AD167=350,VLOOKUP(AC170,$AH$650:$AK$698,4),IF(AD167=325,VLOOKUP(AC170,$AH$598:$AK$648,4),IF(AD167=300,VLOOKUP(AC170,$AH$544:$AK$596,4),IF(AD167=275,VLOOKUP(AC170,$AH$488:$AK$542,4),IF(AD167=250,VLOOKUP(AC170,$AH$431:$AK$486,4),IF(AD167=225,VLOOKUP(AC170,$AH$379:$AK$429,4),IF(AD167=200,VLOOKUP(AC170,$AH$319:$AK$377,4),IF(AD167=175,VLOOKUP(AC170,$AH$256:$AK$317,4),IF(AD167=150,VLOOKUP(AC170,$AH$192:$AK$254,4),IF(AD167=125,VLOOKUP(AC170,$AH$126:$AK$190,4),IF(AD167=100,VLOOKUP(AC170,$AH$81:$AK$124,4),IF(AD167=75,VLOOKUP(AC170,$AH$39:$AK$79,4),IF(AD167=50,VLOOKUP(AC170,$AH$3:$AK$37,4)))))))))))))))</f>
        <v>202.79999999999998</v>
      </c>
      <c r="AE170" s="285">
        <f>IFERROR((AE167-AD167)/(AF167-AD167)*(AF170-AD170)+AD170,"")</f>
        <v>192.23999999999998</v>
      </c>
      <c r="AF170" s="284">
        <f>IF(AF167=400,VLOOKUP(AC170,$AH$700:$AK$748,4),IF(AF167=350,VLOOKUP(AC170,$AH$650:$AK$698,4),IF(AF167=325,VLOOKUP(AC170,$AH$598:$AK$648,4),IF(AF167=300,VLOOKUP(AC170,$AH$544:$AK$596,4),IF(AF167=275,VLOOKUP(AC170,$AH$488:$AK$542,4),IF(AF167=250,VLOOKUP(AC170,$AH$431:$AK$486,4),IF(AF167=225,VLOOKUP(AC170,$AH$379:$AK$429,4),IF(AF167=200,VLOOKUP(AC170,$AH$319:$AK$377,4),IF(AF167=175,VLOOKUP(AC170,$AH$256:$AK$317,4),IF(AF167=150,VLOOKUP(AC170,$AH$192:$AK$254,4),IF(AF167=125,VLOOKUP(AC170,$AH$126:$AK$190,4),IF(AF167=100,VLOOKUP(AC170,$AH$81:$AK$124,4),IF(AF167=75,VLOOKUP(AC170,$AH$39:$AK$79,4),IF(AF167=50,VLOOKUP(AC170,$AH$3:$AK$37,4)))))))))))))))</f>
        <v>187.79999999999998</v>
      </c>
      <c r="AH170" s="258">
        <f t="shared" si="20"/>
        <v>40</v>
      </c>
      <c r="AI170" s="258">
        <f t="shared" si="20"/>
        <v>125</v>
      </c>
      <c r="AJ170" s="259" t="str">
        <f t="shared" si="20"/>
        <v>3/0</v>
      </c>
      <c r="AK170" s="260">
        <f t="shared" si="25"/>
        <v>368.4</v>
      </c>
      <c r="AL170" s="226"/>
      <c r="AM170" s="258">
        <v>40</v>
      </c>
      <c r="AN170" s="258">
        <v>125</v>
      </c>
      <c r="AO170" s="262" t="s">
        <v>252</v>
      </c>
      <c r="AP170" s="260">
        <v>614</v>
      </c>
    </row>
    <row r="171" spans="9:42" ht="20.100000000000001" customHeight="1" x14ac:dyDescent="0.25">
      <c r="I171" s="246"/>
      <c r="K171" s="247"/>
      <c r="L171" s="247"/>
      <c r="M171" s="247"/>
      <c r="N171" s="248"/>
      <c r="O171" s="249"/>
      <c r="P171" s="247"/>
      <c r="R171" s="250"/>
      <c r="U171" s="247"/>
      <c r="V171" s="247"/>
      <c r="W171" s="247"/>
      <c r="X171" s="247"/>
      <c r="Y171" s="247"/>
      <c r="Z171" s="247"/>
      <c r="AA171" s="250"/>
      <c r="AD171" s="289">
        <f>IF(AD169&lt;&gt;"",AD169,AVERAGE(AD168:AD170))</f>
        <v>198.48</v>
      </c>
      <c r="AE171" s="289">
        <f>IF(AE169&lt;&gt;"",AE169,IF(SUM(AE168:AE170)=0,"",AVERAGE(AE168:AE170)))</f>
        <v>188.08895999999999</v>
      </c>
      <c r="AF171" s="289">
        <f>IF(AF169&lt;&gt;"",AF169,AVERAGE(AF168:AF170))</f>
        <v>183.71999999999997</v>
      </c>
      <c r="AH171" s="258">
        <f t="shared" si="20"/>
        <v>41</v>
      </c>
      <c r="AI171" s="258">
        <f t="shared" si="20"/>
        <v>125</v>
      </c>
      <c r="AJ171" s="259" t="str">
        <f t="shared" si="20"/>
        <v>3/0</v>
      </c>
      <c r="AK171" s="260">
        <f t="shared" si="25"/>
        <v>376.2</v>
      </c>
      <c r="AL171" s="226"/>
      <c r="AM171" s="258">
        <v>41</v>
      </c>
      <c r="AN171" s="258">
        <v>125</v>
      </c>
      <c r="AO171" s="262" t="s">
        <v>252</v>
      </c>
      <c r="AP171" s="260">
        <v>627</v>
      </c>
    </row>
    <row r="172" spans="9:42" ht="20.100000000000001" customHeight="1" x14ac:dyDescent="0.25">
      <c r="I172" s="246"/>
      <c r="K172" s="247"/>
      <c r="L172" s="247"/>
      <c r="M172" s="247"/>
      <c r="N172" s="248"/>
      <c r="O172" s="249"/>
      <c r="P172" s="247"/>
      <c r="R172" s="250"/>
      <c r="U172" s="247"/>
      <c r="V172" s="247"/>
      <c r="W172" s="247"/>
      <c r="X172" s="247"/>
      <c r="Y172" s="247"/>
      <c r="Z172" s="247"/>
      <c r="AA172" s="250"/>
      <c r="AH172" s="258">
        <f t="shared" si="20"/>
        <v>42</v>
      </c>
      <c r="AI172" s="258">
        <f t="shared" si="20"/>
        <v>125</v>
      </c>
      <c r="AJ172" s="259" t="str">
        <f t="shared" si="20"/>
        <v>3/0</v>
      </c>
      <c r="AK172" s="260">
        <f t="shared" si="25"/>
        <v>384</v>
      </c>
      <c r="AL172" s="226"/>
      <c r="AM172" s="258">
        <v>42</v>
      </c>
      <c r="AN172" s="258">
        <v>125</v>
      </c>
      <c r="AO172" s="262" t="s">
        <v>252</v>
      </c>
      <c r="AP172" s="260">
        <v>640</v>
      </c>
    </row>
    <row r="173" spans="9:42" ht="20.100000000000001" customHeight="1" x14ac:dyDescent="0.25">
      <c r="I173" s="246"/>
      <c r="K173" s="247"/>
      <c r="L173" s="247"/>
      <c r="M173" s="247"/>
      <c r="N173" s="248"/>
      <c r="O173" s="249"/>
      <c r="P173" s="247"/>
      <c r="R173" s="250"/>
      <c r="U173" s="247"/>
      <c r="V173" s="247"/>
      <c r="W173" s="247"/>
      <c r="X173" s="247"/>
      <c r="Y173" s="247"/>
      <c r="Z173" s="247"/>
      <c r="AA173" s="250"/>
      <c r="AB173" s="257">
        <v>18</v>
      </c>
      <c r="AC173" s="226"/>
      <c r="AD173" s="226"/>
      <c r="AH173" s="258">
        <f t="shared" si="20"/>
        <v>43</v>
      </c>
      <c r="AI173" s="258">
        <f t="shared" si="20"/>
        <v>125</v>
      </c>
      <c r="AJ173" s="259" t="str">
        <f t="shared" si="20"/>
        <v>3/0</v>
      </c>
      <c r="AK173" s="260">
        <f t="shared" si="25"/>
        <v>391.8</v>
      </c>
      <c r="AL173" s="226"/>
      <c r="AM173" s="258">
        <v>43</v>
      </c>
      <c r="AN173" s="258">
        <v>125</v>
      </c>
      <c r="AO173" s="262" t="s">
        <v>252</v>
      </c>
      <c r="AP173" s="260">
        <v>653</v>
      </c>
    </row>
    <row r="174" spans="9:42" ht="20.100000000000001" customHeight="1" x14ac:dyDescent="0.25">
      <c r="I174" s="246"/>
      <c r="K174" s="247"/>
      <c r="L174" s="247"/>
      <c r="M174" s="247"/>
      <c r="N174" s="248"/>
      <c r="O174" s="249"/>
      <c r="P174" s="247"/>
      <c r="R174" s="250"/>
      <c r="U174" s="247"/>
      <c r="V174" s="247"/>
      <c r="W174" s="247"/>
      <c r="X174" s="247"/>
      <c r="Y174" s="247"/>
      <c r="Z174" s="247"/>
      <c r="AA174" s="250"/>
      <c r="AB174" s="241" t="s">
        <v>245</v>
      </c>
      <c r="AC174" s="241" t="s">
        <v>246</v>
      </c>
      <c r="AD174" s="241" t="s">
        <v>236</v>
      </c>
      <c r="AH174" s="258">
        <f t="shared" si="20"/>
        <v>44</v>
      </c>
      <c r="AI174" s="258">
        <f t="shared" si="20"/>
        <v>125</v>
      </c>
      <c r="AJ174" s="259" t="str">
        <f t="shared" si="20"/>
        <v>3/0</v>
      </c>
      <c r="AK174" s="260">
        <f t="shared" si="25"/>
        <v>399.59999999999997</v>
      </c>
      <c r="AL174" s="226"/>
      <c r="AM174" s="258">
        <v>44</v>
      </c>
      <c r="AN174" s="258">
        <v>125</v>
      </c>
      <c r="AO174" s="262" t="s">
        <v>252</v>
      </c>
      <c r="AP174" s="260">
        <v>666</v>
      </c>
    </row>
    <row r="175" spans="9:42" ht="20.100000000000001" customHeight="1" x14ac:dyDescent="0.25">
      <c r="I175" s="246"/>
      <c r="K175" s="247"/>
      <c r="L175" s="247"/>
      <c r="M175" s="247"/>
      <c r="N175" s="248"/>
      <c r="O175" s="249"/>
      <c r="P175" s="247"/>
      <c r="R175" s="250"/>
      <c r="U175" s="247"/>
      <c r="V175" s="247"/>
      <c r="W175" s="247"/>
      <c r="X175" s="247"/>
      <c r="Y175" s="247"/>
      <c r="Z175" s="247"/>
      <c r="AA175" s="250"/>
      <c r="AB175" s="288">
        <f>IF(I21="","",I21)</f>
        <v>7.5</v>
      </c>
      <c r="AC175" s="283">
        <f>IF(J21="","",J21)</f>
        <v>68.099999999999994</v>
      </c>
      <c r="AD175" s="278">
        <f>IF(OR(AB175="",AC175=""),"",IF(AE179&lt;&gt;"",AE181,AVERAGEIF(AD181:AF181,"&lt;&gt;0",AD181:AF181)))</f>
        <v>186.75719999999998</v>
      </c>
      <c r="AH175" s="258">
        <f t="shared" si="20"/>
        <v>45</v>
      </c>
      <c r="AI175" s="258">
        <f t="shared" si="20"/>
        <v>125</v>
      </c>
      <c r="AJ175" s="259" t="str">
        <f t="shared" si="20"/>
        <v>3/0</v>
      </c>
      <c r="AK175" s="260">
        <f t="shared" si="25"/>
        <v>408</v>
      </c>
      <c r="AL175" s="226"/>
      <c r="AM175" s="258">
        <v>45</v>
      </c>
      <c r="AN175" s="258">
        <v>125</v>
      </c>
      <c r="AO175" s="262" t="s">
        <v>252</v>
      </c>
      <c r="AP175" s="260">
        <v>680</v>
      </c>
    </row>
    <row r="176" spans="9:42" ht="20.100000000000001" customHeight="1" x14ac:dyDescent="0.25">
      <c r="I176" s="246"/>
      <c r="K176" s="247"/>
      <c r="L176" s="247"/>
      <c r="M176" s="247"/>
      <c r="N176" s="248"/>
      <c r="O176" s="249"/>
      <c r="P176" s="247"/>
      <c r="R176" s="250"/>
      <c r="U176" s="247"/>
      <c r="V176" s="247"/>
      <c r="W176" s="247"/>
      <c r="X176" s="247"/>
      <c r="Y176" s="247"/>
      <c r="Z176" s="247"/>
      <c r="AA176" s="250"/>
      <c r="AC176" s="250" t="s">
        <v>182</v>
      </c>
      <c r="AE176" s="279" t="s">
        <v>247</v>
      </c>
      <c r="AH176" s="258">
        <f t="shared" si="20"/>
        <v>46</v>
      </c>
      <c r="AI176" s="258">
        <f t="shared" si="20"/>
        <v>125</v>
      </c>
      <c r="AJ176" s="259" t="str">
        <f t="shared" si="20"/>
        <v>3/0</v>
      </c>
      <c r="AK176" s="260">
        <f t="shared" si="25"/>
        <v>415.8</v>
      </c>
      <c r="AL176" s="226"/>
      <c r="AM176" s="258">
        <v>46</v>
      </c>
      <c r="AN176" s="258">
        <v>125</v>
      </c>
      <c r="AO176" s="262" t="s">
        <v>252</v>
      </c>
      <c r="AP176" s="260">
        <v>693</v>
      </c>
    </row>
    <row r="177" spans="9:42" ht="20.100000000000001" customHeight="1" x14ac:dyDescent="0.25">
      <c r="I177" s="246"/>
      <c r="K177" s="247"/>
      <c r="L177" s="247"/>
      <c r="M177" s="247"/>
      <c r="N177" s="248"/>
      <c r="O177" s="249"/>
      <c r="P177" s="247"/>
      <c r="R177" s="250"/>
      <c r="U177" s="247"/>
      <c r="V177" s="247"/>
      <c r="W177" s="247"/>
      <c r="X177" s="247"/>
      <c r="Y177" s="247"/>
      <c r="Z177" s="247"/>
      <c r="AA177" s="250"/>
      <c r="AC177" s="281"/>
      <c r="AD177" s="282">
        <f>IF(AE177&gt;=400,400,IF(AE177&gt;=350,350,IF(AE177&gt;=325,325,IF(AE177&gt;=300,300,IF(AE177&gt;=275,275,IF(AE177&gt;=250,250,IF(AE177&gt;=225,225,IF(AE177&gt;=200,200,IF(AE177&gt;=175,175,IF(AE177&gt;=150,150,IF(AE177&gt;=125,125,IF(AE177&gt;=100,100,IF(AE177&gt;=75,75,50)))))))))))))</f>
        <v>50</v>
      </c>
      <c r="AE177" s="283">
        <f>AC175</f>
        <v>68.099999999999994</v>
      </c>
      <c r="AF177" s="282">
        <f>IF(AE177&lt;=50,50,IF(AE177&lt;=75,75,IF(AE177&lt;=100,100,IF(AE177&lt;=125,125,IF(AE177&lt;=150,150,IF(AE177&lt;=175,175,IF(AE177&lt;=200,200,IF(AE177&lt;=225,225,IF(AE177&lt;=250,250,IF(AE177&lt;=275,275,IF(AE177&lt;=300,300,IF(AE177&lt;=325,325,IF(AE177&lt;=350,350,400)))))))))))))</f>
        <v>75</v>
      </c>
      <c r="AH177" s="258">
        <f t="shared" si="20"/>
        <v>47</v>
      </c>
      <c r="AI177" s="258">
        <f t="shared" si="20"/>
        <v>125</v>
      </c>
      <c r="AJ177" s="259" t="str">
        <f t="shared" si="20"/>
        <v>3/0</v>
      </c>
      <c r="AK177" s="260">
        <f t="shared" si="25"/>
        <v>423.59999999999997</v>
      </c>
      <c r="AL177" s="226"/>
      <c r="AM177" s="258">
        <v>47</v>
      </c>
      <c r="AN177" s="258">
        <v>125</v>
      </c>
      <c r="AO177" s="262" t="s">
        <v>252</v>
      </c>
      <c r="AP177" s="260">
        <v>706</v>
      </c>
    </row>
    <row r="178" spans="9:42" ht="20.100000000000001" customHeight="1" x14ac:dyDescent="0.25">
      <c r="I178" s="246"/>
      <c r="K178" s="247"/>
      <c r="L178" s="247"/>
      <c r="M178" s="247"/>
      <c r="N178" s="248"/>
      <c r="O178" s="249"/>
      <c r="P178" s="247"/>
      <c r="R178" s="250"/>
      <c r="U178" s="247"/>
      <c r="V178" s="247"/>
      <c r="W178" s="247"/>
      <c r="X178" s="247"/>
      <c r="Y178" s="247"/>
      <c r="Z178" s="247"/>
      <c r="AA178" s="250"/>
      <c r="AC178" s="282">
        <f>IF(AC179&gt;=0,ROUNDDOWN(AC179,0),ROUNDUP(AC179,0))</f>
        <v>7</v>
      </c>
      <c r="AD178" s="284">
        <f>IF(AD177=400,VLOOKUP(AC178,$AH$700:$AK$748,4),IF(AD177=350,VLOOKUP(AC178,$AH$650:$AK$698,4),IF(AD177=325,VLOOKUP(AC178,$AH$598:$AK$648,4),IF(AD177=300,VLOOKUP(AC178,$AH$544:$AK$596,4),IF(AD177=275,VLOOKUP(AC178,$AH$488:$AK$542,4),IF(AD177=250,VLOOKUP(AC178,$AH$431:$AK$486,4),IF(AD177=225,VLOOKUP(AC178,$AH$379:$AK$429,4),IF(AD177=200,VLOOKUP(AC178,$AH$319:$AK$377,4),IF(AD177=175,VLOOKUP(AC178,$AH$256:$AK$317,4),IF(AD177=150,VLOOKUP(AC178,$AH$192:$AK$254,4),IF(AD177=125,VLOOKUP(AC178,$AH$126:$AK$190,4),IF(AD177=100,VLOOKUP(AC178,$AH$81:$AK$124,4),IF(AD177=75,VLOOKUP(AC178,$AH$39:$AK$79,4),IF(AD177=50,VLOOKUP(AC178,$AH$3:$AK$37,4)))))))))))))))</f>
        <v>192</v>
      </c>
      <c r="AE178" s="285">
        <f>IFERROR((AE177-AD177)/(AF177-AD177)*(AF178-AD178)+AD178,"")</f>
        <v>181.5744</v>
      </c>
      <c r="AF178" s="284">
        <f>IF(AF177=400,VLOOKUP(AC178,$AH$700:$AK$748,4),IF(AF177=350,VLOOKUP(AC178,$AH$650:$AK$698,4),IF(AF177=325,VLOOKUP(AC178,$AH$598:$AK$648,4),IF(AF177=300,VLOOKUP(AC178,$AH$544:$AK$596,4),IF(AF177=275,VLOOKUP(AC178,$AH$488:$AK$542,4),IF(AF177=250,VLOOKUP(AC178,$AH$431:$AK$486,4),IF(AF177=225,VLOOKUP(AC178,$AH$379:$AK$429,4),IF(AF177=200,VLOOKUP(AC178,$AH$319:$AK$377,4),IF(AF177=175,VLOOKUP(AC178,$AH$256:$AK$317,4),IF(AF177=150,VLOOKUP(AC178,$AH$192:$AK$254,4),IF(AF177=125,VLOOKUP(AC178,$AH$126:$AK$190,4),IF(AF177=100,VLOOKUP(AC178,$AH$81:$AK$124,4),IF(AF177=75,VLOOKUP(AC178,$AH$39:$AK$79,4),IF(AF177=50,VLOOKUP(AC178,$AH$3:$AK$37,4)))))))))))))))</f>
        <v>177.6</v>
      </c>
      <c r="AH178" s="258">
        <f t="shared" si="20"/>
        <v>48</v>
      </c>
      <c r="AI178" s="258">
        <f t="shared" si="20"/>
        <v>125</v>
      </c>
      <c r="AJ178" s="259" t="str">
        <f t="shared" si="20"/>
        <v>3/0</v>
      </c>
      <c r="AK178" s="260">
        <f t="shared" si="25"/>
        <v>431.4</v>
      </c>
      <c r="AL178" s="226"/>
      <c r="AM178" s="258">
        <v>48</v>
      </c>
      <c r="AN178" s="258">
        <v>125</v>
      </c>
      <c r="AO178" s="262" t="s">
        <v>252</v>
      </c>
      <c r="AP178" s="260">
        <v>719</v>
      </c>
    </row>
    <row r="179" spans="9:42" ht="20.100000000000001" customHeight="1" x14ac:dyDescent="0.25">
      <c r="I179" s="246"/>
      <c r="K179" s="247"/>
      <c r="L179" s="247"/>
      <c r="M179" s="247"/>
      <c r="N179" s="248"/>
      <c r="O179" s="249"/>
      <c r="P179" s="247"/>
      <c r="R179" s="250"/>
      <c r="U179" s="247"/>
      <c r="V179" s="247"/>
      <c r="W179" s="247"/>
      <c r="X179" s="247"/>
      <c r="Y179" s="247"/>
      <c r="Z179" s="247"/>
      <c r="AA179" s="250"/>
      <c r="AB179" s="287" t="s">
        <v>248</v>
      </c>
      <c r="AC179" s="288">
        <f>AB175</f>
        <v>7.5</v>
      </c>
      <c r="AD179" s="285">
        <f>IFERROR((AC179-AC178)/(AC180-AC178)*(AD180-AD178)+AD178,"")</f>
        <v>197.39999999999998</v>
      </c>
      <c r="AE179" s="278">
        <f>IFERROR((AE177-AF177)/(AD177-AF177)*(AD179-AF179)+AF179,"")</f>
        <v>186.75719999999998</v>
      </c>
      <c r="AF179" s="285">
        <f>IFERROR((AC179-AC178)/(AC180-AC178)*(AF180-AF178)+AF178,"")</f>
        <v>182.7</v>
      </c>
      <c r="AH179" s="258">
        <f t="shared" si="20"/>
        <v>49</v>
      </c>
      <c r="AI179" s="258">
        <f t="shared" si="20"/>
        <v>125</v>
      </c>
      <c r="AJ179" s="259" t="str">
        <f t="shared" si="20"/>
        <v>3/0</v>
      </c>
      <c r="AK179" s="260">
        <f t="shared" si="25"/>
        <v>439.8</v>
      </c>
      <c r="AL179" s="226"/>
      <c r="AM179" s="258">
        <v>49</v>
      </c>
      <c r="AN179" s="258">
        <v>125</v>
      </c>
      <c r="AO179" s="262" t="s">
        <v>252</v>
      </c>
      <c r="AP179" s="260">
        <v>733</v>
      </c>
    </row>
    <row r="180" spans="9:42" ht="20.100000000000001" customHeight="1" x14ac:dyDescent="0.25">
      <c r="I180" s="246"/>
      <c r="K180" s="247"/>
      <c r="L180" s="247"/>
      <c r="M180" s="247"/>
      <c r="N180" s="248"/>
      <c r="O180" s="249"/>
      <c r="P180" s="247"/>
      <c r="R180" s="250"/>
      <c r="U180" s="247"/>
      <c r="V180" s="247"/>
      <c r="W180" s="247"/>
      <c r="X180" s="247"/>
      <c r="Y180" s="247"/>
      <c r="Z180" s="247"/>
      <c r="AA180" s="250"/>
      <c r="AC180" s="282">
        <f>IF(AC179&gt;=0,ROUNDUP(AC179,0),ROUNDDOWN(AC179,0))</f>
        <v>8</v>
      </c>
      <c r="AD180" s="284">
        <f>IF(AD177=400,VLOOKUP(AC180,$AH$700:$AK$748,4),IF(AD177=350,VLOOKUP(AC180,$AH$650:$AK$698,4),IF(AD177=325,VLOOKUP(AC180,$AH$598:$AK$648,4),IF(AD177=300,VLOOKUP(AC180,$AH$544:$AK$596,4),IF(AD177=275,VLOOKUP(AC180,$AH$488:$AK$542,4),IF(AD177=250,VLOOKUP(AC180,$AH$431:$AK$486,4),IF(AD177=225,VLOOKUP(AC180,$AH$379:$AK$429,4),IF(AD177=200,VLOOKUP(AC180,$AH$319:$AK$377,4),IF(AD177=175,VLOOKUP(AC180,$AH$256:$AK$317,4),IF(AD177=150,VLOOKUP(AC180,$AH$192:$AK$254,4),IF(AD177=125,VLOOKUP(AC180,$AH$126:$AK$190,4),IF(AD177=100,VLOOKUP(AC180,$AH$81:$AK$124,4),IF(AD177=75,VLOOKUP(AC180,$AH$39:$AK$79,4),IF(AD177=50,VLOOKUP(AC180,$AH$3:$AK$37,4)))))))))))))))</f>
        <v>202.79999999999998</v>
      </c>
      <c r="AE180" s="285">
        <f>IFERROR((AE177-AD177)/(AF177-AD177)*(AF180-AD180)+AD180,"")</f>
        <v>191.94</v>
      </c>
      <c r="AF180" s="284">
        <f>IF(AF177=400,VLOOKUP(AC180,$AH$700:$AK$748,4),IF(AF177=350,VLOOKUP(AC180,$AH$650:$AK$698,4),IF(AF177=325,VLOOKUP(AC180,$AH$598:$AK$648,4),IF(AF177=300,VLOOKUP(AC180,$AH$544:$AK$596,4),IF(AF177=275,VLOOKUP(AC180,$AH$488:$AK$542,4),IF(AF177=250,VLOOKUP(AC180,$AH$431:$AK$486,4),IF(AF177=225,VLOOKUP(AC180,$AH$379:$AK$429,4),IF(AF177=200,VLOOKUP(AC180,$AH$319:$AK$377,4),IF(AF177=175,VLOOKUP(AC180,$AH$256:$AK$317,4),IF(AF177=150,VLOOKUP(AC180,$AH$192:$AK$254,4),IF(AF177=125,VLOOKUP(AC180,$AH$126:$AK$190,4),IF(AF177=100,VLOOKUP(AC180,$AH$81:$AK$124,4),IF(AF177=75,VLOOKUP(AC180,$AH$39:$AK$79,4),IF(AF177=50,VLOOKUP(AC180,$AH$3:$AK$37,4)))))))))))))))</f>
        <v>187.79999999999998</v>
      </c>
      <c r="AH180" s="258">
        <f>AM180</f>
        <v>50</v>
      </c>
      <c r="AI180" s="258">
        <f>AN180</f>
        <v>125</v>
      </c>
      <c r="AJ180" s="259" t="str">
        <f>AO180</f>
        <v>3/0</v>
      </c>
      <c r="AK180" s="260">
        <f t="shared" si="25"/>
        <v>447.59999999999997</v>
      </c>
      <c r="AL180" s="226"/>
      <c r="AM180" s="258">
        <v>50</v>
      </c>
      <c r="AN180" s="258">
        <v>125</v>
      </c>
      <c r="AO180" s="262" t="s">
        <v>252</v>
      </c>
      <c r="AP180" s="260">
        <v>746</v>
      </c>
    </row>
    <row r="181" spans="9:42" ht="20.100000000000001" customHeight="1" x14ac:dyDescent="0.25">
      <c r="I181" s="246"/>
      <c r="K181" s="247"/>
      <c r="L181" s="247"/>
      <c r="M181" s="247"/>
      <c r="N181" s="248"/>
      <c r="O181" s="249"/>
      <c r="P181" s="247"/>
      <c r="R181" s="250"/>
      <c r="U181" s="247"/>
      <c r="V181" s="247"/>
      <c r="W181" s="247"/>
      <c r="X181" s="247"/>
      <c r="Y181" s="247"/>
      <c r="Z181" s="247"/>
      <c r="AA181" s="250"/>
      <c r="AD181" s="289">
        <f>IF(AD179&lt;&gt;"",AD179,AVERAGE(AD178:AD180))</f>
        <v>197.39999999999998</v>
      </c>
      <c r="AE181" s="289">
        <f>IF(AE179&lt;&gt;"",AE179,IF(SUM(AE178:AE180)=0,"",AVERAGE(AE178:AE180)))</f>
        <v>186.75719999999998</v>
      </c>
      <c r="AF181" s="289">
        <f>IF(AF179&lt;&gt;"",AF179,AVERAGE(AF178:AF180))</f>
        <v>182.7</v>
      </c>
      <c r="AH181" s="258">
        <f t="shared" ref="AH181:AJ190" si="26">AM181</f>
        <v>51</v>
      </c>
      <c r="AI181" s="258">
        <f t="shared" si="26"/>
        <v>125</v>
      </c>
      <c r="AJ181" s="259" t="str">
        <f t="shared" si="26"/>
        <v>2/0</v>
      </c>
      <c r="AK181" s="260">
        <f t="shared" si="25"/>
        <v>304.8</v>
      </c>
      <c r="AL181" s="226"/>
      <c r="AM181" s="258">
        <v>51</v>
      </c>
      <c r="AN181" s="258">
        <v>125</v>
      </c>
      <c r="AO181" s="262" t="s">
        <v>253</v>
      </c>
      <c r="AP181" s="260">
        <v>508</v>
      </c>
    </row>
    <row r="182" spans="9:42" ht="20.100000000000001" customHeight="1" x14ac:dyDescent="0.25">
      <c r="I182" s="246"/>
      <c r="K182" s="247"/>
      <c r="L182" s="247"/>
      <c r="M182" s="247"/>
      <c r="N182" s="248"/>
      <c r="O182" s="249"/>
      <c r="P182" s="247"/>
      <c r="R182" s="250"/>
      <c r="U182" s="247"/>
      <c r="V182" s="247"/>
      <c r="W182" s="247"/>
      <c r="X182" s="247"/>
      <c r="Y182" s="247"/>
      <c r="Z182" s="247"/>
      <c r="AA182" s="250"/>
      <c r="AH182" s="258">
        <f t="shared" si="26"/>
        <v>52</v>
      </c>
      <c r="AI182" s="258">
        <f t="shared" si="26"/>
        <v>125</v>
      </c>
      <c r="AJ182" s="259" t="str">
        <f t="shared" si="26"/>
        <v>2/0</v>
      </c>
      <c r="AK182" s="260">
        <f t="shared" si="25"/>
        <v>309.59999999999997</v>
      </c>
      <c r="AL182" s="226"/>
      <c r="AM182" s="258">
        <v>52</v>
      </c>
      <c r="AN182" s="258">
        <v>125</v>
      </c>
      <c r="AO182" s="262" t="s">
        <v>253</v>
      </c>
      <c r="AP182" s="260">
        <v>516</v>
      </c>
    </row>
    <row r="183" spans="9:42" ht="20.100000000000001" customHeight="1" x14ac:dyDescent="0.25">
      <c r="I183" s="246"/>
      <c r="K183" s="247"/>
      <c r="L183" s="247"/>
      <c r="M183" s="247"/>
      <c r="N183" s="248"/>
      <c r="O183" s="249"/>
      <c r="P183" s="247"/>
      <c r="R183" s="250"/>
      <c r="U183" s="247"/>
      <c r="V183" s="247"/>
      <c r="W183" s="247"/>
      <c r="X183" s="247"/>
      <c r="Y183" s="247"/>
      <c r="Z183" s="247"/>
      <c r="AA183" s="250"/>
      <c r="AB183" s="257">
        <v>19</v>
      </c>
      <c r="AC183" s="226"/>
      <c r="AD183" s="226"/>
      <c r="AH183" s="258">
        <f t="shared" si="26"/>
        <v>53</v>
      </c>
      <c r="AI183" s="258">
        <f t="shared" si="26"/>
        <v>125</v>
      </c>
      <c r="AJ183" s="259" t="str">
        <f t="shared" si="26"/>
        <v>2/0</v>
      </c>
      <c r="AK183" s="260">
        <f t="shared" si="25"/>
        <v>315</v>
      </c>
      <c r="AL183" s="226"/>
      <c r="AM183" s="258">
        <v>53</v>
      </c>
      <c r="AN183" s="258">
        <v>125</v>
      </c>
      <c r="AO183" s="262" t="s">
        <v>253</v>
      </c>
      <c r="AP183" s="260">
        <v>525</v>
      </c>
    </row>
    <row r="184" spans="9:42" ht="20.100000000000001" customHeight="1" x14ac:dyDescent="0.25">
      <c r="I184" s="246"/>
      <c r="K184" s="247"/>
      <c r="L184" s="247"/>
      <c r="M184" s="247"/>
      <c r="N184" s="248"/>
      <c r="O184" s="249"/>
      <c r="P184" s="247"/>
      <c r="R184" s="250"/>
      <c r="U184" s="247"/>
      <c r="V184" s="247"/>
      <c r="W184" s="247"/>
      <c r="X184" s="247"/>
      <c r="Y184" s="247"/>
      <c r="Z184" s="247"/>
      <c r="AA184" s="250"/>
      <c r="AB184" s="241" t="s">
        <v>245</v>
      </c>
      <c r="AC184" s="241" t="s">
        <v>246</v>
      </c>
      <c r="AD184" s="241" t="s">
        <v>236</v>
      </c>
      <c r="AH184" s="258">
        <f t="shared" si="26"/>
        <v>54</v>
      </c>
      <c r="AI184" s="258">
        <f t="shared" si="26"/>
        <v>125</v>
      </c>
      <c r="AJ184" s="259" t="str">
        <f t="shared" si="26"/>
        <v>2/0</v>
      </c>
      <c r="AK184" s="260">
        <f t="shared" si="25"/>
        <v>320.39999999999998</v>
      </c>
      <c r="AL184" s="226"/>
      <c r="AM184" s="258">
        <v>54</v>
      </c>
      <c r="AN184" s="258">
        <v>125</v>
      </c>
      <c r="AO184" s="262" t="s">
        <v>253</v>
      </c>
      <c r="AP184" s="260">
        <v>534</v>
      </c>
    </row>
    <row r="185" spans="9:42" ht="20.100000000000001" customHeight="1" x14ac:dyDescent="0.25">
      <c r="I185" s="246"/>
      <c r="K185" s="247"/>
      <c r="L185" s="247"/>
      <c r="M185" s="247"/>
      <c r="N185" s="248"/>
      <c r="O185" s="249"/>
      <c r="P185" s="247"/>
      <c r="R185" s="250"/>
      <c r="U185" s="247"/>
      <c r="V185" s="247"/>
      <c r="W185" s="247"/>
      <c r="X185" s="247"/>
      <c r="Y185" s="247"/>
      <c r="Z185" s="247"/>
      <c r="AA185" s="250"/>
      <c r="AB185" s="288">
        <f>IF(I22="","",I22)</f>
        <v>7.4</v>
      </c>
      <c r="AC185" s="283">
        <f>IF(J22="","",J22)</f>
        <v>67.900000000000006</v>
      </c>
      <c r="AD185" s="278">
        <f>IF(OR(AB185="",AC185=""),"",IF(AE189&lt;&gt;"",AE191,AVERAGEIF(AD191:AF191,"&lt;&gt;0",AD191:AF191)))</f>
        <v>185.83776</v>
      </c>
      <c r="AH185" s="258">
        <f t="shared" si="26"/>
        <v>55</v>
      </c>
      <c r="AI185" s="258">
        <f t="shared" si="26"/>
        <v>125</v>
      </c>
      <c r="AJ185" s="259" t="str">
        <f t="shared" si="26"/>
        <v>2/0</v>
      </c>
      <c r="AK185" s="260">
        <f t="shared" si="25"/>
        <v>325.2</v>
      </c>
      <c r="AL185" s="226"/>
      <c r="AM185" s="258">
        <v>55</v>
      </c>
      <c r="AN185" s="258">
        <v>125</v>
      </c>
      <c r="AO185" s="262" t="s">
        <v>253</v>
      </c>
      <c r="AP185" s="260">
        <v>542</v>
      </c>
    </row>
    <row r="186" spans="9:42" ht="20.100000000000001" customHeight="1" x14ac:dyDescent="0.25">
      <c r="I186" s="246"/>
      <c r="K186" s="247"/>
      <c r="L186" s="247"/>
      <c r="M186" s="247"/>
      <c r="N186" s="248"/>
      <c r="O186" s="249"/>
      <c r="P186" s="247"/>
      <c r="R186" s="250"/>
      <c r="U186" s="247"/>
      <c r="V186" s="247"/>
      <c r="W186" s="247"/>
      <c r="X186" s="247"/>
      <c r="Y186" s="247"/>
      <c r="Z186" s="247"/>
      <c r="AA186" s="250"/>
      <c r="AC186" s="250" t="s">
        <v>182</v>
      </c>
      <c r="AE186" s="279" t="s">
        <v>247</v>
      </c>
      <c r="AH186" s="258">
        <f t="shared" si="26"/>
        <v>56</v>
      </c>
      <c r="AI186" s="258">
        <f t="shared" si="26"/>
        <v>125</v>
      </c>
      <c r="AJ186" s="259" t="str">
        <f t="shared" si="26"/>
        <v>2/0</v>
      </c>
      <c r="AK186" s="260">
        <f t="shared" si="25"/>
        <v>330.59999999999997</v>
      </c>
      <c r="AL186" s="226"/>
      <c r="AM186" s="258">
        <v>56</v>
      </c>
      <c r="AN186" s="258">
        <v>125</v>
      </c>
      <c r="AO186" s="262" t="s">
        <v>253</v>
      </c>
      <c r="AP186" s="260">
        <v>551</v>
      </c>
    </row>
    <row r="187" spans="9:42" ht="20.100000000000001" customHeight="1" x14ac:dyDescent="0.25">
      <c r="I187" s="246"/>
      <c r="K187" s="247"/>
      <c r="L187" s="247"/>
      <c r="M187" s="247"/>
      <c r="N187" s="248"/>
      <c r="O187" s="249"/>
      <c r="P187" s="247"/>
      <c r="R187" s="250"/>
      <c r="U187" s="247"/>
      <c r="V187" s="247"/>
      <c r="W187" s="247"/>
      <c r="X187" s="247"/>
      <c r="Y187" s="247"/>
      <c r="Z187" s="247"/>
      <c r="AA187" s="250"/>
      <c r="AC187" s="281"/>
      <c r="AD187" s="282">
        <f>IF(AE187&gt;=400,400,IF(AE187&gt;=350,350,IF(AE187&gt;=325,325,IF(AE187&gt;=300,300,IF(AE187&gt;=275,275,IF(AE187&gt;=250,250,IF(AE187&gt;=225,225,IF(AE187&gt;=200,200,IF(AE187&gt;=175,175,IF(AE187&gt;=150,150,IF(AE187&gt;=125,125,IF(AE187&gt;=100,100,IF(AE187&gt;=75,75,50)))))))))))))</f>
        <v>50</v>
      </c>
      <c r="AE187" s="283">
        <f>AC185</f>
        <v>67.900000000000006</v>
      </c>
      <c r="AF187" s="282">
        <f>IF(AE187&lt;=50,50,IF(AE187&lt;=75,75,IF(AE187&lt;=100,100,IF(AE187&lt;=125,125,IF(AE187&lt;=150,150,IF(AE187&lt;=175,175,IF(AE187&lt;=200,200,IF(AE187&lt;=225,225,IF(AE187&lt;=250,250,IF(AE187&lt;=275,275,IF(AE187&lt;=300,300,IF(AE187&lt;=325,325,IF(AE187&lt;=350,350,400)))))))))))))</f>
        <v>75</v>
      </c>
      <c r="AH187" s="258">
        <f t="shared" si="26"/>
        <v>57</v>
      </c>
      <c r="AI187" s="258">
        <f t="shared" si="26"/>
        <v>125</v>
      </c>
      <c r="AJ187" s="259" t="str">
        <f t="shared" si="26"/>
        <v>2/0</v>
      </c>
      <c r="AK187" s="260">
        <f t="shared" si="25"/>
        <v>336</v>
      </c>
      <c r="AL187" s="226"/>
      <c r="AM187" s="258">
        <v>57</v>
      </c>
      <c r="AN187" s="258">
        <v>125</v>
      </c>
      <c r="AO187" s="262" t="s">
        <v>253</v>
      </c>
      <c r="AP187" s="260">
        <v>560</v>
      </c>
    </row>
    <row r="188" spans="9:42" ht="20.100000000000001" customHeight="1" x14ac:dyDescent="0.25">
      <c r="I188" s="246"/>
      <c r="K188" s="247"/>
      <c r="L188" s="247"/>
      <c r="M188" s="247"/>
      <c r="N188" s="248"/>
      <c r="O188" s="249"/>
      <c r="P188" s="247"/>
      <c r="R188" s="250"/>
      <c r="U188" s="247"/>
      <c r="V188" s="247"/>
      <c r="W188" s="247"/>
      <c r="X188" s="247"/>
      <c r="Y188" s="247"/>
      <c r="Z188" s="247"/>
      <c r="AA188" s="250"/>
      <c r="AC188" s="282">
        <f>IF(AC189&gt;=0,ROUNDDOWN(AC189,0),ROUNDUP(AC189,0))</f>
        <v>7</v>
      </c>
      <c r="AD188" s="284">
        <f>IF(AD187=400,VLOOKUP(AC188,$AH$700:$AK$748,4),IF(AD187=350,VLOOKUP(AC188,$AH$650:$AK$698,4),IF(AD187=325,VLOOKUP(AC188,$AH$598:$AK$648,4),IF(AD187=300,VLOOKUP(AC188,$AH$544:$AK$596,4),IF(AD187=275,VLOOKUP(AC188,$AH$488:$AK$542,4),IF(AD187=250,VLOOKUP(AC188,$AH$431:$AK$486,4),IF(AD187=225,VLOOKUP(AC188,$AH$379:$AK$429,4),IF(AD187=200,VLOOKUP(AC188,$AH$319:$AK$377,4),IF(AD187=175,VLOOKUP(AC188,$AH$256:$AK$317,4),IF(AD187=150,VLOOKUP(AC188,$AH$192:$AK$254,4),IF(AD187=125,VLOOKUP(AC188,$AH$126:$AK$190,4),IF(AD187=100,VLOOKUP(AC188,$AH$81:$AK$124,4),IF(AD187=75,VLOOKUP(AC188,$AH$39:$AK$79,4),IF(AD187=50,VLOOKUP(AC188,$AH$3:$AK$37,4)))))))))))))))</f>
        <v>192</v>
      </c>
      <c r="AE188" s="285">
        <f>IFERROR((AE187-AD187)/(AF187-AD187)*(AF188-AD188)+AD188,"")</f>
        <v>181.68959999999998</v>
      </c>
      <c r="AF188" s="284">
        <f>IF(AF187=400,VLOOKUP(AC188,$AH$700:$AK$748,4),IF(AF187=350,VLOOKUP(AC188,$AH$650:$AK$698,4),IF(AF187=325,VLOOKUP(AC188,$AH$598:$AK$648,4),IF(AF187=300,VLOOKUP(AC188,$AH$544:$AK$596,4),IF(AF187=275,VLOOKUP(AC188,$AH$488:$AK$542,4),IF(AF187=250,VLOOKUP(AC188,$AH$431:$AK$486,4),IF(AF187=225,VLOOKUP(AC188,$AH$379:$AK$429,4),IF(AF187=200,VLOOKUP(AC188,$AH$319:$AK$377,4),IF(AF187=175,VLOOKUP(AC188,$AH$256:$AK$317,4),IF(AF187=150,VLOOKUP(AC188,$AH$192:$AK$254,4),IF(AF187=125,VLOOKUP(AC188,$AH$126:$AK$190,4),IF(AF187=100,VLOOKUP(AC188,$AH$81:$AK$124,4),IF(AF187=75,VLOOKUP(AC188,$AH$39:$AK$79,4),IF(AF187=50,VLOOKUP(AC188,$AH$3:$AK$37,4)))))))))))))))</f>
        <v>177.6</v>
      </c>
      <c r="AH188" s="258">
        <f t="shared" si="26"/>
        <v>58</v>
      </c>
      <c r="AI188" s="258">
        <f t="shared" si="26"/>
        <v>125</v>
      </c>
      <c r="AJ188" s="259" t="str">
        <f t="shared" si="26"/>
        <v>2/0</v>
      </c>
      <c r="AK188" s="260">
        <f t="shared" si="25"/>
        <v>340.8</v>
      </c>
      <c r="AL188" s="226"/>
      <c r="AM188" s="258">
        <v>58</v>
      </c>
      <c r="AN188" s="258">
        <v>125</v>
      </c>
      <c r="AO188" s="262" t="s">
        <v>253</v>
      </c>
      <c r="AP188" s="260">
        <v>568</v>
      </c>
    </row>
    <row r="189" spans="9:42" ht="20.100000000000001" customHeight="1" x14ac:dyDescent="0.25">
      <c r="I189" s="246"/>
      <c r="K189" s="247"/>
      <c r="L189" s="247"/>
      <c r="M189" s="247"/>
      <c r="N189" s="248"/>
      <c r="O189" s="249"/>
      <c r="P189" s="247"/>
      <c r="R189" s="250"/>
      <c r="U189" s="247"/>
      <c r="V189" s="247"/>
      <c r="W189" s="247"/>
      <c r="X189" s="247"/>
      <c r="Y189" s="247"/>
      <c r="Z189" s="247"/>
      <c r="AA189" s="250"/>
      <c r="AB189" s="287" t="s">
        <v>248</v>
      </c>
      <c r="AC189" s="288">
        <f>AB185</f>
        <v>7.4</v>
      </c>
      <c r="AD189" s="285">
        <f>IFERROR((AC189-AC188)/(AC190-AC188)*(AD190-AD188)+AD188,"")</f>
        <v>196.32</v>
      </c>
      <c r="AE189" s="278">
        <f>IFERROR((AE187-AF187)/(AD187-AF187)*(AD189-AF189)+AF189,"")</f>
        <v>185.83776</v>
      </c>
      <c r="AF189" s="285">
        <f>IFERROR((AC189-AC188)/(AC190-AC188)*(AF190-AF188)+AF188,"")</f>
        <v>181.68</v>
      </c>
      <c r="AH189" s="258">
        <f t="shared" si="26"/>
        <v>59</v>
      </c>
      <c r="AI189" s="258">
        <f t="shared" si="26"/>
        <v>125</v>
      </c>
      <c r="AJ189" s="259" t="str">
        <f t="shared" si="26"/>
        <v>2/0</v>
      </c>
      <c r="AK189" s="260">
        <f t="shared" si="25"/>
        <v>346.8</v>
      </c>
      <c r="AL189" s="226"/>
      <c r="AM189" s="258">
        <v>59</v>
      </c>
      <c r="AN189" s="258">
        <v>125</v>
      </c>
      <c r="AO189" s="262" t="s">
        <v>253</v>
      </c>
      <c r="AP189" s="260">
        <v>578</v>
      </c>
    </row>
    <row r="190" spans="9:42" ht="20.100000000000001" customHeight="1" x14ac:dyDescent="0.25">
      <c r="I190" s="246"/>
      <c r="K190" s="247"/>
      <c r="L190" s="247"/>
      <c r="M190" s="247"/>
      <c r="N190" s="248"/>
      <c r="O190" s="249"/>
      <c r="P190" s="247"/>
      <c r="R190" s="250"/>
      <c r="U190" s="247"/>
      <c r="V190" s="247"/>
      <c r="W190" s="247"/>
      <c r="X190" s="247"/>
      <c r="Y190" s="247"/>
      <c r="Z190" s="247"/>
      <c r="AA190" s="250"/>
      <c r="AC190" s="282">
        <f>IF(AC189&gt;=0,ROUNDUP(AC189,0),ROUNDDOWN(AC189,0))</f>
        <v>8</v>
      </c>
      <c r="AD190" s="284">
        <f>IF(AD187=400,VLOOKUP(AC190,$AH$700:$AK$748,4),IF(AD187=350,VLOOKUP(AC190,$AH$650:$AK$698,4),IF(AD187=325,VLOOKUP(AC190,$AH$598:$AK$648,4),IF(AD187=300,VLOOKUP(AC190,$AH$544:$AK$596,4),IF(AD187=275,VLOOKUP(AC190,$AH$488:$AK$542,4),IF(AD187=250,VLOOKUP(AC190,$AH$431:$AK$486,4),IF(AD187=225,VLOOKUP(AC190,$AH$379:$AK$429,4),IF(AD187=200,VLOOKUP(AC190,$AH$319:$AK$377,4),IF(AD187=175,VLOOKUP(AC190,$AH$256:$AK$317,4),IF(AD187=150,VLOOKUP(AC190,$AH$192:$AK$254,4),IF(AD187=125,VLOOKUP(AC190,$AH$126:$AK$190,4),IF(AD187=100,VLOOKUP(AC190,$AH$81:$AK$124,4),IF(AD187=75,VLOOKUP(AC190,$AH$39:$AK$79,4),IF(AD187=50,VLOOKUP(AC190,$AH$3:$AK$37,4)))))))))))))))</f>
        <v>202.79999999999998</v>
      </c>
      <c r="AE190" s="285">
        <f>IFERROR((AE187-AD187)/(AF187-AD187)*(AF190-AD190)+AD190,"")</f>
        <v>192.05999999999997</v>
      </c>
      <c r="AF190" s="284">
        <f>IF(AF187=400,VLOOKUP(AC190,$AH$700:$AK$748,4),IF(AF187=350,VLOOKUP(AC190,$AH$650:$AK$698,4),IF(AF187=325,VLOOKUP(AC190,$AH$598:$AK$648,4),IF(AF187=300,VLOOKUP(AC190,$AH$544:$AK$596,4),IF(AF187=275,VLOOKUP(AC190,$AH$488:$AK$542,4),IF(AF187=250,VLOOKUP(AC190,$AH$431:$AK$486,4),IF(AF187=225,VLOOKUP(AC190,$AH$379:$AK$429,4),IF(AF187=200,VLOOKUP(AC190,$AH$319:$AK$377,4),IF(AF187=175,VLOOKUP(AC190,$AH$256:$AK$317,4),IF(AF187=150,VLOOKUP(AC190,$AH$192:$AK$254,4),IF(AF187=125,VLOOKUP(AC190,$AH$126:$AK$190,4),IF(AF187=100,VLOOKUP(AC190,$AH$81:$AK$124,4),IF(AF187=75,VLOOKUP(AC190,$AH$39:$AK$79,4),IF(AF187=50,VLOOKUP(AC190,$AH$3:$AK$37,4)))))))))))))))</f>
        <v>187.79999999999998</v>
      </c>
      <c r="AH190" s="258">
        <f t="shared" si="26"/>
        <v>60</v>
      </c>
      <c r="AI190" s="258">
        <f t="shared" si="26"/>
        <v>125</v>
      </c>
      <c r="AJ190" s="259" t="str">
        <f t="shared" si="26"/>
        <v>2/0</v>
      </c>
      <c r="AK190" s="260">
        <f t="shared" si="25"/>
        <v>351.59999999999997</v>
      </c>
      <c r="AL190" s="226"/>
      <c r="AM190" s="258">
        <v>60</v>
      </c>
      <c r="AN190" s="258">
        <v>125</v>
      </c>
      <c r="AO190" s="262" t="s">
        <v>253</v>
      </c>
      <c r="AP190" s="260">
        <v>586</v>
      </c>
    </row>
    <row r="191" spans="9:42" ht="20.100000000000001" customHeight="1" x14ac:dyDescent="0.25">
      <c r="I191" s="246"/>
      <c r="K191" s="247"/>
      <c r="L191" s="247"/>
      <c r="M191" s="247"/>
      <c r="N191" s="248"/>
      <c r="O191" s="249"/>
      <c r="P191" s="247"/>
      <c r="R191" s="250"/>
      <c r="U191" s="247"/>
      <c r="V191" s="247"/>
      <c r="W191" s="247"/>
      <c r="X191" s="247"/>
      <c r="Y191" s="247"/>
      <c r="Z191" s="247"/>
      <c r="AA191" s="250"/>
      <c r="AD191" s="289">
        <f>IF(AD189&lt;&gt;"",AD189,AVERAGE(AD188:AD190))</f>
        <v>196.32</v>
      </c>
      <c r="AE191" s="289">
        <f>IF(AE189&lt;&gt;"",AE189,IF(SUM(AE188:AE190)=0,"",AVERAGE(AE188:AE190)))</f>
        <v>185.83776</v>
      </c>
      <c r="AF191" s="289">
        <f>IF(AF189&lt;&gt;"",AF189,AVERAGE(AF188:AF190))</f>
        <v>181.68</v>
      </c>
      <c r="AH191" s="258" t="str">
        <f t="shared" si="20"/>
        <v>&gt;&gt;&gt;&gt;&gt;&gt;</v>
      </c>
      <c r="AI191" s="258"/>
      <c r="AJ191" s="259"/>
      <c r="AK191" s="260"/>
      <c r="AL191" s="226"/>
      <c r="AM191" s="258" t="s">
        <v>249</v>
      </c>
      <c r="AN191" s="258"/>
      <c r="AO191" s="262"/>
      <c r="AP191" s="260"/>
    </row>
    <row r="192" spans="9:42" ht="20.100000000000001" customHeight="1" x14ac:dyDescent="0.25">
      <c r="I192" s="246"/>
      <c r="K192" s="247"/>
      <c r="L192" s="247"/>
      <c r="M192" s="247"/>
      <c r="N192" s="248"/>
      <c r="O192" s="249"/>
      <c r="P192" s="247"/>
      <c r="R192" s="250"/>
      <c r="U192" s="247"/>
      <c r="V192" s="247"/>
      <c r="W192" s="247"/>
      <c r="X192" s="247"/>
      <c r="Y192" s="247"/>
      <c r="Z192" s="247"/>
      <c r="AA192" s="250"/>
      <c r="AH192" s="258">
        <f t="shared" si="20"/>
        <v>-2</v>
      </c>
      <c r="AI192" s="258">
        <f t="shared" si="20"/>
        <v>150</v>
      </c>
      <c r="AJ192" s="259" t="str">
        <f t="shared" si="20"/>
        <v>4/0</v>
      </c>
      <c r="AK192" s="260">
        <f t="shared" ref="AK192:AK226" si="27">(1-$AL$2)*AP192</f>
        <v>43.8</v>
      </c>
      <c r="AL192" s="226"/>
      <c r="AM192" s="258">
        <v>-2</v>
      </c>
      <c r="AN192" s="258">
        <v>150</v>
      </c>
      <c r="AO192" s="262" t="s">
        <v>179</v>
      </c>
      <c r="AP192" s="260">
        <v>73</v>
      </c>
    </row>
    <row r="193" spans="9:42" ht="20.100000000000001" customHeight="1" x14ac:dyDescent="0.25">
      <c r="I193" s="246"/>
      <c r="K193" s="247"/>
      <c r="L193" s="247"/>
      <c r="M193" s="247"/>
      <c r="N193" s="248"/>
      <c r="O193" s="249"/>
      <c r="P193" s="247"/>
      <c r="R193" s="250"/>
      <c r="U193" s="247"/>
      <c r="V193" s="247"/>
      <c r="W193" s="247"/>
      <c r="X193" s="247"/>
      <c r="Y193" s="247"/>
      <c r="Z193" s="247"/>
      <c r="AA193" s="250"/>
      <c r="AB193" s="257">
        <v>20</v>
      </c>
      <c r="AC193" s="226"/>
      <c r="AD193" s="226"/>
      <c r="AH193" s="258">
        <f t="shared" si="20"/>
        <v>-1</v>
      </c>
      <c r="AI193" s="258">
        <f t="shared" si="20"/>
        <v>150</v>
      </c>
      <c r="AJ193" s="259" t="str">
        <f t="shared" si="20"/>
        <v>4/0</v>
      </c>
      <c r="AK193" s="260">
        <f t="shared" si="27"/>
        <v>54.6</v>
      </c>
      <c r="AL193" s="226"/>
      <c r="AM193" s="258">
        <v>-1</v>
      </c>
      <c r="AN193" s="258">
        <v>150</v>
      </c>
      <c r="AO193" s="262" t="s">
        <v>179</v>
      </c>
      <c r="AP193" s="260">
        <v>91</v>
      </c>
    </row>
    <row r="194" spans="9:42" ht="20.100000000000001" customHeight="1" x14ac:dyDescent="0.25">
      <c r="I194" s="246"/>
      <c r="K194" s="247"/>
      <c r="L194" s="247"/>
      <c r="M194" s="247"/>
      <c r="N194" s="248"/>
      <c r="O194" s="249"/>
      <c r="P194" s="247"/>
      <c r="R194" s="250"/>
      <c r="U194" s="247"/>
      <c r="V194" s="247"/>
      <c r="W194" s="247"/>
      <c r="X194" s="247"/>
      <c r="Y194" s="247"/>
      <c r="Z194" s="247"/>
      <c r="AA194" s="250"/>
      <c r="AB194" s="241" t="s">
        <v>245</v>
      </c>
      <c r="AC194" s="241" t="s">
        <v>246</v>
      </c>
      <c r="AD194" s="241" t="s">
        <v>236</v>
      </c>
      <c r="AH194" s="258">
        <f t="shared" si="20"/>
        <v>0</v>
      </c>
      <c r="AI194" s="258">
        <f t="shared" si="20"/>
        <v>150</v>
      </c>
      <c r="AJ194" s="259" t="str">
        <f t="shared" si="20"/>
        <v>4/0</v>
      </c>
      <c r="AK194" s="260">
        <f t="shared" si="27"/>
        <v>65.399999999999991</v>
      </c>
      <c r="AL194" s="226"/>
      <c r="AM194" s="258">
        <v>0</v>
      </c>
      <c r="AN194" s="258">
        <v>150</v>
      </c>
      <c r="AO194" s="262" t="s">
        <v>179</v>
      </c>
      <c r="AP194" s="260">
        <v>109</v>
      </c>
    </row>
    <row r="195" spans="9:42" ht="20.100000000000001" customHeight="1" x14ac:dyDescent="0.25">
      <c r="I195" s="246"/>
      <c r="K195" s="247"/>
      <c r="L195" s="247"/>
      <c r="M195" s="247"/>
      <c r="N195" s="248"/>
      <c r="O195" s="249"/>
      <c r="P195" s="247"/>
      <c r="R195" s="250"/>
      <c r="U195" s="247"/>
      <c r="V195" s="247"/>
      <c r="W195" s="247"/>
      <c r="X195" s="247"/>
      <c r="Y195" s="247"/>
      <c r="Z195" s="247"/>
      <c r="AA195" s="250"/>
      <c r="AB195" s="288">
        <f>IF(I23="","",I23)</f>
        <v>7.3</v>
      </c>
      <c r="AC195" s="283">
        <f>IF(J23="","",J23)</f>
        <v>61</v>
      </c>
      <c r="AD195" s="278">
        <f>IF(OR(AB195="",AC195=""),"",IF(AE199&lt;&gt;"",AE201,AVERAGEIF(AD201:AF201,"&lt;&gt;0",AD201:AF201)))</f>
        <v>188.82479999999998</v>
      </c>
      <c r="AH195" s="258">
        <f t="shared" si="20"/>
        <v>1</v>
      </c>
      <c r="AI195" s="258">
        <f t="shared" si="20"/>
        <v>150</v>
      </c>
      <c r="AJ195" s="259" t="str">
        <f t="shared" si="20"/>
        <v>4/0</v>
      </c>
      <c r="AK195" s="260">
        <f t="shared" si="27"/>
        <v>75.599999999999994</v>
      </c>
      <c r="AL195" s="226"/>
      <c r="AM195" s="258">
        <v>1</v>
      </c>
      <c r="AN195" s="258">
        <v>150</v>
      </c>
      <c r="AO195" s="262" t="s">
        <v>179</v>
      </c>
      <c r="AP195" s="260">
        <v>126</v>
      </c>
    </row>
    <row r="196" spans="9:42" ht="20.100000000000001" customHeight="1" x14ac:dyDescent="0.25">
      <c r="I196" s="246"/>
      <c r="K196" s="247"/>
      <c r="L196" s="247"/>
      <c r="M196" s="247"/>
      <c r="N196" s="248"/>
      <c r="O196" s="249"/>
      <c r="P196" s="247"/>
      <c r="R196" s="250"/>
      <c r="U196" s="247"/>
      <c r="V196" s="247"/>
      <c r="W196" s="247"/>
      <c r="X196" s="247"/>
      <c r="Y196" s="247"/>
      <c r="Z196" s="247"/>
      <c r="AA196" s="250"/>
      <c r="AC196" s="250" t="s">
        <v>182</v>
      </c>
      <c r="AE196" s="279" t="s">
        <v>247</v>
      </c>
      <c r="AH196" s="258">
        <f t="shared" si="20"/>
        <v>2</v>
      </c>
      <c r="AI196" s="258">
        <f t="shared" si="20"/>
        <v>150</v>
      </c>
      <c r="AJ196" s="259" t="str">
        <f t="shared" si="20"/>
        <v>4/0</v>
      </c>
      <c r="AK196" s="260">
        <f t="shared" si="27"/>
        <v>85.2</v>
      </c>
      <c r="AL196" s="226"/>
      <c r="AM196" s="258">
        <v>2</v>
      </c>
      <c r="AN196" s="258">
        <v>150</v>
      </c>
      <c r="AO196" s="262" t="s">
        <v>179</v>
      </c>
      <c r="AP196" s="260">
        <v>142</v>
      </c>
    </row>
    <row r="197" spans="9:42" ht="20.100000000000001" customHeight="1" x14ac:dyDescent="0.25">
      <c r="I197" s="246"/>
      <c r="K197" s="247"/>
      <c r="L197" s="247"/>
      <c r="M197" s="247"/>
      <c r="N197" s="248"/>
      <c r="O197" s="249"/>
      <c r="P197" s="247"/>
      <c r="R197" s="250"/>
      <c r="U197" s="247"/>
      <c r="V197" s="247"/>
      <c r="W197" s="247"/>
      <c r="X197" s="247"/>
      <c r="Y197" s="247"/>
      <c r="Z197" s="247"/>
      <c r="AA197" s="250"/>
      <c r="AC197" s="281"/>
      <c r="AD197" s="282">
        <f>IF(AE197&gt;=400,400,IF(AE197&gt;=350,350,IF(AE197&gt;=325,325,IF(AE197&gt;=300,300,IF(AE197&gt;=275,275,IF(AE197&gt;=250,250,IF(AE197&gt;=225,225,IF(AE197&gt;=200,200,IF(AE197&gt;=175,175,IF(AE197&gt;=150,150,IF(AE197&gt;=125,125,IF(AE197&gt;=100,100,IF(AE197&gt;=75,75,50)))))))))))))</f>
        <v>50</v>
      </c>
      <c r="AE197" s="283">
        <f>AC195</f>
        <v>61</v>
      </c>
      <c r="AF197" s="282">
        <f>IF(AE197&lt;=50,50,IF(AE197&lt;=75,75,IF(AE197&lt;=100,100,IF(AE197&lt;=125,125,IF(AE197&lt;=150,150,IF(AE197&lt;=175,175,IF(AE197&lt;=200,200,IF(AE197&lt;=225,225,IF(AE197&lt;=250,250,IF(AE197&lt;=275,275,IF(AE197&lt;=300,300,IF(AE197&lt;=325,325,IF(AE197&lt;=350,350,400)))))))))))))</f>
        <v>75</v>
      </c>
      <c r="AH197" s="258">
        <f t="shared" si="20"/>
        <v>3</v>
      </c>
      <c r="AI197" s="258">
        <f t="shared" si="20"/>
        <v>150</v>
      </c>
      <c r="AJ197" s="259" t="str">
        <f t="shared" si="20"/>
        <v>4/0</v>
      </c>
      <c r="AK197" s="260">
        <f t="shared" si="27"/>
        <v>95.399999999999991</v>
      </c>
      <c r="AL197" s="226"/>
      <c r="AM197" s="258">
        <v>3</v>
      </c>
      <c r="AN197" s="258">
        <v>150</v>
      </c>
      <c r="AO197" s="262" t="s">
        <v>179</v>
      </c>
      <c r="AP197" s="260">
        <v>159</v>
      </c>
    </row>
    <row r="198" spans="9:42" ht="20.100000000000001" customHeight="1" x14ac:dyDescent="0.25">
      <c r="I198" s="246"/>
      <c r="K198" s="247"/>
      <c r="L198" s="247"/>
      <c r="M198" s="247"/>
      <c r="N198" s="248"/>
      <c r="O198" s="249"/>
      <c r="P198" s="247"/>
      <c r="R198" s="250"/>
      <c r="U198" s="247"/>
      <c r="V198" s="247"/>
      <c r="W198" s="247"/>
      <c r="X198" s="247"/>
      <c r="Y198" s="247"/>
      <c r="Z198" s="247"/>
      <c r="AA198" s="250"/>
      <c r="AC198" s="282">
        <f>IF(AC199&gt;=0,ROUNDDOWN(AC199,0),ROUNDUP(AC199,0))</f>
        <v>7</v>
      </c>
      <c r="AD198" s="284">
        <f>IF(AD197=400,VLOOKUP(AC198,$AH$700:$AK$748,4),IF(AD197=350,VLOOKUP(AC198,$AH$650:$AK$698,4),IF(AD197=325,VLOOKUP(AC198,$AH$598:$AK$648,4),IF(AD197=300,VLOOKUP(AC198,$AH$544:$AK$596,4),IF(AD197=275,VLOOKUP(AC198,$AH$488:$AK$542,4),IF(AD197=250,VLOOKUP(AC198,$AH$431:$AK$486,4),IF(AD197=225,VLOOKUP(AC198,$AH$379:$AK$429,4),IF(AD197=200,VLOOKUP(AC198,$AH$319:$AK$377,4),IF(AD197=175,VLOOKUP(AC198,$AH$256:$AK$317,4),IF(AD197=150,VLOOKUP(AC198,$AH$192:$AK$254,4),IF(AD197=125,VLOOKUP(AC198,$AH$126:$AK$190,4),IF(AD197=100,VLOOKUP(AC198,$AH$81:$AK$124,4),IF(AD197=75,VLOOKUP(AC198,$AH$39:$AK$79,4),IF(AD197=50,VLOOKUP(AC198,$AH$3:$AK$37,4)))))))))))))))</f>
        <v>192</v>
      </c>
      <c r="AE198" s="285">
        <f>IFERROR((AE197-AD197)/(AF197-AD197)*(AF198-AD198)+AD198,"")</f>
        <v>185.66399999999999</v>
      </c>
      <c r="AF198" s="284">
        <f>IF(AF197=400,VLOOKUP(AC198,$AH$700:$AK$748,4),IF(AF197=350,VLOOKUP(AC198,$AH$650:$AK$698,4),IF(AF197=325,VLOOKUP(AC198,$AH$598:$AK$648,4),IF(AF197=300,VLOOKUP(AC198,$AH$544:$AK$596,4),IF(AF197=275,VLOOKUP(AC198,$AH$488:$AK$542,4),IF(AF197=250,VLOOKUP(AC198,$AH$431:$AK$486,4),IF(AF197=225,VLOOKUP(AC198,$AH$379:$AK$429,4),IF(AF197=200,VLOOKUP(AC198,$AH$319:$AK$377,4),IF(AF197=175,VLOOKUP(AC198,$AH$256:$AK$317,4),IF(AF197=150,VLOOKUP(AC198,$AH$192:$AK$254,4),IF(AF197=125,VLOOKUP(AC198,$AH$126:$AK$190,4),IF(AF197=100,VLOOKUP(AC198,$AH$81:$AK$124,4),IF(AF197=75,VLOOKUP(AC198,$AH$39:$AK$79,4),IF(AF197=50,VLOOKUP(AC198,$AH$3:$AK$37,4)))))))))))))))</f>
        <v>177.6</v>
      </c>
      <c r="AH198" s="258">
        <f t="shared" si="20"/>
        <v>4</v>
      </c>
      <c r="AI198" s="258">
        <f t="shared" si="20"/>
        <v>150</v>
      </c>
      <c r="AJ198" s="259" t="str">
        <f t="shared" si="20"/>
        <v>4/0</v>
      </c>
      <c r="AK198" s="260">
        <f t="shared" si="27"/>
        <v>105</v>
      </c>
      <c r="AL198" s="226"/>
      <c r="AM198" s="258">
        <v>4</v>
      </c>
      <c r="AN198" s="258">
        <v>150</v>
      </c>
      <c r="AO198" s="262" t="s">
        <v>179</v>
      </c>
      <c r="AP198" s="260">
        <v>175</v>
      </c>
    </row>
    <row r="199" spans="9:42" ht="20.100000000000001" customHeight="1" x14ac:dyDescent="0.25">
      <c r="I199" s="246"/>
      <c r="K199" s="247"/>
      <c r="L199" s="247"/>
      <c r="M199" s="247"/>
      <c r="N199" s="248"/>
      <c r="O199" s="249"/>
      <c r="P199" s="247"/>
      <c r="R199" s="250"/>
      <c r="U199" s="247"/>
      <c r="V199" s="247"/>
      <c r="W199" s="247"/>
      <c r="X199" s="247"/>
      <c r="Y199" s="247"/>
      <c r="Z199" s="247"/>
      <c r="AA199" s="250"/>
      <c r="AB199" s="287" t="s">
        <v>248</v>
      </c>
      <c r="AC199" s="288">
        <f>AB195</f>
        <v>7.3</v>
      </c>
      <c r="AD199" s="285">
        <f>IFERROR((AC199-AC198)/(AC200-AC198)*(AD200-AD198)+AD198,"")</f>
        <v>195.23999999999998</v>
      </c>
      <c r="AE199" s="278">
        <f>IFERROR((AE197-AF197)/(AD197-AF197)*(AD199-AF199)+AF199,"")</f>
        <v>188.82479999999998</v>
      </c>
      <c r="AF199" s="285">
        <f>IFERROR((AC199-AC198)/(AC200-AC198)*(AF200-AF198)+AF198,"")</f>
        <v>180.66</v>
      </c>
      <c r="AH199" s="258">
        <f t="shared" si="20"/>
        <v>5</v>
      </c>
      <c r="AI199" s="258">
        <f t="shared" si="20"/>
        <v>150</v>
      </c>
      <c r="AJ199" s="259" t="str">
        <f t="shared" si="20"/>
        <v>4/0</v>
      </c>
      <c r="AK199" s="260">
        <f t="shared" si="27"/>
        <v>115.19999999999999</v>
      </c>
      <c r="AL199" s="226"/>
      <c r="AM199" s="258">
        <v>5</v>
      </c>
      <c r="AN199" s="258">
        <v>150</v>
      </c>
      <c r="AO199" s="262" t="s">
        <v>179</v>
      </c>
      <c r="AP199" s="260">
        <v>192</v>
      </c>
    </row>
    <row r="200" spans="9:42" ht="20.100000000000001" customHeight="1" x14ac:dyDescent="0.25">
      <c r="I200" s="246"/>
      <c r="K200" s="247"/>
      <c r="L200" s="247"/>
      <c r="M200" s="247"/>
      <c r="N200" s="248"/>
      <c r="O200" s="249"/>
      <c r="P200" s="247"/>
      <c r="R200" s="250"/>
      <c r="U200" s="247"/>
      <c r="V200" s="247"/>
      <c r="W200" s="247"/>
      <c r="X200" s="247"/>
      <c r="Y200" s="247"/>
      <c r="Z200" s="247"/>
      <c r="AA200" s="250"/>
      <c r="AC200" s="282">
        <f>IF(AC199&gt;=0,ROUNDUP(AC199,0),ROUNDDOWN(AC199,0))</f>
        <v>8</v>
      </c>
      <c r="AD200" s="284">
        <f>IF(AD197=400,VLOOKUP(AC200,$AH$700:$AK$748,4),IF(AD197=350,VLOOKUP(AC200,$AH$650:$AK$698,4),IF(AD197=325,VLOOKUP(AC200,$AH$598:$AK$648,4),IF(AD197=300,VLOOKUP(AC200,$AH$544:$AK$596,4),IF(AD197=275,VLOOKUP(AC200,$AH$488:$AK$542,4),IF(AD197=250,VLOOKUP(AC200,$AH$431:$AK$486,4),IF(AD197=225,VLOOKUP(AC200,$AH$379:$AK$429,4),IF(AD197=200,VLOOKUP(AC200,$AH$319:$AK$377,4),IF(AD197=175,VLOOKUP(AC200,$AH$256:$AK$317,4),IF(AD197=150,VLOOKUP(AC200,$AH$192:$AK$254,4),IF(AD197=125,VLOOKUP(AC200,$AH$126:$AK$190,4),IF(AD197=100,VLOOKUP(AC200,$AH$81:$AK$124,4),IF(AD197=75,VLOOKUP(AC200,$AH$39:$AK$79,4),IF(AD197=50,VLOOKUP(AC200,$AH$3:$AK$37,4)))))))))))))))</f>
        <v>202.79999999999998</v>
      </c>
      <c r="AE200" s="285">
        <f>IFERROR((AE197-AD197)/(AF197-AD197)*(AF200-AD200)+AD200,"")</f>
        <v>196.2</v>
      </c>
      <c r="AF200" s="284">
        <f>IF(AF197=400,VLOOKUP(AC200,$AH$700:$AK$748,4),IF(AF197=350,VLOOKUP(AC200,$AH$650:$AK$698,4),IF(AF197=325,VLOOKUP(AC200,$AH$598:$AK$648,4),IF(AF197=300,VLOOKUP(AC200,$AH$544:$AK$596,4),IF(AF197=275,VLOOKUP(AC200,$AH$488:$AK$542,4),IF(AF197=250,VLOOKUP(AC200,$AH$431:$AK$486,4),IF(AF197=225,VLOOKUP(AC200,$AH$379:$AK$429,4),IF(AF197=200,VLOOKUP(AC200,$AH$319:$AK$377,4),IF(AF197=175,VLOOKUP(AC200,$AH$256:$AK$317,4),IF(AF197=150,VLOOKUP(AC200,$AH$192:$AK$254,4),IF(AF197=125,VLOOKUP(AC200,$AH$126:$AK$190,4),IF(AF197=100,VLOOKUP(AC200,$AH$81:$AK$124,4),IF(AF197=75,VLOOKUP(AC200,$AH$39:$AK$79,4),IF(AF197=50,VLOOKUP(AC200,$AH$3:$AK$37,4)))))))))))))))</f>
        <v>187.79999999999998</v>
      </c>
      <c r="AH200" s="258">
        <f t="shared" si="20"/>
        <v>6</v>
      </c>
      <c r="AI200" s="258">
        <f t="shared" si="20"/>
        <v>150</v>
      </c>
      <c r="AJ200" s="259" t="str">
        <f t="shared" si="20"/>
        <v>4/0</v>
      </c>
      <c r="AK200" s="260">
        <f t="shared" si="27"/>
        <v>125.39999999999999</v>
      </c>
      <c r="AL200" s="226"/>
      <c r="AM200" s="258">
        <v>6</v>
      </c>
      <c r="AN200" s="258">
        <v>150</v>
      </c>
      <c r="AO200" s="262" t="s">
        <v>179</v>
      </c>
      <c r="AP200" s="260">
        <v>209</v>
      </c>
    </row>
    <row r="201" spans="9:42" ht="20.100000000000001" customHeight="1" x14ac:dyDescent="0.25">
      <c r="I201" s="246"/>
      <c r="K201" s="247"/>
      <c r="L201" s="247"/>
      <c r="M201" s="247"/>
      <c r="N201" s="248"/>
      <c r="O201" s="249"/>
      <c r="P201" s="247"/>
      <c r="R201" s="250"/>
      <c r="U201" s="247"/>
      <c r="V201" s="247"/>
      <c r="W201" s="247"/>
      <c r="X201" s="247"/>
      <c r="Y201" s="247"/>
      <c r="Z201" s="247"/>
      <c r="AA201" s="250"/>
      <c r="AD201" s="289">
        <f>IF(AD199&lt;&gt;"",AD199,AVERAGE(AD198:AD200))</f>
        <v>195.23999999999998</v>
      </c>
      <c r="AE201" s="289">
        <f>IF(AE199&lt;&gt;"",AE199,IF(SUM(AE198:AE200)=0,"",AVERAGE(AE198:AE200)))</f>
        <v>188.82479999999998</v>
      </c>
      <c r="AF201" s="289">
        <f>IF(AF199&lt;&gt;"",AF199,AVERAGE(AF198:AF200))</f>
        <v>180.66</v>
      </c>
      <c r="AH201" s="258">
        <f t="shared" si="20"/>
        <v>7</v>
      </c>
      <c r="AI201" s="258">
        <f t="shared" si="20"/>
        <v>150</v>
      </c>
      <c r="AJ201" s="259" t="str">
        <f t="shared" si="20"/>
        <v>4/0</v>
      </c>
      <c r="AK201" s="260">
        <f t="shared" si="27"/>
        <v>135.6</v>
      </c>
      <c r="AL201" s="226"/>
      <c r="AM201" s="258">
        <v>7</v>
      </c>
      <c r="AN201" s="258">
        <v>150</v>
      </c>
      <c r="AO201" s="262" t="s">
        <v>179</v>
      </c>
      <c r="AP201" s="260">
        <v>226</v>
      </c>
    </row>
    <row r="202" spans="9:42" ht="20.100000000000001" customHeight="1" x14ac:dyDescent="0.25">
      <c r="I202" s="246"/>
      <c r="K202" s="247"/>
      <c r="L202" s="247"/>
      <c r="M202" s="247"/>
      <c r="N202" s="248"/>
      <c r="O202" s="249"/>
      <c r="P202" s="247"/>
      <c r="R202" s="250"/>
      <c r="U202" s="247"/>
      <c r="V202" s="247"/>
      <c r="W202" s="247"/>
      <c r="X202" s="247"/>
      <c r="Y202" s="247"/>
      <c r="Z202" s="247"/>
      <c r="AA202" s="250"/>
      <c r="AH202" s="258">
        <f t="shared" si="20"/>
        <v>8</v>
      </c>
      <c r="AI202" s="258">
        <f t="shared" si="20"/>
        <v>150</v>
      </c>
      <c r="AJ202" s="259" t="str">
        <f t="shared" si="20"/>
        <v>4/0</v>
      </c>
      <c r="AK202" s="260">
        <f t="shared" si="27"/>
        <v>145.19999999999999</v>
      </c>
      <c r="AL202" s="226"/>
      <c r="AM202" s="258">
        <v>8</v>
      </c>
      <c r="AN202" s="258">
        <v>150</v>
      </c>
      <c r="AO202" s="262" t="s">
        <v>179</v>
      </c>
      <c r="AP202" s="260">
        <v>242</v>
      </c>
    </row>
    <row r="203" spans="9:42" ht="20.100000000000001" customHeight="1" x14ac:dyDescent="0.25">
      <c r="I203" s="246"/>
      <c r="K203" s="247"/>
      <c r="L203" s="247"/>
      <c r="M203" s="247"/>
      <c r="N203" s="248"/>
      <c r="O203" s="249"/>
      <c r="P203" s="247"/>
      <c r="R203" s="250"/>
      <c r="U203" s="247"/>
      <c r="V203" s="247"/>
      <c r="W203" s="247"/>
      <c r="X203" s="247"/>
      <c r="Y203" s="247"/>
      <c r="Z203" s="247"/>
      <c r="AA203" s="250"/>
      <c r="AB203" s="257">
        <v>21</v>
      </c>
      <c r="AC203" s="226"/>
      <c r="AD203" s="226"/>
      <c r="AH203" s="258">
        <f t="shared" si="20"/>
        <v>9</v>
      </c>
      <c r="AI203" s="258">
        <f t="shared" si="20"/>
        <v>150</v>
      </c>
      <c r="AJ203" s="259" t="str">
        <f t="shared" si="20"/>
        <v>4/0</v>
      </c>
      <c r="AK203" s="260">
        <f t="shared" si="27"/>
        <v>155.4</v>
      </c>
      <c r="AL203" s="226"/>
      <c r="AM203" s="258">
        <v>9</v>
      </c>
      <c r="AN203" s="258">
        <v>150</v>
      </c>
      <c r="AO203" s="262" t="s">
        <v>179</v>
      </c>
      <c r="AP203" s="260">
        <v>259</v>
      </c>
    </row>
    <row r="204" spans="9:42" ht="20.100000000000001" customHeight="1" x14ac:dyDescent="0.25">
      <c r="I204" s="246"/>
      <c r="K204" s="247"/>
      <c r="L204" s="247"/>
      <c r="M204" s="247"/>
      <c r="N204" s="248"/>
      <c r="O204" s="249"/>
      <c r="P204" s="247"/>
      <c r="R204" s="250"/>
      <c r="U204" s="247"/>
      <c r="V204" s="247"/>
      <c r="W204" s="247"/>
      <c r="X204" s="247"/>
      <c r="Y204" s="247"/>
      <c r="Z204" s="247"/>
      <c r="AA204" s="250"/>
      <c r="AB204" s="241" t="s">
        <v>245</v>
      </c>
      <c r="AC204" s="241" t="s">
        <v>246</v>
      </c>
      <c r="AD204" s="241" t="s">
        <v>236</v>
      </c>
      <c r="AH204" s="258">
        <f t="shared" si="20"/>
        <v>10</v>
      </c>
      <c r="AI204" s="258">
        <f t="shared" si="20"/>
        <v>150</v>
      </c>
      <c r="AJ204" s="259" t="str">
        <f t="shared" si="20"/>
        <v>4/0</v>
      </c>
      <c r="AK204" s="260">
        <f t="shared" si="27"/>
        <v>165.6</v>
      </c>
      <c r="AL204" s="226"/>
      <c r="AM204" s="258">
        <v>10</v>
      </c>
      <c r="AN204" s="258">
        <v>150</v>
      </c>
      <c r="AO204" s="262" t="s">
        <v>179</v>
      </c>
      <c r="AP204" s="260">
        <v>276</v>
      </c>
    </row>
    <row r="205" spans="9:42" ht="20.100000000000001" customHeight="1" x14ac:dyDescent="0.25">
      <c r="I205" s="246"/>
      <c r="K205" s="247"/>
      <c r="L205" s="247"/>
      <c r="M205" s="247"/>
      <c r="N205" s="248"/>
      <c r="O205" s="249"/>
      <c r="P205" s="247"/>
      <c r="R205" s="250"/>
      <c r="U205" s="247"/>
      <c r="V205" s="247"/>
      <c r="W205" s="247"/>
      <c r="X205" s="247"/>
      <c r="Y205" s="247"/>
      <c r="Z205" s="247"/>
      <c r="AA205" s="250"/>
      <c r="AB205" s="288">
        <f>IF(I24="","",I24)</f>
        <v>7</v>
      </c>
      <c r="AC205" s="283">
        <f>IF(J24="","",J24)</f>
        <v>62.9</v>
      </c>
      <c r="AD205" s="278">
        <f>IF(OR(AB205="",AC205=""),"",IF(AE209&lt;&gt;"",AE211,AVERAGEIF(AD211:AF211,"&lt;&gt;0",AD211:AF211)))</f>
        <v>184.72320000000002</v>
      </c>
      <c r="AH205" s="258">
        <f t="shared" si="20"/>
        <v>11</v>
      </c>
      <c r="AI205" s="258">
        <f t="shared" si="20"/>
        <v>150</v>
      </c>
      <c r="AJ205" s="259" t="str">
        <f t="shared" si="20"/>
        <v>4/0</v>
      </c>
      <c r="AK205" s="260">
        <f t="shared" si="27"/>
        <v>175.79999999999998</v>
      </c>
      <c r="AL205" s="226"/>
      <c r="AM205" s="258">
        <v>11</v>
      </c>
      <c r="AN205" s="258">
        <v>150</v>
      </c>
      <c r="AO205" s="262" t="s">
        <v>179</v>
      </c>
      <c r="AP205" s="260">
        <v>293</v>
      </c>
    </row>
    <row r="206" spans="9:42" ht="20.100000000000001" customHeight="1" x14ac:dyDescent="0.25">
      <c r="I206" s="246"/>
      <c r="K206" s="247"/>
      <c r="L206" s="247"/>
      <c r="M206" s="247"/>
      <c r="N206" s="248"/>
      <c r="O206" s="249"/>
      <c r="P206" s="247"/>
      <c r="R206" s="250"/>
      <c r="U206" s="247"/>
      <c r="V206" s="247"/>
      <c r="W206" s="247"/>
      <c r="X206" s="247"/>
      <c r="Y206" s="247"/>
      <c r="Z206" s="247"/>
      <c r="AA206" s="250"/>
      <c r="AC206" s="250" t="s">
        <v>182</v>
      </c>
      <c r="AE206" s="279" t="s">
        <v>247</v>
      </c>
      <c r="AH206" s="258">
        <f t="shared" si="20"/>
        <v>12</v>
      </c>
      <c r="AI206" s="258">
        <f t="shared" si="20"/>
        <v>150</v>
      </c>
      <c r="AJ206" s="259" t="str">
        <f t="shared" si="20"/>
        <v>4/0</v>
      </c>
      <c r="AK206" s="260">
        <f t="shared" si="27"/>
        <v>183</v>
      </c>
      <c r="AL206" s="226"/>
      <c r="AM206" s="258">
        <v>12</v>
      </c>
      <c r="AN206" s="258">
        <v>150</v>
      </c>
      <c r="AO206" s="262" t="s">
        <v>179</v>
      </c>
      <c r="AP206" s="260">
        <v>305</v>
      </c>
    </row>
    <row r="207" spans="9:42" ht="20.100000000000001" customHeight="1" x14ac:dyDescent="0.25">
      <c r="I207" s="246"/>
      <c r="K207" s="247"/>
      <c r="L207" s="247"/>
      <c r="M207" s="247"/>
      <c r="N207" s="248"/>
      <c r="O207" s="249"/>
      <c r="P207" s="247"/>
      <c r="R207" s="250"/>
      <c r="U207" s="247"/>
      <c r="V207" s="247"/>
      <c r="W207" s="247"/>
      <c r="X207" s="247"/>
      <c r="Y207" s="247"/>
      <c r="Z207" s="247"/>
      <c r="AA207" s="250"/>
      <c r="AC207" s="281"/>
      <c r="AD207" s="282">
        <f>IF(AE207&gt;=400,400,IF(AE207&gt;=350,350,IF(AE207&gt;=325,325,IF(AE207&gt;=300,300,IF(AE207&gt;=275,275,IF(AE207&gt;=250,250,IF(AE207&gt;=225,225,IF(AE207&gt;=200,200,IF(AE207&gt;=175,175,IF(AE207&gt;=150,150,IF(AE207&gt;=125,125,IF(AE207&gt;=100,100,IF(AE207&gt;=75,75,50)))))))))))))</f>
        <v>50</v>
      </c>
      <c r="AE207" s="283">
        <f>AC205</f>
        <v>62.9</v>
      </c>
      <c r="AF207" s="282">
        <f>IF(AE207&lt;=50,50,IF(AE207&lt;=75,75,IF(AE207&lt;=100,100,IF(AE207&lt;=125,125,IF(AE207&lt;=150,150,IF(AE207&lt;=175,175,IF(AE207&lt;=200,200,IF(AE207&lt;=225,225,IF(AE207&lt;=250,250,IF(AE207&lt;=275,275,IF(AE207&lt;=300,300,IF(AE207&lt;=325,325,IF(AE207&lt;=350,350,400)))))))))))))</f>
        <v>75</v>
      </c>
      <c r="AH207" s="258">
        <f t="shared" si="20"/>
        <v>13</v>
      </c>
      <c r="AI207" s="258">
        <f t="shared" si="20"/>
        <v>150</v>
      </c>
      <c r="AJ207" s="259" t="str">
        <f t="shared" si="20"/>
        <v>4/0</v>
      </c>
      <c r="AK207" s="260">
        <f t="shared" si="27"/>
        <v>196.2</v>
      </c>
      <c r="AL207" s="226"/>
      <c r="AM207" s="258">
        <v>13</v>
      </c>
      <c r="AN207" s="258">
        <v>150</v>
      </c>
      <c r="AO207" s="262" t="s">
        <v>179</v>
      </c>
      <c r="AP207" s="260">
        <v>327</v>
      </c>
    </row>
    <row r="208" spans="9:42" ht="20.100000000000001" customHeight="1" x14ac:dyDescent="0.25">
      <c r="I208" s="246"/>
      <c r="K208" s="247"/>
      <c r="L208" s="247"/>
      <c r="M208" s="247"/>
      <c r="N208" s="248"/>
      <c r="O208" s="249"/>
      <c r="P208" s="247"/>
      <c r="R208" s="250"/>
      <c r="U208" s="247"/>
      <c r="V208" s="247"/>
      <c r="W208" s="247"/>
      <c r="X208" s="247"/>
      <c r="Y208" s="247"/>
      <c r="Z208" s="247"/>
      <c r="AA208" s="250"/>
      <c r="AC208" s="282">
        <f>IF(AC209&gt;=0,ROUNDDOWN(AC209,0),ROUNDUP(AC209,0))</f>
        <v>7</v>
      </c>
      <c r="AD208" s="284">
        <f>IF(AD207=400,VLOOKUP(AC208,$AH$700:$AK$748,4),IF(AD207=350,VLOOKUP(AC208,$AH$650:$AK$698,4),IF(AD207=325,VLOOKUP(AC208,$AH$598:$AK$648,4),IF(AD207=300,VLOOKUP(AC208,$AH$544:$AK$596,4),IF(AD207=275,VLOOKUP(AC208,$AH$488:$AK$542,4),IF(AD207=250,VLOOKUP(AC208,$AH$431:$AK$486,4),IF(AD207=225,VLOOKUP(AC208,$AH$379:$AK$429,4),IF(AD207=200,VLOOKUP(AC208,$AH$319:$AK$377,4),IF(AD207=175,VLOOKUP(AC208,$AH$256:$AK$317,4),IF(AD207=150,VLOOKUP(AC208,$AH$192:$AK$254,4),IF(AD207=125,VLOOKUP(AC208,$AH$126:$AK$190,4),IF(AD207=100,VLOOKUP(AC208,$AH$81:$AK$124,4),IF(AD207=75,VLOOKUP(AC208,$AH$39:$AK$79,4),IF(AD207=50,VLOOKUP(AC208,$AH$3:$AK$37,4)))))))))))))))</f>
        <v>192</v>
      </c>
      <c r="AE208" s="285">
        <f>IFERROR((AE207-AD207)/(AF207-AD207)*(AF208-AD208)+AD208,"")</f>
        <v>184.56960000000001</v>
      </c>
      <c r="AF208" s="284">
        <f>IF(AF207=400,VLOOKUP(AC208,$AH$700:$AK$748,4),IF(AF207=350,VLOOKUP(AC208,$AH$650:$AK$698,4),IF(AF207=325,VLOOKUP(AC208,$AH$598:$AK$648,4),IF(AF207=300,VLOOKUP(AC208,$AH$544:$AK$596,4),IF(AF207=275,VLOOKUP(AC208,$AH$488:$AK$542,4),IF(AF207=250,VLOOKUP(AC208,$AH$431:$AK$486,4),IF(AF207=225,VLOOKUP(AC208,$AH$379:$AK$429,4),IF(AF207=200,VLOOKUP(AC208,$AH$319:$AK$377,4),IF(AF207=175,VLOOKUP(AC208,$AH$256:$AK$317,4),IF(AF207=150,VLOOKUP(AC208,$AH$192:$AK$254,4),IF(AF207=125,VLOOKUP(AC208,$AH$126:$AK$190,4),IF(AF207=100,VLOOKUP(AC208,$AH$81:$AK$124,4),IF(AF207=75,VLOOKUP(AC208,$AH$39:$AK$79,4),IF(AF207=50,VLOOKUP(AC208,$AH$3:$AK$37,4)))))))))))))))</f>
        <v>177.6</v>
      </c>
      <c r="AH208" s="258">
        <f t="shared" si="20"/>
        <v>14</v>
      </c>
      <c r="AI208" s="258">
        <f t="shared" si="20"/>
        <v>150</v>
      </c>
      <c r="AJ208" s="259" t="str">
        <f t="shared" si="20"/>
        <v>4/0</v>
      </c>
      <c r="AK208" s="260">
        <f t="shared" si="27"/>
        <v>206.4</v>
      </c>
      <c r="AL208" s="226"/>
      <c r="AM208" s="258">
        <v>14</v>
      </c>
      <c r="AN208" s="258">
        <v>150</v>
      </c>
      <c r="AO208" s="262" t="s">
        <v>179</v>
      </c>
      <c r="AP208" s="260">
        <v>344</v>
      </c>
    </row>
    <row r="209" spans="9:42" ht="20.100000000000001" customHeight="1" x14ac:dyDescent="0.25">
      <c r="I209" s="246"/>
      <c r="K209" s="247"/>
      <c r="L209" s="247"/>
      <c r="M209" s="247"/>
      <c r="N209" s="248"/>
      <c r="O209" s="249"/>
      <c r="P209" s="247"/>
      <c r="R209" s="250"/>
      <c r="U209" s="247"/>
      <c r="V209" s="247"/>
      <c r="W209" s="247"/>
      <c r="X209" s="247"/>
      <c r="Y209" s="247"/>
      <c r="Z209" s="247"/>
      <c r="AA209" s="250"/>
      <c r="AB209" s="287" t="s">
        <v>248</v>
      </c>
      <c r="AC209" s="288">
        <f>AB205</f>
        <v>7</v>
      </c>
      <c r="AD209" s="285" t="str">
        <f>IFERROR((AC209-AC208)/(AC210-AC208)*(AD210-AD208)+AD208,"")</f>
        <v/>
      </c>
      <c r="AE209" s="278" t="str">
        <f>IFERROR((AE207-AF207)/(AD207-AF207)*(AD209-AF209)+AF209,"")</f>
        <v/>
      </c>
      <c r="AF209" s="285" t="str">
        <f>IFERROR((AC209-AC208)/(AC210-AC208)*(AF210-AF208)+AF208,"")</f>
        <v/>
      </c>
      <c r="AH209" s="258">
        <f t="shared" si="20"/>
        <v>15</v>
      </c>
      <c r="AI209" s="258">
        <f t="shared" si="20"/>
        <v>150</v>
      </c>
      <c r="AJ209" s="259" t="str">
        <f t="shared" si="20"/>
        <v>4/0</v>
      </c>
      <c r="AK209" s="260">
        <f t="shared" si="27"/>
        <v>216.6</v>
      </c>
      <c r="AL209" s="226"/>
      <c r="AM209" s="258">
        <v>15</v>
      </c>
      <c r="AN209" s="258">
        <v>150</v>
      </c>
      <c r="AO209" s="262" t="s">
        <v>179</v>
      </c>
      <c r="AP209" s="260">
        <v>361</v>
      </c>
    </row>
    <row r="210" spans="9:42" ht="20.100000000000001" customHeight="1" x14ac:dyDescent="0.25">
      <c r="I210" s="246"/>
      <c r="K210" s="247"/>
      <c r="L210" s="247"/>
      <c r="M210" s="247"/>
      <c r="N210" s="248"/>
      <c r="O210" s="249"/>
      <c r="P210" s="247"/>
      <c r="R210" s="250"/>
      <c r="U210" s="247"/>
      <c r="V210" s="247"/>
      <c r="W210" s="247"/>
      <c r="X210" s="247"/>
      <c r="Y210" s="247"/>
      <c r="Z210" s="247"/>
      <c r="AA210" s="250"/>
      <c r="AC210" s="282">
        <f>IF(AC209&gt;=0,ROUNDUP(AC209,0),ROUNDDOWN(AC209,0))</f>
        <v>7</v>
      </c>
      <c r="AD210" s="284">
        <f>IF(AD207=400,VLOOKUP(AC210,$AH$700:$AK$748,4),IF(AD207=350,VLOOKUP(AC210,$AH$650:$AK$698,4),IF(AD207=325,VLOOKUP(AC210,$AH$598:$AK$648,4),IF(AD207=300,VLOOKUP(AC210,$AH$544:$AK$596,4),IF(AD207=275,VLOOKUP(AC210,$AH$488:$AK$542,4),IF(AD207=250,VLOOKUP(AC210,$AH$431:$AK$486,4),IF(AD207=225,VLOOKUP(AC210,$AH$379:$AK$429,4),IF(AD207=200,VLOOKUP(AC210,$AH$319:$AK$377,4),IF(AD207=175,VLOOKUP(AC210,$AH$256:$AK$317,4),IF(AD207=150,VLOOKUP(AC210,$AH$192:$AK$254,4),IF(AD207=125,VLOOKUP(AC210,$AH$126:$AK$190,4),IF(AD207=100,VLOOKUP(AC210,$AH$81:$AK$124,4),IF(AD207=75,VLOOKUP(AC210,$AH$39:$AK$79,4),IF(AD207=50,VLOOKUP(AC210,$AH$3:$AK$37,4)))))))))))))))</f>
        <v>192</v>
      </c>
      <c r="AE210" s="285">
        <f>IFERROR((AE207-AD207)/(AF207-AD207)*(AF210-AD210)+AD210,"")</f>
        <v>184.56960000000001</v>
      </c>
      <c r="AF210" s="284">
        <f>IF(AF207=400,VLOOKUP(AC210,$AH$700:$AK$748,4),IF(AF207=350,VLOOKUP(AC210,$AH$650:$AK$698,4),IF(AF207=325,VLOOKUP(AC210,$AH$598:$AK$648,4),IF(AF207=300,VLOOKUP(AC210,$AH$544:$AK$596,4),IF(AF207=275,VLOOKUP(AC210,$AH$488:$AK$542,4),IF(AF207=250,VLOOKUP(AC210,$AH$431:$AK$486,4),IF(AF207=225,VLOOKUP(AC210,$AH$379:$AK$429,4),IF(AF207=200,VLOOKUP(AC210,$AH$319:$AK$377,4),IF(AF207=175,VLOOKUP(AC210,$AH$256:$AK$317,4),IF(AF207=150,VLOOKUP(AC210,$AH$192:$AK$254,4),IF(AF207=125,VLOOKUP(AC210,$AH$126:$AK$190,4),IF(AF207=100,VLOOKUP(AC210,$AH$81:$AK$124,4),IF(AF207=75,VLOOKUP(AC210,$AH$39:$AK$79,4),IF(AF207=50,VLOOKUP(AC210,$AH$3:$AK$37,4)))))))))))))))</f>
        <v>177.6</v>
      </c>
      <c r="AH210" s="258">
        <f t="shared" ref="AH210:AJ320" si="28">AM210</f>
        <v>16</v>
      </c>
      <c r="AI210" s="258">
        <f t="shared" si="28"/>
        <v>150</v>
      </c>
      <c r="AJ210" s="259" t="str">
        <f t="shared" si="28"/>
        <v>4/1</v>
      </c>
      <c r="AK210" s="260">
        <f t="shared" si="27"/>
        <v>207.6</v>
      </c>
      <c r="AL210" s="226"/>
      <c r="AM210" s="258">
        <v>16</v>
      </c>
      <c r="AN210" s="258">
        <v>150</v>
      </c>
      <c r="AO210" s="262" t="s">
        <v>250</v>
      </c>
      <c r="AP210" s="260">
        <v>346</v>
      </c>
    </row>
    <row r="211" spans="9:42" ht="20.100000000000001" customHeight="1" x14ac:dyDescent="0.25">
      <c r="I211" s="246"/>
      <c r="K211" s="247"/>
      <c r="L211" s="247"/>
      <c r="M211" s="247"/>
      <c r="N211" s="248"/>
      <c r="O211" s="249"/>
      <c r="P211" s="247"/>
      <c r="R211" s="250"/>
      <c r="U211" s="247"/>
      <c r="V211" s="247"/>
      <c r="W211" s="247"/>
      <c r="X211" s="247"/>
      <c r="Y211" s="247"/>
      <c r="Z211" s="247"/>
      <c r="AA211" s="250"/>
      <c r="AD211" s="289">
        <f>IF(AD209&lt;&gt;"",AD209,AVERAGE(AD208:AD210))</f>
        <v>192</v>
      </c>
      <c r="AE211" s="289">
        <f>IF(AE209&lt;&gt;"",AE209,IF(SUM(AE208:AE210)=0,"",AVERAGE(AE208:AE210)))</f>
        <v>184.56960000000001</v>
      </c>
      <c r="AF211" s="289">
        <f>IF(AF209&lt;&gt;"",AF209,AVERAGE(AF208:AF210))</f>
        <v>177.6</v>
      </c>
      <c r="AH211" s="258">
        <f t="shared" si="28"/>
        <v>17</v>
      </c>
      <c r="AI211" s="258">
        <f t="shared" si="28"/>
        <v>150</v>
      </c>
      <c r="AJ211" s="259" t="str">
        <f t="shared" si="28"/>
        <v>4/1</v>
      </c>
      <c r="AK211" s="260">
        <f t="shared" si="27"/>
        <v>217.79999999999998</v>
      </c>
      <c r="AL211" s="226"/>
      <c r="AM211" s="258">
        <v>17</v>
      </c>
      <c r="AN211" s="258">
        <v>150</v>
      </c>
      <c r="AO211" s="262" t="s">
        <v>250</v>
      </c>
      <c r="AP211" s="260">
        <v>363</v>
      </c>
    </row>
    <row r="212" spans="9:42" ht="20.100000000000001" customHeight="1" x14ac:dyDescent="0.25">
      <c r="I212" s="246"/>
      <c r="K212" s="247"/>
      <c r="L212" s="247"/>
      <c r="M212" s="247"/>
      <c r="N212" s="248"/>
      <c r="O212" s="249"/>
      <c r="P212" s="247"/>
      <c r="R212" s="250"/>
      <c r="U212" s="247"/>
      <c r="V212" s="247"/>
      <c r="W212" s="247"/>
      <c r="X212" s="247"/>
      <c r="Y212" s="247"/>
      <c r="Z212" s="247"/>
      <c r="AA212" s="250"/>
      <c r="AH212" s="258">
        <f t="shared" si="28"/>
        <v>18</v>
      </c>
      <c r="AI212" s="258">
        <f t="shared" si="28"/>
        <v>150</v>
      </c>
      <c r="AJ212" s="259" t="str">
        <f t="shared" si="28"/>
        <v>4/1</v>
      </c>
      <c r="AK212" s="260">
        <f t="shared" si="27"/>
        <v>228</v>
      </c>
      <c r="AL212" s="226"/>
      <c r="AM212" s="258">
        <v>18</v>
      </c>
      <c r="AN212" s="258">
        <v>150</v>
      </c>
      <c r="AO212" s="262" t="s">
        <v>250</v>
      </c>
      <c r="AP212" s="260">
        <v>380</v>
      </c>
    </row>
    <row r="213" spans="9:42" ht="20.100000000000001" customHeight="1" x14ac:dyDescent="0.25">
      <c r="I213" s="246"/>
      <c r="K213" s="247"/>
      <c r="L213" s="247"/>
      <c r="M213" s="247"/>
      <c r="N213" s="248"/>
      <c r="O213" s="249"/>
      <c r="P213" s="247"/>
      <c r="R213" s="250"/>
      <c r="U213" s="247"/>
      <c r="V213" s="247"/>
      <c r="W213" s="247"/>
      <c r="X213" s="247"/>
      <c r="Y213" s="247"/>
      <c r="Z213" s="247"/>
      <c r="AA213" s="250"/>
      <c r="AB213" s="257">
        <v>22</v>
      </c>
      <c r="AC213" s="226"/>
      <c r="AD213" s="226"/>
      <c r="AH213" s="258">
        <f t="shared" si="28"/>
        <v>19</v>
      </c>
      <c r="AI213" s="258">
        <f t="shared" si="28"/>
        <v>150</v>
      </c>
      <c r="AJ213" s="259" t="str">
        <f t="shared" si="28"/>
        <v>4/2</v>
      </c>
      <c r="AK213" s="260">
        <f t="shared" si="27"/>
        <v>219.6</v>
      </c>
      <c r="AL213" s="226"/>
      <c r="AM213" s="258">
        <v>19</v>
      </c>
      <c r="AN213" s="258">
        <v>150</v>
      </c>
      <c r="AO213" s="262" t="s">
        <v>251</v>
      </c>
      <c r="AP213" s="260">
        <v>366</v>
      </c>
    </row>
    <row r="214" spans="9:42" ht="20.100000000000001" customHeight="1" x14ac:dyDescent="0.25">
      <c r="I214" s="246"/>
      <c r="K214" s="247"/>
      <c r="L214" s="247"/>
      <c r="M214" s="247"/>
      <c r="N214" s="248"/>
      <c r="O214" s="249"/>
      <c r="P214" s="247"/>
      <c r="R214" s="250"/>
      <c r="U214" s="247"/>
      <c r="V214" s="247"/>
      <c r="W214" s="247"/>
      <c r="X214" s="247"/>
      <c r="Y214" s="247"/>
      <c r="Z214" s="247"/>
      <c r="AA214" s="250"/>
      <c r="AB214" s="241" t="s">
        <v>245</v>
      </c>
      <c r="AC214" s="241" t="s">
        <v>246</v>
      </c>
      <c r="AD214" s="241" t="s">
        <v>236</v>
      </c>
      <c r="AH214" s="258">
        <f t="shared" si="28"/>
        <v>20</v>
      </c>
      <c r="AI214" s="258">
        <f t="shared" si="28"/>
        <v>150</v>
      </c>
      <c r="AJ214" s="259" t="str">
        <f t="shared" si="28"/>
        <v>4/2</v>
      </c>
      <c r="AK214" s="260">
        <f t="shared" si="27"/>
        <v>229.79999999999998</v>
      </c>
      <c r="AL214" s="226"/>
      <c r="AM214" s="258">
        <v>20</v>
      </c>
      <c r="AN214" s="258">
        <v>150</v>
      </c>
      <c r="AO214" s="262" t="s">
        <v>251</v>
      </c>
      <c r="AP214" s="260">
        <v>383</v>
      </c>
    </row>
    <row r="215" spans="9:42" ht="20.100000000000001" customHeight="1" x14ac:dyDescent="0.25">
      <c r="I215" s="246"/>
      <c r="K215" s="247"/>
      <c r="L215" s="247"/>
      <c r="M215" s="247"/>
      <c r="N215" s="248"/>
      <c r="O215" s="249"/>
      <c r="P215" s="247"/>
      <c r="R215" s="250"/>
      <c r="U215" s="247"/>
      <c r="V215" s="247"/>
      <c r="W215" s="247"/>
      <c r="X215" s="247"/>
      <c r="Y215" s="247"/>
      <c r="Z215" s="247"/>
      <c r="AA215" s="250"/>
      <c r="AB215" s="288">
        <f>IF(I25="","",I25)</f>
        <v>7.6</v>
      </c>
      <c r="AC215" s="283">
        <f>IF(J25="","",J25)</f>
        <v>63</v>
      </c>
      <c r="AD215" s="278">
        <f>IF(OR(AB215="",AC215=""),"",IF(AE219&lt;&gt;"",AE221,AVERAGEIF(AD221:AF221,"&lt;&gt;0",AD221:AF221)))</f>
        <v>190.80479999999997</v>
      </c>
      <c r="AH215" s="258">
        <f t="shared" si="28"/>
        <v>21</v>
      </c>
      <c r="AI215" s="258">
        <f t="shared" si="28"/>
        <v>150</v>
      </c>
      <c r="AJ215" s="259" t="str">
        <f t="shared" si="28"/>
        <v>4/2</v>
      </c>
      <c r="AK215" s="260">
        <f t="shared" si="27"/>
        <v>240.6</v>
      </c>
      <c r="AL215" s="226"/>
      <c r="AM215" s="258">
        <v>21</v>
      </c>
      <c r="AN215" s="258">
        <v>150</v>
      </c>
      <c r="AO215" s="262" t="s">
        <v>251</v>
      </c>
      <c r="AP215" s="260">
        <v>401</v>
      </c>
    </row>
    <row r="216" spans="9:42" ht="20.100000000000001" customHeight="1" x14ac:dyDescent="0.25">
      <c r="I216" s="246"/>
      <c r="K216" s="247"/>
      <c r="L216" s="247"/>
      <c r="M216" s="247"/>
      <c r="N216" s="248"/>
      <c r="O216" s="249"/>
      <c r="P216" s="247"/>
      <c r="R216" s="250"/>
      <c r="U216" s="247"/>
      <c r="V216" s="247"/>
      <c r="W216" s="247"/>
      <c r="X216" s="247"/>
      <c r="Y216" s="247"/>
      <c r="Z216" s="247"/>
      <c r="AA216" s="250"/>
      <c r="AC216" s="250" t="s">
        <v>182</v>
      </c>
      <c r="AE216" s="279" t="s">
        <v>247</v>
      </c>
      <c r="AH216" s="258">
        <f t="shared" ref="AH216:AH219" si="29">AM216</f>
        <v>22</v>
      </c>
      <c r="AI216" s="258">
        <f t="shared" ref="AI216:AI219" si="30">AN216</f>
        <v>150</v>
      </c>
      <c r="AJ216" s="259" t="str">
        <f t="shared" ref="AJ216:AJ219" si="31">AO216</f>
        <v>3/1</v>
      </c>
      <c r="AK216" s="260">
        <f t="shared" ref="AK216:AK219" si="32">(1-$AL$2)*AP216</f>
        <v>216</v>
      </c>
      <c r="AL216" s="226"/>
      <c r="AM216" s="258">
        <v>22</v>
      </c>
      <c r="AN216" s="258">
        <v>150</v>
      </c>
      <c r="AO216" s="439" t="s">
        <v>254</v>
      </c>
      <c r="AP216" s="260">
        <v>360</v>
      </c>
    </row>
    <row r="217" spans="9:42" ht="20.100000000000001" customHeight="1" x14ac:dyDescent="0.25">
      <c r="I217" s="246"/>
      <c r="K217" s="247"/>
      <c r="L217" s="247"/>
      <c r="M217" s="247"/>
      <c r="N217" s="248"/>
      <c r="O217" s="249"/>
      <c r="P217" s="247"/>
      <c r="R217" s="250"/>
      <c r="U217" s="247"/>
      <c r="V217" s="247"/>
      <c r="W217" s="247"/>
      <c r="X217" s="247"/>
      <c r="Y217" s="247"/>
      <c r="Z217" s="247"/>
      <c r="AA217" s="250"/>
      <c r="AC217" s="281"/>
      <c r="AD217" s="282">
        <f>IF(AE217&gt;=400,400,IF(AE217&gt;=350,350,IF(AE217&gt;=325,325,IF(AE217&gt;=300,300,IF(AE217&gt;=275,275,IF(AE217&gt;=250,250,IF(AE217&gt;=225,225,IF(AE217&gt;=200,200,IF(AE217&gt;=175,175,IF(AE217&gt;=150,150,IF(AE217&gt;=125,125,IF(AE217&gt;=100,100,IF(AE217&gt;=75,75,50)))))))))))))</f>
        <v>50</v>
      </c>
      <c r="AE217" s="283">
        <f>AC215</f>
        <v>63</v>
      </c>
      <c r="AF217" s="282">
        <f>IF(AE217&lt;=50,50,IF(AE217&lt;=75,75,IF(AE217&lt;=100,100,IF(AE217&lt;=125,125,IF(AE217&lt;=150,150,IF(AE217&lt;=175,175,IF(AE217&lt;=200,200,IF(AE217&lt;=225,225,IF(AE217&lt;=250,250,IF(AE217&lt;=275,275,IF(AE217&lt;=300,300,IF(AE217&lt;=325,325,IF(AE217&lt;=350,350,400)))))))))))))</f>
        <v>75</v>
      </c>
      <c r="AH217" s="258">
        <f t="shared" si="29"/>
        <v>23</v>
      </c>
      <c r="AI217" s="258">
        <f t="shared" si="30"/>
        <v>150</v>
      </c>
      <c r="AJ217" s="259" t="str">
        <f t="shared" si="31"/>
        <v>3/1</v>
      </c>
      <c r="AK217" s="260">
        <f t="shared" si="32"/>
        <v>223.98</v>
      </c>
      <c r="AL217" s="226"/>
      <c r="AM217" s="258">
        <v>23</v>
      </c>
      <c r="AN217" s="258">
        <v>150</v>
      </c>
      <c r="AO217" s="439" t="s">
        <v>254</v>
      </c>
      <c r="AP217" s="260">
        <v>373.3</v>
      </c>
    </row>
    <row r="218" spans="9:42" ht="20.100000000000001" customHeight="1" x14ac:dyDescent="0.25">
      <c r="I218" s="246"/>
      <c r="K218" s="247"/>
      <c r="L218" s="247"/>
      <c r="M218" s="247"/>
      <c r="N218" s="248"/>
      <c r="O218" s="249"/>
      <c r="P218" s="247"/>
      <c r="R218" s="250"/>
      <c r="U218" s="247"/>
      <c r="V218" s="247"/>
      <c r="W218" s="247"/>
      <c r="X218" s="247"/>
      <c r="Y218" s="247"/>
      <c r="Z218" s="247"/>
      <c r="AA218" s="250"/>
      <c r="AC218" s="282">
        <f>IF(AC219&gt;=0,ROUNDDOWN(AC219,0),ROUNDUP(AC219,0))</f>
        <v>7</v>
      </c>
      <c r="AD218" s="284">
        <f>IF(AD217=400,VLOOKUP(AC218,$AH$700:$AK$748,4),IF(AD217=350,VLOOKUP(AC218,$AH$650:$AK$698,4),IF(AD217=325,VLOOKUP(AC218,$AH$598:$AK$648,4),IF(AD217=300,VLOOKUP(AC218,$AH$544:$AK$596,4),IF(AD217=275,VLOOKUP(AC218,$AH$488:$AK$542,4),IF(AD217=250,VLOOKUP(AC218,$AH$431:$AK$486,4),IF(AD217=225,VLOOKUP(AC218,$AH$379:$AK$429,4),IF(AD217=200,VLOOKUP(AC218,$AH$319:$AK$377,4),IF(AD217=175,VLOOKUP(AC218,$AH$256:$AK$317,4),IF(AD217=150,VLOOKUP(AC218,$AH$192:$AK$254,4),IF(AD217=125,VLOOKUP(AC218,$AH$126:$AK$190,4),IF(AD217=100,VLOOKUP(AC218,$AH$81:$AK$124,4),IF(AD217=75,VLOOKUP(AC218,$AH$39:$AK$79,4),IF(AD217=50,VLOOKUP(AC218,$AH$3:$AK$37,4)))))))))))))))</f>
        <v>192</v>
      </c>
      <c r="AE218" s="285">
        <f>IFERROR((AE217-AD217)/(AF217-AD217)*(AF218-AD218)+AD218,"")</f>
        <v>184.512</v>
      </c>
      <c r="AF218" s="284">
        <f>IF(AF217=400,VLOOKUP(AC218,$AH$700:$AK$748,4),IF(AF217=350,VLOOKUP(AC218,$AH$650:$AK$698,4),IF(AF217=325,VLOOKUP(AC218,$AH$598:$AK$648,4),IF(AF217=300,VLOOKUP(AC218,$AH$544:$AK$596,4),IF(AF217=275,VLOOKUP(AC218,$AH$488:$AK$542,4),IF(AF217=250,VLOOKUP(AC218,$AH$431:$AK$486,4),IF(AF217=225,VLOOKUP(AC218,$AH$379:$AK$429,4),IF(AF217=200,VLOOKUP(AC218,$AH$319:$AK$377,4),IF(AF217=175,VLOOKUP(AC218,$AH$256:$AK$317,4),IF(AF217=150,VLOOKUP(AC218,$AH$192:$AK$254,4),IF(AF217=125,VLOOKUP(AC218,$AH$126:$AK$190,4),IF(AF217=100,VLOOKUP(AC218,$AH$81:$AK$124,4),IF(AF217=75,VLOOKUP(AC218,$AH$39:$AK$79,4),IF(AF217=50,VLOOKUP(AC218,$AH$3:$AK$37,4)))))))))))))))</f>
        <v>177.6</v>
      </c>
      <c r="AH218" s="258">
        <f t="shared" si="29"/>
        <v>24</v>
      </c>
      <c r="AI218" s="258">
        <f t="shared" si="30"/>
        <v>150</v>
      </c>
      <c r="AJ218" s="259" t="str">
        <f t="shared" si="31"/>
        <v>3/1</v>
      </c>
      <c r="AK218" s="260">
        <f t="shared" si="32"/>
        <v>231.89999999999998</v>
      </c>
      <c r="AL218" s="226"/>
      <c r="AM218" s="258">
        <v>24</v>
      </c>
      <c r="AN218" s="258">
        <v>150</v>
      </c>
      <c r="AO218" s="439" t="s">
        <v>254</v>
      </c>
      <c r="AP218" s="260">
        <v>386.5</v>
      </c>
    </row>
    <row r="219" spans="9:42" ht="20.100000000000001" customHeight="1" x14ac:dyDescent="0.25">
      <c r="I219" s="246"/>
      <c r="K219" s="247"/>
      <c r="L219" s="247"/>
      <c r="M219" s="247"/>
      <c r="N219" s="248"/>
      <c r="O219" s="249"/>
      <c r="P219" s="247"/>
      <c r="R219" s="250"/>
      <c r="U219" s="247"/>
      <c r="V219" s="247"/>
      <c r="W219" s="247"/>
      <c r="X219" s="247"/>
      <c r="Y219" s="247"/>
      <c r="Z219" s="247"/>
      <c r="AA219" s="250"/>
      <c r="AB219" s="287" t="s">
        <v>248</v>
      </c>
      <c r="AC219" s="288">
        <f>AB215</f>
        <v>7.6</v>
      </c>
      <c r="AD219" s="285">
        <f>IFERROR((AC219-AC218)/(AC220-AC218)*(AD220-AD218)+AD218,"")</f>
        <v>198.48</v>
      </c>
      <c r="AE219" s="278">
        <f>IFERROR((AE217-AF217)/(AD217-AF217)*(AD219-AF219)+AF219,"")</f>
        <v>190.80479999999997</v>
      </c>
      <c r="AF219" s="285">
        <f>IFERROR((AC219-AC218)/(AC220-AC218)*(AF220-AF218)+AF218,"")</f>
        <v>183.71999999999997</v>
      </c>
      <c r="AH219" s="258">
        <f t="shared" si="29"/>
        <v>25</v>
      </c>
      <c r="AI219" s="258">
        <f t="shared" si="30"/>
        <v>150</v>
      </c>
      <c r="AJ219" s="259" t="str">
        <f t="shared" si="31"/>
        <v>3/0</v>
      </c>
      <c r="AK219" s="260">
        <f t="shared" si="32"/>
        <v>239.39999999999998</v>
      </c>
      <c r="AL219" s="226"/>
      <c r="AM219" s="258">
        <v>25</v>
      </c>
      <c r="AN219" s="258">
        <v>150</v>
      </c>
      <c r="AO219" s="439" t="s">
        <v>252</v>
      </c>
      <c r="AP219" s="260">
        <v>399</v>
      </c>
    </row>
    <row r="220" spans="9:42" ht="20.100000000000001" customHeight="1" x14ac:dyDescent="0.25">
      <c r="I220" s="246"/>
      <c r="K220" s="247"/>
      <c r="L220" s="247"/>
      <c r="M220" s="247"/>
      <c r="N220" s="248"/>
      <c r="O220" s="249"/>
      <c r="P220" s="247"/>
      <c r="R220" s="250"/>
      <c r="U220" s="247"/>
      <c r="V220" s="247"/>
      <c r="W220" s="247"/>
      <c r="X220" s="247"/>
      <c r="Y220" s="247"/>
      <c r="Z220" s="247"/>
      <c r="AA220" s="250"/>
      <c r="AC220" s="282">
        <f>IF(AC219&gt;=0,ROUNDUP(AC219,0),ROUNDDOWN(AC219,0))</f>
        <v>8</v>
      </c>
      <c r="AD220" s="284">
        <f>IF(AD217=400,VLOOKUP(AC220,$AH$700:$AK$748,4),IF(AD217=350,VLOOKUP(AC220,$AH$650:$AK$698,4),IF(AD217=325,VLOOKUP(AC220,$AH$598:$AK$648,4),IF(AD217=300,VLOOKUP(AC220,$AH$544:$AK$596,4),IF(AD217=275,VLOOKUP(AC220,$AH$488:$AK$542,4),IF(AD217=250,VLOOKUP(AC220,$AH$431:$AK$486,4),IF(AD217=225,VLOOKUP(AC220,$AH$379:$AK$429,4),IF(AD217=200,VLOOKUP(AC220,$AH$319:$AK$377,4),IF(AD217=175,VLOOKUP(AC220,$AH$256:$AK$317,4),IF(AD217=150,VLOOKUP(AC220,$AH$192:$AK$254,4),IF(AD217=125,VLOOKUP(AC220,$AH$126:$AK$190,4),IF(AD217=100,VLOOKUP(AC220,$AH$81:$AK$124,4),IF(AD217=75,VLOOKUP(AC220,$AH$39:$AK$79,4),IF(AD217=50,VLOOKUP(AC220,$AH$3:$AK$37,4)))))))))))))))</f>
        <v>202.79999999999998</v>
      </c>
      <c r="AE220" s="285">
        <f>IFERROR((AE217-AD217)/(AF217-AD217)*(AF220-AD220)+AD220,"")</f>
        <v>194.99999999999997</v>
      </c>
      <c r="AF220" s="284">
        <f>IF(AF217=400,VLOOKUP(AC220,$AH$700:$AK$748,4),IF(AF217=350,VLOOKUP(AC220,$AH$650:$AK$698,4),IF(AF217=325,VLOOKUP(AC220,$AH$598:$AK$648,4),IF(AF217=300,VLOOKUP(AC220,$AH$544:$AK$596,4),IF(AF217=275,VLOOKUP(AC220,$AH$488:$AK$542,4),IF(AF217=250,VLOOKUP(AC220,$AH$431:$AK$486,4),IF(AF217=225,VLOOKUP(AC220,$AH$379:$AK$429,4),IF(AF217=200,VLOOKUP(AC220,$AH$319:$AK$377,4),IF(AF217=175,VLOOKUP(AC220,$AH$256:$AK$317,4),IF(AF217=150,VLOOKUP(AC220,$AH$192:$AK$254,4),IF(AF217=125,VLOOKUP(AC220,$AH$126:$AK$190,4),IF(AF217=100,VLOOKUP(AC220,$AH$81:$AK$124,4),IF(AF217=75,VLOOKUP(AC220,$AH$39:$AK$79,4),IF(AF217=50,VLOOKUP(AC220,$AH$3:$AK$37,4)))))))))))))))</f>
        <v>187.79999999999998</v>
      </c>
      <c r="AH220" s="258">
        <f t="shared" si="28"/>
        <v>26</v>
      </c>
      <c r="AI220" s="258">
        <f t="shared" si="28"/>
        <v>150</v>
      </c>
      <c r="AJ220" s="259" t="str">
        <f t="shared" si="28"/>
        <v>3/0</v>
      </c>
      <c r="AK220" s="260">
        <f t="shared" si="27"/>
        <v>247.2</v>
      </c>
      <c r="AL220" s="226"/>
      <c r="AM220" s="258">
        <v>26</v>
      </c>
      <c r="AN220" s="258">
        <v>150</v>
      </c>
      <c r="AO220" s="262" t="s">
        <v>252</v>
      </c>
      <c r="AP220" s="260">
        <v>412</v>
      </c>
    </row>
    <row r="221" spans="9:42" ht="20.100000000000001" customHeight="1" x14ac:dyDescent="0.25">
      <c r="I221" s="246"/>
      <c r="K221" s="247"/>
      <c r="L221" s="247"/>
      <c r="M221" s="247"/>
      <c r="N221" s="248"/>
      <c r="O221" s="249"/>
      <c r="P221" s="247"/>
      <c r="R221" s="250"/>
      <c r="U221" s="247"/>
      <c r="V221" s="247"/>
      <c r="W221" s="247"/>
      <c r="X221" s="247"/>
      <c r="Y221" s="247"/>
      <c r="Z221" s="247"/>
      <c r="AA221" s="250"/>
      <c r="AD221" s="289">
        <f>IF(AD219&lt;&gt;"",AD219,AVERAGE(AD218:AD220))</f>
        <v>198.48</v>
      </c>
      <c r="AE221" s="289">
        <f>IF(AE219&lt;&gt;"",AE219,IF(SUM(AE218:AE220)=0,"",AVERAGE(AE218:AE220)))</f>
        <v>190.80479999999997</v>
      </c>
      <c r="AF221" s="289">
        <f>IF(AF219&lt;&gt;"",AF219,AVERAGE(AF218:AF220))</f>
        <v>183.71999999999997</v>
      </c>
      <c r="AH221" s="258">
        <f t="shared" si="28"/>
        <v>27</v>
      </c>
      <c r="AI221" s="258">
        <f t="shared" si="28"/>
        <v>150</v>
      </c>
      <c r="AJ221" s="259" t="str">
        <f t="shared" si="28"/>
        <v>3/0</v>
      </c>
      <c r="AK221" s="260">
        <f t="shared" si="27"/>
        <v>255</v>
      </c>
      <c r="AL221" s="226"/>
      <c r="AM221" s="258">
        <v>27</v>
      </c>
      <c r="AN221" s="258">
        <v>150</v>
      </c>
      <c r="AO221" s="262" t="s">
        <v>252</v>
      </c>
      <c r="AP221" s="260">
        <v>425</v>
      </c>
    </row>
    <row r="222" spans="9:42" ht="20.100000000000001" customHeight="1" x14ac:dyDescent="0.25">
      <c r="I222" s="246"/>
      <c r="K222" s="247"/>
      <c r="L222" s="247"/>
      <c r="M222" s="247"/>
      <c r="N222" s="248"/>
      <c r="O222" s="249"/>
      <c r="P222" s="247"/>
      <c r="R222" s="250"/>
      <c r="U222" s="247"/>
      <c r="V222" s="247"/>
      <c r="W222" s="247"/>
      <c r="X222" s="247"/>
      <c r="Y222" s="247"/>
      <c r="Z222" s="247"/>
      <c r="AA222" s="250"/>
      <c r="AH222" s="258">
        <f t="shared" si="28"/>
        <v>28</v>
      </c>
      <c r="AI222" s="258">
        <f t="shared" si="28"/>
        <v>150</v>
      </c>
      <c r="AJ222" s="259" t="str">
        <f t="shared" si="28"/>
        <v>3/0</v>
      </c>
      <c r="AK222" s="260">
        <f t="shared" si="27"/>
        <v>262.8</v>
      </c>
      <c r="AL222" s="226"/>
      <c r="AM222" s="258">
        <v>28</v>
      </c>
      <c r="AN222" s="258">
        <v>150</v>
      </c>
      <c r="AO222" s="262" t="s">
        <v>252</v>
      </c>
      <c r="AP222" s="260">
        <v>438</v>
      </c>
    </row>
    <row r="223" spans="9:42" ht="20.100000000000001" customHeight="1" x14ac:dyDescent="0.25">
      <c r="I223" s="246"/>
      <c r="K223" s="247"/>
      <c r="L223" s="247"/>
      <c r="M223" s="247"/>
      <c r="N223" s="248"/>
      <c r="O223" s="249"/>
      <c r="P223" s="247"/>
      <c r="R223" s="250"/>
      <c r="U223" s="247"/>
      <c r="V223" s="247"/>
      <c r="W223" s="247"/>
      <c r="X223" s="247"/>
      <c r="Y223" s="247"/>
      <c r="Z223" s="247"/>
      <c r="AA223" s="250"/>
      <c r="AB223" s="257">
        <v>23</v>
      </c>
      <c r="AC223" s="226"/>
      <c r="AD223" s="226"/>
      <c r="AH223" s="258">
        <f t="shared" si="28"/>
        <v>29</v>
      </c>
      <c r="AI223" s="258">
        <f t="shared" si="28"/>
        <v>150</v>
      </c>
      <c r="AJ223" s="259" t="str">
        <f t="shared" si="28"/>
        <v>3/0</v>
      </c>
      <c r="AK223" s="260">
        <f t="shared" si="27"/>
        <v>270.59999999999997</v>
      </c>
      <c r="AL223" s="226"/>
      <c r="AM223" s="258">
        <v>29</v>
      </c>
      <c r="AN223" s="258">
        <v>150</v>
      </c>
      <c r="AO223" s="262" t="s">
        <v>252</v>
      </c>
      <c r="AP223" s="260">
        <v>451</v>
      </c>
    </row>
    <row r="224" spans="9:42" ht="20.100000000000001" customHeight="1" x14ac:dyDescent="0.25">
      <c r="I224" s="246"/>
      <c r="K224" s="247"/>
      <c r="L224" s="247"/>
      <c r="M224" s="247"/>
      <c r="N224" s="248"/>
      <c r="O224" s="249"/>
      <c r="P224" s="247"/>
      <c r="R224" s="250"/>
      <c r="U224" s="247"/>
      <c r="V224" s="247"/>
      <c r="W224" s="247"/>
      <c r="X224" s="247"/>
      <c r="Y224" s="247"/>
      <c r="Z224" s="247"/>
      <c r="AA224" s="250"/>
      <c r="AB224" s="241" t="s">
        <v>245</v>
      </c>
      <c r="AC224" s="241" t="s">
        <v>246</v>
      </c>
      <c r="AD224" s="241" t="s">
        <v>236</v>
      </c>
      <c r="AH224" s="258">
        <f t="shared" si="28"/>
        <v>30</v>
      </c>
      <c r="AI224" s="258">
        <f t="shared" si="28"/>
        <v>150</v>
      </c>
      <c r="AJ224" s="259" t="str">
        <f t="shared" si="28"/>
        <v>3/0</v>
      </c>
      <c r="AK224" s="260">
        <f t="shared" si="27"/>
        <v>278.39999999999998</v>
      </c>
      <c r="AL224" s="226"/>
      <c r="AM224" s="258">
        <v>30</v>
      </c>
      <c r="AN224" s="258">
        <v>150</v>
      </c>
      <c r="AO224" s="262" t="s">
        <v>252</v>
      </c>
      <c r="AP224" s="260">
        <v>464</v>
      </c>
    </row>
    <row r="225" spans="9:42" ht="20.100000000000001" customHeight="1" x14ac:dyDescent="0.25">
      <c r="I225" s="246"/>
      <c r="K225" s="247"/>
      <c r="L225" s="247"/>
      <c r="M225" s="247"/>
      <c r="N225" s="248"/>
      <c r="O225" s="249"/>
      <c r="P225" s="247"/>
      <c r="R225" s="250"/>
      <c r="U225" s="247"/>
      <c r="V225" s="247"/>
      <c r="W225" s="247"/>
      <c r="X225" s="247"/>
      <c r="Y225" s="247"/>
      <c r="Z225" s="247"/>
      <c r="AA225" s="250"/>
      <c r="AB225" s="288">
        <f>IF(I26="","",I26)</f>
        <v>6.3</v>
      </c>
      <c r="AC225" s="283">
        <f>IF(J26="","",J26)</f>
        <v>63.2</v>
      </c>
      <c r="AD225" s="278">
        <f>IF(OR(AB225="",AC225=""),"",IF(AE229&lt;&gt;"",AE231,AVERAGEIF(AD231:AF231,"&lt;&gt;0",AD231:AF231)))</f>
        <v>177.03503999999998</v>
      </c>
      <c r="AH225" s="258">
        <f t="shared" si="28"/>
        <v>31</v>
      </c>
      <c r="AI225" s="258">
        <f t="shared" si="28"/>
        <v>150</v>
      </c>
      <c r="AJ225" s="259" t="str">
        <f t="shared" si="28"/>
        <v>3/0</v>
      </c>
      <c r="AK225" s="260">
        <f t="shared" si="27"/>
        <v>286.2</v>
      </c>
      <c r="AL225" s="226"/>
      <c r="AM225" s="258">
        <v>31</v>
      </c>
      <c r="AN225" s="258">
        <v>150</v>
      </c>
      <c r="AO225" s="262" t="s">
        <v>252</v>
      </c>
      <c r="AP225" s="260">
        <v>477</v>
      </c>
    </row>
    <row r="226" spans="9:42" ht="20.100000000000001" customHeight="1" x14ac:dyDescent="0.25">
      <c r="I226" s="246"/>
      <c r="K226" s="247"/>
      <c r="L226" s="247"/>
      <c r="M226" s="247"/>
      <c r="N226" s="248"/>
      <c r="O226" s="249"/>
      <c r="P226" s="247"/>
      <c r="R226" s="250"/>
      <c r="U226" s="247"/>
      <c r="V226" s="247"/>
      <c r="W226" s="247"/>
      <c r="X226" s="247"/>
      <c r="Y226" s="247"/>
      <c r="Z226" s="247"/>
      <c r="AA226" s="250"/>
      <c r="AC226" s="250" t="s">
        <v>182</v>
      </c>
      <c r="AE226" s="279" t="s">
        <v>247</v>
      </c>
      <c r="AH226" s="258">
        <f t="shared" si="28"/>
        <v>32</v>
      </c>
      <c r="AI226" s="258">
        <f t="shared" si="28"/>
        <v>150</v>
      </c>
      <c r="AJ226" s="259" t="str">
        <f t="shared" si="28"/>
        <v>3/0</v>
      </c>
      <c r="AK226" s="260">
        <f t="shared" si="27"/>
        <v>294</v>
      </c>
      <c r="AL226" s="226"/>
      <c r="AM226" s="258">
        <v>32</v>
      </c>
      <c r="AN226" s="258">
        <v>150</v>
      </c>
      <c r="AO226" s="262" t="s">
        <v>252</v>
      </c>
      <c r="AP226" s="260">
        <v>490</v>
      </c>
    </row>
    <row r="227" spans="9:42" ht="20.100000000000001" customHeight="1" x14ac:dyDescent="0.25">
      <c r="I227" s="246"/>
      <c r="K227" s="247"/>
      <c r="L227" s="247"/>
      <c r="M227" s="247"/>
      <c r="N227" s="248"/>
      <c r="O227" s="249"/>
      <c r="P227" s="247"/>
      <c r="R227" s="250"/>
      <c r="U227" s="247"/>
      <c r="V227" s="247"/>
      <c r="W227" s="247"/>
      <c r="X227" s="247"/>
      <c r="Y227" s="247"/>
      <c r="Z227" s="247"/>
      <c r="AA227" s="250"/>
      <c r="AC227" s="281"/>
      <c r="AD227" s="282">
        <f>IF(AE227&gt;=400,400,IF(AE227&gt;=350,350,IF(AE227&gt;=325,325,IF(AE227&gt;=300,300,IF(AE227&gt;=275,275,IF(AE227&gt;=250,250,IF(AE227&gt;=225,225,IF(AE227&gt;=200,200,IF(AE227&gt;=175,175,IF(AE227&gt;=150,150,IF(AE227&gt;=125,125,IF(AE227&gt;=100,100,IF(AE227&gt;=75,75,50)))))))))))))</f>
        <v>50</v>
      </c>
      <c r="AE227" s="283">
        <f>AC225</f>
        <v>63.2</v>
      </c>
      <c r="AF227" s="282">
        <f>IF(AE227&lt;=50,50,IF(AE227&lt;=75,75,IF(AE227&lt;=100,100,IF(AE227&lt;=125,125,IF(AE227&lt;=150,150,IF(AE227&lt;=175,175,IF(AE227&lt;=200,200,IF(AE227&lt;=225,225,IF(AE227&lt;=250,250,IF(AE227&lt;=275,275,IF(AE227&lt;=300,300,IF(AE227&lt;=325,325,IF(AE227&lt;=350,350,400)))))))))))))</f>
        <v>75</v>
      </c>
      <c r="AH227" s="258">
        <f t="shared" si="28"/>
        <v>33</v>
      </c>
      <c r="AI227" s="258">
        <f t="shared" si="28"/>
        <v>150</v>
      </c>
      <c r="AJ227" s="259" t="str">
        <f t="shared" si="28"/>
        <v>3/0</v>
      </c>
      <c r="AK227" s="260">
        <f t="shared" ref="AK227:AK254" si="33">(1-$AL$2)*AP227</f>
        <v>301.8</v>
      </c>
      <c r="AL227" s="226"/>
      <c r="AM227" s="258">
        <v>33</v>
      </c>
      <c r="AN227" s="258">
        <v>150</v>
      </c>
      <c r="AO227" s="262" t="s">
        <v>252</v>
      </c>
      <c r="AP227" s="260">
        <v>503</v>
      </c>
    </row>
    <row r="228" spans="9:42" ht="20.100000000000001" customHeight="1" x14ac:dyDescent="0.25">
      <c r="I228" s="246"/>
      <c r="K228" s="247"/>
      <c r="L228" s="247"/>
      <c r="M228" s="247"/>
      <c r="N228" s="248"/>
      <c r="O228" s="249"/>
      <c r="P228" s="247"/>
      <c r="R228" s="250"/>
      <c r="U228" s="247"/>
      <c r="V228" s="247"/>
      <c r="W228" s="247"/>
      <c r="X228" s="247"/>
      <c r="Y228" s="247"/>
      <c r="Z228" s="247"/>
      <c r="AA228" s="250"/>
      <c r="AC228" s="282">
        <f>IF(AC229&gt;=0,ROUNDDOWN(AC229,0),ROUNDUP(AC229,0))</f>
        <v>6</v>
      </c>
      <c r="AD228" s="284">
        <f>IF(AD227=400,VLOOKUP(AC228,$AH$700:$AK$748,4),IF(AD227=350,VLOOKUP(AC228,$AH$650:$AK$698,4),IF(AD227=325,VLOOKUP(AC228,$AH$598:$AK$648,4),IF(AD227=300,VLOOKUP(AC228,$AH$544:$AK$596,4),IF(AD227=275,VLOOKUP(AC228,$AH$488:$AK$542,4),IF(AD227=250,VLOOKUP(AC228,$AH$431:$AK$486,4),IF(AD227=225,VLOOKUP(AC228,$AH$379:$AK$429,4),IF(AD227=200,VLOOKUP(AC228,$AH$319:$AK$377,4),IF(AD227=175,VLOOKUP(AC228,$AH$256:$AK$317,4),IF(AD227=150,VLOOKUP(AC228,$AH$192:$AK$254,4),IF(AD227=125,VLOOKUP(AC228,$AH$126:$AK$190,4),IF(AD227=100,VLOOKUP(AC228,$AH$81:$AK$124,4),IF(AD227=75,VLOOKUP(AC228,$AH$39:$AK$79,4),IF(AD227=50,VLOOKUP(AC228,$AH$3:$AK$37,4)))))))))))))))</f>
        <v>181.79999999999998</v>
      </c>
      <c r="AE228" s="285">
        <f>IFERROR((AE227-AD227)/(AF227-AD227)*(AF228-AD228)+AD228,"")</f>
        <v>173.88</v>
      </c>
      <c r="AF228" s="284">
        <f>IF(AF227=400,VLOOKUP(AC228,$AH$700:$AK$748,4),IF(AF227=350,VLOOKUP(AC228,$AH$650:$AK$698,4),IF(AF227=325,VLOOKUP(AC228,$AH$598:$AK$648,4),IF(AF227=300,VLOOKUP(AC228,$AH$544:$AK$596,4),IF(AF227=275,VLOOKUP(AC228,$AH$488:$AK$542,4),IF(AF227=250,VLOOKUP(AC228,$AH$431:$AK$486,4),IF(AF227=225,VLOOKUP(AC228,$AH$379:$AK$429,4),IF(AF227=200,VLOOKUP(AC228,$AH$319:$AK$377,4),IF(AF227=175,VLOOKUP(AC228,$AH$256:$AK$317,4),IF(AF227=150,VLOOKUP(AC228,$AH$192:$AK$254,4),IF(AF227=125,VLOOKUP(AC228,$AH$126:$AK$190,4),IF(AF227=100,VLOOKUP(AC228,$AH$81:$AK$124,4),IF(AF227=75,VLOOKUP(AC228,$AH$39:$AK$79,4),IF(AF227=50,VLOOKUP(AC228,$AH$3:$AK$37,4)))))))))))))))</f>
        <v>166.79999999999998</v>
      </c>
      <c r="AH228" s="258">
        <f t="shared" si="28"/>
        <v>34</v>
      </c>
      <c r="AI228" s="258">
        <f t="shared" si="28"/>
        <v>150</v>
      </c>
      <c r="AJ228" s="259" t="str">
        <f t="shared" si="28"/>
        <v>3/0</v>
      </c>
      <c r="AK228" s="260">
        <f t="shared" si="33"/>
        <v>309.59999999999997</v>
      </c>
      <c r="AL228" s="226"/>
      <c r="AM228" s="258">
        <v>34</v>
      </c>
      <c r="AN228" s="258">
        <v>150</v>
      </c>
      <c r="AO228" s="262" t="s">
        <v>252</v>
      </c>
      <c r="AP228" s="260">
        <v>516</v>
      </c>
    </row>
    <row r="229" spans="9:42" ht="20.100000000000001" customHeight="1" x14ac:dyDescent="0.25">
      <c r="I229" s="246"/>
      <c r="K229" s="247"/>
      <c r="L229" s="247"/>
      <c r="M229" s="247"/>
      <c r="N229" s="248"/>
      <c r="O229" s="249"/>
      <c r="P229" s="247"/>
      <c r="R229" s="250"/>
      <c r="U229" s="247"/>
      <c r="V229" s="247"/>
      <c r="W229" s="247"/>
      <c r="X229" s="247"/>
      <c r="Y229" s="247"/>
      <c r="Z229" s="247"/>
      <c r="AA229" s="250"/>
      <c r="AB229" s="287" t="s">
        <v>248</v>
      </c>
      <c r="AC229" s="288">
        <f>AB225</f>
        <v>6.3</v>
      </c>
      <c r="AD229" s="285">
        <f>IFERROR((AC229-AC228)/(AC230-AC228)*(AD230-AD228)+AD228,"")</f>
        <v>184.85999999999999</v>
      </c>
      <c r="AE229" s="278">
        <f>IFERROR((AE227-AF227)/(AD227-AF227)*(AD229-AF229)+AF229,"")</f>
        <v>177.03503999999998</v>
      </c>
      <c r="AF229" s="285">
        <f>IFERROR((AC229-AC228)/(AC230-AC228)*(AF230-AF228)+AF228,"")</f>
        <v>170.04</v>
      </c>
      <c r="AH229" s="258">
        <f t="shared" ref="AH229" si="34">AM229</f>
        <v>35</v>
      </c>
      <c r="AI229" s="258">
        <f t="shared" ref="AI229" si="35">AN229</f>
        <v>150</v>
      </c>
      <c r="AJ229" s="259" t="str">
        <f t="shared" ref="AJ229" si="36">AO229</f>
        <v>3/2</v>
      </c>
      <c r="AK229" s="260">
        <f t="shared" ref="AK229" si="37">(1-$AL$2)*AP229</f>
        <v>303.89999999999998</v>
      </c>
      <c r="AL229" s="226"/>
      <c r="AM229" s="258">
        <v>35</v>
      </c>
      <c r="AN229" s="258">
        <v>150</v>
      </c>
      <c r="AO229" s="439" t="s">
        <v>255</v>
      </c>
      <c r="AP229" s="260">
        <v>506.5</v>
      </c>
    </row>
    <row r="230" spans="9:42" ht="20.100000000000001" customHeight="1" x14ac:dyDescent="0.25">
      <c r="I230" s="246"/>
      <c r="K230" s="247"/>
      <c r="L230" s="247"/>
      <c r="M230" s="247"/>
      <c r="N230" s="248"/>
      <c r="O230" s="249"/>
      <c r="P230" s="247"/>
      <c r="R230" s="250"/>
      <c r="U230" s="247"/>
      <c r="V230" s="247"/>
      <c r="W230" s="247"/>
      <c r="X230" s="247"/>
      <c r="Y230" s="247"/>
      <c r="Z230" s="247"/>
      <c r="AA230" s="250"/>
      <c r="AC230" s="282">
        <f>IF(AC229&gt;=0,ROUNDUP(AC229,0),ROUNDDOWN(AC229,0))</f>
        <v>7</v>
      </c>
      <c r="AD230" s="284">
        <f>IF(AD227=400,VLOOKUP(AC230,$AH$700:$AK$748,4),IF(AD227=350,VLOOKUP(AC230,$AH$650:$AK$698,4),IF(AD227=325,VLOOKUP(AC230,$AH$598:$AK$648,4),IF(AD227=300,VLOOKUP(AC230,$AH$544:$AK$596,4),IF(AD227=275,VLOOKUP(AC230,$AH$488:$AK$542,4),IF(AD227=250,VLOOKUP(AC230,$AH$431:$AK$486,4),IF(AD227=225,VLOOKUP(AC230,$AH$379:$AK$429,4),IF(AD227=200,VLOOKUP(AC230,$AH$319:$AK$377,4),IF(AD227=175,VLOOKUP(AC230,$AH$256:$AK$317,4),IF(AD227=150,VLOOKUP(AC230,$AH$192:$AK$254,4),IF(AD227=125,VLOOKUP(AC230,$AH$126:$AK$190,4),IF(AD227=100,VLOOKUP(AC230,$AH$81:$AK$124,4),IF(AD227=75,VLOOKUP(AC230,$AH$39:$AK$79,4),IF(AD227=50,VLOOKUP(AC230,$AH$3:$AK$37,4)))))))))))))))</f>
        <v>192</v>
      </c>
      <c r="AE230" s="285">
        <f>IFERROR((AE227-AD227)/(AF227-AD227)*(AF230-AD230)+AD230,"")</f>
        <v>184.39679999999998</v>
      </c>
      <c r="AF230" s="284">
        <f>IF(AF227=400,VLOOKUP(AC230,$AH$700:$AK$748,4),IF(AF227=350,VLOOKUP(AC230,$AH$650:$AK$698,4),IF(AF227=325,VLOOKUP(AC230,$AH$598:$AK$648,4),IF(AF227=300,VLOOKUP(AC230,$AH$544:$AK$596,4),IF(AF227=275,VLOOKUP(AC230,$AH$488:$AK$542,4),IF(AF227=250,VLOOKUP(AC230,$AH$431:$AK$486,4),IF(AF227=225,VLOOKUP(AC230,$AH$379:$AK$429,4),IF(AF227=200,VLOOKUP(AC230,$AH$319:$AK$377,4),IF(AF227=175,VLOOKUP(AC230,$AH$256:$AK$317,4),IF(AF227=150,VLOOKUP(AC230,$AH$192:$AK$254,4),IF(AF227=125,VLOOKUP(AC230,$AH$126:$AK$190,4),IF(AF227=100,VLOOKUP(AC230,$AH$81:$AK$124,4),IF(AF227=75,VLOOKUP(AC230,$AH$39:$AK$79,4),IF(AF227=50,VLOOKUP(AC230,$AH$3:$AK$37,4)))))))))))))))</f>
        <v>177.6</v>
      </c>
      <c r="AH230" s="258">
        <f t="shared" si="28"/>
        <v>36</v>
      </c>
      <c r="AI230" s="258">
        <f t="shared" si="28"/>
        <v>150</v>
      </c>
      <c r="AJ230" s="259" t="str">
        <f t="shared" si="28"/>
        <v>3/1</v>
      </c>
      <c r="AK230" s="260">
        <f t="shared" si="33"/>
        <v>311.39999999999998</v>
      </c>
      <c r="AL230" s="226"/>
      <c r="AM230" s="258">
        <v>36</v>
      </c>
      <c r="AN230" s="258">
        <v>150</v>
      </c>
      <c r="AO230" s="439" t="s">
        <v>254</v>
      </c>
      <c r="AP230" s="260">
        <v>519</v>
      </c>
    </row>
    <row r="231" spans="9:42" ht="20.100000000000001" customHeight="1" x14ac:dyDescent="0.25">
      <c r="I231" s="246"/>
      <c r="K231" s="247"/>
      <c r="L231" s="247"/>
      <c r="M231" s="247"/>
      <c r="N231" s="248"/>
      <c r="O231" s="249"/>
      <c r="P231" s="247"/>
      <c r="R231" s="250"/>
      <c r="U231" s="247"/>
      <c r="V231" s="247"/>
      <c r="W231" s="247"/>
      <c r="X231" s="247"/>
      <c r="Y231" s="247"/>
      <c r="Z231" s="247"/>
      <c r="AA231" s="250"/>
      <c r="AD231" s="289">
        <f>IF(AD229&lt;&gt;"",AD229,AVERAGE(AD228:AD230))</f>
        <v>184.85999999999999</v>
      </c>
      <c r="AE231" s="289">
        <f>IF(AE229&lt;&gt;"",AE229,IF(SUM(AE228:AE230)=0,"",AVERAGE(AE228:AE230)))</f>
        <v>177.03503999999998</v>
      </c>
      <c r="AF231" s="289">
        <f>IF(AF229&lt;&gt;"",AF229,AVERAGE(AF228:AF230))</f>
        <v>170.04</v>
      </c>
      <c r="AH231" s="258">
        <f t="shared" si="28"/>
        <v>37</v>
      </c>
      <c r="AI231" s="258">
        <f t="shared" si="28"/>
        <v>150</v>
      </c>
      <c r="AJ231" s="259" t="str">
        <f t="shared" si="28"/>
        <v>3/1</v>
      </c>
      <c r="AK231" s="260">
        <f t="shared" si="33"/>
        <v>319.2</v>
      </c>
      <c r="AL231" s="226"/>
      <c r="AM231" s="258">
        <v>37</v>
      </c>
      <c r="AN231" s="258">
        <v>150</v>
      </c>
      <c r="AO231" s="262" t="s">
        <v>254</v>
      </c>
      <c r="AP231" s="260">
        <v>532</v>
      </c>
    </row>
    <row r="232" spans="9:42" ht="20.100000000000001" customHeight="1" x14ac:dyDescent="0.25">
      <c r="I232" s="246"/>
      <c r="K232" s="247"/>
      <c r="L232" s="247"/>
      <c r="M232" s="247"/>
      <c r="N232" s="248"/>
      <c r="O232" s="249"/>
      <c r="P232" s="247"/>
      <c r="R232" s="250"/>
      <c r="U232" s="247"/>
      <c r="V232" s="247"/>
      <c r="W232" s="247"/>
      <c r="X232" s="247"/>
      <c r="Y232" s="247"/>
      <c r="Z232" s="247"/>
      <c r="AA232" s="250"/>
      <c r="AH232" s="258">
        <f t="shared" si="28"/>
        <v>38</v>
      </c>
      <c r="AI232" s="258">
        <f t="shared" si="28"/>
        <v>150</v>
      </c>
      <c r="AJ232" s="259" t="str">
        <f t="shared" si="28"/>
        <v>3/1</v>
      </c>
      <c r="AK232" s="260">
        <f t="shared" si="33"/>
        <v>327.59999999999997</v>
      </c>
      <c r="AL232" s="226"/>
      <c r="AM232" s="258">
        <v>38</v>
      </c>
      <c r="AN232" s="258">
        <v>150</v>
      </c>
      <c r="AO232" s="262" t="s">
        <v>254</v>
      </c>
      <c r="AP232" s="260">
        <v>546</v>
      </c>
    </row>
    <row r="233" spans="9:42" ht="20.100000000000001" customHeight="1" x14ac:dyDescent="0.25">
      <c r="I233" s="246"/>
      <c r="K233" s="247"/>
      <c r="L233" s="247"/>
      <c r="M233" s="247"/>
      <c r="N233" s="248"/>
      <c r="O233" s="249"/>
      <c r="P233" s="247"/>
      <c r="R233" s="250"/>
      <c r="U233" s="247"/>
      <c r="V233" s="247"/>
      <c r="W233" s="247"/>
      <c r="X233" s="247"/>
      <c r="Y233" s="247"/>
      <c r="Z233" s="247"/>
      <c r="AA233" s="250"/>
      <c r="AB233" s="257">
        <v>24</v>
      </c>
      <c r="AC233" s="226"/>
      <c r="AD233" s="226"/>
      <c r="AH233" s="258">
        <f t="shared" si="28"/>
        <v>39</v>
      </c>
      <c r="AI233" s="258">
        <f t="shared" si="28"/>
        <v>150</v>
      </c>
      <c r="AJ233" s="259" t="str">
        <f t="shared" si="28"/>
        <v>3/1</v>
      </c>
      <c r="AK233" s="260">
        <f t="shared" si="33"/>
        <v>335.4</v>
      </c>
      <c r="AL233" s="226"/>
      <c r="AM233" s="258">
        <v>39</v>
      </c>
      <c r="AN233" s="258">
        <v>150</v>
      </c>
      <c r="AO233" s="262" t="s">
        <v>254</v>
      </c>
      <c r="AP233" s="260">
        <v>559</v>
      </c>
    </row>
    <row r="234" spans="9:42" ht="20.100000000000001" customHeight="1" x14ac:dyDescent="0.25">
      <c r="I234" s="246"/>
      <c r="K234" s="247"/>
      <c r="L234" s="247"/>
      <c r="M234" s="247"/>
      <c r="N234" s="248"/>
      <c r="O234" s="249"/>
      <c r="P234" s="247"/>
      <c r="R234" s="250"/>
      <c r="U234" s="247"/>
      <c r="V234" s="247"/>
      <c r="W234" s="247"/>
      <c r="X234" s="247"/>
      <c r="Y234" s="247"/>
      <c r="Z234" s="247"/>
      <c r="AA234" s="250"/>
      <c r="AB234" s="241" t="s">
        <v>245</v>
      </c>
      <c r="AC234" s="241" t="s">
        <v>246</v>
      </c>
      <c r="AD234" s="241" t="s">
        <v>236</v>
      </c>
      <c r="AH234" s="258">
        <f t="shared" si="28"/>
        <v>40</v>
      </c>
      <c r="AI234" s="258">
        <f t="shared" si="28"/>
        <v>150</v>
      </c>
      <c r="AJ234" s="259" t="str">
        <f t="shared" si="28"/>
        <v>3/2</v>
      </c>
      <c r="AK234" s="260">
        <f t="shared" si="33"/>
        <v>330</v>
      </c>
      <c r="AL234" s="226"/>
      <c r="AM234" s="258">
        <v>40</v>
      </c>
      <c r="AN234" s="258">
        <v>150</v>
      </c>
      <c r="AO234" s="262" t="s">
        <v>255</v>
      </c>
      <c r="AP234" s="260">
        <v>550</v>
      </c>
    </row>
    <row r="235" spans="9:42" ht="20.100000000000001" customHeight="1" x14ac:dyDescent="0.25">
      <c r="I235" s="246"/>
      <c r="K235" s="247"/>
      <c r="L235" s="247"/>
      <c r="M235" s="247"/>
      <c r="N235" s="248"/>
      <c r="O235" s="249"/>
      <c r="P235" s="247"/>
      <c r="R235" s="250"/>
      <c r="U235" s="247"/>
      <c r="V235" s="247"/>
      <c r="W235" s="247"/>
      <c r="X235" s="247"/>
      <c r="Y235" s="247"/>
      <c r="Z235" s="247"/>
      <c r="AA235" s="250"/>
      <c r="AB235" s="288">
        <f>IF(I27="","",I27)</f>
        <v>6.9</v>
      </c>
      <c r="AC235" s="283">
        <f>IF(J27="","",J27)</f>
        <v>62.9</v>
      </c>
      <c r="AD235" s="278">
        <f>IF(OR(AB235="",AC235=""),"",IF(AE239&lt;&gt;"",AE241,AVERAGEIF(AD241:AF241,"&lt;&gt;0",AD241:AF241)))</f>
        <v>183.51864</v>
      </c>
      <c r="AH235" s="258">
        <f t="shared" si="28"/>
        <v>41</v>
      </c>
      <c r="AI235" s="258">
        <f t="shared" si="28"/>
        <v>150</v>
      </c>
      <c r="AJ235" s="259" t="str">
        <f t="shared" si="28"/>
        <v>3/2</v>
      </c>
      <c r="AK235" s="260">
        <f t="shared" si="33"/>
        <v>337.8</v>
      </c>
      <c r="AL235" s="226"/>
      <c r="AM235" s="258">
        <v>41</v>
      </c>
      <c r="AN235" s="258">
        <v>150</v>
      </c>
      <c r="AO235" s="262" t="s">
        <v>255</v>
      </c>
      <c r="AP235" s="260">
        <v>563</v>
      </c>
    </row>
    <row r="236" spans="9:42" ht="20.100000000000001" customHeight="1" x14ac:dyDescent="0.25">
      <c r="I236" s="246"/>
      <c r="K236" s="247"/>
      <c r="L236" s="247"/>
      <c r="M236" s="247"/>
      <c r="N236" s="248"/>
      <c r="O236" s="249"/>
      <c r="P236" s="247"/>
      <c r="R236" s="250"/>
      <c r="U236" s="247"/>
      <c r="V236" s="247"/>
      <c r="W236" s="247"/>
      <c r="X236" s="247"/>
      <c r="Y236" s="247"/>
      <c r="Z236" s="247"/>
      <c r="AA236" s="250"/>
      <c r="AC236" s="250" t="s">
        <v>182</v>
      </c>
      <c r="AE236" s="279" t="s">
        <v>247</v>
      </c>
      <c r="AH236" s="258">
        <f t="shared" si="28"/>
        <v>42</v>
      </c>
      <c r="AI236" s="258">
        <f t="shared" si="28"/>
        <v>150</v>
      </c>
      <c r="AJ236" s="259" t="str">
        <f t="shared" si="28"/>
        <v>3/2</v>
      </c>
      <c r="AK236" s="260">
        <f t="shared" si="33"/>
        <v>346.2</v>
      </c>
      <c r="AL236" s="226"/>
      <c r="AM236" s="258">
        <v>42</v>
      </c>
      <c r="AN236" s="258">
        <v>150</v>
      </c>
      <c r="AO236" s="262" t="s">
        <v>255</v>
      </c>
      <c r="AP236" s="260">
        <v>577</v>
      </c>
    </row>
    <row r="237" spans="9:42" ht="20.100000000000001" customHeight="1" x14ac:dyDescent="0.25">
      <c r="I237" s="246"/>
      <c r="K237" s="247"/>
      <c r="L237" s="247"/>
      <c r="M237" s="247"/>
      <c r="N237" s="248"/>
      <c r="O237" s="249"/>
      <c r="P237" s="247"/>
      <c r="R237" s="250"/>
      <c r="U237" s="247"/>
      <c r="V237" s="247"/>
      <c r="W237" s="247"/>
      <c r="X237" s="247"/>
      <c r="Y237" s="247"/>
      <c r="Z237" s="247"/>
      <c r="AA237" s="250"/>
      <c r="AC237" s="281"/>
      <c r="AD237" s="282">
        <f>IF(AE237&gt;=400,400,IF(AE237&gt;=350,350,IF(AE237&gt;=325,325,IF(AE237&gt;=300,300,IF(AE237&gt;=275,275,IF(AE237&gt;=250,250,IF(AE237&gt;=225,225,IF(AE237&gt;=200,200,IF(AE237&gt;=175,175,IF(AE237&gt;=150,150,IF(AE237&gt;=125,125,IF(AE237&gt;=100,100,IF(AE237&gt;=75,75,50)))))))))))))</f>
        <v>50</v>
      </c>
      <c r="AE237" s="283">
        <f>AC235</f>
        <v>62.9</v>
      </c>
      <c r="AF237" s="282">
        <f>IF(AE237&lt;=50,50,IF(AE237&lt;=75,75,IF(AE237&lt;=100,100,IF(AE237&lt;=125,125,IF(AE237&lt;=150,150,IF(AE237&lt;=175,175,IF(AE237&lt;=200,200,IF(AE237&lt;=225,225,IF(AE237&lt;=250,250,IF(AE237&lt;=275,275,IF(AE237&lt;=300,300,IF(AE237&lt;=325,325,IF(AE237&lt;=350,350,400)))))))))))))</f>
        <v>75</v>
      </c>
      <c r="AH237" s="258">
        <f t="shared" si="28"/>
        <v>43</v>
      </c>
      <c r="AI237" s="258">
        <f t="shared" si="28"/>
        <v>150</v>
      </c>
      <c r="AJ237" s="259" t="str">
        <f t="shared" si="28"/>
        <v>3/2</v>
      </c>
      <c r="AK237" s="260">
        <f t="shared" si="33"/>
        <v>354</v>
      </c>
      <c r="AL237" s="226"/>
      <c r="AM237" s="258">
        <v>43</v>
      </c>
      <c r="AN237" s="258">
        <v>150</v>
      </c>
      <c r="AO237" s="262" t="s">
        <v>255</v>
      </c>
      <c r="AP237" s="260">
        <v>590</v>
      </c>
    </row>
    <row r="238" spans="9:42" ht="20.100000000000001" customHeight="1" x14ac:dyDescent="0.25">
      <c r="I238" s="246"/>
      <c r="K238" s="247"/>
      <c r="L238" s="247"/>
      <c r="M238" s="247"/>
      <c r="N238" s="248"/>
      <c r="O238" s="249"/>
      <c r="P238" s="247"/>
      <c r="R238" s="250"/>
      <c r="U238" s="247"/>
      <c r="V238" s="247"/>
      <c r="W238" s="247"/>
      <c r="X238" s="247"/>
      <c r="Y238" s="247"/>
      <c r="Z238" s="247"/>
      <c r="AA238" s="250"/>
      <c r="AC238" s="282">
        <f>IF(AC239&gt;=0,ROUNDDOWN(AC239,0),ROUNDUP(AC239,0))</f>
        <v>6</v>
      </c>
      <c r="AD238" s="284">
        <f>IF(AD237=400,VLOOKUP(AC238,$AH$700:$AK$748,4),IF(AD237=350,VLOOKUP(AC238,$AH$650:$AK$698,4),IF(AD237=325,VLOOKUP(AC238,$AH$598:$AK$648,4),IF(AD237=300,VLOOKUP(AC238,$AH$544:$AK$596,4),IF(AD237=275,VLOOKUP(AC238,$AH$488:$AK$542,4),IF(AD237=250,VLOOKUP(AC238,$AH$431:$AK$486,4),IF(AD237=225,VLOOKUP(AC238,$AH$379:$AK$429,4),IF(AD237=200,VLOOKUP(AC238,$AH$319:$AK$377,4),IF(AD237=175,VLOOKUP(AC238,$AH$256:$AK$317,4),IF(AD237=150,VLOOKUP(AC238,$AH$192:$AK$254,4),IF(AD237=125,VLOOKUP(AC238,$AH$126:$AK$190,4),IF(AD237=100,VLOOKUP(AC238,$AH$81:$AK$124,4),IF(AD237=75,VLOOKUP(AC238,$AH$39:$AK$79,4),IF(AD237=50,VLOOKUP(AC238,$AH$3:$AK$37,4)))))))))))))))</f>
        <v>181.79999999999998</v>
      </c>
      <c r="AE238" s="285">
        <f>IFERROR((AE237-AD237)/(AF237-AD237)*(AF238-AD238)+AD238,"")</f>
        <v>174.05999999999997</v>
      </c>
      <c r="AF238" s="284">
        <f>IF(AF237=400,VLOOKUP(AC238,$AH$700:$AK$748,4),IF(AF237=350,VLOOKUP(AC238,$AH$650:$AK$698,4),IF(AF237=325,VLOOKUP(AC238,$AH$598:$AK$648,4),IF(AF237=300,VLOOKUP(AC238,$AH$544:$AK$596,4),IF(AF237=275,VLOOKUP(AC238,$AH$488:$AK$542,4),IF(AF237=250,VLOOKUP(AC238,$AH$431:$AK$486,4),IF(AF237=225,VLOOKUP(AC238,$AH$379:$AK$429,4),IF(AF237=200,VLOOKUP(AC238,$AH$319:$AK$377,4),IF(AF237=175,VLOOKUP(AC238,$AH$256:$AK$317,4),IF(AF237=150,VLOOKUP(AC238,$AH$192:$AK$254,4),IF(AF237=125,VLOOKUP(AC238,$AH$126:$AK$190,4),IF(AF237=100,VLOOKUP(AC238,$AH$81:$AK$124,4),IF(AF237=75,VLOOKUP(AC238,$AH$39:$AK$79,4),IF(AF237=50,VLOOKUP(AC238,$AH$3:$AK$37,4)))))))))))))))</f>
        <v>166.79999999999998</v>
      </c>
      <c r="AH238" s="258">
        <f t="shared" si="28"/>
        <v>44</v>
      </c>
      <c r="AI238" s="258">
        <f t="shared" si="28"/>
        <v>150</v>
      </c>
      <c r="AJ238" s="259" t="str">
        <f t="shared" si="28"/>
        <v>3/2</v>
      </c>
      <c r="AK238" s="260">
        <f t="shared" si="33"/>
        <v>361.8</v>
      </c>
      <c r="AL238" s="226"/>
      <c r="AM238" s="258">
        <v>44</v>
      </c>
      <c r="AN238" s="258">
        <v>150</v>
      </c>
      <c r="AO238" s="262" t="s">
        <v>255</v>
      </c>
      <c r="AP238" s="260">
        <v>603</v>
      </c>
    </row>
    <row r="239" spans="9:42" ht="20.100000000000001" customHeight="1" x14ac:dyDescent="0.25">
      <c r="I239" s="246"/>
      <c r="K239" s="247"/>
      <c r="L239" s="247"/>
      <c r="M239" s="247"/>
      <c r="N239" s="248"/>
      <c r="O239" s="249"/>
      <c r="P239" s="247"/>
      <c r="R239" s="250"/>
      <c r="U239" s="247"/>
      <c r="V239" s="247"/>
      <c r="W239" s="247"/>
      <c r="X239" s="247"/>
      <c r="Y239" s="247"/>
      <c r="Z239" s="247"/>
      <c r="AA239" s="250"/>
      <c r="AB239" s="287" t="s">
        <v>248</v>
      </c>
      <c r="AC239" s="288">
        <f>AB235</f>
        <v>6.9</v>
      </c>
      <c r="AD239" s="285">
        <f>IFERROR((AC239-AC238)/(AC240-AC238)*(AD240-AD238)+AD238,"")</f>
        <v>190.98</v>
      </c>
      <c r="AE239" s="278">
        <f>IFERROR((AE237-AF237)/(AD237-AF237)*(AD239-AF239)+AF239,"")</f>
        <v>183.51864</v>
      </c>
      <c r="AF239" s="285">
        <f>IFERROR((AC239-AC238)/(AC240-AC238)*(AF240-AF238)+AF238,"")</f>
        <v>176.52</v>
      </c>
      <c r="AH239" s="258">
        <f>AM239</f>
        <v>45</v>
      </c>
      <c r="AI239" s="258">
        <f>AN239</f>
        <v>150</v>
      </c>
      <c r="AJ239" s="259" t="str">
        <f>AO239</f>
        <v>3/2</v>
      </c>
      <c r="AK239" s="260">
        <f t="shared" si="33"/>
        <v>370.2</v>
      </c>
      <c r="AL239" s="226"/>
      <c r="AM239" s="258">
        <v>45</v>
      </c>
      <c r="AN239" s="258">
        <v>150</v>
      </c>
      <c r="AO239" s="262" t="s">
        <v>255</v>
      </c>
      <c r="AP239" s="260">
        <v>617</v>
      </c>
    </row>
    <row r="240" spans="9:42" ht="20.100000000000001" customHeight="1" x14ac:dyDescent="0.25">
      <c r="I240" s="246"/>
      <c r="K240" s="247"/>
      <c r="L240" s="247"/>
      <c r="M240" s="247"/>
      <c r="N240" s="248"/>
      <c r="O240" s="249"/>
      <c r="P240" s="247"/>
      <c r="R240" s="250"/>
      <c r="U240" s="247"/>
      <c r="V240" s="247"/>
      <c r="W240" s="247"/>
      <c r="X240" s="247"/>
      <c r="Y240" s="247"/>
      <c r="Z240" s="247"/>
      <c r="AA240" s="250"/>
      <c r="AC240" s="282">
        <f>IF(AC239&gt;=0,ROUNDUP(AC239,0),ROUNDDOWN(AC239,0))</f>
        <v>7</v>
      </c>
      <c r="AD240" s="284">
        <f>IF(AD237=400,VLOOKUP(AC240,$AH$700:$AK$748,4),IF(AD237=350,VLOOKUP(AC240,$AH$650:$AK$698,4),IF(AD237=325,VLOOKUP(AC240,$AH$598:$AK$648,4),IF(AD237=300,VLOOKUP(AC240,$AH$544:$AK$596,4),IF(AD237=275,VLOOKUP(AC240,$AH$488:$AK$542,4),IF(AD237=250,VLOOKUP(AC240,$AH$431:$AK$486,4),IF(AD237=225,VLOOKUP(AC240,$AH$379:$AK$429,4),IF(AD237=200,VLOOKUP(AC240,$AH$319:$AK$377,4),IF(AD237=175,VLOOKUP(AC240,$AH$256:$AK$317,4),IF(AD237=150,VLOOKUP(AC240,$AH$192:$AK$254,4),IF(AD237=125,VLOOKUP(AC240,$AH$126:$AK$190,4),IF(AD237=100,VLOOKUP(AC240,$AH$81:$AK$124,4),IF(AD237=75,VLOOKUP(AC240,$AH$39:$AK$79,4),IF(AD237=50,VLOOKUP(AC240,$AH$3:$AK$37,4)))))))))))))))</f>
        <v>192</v>
      </c>
      <c r="AE240" s="285">
        <f>IFERROR((AE237-AD237)/(AF237-AD237)*(AF240-AD240)+AD240,"")</f>
        <v>184.56960000000001</v>
      </c>
      <c r="AF240" s="284">
        <f>IF(AF237=400,VLOOKUP(AC240,$AH$700:$AK$748,4),IF(AF237=350,VLOOKUP(AC240,$AH$650:$AK$698,4),IF(AF237=325,VLOOKUP(AC240,$AH$598:$AK$648,4),IF(AF237=300,VLOOKUP(AC240,$AH$544:$AK$596,4),IF(AF237=275,VLOOKUP(AC240,$AH$488:$AK$542,4),IF(AF237=250,VLOOKUP(AC240,$AH$431:$AK$486,4),IF(AF237=225,VLOOKUP(AC240,$AH$379:$AK$429,4),IF(AF237=200,VLOOKUP(AC240,$AH$319:$AK$377,4),IF(AF237=175,VLOOKUP(AC240,$AH$256:$AK$317,4),IF(AF237=150,VLOOKUP(AC240,$AH$192:$AK$254,4),IF(AF237=125,VLOOKUP(AC240,$AH$126:$AK$190,4),IF(AF237=100,VLOOKUP(AC240,$AH$81:$AK$124,4),IF(AF237=75,VLOOKUP(AC240,$AH$39:$AK$79,4),IF(AF237=50,VLOOKUP(AC240,$AH$3:$AK$37,4)))))))))))))))</f>
        <v>177.6</v>
      </c>
      <c r="AH240" s="258">
        <f t="shared" ref="AH240:AJ254" si="38">AM240</f>
        <v>46</v>
      </c>
      <c r="AI240" s="258">
        <f t="shared" si="38"/>
        <v>150</v>
      </c>
      <c r="AJ240" s="259" t="str">
        <f t="shared" si="38"/>
        <v>2/0</v>
      </c>
      <c r="AK240" s="260">
        <f t="shared" si="33"/>
        <v>269.03999999999996</v>
      </c>
      <c r="AL240" s="226"/>
      <c r="AM240" s="258">
        <v>46</v>
      </c>
      <c r="AN240" s="258">
        <v>150</v>
      </c>
      <c r="AO240" s="262" t="s">
        <v>253</v>
      </c>
      <c r="AP240" s="260">
        <v>448.4</v>
      </c>
    </row>
    <row r="241" spans="9:42" ht="20.100000000000001" customHeight="1" x14ac:dyDescent="0.25">
      <c r="I241" s="246"/>
      <c r="K241" s="247"/>
      <c r="L241" s="247"/>
      <c r="M241" s="247"/>
      <c r="N241" s="248"/>
      <c r="O241" s="249"/>
      <c r="P241" s="247"/>
      <c r="R241" s="250"/>
      <c r="U241" s="247"/>
      <c r="V241" s="247"/>
      <c r="W241" s="247"/>
      <c r="X241" s="247"/>
      <c r="Y241" s="247"/>
      <c r="Z241" s="247"/>
      <c r="AA241" s="250"/>
      <c r="AD241" s="289">
        <f>IF(AD239&lt;&gt;"",AD239,AVERAGE(AD238:AD240))</f>
        <v>190.98</v>
      </c>
      <c r="AE241" s="289">
        <f>IF(AE239&lt;&gt;"",AE239,IF(SUM(AE238:AE240)=0,"",AVERAGE(AE238:AE240)))</f>
        <v>183.51864</v>
      </c>
      <c r="AF241" s="289">
        <f>IF(AF239&lt;&gt;"",AF239,AVERAGE(AF238:AF240))</f>
        <v>176.52</v>
      </c>
      <c r="AH241" s="258">
        <f t="shared" si="38"/>
        <v>47</v>
      </c>
      <c r="AI241" s="258">
        <f t="shared" si="38"/>
        <v>150</v>
      </c>
      <c r="AJ241" s="259" t="str">
        <f t="shared" si="38"/>
        <v>2/0</v>
      </c>
      <c r="AK241" s="260">
        <f t="shared" si="33"/>
        <v>274.68</v>
      </c>
      <c r="AL241" s="226"/>
      <c r="AM241" s="258">
        <v>47</v>
      </c>
      <c r="AN241" s="258">
        <v>150</v>
      </c>
      <c r="AO241" s="262" t="s">
        <v>253</v>
      </c>
      <c r="AP241" s="260">
        <v>457.8</v>
      </c>
    </row>
    <row r="242" spans="9:42" ht="20.100000000000001" customHeight="1" x14ac:dyDescent="0.25">
      <c r="I242" s="246"/>
      <c r="K242" s="247"/>
      <c r="L242" s="247"/>
      <c r="M242" s="247"/>
      <c r="N242" s="248"/>
      <c r="O242" s="249"/>
      <c r="P242" s="247"/>
      <c r="R242" s="250"/>
      <c r="U242" s="247"/>
      <c r="V242" s="247"/>
      <c r="W242" s="247"/>
      <c r="X242" s="247"/>
      <c r="Y242" s="247"/>
      <c r="Z242" s="247"/>
      <c r="AA242" s="250"/>
      <c r="AH242" s="258">
        <f t="shared" si="38"/>
        <v>48</v>
      </c>
      <c r="AI242" s="258">
        <f t="shared" si="38"/>
        <v>150</v>
      </c>
      <c r="AJ242" s="259" t="str">
        <f t="shared" si="38"/>
        <v>2/0</v>
      </c>
      <c r="AK242" s="260">
        <f t="shared" si="33"/>
        <v>280.32</v>
      </c>
      <c r="AL242" s="226"/>
      <c r="AM242" s="258">
        <v>48</v>
      </c>
      <c r="AN242" s="258">
        <v>150</v>
      </c>
      <c r="AO242" s="262" t="s">
        <v>253</v>
      </c>
      <c r="AP242" s="260">
        <v>467.2</v>
      </c>
    </row>
    <row r="243" spans="9:42" ht="20.100000000000001" customHeight="1" x14ac:dyDescent="0.25">
      <c r="I243" s="246"/>
      <c r="K243" s="247"/>
      <c r="L243" s="247"/>
      <c r="M243" s="247"/>
      <c r="N243" s="248"/>
      <c r="O243" s="249"/>
      <c r="P243" s="247"/>
      <c r="R243" s="250"/>
      <c r="U243" s="247"/>
      <c r="V243" s="247"/>
      <c r="W243" s="247"/>
      <c r="X243" s="247"/>
      <c r="Y243" s="247"/>
      <c r="Z243" s="247"/>
      <c r="AA243" s="250"/>
      <c r="AB243" s="257">
        <v>25</v>
      </c>
      <c r="AC243" s="226"/>
      <c r="AD243" s="226"/>
      <c r="AH243" s="258">
        <f t="shared" si="38"/>
        <v>49</v>
      </c>
      <c r="AI243" s="258">
        <f t="shared" si="38"/>
        <v>150</v>
      </c>
      <c r="AJ243" s="259" t="str">
        <f t="shared" si="38"/>
        <v>2/0</v>
      </c>
      <c r="AK243" s="260">
        <f t="shared" si="33"/>
        <v>285.95999999999998</v>
      </c>
      <c r="AL243" s="226"/>
      <c r="AM243" s="258">
        <v>49</v>
      </c>
      <c r="AN243" s="258">
        <v>150</v>
      </c>
      <c r="AO243" s="262" t="s">
        <v>253</v>
      </c>
      <c r="AP243" s="260">
        <v>476.6</v>
      </c>
    </row>
    <row r="244" spans="9:42" ht="20.100000000000001" customHeight="1" x14ac:dyDescent="0.25">
      <c r="I244" s="246"/>
      <c r="K244" s="247"/>
      <c r="L244" s="247"/>
      <c r="M244" s="247"/>
      <c r="N244" s="248"/>
      <c r="O244" s="249"/>
      <c r="P244" s="247"/>
      <c r="R244" s="250"/>
      <c r="U244" s="247"/>
      <c r="V244" s="247"/>
      <c r="W244" s="247"/>
      <c r="X244" s="247"/>
      <c r="Y244" s="247"/>
      <c r="Z244" s="247"/>
      <c r="AA244" s="250"/>
      <c r="AB244" s="241" t="s">
        <v>245</v>
      </c>
      <c r="AC244" s="241" t="s">
        <v>246</v>
      </c>
      <c r="AD244" s="241" t="s">
        <v>236</v>
      </c>
      <c r="AH244" s="258">
        <f t="shared" si="38"/>
        <v>50</v>
      </c>
      <c r="AI244" s="258">
        <f t="shared" si="38"/>
        <v>150</v>
      </c>
      <c r="AJ244" s="259" t="str">
        <f t="shared" si="38"/>
        <v>2/0</v>
      </c>
      <c r="AK244" s="260">
        <f t="shared" si="33"/>
        <v>291.59999999999997</v>
      </c>
      <c r="AL244" s="226"/>
      <c r="AM244" s="258">
        <v>50</v>
      </c>
      <c r="AN244" s="258">
        <v>150</v>
      </c>
      <c r="AO244" s="262" t="s">
        <v>253</v>
      </c>
      <c r="AP244" s="260">
        <v>486</v>
      </c>
    </row>
    <row r="245" spans="9:42" ht="20.100000000000001" customHeight="1" x14ac:dyDescent="0.25">
      <c r="I245" s="246"/>
      <c r="K245" s="247"/>
      <c r="L245" s="247"/>
      <c r="M245" s="247"/>
      <c r="N245" s="248"/>
      <c r="O245" s="249"/>
      <c r="P245" s="247"/>
      <c r="R245" s="250"/>
      <c r="U245" s="247"/>
      <c r="V245" s="247"/>
      <c r="W245" s="247"/>
      <c r="X245" s="247"/>
      <c r="Y245" s="247"/>
      <c r="Z245" s="247"/>
      <c r="AA245" s="250"/>
      <c r="AB245" s="288">
        <f>IF(I28="","",I28)</f>
        <v>6.5</v>
      </c>
      <c r="AC245" s="283">
        <f>IF(J28="","",J28)</f>
        <v>63.6</v>
      </c>
      <c r="AD245" s="278">
        <f>IF(OR(AB245="",AC245=""),"",IF(AE249&lt;&gt;"",AE251,AVERAGEIF(AD251:AF251,"&lt;&gt;0",AD251:AF251)))</f>
        <v>178.90319999999997</v>
      </c>
      <c r="AH245" s="258">
        <f t="shared" si="38"/>
        <v>51</v>
      </c>
      <c r="AI245" s="258">
        <f t="shared" si="38"/>
        <v>150</v>
      </c>
      <c r="AJ245" s="259" t="str">
        <f t="shared" si="38"/>
        <v>2/0</v>
      </c>
      <c r="AK245" s="260">
        <f t="shared" si="33"/>
        <v>296.39999999999998</v>
      </c>
      <c r="AL245" s="226"/>
      <c r="AM245" s="258">
        <v>51</v>
      </c>
      <c r="AN245" s="258">
        <v>150</v>
      </c>
      <c r="AO245" s="262" t="s">
        <v>253</v>
      </c>
      <c r="AP245" s="260">
        <v>494</v>
      </c>
    </row>
    <row r="246" spans="9:42" ht="20.100000000000001" customHeight="1" x14ac:dyDescent="0.25">
      <c r="I246" s="246"/>
      <c r="K246" s="247"/>
      <c r="L246" s="247"/>
      <c r="M246" s="247"/>
      <c r="N246" s="248"/>
      <c r="O246" s="249"/>
      <c r="P246" s="247"/>
      <c r="R246" s="250"/>
      <c r="U246" s="247"/>
      <c r="V246" s="247"/>
      <c r="W246" s="247"/>
      <c r="X246" s="247"/>
      <c r="Y246" s="247"/>
      <c r="Z246" s="247"/>
      <c r="AA246" s="250"/>
      <c r="AC246" s="250" t="s">
        <v>182</v>
      </c>
      <c r="AE246" s="279" t="s">
        <v>247</v>
      </c>
      <c r="AH246" s="258">
        <f t="shared" si="38"/>
        <v>52</v>
      </c>
      <c r="AI246" s="258">
        <f t="shared" si="38"/>
        <v>150</v>
      </c>
      <c r="AJ246" s="259" t="str">
        <f t="shared" si="38"/>
        <v>2/0</v>
      </c>
      <c r="AK246" s="260">
        <f t="shared" si="33"/>
        <v>301.2</v>
      </c>
      <c r="AL246" s="226"/>
      <c r="AM246" s="258">
        <v>52</v>
      </c>
      <c r="AN246" s="258">
        <v>150</v>
      </c>
      <c r="AO246" s="262" t="s">
        <v>253</v>
      </c>
      <c r="AP246" s="260">
        <v>502</v>
      </c>
    </row>
    <row r="247" spans="9:42" ht="20.100000000000001" customHeight="1" x14ac:dyDescent="0.25">
      <c r="I247" s="246"/>
      <c r="K247" s="247"/>
      <c r="L247" s="247"/>
      <c r="M247" s="247"/>
      <c r="N247" s="248"/>
      <c r="O247" s="249"/>
      <c r="P247" s="247"/>
      <c r="R247" s="250"/>
      <c r="U247" s="247"/>
      <c r="V247" s="247"/>
      <c r="W247" s="247"/>
      <c r="X247" s="247"/>
      <c r="Y247" s="247"/>
      <c r="Z247" s="247"/>
      <c r="AA247" s="250"/>
      <c r="AC247" s="281"/>
      <c r="AD247" s="282">
        <f>IF(AE247&gt;=400,400,IF(AE247&gt;=350,350,IF(AE247&gt;=325,325,IF(AE247&gt;=300,300,IF(AE247&gt;=275,275,IF(AE247&gt;=250,250,IF(AE247&gt;=225,225,IF(AE247&gt;=200,200,IF(AE247&gt;=175,175,IF(AE247&gt;=150,150,IF(AE247&gt;=125,125,IF(AE247&gt;=100,100,IF(AE247&gt;=75,75,50)))))))))))))</f>
        <v>50</v>
      </c>
      <c r="AE247" s="283">
        <f>AC245</f>
        <v>63.6</v>
      </c>
      <c r="AF247" s="282">
        <f>IF(AE247&lt;=50,50,IF(AE247&lt;=75,75,IF(AE247&lt;=100,100,IF(AE247&lt;=125,125,IF(AE247&lt;=150,150,IF(AE247&lt;=175,175,IF(AE247&lt;=200,200,IF(AE247&lt;=225,225,IF(AE247&lt;=250,250,IF(AE247&lt;=275,275,IF(AE247&lt;=300,300,IF(AE247&lt;=325,325,IF(AE247&lt;=350,350,400)))))))))))))</f>
        <v>75</v>
      </c>
      <c r="AH247" s="258">
        <f t="shared" si="38"/>
        <v>53</v>
      </c>
      <c r="AI247" s="258">
        <f t="shared" si="38"/>
        <v>150</v>
      </c>
      <c r="AJ247" s="259" t="str">
        <f t="shared" si="38"/>
        <v>2/0</v>
      </c>
      <c r="AK247" s="260">
        <f t="shared" si="33"/>
        <v>306</v>
      </c>
      <c r="AL247" s="226"/>
      <c r="AM247" s="258">
        <v>53</v>
      </c>
      <c r="AN247" s="258">
        <v>150</v>
      </c>
      <c r="AO247" s="262" t="s">
        <v>253</v>
      </c>
      <c r="AP247" s="260">
        <v>510</v>
      </c>
    </row>
    <row r="248" spans="9:42" ht="20.100000000000001" customHeight="1" x14ac:dyDescent="0.25">
      <c r="I248" s="246"/>
      <c r="K248" s="247"/>
      <c r="L248" s="247"/>
      <c r="M248" s="247"/>
      <c r="N248" s="248"/>
      <c r="O248" s="249"/>
      <c r="P248" s="247"/>
      <c r="R248" s="250"/>
      <c r="U248" s="247"/>
      <c r="V248" s="247"/>
      <c r="W248" s="247"/>
      <c r="X248" s="247"/>
      <c r="Y248" s="247"/>
      <c r="Z248" s="247"/>
      <c r="AA248" s="250"/>
      <c r="AC248" s="282">
        <f>IF(AC249&gt;=0,ROUNDDOWN(AC249,0),ROUNDUP(AC249,0))</f>
        <v>6</v>
      </c>
      <c r="AD248" s="284">
        <f>IF(AD247=400,VLOOKUP(AC248,$AH$700:$AK$748,4),IF(AD247=350,VLOOKUP(AC248,$AH$650:$AK$698,4),IF(AD247=325,VLOOKUP(AC248,$AH$598:$AK$648,4),IF(AD247=300,VLOOKUP(AC248,$AH$544:$AK$596,4),IF(AD247=275,VLOOKUP(AC248,$AH$488:$AK$542,4),IF(AD247=250,VLOOKUP(AC248,$AH$431:$AK$486,4),IF(AD247=225,VLOOKUP(AC248,$AH$379:$AK$429,4),IF(AD247=200,VLOOKUP(AC248,$AH$319:$AK$377,4),IF(AD247=175,VLOOKUP(AC248,$AH$256:$AK$317,4),IF(AD247=150,VLOOKUP(AC248,$AH$192:$AK$254,4),IF(AD247=125,VLOOKUP(AC248,$AH$126:$AK$190,4),IF(AD247=100,VLOOKUP(AC248,$AH$81:$AK$124,4),IF(AD247=75,VLOOKUP(AC248,$AH$39:$AK$79,4),IF(AD247=50,VLOOKUP(AC248,$AH$3:$AK$37,4)))))))))))))))</f>
        <v>181.79999999999998</v>
      </c>
      <c r="AE248" s="285">
        <f>IFERROR((AE247-AD247)/(AF247-AD247)*(AF248-AD248)+AD248,"")</f>
        <v>173.64</v>
      </c>
      <c r="AF248" s="284">
        <f>IF(AF247=400,VLOOKUP(AC248,$AH$700:$AK$748,4),IF(AF247=350,VLOOKUP(AC248,$AH$650:$AK$698,4),IF(AF247=325,VLOOKUP(AC248,$AH$598:$AK$648,4),IF(AF247=300,VLOOKUP(AC248,$AH$544:$AK$596,4),IF(AF247=275,VLOOKUP(AC248,$AH$488:$AK$542,4),IF(AF247=250,VLOOKUP(AC248,$AH$431:$AK$486,4),IF(AF247=225,VLOOKUP(AC248,$AH$379:$AK$429,4),IF(AF247=200,VLOOKUP(AC248,$AH$319:$AK$377,4),IF(AF247=175,VLOOKUP(AC248,$AH$256:$AK$317,4),IF(AF247=150,VLOOKUP(AC248,$AH$192:$AK$254,4),IF(AF247=125,VLOOKUP(AC248,$AH$126:$AK$190,4),IF(AF247=100,VLOOKUP(AC248,$AH$81:$AK$124,4),IF(AF247=75,VLOOKUP(AC248,$AH$39:$AK$79,4),IF(AF247=50,VLOOKUP(AC248,$AH$3:$AK$37,4)))))))))))))))</f>
        <v>166.79999999999998</v>
      </c>
      <c r="AH248" s="258">
        <f t="shared" si="38"/>
        <v>54</v>
      </c>
      <c r="AI248" s="258">
        <f t="shared" si="38"/>
        <v>150</v>
      </c>
      <c r="AJ248" s="259" t="str">
        <f t="shared" si="38"/>
        <v>2/0</v>
      </c>
      <c r="AK248" s="260">
        <f t="shared" si="33"/>
        <v>312</v>
      </c>
      <c r="AL248" s="226"/>
      <c r="AM248" s="258">
        <v>54</v>
      </c>
      <c r="AN248" s="258">
        <v>150</v>
      </c>
      <c r="AO248" s="262" t="s">
        <v>253</v>
      </c>
      <c r="AP248" s="260">
        <v>520</v>
      </c>
    </row>
    <row r="249" spans="9:42" ht="20.100000000000001" customHeight="1" x14ac:dyDescent="0.25">
      <c r="I249" s="246"/>
      <c r="K249" s="247"/>
      <c r="L249" s="247"/>
      <c r="M249" s="247"/>
      <c r="N249" s="248"/>
      <c r="O249" s="249"/>
      <c r="P249" s="247"/>
      <c r="R249" s="250"/>
      <c r="U249" s="247"/>
      <c r="V249" s="247"/>
      <c r="W249" s="247"/>
      <c r="X249" s="247"/>
      <c r="Y249" s="247"/>
      <c r="Z249" s="247"/>
      <c r="AA249" s="250"/>
      <c r="AB249" s="287" t="s">
        <v>248</v>
      </c>
      <c r="AC249" s="288">
        <f>AB245</f>
        <v>6.5</v>
      </c>
      <c r="AD249" s="285">
        <f>IFERROR((AC249-AC248)/(AC250-AC248)*(AD250-AD248)+AD248,"")</f>
        <v>186.89999999999998</v>
      </c>
      <c r="AE249" s="278">
        <f>IFERROR((AE247-AF247)/(AD247-AF247)*(AD249-AF249)+AF249,"")</f>
        <v>178.90319999999997</v>
      </c>
      <c r="AF249" s="285">
        <f>IFERROR((AC249-AC248)/(AC250-AC248)*(AF250-AF248)+AF248,"")</f>
        <v>172.2</v>
      </c>
      <c r="AH249" s="258">
        <f t="shared" si="38"/>
        <v>55</v>
      </c>
      <c r="AI249" s="258">
        <f t="shared" si="38"/>
        <v>150</v>
      </c>
      <c r="AJ249" s="259" t="str">
        <f t="shared" si="38"/>
        <v>2/0</v>
      </c>
      <c r="AK249" s="260">
        <f t="shared" si="33"/>
        <v>316.8</v>
      </c>
      <c r="AL249" s="226"/>
      <c r="AM249" s="258">
        <v>55</v>
      </c>
      <c r="AN249" s="258">
        <v>150</v>
      </c>
      <c r="AO249" s="262" t="s">
        <v>253</v>
      </c>
      <c r="AP249" s="260">
        <v>528</v>
      </c>
    </row>
    <row r="250" spans="9:42" ht="20.100000000000001" customHeight="1" x14ac:dyDescent="0.25">
      <c r="I250" s="246"/>
      <c r="K250" s="247"/>
      <c r="L250" s="247"/>
      <c r="M250" s="247"/>
      <c r="N250" s="248"/>
      <c r="O250" s="249"/>
      <c r="P250" s="247"/>
      <c r="R250" s="250"/>
      <c r="U250" s="247"/>
      <c r="V250" s="247"/>
      <c r="W250" s="247"/>
      <c r="X250" s="247"/>
      <c r="Y250" s="247"/>
      <c r="Z250" s="247"/>
      <c r="AA250" s="250"/>
      <c r="AC250" s="282">
        <f>IF(AC249&gt;=0,ROUNDUP(AC249,0),ROUNDDOWN(AC249,0))</f>
        <v>7</v>
      </c>
      <c r="AD250" s="284">
        <f>IF(AD247=400,VLOOKUP(AC250,$AH$700:$AK$748,4),IF(AD247=350,VLOOKUP(AC250,$AH$650:$AK$698,4),IF(AD247=325,VLOOKUP(AC250,$AH$598:$AK$648,4),IF(AD247=300,VLOOKUP(AC250,$AH$544:$AK$596,4),IF(AD247=275,VLOOKUP(AC250,$AH$488:$AK$542,4),IF(AD247=250,VLOOKUP(AC250,$AH$431:$AK$486,4),IF(AD247=225,VLOOKUP(AC250,$AH$379:$AK$429,4),IF(AD247=200,VLOOKUP(AC250,$AH$319:$AK$377,4),IF(AD247=175,VLOOKUP(AC250,$AH$256:$AK$317,4),IF(AD247=150,VLOOKUP(AC250,$AH$192:$AK$254,4),IF(AD247=125,VLOOKUP(AC250,$AH$126:$AK$190,4),IF(AD247=100,VLOOKUP(AC250,$AH$81:$AK$124,4),IF(AD247=75,VLOOKUP(AC250,$AH$39:$AK$79,4),IF(AD247=50,VLOOKUP(AC250,$AH$3:$AK$37,4)))))))))))))))</f>
        <v>192</v>
      </c>
      <c r="AE250" s="285">
        <f>IFERROR((AE247-AD247)/(AF247-AD247)*(AF250-AD250)+AD250,"")</f>
        <v>184.16640000000001</v>
      </c>
      <c r="AF250" s="284">
        <f>IF(AF247=400,VLOOKUP(AC250,$AH$700:$AK$748,4),IF(AF247=350,VLOOKUP(AC250,$AH$650:$AK$698,4),IF(AF247=325,VLOOKUP(AC250,$AH$598:$AK$648,4),IF(AF247=300,VLOOKUP(AC250,$AH$544:$AK$596,4),IF(AF247=275,VLOOKUP(AC250,$AH$488:$AK$542,4),IF(AF247=250,VLOOKUP(AC250,$AH$431:$AK$486,4),IF(AF247=225,VLOOKUP(AC250,$AH$379:$AK$429,4),IF(AF247=200,VLOOKUP(AC250,$AH$319:$AK$377,4),IF(AF247=175,VLOOKUP(AC250,$AH$256:$AK$317,4),IF(AF247=150,VLOOKUP(AC250,$AH$192:$AK$254,4),IF(AF247=125,VLOOKUP(AC250,$AH$126:$AK$190,4),IF(AF247=100,VLOOKUP(AC250,$AH$81:$AK$124,4),IF(AF247=75,VLOOKUP(AC250,$AH$39:$AK$79,4),IF(AF247=50,VLOOKUP(AC250,$AH$3:$AK$37,4)))))))))))))))</f>
        <v>177.6</v>
      </c>
      <c r="AH250" s="258">
        <f t="shared" si="38"/>
        <v>56</v>
      </c>
      <c r="AI250" s="258">
        <f t="shared" si="38"/>
        <v>150</v>
      </c>
      <c r="AJ250" s="259" t="str">
        <f t="shared" si="38"/>
        <v>2/0</v>
      </c>
      <c r="AK250" s="260">
        <f t="shared" si="33"/>
        <v>323.39999999999998</v>
      </c>
      <c r="AL250" s="226"/>
      <c r="AM250" s="258">
        <v>56</v>
      </c>
      <c r="AN250" s="258">
        <v>150</v>
      </c>
      <c r="AO250" s="262" t="s">
        <v>253</v>
      </c>
      <c r="AP250" s="260">
        <v>539</v>
      </c>
    </row>
    <row r="251" spans="9:42" ht="20.100000000000001" customHeight="1" x14ac:dyDescent="0.25">
      <c r="I251" s="246"/>
      <c r="K251" s="247"/>
      <c r="L251" s="247"/>
      <c r="M251" s="247"/>
      <c r="N251" s="248"/>
      <c r="O251" s="249"/>
      <c r="P251" s="247"/>
      <c r="R251" s="250"/>
      <c r="U251" s="247"/>
      <c r="V251" s="247"/>
      <c r="W251" s="247"/>
      <c r="X251" s="247"/>
      <c r="Y251" s="247"/>
      <c r="Z251" s="247"/>
      <c r="AA251" s="250"/>
      <c r="AD251" s="289">
        <f>IF(AD249&lt;&gt;"",AD249,AVERAGE(AD248:AD250))</f>
        <v>186.89999999999998</v>
      </c>
      <c r="AE251" s="289">
        <f>IF(AE249&lt;&gt;"",AE249,IF(SUM(AE248:AE250)=0,"",AVERAGE(AE248:AE250)))</f>
        <v>178.90319999999997</v>
      </c>
      <c r="AF251" s="289">
        <f>IF(AF249&lt;&gt;"",AF249,AVERAGE(AF248:AF250))</f>
        <v>172.2</v>
      </c>
      <c r="AH251" s="258">
        <f t="shared" si="38"/>
        <v>57</v>
      </c>
      <c r="AI251" s="258">
        <f t="shared" si="38"/>
        <v>150</v>
      </c>
      <c r="AJ251" s="259" t="str">
        <f t="shared" si="38"/>
        <v>2/0</v>
      </c>
      <c r="AK251" s="260">
        <f t="shared" si="33"/>
        <v>327.59999999999997</v>
      </c>
      <c r="AL251" s="226"/>
      <c r="AM251" s="258">
        <v>57</v>
      </c>
      <c r="AN251" s="258">
        <v>150</v>
      </c>
      <c r="AO251" s="262" t="s">
        <v>253</v>
      </c>
      <c r="AP251" s="260">
        <v>546</v>
      </c>
    </row>
    <row r="252" spans="9:42" ht="20.100000000000001" customHeight="1" x14ac:dyDescent="0.25">
      <c r="I252" s="246"/>
      <c r="K252" s="247"/>
      <c r="L252" s="247"/>
      <c r="M252" s="247"/>
      <c r="N252" s="248"/>
      <c r="O252" s="249"/>
      <c r="P252" s="247"/>
      <c r="R252" s="250"/>
      <c r="U252" s="247"/>
      <c r="V252" s="247"/>
      <c r="W252" s="247"/>
      <c r="X252" s="247"/>
      <c r="Y252" s="247"/>
      <c r="Z252" s="247"/>
      <c r="AA252" s="250"/>
      <c r="AH252" s="258">
        <f t="shared" si="38"/>
        <v>58</v>
      </c>
      <c r="AI252" s="258">
        <f t="shared" si="38"/>
        <v>150</v>
      </c>
      <c r="AJ252" s="259" t="str">
        <f t="shared" si="38"/>
        <v>2/0</v>
      </c>
      <c r="AK252" s="260">
        <f t="shared" si="33"/>
        <v>333</v>
      </c>
      <c r="AL252" s="226"/>
      <c r="AM252" s="258">
        <v>58</v>
      </c>
      <c r="AN252" s="258">
        <v>150</v>
      </c>
      <c r="AO252" s="262" t="s">
        <v>253</v>
      </c>
      <c r="AP252" s="260">
        <v>555</v>
      </c>
    </row>
    <row r="253" spans="9:42" ht="20.100000000000001" customHeight="1" x14ac:dyDescent="0.25">
      <c r="I253" s="246"/>
      <c r="K253" s="247"/>
      <c r="L253" s="247"/>
      <c r="M253" s="247"/>
      <c r="N253" s="248"/>
      <c r="O253" s="249"/>
      <c r="P253" s="247"/>
      <c r="R253" s="250"/>
      <c r="U253" s="247"/>
      <c r="V253" s="247"/>
      <c r="W253" s="247"/>
      <c r="X253" s="247"/>
      <c r="Y253" s="247"/>
      <c r="Z253" s="247"/>
      <c r="AA253" s="250"/>
      <c r="AB253" s="257">
        <v>26</v>
      </c>
      <c r="AC253" s="226"/>
      <c r="AD253" s="226"/>
      <c r="AH253" s="258">
        <f t="shared" si="38"/>
        <v>59</v>
      </c>
      <c r="AI253" s="258">
        <f t="shared" si="38"/>
        <v>150</v>
      </c>
      <c r="AJ253" s="259" t="str">
        <f t="shared" si="38"/>
        <v>2/0</v>
      </c>
      <c r="AK253" s="260">
        <f t="shared" si="33"/>
        <v>338.4</v>
      </c>
      <c r="AL253" s="226"/>
      <c r="AM253" s="258">
        <v>59</v>
      </c>
      <c r="AN253" s="258">
        <v>150</v>
      </c>
      <c r="AO253" s="262" t="s">
        <v>253</v>
      </c>
      <c r="AP253" s="260">
        <v>564</v>
      </c>
    </row>
    <row r="254" spans="9:42" ht="20.100000000000001" customHeight="1" x14ac:dyDescent="0.25">
      <c r="I254" s="246"/>
      <c r="K254" s="247"/>
      <c r="L254" s="247"/>
      <c r="M254" s="247"/>
      <c r="N254" s="248"/>
      <c r="O254" s="249"/>
      <c r="P254" s="247"/>
      <c r="R254" s="250"/>
      <c r="U254" s="247"/>
      <c r="V254" s="247"/>
      <c r="W254" s="247"/>
      <c r="X254" s="247"/>
      <c r="Y254" s="247"/>
      <c r="Z254" s="247"/>
      <c r="AA254" s="250"/>
      <c r="AB254" s="241" t="s">
        <v>245</v>
      </c>
      <c r="AC254" s="241" t="s">
        <v>246</v>
      </c>
      <c r="AD254" s="241" t="s">
        <v>236</v>
      </c>
      <c r="AH254" s="258">
        <f t="shared" si="38"/>
        <v>60</v>
      </c>
      <c r="AI254" s="258">
        <f t="shared" si="38"/>
        <v>150</v>
      </c>
      <c r="AJ254" s="259" t="str">
        <f t="shared" si="38"/>
        <v>2/0</v>
      </c>
      <c r="AK254" s="260">
        <f t="shared" si="33"/>
        <v>343.2</v>
      </c>
      <c r="AL254" s="226"/>
      <c r="AM254" s="258">
        <v>60</v>
      </c>
      <c r="AN254" s="258">
        <v>150</v>
      </c>
      <c r="AO254" s="262" t="s">
        <v>253</v>
      </c>
      <c r="AP254" s="260">
        <v>572</v>
      </c>
    </row>
    <row r="255" spans="9:42" ht="20.100000000000001" customHeight="1" x14ac:dyDescent="0.25">
      <c r="I255" s="246"/>
      <c r="K255" s="247"/>
      <c r="L255" s="247"/>
      <c r="M255" s="247"/>
      <c r="N255" s="248"/>
      <c r="O255" s="249"/>
      <c r="P255" s="247"/>
      <c r="R255" s="250"/>
      <c r="U255" s="247"/>
      <c r="V255" s="247"/>
      <c r="W255" s="247"/>
      <c r="X255" s="247"/>
      <c r="Y255" s="247"/>
      <c r="Z255" s="247"/>
      <c r="AA255" s="250"/>
      <c r="AB255" s="288">
        <f>IF(I29="","",I29)</f>
        <v>6.2</v>
      </c>
      <c r="AC255" s="283">
        <f>IF(J29="","",J29)</f>
        <v>60.8</v>
      </c>
      <c r="AD255" s="278">
        <f>IF(OR(AB255="",AC255=""),"",IF(AE259&lt;&gt;"",AE261,AVERAGEIF(AD261:AF261,"&lt;&gt;0",AD261:AF261)))</f>
        <v>177.41183999999998</v>
      </c>
      <c r="AH255" s="258" t="str">
        <f t="shared" si="28"/>
        <v>&gt;&gt;&gt;&gt;&gt;&gt;</v>
      </c>
      <c r="AI255" s="258"/>
      <c r="AJ255" s="259"/>
      <c r="AK255" s="260"/>
      <c r="AL255" s="226"/>
      <c r="AM255" s="258" t="s">
        <v>249</v>
      </c>
      <c r="AN255" s="258"/>
      <c r="AO255" s="262"/>
      <c r="AP255" s="260"/>
    </row>
    <row r="256" spans="9:42" ht="20.100000000000001" customHeight="1" x14ac:dyDescent="0.25">
      <c r="I256" s="246"/>
      <c r="K256" s="247"/>
      <c r="L256" s="247"/>
      <c r="M256" s="247"/>
      <c r="N256" s="248"/>
      <c r="O256" s="249"/>
      <c r="P256" s="247"/>
      <c r="R256" s="250"/>
      <c r="U256" s="247"/>
      <c r="V256" s="247"/>
      <c r="W256" s="247"/>
      <c r="X256" s="247"/>
      <c r="Y256" s="247"/>
      <c r="Z256" s="247"/>
      <c r="AA256" s="250"/>
      <c r="AC256" s="250" t="s">
        <v>182</v>
      </c>
      <c r="AE256" s="279" t="s">
        <v>247</v>
      </c>
      <c r="AH256" s="258">
        <f t="shared" si="28"/>
        <v>-1</v>
      </c>
      <c r="AI256" s="258">
        <f t="shared" si="28"/>
        <v>175</v>
      </c>
      <c r="AJ256" s="259" t="str">
        <f t="shared" si="28"/>
        <v>4/0</v>
      </c>
      <c r="AK256" s="260">
        <f t="shared" ref="AK256:AK289" si="39">(1-$AL$2)*AP256</f>
        <v>42</v>
      </c>
      <c r="AL256" s="226"/>
      <c r="AM256" s="258">
        <v>-1</v>
      </c>
      <c r="AN256" s="258">
        <v>175</v>
      </c>
      <c r="AO256" s="262" t="s">
        <v>179</v>
      </c>
      <c r="AP256" s="260">
        <v>70</v>
      </c>
    </row>
    <row r="257" spans="9:42" ht="20.100000000000001" customHeight="1" x14ac:dyDescent="0.25">
      <c r="I257" s="246"/>
      <c r="K257" s="247"/>
      <c r="L257" s="247"/>
      <c r="M257" s="247"/>
      <c r="N257" s="248"/>
      <c r="O257" s="249"/>
      <c r="P257" s="247"/>
      <c r="R257" s="250"/>
      <c r="U257" s="247"/>
      <c r="V257" s="247"/>
      <c r="W257" s="247"/>
      <c r="X257" s="247"/>
      <c r="Y257" s="247"/>
      <c r="Z257" s="247"/>
      <c r="AA257" s="250"/>
      <c r="AC257" s="281"/>
      <c r="AD257" s="282">
        <f>IF(AE257&gt;=400,400,IF(AE257&gt;=350,350,IF(AE257&gt;=325,325,IF(AE257&gt;=300,300,IF(AE257&gt;=275,275,IF(AE257&gt;=250,250,IF(AE257&gt;=225,225,IF(AE257&gt;=200,200,IF(AE257&gt;=175,175,IF(AE257&gt;=150,150,IF(AE257&gt;=125,125,IF(AE257&gt;=100,100,IF(AE257&gt;=75,75,50)))))))))))))</f>
        <v>50</v>
      </c>
      <c r="AE257" s="283">
        <f>AC255</f>
        <v>60.8</v>
      </c>
      <c r="AF257" s="282">
        <f>IF(AE257&lt;=50,50,IF(AE257&lt;=75,75,IF(AE257&lt;=100,100,IF(AE257&lt;=125,125,IF(AE257&lt;=150,150,IF(AE257&lt;=175,175,IF(AE257&lt;=200,200,IF(AE257&lt;=225,225,IF(AE257&lt;=250,250,IF(AE257&lt;=275,275,IF(AE257&lt;=300,300,IF(AE257&lt;=325,325,IF(AE257&lt;=350,350,400)))))))))))))</f>
        <v>75</v>
      </c>
      <c r="AH257" s="258">
        <f t="shared" si="28"/>
        <v>0</v>
      </c>
      <c r="AI257" s="258">
        <f t="shared" si="28"/>
        <v>175</v>
      </c>
      <c r="AJ257" s="259" t="str">
        <f t="shared" si="28"/>
        <v>4/0</v>
      </c>
      <c r="AK257" s="260">
        <f t="shared" si="39"/>
        <v>52.8</v>
      </c>
      <c r="AL257" s="226"/>
      <c r="AM257" s="258">
        <v>0</v>
      </c>
      <c r="AN257" s="258">
        <v>175</v>
      </c>
      <c r="AO257" s="262" t="s">
        <v>179</v>
      </c>
      <c r="AP257" s="260">
        <v>88</v>
      </c>
    </row>
    <row r="258" spans="9:42" ht="20.100000000000001" customHeight="1" x14ac:dyDescent="0.25">
      <c r="I258" s="246"/>
      <c r="K258" s="247"/>
      <c r="L258" s="247"/>
      <c r="M258" s="247"/>
      <c r="N258" s="248"/>
      <c r="O258" s="249"/>
      <c r="P258" s="247"/>
      <c r="R258" s="250"/>
      <c r="U258" s="247"/>
      <c r="V258" s="247"/>
      <c r="W258" s="247"/>
      <c r="X258" s="247"/>
      <c r="Y258" s="247"/>
      <c r="Z258" s="247"/>
      <c r="AA258" s="250"/>
      <c r="AC258" s="282">
        <f>IF(AC259&gt;=0,ROUNDDOWN(AC259,0),ROUNDUP(AC259,0))</f>
        <v>6</v>
      </c>
      <c r="AD258" s="284">
        <f>IF(AD257=400,VLOOKUP(AC258,$AH$700:$AK$748,4),IF(AD257=350,VLOOKUP(AC258,$AH$650:$AK$698,4),IF(AD257=325,VLOOKUP(AC258,$AH$598:$AK$648,4),IF(AD257=300,VLOOKUP(AC258,$AH$544:$AK$596,4),IF(AD257=275,VLOOKUP(AC258,$AH$488:$AK$542,4),IF(AD257=250,VLOOKUP(AC258,$AH$431:$AK$486,4),IF(AD257=225,VLOOKUP(AC258,$AH$379:$AK$429,4),IF(AD257=200,VLOOKUP(AC258,$AH$319:$AK$377,4),IF(AD257=175,VLOOKUP(AC258,$AH$256:$AK$317,4),IF(AD257=150,VLOOKUP(AC258,$AH$192:$AK$254,4),IF(AD257=125,VLOOKUP(AC258,$AH$126:$AK$190,4),IF(AD257=100,VLOOKUP(AC258,$AH$81:$AK$124,4),IF(AD257=75,VLOOKUP(AC258,$AH$39:$AK$79,4),IF(AD257=50,VLOOKUP(AC258,$AH$3:$AK$37,4)))))))))))))))</f>
        <v>181.79999999999998</v>
      </c>
      <c r="AE258" s="285">
        <f>IFERROR((AE257-AD257)/(AF257-AD257)*(AF258-AD258)+AD258,"")</f>
        <v>175.32</v>
      </c>
      <c r="AF258" s="284">
        <f>IF(AF257=400,VLOOKUP(AC258,$AH$700:$AK$748,4),IF(AF257=350,VLOOKUP(AC258,$AH$650:$AK$698,4),IF(AF257=325,VLOOKUP(AC258,$AH$598:$AK$648,4),IF(AF257=300,VLOOKUP(AC258,$AH$544:$AK$596,4),IF(AF257=275,VLOOKUP(AC258,$AH$488:$AK$542,4),IF(AF257=250,VLOOKUP(AC258,$AH$431:$AK$486,4),IF(AF257=225,VLOOKUP(AC258,$AH$379:$AK$429,4),IF(AF257=200,VLOOKUP(AC258,$AH$319:$AK$377,4),IF(AF257=175,VLOOKUP(AC258,$AH$256:$AK$317,4),IF(AF257=150,VLOOKUP(AC258,$AH$192:$AK$254,4),IF(AF257=125,VLOOKUP(AC258,$AH$126:$AK$190,4),IF(AF257=100,VLOOKUP(AC258,$AH$81:$AK$124,4),IF(AF257=75,VLOOKUP(AC258,$AH$39:$AK$79,4),IF(AF257=50,VLOOKUP(AC258,$AH$3:$AK$37,4)))))))))))))))</f>
        <v>166.79999999999998</v>
      </c>
      <c r="AH258" s="258">
        <f t="shared" si="28"/>
        <v>1</v>
      </c>
      <c r="AI258" s="258">
        <f t="shared" si="28"/>
        <v>175</v>
      </c>
      <c r="AJ258" s="259" t="str">
        <f t="shared" si="28"/>
        <v>4/0</v>
      </c>
      <c r="AK258" s="260">
        <f t="shared" si="39"/>
        <v>62.4</v>
      </c>
      <c r="AL258" s="226"/>
      <c r="AM258" s="258">
        <v>1</v>
      </c>
      <c r="AN258" s="258">
        <v>175</v>
      </c>
      <c r="AO258" s="262" t="s">
        <v>179</v>
      </c>
      <c r="AP258" s="260">
        <v>104</v>
      </c>
    </row>
    <row r="259" spans="9:42" ht="20.100000000000001" customHeight="1" x14ac:dyDescent="0.25">
      <c r="I259" s="246"/>
      <c r="K259" s="247"/>
      <c r="L259" s="247"/>
      <c r="M259" s="247"/>
      <c r="N259" s="248"/>
      <c r="O259" s="249"/>
      <c r="P259" s="247"/>
      <c r="R259" s="250"/>
      <c r="U259" s="247"/>
      <c r="V259" s="247"/>
      <c r="W259" s="247"/>
      <c r="X259" s="247"/>
      <c r="Y259" s="247"/>
      <c r="Z259" s="247"/>
      <c r="AA259" s="250"/>
      <c r="AB259" s="287" t="s">
        <v>248</v>
      </c>
      <c r="AC259" s="288">
        <f>AB255</f>
        <v>6.2</v>
      </c>
      <c r="AD259" s="285">
        <f>IFERROR((AC259-AC258)/(AC260-AC258)*(AD260-AD258)+AD258,"")</f>
        <v>183.83999999999997</v>
      </c>
      <c r="AE259" s="278">
        <f>IFERROR((AE257-AF257)/(AD257-AF257)*(AD259-AF259)+AF259,"")</f>
        <v>177.41183999999998</v>
      </c>
      <c r="AF259" s="285">
        <f>IFERROR((AC259-AC258)/(AC260-AC258)*(AF260-AF258)+AF258,"")</f>
        <v>168.95999999999998</v>
      </c>
      <c r="AH259" s="258">
        <f t="shared" si="28"/>
        <v>2</v>
      </c>
      <c r="AI259" s="258">
        <f t="shared" si="28"/>
        <v>175</v>
      </c>
      <c r="AJ259" s="259" t="str">
        <f t="shared" si="28"/>
        <v>4/0</v>
      </c>
      <c r="AK259" s="260">
        <f t="shared" si="39"/>
        <v>72</v>
      </c>
      <c r="AL259" s="226"/>
      <c r="AM259" s="258">
        <v>2</v>
      </c>
      <c r="AN259" s="258">
        <v>175</v>
      </c>
      <c r="AO259" s="262" t="s">
        <v>179</v>
      </c>
      <c r="AP259" s="260">
        <v>120</v>
      </c>
    </row>
    <row r="260" spans="9:42" ht="20.100000000000001" customHeight="1" x14ac:dyDescent="0.25">
      <c r="I260" s="246"/>
      <c r="K260" s="247"/>
      <c r="L260" s="247"/>
      <c r="M260" s="247"/>
      <c r="N260" s="248"/>
      <c r="O260" s="249"/>
      <c r="P260" s="247"/>
      <c r="R260" s="250"/>
      <c r="U260" s="247"/>
      <c r="V260" s="247"/>
      <c r="W260" s="247"/>
      <c r="X260" s="247"/>
      <c r="Y260" s="247"/>
      <c r="Z260" s="247"/>
      <c r="AA260" s="250"/>
      <c r="AC260" s="282">
        <f>IF(AC259&gt;=0,ROUNDUP(AC259,0),ROUNDDOWN(AC259,0))</f>
        <v>7</v>
      </c>
      <c r="AD260" s="284">
        <f>IF(AD257=400,VLOOKUP(AC260,$AH$700:$AK$748,4),IF(AD257=350,VLOOKUP(AC260,$AH$650:$AK$698,4),IF(AD257=325,VLOOKUP(AC260,$AH$598:$AK$648,4),IF(AD257=300,VLOOKUP(AC260,$AH$544:$AK$596,4),IF(AD257=275,VLOOKUP(AC260,$AH$488:$AK$542,4),IF(AD257=250,VLOOKUP(AC260,$AH$431:$AK$486,4),IF(AD257=225,VLOOKUP(AC260,$AH$379:$AK$429,4),IF(AD257=200,VLOOKUP(AC260,$AH$319:$AK$377,4),IF(AD257=175,VLOOKUP(AC260,$AH$256:$AK$317,4),IF(AD257=150,VLOOKUP(AC260,$AH$192:$AK$254,4),IF(AD257=125,VLOOKUP(AC260,$AH$126:$AK$190,4),IF(AD257=100,VLOOKUP(AC260,$AH$81:$AK$124,4),IF(AD257=75,VLOOKUP(AC260,$AH$39:$AK$79,4),IF(AD257=50,VLOOKUP(AC260,$AH$3:$AK$37,4)))))))))))))))</f>
        <v>192</v>
      </c>
      <c r="AE260" s="285">
        <f>IFERROR((AE257-AD257)/(AF257-AD257)*(AF260-AD260)+AD260,"")</f>
        <v>185.7792</v>
      </c>
      <c r="AF260" s="284">
        <f>IF(AF257=400,VLOOKUP(AC260,$AH$700:$AK$748,4),IF(AF257=350,VLOOKUP(AC260,$AH$650:$AK$698,4),IF(AF257=325,VLOOKUP(AC260,$AH$598:$AK$648,4),IF(AF257=300,VLOOKUP(AC260,$AH$544:$AK$596,4),IF(AF257=275,VLOOKUP(AC260,$AH$488:$AK$542,4),IF(AF257=250,VLOOKUP(AC260,$AH$431:$AK$486,4),IF(AF257=225,VLOOKUP(AC260,$AH$379:$AK$429,4),IF(AF257=200,VLOOKUP(AC260,$AH$319:$AK$377,4),IF(AF257=175,VLOOKUP(AC260,$AH$256:$AK$317,4),IF(AF257=150,VLOOKUP(AC260,$AH$192:$AK$254,4),IF(AF257=125,VLOOKUP(AC260,$AH$126:$AK$190,4),IF(AF257=100,VLOOKUP(AC260,$AH$81:$AK$124,4),IF(AF257=75,VLOOKUP(AC260,$AH$39:$AK$79,4),IF(AF257=50,VLOOKUP(AC260,$AH$3:$AK$37,4)))))))))))))))</f>
        <v>177.6</v>
      </c>
      <c r="AH260" s="258">
        <f t="shared" si="28"/>
        <v>3</v>
      </c>
      <c r="AI260" s="258">
        <f t="shared" si="28"/>
        <v>175</v>
      </c>
      <c r="AJ260" s="259" t="str">
        <f t="shared" si="28"/>
        <v>4/0</v>
      </c>
      <c r="AK260" s="260">
        <f t="shared" si="39"/>
        <v>82.2</v>
      </c>
      <c r="AL260" s="226"/>
      <c r="AM260" s="258">
        <v>3</v>
      </c>
      <c r="AN260" s="258">
        <v>175</v>
      </c>
      <c r="AO260" s="262" t="s">
        <v>179</v>
      </c>
      <c r="AP260" s="260">
        <v>137</v>
      </c>
    </row>
    <row r="261" spans="9:42" ht="20.100000000000001" customHeight="1" x14ac:dyDescent="0.25">
      <c r="I261" s="246"/>
      <c r="K261" s="247"/>
      <c r="L261" s="247"/>
      <c r="M261" s="247"/>
      <c r="N261" s="248"/>
      <c r="O261" s="249"/>
      <c r="P261" s="247"/>
      <c r="R261" s="250"/>
      <c r="U261" s="247"/>
      <c r="V261" s="247"/>
      <c r="W261" s="247"/>
      <c r="X261" s="247"/>
      <c r="Y261" s="247"/>
      <c r="Z261" s="247"/>
      <c r="AA261" s="250"/>
      <c r="AD261" s="289">
        <f>IF(AD259&lt;&gt;"",AD259,AVERAGE(AD258:AD260))</f>
        <v>183.83999999999997</v>
      </c>
      <c r="AE261" s="289">
        <f>IF(AE259&lt;&gt;"",AE259,IF(SUM(AE258:AE260)=0,"",AVERAGE(AE258:AE260)))</f>
        <v>177.41183999999998</v>
      </c>
      <c r="AF261" s="289">
        <f>IF(AF259&lt;&gt;"",AF259,AVERAGE(AF258:AF260))</f>
        <v>168.95999999999998</v>
      </c>
      <c r="AH261" s="258">
        <f t="shared" si="28"/>
        <v>4</v>
      </c>
      <c r="AI261" s="258">
        <f t="shared" si="28"/>
        <v>175</v>
      </c>
      <c r="AJ261" s="259" t="str">
        <f t="shared" si="28"/>
        <v>4/0</v>
      </c>
      <c r="AK261" s="260">
        <f t="shared" si="39"/>
        <v>91.8</v>
      </c>
      <c r="AL261" s="226"/>
      <c r="AM261" s="258">
        <v>4</v>
      </c>
      <c r="AN261" s="258">
        <v>175</v>
      </c>
      <c r="AO261" s="262" t="s">
        <v>179</v>
      </c>
      <c r="AP261" s="260">
        <v>153</v>
      </c>
    </row>
    <row r="262" spans="9:42" ht="20.100000000000001" customHeight="1" x14ac:dyDescent="0.25">
      <c r="I262" s="246"/>
      <c r="K262" s="247"/>
      <c r="L262" s="247"/>
      <c r="M262" s="247"/>
      <c r="N262" s="248"/>
      <c r="O262" s="249"/>
      <c r="P262" s="247"/>
      <c r="R262" s="250"/>
      <c r="U262" s="247"/>
      <c r="V262" s="247"/>
      <c r="W262" s="247"/>
      <c r="X262" s="247"/>
      <c r="Y262" s="247"/>
      <c r="Z262" s="247"/>
      <c r="AA262" s="250"/>
      <c r="AH262" s="258">
        <f t="shared" si="28"/>
        <v>5</v>
      </c>
      <c r="AI262" s="258">
        <f t="shared" si="28"/>
        <v>175</v>
      </c>
      <c r="AJ262" s="259" t="str">
        <f t="shared" si="28"/>
        <v>4/0</v>
      </c>
      <c r="AK262" s="260">
        <f t="shared" si="39"/>
        <v>102</v>
      </c>
      <c r="AL262" s="226"/>
      <c r="AM262" s="258">
        <v>5</v>
      </c>
      <c r="AN262" s="258">
        <v>175</v>
      </c>
      <c r="AO262" s="262" t="s">
        <v>179</v>
      </c>
      <c r="AP262" s="260">
        <v>170</v>
      </c>
    </row>
    <row r="263" spans="9:42" ht="20.100000000000001" customHeight="1" x14ac:dyDescent="0.25">
      <c r="I263" s="246"/>
      <c r="K263" s="247"/>
      <c r="L263" s="247"/>
      <c r="M263" s="247"/>
      <c r="N263" s="248"/>
      <c r="O263" s="249"/>
      <c r="P263" s="247"/>
      <c r="R263" s="250"/>
      <c r="U263" s="247"/>
      <c r="V263" s="247"/>
      <c r="W263" s="247"/>
      <c r="X263" s="247"/>
      <c r="Y263" s="247"/>
      <c r="Z263" s="247"/>
      <c r="AA263" s="250"/>
      <c r="AB263" s="257">
        <v>27</v>
      </c>
      <c r="AC263" s="226"/>
      <c r="AD263" s="226"/>
      <c r="AH263" s="258">
        <f t="shared" si="28"/>
        <v>6</v>
      </c>
      <c r="AI263" s="258">
        <f t="shared" si="28"/>
        <v>175</v>
      </c>
      <c r="AJ263" s="259" t="str">
        <f t="shared" si="28"/>
        <v>4/0</v>
      </c>
      <c r="AK263" s="260">
        <f t="shared" si="39"/>
        <v>112.2</v>
      </c>
      <c r="AL263" s="226"/>
      <c r="AM263" s="258">
        <v>6</v>
      </c>
      <c r="AN263" s="258">
        <v>175</v>
      </c>
      <c r="AO263" s="262" t="s">
        <v>179</v>
      </c>
      <c r="AP263" s="260">
        <v>187</v>
      </c>
    </row>
    <row r="264" spans="9:42" ht="20.100000000000001" customHeight="1" x14ac:dyDescent="0.25">
      <c r="I264" s="246"/>
      <c r="K264" s="247"/>
      <c r="L264" s="247"/>
      <c r="M264" s="247"/>
      <c r="N264" s="248"/>
      <c r="O264" s="249"/>
      <c r="P264" s="247"/>
      <c r="R264" s="250"/>
      <c r="U264" s="247"/>
      <c r="V264" s="247"/>
      <c r="W264" s="247"/>
      <c r="X264" s="247"/>
      <c r="Y264" s="247"/>
      <c r="Z264" s="247"/>
      <c r="AA264" s="250"/>
      <c r="AB264" s="241" t="s">
        <v>245</v>
      </c>
      <c r="AC264" s="241" t="s">
        <v>246</v>
      </c>
      <c r="AD264" s="241" t="s">
        <v>236</v>
      </c>
      <c r="AH264" s="258">
        <f t="shared" si="28"/>
        <v>7</v>
      </c>
      <c r="AI264" s="258">
        <f t="shared" si="28"/>
        <v>175</v>
      </c>
      <c r="AJ264" s="259" t="str">
        <f t="shared" si="28"/>
        <v>4/0</v>
      </c>
      <c r="AK264" s="260">
        <f t="shared" si="39"/>
        <v>121.8</v>
      </c>
      <c r="AL264" s="226"/>
      <c r="AM264" s="258">
        <v>7</v>
      </c>
      <c r="AN264" s="258">
        <v>175</v>
      </c>
      <c r="AO264" s="262" t="s">
        <v>179</v>
      </c>
      <c r="AP264" s="260">
        <v>203</v>
      </c>
    </row>
    <row r="265" spans="9:42" ht="20.100000000000001" customHeight="1" x14ac:dyDescent="0.25">
      <c r="I265" s="246"/>
      <c r="K265" s="247"/>
      <c r="L265" s="247"/>
      <c r="M265" s="247"/>
      <c r="N265" s="248"/>
      <c r="O265" s="249"/>
      <c r="P265" s="247"/>
      <c r="R265" s="250"/>
      <c r="U265" s="247"/>
      <c r="V265" s="247"/>
      <c r="W265" s="247"/>
      <c r="X265" s="247"/>
      <c r="Y265" s="247"/>
      <c r="Z265" s="247"/>
      <c r="AA265" s="250"/>
      <c r="AB265" s="288">
        <f>IF(I30="","",I30)</f>
        <v>6.3</v>
      </c>
      <c r="AC265" s="283">
        <f>IF(J30="","",J30)</f>
        <v>62.2</v>
      </c>
      <c r="AD265" s="278">
        <f>IF(OR(AB265="",AC265=""),"",IF(AE269&lt;&gt;"",AE271,AVERAGEIF(AD271:AF271,"&lt;&gt;0",AD271:AF271)))</f>
        <v>177.62783999999999</v>
      </c>
      <c r="AH265" s="258">
        <f t="shared" si="28"/>
        <v>8</v>
      </c>
      <c r="AI265" s="258">
        <f t="shared" si="28"/>
        <v>175</v>
      </c>
      <c r="AJ265" s="259" t="str">
        <f t="shared" si="28"/>
        <v>4/0</v>
      </c>
      <c r="AK265" s="260">
        <f t="shared" si="39"/>
        <v>132</v>
      </c>
      <c r="AL265" s="226"/>
      <c r="AM265" s="258">
        <v>8</v>
      </c>
      <c r="AN265" s="258">
        <v>175</v>
      </c>
      <c r="AO265" s="262" t="s">
        <v>179</v>
      </c>
      <c r="AP265" s="260">
        <v>220</v>
      </c>
    </row>
    <row r="266" spans="9:42" ht="20.100000000000001" customHeight="1" x14ac:dyDescent="0.25">
      <c r="I266" s="246"/>
      <c r="K266" s="247"/>
      <c r="L266" s="247"/>
      <c r="M266" s="247"/>
      <c r="N266" s="248"/>
      <c r="O266" s="249"/>
      <c r="P266" s="247"/>
      <c r="R266" s="250"/>
      <c r="U266" s="247"/>
      <c r="V266" s="247"/>
      <c r="W266" s="247"/>
      <c r="X266" s="247"/>
      <c r="Y266" s="247"/>
      <c r="Z266" s="247"/>
      <c r="AA266" s="250"/>
      <c r="AC266" s="250" t="s">
        <v>182</v>
      </c>
      <c r="AE266" s="279" t="s">
        <v>247</v>
      </c>
      <c r="AH266" s="258">
        <f t="shared" si="28"/>
        <v>9</v>
      </c>
      <c r="AI266" s="258">
        <f t="shared" si="28"/>
        <v>175</v>
      </c>
      <c r="AJ266" s="259" t="str">
        <f t="shared" si="28"/>
        <v>4/0</v>
      </c>
      <c r="AK266" s="260">
        <f t="shared" si="39"/>
        <v>142.19999999999999</v>
      </c>
      <c r="AL266" s="226"/>
      <c r="AM266" s="258">
        <v>9</v>
      </c>
      <c r="AN266" s="258">
        <v>175</v>
      </c>
      <c r="AO266" s="262" t="s">
        <v>179</v>
      </c>
      <c r="AP266" s="260">
        <v>237</v>
      </c>
    </row>
    <row r="267" spans="9:42" ht="20.100000000000001" customHeight="1" x14ac:dyDescent="0.25">
      <c r="I267" s="246"/>
      <c r="K267" s="247"/>
      <c r="L267" s="247"/>
      <c r="M267" s="247"/>
      <c r="N267" s="248"/>
      <c r="O267" s="249"/>
      <c r="P267" s="247"/>
      <c r="R267" s="250"/>
      <c r="U267" s="247"/>
      <c r="V267" s="247"/>
      <c r="W267" s="247"/>
      <c r="X267" s="247"/>
      <c r="Y267" s="247"/>
      <c r="Z267" s="247"/>
      <c r="AA267" s="250"/>
      <c r="AC267" s="281"/>
      <c r="AD267" s="282">
        <f>IF(AE267&gt;=400,400,IF(AE267&gt;=350,350,IF(AE267&gt;=325,325,IF(AE267&gt;=300,300,IF(AE267&gt;=275,275,IF(AE267&gt;=250,250,IF(AE267&gt;=225,225,IF(AE267&gt;=200,200,IF(AE267&gt;=175,175,IF(AE267&gt;=150,150,IF(AE267&gt;=125,125,IF(AE267&gt;=100,100,IF(AE267&gt;=75,75,50)))))))))))))</f>
        <v>50</v>
      </c>
      <c r="AE267" s="283">
        <f>AC265</f>
        <v>62.2</v>
      </c>
      <c r="AF267" s="282">
        <f>IF(AE267&lt;=50,50,IF(AE267&lt;=75,75,IF(AE267&lt;=100,100,IF(AE267&lt;=125,125,IF(AE267&lt;=150,150,IF(AE267&lt;=175,175,IF(AE267&lt;=200,200,IF(AE267&lt;=225,225,IF(AE267&lt;=250,250,IF(AE267&lt;=275,275,IF(AE267&lt;=300,300,IF(AE267&lt;=325,325,IF(AE267&lt;=350,350,400)))))))))))))</f>
        <v>75</v>
      </c>
      <c r="AH267" s="258">
        <f t="shared" si="28"/>
        <v>10</v>
      </c>
      <c r="AI267" s="258">
        <f t="shared" si="28"/>
        <v>175</v>
      </c>
      <c r="AJ267" s="259" t="str">
        <f t="shared" si="28"/>
        <v>4/0</v>
      </c>
      <c r="AK267" s="260">
        <f t="shared" si="39"/>
        <v>151.79999999999998</v>
      </c>
      <c r="AL267" s="226"/>
      <c r="AM267" s="258">
        <v>10</v>
      </c>
      <c r="AN267" s="258">
        <v>175</v>
      </c>
      <c r="AO267" s="262" t="s">
        <v>179</v>
      </c>
      <c r="AP267" s="260">
        <v>253</v>
      </c>
    </row>
    <row r="268" spans="9:42" ht="20.100000000000001" customHeight="1" x14ac:dyDescent="0.25">
      <c r="I268" s="246"/>
      <c r="K268" s="247"/>
      <c r="L268" s="247"/>
      <c r="M268" s="247"/>
      <c r="N268" s="248"/>
      <c r="O268" s="249"/>
      <c r="P268" s="247"/>
      <c r="R268" s="250"/>
      <c r="U268" s="247"/>
      <c r="V268" s="247"/>
      <c r="W268" s="247"/>
      <c r="X268" s="247"/>
      <c r="Y268" s="247"/>
      <c r="Z268" s="247"/>
      <c r="AA268" s="250"/>
      <c r="AC268" s="282">
        <f>IF(AC269&gt;=0,ROUNDDOWN(AC269,0),ROUNDUP(AC269,0))</f>
        <v>6</v>
      </c>
      <c r="AD268" s="284">
        <f>IF(AD267=400,VLOOKUP(AC268,$AH$700:$AK$748,4),IF(AD267=350,VLOOKUP(AC268,$AH$650:$AK$698,4),IF(AD267=325,VLOOKUP(AC268,$AH$598:$AK$648,4),IF(AD267=300,VLOOKUP(AC268,$AH$544:$AK$596,4),IF(AD267=275,VLOOKUP(AC268,$AH$488:$AK$542,4),IF(AD267=250,VLOOKUP(AC268,$AH$431:$AK$486,4),IF(AD267=225,VLOOKUP(AC268,$AH$379:$AK$429,4),IF(AD267=200,VLOOKUP(AC268,$AH$319:$AK$377,4),IF(AD267=175,VLOOKUP(AC268,$AH$256:$AK$317,4),IF(AD267=150,VLOOKUP(AC268,$AH$192:$AK$254,4),IF(AD267=125,VLOOKUP(AC268,$AH$126:$AK$190,4),IF(AD267=100,VLOOKUP(AC268,$AH$81:$AK$124,4),IF(AD267=75,VLOOKUP(AC268,$AH$39:$AK$79,4),IF(AD267=50,VLOOKUP(AC268,$AH$3:$AK$37,4)))))))))))))))</f>
        <v>181.79999999999998</v>
      </c>
      <c r="AE268" s="285">
        <f>IFERROR((AE267-AD267)/(AF267-AD267)*(AF268-AD268)+AD268,"")</f>
        <v>174.48</v>
      </c>
      <c r="AF268" s="284">
        <f>IF(AF267=400,VLOOKUP(AC268,$AH$700:$AK$748,4),IF(AF267=350,VLOOKUP(AC268,$AH$650:$AK$698,4),IF(AF267=325,VLOOKUP(AC268,$AH$598:$AK$648,4),IF(AF267=300,VLOOKUP(AC268,$AH$544:$AK$596,4),IF(AF267=275,VLOOKUP(AC268,$AH$488:$AK$542,4),IF(AF267=250,VLOOKUP(AC268,$AH$431:$AK$486,4),IF(AF267=225,VLOOKUP(AC268,$AH$379:$AK$429,4),IF(AF267=200,VLOOKUP(AC268,$AH$319:$AK$377,4),IF(AF267=175,VLOOKUP(AC268,$AH$256:$AK$317,4),IF(AF267=150,VLOOKUP(AC268,$AH$192:$AK$254,4),IF(AF267=125,VLOOKUP(AC268,$AH$126:$AK$190,4),IF(AF267=100,VLOOKUP(AC268,$AH$81:$AK$124,4),IF(AF267=75,VLOOKUP(AC268,$AH$39:$AK$79,4),IF(AF267=50,VLOOKUP(AC268,$AH$3:$AK$37,4)))))))))))))))</f>
        <v>166.79999999999998</v>
      </c>
      <c r="AH268" s="258">
        <f t="shared" si="28"/>
        <v>11</v>
      </c>
      <c r="AI268" s="258">
        <f t="shared" si="28"/>
        <v>175</v>
      </c>
      <c r="AJ268" s="259" t="str">
        <f t="shared" si="28"/>
        <v>4/0</v>
      </c>
      <c r="AK268" s="260">
        <f t="shared" si="39"/>
        <v>162</v>
      </c>
      <c r="AL268" s="226"/>
      <c r="AM268" s="258">
        <v>11</v>
      </c>
      <c r="AN268" s="258">
        <v>175</v>
      </c>
      <c r="AO268" s="262" t="s">
        <v>179</v>
      </c>
      <c r="AP268" s="260">
        <v>270</v>
      </c>
    </row>
    <row r="269" spans="9:42" ht="20.100000000000001" customHeight="1" x14ac:dyDescent="0.25">
      <c r="I269" s="246"/>
      <c r="K269" s="247"/>
      <c r="L269" s="247"/>
      <c r="M269" s="247"/>
      <c r="N269" s="248"/>
      <c r="O269" s="249"/>
      <c r="P269" s="247"/>
      <c r="R269" s="250"/>
      <c r="U269" s="247"/>
      <c r="V269" s="247"/>
      <c r="W269" s="247"/>
      <c r="X269" s="247"/>
      <c r="Y269" s="247"/>
      <c r="Z269" s="247"/>
      <c r="AA269" s="250"/>
      <c r="AB269" s="287" t="s">
        <v>248</v>
      </c>
      <c r="AC269" s="288">
        <f>AB265</f>
        <v>6.3</v>
      </c>
      <c r="AD269" s="285">
        <f>IFERROR((AC269-AC268)/(AC270-AC268)*(AD270-AD268)+AD268,"")</f>
        <v>184.85999999999999</v>
      </c>
      <c r="AE269" s="278">
        <f>IFERROR((AE267-AF267)/(AD267-AF267)*(AD269-AF269)+AF269,"")</f>
        <v>177.62783999999999</v>
      </c>
      <c r="AF269" s="285">
        <f>IFERROR((AC269-AC268)/(AC270-AC268)*(AF270-AF268)+AF268,"")</f>
        <v>170.04</v>
      </c>
      <c r="AH269" s="258">
        <f t="shared" si="28"/>
        <v>12</v>
      </c>
      <c r="AI269" s="258">
        <f t="shared" si="28"/>
        <v>175</v>
      </c>
      <c r="AJ269" s="259" t="str">
        <f t="shared" si="28"/>
        <v>4/0</v>
      </c>
      <c r="AK269" s="260">
        <f t="shared" si="39"/>
        <v>169.2</v>
      </c>
      <c r="AL269" s="226"/>
      <c r="AM269" s="258">
        <v>12</v>
      </c>
      <c r="AN269" s="258">
        <v>175</v>
      </c>
      <c r="AO269" s="262" t="s">
        <v>179</v>
      </c>
      <c r="AP269" s="260">
        <v>282</v>
      </c>
    </row>
    <row r="270" spans="9:42" ht="20.100000000000001" customHeight="1" x14ac:dyDescent="0.25">
      <c r="I270" s="246"/>
      <c r="K270" s="247"/>
      <c r="L270" s="247"/>
      <c r="M270" s="247"/>
      <c r="N270" s="248"/>
      <c r="O270" s="249"/>
      <c r="P270" s="247"/>
      <c r="R270" s="250"/>
      <c r="U270" s="247"/>
      <c r="V270" s="247"/>
      <c r="W270" s="247"/>
      <c r="X270" s="247"/>
      <c r="Y270" s="247"/>
      <c r="Z270" s="247"/>
      <c r="AA270" s="250"/>
      <c r="AC270" s="282">
        <f>IF(AC269&gt;=0,ROUNDUP(AC269,0),ROUNDDOWN(AC269,0))</f>
        <v>7</v>
      </c>
      <c r="AD270" s="284">
        <f>IF(AD267=400,VLOOKUP(AC270,$AH$700:$AK$748,4),IF(AD267=350,VLOOKUP(AC270,$AH$650:$AK$698,4),IF(AD267=325,VLOOKUP(AC270,$AH$598:$AK$648,4),IF(AD267=300,VLOOKUP(AC270,$AH$544:$AK$596,4),IF(AD267=275,VLOOKUP(AC270,$AH$488:$AK$542,4),IF(AD267=250,VLOOKUP(AC270,$AH$431:$AK$486,4),IF(AD267=225,VLOOKUP(AC270,$AH$379:$AK$429,4),IF(AD267=200,VLOOKUP(AC270,$AH$319:$AK$377,4),IF(AD267=175,VLOOKUP(AC270,$AH$256:$AK$317,4),IF(AD267=150,VLOOKUP(AC270,$AH$192:$AK$254,4),IF(AD267=125,VLOOKUP(AC270,$AH$126:$AK$190,4),IF(AD267=100,VLOOKUP(AC270,$AH$81:$AK$124,4),IF(AD267=75,VLOOKUP(AC270,$AH$39:$AK$79,4),IF(AD267=50,VLOOKUP(AC270,$AH$3:$AK$37,4)))))))))))))))</f>
        <v>192</v>
      </c>
      <c r="AE270" s="285">
        <f>IFERROR((AE267-AD267)/(AF267-AD267)*(AF270-AD270)+AD270,"")</f>
        <v>184.97280000000001</v>
      </c>
      <c r="AF270" s="284">
        <f>IF(AF267=400,VLOOKUP(AC270,$AH$700:$AK$748,4),IF(AF267=350,VLOOKUP(AC270,$AH$650:$AK$698,4),IF(AF267=325,VLOOKUP(AC270,$AH$598:$AK$648,4),IF(AF267=300,VLOOKUP(AC270,$AH$544:$AK$596,4),IF(AF267=275,VLOOKUP(AC270,$AH$488:$AK$542,4),IF(AF267=250,VLOOKUP(AC270,$AH$431:$AK$486,4),IF(AF267=225,VLOOKUP(AC270,$AH$379:$AK$429,4),IF(AF267=200,VLOOKUP(AC270,$AH$319:$AK$377,4),IF(AF267=175,VLOOKUP(AC270,$AH$256:$AK$317,4),IF(AF267=150,VLOOKUP(AC270,$AH$192:$AK$254,4),IF(AF267=125,VLOOKUP(AC270,$AH$126:$AK$190,4),IF(AF267=100,VLOOKUP(AC270,$AH$81:$AK$124,4),IF(AF267=75,VLOOKUP(AC270,$AH$39:$AK$79,4),IF(AF267=50,VLOOKUP(AC270,$AH$3:$AK$37,4)))))))))))))))</f>
        <v>177.6</v>
      </c>
      <c r="AH270" s="258">
        <f t="shared" si="28"/>
        <v>13</v>
      </c>
      <c r="AI270" s="258">
        <f t="shared" si="28"/>
        <v>175</v>
      </c>
      <c r="AJ270" s="259" t="str">
        <f t="shared" si="28"/>
        <v>4/0</v>
      </c>
      <c r="AK270" s="260">
        <f t="shared" si="39"/>
        <v>182.4</v>
      </c>
      <c r="AL270" s="226"/>
      <c r="AM270" s="258">
        <v>13</v>
      </c>
      <c r="AN270" s="258">
        <v>175</v>
      </c>
      <c r="AO270" s="262" t="s">
        <v>179</v>
      </c>
      <c r="AP270" s="260">
        <v>304</v>
      </c>
    </row>
    <row r="271" spans="9:42" ht="20.100000000000001" customHeight="1" x14ac:dyDescent="0.25">
      <c r="I271" s="246"/>
      <c r="K271" s="247"/>
      <c r="L271" s="247"/>
      <c r="M271" s="247"/>
      <c r="N271" s="248"/>
      <c r="O271" s="249"/>
      <c r="P271" s="247"/>
      <c r="R271" s="250"/>
      <c r="U271" s="247"/>
      <c r="V271" s="247"/>
      <c r="W271" s="247"/>
      <c r="X271" s="247"/>
      <c r="Y271" s="247"/>
      <c r="Z271" s="247"/>
      <c r="AA271" s="250"/>
      <c r="AD271" s="289">
        <f>IF(AD269&lt;&gt;"",AD269,AVERAGE(AD268:AD270))</f>
        <v>184.85999999999999</v>
      </c>
      <c r="AE271" s="289">
        <f>IF(AE269&lt;&gt;"",AE269,IF(SUM(AE268:AE270)=0,"",AVERAGE(AE268:AE270)))</f>
        <v>177.62783999999999</v>
      </c>
      <c r="AF271" s="289">
        <f>IF(AF269&lt;&gt;"",AF269,AVERAGE(AF268:AF270))</f>
        <v>170.04</v>
      </c>
      <c r="AH271" s="258">
        <f t="shared" si="28"/>
        <v>14</v>
      </c>
      <c r="AI271" s="258">
        <f t="shared" si="28"/>
        <v>175</v>
      </c>
      <c r="AJ271" s="259" t="str">
        <f t="shared" si="28"/>
        <v>4/0</v>
      </c>
      <c r="AK271" s="260">
        <f t="shared" si="39"/>
        <v>192.6</v>
      </c>
      <c r="AL271" s="226"/>
      <c r="AM271" s="258">
        <v>14</v>
      </c>
      <c r="AN271" s="258">
        <v>175</v>
      </c>
      <c r="AO271" s="262" t="s">
        <v>179</v>
      </c>
      <c r="AP271" s="260">
        <v>321</v>
      </c>
    </row>
    <row r="272" spans="9:42" ht="20.100000000000001" customHeight="1" x14ac:dyDescent="0.25">
      <c r="I272" s="246"/>
      <c r="K272" s="247"/>
      <c r="L272" s="247"/>
      <c r="M272" s="247"/>
      <c r="N272" s="248"/>
      <c r="O272" s="249"/>
      <c r="P272" s="247"/>
      <c r="R272" s="250"/>
      <c r="U272" s="247"/>
      <c r="V272" s="247"/>
      <c r="W272" s="247"/>
      <c r="X272" s="247"/>
      <c r="Y272" s="247"/>
      <c r="Z272" s="247"/>
      <c r="AA272" s="250"/>
      <c r="AH272" s="258">
        <f t="shared" ref="AH272" si="40">AM272</f>
        <v>15</v>
      </c>
      <c r="AI272" s="258">
        <f t="shared" ref="AI272" si="41">AN272</f>
        <v>175</v>
      </c>
      <c r="AJ272" s="259" t="str">
        <f t="shared" ref="AJ272" si="42">AO272</f>
        <v>4/1</v>
      </c>
      <c r="AK272" s="260">
        <f t="shared" ref="AK272" si="43">(1-$AL$2)*AP272</f>
        <v>183.11999999999998</v>
      </c>
      <c r="AL272" s="226"/>
      <c r="AM272" s="258">
        <v>15</v>
      </c>
      <c r="AN272" s="258">
        <v>175</v>
      </c>
      <c r="AO272" s="262" t="s">
        <v>250</v>
      </c>
      <c r="AP272" s="260">
        <v>305.2</v>
      </c>
    </row>
    <row r="273" spans="9:42" ht="20.100000000000001" customHeight="1" x14ac:dyDescent="0.25">
      <c r="I273" s="246"/>
      <c r="K273" s="247"/>
      <c r="L273" s="247"/>
      <c r="M273" s="247"/>
      <c r="N273" s="248"/>
      <c r="O273" s="249"/>
      <c r="P273" s="247"/>
      <c r="R273" s="250"/>
      <c r="U273" s="247"/>
      <c r="V273" s="247"/>
      <c r="W273" s="247"/>
      <c r="X273" s="247"/>
      <c r="Y273" s="247"/>
      <c r="Z273" s="247"/>
      <c r="AA273" s="250"/>
      <c r="AB273" s="257">
        <v>28</v>
      </c>
      <c r="AC273" s="226"/>
      <c r="AD273" s="226"/>
      <c r="AH273" s="258">
        <f t="shared" si="28"/>
        <v>16</v>
      </c>
      <c r="AI273" s="258">
        <f t="shared" si="28"/>
        <v>175</v>
      </c>
      <c r="AJ273" s="259" t="str">
        <f t="shared" si="28"/>
        <v>4/1</v>
      </c>
      <c r="AK273" s="260">
        <f t="shared" si="39"/>
        <v>190.79999999999998</v>
      </c>
      <c r="AL273" s="226"/>
      <c r="AM273" s="258">
        <v>16</v>
      </c>
      <c r="AN273" s="258">
        <v>175</v>
      </c>
      <c r="AO273" s="262" t="s">
        <v>250</v>
      </c>
      <c r="AP273" s="260">
        <v>318</v>
      </c>
    </row>
    <row r="274" spans="9:42" ht="20.100000000000001" customHeight="1" x14ac:dyDescent="0.25">
      <c r="I274" s="246"/>
      <c r="K274" s="247"/>
      <c r="L274" s="247"/>
      <c r="M274" s="247"/>
      <c r="N274" s="248"/>
      <c r="O274" s="249"/>
      <c r="P274" s="247"/>
      <c r="R274" s="250"/>
      <c r="U274" s="247"/>
      <c r="V274" s="247"/>
      <c r="W274" s="247"/>
      <c r="X274" s="247"/>
      <c r="Y274" s="247"/>
      <c r="Z274" s="247"/>
      <c r="AA274" s="250"/>
      <c r="AB274" s="241" t="s">
        <v>245</v>
      </c>
      <c r="AC274" s="241" t="s">
        <v>246</v>
      </c>
      <c r="AD274" s="241" t="s">
        <v>236</v>
      </c>
      <c r="AH274" s="258">
        <f t="shared" si="28"/>
        <v>17</v>
      </c>
      <c r="AI274" s="258">
        <f t="shared" si="28"/>
        <v>175</v>
      </c>
      <c r="AJ274" s="259" t="str">
        <f t="shared" si="28"/>
        <v>4/1</v>
      </c>
      <c r="AK274" s="260">
        <f t="shared" si="39"/>
        <v>201</v>
      </c>
      <c r="AL274" s="226"/>
      <c r="AM274" s="258">
        <v>17</v>
      </c>
      <c r="AN274" s="258">
        <v>175</v>
      </c>
      <c r="AO274" s="262" t="s">
        <v>250</v>
      </c>
      <c r="AP274" s="260">
        <v>335</v>
      </c>
    </row>
    <row r="275" spans="9:42" ht="20.100000000000001" customHeight="1" x14ac:dyDescent="0.25">
      <c r="I275" s="246"/>
      <c r="K275" s="247"/>
      <c r="L275" s="247"/>
      <c r="M275" s="247"/>
      <c r="N275" s="248"/>
      <c r="O275" s="249"/>
      <c r="P275" s="247"/>
      <c r="R275" s="250"/>
      <c r="U275" s="247"/>
      <c r="V275" s="247"/>
      <c r="W275" s="247"/>
      <c r="X275" s="247"/>
      <c r="Y275" s="247"/>
      <c r="Z275" s="247"/>
      <c r="AA275" s="250"/>
      <c r="AB275" s="288">
        <f>IF(I31="","",I31)</f>
        <v>6.5</v>
      </c>
      <c r="AC275" s="283">
        <f>IF(J31="","",J31)</f>
        <v>63.4</v>
      </c>
      <c r="AD275" s="278">
        <f>IF(OR(AB275="",AC275=""),"",IF(AE279&lt;&gt;"",AE281,AVERAGEIF(AD281:AF281,"&lt;&gt;0",AD281:AF281)))</f>
        <v>179.02079999999998</v>
      </c>
      <c r="AH275" s="258">
        <f t="shared" si="28"/>
        <v>18</v>
      </c>
      <c r="AI275" s="258">
        <f t="shared" si="28"/>
        <v>175</v>
      </c>
      <c r="AJ275" s="259" t="str">
        <f t="shared" si="28"/>
        <v>4/1</v>
      </c>
      <c r="AK275" s="260">
        <f t="shared" si="39"/>
        <v>211.2</v>
      </c>
      <c r="AL275" s="226"/>
      <c r="AM275" s="258">
        <v>18</v>
      </c>
      <c r="AN275" s="258">
        <v>175</v>
      </c>
      <c r="AO275" s="262" t="s">
        <v>250</v>
      </c>
      <c r="AP275" s="260">
        <v>352</v>
      </c>
    </row>
    <row r="276" spans="9:42" ht="20.100000000000001" customHeight="1" x14ac:dyDescent="0.25">
      <c r="I276" s="246"/>
      <c r="K276" s="247"/>
      <c r="L276" s="247"/>
      <c r="M276" s="247"/>
      <c r="N276" s="248"/>
      <c r="O276" s="249"/>
      <c r="P276" s="247"/>
      <c r="R276" s="250"/>
      <c r="U276" s="247"/>
      <c r="V276" s="247"/>
      <c r="W276" s="247"/>
      <c r="X276" s="247"/>
      <c r="Y276" s="247"/>
      <c r="Z276" s="247"/>
      <c r="AA276" s="250"/>
      <c r="AC276" s="250" t="s">
        <v>182</v>
      </c>
      <c r="AE276" s="279" t="s">
        <v>247</v>
      </c>
      <c r="AH276" s="258">
        <f t="shared" si="28"/>
        <v>19</v>
      </c>
      <c r="AI276" s="258">
        <f t="shared" si="28"/>
        <v>175</v>
      </c>
      <c r="AJ276" s="259" t="str">
        <f t="shared" si="28"/>
        <v>4/2</v>
      </c>
      <c r="AK276" s="260">
        <f t="shared" si="39"/>
        <v>199.2</v>
      </c>
      <c r="AL276" s="226"/>
      <c r="AM276" s="258">
        <v>19</v>
      </c>
      <c r="AN276" s="258">
        <v>175</v>
      </c>
      <c r="AO276" s="262" t="s">
        <v>251</v>
      </c>
      <c r="AP276" s="260">
        <v>332</v>
      </c>
    </row>
    <row r="277" spans="9:42" ht="20.100000000000001" customHeight="1" x14ac:dyDescent="0.25">
      <c r="I277" s="246"/>
      <c r="K277" s="247"/>
      <c r="L277" s="247"/>
      <c r="M277" s="247"/>
      <c r="N277" s="248"/>
      <c r="O277" s="249"/>
      <c r="P277" s="247"/>
      <c r="R277" s="250"/>
      <c r="U277" s="247"/>
      <c r="V277" s="247"/>
      <c r="W277" s="247"/>
      <c r="X277" s="247"/>
      <c r="Y277" s="247"/>
      <c r="Z277" s="247"/>
      <c r="AA277" s="250"/>
      <c r="AC277" s="281"/>
      <c r="AD277" s="282">
        <f>IF(AE277&gt;=400,400,IF(AE277&gt;=350,350,IF(AE277&gt;=325,325,IF(AE277&gt;=300,300,IF(AE277&gt;=275,275,IF(AE277&gt;=250,250,IF(AE277&gt;=225,225,IF(AE277&gt;=200,200,IF(AE277&gt;=175,175,IF(AE277&gt;=150,150,IF(AE277&gt;=125,125,IF(AE277&gt;=100,100,IF(AE277&gt;=75,75,50)))))))))))))</f>
        <v>50</v>
      </c>
      <c r="AE277" s="283">
        <f>AC275</f>
        <v>63.4</v>
      </c>
      <c r="AF277" s="282">
        <f>IF(AE277&lt;=50,50,IF(AE277&lt;=75,75,IF(AE277&lt;=100,100,IF(AE277&lt;=125,125,IF(AE277&lt;=150,150,IF(AE277&lt;=175,175,IF(AE277&lt;=200,200,IF(AE277&lt;=225,225,IF(AE277&lt;=250,250,IF(AE277&lt;=275,275,IF(AE277&lt;=300,300,IF(AE277&lt;=325,325,IF(AE277&lt;=350,350,400)))))))))))))</f>
        <v>75</v>
      </c>
      <c r="AH277" s="258">
        <f t="shared" si="28"/>
        <v>20</v>
      </c>
      <c r="AI277" s="258">
        <f t="shared" si="28"/>
        <v>175</v>
      </c>
      <c r="AJ277" s="259" t="str">
        <f t="shared" si="28"/>
        <v>4/2</v>
      </c>
      <c r="AK277" s="260">
        <f t="shared" si="39"/>
        <v>210</v>
      </c>
      <c r="AL277" s="226"/>
      <c r="AM277" s="258">
        <v>20</v>
      </c>
      <c r="AN277" s="258">
        <v>175</v>
      </c>
      <c r="AO277" s="262" t="s">
        <v>251</v>
      </c>
      <c r="AP277" s="260">
        <v>350</v>
      </c>
    </row>
    <row r="278" spans="9:42" ht="20.100000000000001" customHeight="1" x14ac:dyDescent="0.25">
      <c r="I278" s="246"/>
      <c r="K278" s="247"/>
      <c r="L278" s="247"/>
      <c r="M278" s="247"/>
      <c r="N278" s="248"/>
      <c r="O278" s="249"/>
      <c r="P278" s="247"/>
      <c r="R278" s="250"/>
      <c r="U278" s="247"/>
      <c r="V278" s="247"/>
      <c r="W278" s="247"/>
      <c r="X278" s="247"/>
      <c r="Y278" s="247"/>
      <c r="Z278" s="247"/>
      <c r="AA278" s="250"/>
      <c r="AC278" s="282">
        <f>IF(AC279&gt;=0,ROUNDDOWN(AC279,0),ROUNDUP(AC279,0))</f>
        <v>6</v>
      </c>
      <c r="AD278" s="284">
        <f>IF(AD277=400,VLOOKUP(AC278,$AH$700:$AK$748,4),IF(AD277=350,VLOOKUP(AC278,$AH$650:$AK$698,4),IF(AD277=325,VLOOKUP(AC278,$AH$598:$AK$648,4),IF(AD277=300,VLOOKUP(AC278,$AH$544:$AK$596,4),IF(AD277=275,VLOOKUP(AC278,$AH$488:$AK$542,4),IF(AD277=250,VLOOKUP(AC278,$AH$431:$AK$486,4),IF(AD277=225,VLOOKUP(AC278,$AH$379:$AK$429,4),IF(AD277=200,VLOOKUP(AC278,$AH$319:$AK$377,4),IF(AD277=175,VLOOKUP(AC278,$AH$256:$AK$317,4),IF(AD277=150,VLOOKUP(AC278,$AH$192:$AK$254,4),IF(AD277=125,VLOOKUP(AC278,$AH$126:$AK$190,4),IF(AD277=100,VLOOKUP(AC278,$AH$81:$AK$124,4),IF(AD277=75,VLOOKUP(AC278,$AH$39:$AK$79,4),IF(AD277=50,VLOOKUP(AC278,$AH$3:$AK$37,4)))))))))))))))</f>
        <v>181.79999999999998</v>
      </c>
      <c r="AE278" s="285">
        <f>IFERROR((AE277-AD277)/(AF277-AD277)*(AF278-AD278)+AD278,"")</f>
        <v>173.76</v>
      </c>
      <c r="AF278" s="284">
        <f>IF(AF277=400,VLOOKUP(AC278,$AH$700:$AK$748,4),IF(AF277=350,VLOOKUP(AC278,$AH$650:$AK$698,4),IF(AF277=325,VLOOKUP(AC278,$AH$598:$AK$648,4),IF(AF277=300,VLOOKUP(AC278,$AH$544:$AK$596,4),IF(AF277=275,VLOOKUP(AC278,$AH$488:$AK$542,4),IF(AF277=250,VLOOKUP(AC278,$AH$431:$AK$486,4),IF(AF277=225,VLOOKUP(AC278,$AH$379:$AK$429,4),IF(AF277=200,VLOOKUP(AC278,$AH$319:$AK$377,4),IF(AF277=175,VLOOKUP(AC278,$AH$256:$AK$317,4),IF(AF277=150,VLOOKUP(AC278,$AH$192:$AK$254,4),IF(AF277=125,VLOOKUP(AC278,$AH$126:$AK$190,4),IF(AF277=100,VLOOKUP(AC278,$AH$81:$AK$124,4),IF(AF277=75,VLOOKUP(AC278,$AH$39:$AK$79,4),IF(AF277=50,VLOOKUP(AC278,$AH$3:$AK$37,4)))))))))))))))</f>
        <v>166.79999999999998</v>
      </c>
      <c r="AH278" s="258">
        <f t="shared" si="28"/>
        <v>21</v>
      </c>
      <c r="AI278" s="258">
        <f t="shared" si="28"/>
        <v>175</v>
      </c>
      <c r="AJ278" s="259" t="str">
        <f t="shared" si="28"/>
        <v>4/2</v>
      </c>
      <c r="AK278" s="260">
        <f t="shared" si="39"/>
        <v>220.2</v>
      </c>
      <c r="AL278" s="226"/>
      <c r="AM278" s="258">
        <v>21</v>
      </c>
      <c r="AN278" s="258">
        <v>175</v>
      </c>
      <c r="AO278" s="262" t="s">
        <v>251</v>
      </c>
      <c r="AP278" s="260">
        <v>367</v>
      </c>
    </row>
    <row r="279" spans="9:42" ht="20.100000000000001" customHeight="1" x14ac:dyDescent="0.25">
      <c r="I279" s="246"/>
      <c r="K279" s="247"/>
      <c r="L279" s="247"/>
      <c r="M279" s="247"/>
      <c r="N279" s="248"/>
      <c r="O279" s="249"/>
      <c r="P279" s="247"/>
      <c r="R279" s="250"/>
      <c r="U279" s="247"/>
      <c r="V279" s="247"/>
      <c r="W279" s="247"/>
      <c r="X279" s="247"/>
      <c r="Y279" s="247"/>
      <c r="Z279" s="247"/>
      <c r="AA279" s="250"/>
      <c r="AB279" s="287" t="s">
        <v>248</v>
      </c>
      <c r="AC279" s="288">
        <f>AB275</f>
        <v>6.5</v>
      </c>
      <c r="AD279" s="285">
        <f>IFERROR((AC279-AC278)/(AC280-AC278)*(AD280-AD278)+AD278,"")</f>
        <v>186.89999999999998</v>
      </c>
      <c r="AE279" s="278">
        <f>IFERROR((AE277-AF277)/(AD277-AF277)*(AD279-AF279)+AF279,"")</f>
        <v>179.02079999999998</v>
      </c>
      <c r="AF279" s="285">
        <f>IFERROR((AC279-AC278)/(AC280-AC278)*(AF280-AF278)+AF278,"")</f>
        <v>172.2</v>
      </c>
      <c r="AH279" s="258">
        <f t="shared" ref="AH279" si="44">AM279</f>
        <v>22</v>
      </c>
      <c r="AI279" s="258">
        <f t="shared" ref="AI279" si="45">AN279</f>
        <v>175</v>
      </c>
      <c r="AJ279" s="259" t="str">
        <f t="shared" ref="AJ279" si="46">AO279</f>
        <v>3/0</v>
      </c>
      <c r="AK279" s="260">
        <f t="shared" ref="AK279" si="47">(1-$AL$2)*AP279</f>
        <v>205.56</v>
      </c>
      <c r="AL279" s="226"/>
      <c r="AM279" s="258">
        <v>22</v>
      </c>
      <c r="AN279" s="258">
        <v>175</v>
      </c>
      <c r="AO279" s="262" t="s">
        <v>252</v>
      </c>
      <c r="AP279" s="260">
        <v>342.6</v>
      </c>
    </row>
    <row r="280" spans="9:42" ht="20.100000000000001" customHeight="1" x14ac:dyDescent="0.25">
      <c r="I280" s="246"/>
      <c r="K280" s="247"/>
      <c r="L280" s="247"/>
      <c r="M280" s="247"/>
      <c r="N280" s="248"/>
      <c r="O280" s="249"/>
      <c r="P280" s="247"/>
      <c r="R280" s="250"/>
      <c r="U280" s="247"/>
      <c r="V280" s="247"/>
      <c r="W280" s="247"/>
      <c r="X280" s="247"/>
      <c r="Y280" s="247"/>
      <c r="Z280" s="247"/>
      <c r="AA280" s="250"/>
      <c r="AC280" s="282">
        <f>IF(AC279&gt;=0,ROUNDUP(AC279,0),ROUNDDOWN(AC279,0))</f>
        <v>7</v>
      </c>
      <c r="AD280" s="284">
        <f>IF(AD277=400,VLOOKUP(AC280,$AH$700:$AK$748,4),IF(AD277=350,VLOOKUP(AC280,$AH$650:$AK$698,4),IF(AD277=325,VLOOKUP(AC280,$AH$598:$AK$648,4),IF(AD277=300,VLOOKUP(AC280,$AH$544:$AK$596,4),IF(AD277=275,VLOOKUP(AC280,$AH$488:$AK$542,4),IF(AD277=250,VLOOKUP(AC280,$AH$431:$AK$486,4),IF(AD277=225,VLOOKUP(AC280,$AH$379:$AK$429,4),IF(AD277=200,VLOOKUP(AC280,$AH$319:$AK$377,4),IF(AD277=175,VLOOKUP(AC280,$AH$256:$AK$317,4),IF(AD277=150,VLOOKUP(AC280,$AH$192:$AK$254,4),IF(AD277=125,VLOOKUP(AC280,$AH$126:$AK$190,4),IF(AD277=100,VLOOKUP(AC280,$AH$81:$AK$124,4),IF(AD277=75,VLOOKUP(AC280,$AH$39:$AK$79,4),IF(AD277=50,VLOOKUP(AC280,$AH$3:$AK$37,4)))))))))))))))</f>
        <v>192</v>
      </c>
      <c r="AE280" s="285">
        <f>IFERROR((AE277-AD277)/(AF277-AD277)*(AF280-AD280)+AD280,"")</f>
        <v>184.2816</v>
      </c>
      <c r="AF280" s="284">
        <f>IF(AF277=400,VLOOKUP(AC280,$AH$700:$AK$748,4),IF(AF277=350,VLOOKUP(AC280,$AH$650:$AK$698,4),IF(AF277=325,VLOOKUP(AC280,$AH$598:$AK$648,4),IF(AF277=300,VLOOKUP(AC280,$AH$544:$AK$596,4),IF(AF277=275,VLOOKUP(AC280,$AH$488:$AK$542,4),IF(AF277=250,VLOOKUP(AC280,$AH$431:$AK$486,4),IF(AF277=225,VLOOKUP(AC280,$AH$379:$AK$429,4),IF(AF277=200,VLOOKUP(AC280,$AH$319:$AK$377,4),IF(AF277=175,VLOOKUP(AC280,$AH$256:$AK$317,4),IF(AF277=150,VLOOKUP(AC280,$AH$192:$AK$254,4),IF(AF277=125,VLOOKUP(AC280,$AH$126:$AK$190,4),IF(AF277=100,VLOOKUP(AC280,$AH$81:$AK$124,4),IF(AF277=75,VLOOKUP(AC280,$AH$39:$AK$79,4),IF(AF277=50,VLOOKUP(AC280,$AH$3:$AK$37,4)))))))))))))))</f>
        <v>177.6</v>
      </c>
      <c r="AH280" s="258">
        <f t="shared" si="28"/>
        <v>23</v>
      </c>
      <c r="AI280" s="258">
        <f t="shared" si="28"/>
        <v>175</v>
      </c>
      <c r="AJ280" s="259" t="str">
        <f t="shared" si="28"/>
        <v>3/0</v>
      </c>
      <c r="AK280" s="260">
        <f t="shared" si="39"/>
        <v>213</v>
      </c>
      <c r="AL280" s="226"/>
      <c r="AM280" s="258">
        <v>23</v>
      </c>
      <c r="AN280" s="258">
        <v>175</v>
      </c>
      <c r="AO280" s="262" t="s">
        <v>252</v>
      </c>
      <c r="AP280" s="260">
        <v>355</v>
      </c>
    </row>
    <row r="281" spans="9:42" ht="20.100000000000001" customHeight="1" x14ac:dyDescent="0.25">
      <c r="I281" s="246"/>
      <c r="K281" s="247"/>
      <c r="L281" s="247"/>
      <c r="M281" s="247"/>
      <c r="N281" s="248"/>
      <c r="O281" s="249"/>
      <c r="P281" s="247"/>
      <c r="R281" s="250"/>
      <c r="U281" s="247"/>
      <c r="V281" s="247"/>
      <c r="W281" s="247"/>
      <c r="X281" s="247"/>
      <c r="Y281" s="247"/>
      <c r="Z281" s="247"/>
      <c r="AA281" s="250"/>
      <c r="AD281" s="289">
        <f>IF(AD279&lt;&gt;"",AD279,AVERAGE(AD278:AD280))</f>
        <v>186.89999999999998</v>
      </c>
      <c r="AE281" s="289">
        <f>IF(AE279&lt;&gt;"",AE279,IF(SUM(AE278:AE280)=0,"",AVERAGE(AE278:AE280)))</f>
        <v>179.02079999999998</v>
      </c>
      <c r="AF281" s="289">
        <f>IF(AF279&lt;&gt;"",AF279,AVERAGE(AF278:AF280))</f>
        <v>172.2</v>
      </c>
      <c r="AH281" s="258">
        <f t="shared" si="28"/>
        <v>24</v>
      </c>
      <c r="AI281" s="258">
        <f t="shared" si="28"/>
        <v>175</v>
      </c>
      <c r="AJ281" s="259" t="str">
        <f t="shared" si="28"/>
        <v>3/0</v>
      </c>
      <c r="AK281" s="260">
        <f t="shared" si="39"/>
        <v>220.79999999999998</v>
      </c>
      <c r="AL281" s="226"/>
      <c r="AM281" s="258">
        <v>24</v>
      </c>
      <c r="AN281" s="258">
        <v>175</v>
      </c>
      <c r="AO281" s="262" t="s">
        <v>252</v>
      </c>
      <c r="AP281" s="260">
        <v>368</v>
      </c>
    </row>
    <row r="282" spans="9:42" ht="20.100000000000001" customHeight="1" x14ac:dyDescent="0.25">
      <c r="I282" s="246"/>
      <c r="K282" s="247"/>
      <c r="L282" s="247"/>
      <c r="M282" s="247"/>
      <c r="N282" s="248"/>
      <c r="O282" s="249"/>
      <c r="P282" s="247"/>
      <c r="R282" s="250"/>
      <c r="U282" s="247"/>
      <c r="V282" s="247"/>
      <c r="W282" s="247"/>
      <c r="X282" s="247"/>
      <c r="Y282" s="247"/>
      <c r="Z282" s="247"/>
      <c r="AA282" s="250"/>
      <c r="AH282" s="258">
        <f t="shared" si="28"/>
        <v>25</v>
      </c>
      <c r="AI282" s="258">
        <f t="shared" si="28"/>
        <v>175</v>
      </c>
      <c r="AJ282" s="259" t="str">
        <f t="shared" si="28"/>
        <v>3/0</v>
      </c>
      <c r="AK282" s="260">
        <f t="shared" si="39"/>
        <v>228.6</v>
      </c>
      <c r="AL282" s="226"/>
      <c r="AM282" s="258">
        <v>25</v>
      </c>
      <c r="AN282" s="258">
        <v>175</v>
      </c>
      <c r="AO282" s="262" t="s">
        <v>252</v>
      </c>
      <c r="AP282" s="260">
        <v>381</v>
      </c>
    </row>
    <row r="283" spans="9:42" ht="20.100000000000001" customHeight="1" x14ac:dyDescent="0.25">
      <c r="I283" s="246"/>
      <c r="K283" s="247"/>
      <c r="L283" s="247"/>
      <c r="M283" s="247"/>
      <c r="N283" s="248"/>
      <c r="O283" s="249"/>
      <c r="P283" s="247"/>
      <c r="R283" s="250"/>
      <c r="U283" s="247"/>
      <c r="V283" s="247"/>
      <c r="W283" s="247"/>
      <c r="X283" s="247"/>
      <c r="Y283" s="247"/>
      <c r="Z283" s="247"/>
      <c r="AA283" s="250"/>
      <c r="AB283" s="257">
        <v>29</v>
      </c>
      <c r="AC283" s="226"/>
      <c r="AD283" s="226"/>
      <c r="AH283" s="258">
        <f t="shared" si="28"/>
        <v>26</v>
      </c>
      <c r="AI283" s="258">
        <f t="shared" si="28"/>
        <v>175</v>
      </c>
      <c r="AJ283" s="259" t="str">
        <f t="shared" si="28"/>
        <v>3/0</v>
      </c>
      <c r="AK283" s="260">
        <f t="shared" si="39"/>
        <v>236.39999999999998</v>
      </c>
      <c r="AL283" s="226"/>
      <c r="AM283" s="258">
        <v>26</v>
      </c>
      <c r="AN283" s="258">
        <v>175</v>
      </c>
      <c r="AO283" s="262" t="s">
        <v>252</v>
      </c>
      <c r="AP283" s="260">
        <v>394</v>
      </c>
    </row>
    <row r="284" spans="9:42" ht="20.100000000000001" customHeight="1" x14ac:dyDescent="0.25">
      <c r="I284" s="246"/>
      <c r="K284" s="247"/>
      <c r="L284" s="247"/>
      <c r="M284" s="247"/>
      <c r="N284" s="248"/>
      <c r="O284" s="249"/>
      <c r="P284" s="247"/>
      <c r="R284" s="250"/>
      <c r="U284" s="247"/>
      <c r="V284" s="247"/>
      <c r="W284" s="247"/>
      <c r="X284" s="247"/>
      <c r="Y284" s="247"/>
      <c r="Z284" s="247"/>
      <c r="AA284" s="250"/>
      <c r="AB284" s="241" t="s">
        <v>245</v>
      </c>
      <c r="AC284" s="241" t="s">
        <v>246</v>
      </c>
      <c r="AD284" s="241" t="s">
        <v>236</v>
      </c>
      <c r="AH284" s="258">
        <f t="shared" si="28"/>
        <v>27</v>
      </c>
      <c r="AI284" s="258">
        <f t="shared" si="28"/>
        <v>175</v>
      </c>
      <c r="AJ284" s="259" t="str">
        <f t="shared" si="28"/>
        <v>3/0</v>
      </c>
      <c r="AK284" s="260">
        <f t="shared" si="39"/>
        <v>243.6</v>
      </c>
      <c r="AL284" s="226"/>
      <c r="AM284" s="258">
        <v>27</v>
      </c>
      <c r="AN284" s="258">
        <v>175</v>
      </c>
      <c r="AO284" s="262" t="s">
        <v>252</v>
      </c>
      <c r="AP284" s="260">
        <v>406</v>
      </c>
    </row>
    <row r="285" spans="9:42" ht="20.100000000000001" customHeight="1" x14ac:dyDescent="0.25">
      <c r="I285" s="246"/>
      <c r="K285" s="247"/>
      <c r="L285" s="247"/>
      <c r="M285" s="247"/>
      <c r="N285" s="248"/>
      <c r="O285" s="249"/>
      <c r="P285" s="247"/>
      <c r="R285" s="250"/>
      <c r="U285" s="247"/>
      <c r="V285" s="247"/>
      <c r="W285" s="247"/>
      <c r="X285" s="247"/>
      <c r="Y285" s="247"/>
      <c r="Z285" s="247"/>
      <c r="AA285" s="250"/>
      <c r="AB285" s="288">
        <f>IF(I32="","",I32)</f>
        <v>6.2</v>
      </c>
      <c r="AC285" s="283">
        <f>IF(J32="","",J32)</f>
        <v>59.6</v>
      </c>
      <c r="AD285" s="278">
        <f>IF(OR(AB285="",AC285=""),"",IF(AE289&lt;&gt;"",AE291,AVERAGEIF(AD291:AF291,"&lt;&gt;0",AD291:AF291)))</f>
        <v>178.12607999999997</v>
      </c>
      <c r="AH285" s="258">
        <f t="shared" si="28"/>
        <v>28</v>
      </c>
      <c r="AI285" s="258">
        <f t="shared" si="28"/>
        <v>175</v>
      </c>
      <c r="AJ285" s="259" t="str">
        <f t="shared" si="28"/>
        <v>3/0</v>
      </c>
      <c r="AK285" s="260">
        <f t="shared" si="39"/>
        <v>251.39999999999998</v>
      </c>
      <c r="AL285" s="226"/>
      <c r="AM285" s="258">
        <v>28</v>
      </c>
      <c r="AN285" s="258">
        <v>175</v>
      </c>
      <c r="AO285" s="262" t="s">
        <v>252</v>
      </c>
      <c r="AP285" s="260">
        <v>419</v>
      </c>
    </row>
    <row r="286" spans="9:42" ht="20.100000000000001" customHeight="1" x14ac:dyDescent="0.25">
      <c r="I286" s="246"/>
      <c r="K286" s="247"/>
      <c r="L286" s="247"/>
      <c r="M286" s="247"/>
      <c r="N286" s="248"/>
      <c r="O286" s="249"/>
      <c r="P286" s="247"/>
      <c r="R286" s="250"/>
      <c r="U286" s="247"/>
      <c r="V286" s="247"/>
      <c r="W286" s="247"/>
      <c r="X286" s="247"/>
      <c r="Y286" s="247"/>
      <c r="Z286" s="247"/>
      <c r="AA286" s="250"/>
      <c r="AC286" s="250" t="s">
        <v>182</v>
      </c>
      <c r="AE286" s="279" t="s">
        <v>247</v>
      </c>
      <c r="AH286" s="258">
        <f t="shared" ref="AH286" si="48">AM286</f>
        <v>29</v>
      </c>
      <c r="AI286" s="258">
        <f t="shared" ref="AI286" si="49">AN286</f>
        <v>175</v>
      </c>
      <c r="AJ286" s="259" t="str">
        <f t="shared" ref="AJ286" si="50">AO286</f>
        <v>3/1</v>
      </c>
      <c r="AK286" s="260">
        <f t="shared" ref="AK286" si="51">(1-$AL$2)*AP286</f>
        <v>243.89999999999998</v>
      </c>
      <c r="AL286" s="226"/>
      <c r="AM286" s="258">
        <v>29</v>
      </c>
      <c r="AN286" s="258">
        <v>175</v>
      </c>
      <c r="AO286" s="262" t="s">
        <v>254</v>
      </c>
      <c r="AP286" s="260">
        <v>406.5</v>
      </c>
    </row>
    <row r="287" spans="9:42" ht="20.100000000000001" customHeight="1" x14ac:dyDescent="0.25">
      <c r="I287" s="246"/>
      <c r="K287" s="247"/>
      <c r="L287" s="247"/>
      <c r="M287" s="247"/>
      <c r="N287" s="248"/>
      <c r="O287" s="249"/>
      <c r="P287" s="247"/>
      <c r="R287" s="250"/>
      <c r="U287" s="247"/>
      <c r="V287" s="247"/>
      <c r="W287" s="247"/>
      <c r="X287" s="247"/>
      <c r="Y287" s="247"/>
      <c r="Z287" s="247"/>
      <c r="AA287" s="250"/>
      <c r="AC287" s="281"/>
      <c r="AD287" s="282">
        <f>IF(AE287&gt;=400,400,IF(AE287&gt;=350,350,IF(AE287&gt;=325,325,IF(AE287&gt;=300,300,IF(AE287&gt;=275,275,IF(AE287&gt;=250,250,IF(AE287&gt;=225,225,IF(AE287&gt;=200,200,IF(AE287&gt;=175,175,IF(AE287&gt;=150,150,IF(AE287&gt;=125,125,IF(AE287&gt;=100,100,IF(AE287&gt;=75,75,50)))))))))))))</f>
        <v>50</v>
      </c>
      <c r="AE287" s="283">
        <f>AC285</f>
        <v>59.6</v>
      </c>
      <c r="AF287" s="282">
        <f>IF(AE287&lt;=50,50,IF(AE287&lt;=75,75,IF(AE287&lt;=100,100,IF(AE287&lt;=125,125,IF(AE287&lt;=150,150,IF(AE287&lt;=175,175,IF(AE287&lt;=200,200,IF(AE287&lt;=225,225,IF(AE287&lt;=250,250,IF(AE287&lt;=275,275,IF(AE287&lt;=300,300,IF(AE287&lt;=325,325,IF(AE287&lt;=350,350,400)))))))))))))</f>
        <v>75</v>
      </c>
      <c r="AH287" s="258">
        <f t="shared" si="28"/>
        <v>30</v>
      </c>
      <c r="AI287" s="258">
        <f t="shared" si="28"/>
        <v>175</v>
      </c>
      <c r="AJ287" s="259" t="str">
        <f t="shared" si="28"/>
        <v>3/1</v>
      </c>
      <c r="AK287" s="260">
        <f t="shared" si="39"/>
        <v>250.79999999999998</v>
      </c>
      <c r="AL287" s="226"/>
      <c r="AM287" s="258">
        <v>30</v>
      </c>
      <c r="AN287" s="258">
        <v>175</v>
      </c>
      <c r="AO287" s="262" t="s">
        <v>254</v>
      </c>
      <c r="AP287" s="260">
        <v>418</v>
      </c>
    </row>
    <row r="288" spans="9:42" ht="20.100000000000001" customHeight="1" x14ac:dyDescent="0.25">
      <c r="I288" s="246"/>
      <c r="K288" s="247"/>
      <c r="L288" s="247"/>
      <c r="M288" s="247"/>
      <c r="N288" s="248"/>
      <c r="O288" s="249"/>
      <c r="P288" s="247"/>
      <c r="R288" s="250"/>
      <c r="U288" s="247"/>
      <c r="V288" s="247"/>
      <c r="W288" s="247"/>
      <c r="X288" s="247"/>
      <c r="Y288" s="247"/>
      <c r="Z288" s="247"/>
      <c r="AA288" s="250"/>
      <c r="AC288" s="282">
        <f>IF(AC289&gt;=0,ROUNDDOWN(AC289,0),ROUNDUP(AC289,0))</f>
        <v>6</v>
      </c>
      <c r="AD288" s="284">
        <f>IF(AD287=400,VLOOKUP(AC288,$AH$700:$AK$748,4),IF(AD287=350,VLOOKUP(AC288,$AH$650:$AK$698,4),IF(AD287=325,VLOOKUP(AC288,$AH$598:$AK$648,4),IF(AD287=300,VLOOKUP(AC288,$AH$544:$AK$596,4),IF(AD287=275,VLOOKUP(AC288,$AH$488:$AK$542,4),IF(AD287=250,VLOOKUP(AC288,$AH$431:$AK$486,4),IF(AD287=225,VLOOKUP(AC288,$AH$379:$AK$429,4),IF(AD287=200,VLOOKUP(AC288,$AH$319:$AK$377,4),IF(AD287=175,VLOOKUP(AC288,$AH$256:$AK$317,4),IF(AD287=150,VLOOKUP(AC288,$AH$192:$AK$254,4),IF(AD287=125,VLOOKUP(AC288,$AH$126:$AK$190,4),IF(AD287=100,VLOOKUP(AC288,$AH$81:$AK$124,4),IF(AD287=75,VLOOKUP(AC288,$AH$39:$AK$79,4),IF(AD287=50,VLOOKUP(AC288,$AH$3:$AK$37,4)))))))))))))))</f>
        <v>181.79999999999998</v>
      </c>
      <c r="AE288" s="285">
        <f>IFERROR((AE287-AD287)/(AF287-AD287)*(AF288-AD288)+AD288,"")</f>
        <v>176.04</v>
      </c>
      <c r="AF288" s="284">
        <f>IF(AF287=400,VLOOKUP(AC288,$AH$700:$AK$748,4),IF(AF287=350,VLOOKUP(AC288,$AH$650:$AK$698,4),IF(AF287=325,VLOOKUP(AC288,$AH$598:$AK$648,4),IF(AF287=300,VLOOKUP(AC288,$AH$544:$AK$596,4),IF(AF287=275,VLOOKUP(AC288,$AH$488:$AK$542,4),IF(AF287=250,VLOOKUP(AC288,$AH$431:$AK$486,4),IF(AF287=225,VLOOKUP(AC288,$AH$379:$AK$429,4),IF(AF287=200,VLOOKUP(AC288,$AH$319:$AK$377,4),IF(AF287=175,VLOOKUP(AC288,$AH$256:$AK$317,4),IF(AF287=150,VLOOKUP(AC288,$AH$192:$AK$254,4),IF(AF287=125,VLOOKUP(AC288,$AH$126:$AK$190,4),IF(AF287=100,VLOOKUP(AC288,$AH$81:$AK$124,4),IF(AF287=75,VLOOKUP(AC288,$AH$39:$AK$79,4),IF(AF287=50,VLOOKUP(AC288,$AH$3:$AK$37,4)))))))))))))))</f>
        <v>166.79999999999998</v>
      </c>
      <c r="AH288" s="258">
        <f t="shared" si="28"/>
        <v>31</v>
      </c>
      <c r="AI288" s="258">
        <f t="shared" si="28"/>
        <v>175</v>
      </c>
      <c r="AJ288" s="259" t="str">
        <f t="shared" si="28"/>
        <v>3/1</v>
      </c>
      <c r="AK288" s="260">
        <f t="shared" si="39"/>
        <v>258.59999999999997</v>
      </c>
      <c r="AL288" s="226"/>
      <c r="AM288" s="258">
        <v>31</v>
      </c>
      <c r="AN288" s="258">
        <v>175</v>
      </c>
      <c r="AO288" s="262" t="s">
        <v>254</v>
      </c>
      <c r="AP288" s="260">
        <v>431</v>
      </c>
    </row>
    <row r="289" spans="9:42" ht="20.100000000000001" customHeight="1" x14ac:dyDescent="0.25">
      <c r="I289" s="246"/>
      <c r="K289" s="247"/>
      <c r="L289" s="247"/>
      <c r="M289" s="247"/>
      <c r="N289" s="248"/>
      <c r="O289" s="249"/>
      <c r="P289" s="247"/>
      <c r="R289" s="250"/>
      <c r="U289" s="247"/>
      <c r="V289" s="247"/>
      <c r="W289" s="247"/>
      <c r="X289" s="247"/>
      <c r="Y289" s="247"/>
      <c r="Z289" s="247"/>
      <c r="AA289" s="250"/>
      <c r="AB289" s="287" t="s">
        <v>248</v>
      </c>
      <c r="AC289" s="288">
        <f>AB285</f>
        <v>6.2</v>
      </c>
      <c r="AD289" s="285">
        <f>IFERROR((AC289-AC288)/(AC290-AC288)*(AD290-AD288)+AD288,"")</f>
        <v>183.83999999999997</v>
      </c>
      <c r="AE289" s="278">
        <f>IFERROR((AE287-AF287)/(AD287-AF287)*(AD289-AF289)+AF289,"")</f>
        <v>178.12607999999997</v>
      </c>
      <c r="AF289" s="285">
        <f>IFERROR((AC289-AC288)/(AC290-AC288)*(AF290-AF288)+AF288,"")</f>
        <v>168.95999999999998</v>
      </c>
      <c r="AH289" s="258">
        <f t="shared" si="28"/>
        <v>32</v>
      </c>
      <c r="AI289" s="258">
        <f t="shared" si="28"/>
        <v>175</v>
      </c>
      <c r="AJ289" s="259" t="str">
        <f t="shared" si="28"/>
        <v>3/1</v>
      </c>
      <c r="AK289" s="260">
        <f t="shared" si="39"/>
        <v>266.39999999999998</v>
      </c>
      <c r="AL289" s="226"/>
      <c r="AM289" s="258">
        <v>32</v>
      </c>
      <c r="AN289" s="258">
        <v>175</v>
      </c>
      <c r="AO289" s="262" t="s">
        <v>254</v>
      </c>
      <c r="AP289" s="260">
        <v>444</v>
      </c>
    </row>
    <row r="290" spans="9:42" ht="20.100000000000001" customHeight="1" x14ac:dyDescent="0.25">
      <c r="I290" s="246"/>
      <c r="K290" s="247"/>
      <c r="L290" s="247"/>
      <c r="M290" s="247"/>
      <c r="N290" s="248"/>
      <c r="O290" s="249"/>
      <c r="P290" s="247"/>
      <c r="R290" s="250"/>
      <c r="U290" s="247"/>
      <c r="V290" s="247"/>
      <c r="W290" s="247"/>
      <c r="X290" s="247"/>
      <c r="Y290" s="247"/>
      <c r="Z290" s="247"/>
      <c r="AA290" s="250"/>
      <c r="AC290" s="282">
        <f>IF(AC289&gt;=0,ROUNDUP(AC289,0),ROUNDDOWN(AC289,0))</f>
        <v>7</v>
      </c>
      <c r="AD290" s="284">
        <f>IF(AD287=400,VLOOKUP(AC290,$AH$700:$AK$748,4),IF(AD287=350,VLOOKUP(AC290,$AH$650:$AK$698,4),IF(AD287=325,VLOOKUP(AC290,$AH$598:$AK$648,4),IF(AD287=300,VLOOKUP(AC290,$AH$544:$AK$596,4),IF(AD287=275,VLOOKUP(AC290,$AH$488:$AK$542,4),IF(AD287=250,VLOOKUP(AC290,$AH$431:$AK$486,4),IF(AD287=225,VLOOKUP(AC290,$AH$379:$AK$429,4),IF(AD287=200,VLOOKUP(AC290,$AH$319:$AK$377,4),IF(AD287=175,VLOOKUP(AC290,$AH$256:$AK$317,4),IF(AD287=150,VLOOKUP(AC290,$AH$192:$AK$254,4),IF(AD287=125,VLOOKUP(AC290,$AH$126:$AK$190,4),IF(AD287=100,VLOOKUP(AC290,$AH$81:$AK$124,4),IF(AD287=75,VLOOKUP(AC290,$AH$39:$AK$79,4),IF(AD287=50,VLOOKUP(AC290,$AH$3:$AK$37,4)))))))))))))))</f>
        <v>192</v>
      </c>
      <c r="AE290" s="285">
        <f>IFERROR((AE287-AD287)/(AF287-AD287)*(AF290-AD290)+AD290,"")</f>
        <v>186.47039999999998</v>
      </c>
      <c r="AF290" s="284">
        <f>IF(AF287=400,VLOOKUP(AC290,$AH$700:$AK$748,4),IF(AF287=350,VLOOKUP(AC290,$AH$650:$AK$698,4),IF(AF287=325,VLOOKUP(AC290,$AH$598:$AK$648,4),IF(AF287=300,VLOOKUP(AC290,$AH$544:$AK$596,4),IF(AF287=275,VLOOKUP(AC290,$AH$488:$AK$542,4),IF(AF287=250,VLOOKUP(AC290,$AH$431:$AK$486,4),IF(AF287=225,VLOOKUP(AC290,$AH$379:$AK$429,4),IF(AF287=200,VLOOKUP(AC290,$AH$319:$AK$377,4),IF(AF287=175,VLOOKUP(AC290,$AH$256:$AK$317,4),IF(AF287=150,VLOOKUP(AC290,$AH$192:$AK$254,4),IF(AF287=125,VLOOKUP(AC290,$AH$126:$AK$190,4),IF(AF287=100,VLOOKUP(AC290,$AH$81:$AK$124,4),IF(AF287=75,VLOOKUP(AC290,$AH$39:$AK$79,4),IF(AF287=50,VLOOKUP(AC290,$AH$3:$AK$37,4)))))))))))))))</f>
        <v>177.6</v>
      </c>
      <c r="AH290" s="258">
        <f t="shared" ref="AH290:AH292" si="52">AM290</f>
        <v>33</v>
      </c>
      <c r="AI290" s="258">
        <f t="shared" ref="AI290:AI292" si="53">AN290</f>
        <v>175</v>
      </c>
      <c r="AJ290" s="259" t="str">
        <f t="shared" ref="AJ290:AJ292" si="54">AO290</f>
        <v>3/2</v>
      </c>
      <c r="AK290" s="260">
        <f t="shared" ref="AK290:AK292" si="55">(1-$AL$2)*AP290</f>
        <v>258.59999999999997</v>
      </c>
      <c r="AL290" s="226"/>
      <c r="AM290" s="258">
        <v>33</v>
      </c>
      <c r="AN290" s="258">
        <v>175</v>
      </c>
      <c r="AO290" s="262" t="s">
        <v>255</v>
      </c>
      <c r="AP290" s="260">
        <v>431</v>
      </c>
    </row>
    <row r="291" spans="9:42" ht="20.100000000000001" customHeight="1" x14ac:dyDescent="0.25">
      <c r="I291" s="246"/>
      <c r="K291" s="247"/>
      <c r="L291" s="247"/>
      <c r="M291" s="247"/>
      <c r="N291" s="248"/>
      <c r="O291" s="249"/>
      <c r="P291" s="247"/>
      <c r="R291" s="250"/>
      <c r="U291" s="247"/>
      <c r="V291" s="247"/>
      <c r="W291" s="247"/>
      <c r="X291" s="247"/>
      <c r="Y291" s="247"/>
      <c r="Z291" s="247"/>
      <c r="AA291" s="250"/>
      <c r="AD291" s="289">
        <f>IF(AD289&lt;&gt;"",AD289,AVERAGE(AD288:AD290))</f>
        <v>183.83999999999997</v>
      </c>
      <c r="AE291" s="289">
        <f>IF(AE289&lt;&gt;"",AE289,IF(SUM(AE288:AE290)=0,"",AVERAGE(AE288:AE290)))</f>
        <v>178.12607999999997</v>
      </c>
      <c r="AF291" s="289">
        <f>IF(AF289&lt;&gt;"",AF289,AVERAGE(AF288:AF290))</f>
        <v>168.95999999999998</v>
      </c>
      <c r="AH291" s="258">
        <f t="shared" si="52"/>
        <v>34</v>
      </c>
      <c r="AI291" s="258">
        <f t="shared" si="53"/>
        <v>175</v>
      </c>
      <c r="AJ291" s="259" t="str">
        <f t="shared" si="54"/>
        <v>3/2</v>
      </c>
      <c r="AK291" s="260">
        <f t="shared" si="55"/>
        <v>266.33999999999997</v>
      </c>
      <c r="AL291" s="226"/>
      <c r="AM291" s="258">
        <v>34</v>
      </c>
      <c r="AN291" s="258">
        <v>175</v>
      </c>
      <c r="AO291" s="262" t="s">
        <v>255</v>
      </c>
      <c r="AP291" s="260">
        <v>443.9</v>
      </c>
    </row>
    <row r="292" spans="9:42" ht="20.100000000000001" customHeight="1" x14ac:dyDescent="0.25">
      <c r="I292" s="246"/>
      <c r="K292" s="247"/>
      <c r="L292" s="247"/>
      <c r="M292" s="247"/>
      <c r="N292" s="248"/>
      <c r="O292" s="249"/>
      <c r="P292" s="247"/>
      <c r="R292" s="250"/>
      <c r="U292" s="247"/>
      <c r="V292" s="247"/>
      <c r="W292" s="247"/>
      <c r="X292" s="247"/>
      <c r="Y292" s="247"/>
      <c r="Z292" s="247"/>
      <c r="AA292" s="250"/>
      <c r="AH292" s="258">
        <f t="shared" si="52"/>
        <v>35</v>
      </c>
      <c r="AI292" s="258">
        <f t="shared" si="53"/>
        <v>175</v>
      </c>
      <c r="AJ292" s="259" t="str">
        <f t="shared" si="54"/>
        <v>3/2</v>
      </c>
      <c r="AK292" s="260">
        <f t="shared" si="55"/>
        <v>274.2</v>
      </c>
      <c r="AL292" s="226"/>
      <c r="AM292" s="258">
        <v>35</v>
      </c>
      <c r="AN292" s="258">
        <v>175</v>
      </c>
      <c r="AO292" s="262" t="s">
        <v>255</v>
      </c>
      <c r="AP292" s="260">
        <v>457</v>
      </c>
    </row>
    <row r="293" spans="9:42" ht="20.100000000000001" customHeight="1" x14ac:dyDescent="0.25">
      <c r="I293" s="246"/>
      <c r="K293" s="247"/>
      <c r="L293" s="247"/>
      <c r="M293" s="247"/>
      <c r="N293" s="248"/>
      <c r="O293" s="249"/>
      <c r="P293" s="247"/>
      <c r="R293" s="250"/>
      <c r="U293" s="247"/>
      <c r="V293" s="247"/>
      <c r="W293" s="247"/>
      <c r="X293" s="247"/>
      <c r="Y293" s="247"/>
      <c r="Z293" s="247"/>
      <c r="AA293" s="250"/>
      <c r="AB293" s="257">
        <v>30</v>
      </c>
      <c r="AC293" s="226"/>
      <c r="AD293" s="226"/>
      <c r="AH293" s="258">
        <f t="shared" si="28"/>
        <v>36</v>
      </c>
      <c r="AI293" s="258">
        <f t="shared" si="28"/>
        <v>175</v>
      </c>
      <c r="AJ293" s="259" t="str">
        <f t="shared" si="28"/>
        <v>3/2</v>
      </c>
      <c r="AK293" s="260">
        <f t="shared" ref="AK293:AK317" si="56">(1-$AL$2)*AP293</f>
        <v>282</v>
      </c>
      <c r="AL293" s="226"/>
      <c r="AM293" s="258">
        <v>36</v>
      </c>
      <c r="AN293" s="258">
        <v>175</v>
      </c>
      <c r="AO293" s="262" t="s">
        <v>255</v>
      </c>
      <c r="AP293" s="260">
        <v>470</v>
      </c>
    </row>
    <row r="294" spans="9:42" ht="20.100000000000001" customHeight="1" x14ac:dyDescent="0.25">
      <c r="I294" s="246"/>
      <c r="K294" s="247"/>
      <c r="L294" s="247"/>
      <c r="M294" s="247"/>
      <c r="N294" s="248"/>
      <c r="O294" s="249"/>
      <c r="P294" s="247"/>
      <c r="R294" s="250"/>
      <c r="U294" s="247"/>
      <c r="V294" s="247"/>
      <c r="W294" s="247"/>
      <c r="X294" s="247"/>
      <c r="Y294" s="247"/>
      <c r="Z294" s="247"/>
      <c r="AA294" s="250"/>
      <c r="AB294" s="241" t="s">
        <v>245</v>
      </c>
      <c r="AC294" s="241" t="s">
        <v>246</v>
      </c>
      <c r="AD294" s="241" t="s">
        <v>236</v>
      </c>
      <c r="AH294" s="258">
        <f>AM294</f>
        <v>37</v>
      </c>
      <c r="AI294" s="258">
        <f>AN294</f>
        <v>175</v>
      </c>
      <c r="AJ294" s="259" t="str">
        <f>AO294</f>
        <v>3/2</v>
      </c>
      <c r="AK294" s="260">
        <f t="shared" si="56"/>
        <v>289.8</v>
      </c>
      <c r="AL294" s="226"/>
      <c r="AM294" s="258">
        <v>37</v>
      </c>
      <c r="AN294" s="258">
        <v>175</v>
      </c>
      <c r="AO294" s="262" t="s">
        <v>255</v>
      </c>
      <c r="AP294" s="260">
        <v>483</v>
      </c>
    </row>
    <row r="295" spans="9:42" ht="20.100000000000001" customHeight="1" x14ac:dyDescent="0.25">
      <c r="I295" s="246"/>
      <c r="K295" s="247"/>
      <c r="L295" s="247"/>
      <c r="M295" s="247"/>
      <c r="N295" s="248"/>
      <c r="O295" s="249"/>
      <c r="P295" s="247"/>
      <c r="R295" s="250"/>
      <c r="U295" s="247"/>
      <c r="V295" s="247"/>
      <c r="W295" s="247"/>
      <c r="X295" s="247"/>
      <c r="Y295" s="247"/>
      <c r="Z295" s="247"/>
      <c r="AA295" s="250"/>
      <c r="AB295" s="288">
        <f>IF(I33="","",I33)</f>
        <v>7.2</v>
      </c>
      <c r="AC295" s="283">
        <f>IF(J33="","",J33)</f>
        <v>63</v>
      </c>
      <c r="AD295" s="278">
        <f>IF(OR(AB295="",AC295=""),"",IF(AE299&lt;&gt;"",AE301,AVERAGEIF(AD301:AF301,"&lt;&gt;0",AD301:AF301)))</f>
        <v>186.6096</v>
      </c>
      <c r="AH295" s="258">
        <f t="shared" ref="AH295:AH317" si="57">AM295</f>
        <v>38</v>
      </c>
      <c r="AI295" s="258">
        <f t="shared" si="28"/>
        <v>175</v>
      </c>
      <c r="AJ295" s="259" t="str">
        <f t="shared" si="28"/>
        <v>2/0</v>
      </c>
      <c r="AK295" s="260">
        <f t="shared" si="56"/>
        <v>222.6</v>
      </c>
      <c r="AL295" s="226"/>
      <c r="AM295" s="258">
        <v>38</v>
      </c>
      <c r="AN295" s="258">
        <v>175</v>
      </c>
      <c r="AO295" s="262" t="s">
        <v>253</v>
      </c>
      <c r="AP295" s="260">
        <v>371</v>
      </c>
    </row>
    <row r="296" spans="9:42" ht="20.100000000000001" customHeight="1" x14ac:dyDescent="0.25">
      <c r="I296" s="246"/>
      <c r="K296" s="247"/>
      <c r="L296" s="247"/>
      <c r="M296" s="247"/>
      <c r="N296" s="248"/>
      <c r="O296" s="249"/>
      <c r="P296" s="247"/>
      <c r="R296" s="250"/>
      <c r="U296" s="247"/>
      <c r="V296" s="247"/>
      <c r="W296" s="247"/>
      <c r="X296" s="247"/>
      <c r="Y296" s="247"/>
      <c r="Z296" s="247"/>
      <c r="AA296" s="250"/>
      <c r="AC296" s="250" t="s">
        <v>182</v>
      </c>
      <c r="AE296" s="279" t="s">
        <v>247</v>
      </c>
      <c r="AH296" s="258">
        <f t="shared" si="57"/>
        <v>39</v>
      </c>
      <c r="AI296" s="258">
        <f t="shared" si="28"/>
        <v>175</v>
      </c>
      <c r="AJ296" s="259" t="str">
        <f t="shared" si="28"/>
        <v>2/0</v>
      </c>
      <c r="AK296" s="260">
        <f t="shared" si="56"/>
        <v>227.64</v>
      </c>
      <c r="AL296" s="226"/>
      <c r="AM296" s="258">
        <v>39</v>
      </c>
      <c r="AN296" s="258">
        <v>175</v>
      </c>
      <c r="AO296" s="262" t="s">
        <v>253</v>
      </c>
      <c r="AP296" s="260">
        <v>379.4</v>
      </c>
    </row>
    <row r="297" spans="9:42" ht="20.100000000000001" customHeight="1" x14ac:dyDescent="0.25">
      <c r="I297" s="246"/>
      <c r="K297" s="247"/>
      <c r="L297" s="247"/>
      <c r="M297" s="247"/>
      <c r="N297" s="248"/>
      <c r="O297" s="249"/>
      <c r="P297" s="247"/>
      <c r="R297" s="250"/>
      <c r="U297" s="247"/>
      <c r="V297" s="247"/>
      <c r="W297" s="247"/>
      <c r="X297" s="247"/>
      <c r="Y297" s="247"/>
      <c r="Z297" s="247"/>
      <c r="AA297" s="250"/>
      <c r="AC297" s="281"/>
      <c r="AD297" s="282">
        <f>IF(AE297&gt;=400,400,IF(AE297&gt;=350,350,IF(AE297&gt;=325,325,IF(AE297&gt;=300,300,IF(AE297&gt;=275,275,IF(AE297&gt;=250,250,IF(AE297&gt;=225,225,IF(AE297&gt;=200,200,IF(AE297&gt;=175,175,IF(AE297&gt;=150,150,IF(AE297&gt;=125,125,IF(AE297&gt;=100,100,IF(AE297&gt;=75,75,50)))))))))))))</f>
        <v>50</v>
      </c>
      <c r="AE297" s="283">
        <f>AC295</f>
        <v>63</v>
      </c>
      <c r="AF297" s="282">
        <f>IF(AE297&lt;=50,50,IF(AE297&lt;=75,75,IF(AE297&lt;=100,100,IF(AE297&lt;=125,125,IF(AE297&lt;=150,150,IF(AE297&lt;=175,175,IF(AE297&lt;=200,200,IF(AE297&lt;=225,225,IF(AE297&lt;=250,250,IF(AE297&lt;=275,275,IF(AE297&lt;=300,300,IF(AE297&lt;=325,325,IF(AE297&lt;=350,350,400)))))))))))))</f>
        <v>75</v>
      </c>
      <c r="AH297" s="258">
        <f t="shared" si="57"/>
        <v>40</v>
      </c>
      <c r="AI297" s="258">
        <f t="shared" si="28"/>
        <v>175</v>
      </c>
      <c r="AJ297" s="259" t="str">
        <f t="shared" si="28"/>
        <v>2/0</v>
      </c>
      <c r="AK297" s="260">
        <f t="shared" si="56"/>
        <v>232.68</v>
      </c>
      <c r="AL297" s="226"/>
      <c r="AM297" s="258">
        <v>40</v>
      </c>
      <c r="AN297" s="258">
        <v>175</v>
      </c>
      <c r="AO297" s="262" t="s">
        <v>253</v>
      </c>
      <c r="AP297" s="260">
        <v>387.8</v>
      </c>
    </row>
    <row r="298" spans="9:42" ht="20.100000000000001" customHeight="1" x14ac:dyDescent="0.25">
      <c r="I298" s="246"/>
      <c r="K298" s="247"/>
      <c r="L298" s="247"/>
      <c r="M298" s="247"/>
      <c r="N298" s="248"/>
      <c r="O298" s="249"/>
      <c r="P298" s="247"/>
      <c r="R298" s="250"/>
      <c r="U298" s="247"/>
      <c r="V298" s="247"/>
      <c r="W298" s="247"/>
      <c r="X298" s="247"/>
      <c r="Y298" s="247"/>
      <c r="Z298" s="247"/>
      <c r="AA298" s="250"/>
      <c r="AC298" s="282">
        <f>IF(AC299&gt;=0,ROUNDDOWN(AC299,0),ROUNDUP(AC299,0))</f>
        <v>7</v>
      </c>
      <c r="AD298" s="284">
        <f>IF(AD297=400,VLOOKUP(AC298,$AH$700:$AK$748,4),IF(AD297=350,VLOOKUP(AC298,$AH$650:$AK$698,4),IF(AD297=325,VLOOKUP(AC298,$AH$598:$AK$648,4),IF(AD297=300,VLOOKUP(AC298,$AH$544:$AK$596,4),IF(AD297=275,VLOOKUP(AC298,$AH$488:$AK$542,4),IF(AD297=250,VLOOKUP(AC298,$AH$431:$AK$486,4),IF(AD297=225,VLOOKUP(AC298,$AH$379:$AK$429,4),IF(AD297=200,VLOOKUP(AC298,$AH$319:$AK$377,4),IF(AD297=175,VLOOKUP(AC298,$AH$256:$AK$317,4),IF(AD297=150,VLOOKUP(AC298,$AH$192:$AK$254,4),IF(AD297=125,VLOOKUP(AC298,$AH$126:$AK$190,4),IF(AD297=100,VLOOKUP(AC298,$AH$81:$AK$124,4),IF(AD297=75,VLOOKUP(AC298,$AH$39:$AK$79,4),IF(AD297=50,VLOOKUP(AC298,$AH$3:$AK$37,4)))))))))))))))</f>
        <v>192</v>
      </c>
      <c r="AE298" s="285">
        <f>IFERROR((AE297-AD297)/(AF297-AD297)*(AF298-AD298)+AD298,"")</f>
        <v>184.512</v>
      </c>
      <c r="AF298" s="284">
        <f>IF(AF297=400,VLOOKUP(AC298,$AH$700:$AK$748,4),IF(AF297=350,VLOOKUP(AC298,$AH$650:$AK$698,4),IF(AF297=325,VLOOKUP(AC298,$AH$598:$AK$648,4),IF(AF297=300,VLOOKUP(AC298,$AH$544:$AK$596,4),IF(AF297=275,VLOOKUP(AC298,$AH$488:$AK$542,4),IF(AF297=250,VLOOKUP(AC298,$AH$431:$AK$486,4),IF(AF297=225,VLOOKUP(AC298,$AH$379:$AK$429,4),IF(AF297=200,VLOOKUP(AC298,$AH$319:$AK$377,4),IF(AF297=175,VLOOKUP(AC298,$AH$256:$AK$317,4),IF(AF297=150,VLOOKUP(AC298,$AH$192:$AK$254,4),IF(AF297=125,VLOOKUP(AC298,$AH$126:$AK$190,4),IF(AF297=100,VLOOKUP(AC298,$AH$81:$AK$124,4),IF(AF297=75,VLOOKUP(AC298,$AH$39:$AK$79,4),IF(AF297=50,VLOOKUP(AC298,$AH$3:$AK$37,4)))))))))))))))</f>
        <v>177.6</v>
      </c>
      <c r="AH298" s="258">
        <f t="shared" si="57"/>
        <v>41</v>
      </c>
      <c r="AI298" s="258">
        <f t="shared" si="28"/>
        <v>175</v>
      </c>
      <c r="AJ298" s="259" t="str">
        <f t="shared" si="28"/>
        <v>2/0</v>
      </c>
      <c r="AK298" s="260">
        <f t="shared" si="56"/>
        <v>237.71999999999997</v>
      </c>
      <c r="AL298" s="226"/>
      <c r="AM298" s="258">
        <v>41</v>
      </c>
      <c r="AN298" s="258">
        <v>175</v>
      </c>
      <c r="AO298" s="262" t="s">
        <v>253</v>
      </c>
      <c r="AP298" s="260">
        <v>396.2</v>
      </c>
    </row>
    <row r="299" spans="9:42" ht="20.100000000000001" customHeight="1" x14ac:dyDescent="0.25">
      <c r="I299" s="246"/>
      <c r="K299" s="247"/>
      <c r="L299" s="247"/>
      <c r="M299" s="247"/>
      <c r="N299" s="248"/>
      <c r="O299" s="249"/>
      <c r="P299" s="247"/>
      <c r="R299" s="250"/>
      <c r="U299" s="247"/>
      <c r="V299" s="247"/>
      <c r="W299" s="247"/>
      <c r="X299" s="247"/>
      <c r="Y299" s="247"/>
      <c r="Z299" s="247"/>
      <c r="AA299" s="250"/>
      <c r="AB299" s="287" t="s">
        <v>248</v>
      </c>
      <c r="AC299" s="288">
        <f>AB295</f>
        <v>7.2</v>
      </c>
      <c r="AD299" s="285">
        <f>IFERROR((AC299-AC298)/(AC300-AC298)*(AD300-AD298)+AD298,"")</f>
        <v>194.16</v>
      </c>
      <c r="AE299" s="278">
        <f>IFERROR((AE297-AF297)/(AD297-AF297)*(AD299-AF299)+AF299,"")</f>
        <v>186.6096</v>
      </c>
      <c r="AF299" s="285">
        <f>IFERROR((AC299-AC298)/(AC300-AC298)*(AF300-AF298)+AF298,"")</f>
        <v>179.64</v>
      </c>
      <c r="AH299" s="258">
        <f t="shared" si="57"/>
        <v>42</v>
      </c>
      <c r="AI299" s="258">
        <f t="shared" si="28"/>
        <v>175</v>
      </c>
      <c r="AJ299" s="259" t="str">
        <f t="shared" si="28"/>
        <v>2/0</v>
      </c>
      <c r="AK299" s="260">
        <f t="shared" si="56"/>
        <v>242.76</v>
      </c>
      <c r="AL299" s="226"/>
      <c r="AM299" s="258">
        <v>42</v>
      </c>
      <c r="AN299" s="258">
        <v>175</v>
      </c>
      <c r="AO299" s="262" t="s">
        <v>253</v>
      </c>
      <c r="AP299" s="260">
        <v>404.6</v>
      </c>
    </row>
    <row r="300" spans="9:42" ht="20.100000000000001" customHeight="1" x14ac:dyDescent="0.25">
      <c r="I300" s="246"/>
      <c r="K300" s="247"/>
      <c r="L300" s="247"/>
      <c r="M300" s="247"/>
      <c r="N300" s="248"/>
      <c r="O300" s="249"/>
      <c r="P300" s="247"/>
      <c r="R300" s="250"/>
      <c r="U300" s="247"/>
      <c r="V300" s="247"/>
      <c r="W300" s="247"/>
      <c r="X300" s="247"/>
      <c r="Y300" s="247"/>
      <c r="Z300" s="247"/>
      <c r="AA300" s="250"/>
      <c r="AC300" s="282">
        <f>IF(AC299&gt;=0,ROUNDUP(AC299,0),ROUNDDOWN(AC299,0))</f>
        <v>8</v>
      </c>
      <c r="AD300" s="284">
        <f>IF(AD297=400,VLOOKUP(AC300,$AH$700:$AK$748,4),IF(AD297=350,VLOOKUP(AC300,$AH$650:$AK$698,4),IF(AD297=325,VLOOKUP(AC300,$AH$598:$AK$648,4),IF(AD297=300,VLOOKUP(AC300,$AH$544:$AK$596,4),IF(AD297=275,VLOOKUP(AC300,$AH$488:$AK$542,4),IF(AD297=250,VLOOKUP(AC300,$AH$431:$AK$486,4),IF(AD297=225,VLOOKUP(AC300,$AH$379:$AK$429,4),IF(AD297=200,VLOOKUP(AC300,$AH$319:$AK$377,4),IF(AD297=175,VLOOKUP(AC300,$AH$256:$AK$317,4),IF(AD297=150,VLOOKUP(AC300,$AH$192:$AK$254,4),IF(AD297=125,VLOOKUP(AC300,$AH$126:$AK$190,4),IF(AD297=100,VLOOKUP(AC300,$AH$81:$AK$124,4),IF(AD297=75,VLOOKUP(AC300,$AH$39:$AK$79,4),IF(AD297=50,VLOOKUP(AC300,$AH$3:$AK$37,4)))))))))))))))</f>
        <v>202.79999999999998</v>
      </c>
      <c r="AE300" s="285">
        <f>IFERROR((AE297-AD297)/(AF297-AD297)*(AF300-AD300)+AD300,"")</f>
        <v>194.99999999999997</v>
      </c>
      <c r="AF300" s="284">
        <f>IF(AF297=400,VLOOKUP(AC300,$AH$700:$AK$748,4),IF(AF297=350,VLOOKUP(AC300,$AH$650:$AK$698,4),IF(AF297=325,VLOOKUP(AC300,$AH$598:$AK$648,4),IF(AF297=300,VLOOKUP(AC300,$AH$544:$AK$596,4),IF(AF297=275,VLOOKUP(AC300,$AH$488:$AK$542,4),IF(AF297=250,VLOOKUP(AC300,$AH$431:$AK$486,4),IF(AF297=225,VLOOKUP(AC300,$AH$379:$AK$429,4),IF(AF297=200,VLOOKUP(AC300,$AH$319:$AK$377,4),IF(AF297=175,VLOOKUP(AC300,$AH$256:$AK$317,4),IF(AF297=150,VLOOKUP(AC300,$AH$192:$AK$254,4),IF(AF297=125,VLOOKUP(AC300,$AH$126:$AK$190,4),IF(AF297=100,VLOOKUP(AC300,$AH$81:$AK$124,4),IF(AF297=75,VLOOKUP(AC300,$AH$39:$AK$79,4),IF(AF297=50,VLOOKUP(AC300,$AH$3:$AK$37,4)))))))))))))))</f>
        <v>187.79999999999998</v>
      </c>
      <c r="AH300" s="258">
        <f t="shared" si="57"/>
        <v>43</v>
      </c>
      <c r="AI300" s="258">
        <f t="shared" si="28"/>
        <v>175</v>
      </c>
      <c r="AJ300" s="259" t="str">
        <f t="shared" si="28"/>
        <v>2/0</v>
      </c>
      <c r="AK300" s="260">
        <f t="shared" si="56"/>
        <v>247.79999999999998</v>
      </c>
      <c r="AL300" s="226"/>
      <c r="AM300" s="258">
        <v>43</v>
      </c>
      <c r="AN300" s="258">
        <v>175</v>
      </c>
      <c r="AO300" s="262" t="s">
        <v>253</v>
      </c>
      <c r="AP300" s="260">
        <v>413</v>
      </c>
    </row>
    <row r="301" spans="9:42" ht="20.100000000000001" customHeight="1" x14ac:dyDescent="0.25">
      <c r="I301" s="246"/>
      <c r="K301" s="247"/>
      <c r="L301" s="247"/>
      <c r="M301" s="247"/>
      <c r="N301" s="248"/>
      <c r="O301" s="249"/>
      <c r="P301" s="247"/>
      <c r="R301" s="250"/>
      <c r="U301" s="247"/>
      <c r="V301" s="247"/>
      <c r="W301" s="247"/>
      <c r="X301" s="247"/>
      <c r="Y301" s="247"/>
      <c r="Z301" s="247"/>
      <c r="AA301" s="250"/>
      <c r="AD301" s="289">
        <f>IF(AD299&lt;&gt;"",AD299,AVERAGE(AD298:AD300))</f>
        <v>194.16</v>
      </c>
      <c r="AE301" s="289">
        <f>IF(AE299&lt;&gt;"",AE299,IF(SUM(AE298:AE300)=0,"",AVERAGE(AE298:AE300)))</f>
        <v>186.6096</v>
      </c>
      <c r="AF301" s="289">
        <f>IF(AF299&lt;&gt;"",AF299,AVERAGE(AF298:AF300))</f>
        <v>179.64</v>
      </c>
      <c r="AH301" s="258">
        <f t="shared" si="57"/>
        <v>44</v>
      </c>
      <c r="AI301" s="258">
        <f t="shared" si="28"/>
        <v>175</v>
      </c>
      <c r="AJ301" s="259" t="str">
        <f t="shared" si="28"/>
        <v>2/0</v>
      </c>
      <c r="AK301" s="260">
        <f t="shared" si="56"/>
        <v>252.83999999999997</v>
      </c>
      <c r="AL301" s="226"/>
      <c r="AM301" s="258">
        <v>44</v>
      </c>
      <c r="AN301" s="258">
        <v>175</v>
      </c>
      <c r="AO301" s="262" t="s">
        <v>253</v>
      </c>
      <c r="AP301" s="260">
        <v>421.4</v>
      </c>
    </row>
    <row r="302" spans="9:42" ht="20.100000000000001" customHeight="1" x14ac:dyDescent="0.25">
      <c r="I302" s="246"/>
      <c r="K302" s="247"/>
      <c r="L302" s="247"/>
      <c r="M302" s="247"/>
      <c r="N302" s="248"/>
      <c r="O302" s="249"/>
      <c r="P302" s="247"/>
      <c r="R302" s="250"/>
      <c r="U302" s="247"/>
      <c r="V302" s="247"/>
      <c r="W302" s="247"/>
      <c r="X302" s="247"/>
      <c r="Y302" s="247"/>
      <c r="Z302" s="247"/>
      <c r="AA302" s="250"/>
      <c r="AH302" s="258">
        <f t="shared" si="57"/>
        <v>45</v>
      </c>
      <c r="AI302" s="258">
        <f t="shared" si="28"/>
        <v>175</v>
      </c>
      <c r="AJ302" s="259" t="str">
        <f t="shared" si="28"/>
        <v>2/0</v>
      </c>
      <c r="AK302" s="260">
        <f t="shared" si="56"/>
        <v>257.88</v>
      </c>
      <c r="AL302" s="226"/>
      <c r="AM302" s="258">
        <v>45</v>
      </c>
      <c r="AN302" s="258">
        <v>175</v>
      </c>
      <c r="AO302" s="262" t="s">
        <v>253</v>
      </c>
      <c r="AP302" s="260">
        <v>429.8</v>
      </c>
    </row>
    <row r="303" spans="9:42" ht="20.100000000000001" customHeight="1" x14ac:dyDescent="0.25">
      <c r="I303" s="246"/>
      <c r="K303" s="247"/>
      <c r="L303" s="247"/>
      <c r="M303" s="247"/>
      <c r="N303" s="248"/>
      <c r="O303" s="249"/>
      <c r="P303" s="247"/>
      <c r="R303" s="250"/>
      <c r="U303" s="247"/>
      <c r="V303" s="247"/>
      <c r="W303" s="247"/>
      <c r="X303" s="247"/>
      <c r="Y303" s="247"/>
      <c r="Z303" s="247"/>
      <c r="AA303" s="250"/>
      <c r="AB303" s="257">
        <v>31</v>
      </c>
      <c r="AC303" s="226"/>
      <c r="AD303" s="226"/>
      <c r="AH303" s="258">
        <f t="shared" si="57"/>
        <v>46</v>
      </c>
      <c r="AI303" s="258">
        <f t="shared" si="28"/>
        <v>175</v>
      </c>
      <c r="AJ303" s="259" t="str">
        <f t="shared" si="28"/>
        <v>2/0</v>
      </c>
      <c r="AK303" s="260">
        <f t="shared" si="56"/>
        <v>262.91999999999996</v>
      </c>
      <c r="AL303" s="226"/>
      <c r="AM303" s="258">
        <v>46</v>
      </c>
      <c r="AN303" s="258">
        <v>175</v>
      </c>
      <c r="AO303" s="262" t="s">
        <v>253</v>
      </c>
      <c r="AP303" s="260">
        <v>438.2</v>
      </c>
    </row>
    <row r="304" spans="9:42" ht="20.100000000000001" customHeight="1" x14ac:dyDescent="0.25">
      <c r="I304" s="246"/>
      <c r="K304" s="247"/>
      <c r="L304" s="247"/>
      <c r="M304" s="247"/>
      <c r="N304" s="248"/>
      <c r="O304" s="249"/>
      <c r="P304" s="247"/>
      <c r="R304" s="250"/>
      <c r="U304" s="247"/>
      <c r="V304" s="247"/>
      <c r="W304" s="247"/>
      <c r="X304" s="247"/>
      <c r="Y304" s="247"/>
      <c r="Z304" s="247"/>
      <c r="AA304" s="250"/>
      <c r="AB304" s="241" t="s">
        <v>245</v>
      </c>
      <c r="AC304" s="241" t="s">
        <v>246</v>
      </c>
      <c r="AD304" s="241" t="s">
        <v>236</v>
      </c>
      <c r="AH304" s="258">
        <f t="shared" si="57"/>
        <v>47</v>
      </c>
      <c r="AI304" s="258">
        <f t="shared" si="28"/>
        <v>175</v>
      </c>
      <c r="AJ304" s="259" t="str">
        <f t="shared" si="28"/>
        <v>2/0</v>
      </c>
      <c r="AK304" s="260">
        <f t="shared" si="56"/>
        <v>267.95999999999998</v>
      </c>
      <c r="AL304" s="226"/>
      <c r="AM304" s="258">
        <v>47</v>
      </c>
      <c r="AN304" s="258">
        <v>175</v>
      </c>
      <c r="AO304" s="262" t="s">
        <v>253</v>
      </c>
      <c r="AP304" s="260">
        <v>446.6</v>
      </c>
    </row>
    <row r="305" spans="9:42" ht="20.100000000000001" customHeight="1" x14ac:dyDescent="0.25">
      <c r="I305" s="246"/>
      <c r="K305" s="247"/>
      <c r="L305" s="247"/>
      <c r="M305" s="247"/>
      <c r="N305" s="248"/>
      <c r="O305" s="249"/>
      <c r="P305" s="247"/>
      <c r="R305" s="250"/>
      <c r="U305" s="247"/>
      <c r="V305" s="247"/>
      <c r="W305" s="247"/>
      <c r="X305" s="247"/>
      <c r="Y305" s="247"/>
      <c r="Z305" s="247"/>
      <c r="AA305" s="250"/>
      <c r="AB305" s="288" t="e">
        <f>IF(#REF!="","",#REF!)</f>
        <v>#REF!</v>
      </c>
      <c r="AC305" s="283" t="e">
        <f>IF(#REF!="","",#REF!)</f>
        <v>#REF!</v>
      </c>
      <c r="AD305" s="278" t="e">
        <f>IF(OR(AB305="",AC305=""),"",IF(AE309&lt;&gt;"",AE311,AVERAGEIF(AD311:AF311,"&lt;&gt;0",AD311:AF311)))</f>
        <v>#REF!</v>
      </c>
      <c r="AH305" s="258">
        <f t="shared" si="57"/>
        <v>48</v>
      </c>
      <c r="AI305" s="258">
        <f t="shared" si="28"/>
        <v>175</v>
      </c>
      <c r="AJ305" s="259" t="str">
        <f t="shared" si="28"/>
        <v>2/0</v>
      </c>
      <c r="AK305" s="260">
        <f t="shared" si="56"/>
        <v>273</v>
      </c>
      <c r="AL305" s="226"/>
      <c r="AM305" s="258">
        <v>48</v>
      </c>
      <c r="AN305" s="258">
        <v>175</v>
      </c>
      <c r="AO305" s="262" t="s">
        <v>253</v>
      </c>
      <c r="AP305" s="260">
        <v>455</v>
      </c>
    </row>
    <row r="306" spans="9:42" ht="20.100000000000001" customHeight="1" x14ac:dyDescent="0.25">
      <c r="I306" s="246"/>
      <c r="K306" s="247"/>
      <c r="L306" s="247"/>
      <c r="M306" s="247"/>
      <c r="N306" s="248"/>
      <c r="O306" s="249"/>
      <c r="P306" s="247"/>
      <c r="R306" s="250"/>
      <c r="U306" s="247"/>
      <c r="V306" s="247"/>
      <c r="W306" s="247"/>
      <c r="X306" s="247"/>
      <c r="Y306" s="247"/>
      <c r="Z306" s="247"/>
      <c r="AA306" s="250"/>
      <c r="AC306" s="250" t="s">
        <v>182</v>
      </c>
      <c r="AE306" s="279" t="s">
        <v>247</v>
      </c>
      <c r="AH306" s="258">
        <f t="shared" si="57"/>
        <v>49</v>
      </c>
      <c r="AI306" s="258">
        <f t="shared" si="28"/>
        <v>175</v>
      </c>
      <c r="AJ306" s="259" t="str">
        <f t="shared" si="28"/>
        <v>2/0</v>
      </c>
      <c r="AK306" s="260">
        <f t="shared" si="56"/>
        <v>278.03999999999996</v>
      </c>
      <c r="AL306" s="226"/>
      <c r="AM306" s="258">
        <v>49</v>
      </c>
      <c r="AN306" s="258">
        <v>175</v>
      </c>
      <c r="AO306" s="262" t="s">
        <v>253</v>
      </c>
      <c r="AP306" s="260">
        <v>463.4</v>
      </c>
    </row>
    <row r="307" spans="9:42" ht="20.100000000000001" customHeight="1" x14ac:dyDescent="0.25">
      <c r="I307" s="246"/>
      <c r="K307" s="247"/>
      <c r="L307" s="247"/>
      <c r="M307" s="247"/>
      <c r="N307" s="248"/>
      <c r="O307" s="249"/>
      <c r="P307" s="247"/>
      <c r="R307" s="250"/>
      <c r="U307" s="247"/>
      <c r="V307" s="247"/>
      <c r="W307" s="247"/>
      <c r="X307" s="247"/>
      <c r="Y307" s="247"/>
      <c r="Z307" s="247"/>
      <c r="AA307" s="250"/>
      <c r="AC307" s="281"/>
      <c r="AD307" s="282" t="e">
        <f>IF(AE307&gt;=400,400,IF(AE307&gt;=350,350,IF(AE307&gt;=325,325,IF(AE307&gt;=300,300,IF(AE307&gt;=275,275,IF(AE307&gt;=250,250,IF(AE307&gt;=225,225,IF(AE307&gt;=200,200,IF(AE307&gt;=175,175,IF(AE307&gt;=150,150,IF(AE307&gt;=125,125,IF(AE307&gt;=100,100,IF(AE307&gt;=75,75,50)))))))))))))</f>
        <v>#REF!</v>
      </c>
      <c r="AE307" s="283" t="e">
        <f>AC305</f>
        <v>#REF!</v>
      </c>
      <c r="AF307" s="282" t="e">
        <f>IF(AE307&lt;=50,50,IF(AE307&lt;=75,75,IF(AE307&lt;=100,100,IF(AE307&lt;=125,125,IF(AE307&lt;=150,150,IF(AE307&lt;=175,175,IF(AE307&lt;=200,200,IF(AE307&lt;=225,225,IF(AE307&lt;=250,250,IF(AE307&lt;=275,275,IF(AE307&lt;=300,300,IF(AE307&lt;=325,325,IF(AE307&lt;=350,350,400)))))))))))))</f>
        <v>#REF!</v>
      </c>
      <c r="AH307" s="258">
        <f t="shared" si="57"/>
        <v>50</v>
      </c>
      <c r="AI307" s="258">
        <f t="shared" si="28"/>
        <v>175</v>
      </c>
      <c r="AJ307" s="259" t="str">
        <f t="shared" si="28"/>
        <v>2/0</v>
      </c>
      <c r="AK307" s="260">
        <f t="shared" si="56"/>
        <v>283.2</v>
      </c>
      <c r="AL307" s="226"/>
      <c r="AM307" s="258">
        <v>50</v>
      </c>
      <c r="AN307" s="258">
        <v>175</v>
      </c>
      <c r="AO307" s="262" t="s">
        <v>253</v>
      </c>
      <c r="AP307" s="260">
        <v>472</v>
      </c>
    </row>
    <row r="308" spans="9:42" ht="20.100000000000001" customHeight="1" x14ac:dyDescent="0.25">
      <c r="I308" s="246"/>
      <c r="K308" s="247"/>
      <c r="L308" s="247"/>
      <c r="M308" s="247"/>
      <c r="N308" s="248"/>
      <c r="O308" s="249"/>
      <c r="P308" s="247"/>
      <c r="R308" s="250"/>
      <c r="U308" s="247"/>
      <c r="V308" s="247"/>
      <c r="W308" s="247"/>
      <c r="X308" s="247"/>
      <c r="Y308" s="247"/>
      <c r="Z308" s="247"/>
      <c r="AA308" s="250"/>
      <c r="AC308" s="282" t="e">
        <f>IF(AC309&gt;=0,ROUNDDOWN(AC309,0),ROUNDUP(AC309,0))</f>
        <v>#REF!</v>
      </c>
      <c r="AD308" s="284" t="e">
        <f>IF(AD307=400,VLOOKUP(AC308,$AH$700:$AK$748,4),IF(AD307=350,VLOOKUP(AC308,$AH$650:$AK$698,4),IF(AD307=325,VLOOKUP(AC308,$AH$598:$AK$648,4),IF(AD307=300,VLOOKUP(AC308,$AH$544:$AK$596,4),IF(AD307=275,VLOOKUP(AC308,$AH$488:$AK$542,4),IF(AD307=250,VLOOKUP(AC308,$AH$431:$AK$486,4),IF(AD307=225,VLOOKUP(AC308,$AH$379:$AK$429,4),IF(AD307=200,VLOOKUP(AC308,$AH$319:$AK$377,4),IF(AD307=175,VLOOKUP(AC308,$AH$256:$AK$317,4),IF(AD307=150,VLOOKUP(AC308,$AH$192:$AK$254,4),IF(AD307=125,VLOOKUP(AC308,$AH$126:$AK$190,4),IF(AD307=100,VLOOKUP(AC308,$AH$81:$AK$124,4),IF(AD307=75,VLOOKUP(AC308,$AH$39:$AK$79,4),IF(AD307=50,VLOOKUP(AC308,$AH$3:$AK$37,4)))))))))))))))</f>
        <v>#REF!</v>
      </c>
      <c r="AE308" s="285" t="str">
        <f>IFERROR((AE307-AD307)/(AF307-AD307)*(AF308-AD308)+AD308,"")</f>
        <v/>
      </c>
      <c r="AF308" s="284" t="e">
        <f>IF(AF307=400,VLOOKUP(AC308,$AH$700:$AK$748,4),IF(AF307=350,VLOOKUP(AC308,$AH$650:$AK$698,4),IF(AF307=325,VLOOKUP(AC308,$AH$598:$AK$648,4),IF(AF307=300,VLOOKUP(AC308,$AH$544:$AK$596,4),IF(AF307=275,VLOOKUP(AC308,$AH$488:$AK$542,4),IF(AF307=250,VLOOKUP(AC308,$AH$431:$AK$486,4),IF(AF307=225,VLOOKUP(AC308,$AH$379:$AK$429,4),IF(AF307=200,VLOOKUP(AC308,$AH$319:$AK$377,4),IF(AF307=175,VLOOKUP(AC308,$AH$256:$AK$317,4),IF(AF307=150,VLOOKUP(AC308,$AH$192:$AK$254,4),IF(AF307=125,VLOOKUP(AC308,$AH$126:$AK$190,4),IF(AF307=100,VLOOKUP(AC308,$AH$81:$AK$124,4),IF(AF307=75,VLOOKUP(AC308,$AH$39:$AK$79,4),IF(AF307=50,VLOOKUP(AC308,$AH$3:$AK$37,4)))))))))))))))</f>
        <v>#REF!</v>
      </c>
      <c r="AH308" s="258">
        <f t="shared" si="57"/>
        <v>51</v>
      </c>
      <c r="AI308" s="258">
        <f t="shared" si="28"/>
        <v>175</v>
      </c>
      <c r="AJ308" s="259" t="str">
        <f t="shared" si="28"/>
        <v>2/0</v>
      </c>
      <c r="AK308" s="260">
        <f t="shared" si="56"/>
        <v>289.2</v>
      </c>
      <c r="AL308" s="226"/>
      <c r="AM308" s="258">
        <v>51</v>
      </c>
      <c r="AN308" s="258">
        <v>175</v>
      </c>
      <c r="AO308" s="262" t="s">
        <v>253</v>
      </c>
      <c r="AP308" s="260">
        <v>482</v>
      </c>
    </row>
    <row r="309" spans="9:42" ht="20.100000000000001" customHeight="1" x14ac:dyDescent="0.25">
      <c r="I309" s="246"/>
      <c r="K309" s="247"/>
      <c r="L309" s="247"/>
      <c r="M309" s="247"/>
      <c r="N309" s="248"/>
      <c r="O309" s="249"/>
      <c r="P309" s="247"/>
      <c r="R309" s="250"/>
      <c r="U309" s="247"/>
      <c r="V309" s="247"/>
      <c r="W309" s="247"/>
      <c r="X309" s="247"/>
      <c r="Y309" s="247"/>
      <c r="Z309" s="247"/>
      <c r="AA309" s="250"/>
      <c r="AB309" s="287" t="s">
        <v>248</v>
      </c>
      <c r="AC309" s="288" t="e">
        <f>AB305</f>
        <v>#REF!</v>
      </c>
      <c r="AD309" s="285" t="str">
        <f>IFERROR((AC309-AC308)/(AC310-AC308)*(AD310-AD308)+AD308,"")</f>
        <v/>
      </c>
      <c r="AE309" s="278" t="str">
        <f>IFERROR((AE307-AF307)/(AD307-AF307)*(AD309-AF309)+AF309,"")</f>
        <v/>
      </c>
      <c r="AF309" s="285" t="str">
        <f>IFERROR((AC309-AC308)/(AC310-AC308)*(AF310-AF308)+AF308,"")</f>
        <v/>
      </c>
      <c r="AH309" s="258">
        <f t="shared" si="57"/>
        <v>52</v>
      </c>
      <c r="AI309" s="258">
        <f t="shared" si="28"/>
        <v>175</v>
      </c>
      <c r="AJ309" s="259" t="str">
        <f t="shared" si="28"/>
        <v>2/0</v>
      </c>
      <c r="AK309" s="260">
        <f t="shared" si="56"/>
        <v>294</v>
      </c>
      <c r="AL309" s="226"/>
      <c r="AM309" s="258">
        <v>52</v>
      </c>
      <c r="AN309" s="258">
        <v>175</v>
      </c>
      <c r="AO309" s="262" t="s">
        <v>253</v>
      </c>
      <c r="AP309" s="260">
        <v>490</v>
      </c>
    </row>
    <row r="310" spans="9:42" ht="20.100000000000001" customHeight="1" x14ac:dyDescent="0.25">
      <c r="I310" s="246"/>
      <c r="K310" s="247"/>
      <c r="L310" s="247"/>
      <c r="M310" s="247"/>
      <c r="N310" s="248"/>
      <c r="O310" s="249"/>
      <c r="P310" s="247"/>
      <c r="R310" s="250"/>
      <c r="U310" s="247"/>
      <c r="V310" s="247"/>
      <c r="W310" s="247"/>
      <c r="X310" s="247"/>
      <c r="Y310" s="247"/>
      <c r="Z310" s="247"/>
      <c r="AA310" s="250"/>
      <c r="AC310" s="282" t="e">
        <f>IF(AC309&gt;=0,ROUNDUP(AC309,0),ROUNDDOWN(AC309,0))</f>
        <v>#REF!</v>
      </c>
      <c r="AD310" s="284" t="e">
        <f>IF(AD307=400,VLOOKUP(AC310,$AH$700:$AK$748,4),IF(AD307=350,VLOOKUP(AC310,$AH$650:$AK$698,4),IF(AD307=325,VLOOKUP(AC310,$AH$598:$AK$648,4),IF(AD307=300,VLOOKUP(AC310,$AH$544:$AK$596,4),IF(AD307=275,VLOOKUP(AC310,$AH$488:$AK$542,4),IF(AD307=250,VLOOKUP(AC310,$AH$431:$AK$486,4),IF(AD307=225,VLOOKUP(AC310,$AH$379:$AK$429,4),IF(AD307=200,VLOOKUP(AC310,$AH$319:$AK$377,4),IF(AD307=175,VLOOKUP(AC310,$AH$256:$AK$317,4),IF(AD307=150,VLOOKUP(AC310,$AH$192:$AK$254,4),IF(AD307=125,VLOOKUP(AC310,$AH$126:$AK$190,4),IF(AD307=100,VLOOKUP(AC310,$AH$81:$AK$124,4),IF(AD307=75,VLOOKUP(AC310,$AH$39:$AK$79,4),IF(AD307=50,VLOOKUP(AC310,$AH$3:$AK$37,4)))))))))))))))</f>
        <v>#REF!</v>
      </c>
      <c r="AE310" s="285" t="str">
        <f>IFERROR((AE307-AD307)/(AF307-AD307)*(AF310-AD310)+AD310,"")</f>
        <v/>
      </c>
      <c r="AF310" s="284" t="e">
        <f>IF(AF307=400,VLOOKUP(AC310,$AH$700:$AK$748,4),IF(AF307=350,VLOOKUP(AC310,$AH$650:$AK$698,4),IF(AF307=325,VLOOKUP(AC310,$AH$598:$AK$648,4),IF(AF307=300,VLOOKUP(AC310,$AH$544:$AK$596,4),IF(AF307=275,VLOOKUP(AC310,$AH$488:$AK$542,4),IF(AF307=250,VLOOKUP(AC310,$AH$431:$AK$486,4),IF(AF307=225,VLOOKUP(AC310,$AH$379:$AK$429,4),IF(AF307=200,VLOOKUP(AC310,$AH$319:$AK$377,4),IF(AF307=175,VLOOKUP(AC310,$AH$256:$AK$317,4),IF(AF307=150,VLOOKUP(AC310,$AH$192:$AK$254,4),IF(AF307=125,VLOOKUP(AC310,$AH$126:$AK$190,4),IF(AF307=100,VLOOKUP(AC310,$AH$81:$AK$124,4),IF(AF307=75,VLOOKUP(AC310,$AH$39:$AK$79,4),IF(AF307=50,VLOOKUP(AC310,$AH$3:$AK$37,4)))))))))))))))</f>
        <v>#REF!</v>
      </c>
      <c r="AH310" s="258">
        <f t="shared" si="57"/>
        <v>53</v>
      </c>
      <c r="AI310" s="258">
        <f t="shared" si="28"/>
        <v>175</v>
      </c>
      <c r="AJ310" s="259" t="str">
        <f t="shared" si="28"/>
        <v>2/0</v>
      </c>
      <c r="AK310" s="260">
        <f t="shared" si="56"/>
        <v>299.39999999999998</v>
      </c>
      <c r="AL310" s="226"/>
      <c r="AM310" s="258">
        <v>53</v>
      </c>
      <c r="AN310" s="258">
        <v>175</v>
      </c>
      <c r="AO310" s="262" t="s">
        <v>253</v>
      </c>
      <c r="AP310" s="260">
        <v>499</v>
      </c>
    </row>
    <row r="311" spans="9:42" ht="20.100000000000001" customHeight="1" x14ac:dyDescent="0.25">
      <c r="I311" s="246"/>
      <c r="K311" s="247"/>
      <c r="L311" s="247"/>
      <c r="M311" s="247"/>
      <c r="N311" s="248"/>
      <c r="O311" s="249"/>
      <c r="P311" s="247"/>
      <c r="R311" s="250"/>
      <c r="U311" s="247"/>
      <c r="V311" s="247"/>
      <c r="W311" s="247"/>
      <c r="X311" s="247"/>
      <c r="Y311" s="247"/>
      <c r="Z311" s="247"/>
      <c r="AA311" s="250"/>
      <c r="AD311" s="289" t="e">
        <f>IF(AD309&lt;&gt;"",AD309,AVERAGE(AD308:AD310))</f>
        <v>#REF!</v>
      </c>
      <c r="AE311" s="289" t="str">
        <f>IF(AE309&lt;&gt;"",AE309,IF(SUM(AE308:AE310)=0,"",AVERAGE(AE308:AE310)))</f>
        <v/>
      </c>
      <c r="AF311" s="289" t="e">
        <f>IF(AF309&lt;&gt;"",AF309,AVERAGE(AF308:AF310))</f>
        <v>#REF!</v>
      </c>
      <c r="AH311" s="258">
        <f t="shared" si="57"/>
        <v>54</v>
      </c>
      <c r="AI311" s="258">
        <f t="shared" si="28"/>
        <v>175</v>
      </c>
      <c r="AJ311" s="259" t="str">
        <f t="shared" si="28"/>
        <v>2/0</v>
      </c>
      <c r="AK311" s="260">
        <f t="shared" si="56"/>
        <v>304.2</v>
      </c>
      <c r="AL311" s="226"/>
      <c r="AM311" s="258">
        <v>54</v>
      </c>
      <c r="AN311" s="258">
        <v>175</v>
      </c>
      <c r="AO311" s="262" t="s">
        <v>253</v>
      </c>
      <c r="AP311" s="260">
        <v>507</v>
      </c>
    </row>
    <row r="312" spans="9:42" ht="20.100000000000001" customHeight="1" x14ac:dyDescent="0.25">
      <c r="I312" s="246"/>
      <c r="K312" s="247"/>
      <c r="L312" s="247"/>
      <c r="M312" s="247"/>
      <c r="N312" s="248"/>
      <c r="O312" s="249"/>
      <c r="P312" s="247"/>
      <c r="R312" s="250"/>
      <c r="U312" s="247"/>
      <c r="V312" s="247"/>
      <c r="W312" s="247"/>
      <c r="X312" s="247"/>
      <c r="Y312" s="247"/>
      <c r="Z312" s="247"/>
      <c r="AA312" s="250"/>
      <c r="AH312" s="258">
        <f t="shared" si="57"/>
        <v>55</v>
      </c>
      <c r="AI312" s="258">
        <f t="shared" si="28"/>
        <v>175</v>
      </c>
      <c r="AJ312" s="259" t="str">
        <f t="shared" si="28"/>
        <v>2/0</v>
      </c>
      <c r="AK312" s="260">
        <f t="shared" si="56"/>
        <v>309</v>
      </c>
      <c r="AL312" s="226"/>
      <c r="AM312" s="258">
        <v>55</v>
      </c>
      <c r="AN312" s="258">
        <v>175</v>
      </c>
      <c r="AO312" s="262" t="s">
        <v>253</v>
      </c>
      <c r="AP312" s="260">
        <v>515</v>
      </c>
    </row>
    <row r="313" spans="9:42" ht="20.100000000000001" customHeight="1" x14ac:dyDescent="0.25">
      <c r="I313" s="246"/>
      <c r="K313" s="247"/>
      <c r="L313" s="247"/>
      <c r="M313" s="247"/>
      <c r="N313" s="248"/>
      <c r="O313" s="249"/>
      <c r="P313" s="247"/>
      <c r="R313" s="250"/>
      <c r="U313" s="247"/>
      <c r="V313" s="247"/>
      <c r="W313" s="247"/>
      <c r="X313" s="247"/>
      <c r="Y313" s="247"/>
      <c r="Z313" s="247"/>
      <c r="AA313" s="250"/>
      <c r="AH313" s="258">
        <f t="shared" si="57"/>
        <v>56</v>
      </c>
      <c r="AI313" s="258">
        <f t="shared" si="28"/>
        <v>175</v>
      </c>
      <c r="AJ313" s="259" t="str">
        <f t="shared" si="28"/>
        <v>2/0</v>
      </c>
      <c r="AK313" s="260">
        <f t="shared" si="56"/>
        <v>315</v>
      </c>
      <c r="AL313" s="226"/>
      <c r="AM313" s="258">
        <v>56</v>
      </c>
      <c r="AN313" s="258">
        <v>175</v>
      </c>
      <c r="AO313" s="262" t="s">
        <v>253</v>
      </c>
      <c r="AP313" s="260">
        <v>525</v>
      </c>
    </row>
    <row r="314" spans="9:42" ht="20.100000000000001" customHeight="1" x14ac:dyDescent="0.25">
      <c r="I314" s="246"/>
      <c r="K314" s="247"/>
      <c r="L314" s="247"/>
      <c r="M314" s="247"/>
      <c r="N314" s="248"/>
      <c r="O314" s="249"/>
      <c r="P314" s="247"/>
      <c r="R314" s="250"/>
      <c r="U314" s="247"/>
      <c r="V314" s="247"/>
      <c r="W314" s="247"/>
      <c r="X314" s="247"/>
      <c r="Y314" s="247"/>
      <c r="Z314" s="247"/>
      <c r="AA314" s="250"/>
      <c r="AH314" s="258">
        <f t="shared" si="57"/>
        <v>57</v>
      </c>
      <c r="AI314" s="258">
        <f t="shared" si="28"/>
        <v>175</v>
      </c>
      <c r="AJ314" s="259" t="str">
        <f t="shared" si="28"/>
        <v>2/0</v>
      </c>
      <c r="AK314" s="260">
        <f t="shared" si="56"/>
        <v>319.2</v>
      </c>
      <c r="AL314" s="226"/>
      <c r="AM314" s="258">
        <v>57</v>
      </c>
      <c r="AN314" s="258">
        <v>175</v>
      </c>
      <c r="AO314" s="262" t="s">
        <v>253</v>
      </c>
      <c r="AP314" s="260">
        <v>532</v>
      </c>
    </row>
    <row r="315" spans="9:42" ht="20.100000000000001" customHeight="1" x14ac:dyDescent="0.25">
      <c r="I315" s="246"/>
      <c r="K315" s="247"/>
      <c r="L315" s="247"/>
      <c r="M315" s="247"/>
      <c r="N315" s="248"/>
      <c r="O315" s="249"/>
      <c r="P315" s="247"/>
      <c r="R315" s="250"/>
      <c r="U315" s="247"/>
      <c r="V315" s="247"/>
      <c r="W315" s="247"/>
      <c r="X315" s="247"/>
      <c r="Y315" s="247"/>
      <c r="Z315" s="247"/>
      <c r="AA315" s="250"/>
      <c r="AH315" s="258">
        <f t="shared" si="57"/>
        <v>58</v>
      </c>
      <c r="AI315" s="258">
        <f t="shared" si="28"/>
        <v>175</v>
      </c>
      <c r="AJ315" s="259" t="str">
        <f t="shared" si="28"/>
        <v>2/0</v>
      </c>
      <c r="AK315" s="260">
        <f t="shared" si="56"/>
        <v>325.2</v>
      </c>
      <c r="AL315" s="226"/>
      <c r="AM315" s="258">
        <v>58</v>
      </c>
      <c r="AN315" s="258">
        <v>175</v>
      </c>
      <c r="AO315" s="262" t="s">
        <v>253</v>
      </c>
      <c r="AP315" s="260">
        <v>542</v>
      </c>
    </row>
    <row r="316" spans="9:42" ht="20.100000000000001" customHeight="1" x14ac:dyDescent="0.25">
      <c r="I316" s="246"/>
      <c r="K316" s="247"/>
      <c r="L316" s="247"/>
      <c r="M316" s="247"/>
      <c r="N316" s="248"/>
      <c r="O316" s="249"/>
      <c r="P316" s="247"/>
      <c r="R316" s="250"/>
      <c r="U316" s="247"/>
      <c r="V316" s="247"/>
      <c r="W316" s="247"/>
      <c r="X316" s="247"/>
      <c r="Y316" s="247"/>
      <c r="Z316" s="247"/>
      <c r="AA316" s="250"/>
      <c r="AH316" s="258">
        <f t="shared" si="57"/>
        <v>59</v>
      </c>
      <c r="AI316" s="258">
        <f t="shared" si="28"/>
        <v>175</v>
      </c>
      <c r="AJ316" s="259" t="str">
        <f t="shared" si="28"/>
        <v>2/0</v>
      </c>
      <c r="AK316" s="260">
        <f t="shared" si="56"/>
        <v>330</v>
      </c>
      <c r="AL316" s="226"/>
      <c r="AM316" s="258">
        <v>59</v>
      </c>
      <c r="AN316" s="258">
        <v>175</v>
      </c>
      <c r="AO316" s="262" t="s">
        <v>253</v>
      </c>
      <c r="AP316" s="260">
        <v>550</v>
      </c>
    </row>
    <row r="317" spans="9:42" ht="20.100000000000001" customHeight="1" x14ac:dyDescent="0.25">
      <c r="I317" s="246"/>
      <c r="K317" s="247"/>
      <c r="L317" s="247"/>
      <c r="M317" s="247"/>
      <c r="N317" s="248"/>
      <c r="O317" s="249"/>
      <c r="P317" s="247"/>
      <c r="R317" s="250"/>
      <c r="U317" s="247"/>
      <c r="V317" s="247"/>
      <c r="W317" s="247"/>
      <c r="X317" s="247"/>
      <c r="Y317" s="247"/>
      <c r="Z317" s="247"/>
      <c r="AA317" s="250"/>
      <c r="AH317" s="258">
        <f t="shared" si="57"/>
        <v>60</v>
      </c>
      <c r="AI317" s="258">
        <f t="shared" si="28"/>
        <v>175</v>
      </c>
      <c r="AJ317" s="259" t="str">
        <f t="shared" si="28"/>
        <v>2/0</v>
      </c>
      <c r="AK317" s="260">
        <f t="shared" si="56"/>
        <v>335.4</v>
      </c>
      <c r="AL317" s="226"/>
      <c r="AM317" s="258">
        <v>60</v>
      </c>
      <c r="AN317" s="258">
        <v>175</v>
      </c>
      <c r="AO317" s="262" t="s">
        <v>253</v>
      </c>
      <c r="AP317" s="260">
        <v>559</v>
      </c>
    </row>
    <row r="318" spans="9:42" ht="20.100000000000001" customHeight="1" x14ac:dyDescent="0.25">
      <c r="I318" s="246"/>
      <c r="K318" s="247"/>
      <c r="L318" s="247"/>
      <c r="M318" s="247"/>
      <c r="N318" s="248"/>
      <c r="O318" s="249"/>
      <c r="P318" s="247"/>
      <c r="R318" s="250"/>
      <c r="U318" s="247"/>
      <c r="V318" s="247"/>
      <c r="W318" s="247"/>
      <c r="X318" s="247"/>
      <c r="Y318" s="247"/>
      <c r="Z318" s="247"/>
      <c r="AA318" s="250"/>
      <c r="AH318" s="258" t="str">
        <f t="shared" si="28"/>
        <v>&gt;&gt;&gt;&gt;&gt;&gt;</v>
      </c>
      <c r="AI318" s="258"/>
      <c r="AJ318" s="259"/>
      <c r="AK318" s="260"/>
      <c r="AL318" s="226"/>
      <c r="AM318" s="258" t="s">
        <v>249</v>
      </c>
      <c r="AN318" s="258"/>
      <c r="AO318" s="262"/>
      <c r="AP318" s="260"/>
    </row>
    <row r="319" spans="9:42" ht="20.100000000000001" customHeight="1" x14ac:dyDescent="0.25">
      <c r="I319" s="246"/>
      <c r="K319" s="247"/>
      <c r="L319" s="247"/>
      <c r="M319" s="247"/>
      <c r="N319" s="248"/>
      <c r="O319" s="249"/>
      <c r="P319" s="247"/>
      <c r="R319" s="250"/>
      <c r="U319" s="247"/>
      <c r="V319" s="247"/>
      <c r="W319" s="247"/>
      <c r="X319" s="247"/>
      <c r="Y319" s="247"/>
      <c r="Z319" s="247"/>
      <c r="AA319" s="250"/>
      <c r="AH319" s="258">
        <f t="shared" si="28"/>
        <v>1</v>
      </c>
      <c r="AI319" s="258">
        <f t="shared" si="28"/>
        <v>200</v>
      </c>
      <c r="AJ319" s="259" t="str">
        <f t="shared" si="28"/>
        <v>4/0</v>
      </c>
      <c r="AK319" s="260">
        <f t="shared" ref="AK319:AK324" si="58">(1-$AL$2)*AP319</f>
        <v>49.8</v>
      </c>
      <c r="AL319" s="226"/>
      <c r="AM319" s="258">
        <v>1</v>
      </c>
      <c r="AN319" s="258">
        <v>200</v>
      </c>
      <c r="AO319" s="262" t="s">
        <v>179</v>
      </c>
      <c r="AP319" s="260">
        <v>83</v>
      </c>
    </row>
    <row r="320" spans="9:42" ht="20.100000000000001" customHeight="1" x14ac:dyDescent="0.25">
      <c r="I320" s="246"/>
      <c r="K320" s="247"/>
      <c r="L320" s="247"/>
      <c r="M320" s="247"/>
      <c r="N320" s="248"/>
      <c r="O320" s="249"/>
      <c r="P320" s="247"/>
      <c r="R320" s="250"/>
      <c r="U320" s="247"/>
      <c r="V320" s="247"/>
      <c r="W320" s="247"/>
      <c r="X320" s="247"/>
      <c r="Y320" s="247"/>
      <c r="Z320" s="247"/>
      <c r="AA320" s="250"/>
      <c r="AH320" s="258">
        <f t="shared" si="28"/>
        <v>2</v>
      </c>
      <c r="AI320" s="258">
        <f t="shared" si="28"/>
        <v>200</v>
      </c>
      <c r="AJ320" s="259" t="str">
        <f t="shared" si="28"/>
        <v>4/0</v>
      </c>
      <c r="AK320" s="260">
        <f t="shared" si="58"/>
        <v>59.4</v>
      </c>
      <c r="AL320" s="226"/>
      <c r="AM320" s="258">
        <v>2</v>
      </c>
      <c r="AN320" s="258">
        <v>200</v>
      </c>
      <c r="AO320" s="262" t="s">
        <v>179</v>
      </c>
      <c r="AP320" s="260">
        <v>99</v>
      </c>
    </row>
    <row r="321" spans="9:42" ht="20.100000000000001" customHeight="1" x14ac:dyDescent="0.25">
      <c r="I321" s="246"/>
      <c r="K321" s="247"/>
      <c r="L321" s="247"/>
      <c r="M321" s="247"/>
      <c r="N321" s="248"/>
      <c r="O321" s="249"/>
      <c r="P321" s="247"/>
      <c r="R321" s="250"/>
      <c r="U321" s="247"/>
      <c r="V321" s="247"/>
      <c r="W321" s="247"/>
      <c r="X321" s="247"/>
      <c r="Y321" s="247"/>
      <c r="Z321" s="247"/>
      <c r="AA321" s="250"/>
      <c r="AH321" s="258">
        <f t="shared" ref="AH321:AJ381" si="59">AM321</f>
        <v>3</v>
      </c>
      <c r="AI321" s="258">
        <f t="shared" si="59"/>
        <v>200</v>
      </c>
      <c r="AJ321" s="259" t="str">
        <f t="shared" si="59"/>
        <v>4/0</v>
      </c>
      <c r="AK321" s="260">
        <f t="shared" si="58"/>
        <v>69</v>
      </c>
      <c r="AL321" s="226"/>
      <c r="AM321" s="258">
        <v>3</v>
      </c>
      <c r="AN321" s="258">
        <v>200</v>
      </c>
      <c r="AO321" s="262" t="s">
        <v>179</v>
      </c>
      <c r="AP321" s="260">
        <v>115</v>
      </c>
    </row>
    <row r="322" spans="9:42" ht="20.100000000000001" customHeight="1" x14ac:dyDescent="0.25">
      <c r="I322" s="246"/>
      <c r="K322" s="247"/>
      <c r="L322" s="247"/>
      <c r="M322" s="247"/>
      <c r="N322" s="248"/>
      <c r="O322" s="249"/>
      <c r="P322" s="247"/>
      <c r="R322" s="250"/>
      <c r="U322" s="247"/>
      <c r="V322" s="247"/>
      <c r="W322" s="247"/>
      <c r="X322" s="247"/>
      <c r="Y322" s="247"/>
      <c r="Z322" s="247"/>
      <c r="AA322" s="250"/>
      <c r="AH322" s="258">
        <f t="shared" si="59"/>
        <v>4</v>
      </c>
      <c r="AI322" s="258">
        <f t="shared" si="59"/>
        <v>200</v>
      </c>
      <c r="AJ322" s="259" t="str">
        <f t="shared" si="59"/>
        <v>4/0</v>
      </c>
      <c r="AK322" s="260">
        <f t="shared" si="58"/>
        <v>78.599999999999994</v>
      </c>
      <c r="AL322" s="226"/>
      <c r="AM322" s="258">
        <v>4</v>
      </c>
      <c r="AN322" s="258">
        <v>200</v>
      </c>
      <c r="AO322" s="262" t="s">
        <v>179</v>
      </c>
      <c r="AP322" s="260">
        <v>131</v>
      </c>
    </row>
    <row r="323" spans="9:42" ht="20.100000000000001" customHeight="1" x14ac:dyDescent="0.25">
      <c r="I323" s="246"/>
      <c r="K323" s="247"/>
      <c r="L323" s="247"/>
      <c r="M323" s="247"/>
      <c r="N323" s="248"/>
      <c r="O323" s="249"/>
      <c r="P323" s="247"/>
      <c r="R323" s="250"/>
      <c r="U323" s="247"/>
      <c r="V323" s="247"/>
      <c r="W323" s="247"/>
      <c r="X323" s="247"/>
      <c r="Y323" s="247"/>
      <c r="Z323" s="247"/>
      <c r="AA323" s="250"/>
      <c r="AH323" s="258">
        <f t="shared" si="59"/>
        <v>5</v>
      </c>
      <c r="AI323" s="258">
        <f t="shared" si="59"/>
        <v>200</v>
      </c>
      <c r="AJ323" s="259" t="str">
        <f t="shared" si="59"/>
        <v>4/0</v>
      </c>
      <c r="AK323" s="260">
        <f t="shared" si="58"/>
        <v>88.8</v>
      </c>
      <c r="AL323" s="226"/>
      <c r="AM323" s="258">
        <v>5</v>
      </c>
      <c r="AN323" s="258">
        <v>200</v>
      </c>
      <c r="AO323" s="262" t="s">
        <v>179</v>
      </c>
      <c r="AP323" s="260">
        <v>148</v>
      </c>
    </row>
    <row r="324" spans="9:42" ht="20.100000000000001" customHeight="1" x14ac:dyDescent="0.25">
      <c r="I324" s="246"/>
      <c r="K324" s="247"/>
      <c r="L324" s="247"/>
      <c r="M324" s="247"/>
      <c r="N324" s="248"/>
      <c r="O324" s="249"/>
      <c r="P324" s="247"/>
      <c r="R324" s="250"/>
      <c r="U324" s="247"/>
      <c r="V324" s="247"/>
      <c r="W324" s="247"/>
      <c r="X324" s="247"/>
      <c r="Y324" s="247"/>
      <c r="Z324" s="247"/>
      <c r="AA324" s="250"/>
      <c r="AH324" s="258">
        <f t="shared" si="59"/>
        <v>6</v>
      </c>
      <c r="AI324" s="258">
        <f t="shared" si="59"/>
        <v>200</v>
      </c>
      <c r="AJ324" s="259" t="str">
        <f t="shared" si="59"/>
        <v>4/0</v>
      </c>
      <c r="AK324" s="260">
        <f t="shared" si="58"/>
        <v>98.399999999999991</v>
      </c>
      <c r="AL324" s="226"/>
      <c r="AM324" s="258">
        <v>6</v>
      </c>
      <c r="AN324" s="258">
        <v>200</v>
      </c>
      <c r="AO324" s="262" t="s">
        <v>179</v>
      </c>
      <c r="AP324" s="260">
        <v>164</v>
      </c>
    </row>
    <row r="325" spans="9:42" ht="20.100000000000001" customHeight="1" x14ac:dyDescent="0.25">
      <c r="I325" s="246"/>
      <c r="K325" s="247"/>
      <c r="L325" s="247"/>
      <c r="M325" s="247"/>
      <c r="N325" s="248"/>
      <c r="O325" s="249"/>
      <c r="P325" s="247"/>
      <c r="R325" s="250"/>
      <c r="U325" s="247"/>
      <c r="V325" s="247"/>
      <c r="W325" s="247"/>
      <c r="X325" s="247"/>
      <c r="Y325" s="247"/>
      <c r="Z325" s="247"/>
      <c r="AA325" s="250"/>
      <c r="AH325" s="258">
        <f t="shared" ref="AH325:AH377" si="60">AM325</f>
        <v>7</v>
      </c>
      <c r="AI325" s="258">
        <f t="shared" ref="AI325:AI377" si="61">AN325</f>
        <v>200</v>
      </c>
      <c r="AJ325" s="259" t="str">
        <f t="shared" ref="AJ325:AJ377" si="62">AO325</f>
        <v>4/0</v>
      </c>
      <c r="AK325" s="260">
        <f t="shared" ref="AK325:AK377" si="63">(1-$AL$2)*AP325</f>
        <v>108.6</v>
      </c>
      <c r="AL325" s="226"/>
      <c r="AM325" s="258">
        <v>7</v>
      </c>
      <c r="AN325" s="258">
        <v>200</v>
      </c>
      <c r="AO325" s="262" t="s">
        <v>179</v>
      </c>
      <c r="AP325" s="260">
        <v>181</v>
      </c>
    </row>
    <row r="326" spans="9:42" ht="20.100000000000001" customHeight="1" x14ac:dyDescent="0.25">
      <c r="I326" s="246"/>
      <c r="K326" s="247"/>
      <c r="L326" s="247"/>
      <c r="M326" s="247"/>
      <c r="N326" s="248"/>
      <c r="O326" s="249"/>
      <c r="P326" s="247"/>
      <c r="R326" s="250"/>
      <c r="U326" s="247"/>
      <c r="V326" s="247"/>
      <c r="W326" s="247"/>
      <c r="X326" s="247"/>
      <c r="Y326" s="247"/>
      <c r="Z326" s="247"/>
      <c r="AA326" s="250"/>
      <c r="AH326" s="258">
        <f t="shared" si="60"/>
        <v>8</v>
      </c>
      <c r="AI326" s="258">
        <f t="shared" si="61"/>
        <v>200</v>
      </c>
      <c r="AJ326" s="259" t="str">
        <f t="shared" si="62"/>
        <v>4/0</v>
      </c>
      <c r="AK326" s="260">
        <f t="shared" si="63"/>
        <v>118.19999999999999</v>
      </c>
      <c r="AL326" s="226"/>
      <c r="AM326" s="258">
        <v>8</v>
      </c>
      <c r="AN326" s="258">
        <v>200</v>
      </c>
      <c r="AO326" s="262" t="s">
        <v>179</v>
      </c>
      <c r="AP326" s="260">
        <v>197</v>
      </c>
    </row>
    <row r="327" spans="9:42" ht="20.100000000000001" customHeight="1" x14ac:dyDescent="0.25">
      <c r="I327" s="246"/>
      <c r="K327" s="247"/>
      <c r="L327" s="247"/>
      <c r="M327" s="247"/>
      <c r="N327" s="248"/>
      <c r="O327" s="249"/>
      <c r="P327" s="247"/>
      <c r="R327" s="250"/>
      <c r="U327" s="247"/>
      <c r="V327" s="247"/>
      <c r="W327" s="247"/>
      <c r="X327" s="247"/>
      <c r="Y327" s="247"/>
      <c r="Z327" s="247"/>
      <c r="AA327" s="250"/>
      <c r="AH327" s="258">
        <f t="shared" si="60"/>
        <v>9</v>
      </c>
      <c r="AI327" s="258">
        <f t="shared" si="61"/>
        <v>200</v>
      </c>
      <c r="AJ327" s="259" t="str">
        <f t="shared" si="62"/>
        <v>4/0</v>
      </c>
      <c r="AK327" s="260">
        <f t="shared" si="63"/>
        <v>128.4</v>
      </c>
      <c r="AL327" s="226"/>
      <c r="AM327" s="258">
        <v>9</v>
      </c>
      <c r="AN327" s="258">
        <v>200</v>
      </c>
      <c r="AO327" s="262" t="s">
        <v>179</v>
      </c>
      <c r="AP327" s="260">
        <v>214</v>
      </c>
    </row>
    <row r="328" spans="9:42" ht="20.100000000000001" customHeight="1" x14ac:dyDescent="0.25">
      <c r="I328" s="246"/>
      <c r="K328" s="247"/>
      <c r="L328" s="247"/>
      <c r="M328" s="247"/>
      <c r="N328" s="248"/>
      <c r="O328" s="249"/>
      <c r="P328" s="247"/>
      <c r="R328" s="250"/>
      <c r="U328" s="247"/>
      <c r="V328" s="247"/>
      <c r="W328" s="247"/>
      <c r="X328" s="247"/>
      <c r="Y328" s="247"/>
      <c r="Z328" s="247"/>
      <c r="AA328" s="250"/>
      <c r="AH328" s="258">
        <f t="shared" si="60"/>
        <v>10</v>
      </c>
      <c r="AI328" s="258">
        <f t="shared" si="61"/>
        <v>200</v>
      </c>
      <c r="AJ328" s="259" t="str">
        <f t="shared" si="62"/>
        <v>4/0</v>
      </c>
      <c r="AK328" s="260">
        <f t="shared" si="63"/>
        <v>138.6</v>
      </c>
      <c r="AL328" s="226"/>
      <c r="AM328" s="258">
        <v>10</v>
      </c>
      <c r="AN328" s="258">
        <v>200</v>
      </c>
      <c r="AO328" s="262" t="s">
        <v>179</v>
      </c>
      <c r="AP328" s="260">
        <v>231</v>
      </c>
    </row>
    <row r="329" spans="9:42" ht="20.100000000000001" customHeight="1" x14ac:dyDescent="0.25">
      <c r="I329" s="246"/>
      <c r="K329" s="247"/>
      <c r="L329" s="247"/>
      <c r="M329" s="247"/>
      <c r="N329" s="248"/>
      <c r="O329" s="249"/>
      <c r="P329" s="247"/>
      <c r="R329" s="250"/>
      <c r="U329" s="247"/>
      <c r="V329" s="247"/>
      <c r="W329" s="247"/>
      <c r="X329" s="247"/>
      <c r="Y329" s="247"/>
      <c r="Z329" s="247"/>
      <c r="AA329" s="250"/>
      <c r="AH329" s="258">
        <f t="shared" si="60"/>
        <v>11</v>
      </c>
      <c r="AI329" s="258">
        <f t="shared" si="61"/>
        <v>200</v>
      </c>
      <c r="AJ329" s="259" t="str">
        <f t="shared" si="62"/>
        <v>4/0</v>
      </c>
      <c r="AK329" s="260">
        <f t="shared" si="63"/>
        <v>148.19999999999999</v>
      </c>
      <c r="AL329" s="226"/>
      <c r="AM329" s="258">
        <v>11</v>
      </c>
      <c r="AN329" s="258">
        <v>200</v>
      </c>
      <c r="AO329" s="262" t="s">
        <v>179</v>
      </c>
      <c r="AP329" s="260">
        <v>247</v>
      </c>
    </row>
    <row r="330" spans="9:42" ht="20.100000000000001" customHeight="1" x14ac:dyDescent="0.25">
      <c r="I330" s="246"/>
      <c r="K330" s="247"/>
      <c r="L330" s="247"/>
      <c r="M330" s="247"/>
      <c r="N330" s="248"/>
      <c r="O330" s="249"/>
      <c r="P330" s="247"/>
      <c r="R330" s="250"/>
      <c r="U330" s="247"/>
      <c r="V330" s="247"/>
      <c r="W330" s="247"/>
      <c r="X330" s="247"/>
      <c r="Y330" s="247"/>
      <c r="Z330" s="247"/>
      <c r="AA330" s="250"/>
      <c r="AH330" s="258">
        <f t="shared" si="60"/>
        <v>12</v>
      </c>
      <c r="AI330" s="258">
        <f t="shared" si="61"/>
        <v>200</v>
      </c>
      <c r="AJ330" s="259" t="str">
        <f t="shared" si="62"/>
        <v>4/0</v>
      </c>
      <c r="AK330" s="260">
        <f t="shared" si="63"/>
        <v>154.79999999999998</v>
      </c>
      <c r="AL330" s="226"/>
      <c r="AM330" s="258">
        <v>12</v>
      </c>
      <c r="AN330" s="258">
        <v>200</v>
      </c>
      <c r="AO330" s="262" t="s">
        <v>179</v>
      </c>
      <c r="AP330" s="260">
        <v>258</v>
      </c>
    </row>
    <row r="331" spans="9:42" ht="20.100000000000001" customHeight="1" x14ac:dyDescent="0.25">
      <c r="I331" s="246"/>
      <c r="K331" s="247"/>
      <c r="L331" s="247"/>
      <c r="M331" s="247"/>
      <c r="N331" s="248"/>
      <c r="O331" s="249"/>
      <c r="P331" s="247"/>
      <c r="R331" s="250"/>
      <c r="U331" s="247"/>
      <c r="V331" s="247"/>
      <c r="W331" s="247"/>
      <c r="X331" s="247"/>
      <c r="Y331" s="247"/>
      <c r="Z331" s="247"/>
      <c r="AA331" s="250"/>
      <c r="AH331" s="258">
        <f t="shared" si="60"/>
        <v>13</v>
      </c>
      <c r="AI331" s="258">
        <f t="shared" si="61"/>
        <v>200</v>
      </c>
      <c r="AJ331" s="259" t="str">
        <f t="shared" si="62"/>
        <v>4/0</v>
      </c>
      <c r="AK331" s="260">
        <f t="shared" si="63"/>
        <v>168.6</v>
      </c>
      <c r="AL331" s="226"/>
      <c r="AM331" s="258">
        <v>13</v>
      </c>
      <c r="AN331" s="258">
        <v>200</v>
      </c>
      <c r="AO331" s="262" t="s">
        <v>179</v>
      </c>
      <c r="AP331" s="260">
        <v>281</v>
      </c>
    </row>
    <row r="332" spans="9:42" ht="20.100000000000001" customHeight="1" x14ac:dyDescent="0.25">
      <c r="I332" s="246"/>
      <c r="K332" s="247"/>
      <c r="L332" s="247"/>
      <c r="M332" s="247"/>
      <c r="N332" s="248"/>
      <c r="O332" s="249"/>
      <c r="P332" s="247"/>
      <c r="R332" s="250"/>
      <c r="U332" s="247"/>
      <c r="V332" s="247"/>
      <c r="W332" s="247"/>
      <c r="X332" s="247"/>
      <c r="Y332" s="247"/>
      <c r="Z332" s="247"/>
      <c r="AA332" s="250"/>
      <c r="AH332" s="258">
        <f t="shared" ref="AH332:AH334" si="64">AM332</f>
        <v>14</v>
      </c>
      <c r="AI332" s="258">
        <f t="shared" ref="AI332:AI334" si="65">AN332</f>
        <v>200</v>
      </c>
      <c r="AJ332" s="259" t="str">
        <f t="shared" ref="AJ332:AJ334" si="66">AO332</f>
        <v>4/0</v>
      </c>
      <c r="AK332" s="260">
        <f t="shared" ref="AK332:AK334" si="67">(1-$AL$2)*AP332</f>
        <v>178.2</v>
      </c>
      <c r="AL332" s="226"/>
      <c r="AM332" s="258">
        <v>14</v>
      </c>
      <c r="AN332" s="258">
        <v>200</v>
      </c>
      <c r="AO332" s="262" t="s">
        <v>179</v>
      </c>
      <c r="AP332" s="260">
        <v>297</v>
      </c>
    </row>
    <row r="333" spans="9:42" ht="20.100000000000001" customHeight="1" x14ac:dyDescent="0.25">
      <c r="I333" s="246"/>
      <c r="K333" s="247"/>
      <c r="L333" s="247"/>
      <c r="M333" s="247"/>
      <c r="N333" s="248"/>
      <c r="O333" s="249"/>
      <c r="P333" s="247"/>
      <c r="R333" s="250"/>
      <c r="U333" s="247"/>
      <c r="V333" s="247"/>
      <c r="W333" s="247"/>
      <c r="X333" s="247"/>
      <c r="Y333" s="247"/>
      <c r="Z333" s="247"/>
      <c r="AA333" s="250"/>
      <c r="AH333" s="258">
        <f t="shared" si="64"/>
        <v>15</v>
      </c>
      <c r="AI333" s="258">
        <f t="shared" si="65"/>
        <v>200</v>
      </c>
      <c r="AJ333" s="259" t="str">
        <f t="shared" si="66"/>
        <v>4/1</v>
      </c>
      <c r="AK333" s="260">
        <f t="shared" si="67"/>
        <v>160.08000000000001</v>
      </c>
      <c r="AL333" s="226"/>
      <c r="AM333" s="258">
        <v>15</v>
      </c>
      <c r="AN333" s="258">
        <v>200</v>
      </c>
      <c r="AO333" s="262" t="s">
        <v>250</v>
      </c>
      <c r="AP333" s="260">
        <v>266.8</v>
      </c>
    </row>
    <row r="334" spans="9:42" ht="20.100000000000001" customHeight="1" x14ac:dyDescent="0.25">
      <c r="I334" s="246"/>
      <c r="K334" s="247"/>
      <c r="L334" s="247"/>
      <c r="M334" s="247"/>
      <c r="N334" s="248"/>
      <c r="O334" s="249"/>
      <c r="P334" s="247"/>
      <c r="R334" s="250"/>
      <c r="U334" s="247"/>
      <c r="V334" s="247"/>
      <c r="W334" s="247"/>
      <c r="X334" s="247"/>
      <c r="Y334" s="247"/>
      <c r="Z334" s="247"/>
      <c r="AA334" s="250"/>
      <c r="AH334" s="258">
        <f t="shared" si="64"/>
        <v>16</v>
      </c>
      <c r="AI334" s="258">
        <f t="shared" si="65"/>
        <v>200</v>
      </c>
      <c r="AJ334" s="259" t="str">
        <f t="shared" si="66"/>
        <v>4/1</v>
      </c>
      <c r="AK334" s="260">
        <f t="shared" si="67"/>
        <v>173.4</v>
      </c>
      <c r="AL334" s="226"/>
      <c r="AM334" s="258">
        <v>16</v>
      </c>
      <c r="AN334" s="258">
        <v>200</v>
      </c>
      <c r="AO334" s="262" t="s">
        <v>250</v>
      </c>
      <c r="AP334" s="260">
        <v>289</v>
      </c>
    </row>
    <row r="335" spans="9:42" ht="20.100000000000001" customHeight="1" x14ac:dyDescent="0.25">
      <c r="I335" s="246"/>
      <c r="K335" s="247"/>
      <c r="L335" s="247"/>
      <c r="M335" s="247"/>
      <c r="N335" s="248"/>
      <c r="O335" s="249"/>
      <c r="P335" s="247"/>
      <c r="R335" s="250"/>
      <c r="U335" s="247"/>
      <c r="V335" s="247"/>
      <c r="W335" s="247"/>
      <c r="X335" s="247"/>
      <c r="Y335" s="247"/>
      <c r="Z335" s="247"/>
      <c r="AA335" s="250"/>
      <c r="AH335" s="258">
        <f t="shared" si="60"/>
        <v>17</v>
      </c>
      <c r="AI335" s="258">
        <f t="shared" si="61"/>
        <v>200</v>
      </c>
      <c r="AJ335" s="259" t="str">
        <f t="shared" si="62"/>
        <v>4/1</v>
      </c>
      <c r="AK335" s="260">
        <f t="shared" si="63"/>
        <v>183.6</v>
      </c>
      <c r="AL335" s="226"/>
      <c r="AM335" s="258">
        <v>17</v>
      </c>
      <c r="AN335" s="258">
        <v>200</v>
      </c>
      <c r="AO335" s="262" t="s">
        <v>250</v>
      </c>
      <c r="AP335" s="260">
        <v>306</v>
      </c>
    </row>
    <row r="336" spans="9:42" ht="20.100000000000001" customHeight="1" x14ac:dyDescent="0.25">
      <c r="I336" s="246"/>
      <c r="K336" s="247"/>
      <c r="L336" s="247"/>
      <c r="M336" s="247"/>
      <c r="N336" s="248"/>
      <c r="O336" s="249"/>
      <c r="P336" s="247"/>
      <c r="R336" s="250"/>
      <c r="U336" s="247"/>
      <c r="V336" s="247"/>
      <c r="W336" s="247"/>
      <c r="X336" s="247"/>
      <c r="Y336" s="247"/>
      <c r="Z336" s="247"/>
      <c r="AA336" s="250"/>
      <c r="AH336" s="258">
        <f t="shared" si="60"/>
        <v>18</v>
      </c>
      <c r="AI336" s="258">
        <f t="shared" si="61"/>
        <v>200</v>
      </c>
      <c r="AJ336" s="259" t="str">
        <f t="shared" si="62"/>
        <v>4/1</v>
      </c>
      <c r="AK336" s="260">
        <f t="shared" si="63"/>
        <v>193.79999999999998</v>
      </c>
      <c r="AL336" s="226"/>
      <c r="AM336" s="258">
        <v>18</v>
      </c>
      <c r="AN336" s="258">
        <v>200</v>
      </c>
      <c r="AO336" s="262" t="s">
        <v>250</v>
      </c>
      <c r="AP336" s="260">
        <v>323</v>
      </c>
    </row>
    <row r="337" spans="9:42" ht="20.100000000000001" customHeight="1" x14ac:dyDescent="0.25">
      <c r="I337" s="246"/>
      <c r="K337" s="247"/>
      <c r="L337" s="247"/>
      <c r="M337" s="247"/>
      <c r="N337" s="248"/>
      <c r="O337" s="249"/>
      <c r="P337" s="247"/>
      <c r="R337" s="250"/>
      <c r="U337" s="247"/>
      <c r="V337" s="247"/>
      <c r="W337" s="247"/>
      <c r="X337" s="247"/>
      <c r="Y337" s="247"/>
      <c r="Z337" s="247"/>
      <c r="AA337" s="250"/>
      <c r="AH337" s="258">
        <f t="shared" si="60"/>
        <v>19</v>
      </c>
      <c r="AI337" s="258">
        <f t="shared" si="61"/>
        <v>200</v>
      </c>
      <c r="AJ337" s="259" t="str">
        <f t="shared" si="62"/>
        <v>4/2</v>
      </c>
      <c r="AK337" s="260">
        <f t="shared" si="63"/>
        <v>175.38</v>
      </c>
      <c r="AL337" s="226"/>
      <c r="AM337" s="258">
        <v>19</v>
      </c>
      <c r="AN337" s="258">
        <v>200</v>
      </c>
      <c r="AO337" s="262" t="s">
        <v>251</v>
      </c>
      <c r="AP337" s="260">
        <v>292.3</v>
      </c>
    </row>
    <row r="338" spans="9:42" ht="20.100000000000001" customHeight="1" x14ac:dyDescent="0.25">
      <c r="I338" s="246"/>
      <c r="K338" s="247"/>
      <c r="L338" s="247"/>
      <c r="M338" s="247"/>
      <c r="N338" s="248"/>
      <c r="O338" s="249"/>
      <c r="P338" s="247"/>
      <c r="R338" s="250"/>
      <c r="U338" s="247"/>
      <c r="V338" s="247"/>
      <c r="W338" s="247"/>
      <c r="X338" s="247"/>
      <c r="Y338" s="247"/>
      <c r="Z338" s="247"/>
      <c r="AA338" s="250"/>
      <c r="AH338" s="258">
        <f t="shared" si="60"/>
        <v>20</v>
      </c>
      <c r="AI338" s="258">
        <f t="shared" si="61"/>
        <v>200</v>
      </c>
      <c r="AJ338" s="259" t="str">
        <f t="shared" si="62"/>
        <v>4/2</v>
      </c>
      <c r="AK338" s="260">
        <f t="shared" si="63"/>
        <v>189</v>
      </c>
      <c r="AL338" s="226"/>
      <c r="AM338" s="258">
        <v>20</v>
      </c>
      <c r="AN338" s="258">
        <v>200</v>
      </c>
      <c r="AO338" s="262" t="s">
        <v>251</v>
      </c>
      <c r="AP338" s="260">
        <v>315</v>
      </c>
    </row>
    <row r="339" spans="9:42" ht="20.100000000000001" customHeight="1" x14ac:dyDescent="0.25">
      <c r="I339" s="246"/>
      <c r="K339" s="247"/>
      <c r="L339" s="247"/>
      <c r="M339" s="247"/>
      <c r="N339" s="248"/>
      <c r="O339" s="249"/>
      <c r="P339" s="247"/>
      <c r="R339" s="250"/>
      <c r="U339" s="247"/>
      <c r="V339" s="247"/>
      <c r="W339" s="247"/>
      <c r="X339" s="247"/>
      <c r="Y339" s="247"/>
      <c r="Z339" s="247"/>
      <c r="AA339" s="250"/>
      <c r="AH339" s="258">
        <f t="shared" si="60"/>
        <v>21</v>
      </c>
      <c r="AI339" s="258">
        <f t="shared" si="61"/>
        <v>200</v>
      </c>
      <c r="AJ339" s="259" t="str">
        <f t="shared" si="62"/>
        <v>4/2</v>
      </c>
      <c r="AK339" s="260">
        <f t="shared" si="63"/>
        <v>199.2</v>
      </c>
      <c r="AL339" s="226"/>
      <c r="AM339" s="258">
        <v>21</v>
      </c>
      <c r="AN339" s="258">
        <v>200</v>
      </c>
      <c r="AO339" s="262" t="s">
        <v>251</v>
      </c>
      <c r="AP339" s="260">
        <v>332</v>
      </c>
    </row>
    <row r="340" spans="9:42" ht="20.100000000000001" customHeight="1" x14ac:dyDescent="0.25">
      <c r="I340" s="246"/>
      <c r="K340" s="247"/>
      <c r="L340" s="247"/>
      <c r="M340" s="247"/>
      <c r="N340" s="248"/>
      <c r="O340" s="249"/>
      <c r="P340" s="247"/>
      <c r="R340" s="250"/>
      <c r="U340" s="247"/>
      <c r="V340" s="247"/>
      <c r="W340" s="247"/>
      <c r="X340" s="247"/>
      <c r="Y340" s="247"/>
      <c r="Z340" s="247"/>
      <c r="AA340" s="250"/>
      <c r="AH340" s="258">
        <f t="shared" si="60"/>
        <v>22</v>
      </c>
      <c r="AI340" s="258">
        <f t="shared" si="61"/>
        <v>200</v>
      </c>
      <c r="AJ340" s="259" t="str">
        <f t="shared" si="62"/>
        <v>4/2</v>
      </c>
      <c r="AK340" s="260">
        <f t="shared" si="63"/>
        <v>209.4</v>
      </c>
      <c r="AL340" s="226"/>
      <c r="AM340" s="258">
        <v>22</v>
      </c>
      <c r="AN340" s="258">
        <v>200</v>
      </c>
      <c r="AO340" s="262" t="s">
        <v>251</v>
      </c>
      <c r="AP340" s="260">
        <v>349</v>
      </c>
    </row>
    <row r="341" spans="9:42" ht="20.100000000000001" customHeight="1" x14ac:dyDescent="0.25">
      <c r="I341" s="246"/>
      <c r="K341" s="247"/>
      <c r="L341" s="247"/>
      <c r="M341" s="247"/>
      <c r="N341" s="248"/>
      <c r="O341" s="249"/>
      <c r="P341" s="247"/>
      <c r="R341" s="250"/>
      <c r="U341" s="247"/>
      <c r="V341" s="247"/>
      <c r="W341" s="247"/>
      <c r="X341" s="247"/>
      <c r="Y341" s="247"/>
      <c r="Z341" s="247"/>
      <c r="AA341" s="250"/>
      <c r="AH341" s="258">
        <f t="shared" si="60"/>
        <v>23</v>
      </c>
      <c r="AI341" s="258">
        <f t="shared" si="61"/>
        <v>200</v>
      </c>
      <c r="AJ341" s="259" t="str">
        <f t="shared" si="62"/>
        <v>3/0</v>
      </c>
      <c r="AK341" s="260">
        <f t="shared" si="63"/>
        <v>199.43999999999997</v>
      </c>
      <c r="AL341" s="226"/>
      <c r="AM341" s="258">
        <v>23</v>
      </c>
      <c r="AN341" s="258">
        <v>200</v>
      </c>
      <c r="AO341" s="262" t="s">
        <v>252</v>
      </c>
      <c r="AP341" s="260">
        <v>332.4</v>
      </c>
    </row>
    <row r="342" spans="9:42" ht="20.100000000000001" customHeight="1" x14ac:dyDescent="0.25">
      <c r="I342" s="246"/>
      <c r="K342" s="247"/>
      <c r="L342" s="247"/>
      <c r="M342" s="247"/>
      <c r="N342" s="248"/>
      <c r="O342" s="249"/>
      <c r="P342" s="247"/>
      <c r="R342" s="250"/>
      <c r="U342" s="247"/>
      <c r="V342" s="247"/>
      <c r="W342" s="247"/>
      <c r="X342" s="247"/>
      <c r="Y342" s="247"/>
      <c r="Z342" s="247"/>
      <c r="AA342" s="250"/>
      <c r="AH342" s="258">
        <f t="shared" si="60"/>
        <v>24</v>
      </c>
      <c r="AI342" s="258">
        <f t="shared" si="61"/>
        <v>200</v>
      </c>
      <c r="AJ342" s="259" t="str">
        <f t="shared" si="62"/>
        <v>3/0</v>
      </c>
      <c r="AK342" s="260">
        <f t="shared" si="63"/>
        <v>209.4</v>
      </c>
      <c r="AL342" s="226"/>
      <c r="AM342" s="258">
        <v>24</v>
      </c>
      <c r="AN342" s="258">
        <v>200</v>
      </c>
      <c r="AO342" s="262" t="s">
        <v>252</v>
      </c>
      <c r="AP342" s="260">
        <v>349</v>
      </c>
    </row>
    <row r="343" spans="9:42" ht="20.100000000000001" customHeight="1" x14ac:dyDescent="0.25">
      <c r="I343" s="246"/>
      <c r="K343" s="247"/>
      <c r="L343" s="247"/>
      <c r="M343" s="247"/>
      <c r="N343" s="248"/>
      <c r="O343" s="249"/>
      <c r="P343" s="247"/>
      <c r="R343" s="250"/>
      <c r="U343" s="247"/>
      <c r="V343" s="247"/>
      <c r="W343" s="247"/>
      <c r="X343" s="247"/>
      <c r="Y343" s="247"/>
      <c r="Z343" s="247"/>
      <c r="AA343" s="250"/>
      <c r="AH343" s="258">
        <f t="shared" si="60"/>
        <v>25</v>
      </c>
      <c r="AI343" s="258">
        <f t="shared" si="61"/>
        <v>200</v>
      </c>
      <c r="AJ343" s="259" t="str">
        <f t="shared" si="62"/>
        <v>3/0</v>
      </c>
      <c r="AK343" s="260">
        <f t="shared" si="63"/>
        <v>217.2</v>
      </c>
      <c r="AL343" s="226"/>
      <c r="AM343" s="258">
        <v>25</v>
      </c>
      <c r="AN343" s="258">
        <v>200</v>
      </c>
      <c r="AO343" s="262" t="s">
        <v>252</v>
      </c>
      <c r="AP343" s="260">
        <v>362</v>
      </c>
    </row>
    <row r="344" spans="9:42" ht="20.100000000000001" customHeight="1" x14ac:dyDescent="0.25">
      <c r="I344" s="246"/>
      <c r="K344" s="247"/>
      <c r="L344" s="247"/>
      <c r="M344" s="247"/>
      <c r="N344" s="248"/>
      <c r="O344" s="249"/>
      <c r="P344" s="247"/>
      <c r="R344" s="250"/>
      <c r="U344" s="247"/>
      <c r="V344" s="247"/>
      <c r="W344" s="247"/>
      <c r="X344" s="247"/>
      <c r="Y344" s="247"/>
      <c r="Z344" s="247"/>
      <c r="AA344" s="250"/>
      <c r="AH344" s="258">
        <f t="shared" si="60"/>
        <v>26</v>
      </c>
      <c r="AI344" s="258">
        <f t="shared" si="61"/>
        <v>200</v>
      </c>
      <c r="AJ344" s="259" t="str">
        <f t="shared" si="62"/>
        <v>3/0</v>
      </c>
      <c r="AK344" s="260">
        <f t="shared" si="63"/>
        <v>225</v>
      </c>
      <c r="AL344" s="226"/>
      <c r="AM344" s="258">
        <v>26</v>
      </c>
      <c r="AN344" s="258">
        <v>200</v>
      </c>
      <c r="AO344" s="262" t="s">
        <v>252</v>
      </c>
      <c r="AP344" s="260">
        <v>375</v>
      </c>
    </row>
    <row r="345" spans="9:42" ht="20.100000000000001" customHeight="1" x14ac:dyDescent="0.25">
      <c r="I345" s="246"/>
      <c r="K345" s="247"/>
      <c r="L345" s="247"/>
      <c r="M345" s="247"/>
      <c r="N345" s="248"/>
      <c r="O345" s="249"/>
      <c r="P345" s="247"/>
      <c r="R345" s="250"/>
      <c r="U345" s="247"/>
      <c r="V345" s="247"/>
      <c r="W345" s="247"/>
      <c r="X345" s="247"/>
      <c r="Y345" s="247"/>
      <c r="Z345" s="247"/>
      <c r="AA345" s="250"/>
      <c r="AH345" s="258">
        <f t="shared" si="60"/>
        <v>27</v>
      </c>
      <c r="AI345" s="258">
        <f t="shared" si="61"/>
        <v>200</v>
      </c>
      <c r="AJ345" s="259" t="str">
        <f t="shared" si="62"/>
        <v>3/1</v>
      </c>
      <c r="AK345" s="260">
        <f t="shared" si="63"/>
        <v>214.01999999999998</v>
      </c>
      <c r="AL345" s="226"/>
      <c r="AM345" s="258">
        <v>27</v>
      </c>
      <c r="AN345" s="258">
        <v>200</v>
      </c>
      <c r="AO345" s="262" t="s">
        <v>254</v>
      </c>
      <c r="AP345" s="260">
        <v>356.7</v>
      </c>
    </row>
    <row r="346" spans="9:42" ht="20.100000000000001" customHeight="1" x14ac:dyDescent="0.25">
      <c r="I346" s="246"/>
      <c r="K346" s="247"/>
      <c r="L346" s="247"/>
      <c r="M346" s="247"/>
      <c r="N346" s="248"/>
      <c r="O346" s="249"/>
      <c r="P346" s="247"/>
      <c r="R346" s="250"/>
      <c r="U346" s="247"/>
      <c r="V346" s="247"/>
      <c r="W346" s="247"/>
      <c r="X346" s="247"/>
      <c r="Y346" s="247"/>
      <c r="Z346" s="247"/>
      <c r="AA346" s="250"/>
      <c r="AH346" s="258">
        <f t="shared" si="60"/>
        <v>28</v>
      </c>
      <c r="AI346" s="258">
        <f t="shared" si="61"/>
        <v>200</v>
      </c>
      <c r="AJ346" s="259" t="str">
        <f t="shared" si="62"/>
        <v>3/1</v>
      </c>
      <c r="AK346" s="260">
        <f t="shared" si="63"/>
        <v>221.4</v>
      </c>
      <c r="AL346" s="226"/>
      <c r="AM346" s="258">
        <v>28</v>
      </c>
      <c r="AN346" s="258">
        <v>200</v>
      </c>
      <c r="AO346" s="262" t="s">
        <v>254</v>
      </c>
      <c r="AP346" s="260">
        <v>369</v>
      </c>
    </row>
    <row r="347" spans="9:42" ht="20.100000000000001" customHeight="1" x14ac:dyDescent="0.25">
      <c r="I347" s="246"/>
      <c r="K347" s="247"/>
      <c r="L347" s="247"/>
      <c r="M347" s="247"/>
      <c r="N347" s="248"/>
      <c r="O347" s="249"/>
      <c r="P347" s="247"/>
      <c r="R347" s="250"/>
      <c r="U347" s="247"/>
      <c r="V347" s="247"/>
      <c r="W347" s="247"/>
      <c r="X347" s="247"/>
      <c r="Y347" s="247"/>
      <c r="Z347" s="247"/>
      <c r="AA347" s="250"/>
      <c r="AH347" s="258">
        <f t="shared" si="60"/>
        <v>29</v>
      </c>
      <c r="AI347" s="258">
        <f t="shared" si="61"/>
        <v>200</v>
      </c>
      <c r="AJ347" s="259" t="str">
        <f t="shared" si="62"/>
        <v>3/1</v>
      </c>
      <c r="AK347" s="260">
        <f t="shared" si="63"/>
        <v>229.2</v>
      </c>
      <c r="AL347" s="226"/>
      <c r="AM347" s="258">
        <v>29</v>
      </c>
      <c r="AN347" s="258">
        <v>200</v>
      </c>
      <c r="AO347" s="262" t="s">
        <v>254</v>
      </c>
      <c r="AP347" s="260">
        <v>382</v>
      </c>
    </row>
    <row r="348" spans="9:42" ht="20.100000000000001" customHeight="1" x14ac:dyDescent="0.25">
      <c r="I348" s="246"/>
      <c r="K348" s="247"/>
      <c r="L348" s="247"/>
      <c r="M348" s="247"/>
      <c r="N348" s="248"/>
      <c r="O348" s="249"/>
      <c r="P348" s="247"/>
      <c r="R348" s="250"/>
      <c r="U348" s="247"/>
      <c r="V348" s="247"/>
      <c r="W348" s="247"/>
      <c r="X348" s="247"/>
      <c r="Y348" s="247"/>
      <c r="Z348" s="247"/>
      <c r="AA348" s="250"/>
      <c r="AH348" s="258">
        <f t="shared" si="60"/>
        <v>30</v>
      </c>
      <c r="AI348" s="258">
        <f t="shared" si="61"/>
        <v>200</v>
      </c>
      <c r="AJ348" s="259" t="str">
        <f t="shared" si="62"/>
        <v>3/1</v>
      </c>
      <c r="AK348" s="260">
        <f t="shared" si="63"/>
        <v>237</v>
      </c>
      <c r="AL348" s="226"/>
      <c r="AM348" s="258">
        <v>30</v>
      </c>
      <c r="AN348" s="258">
        <v>200</v>
      </c>
      <c r="AO348" s="262" t="s">
        <v>254</v>
      </c>
      <c r="AP348" s="260">
        <v>395</v>
      </c>
    </row>
    <row r="349" spans="9:42" ht="20.100000000000001" customHeight="1" x14ac:dyDescent="0.25">
      <c r="I349" s="246"/>
      <c r="K349" s="247"/>
      <c r="L349" s="247"/>
      <c r="M349" s="247"/>
      <c r="N349" s="248"/>
      <c r="O349" s="249"/>
      <c r="P349" s="247"/>
      <c r="R349" s="250"/>
      <c r="U349" s="247"/>
      <c r="V349" s="247"/>
      <c r="W349" s="247"/>
      <c r="X349" s="247"/>
      <c r="Y349" s="247"/>
      <c r="Z349" s="247"/>
      <c r="AA349" s="250"/>
      <c r="AH349" s="258">
        <f t="shared" si="60"/>
        <v>31</v>
      </c>
      <c r="AI349" s="258">
        <f t="shared" si="61"/>
        <v>200</v>
      </c>
      <c r="AJ349" s="259" t="str">
        <f t="shared" si="62"/>
        <v>3/2</v>
      </c>
      <c r="AK349" s="260">
        <f t="shared" si="63"/>
        <v>227.64</v>
      </c>
      <c r="AL349" s="226"/>
      <c r="AM349" s="258">
        <v>31</v>
      </c>
      <c r="AN349" s="258">
        <v>200</v>
      </c>
      <c r="AO349" s="262" t="s">
        <v>255</v>
      </c>
      <c r="AP349" s="260">
        <v>379.4</v>
      </c>
    </row>
    <row r="350" spans="9:42" ht="20.100000000000001" customHeight="1" x14ac:dyDescent="0.25">
      <c r="I350" s="246"/>
      <c r="K350" s="247"/>
      <c r="L350" s="247"/>
      <c r="M350" s="247"/>
      <c r="N350" s="248"/>
      <c r="O350" s="249"/>
      <c r="P350" s="247"/>
      <c r="R350" s="250"/>
      <c r="U350" s="247"/>
      <c r="V350" s="247"/>
      <c r="W350" s="247"/>
      <c r="X350" s="247"/>
      <c r="Y350" s="247"/>
      <c r="Z350" s="247"/>
      <c r="AA350" s="250"/>
      <c r="AH350" s="258">
        <f t="shared" si="60"/>
        <v>32</v>
      </c>
      <c r="AI350" s="258">
        <f t="shared" si="61"/>
        <v>200</v>
      </c>
      <c r="AJ350" s="259" t="str">
        <f t="shared" si="62"/>
        <v>3/2</v>
      </c>
      <c r="AK350" s="260">
        <f t="shared" si="63"/>
        <v>234</v>
      </c>
      <c r="AL350" s="226"/>
      <c r="AM350" s="258">
        <v>32</v>
      </c>
      <c r="AN350" s="258">
        <v>200</v>
      </c>
      <c r="AO350" s="262" t="s">
        <v>255</v>
      </c>
      <c r="AP350" s="260">
        <v>390</v>
      </c>
    </row>
    <row r="351" spans="9:42" ht="20.100000000000001" customHeight="1" x14ac:dyDescent="0.25">
      <c r="I351" s="246"/>
      <c r="K351" s="247"/>
      <c r="L351" s="247"/>
      <c r="M351" s="247"/>
      <c r="N351" s="248"/>
      <c r="O351" s="249"/>
      <c r="P351" s="247"/>
      <c r="R351" s="250"/>
      <c r="U351" s="247"/>
      <c r="V351" s="247"/>
      <c r="W351" s="247"/>
      <c r="X351" s="247"/>
      <c r="Y351" s="247"/>
      <c r="Z351" s="247"/>
      <c r="AA351" s="250"/>
      <c r="AH351" s="258">
        <f t="shared" si="60"/>
        <v>33</v>
      </c>
      <c r="AI351" s="258">
        <f t="shared" si="61"/>
        <v>200</v>
      </c>
      <c r="AJ351" s="259" t="str">
        <f t="shared" si="62"/>
        <v>3/2</v>
      </c>
      <c r="AK351" s="260">
        <f t="shared" si="63"/>
        <v>241.79999999999998</v>
      </c>
      <c r="AL351" s="226"/>
      <c r="AM351" s="258">
        <v>33</v>
      </c>
      <c r="AN351" s="258">
        <v>200</v>
      </c>
      <c r="AO351" s="262" t="s">
        <v>255</v>
      </c>
      <c r="AP351" s="260">
        <v>403</v>
      </c>
    </row>
    <row r="352" spans="9:42" ht="20.100000000000001" customHeight="1" x14ac:dyDescent="0.25">
      <c r="I352" s="246"/>
      <c r="K352" s="247"/>
      <c r="L352" s="247"/>
      <c r="M352" s="247"/>
      <c r="N352" s="248"/>
      <c r="O352" s="249"/>
      <c r="P352" s="247"/>
      <c r="R352" s="250"/>
      <c r="U352" s="247"/>
      <c r="V352" s="247"/>
      <c r="W352" s="247"/>
      <c r="X352" s="247"/>
      <c r="Y352" s="247"/>
      <c r="Z352" s="247"/>
      <c r="AA352" s="250"/>
      <c r="AH352" s="258">
        <f t="shared" si="60"/>
        <v>34</v>
      </c>
      <c r="AI352" s="258">
        <f t="shared" si="61"/>
        <v>200</v>
      </c>
      <c r="AJ352" s="259" t="str">
        <f t="shared" si="62"/>
        <v>3/2</v>
      </c>
      <c r="AK352" s="260">
        <f t="shared" si="63"/>
        <v>249.6</v>
      </c>
      <c r="AL352" s="226"/>
      <c r="AM352" s="258">
        <v>34</v>
      </c>
      <c r="AN352" s="258">
        <v>200</v>
      </c>
      <c r="AO352" s="262" t="s">
        <v>255</v>
      </c>
      <c r="AP352" s="260">
        <v>416</v>
      </c>
    </row>
    <row r="353" spans="9:42" ht="20.100000000000001" customHeight="1" x14ac:dyDescent="0.25">
      <c r="I353" s="246"/>
      <c r="K353" s="247"/>
      <c r="L353" s="247"/>
      <c r="M353" s="247"/>
      <c r="N353" s="248"/>
      <c r="O353" s="249"/>
      <c r="P353" s="247"/>
      <c r="R353" s="250"/>
      <c r="U353" s="247"/>
      <c r="V353" s="247"/>
      <c r="W353" s="247"/>
      <c r="X353" s="247"/>
      <c r="Y353" s="247"/>
      <c r="Z353" s="247"/>
      <c r="AA353" s="250"/>
      <c r="AH353" s="258">
        <f t="shared" si="60"/>
        <v>35</v>
      </c>
      <c r="AI353" s="258">
        <f t="shared" si="61"/>
        <v>200</v>
      </c>
      <c r="AJ353" s="259" t="str">
        <f t="shared" si="62"/>
        <v>3/2</v>
      </c>
      <c r="AK353" s="260">
        <f t="shared" si="63"/>
        <v>257.39999999999998</v>
      </c>
      <c r="AL353" s="226"/>
      <c r="AM353" s="258">
        <v>35</v>
      </c>
      <c r="AN353" s="258">
        <v>200</v>
      </c>
      <c r="AO353" s="262" t="s">
        <v>255</v>
      </c>
      <c r="AP353" s="260">
        <v>429</v>
      </c>
    </row>
    <row r="354" spans="9:42" ht="20.100000000000001" customHeight="1" x14ac:dyDescent="0.25">
      <c r="I354" s="246"/>
      <c r="K354" s="247"/>
      <c r="L354" s="247"/>
      <c r="M354" s="247"/>
      <c r="N354" s="248"/>
      <c r="O354" s="249"/>
      <c r="P354" s="247"/>
      <c r="R354" s="250"/>
      <c r="U354" s="247"/>
      <c r="V354" s="247"/>
      <c r="W354" s="247"/>
      <c r="X354" s="247"/>
      <c r="Y354" s="247"/>
      <c r="Z354" s="247"/>
      <c r="AA354" s="250"/>
      <c r="AH354" s="258">
        <f t="shared" si="60"/>
        <v>36</v>
      </c>
      <c r="AI354" s="258">
        <f t="shared" si="61"/>
        <v>200</v>
      </c>
      <c r="AJ354" s="259" t="str">
        <f t="shared" si="62"/>
        <v>2/0</v>
      </c>
      <c r="AK354" s="260">
        <f t="shared" si="63"/>
        <v>209.88</v>
      </c>
      <c r="AL354" s="226"/>
      <c r="AM354" s="258">
        <v>36</v>
      </c>
      <c r="AN354" s="258">
        <v>200</v>
      </c>
      <c r="AO354" s="262" t="s">
        <v>253</v>
      </c>
      <c r="AP354" s="260">
        <v>349.8</v>
      </c>
    </row>
    <row r="355" spans="9:42" ht="20.100000000000001" customHeight="1" x14ac:dyDescent="0.25">
      <c r="I355" s="246"/>
      <c r="K355" s="247"/>
      <c r="L355" s="247"/>
      <c r="M355" s="247"/>
      <c r="N355" s="248"/>
      <c r="O355" s="249"/>
      <c r="P355" s="247"/>
      <c r="R355" s="250"/>
      <c r="U355" s="247"/>
      <c r="V355" s="247"/>
      <c r="W355" s="247"/>
      <c r="X355" s="247"/>
      <c r="Y355" s="247"/>
      <c r="Z355" s="247"/>
      <c r="AA355" s="250"/>
      <c r="AH355" s="258">
        <f t="shared" si="60"/>
        <v>37</v>
      </c>
      <c r="AI355" s="258">
        <f t="shared" si="61"/>
        <v>200</v>
      </c>
      <c r="AJ355" s="259" t="str">
        <f t="shared" si="62"/>
        <v>2/0</v>
      </c>
      <c r="AK355" s="260">
        <f t="shared" si="63"/>
        <v>215.28</v>
      </c>
      <c r="AL355" s="226"/>
      <c r="AM355" s="258">
        <v>37</v>
      </c>
      <c r="AN355" s="258">
        <v>200</v>
      </c>
      <c r="AO355" s="262" t="s">
        <v>253</v>
      </c>
      <c r="AP355" s="260">
        <v>358.8</v>
      </c>
    </row>
    <row r="356" spans="9:42" ht="20.100000000000001" customHeight="1" x14ac:dyDescent="0.25">
      <c r="I356" s="246"/>
      <c r="K356" s="247"/>
      <c r="L356" s="247"/>
      <c r="M356" s="247"/>
      <c r="N356" s="248"/>
      <c r="O356" s="249"/>
      <c r="P356" s="247"/>
      <c r="R356" s="250"/>
      <c r="U356" s="247"/>
      <c r="V356" s="247"/>
      <c r="W356" s="247"/>
      <c r="X356" s="247"/>
      <c r="Y356" s="247"/>
      <c r="Z356" s="247"/>
      <c r="AA356" s="250"/>
      <c r="AH356" s="258">
        <f t="shared" si="60"/>
        <v>38</v>
      </c>
      <c r="AI356" s="258">
        <f t="shared" si="61"/>
        <v>200</v>
      </c>
      <c r="AJ356" s="259" t="str">
        <f t="shared" si="62"/>
        <v>2/0</v>
      </c>
      <c r="AK356" s="260">
        <f t="shared" si="63"/>
        <v>220.68</v>
      </c>
      <c r="AL356" s="226"/>
      <c r="AM356" s="258">
        <v>38</v>
      </c>
      <c r="AN356" s="258">
        <v>200</v>
      </c>
      <c r="AO356" s="262" t="s">
        <v>253</v>
      </c>
      <c r="AP356" s="260">
        <v>367.8</v>
      </c>
    </row>
    <row r="357" spans="9:42" ht="20.100000000000001" customHeight="1" x14ac:dyDescent="0.25">
      <c r="I357" s="246"/>
      <c r="K357" s="247"/>
      <c r="L357" s="247"/>
      <c r="M357" s="247"/>
      <c r="N357" s="248"/>
      <c r="O357" s="249"/>
      <c r="P357" s="247"/>
      <c r="R357" s="250"/>
      <c r="U357" s="247"/>
      <c r="V357" s="247"/>
      <c r="W357" s="247"/>
      <c r="X357" s="247"/>
      <c r="Y357" s="247"/>
      <c r="Z357" s="247"/>
      <c r="AA357" s="250"/>
      <c r="AH357" s="258">
        <f t="shared" si="60"/>
        <v>39</v>
      </c>
      <c r="AI357" s="258">
        <f t="shared" si="61"/>
        <v>200</v>
      </c>
      <c r="AJ357" s="259" t="str">
        <f t="shared" si="62"/>
        <v>2/0</v>
      </c>
      <c r="AK357" s="260">
        <f t="shared" si="63"/>
        <v>226.08</v>
      </c>
      <c r="AL357" s="226"/>
      <c r="AM357" s="258">
        <v>39</v>
      </c>
      <c r="AN357" s="258">
        <v>200</v>
      </c>
      <c r="AO357" s="262" t="s">
        <v>253</v>
      </c>
      <c r="AP357" s="260">
        <v>376.8</v>
      </c>
    </row>
    <row r="358" spans="9:42" ht="20.100000000000001" customHeight="1" x14ac:dyDescent="0.25">
      <c r="I358" s="246"/>
      <c r="K358" s="247"/>
      <c r="L358" s="247"/>
      <c r="M358" s="247"/>
      <c r="N358" s="248"/>
      <c r="O358" s="249"/>
      <c r="P358" s="247"/>
      <c r="R358" s="250"/>
      <c r="U358" s="247"/>
      <c r="V358" s="247"/>
      <c r="W358" s="247"/>
      <c r="X358" s="247"/>
      <c r="Y358" s="247"/>
      <c r="Z358" s="247"/>
      <c r="AA358" s="250"/>
      <c r="AH358" s="258">
        <f t="shared" si="60"/>
        <v>40</v>
      </c>
      <c r="AI358" s="258">
        <f t="shared" si="61"/>
        <v>200</v>
      </c>
      <c r="AJ358" s="259" t="str">
        <f t="shared" si="62"/>
        <v>2/0</v>
      </c>
      <c r="AK358" s="260">
        <f t="shared" si="63"/>
        <v>231.48</v>
      </c>
      <c r="AL358" s="226"/>
      <c r="AM358" s="258">
        <v>40</v>
      </c>
      <c r="AN358" s="258">
        <v>200</v>
      </c>
      <c r="AO358" s="262" t="s">
        <v>253</v>
      </c>
      <c r="AP358" s="260">
        <v>385.8</v>
      </c>
    </row>
    <row r="359" spans="9:42" ht="20.100000000000001" customHeight="1" x14ac:dyDescent="0.25">
      <c r="I359" s="246"/>
      <c r="K359" s="247"/>
      <c r="L359" s="247"/>
      <c r="M359" s="247"/>
      <c r="N359" s="248"/>
      <c r="O359" s="249"/>
      <c r="P359" s="247"/>
      <c r="R359" s="250"/>
      <c r="U359" s="247"/>
      <c r="V359" s="247"/>
      <c r="W359" s="247"/>
      <c r="X359" s="247"/>
      <c r="Y359" s="247"/>
      <c r="Z359" s="247"/>
      <c r="AA359" s="250"/>
      <c r="AH359" s="258">
        <f t="shared" si="60"/>
        <v>41</v>
      </c>
      <c r="AI359" s="258">
        <f t="shared" si="61"/>
        <v>200</v>
      </c>
      <c r="AJ359" s="259" t="str">
        <f t="shared" si="62"/>
        <v>2/0</v>
      </c>
      <c r="AK359" s="260">
        <f t="shared" si="63"/>
        <v>236.88</v>
      </c>
      <c r="AL359" s="226"/>
      <c r="AM359" s="258">
        <v>41</v>
      </c>
      <c r="AN359" s="258">
        <v>200</v>
      </c>
      <c r="AO359" s="262" t="s">
        <v>253</v>
      </c>
      <c r="AP359" s="260">
        <v>394.8</v>
      </c>
    </row>
    <row r="360" spans="9:42" ht="20.100000000000001" customHeight="1" x14ac:dyDescent="0.25">
      <c r="I360" s="246"/>
      <c r="K360" s="247"/>
      <c r="L360" s="247"/>
      <c r="M360" s="247"/>
      <c r="N360" s="248"/>
      <c r="O360" s="249"/>
      <c r="P360" s="247"/>
      <c r="R360" s="250"/>
      <c r="U360" s="247"/>
      <c r="V360" s="247"/>
      <c r="W360" s="247"/>
      <c r="X360" s="247"/>
      <c r="Y360" s="247"/>
      <c r="Z360" s="247"/>
      <c r="AA360" s="250"/>
      <c r="AH360" s="258">
        <f t="shared" si="60"/>
        <v>42</v>
      </c>
      <c r="AI360" s="258">
        <f t="shared" si="61"/>
        <v>200</v>
      </c>
      <c r="AJ360" s="259" t="str">
        <f t="shared" si="62"/>
        <v>2/0</v>
      </c>
      <c r="AK360" s="260">
        <f t="shared" si="63"/>
        <v>242.28</v>
      </c>
      <c r="AL360" s="226"/>
      <c r="AM360" s="258">
        <v>42</v>
      </c>
      <c r="AN360" s="258">
        <v>200</v>
      </c>
      <c r="AO360" s="262" t="s">
        <v>253</v>
      </c>
      <c r="AP360" s="260">
        <v>403.8</v>
      </c>
    </row>
    <row r="361" spans="9:42" ht="20.100000000000001" customHeight="1" x14ac:dyDescent="0.25">
      <c r="I361" s="246"/>
      <c r="K361" s="247"/>
      <c r="L361" s="247"/>
      <c r="M361" s="247"/>
      <c r="N361" s="248"/>
      <c r="O361" s="249"/>
      <c r="P361" s="247"/>
      <c r="R361" s="250"/>
      <c r="U361" s="247"/>
      <c r="V361" s="247"/>
      <c r="W361" s="247"/>
      <c r="X361" s="247"/>
      <c r="Y361" s="247"/>
      <c r="Z361" s="247"/>
      <c r="AA361" s="250"/>
      <c r="AH361" s="258">
        <f t="shared" si="60"/>
        <v>43</v>
      </c>
      <c r="AI361" s="258">
        <f t="shared" si="61"/>
        <v>200</v>
      </c>
      <c r="AJ361" s="259" t="str">
        <f t="shared" si="62"/>
        <v>2/0</v>
      </c>
      <c r="AK361" s="260">
        <f t="shared" si="63"/>
        <v>247.68</v>
      </c>
      <c r="AL361" s="226"/>
      <c r="AM361" s="258">
        <v>43</v>
      </c>
      <c r="AN361" s="258">
        <v>200</v>
      </c>
      <c r="AO361" s="262" t="s">
        <v>253</v>
      </c>
      <c r="AP361" s="260">
        <v>412.8</v>
      </c>
    </row>
    <row r="362" spans="9:42" ht="20.100000000000001" customHeight="1" x14ac:dyDescent="0.25">
      <c r="I362" s="246"/>
      <c r="K362" s="247"/>
      <c r="L362" s="247"/>
      <c r="M362" s="247"/>
      <c r="N362" s="248"/>
      <c r="O362" s="249"/>
      <c r="P362" s="247"/>
      <c r="R362" s="250"/>
      <c r="U362" s="247"/>
      <c r="V362" s="247"/>
      <c r="W362" s="247"/>
      <c r="X362" s="247"/>
      <c r="Y362" s="247"/>
      <c r="Z362" s="247"/>
      <c r="AA362" s="250"/>
      <c r="AH362" s="258">
        <f t="shared" si="60"/>
        <v>44</v>
      </c>
      <c r="AI362" s="258">
        <f t="shared" si="61"/>
        <v>200</v>
      </c>
      <c r="AJ362" s="259" t="str">
        <f t="shared" si="62"/>
        <v>2/0</v>
      </c>
      <c r="AK362" s="260">
        <f t="shared" si="63"/>
        <v>253.14</v>
      </c>
      <c r="AL362" s="226"/>
      <c r="AM362" s="258">
        <v>44</v>
      </c>
      <c r="AN362" s="258">
        <v>200</v>
      </c>
      <c r="AO362" s="262" t="s">
        <v>253</v>
      </c>
      <c r="AP362" s="260">
        <v>421.9</v>
      </c>
    </row>
    <row r="363" spans="9:42" ht="20.100000000000001" customHeight="1" x14ac:dyDescent="0.25">
      <c r="I363" s="246"/>
      <c r="K363" s="247"/>
      <c r="L363" s="247"/>
      <c r="M363" s="247"/>
      <c r="N363" s="248"/>
      <c r="O363" s="249"/>
      <c r="P363" s="247"/>
      <c r="R363" s="250"/>
      <c r="U363" s="247"/>
      <c r="V363" s="247"/>
      <c r="W363" s="247"/>
      <c r="X363" s="247"/>
      <c r="Y363" s="247"/>
      <c r="Z363" s="247"/>
      <c r="AA363" s="250"/>
      <c r="AH363" s="258">
        <f t="shared" si="60"/>
        <v>45</v>
      </c>
      <c r="AI363" s="258">
        <f t="shared" si="61"/>
        <v>200</v>
      </c>
      <c r="AJ363" s="259" t="str">
        <f t="shared" si="62"/>
        <v>2/0</v>
      </c>
      <c r="AK363" s="260">
        <f t="shared" si="63"/>
        <v>258.59999999999997</v>
      </c>
      <c r="AL363" s="226"/>
      <c r="AM363" s="258">
        <v>45</v>
      </c>
      <c r="AN363" s="258">
        <v>200</v>
      </c>
      <c r="AO363" s="262" t="s">
        <v>253</v>
      </c>
      <c r="AP363" s="260">
        <v>431</v>
      </c>
    </row>
    <row r="364" spans="9:42" ht="20.100000000000001" customHeight="1" x14ac:dyDescent="0.25">
      <c r="I364" s="246"/>
      <c r="K364" s="247"/>
      <c r="L364" s="247"/>
      <c r="M364" s="247"/>
      <c r="N364" s="248"/>
      <c r="O364" s="249"/>
      <c r="P364" s="247"/>
      <c r="R364" s="250"/>
      <c r="U364" s="247"/>
      <c r="V364" s="247"/>
      <c r="W364" s="247"/>
      <c r="X364" s="247"/>
      <c r="Y364" s="247"/>
      <c r="Z364" s="247"/>
      <c r="AA364" s="250"/>
      <c r="AH364" s="258">
        <f t="shared" si="60"/>
        <v>46</v>
      </c>
      <c r="AI364" s="258">
        <f t="shared" si="61"/>
        <v>200</v>
      </c>
      <c r="AJ364" s="259" t="str">
        <f t="shared" si="62"/>
        <v>2/0</v>
      </c>
      <c r="AK364" s="260">
        <f t="shared" si="63"/>
        <v>264</v>
      </c>
      <c r="AL364" s="226"/>
      <c r="AM364" s="258">
        <v>46</v>
      </c>
      <c r="AN364" s="258">
        <v>200</v>
      </c>
      <c r="AO364" s="262" t="s">
        <v>253</v>
      </c>
      <c r="AP364" s="260">
        <v>440</v>
      </c>
    </row>
    <row r="365" spans="9:42" ht="20.100000000000001" customHeight="1" x14ac:dyDescent="0.25">
      <c r="I365" s="246"/>
      <c r="K365" s="247"/>
      <c r="L365" s="247"/>
      <c r="M365" s="247"/>
      <c r="N365" s="248"/>
      <c r="O365" s="249"/>
      <c r="P365" s="247"/>
      <c r="R365" s="250"/>
      <c r="U365" s="247"/>
      <c r="V365" s="247"/>
      <c r="W365" s="247"/>
      <c r="X365" s="247"/>
      <c r="Y365" s="247"/>
      <c r="Z365" s="247"/>
      <c r="AA365" s="250"/>
      <c r="AH365" s="258">
        <f t="shared" si="60"/>
        <v>47</v>
      </c>
      <c r="AI365" s="258">
        <f t="shared" si="61"/>
        <v>200</v>
      </c>
      <c r="AJ365" s="259" t="str">
        <f t="shared" si="62"/>
        <v>2/0</v>
      </c>
      <c r="AK365" s="260">
        <f t="shared" si="63"/>
        <v>269.39999999999998</v>
      </c>
      <c r="AL365" s="226"/>
      <c r="AM365" s="258">
        <v>47</v>
      </c>
      <c r="AN365" s="258">
        <v>200</v>
      </c>
      <c r="AO365" s="262" t="s">
        <v>253</v>
      </c>
      <c r="AP365" s="260">
        <v>449</v>
      </c>
    </row>
    <row r="366" spans="9:42" ht="20.100000000000001" customHeight="1" x14ac:dyDescent="0.25">
      <c r="I366" s="246"/>
      <c r="K366" s="247"/>
      <c r="L366" s="247"/>
      <c r="M366" s="247"/>
      <c r="N366" s="248"/>
      <c r="O366" s="249"/>
      <c r="P366" s="247"/>
      <c r="R366" s="250"/>
      <c r="U366" s="247"/>
      <c r="V366" s="247"/>
      <c r="W366" s="247"/>
      <c r="X366" s="247"/>
      <c r="Y366" s="247"/>
      <c r="Z366" s="247"/>
      <c r="AA366" s="250"/>
      <c r="AH366" s="258">
        <f t="shared" si="60"/>
        <v>48</v>
      </c>
      <c r="AI366" s="258">
        <f t="shared" si="61"/>
        <v>200</v>
      </c>
      <c r="AJ366" s="259" t="str">
        <f t="shared" si="62"/>
        <v>2/0</v>
      </c>
      <c r="AK366" s="260">
        <f t="shared" si="63"/>
        <v>274.8</v>
      </c>
      <c r="AL366" s="226"/>
      <c r="AM366" s="258">
        <v>48</v>
      </c>
      <c r="AN366" s="258">
        <v>200</v>
      </c>
      <c r="AO366" s="262" t="s">
        <v>253</v>
      </c>
      <c r="AP366" s="260">
        <v>458</v>
      </c>
    </row>
    <row r="367" spans="9:42" ht="20.100000000000001" customHeight="1" x14ac:dyDescent="0.25">
      <c r="I367" s="246"/>
      <c r="K367" s="247"/>
      <c r="L367" s="247"/>
      <c r="M367" s="247"/>
      <c r="N367" s="248"/>
      <c r="O367" s="249"/>
      <c r="P367" s="247"/>
      <c r="R367" s="250"/>
      <c r="U367" s="247"/>
      <c r="V367" s="247"/>
      <c r="W367" s="247"/>
      <c r="X367" s="247"/>
      <c r="Y367" s="247"/>
      <c r="Z367" s="247"/>
      <c r="AA367" s="250"/>
      <c r="AH367" s="258">
        <f t="shared" si="60"/>
        <v>49</v>
      </c>
      <c r="AI367" s="258">
        <f t="shared" si="61"/>
        <v>200</v>
      </c>
      <c r="AJ367" s="259" t="str">
        <f t="shared" si="62"/>
        <v>2/0</v>
      </c>
      <c r="AK367" s="260">
        <f t="shared" si="63"/>
        <v>280.2</v>
      </c>
      <c r="AL367" s="226"/>
      <c r="AM367" s="258">
        <v>49</v>
      </c>
      <c r="AN367" s="258">
        <v>200</v>
      </c>
      <c r="AO367" s="262" t="s">
        <v>253</v>
      </c>
      <c r="AP367" s="260">
        <v>467</v>
      </c>
    </row>
    <row r="368" spans="9:42" ht="20.100000000000001" customHeight="1" x14ac:dyDescent="0.25">
      <c r="I368" s="246"/>
      <c r="K368" s="247"/>
      <c r="L368" s="247"/>
      <c r="M368" s="247"/>
      <c r="N368" s="248"/>
      <c r="O368" s="249"/>
      <c r="P368" s="247"/>
      <c r="R368" s="250"/>
      <c r="U368" s="247"/>
      <c r="V368" s="247"/>
      <c r="W368" s="247"/>
      <c r="X368" s="247"/>
      <c r="Y368" s="247"/>
      <c r="Z368" s="247"/>
      <c r="AA368" s="250"/>
      <c r="AH368" s="258">
        <f t="shared" si="60"/>
        <v>50</v>
      </c>
      <c r="AI368" s="258">
        <f t="shared" si="61"/>
        <v>200</v>
      </c>
      <c r="AJ368" s="259" t="str">
        <f t="shared" si="62"/>
        <v>2/0</v>
      </c>
      <c r="AK368" s="260">
        <f t="shared" si="63"/>
        <v>286.2</v>
      </c>
      <c r="AL368" s="226"/>
      <c r="AM368" s="258">
        <v>50</v>
      </c>
      <c r="AN368" s="258">
        <v>200</v>
      </c>
      <c r="AO368" s="262" t="s">
        <v>253</v>
      </c>
      <c r="AP368" s="260">
        <v>477</v>
      </c>
    </row>
    <row r="369" spans="9:42" ht="20.100000000000001" customHeight="1" x14ac:dyDescent="0.25">
      <c r="I369" s="246"/>
      <c r="K369" s="247"/>
      <c r="L369" s="247"/>
      <c r="M369" s="247"/>
      <c r="N369" s="248"/>
      <c r="O369" s="249"/>
      <c r="P369" s="247"/>
      <c r="R369" s="250"/>
      <c r="U369" s="247"/>
      <c r="V369" s="247"/>
      <c r="W369" s="247"/>
      <c r="X369" s="247"/>
      <c r="Y369" s="247"/>
      <c r="Z369" s="247"/>
      <c r="AA369" s="250"/>
      <c r="AH369" s="258">
        <f t="shared" si="60"/>
        <v>51</v>
      </c>
      <c r="AI369" s="258">
        <f t="shared" si="61"/>
        <v>200</v>
      </c>
      <c r="AJ369" s="259" t="str">
        <f t="shared" si="62"/>
        <v>2/1</v>
      </c>
      <c r="AK369" s="260">
        <f t="shared" si="63"/>
        <v>267.18</v>
      </c>
      <c r="AL369" s="226"/>
      <c r="AM369" s="258">
        <v>51</v>
      </c>
      <c r="AN369" s="258">
        <v>200</v>
      </c>
      <c r="AO369" s="262" t="s">
        <v>256</v>
      </c>
      <c r="AP369" s="260">
        <v>445.3</v>
      </c>
    </row>
    <row r="370" spans="9:42" ht="20.100000000000001" customHeight="1" x14ac:dyDescent="0.25">
      <c r="I370" s="246"/>
      <c r="K370" s="247"/>
      <c r="L370" s="247"/>
      <c r="M370" s="247"/>
      <c r="N370" s="248"/>
      <c r="O370" s="249"/>
      <c r="P370" s="247"/>
      <c r="R370" s="250"/>
      <c r="U370" s="247"/>
      <c r="V370" s="247"/>
      <c r="W370" s="247"/>
      <c r="X370" s="247"/>
      <c r="Y370" s="247"/>
      <c r="Z370" s="247"/>
      <c r="AA370" s="250"/>
      <c r="AH370" s="258">
        <f t="shared" si="60"/>
        <v>52</v>
      </c>
      <c r="AI370" s="258">
        <f t="shared" si="61"/>
        <v>200</v>
      </c>
      <c r="AJ370" s="259" t="str">
        <f t="shared" si="62"/>
        <v>2/1</v>
      </c>
      <c r="AK370" s="260">
        <f t="shared" si="63"/>
        <v>272.39999999999998</v>
      </c>
      <c r="AL370" s="226"/>
      <c r="AM370" s="258">
        <v>52</v>
      </c>
      <c r="AN370" s="258">
        <v>200</v>
      </c>
      <c r="AO370" s="262" t="s">
        <v>256</v>
      </c>
      <c r="AP370" s="260">
        <v>454</v>
      </c>
    </row>
    <row r="371" spans="9:42" ht="20.100000000000001" customHeight="1" x14ac:dyDescent="0.25">
      <c r="I371" s="246"/>
      <c r="K371" s="247"/>
      <c r="L371" s="247"/>
      <c r="M371" s="247"/>
      <c r="N371" s="248"/>
      <c r="O371" s="249"/>
      <c r="P371" s="247"/>
      <c r="R371" s="250"/>
      <c r="U371" s="247"/>
      <c r="V371" s="247"/>
      <c r="W371" s="247"/>
      <c r="X371" s="247"/>
      <c r="Y371" s="247"/>
      <c r="Z371" s="247"/>
      <c r="AA371" s="250"/>
      <c r="AH371" s="258">
        <f t="shared" si="60"/>
        <v>53</v>
      </c>
      <c r="AI371" s="258">
        <f t="shared" si="61"/>
        <v>200</v>
      </c>
      <c r="AJ371" s="259" t="str">
        <f t="shared" si="62"/>
        <v>2/1</v>
      </c>
      <c r="AK371" s="260">
        <f t="shared" si="63"/>
        <v>277.62</v>
      </c>
      <c r="AL371" s="226"/>
      <c r="AM371" s="258">
        <v>53</v>
      </c>
      <c r="AN371" s="258">
        <v>200</v>
      </c>
      <c r="AO371" s="262" t="s">
        <v>256</v>
      </c>
      <c r="AP371" s="260">
        <v>462.7</v>
      </c>
    </row>
    <row r="372" spans="9:42" ht="20.100000000000001" customHeight="1" x14ac:dyDescent="0.25">
      <c r="I372" s="246"/>
      <c r="K372" s="247"/>
      <c r="L372" s="247"/>
      <c r="M372" s="247"/>
      <c r="N372" s="248"/>
      <c r="O372" s="249"/>
      <c r="P372" s="247"/>
      <c r="R372" s="250"/>
      <c r="U372" s="247"/>
      <c r="V372" s="247"/>
      <c r="W372" s="247"/>
      <c r="X372" s="247"/>
      <c r="Y372" s="247"/>
      <c r="Z372" s="247"/>
      <c r="AA372" s="250"/>
      <c r="AH372" s="258">
        <f t="shared" si="60"/>
        <v>54</v>
      </c>
      <c r="AI372" s="258">
        <f t="shared" si="61"/>
        <v>200</v>
      </c>
      <c r="AJ372" s="259" t="str">
        <f t="shared" si="62"/>
        <v>2/1</v>
      </c>
      <c r="AK372" s="260">
        <f t="shared" si="63"/>
        <v>282.77999999999997</v>
      </c>
      <c r="AL372" s="226"/>
      <c r="AM372" s="258">
        <v>54</v>
      </c>
      <c r="AN372" s="258">
        <v>200</v>
      </c>
      <c r="AO372" s="262" t="s">
        <v>256</v>
      </c>
      <c r="AP372" s="260">
        <v>471.3</v>
      </c>
    </row>
    <row r="373" spans="9:42" ht="20.100000000000001" customHeight="1" x14ac:dyDescent="0.25">
      <c r="I373" s="246"/>
      <c r="K373" s="247"/>
      <c r="L373" s="247"/>
      <c r="M373" s="247"/>
      <c r="N373" s="248"/>
      <c r="O373" s="249"/>
      <c r="P373" s="247"/>
      <c r="R373" s="250"/>
      <c r="U373" s="247"/>
      <c r="V373" s="247"/>
      <c r="W373" s="247"/>
      <c r="X373" s="247"/>
      <c r="Y373" s="247"/>
      <c r="Z373" s="247"/>
      <c r="AA373" s="250"/>
      <c r="AH373" s="258">
        <f t="shared" si="60"/>
        <v>55</v>
      </c>
      <c r="AI373" s="258">
        <f t="shared" si="61"/>
        <v>200</v>
      </c>
      <c r="AJ373" s="259" t="str">
        <f t="shared" si="62"/>
        <v>2/2</v>
      </c>
      <c r="AK373" s="260">
        <f t="shared" si="63"/>
        <v>278.16000000000003</v>
      </c>
      <c r="AL373" s="226"/>
      <c r="AM373" s="258">
        <v>55</v>
      </c>
      <c r="AN373" s="258">
        <v>200</v>
      </c>
      <c r="AO373" s="262" t="s">
        <v>258</v>
      </c>
      <c r="AP373" s="260">
        <v>463.6</v>
      </c>
    </row>
    <row r="374" spans="9:42" ht="20.100000000000001" customHeight="1" x14ac:dyDescent="0.25">
      <c r="I374" s="246"/>
      <c r="K374" s="247"/>
      <c r="L374" s="247"/>
      <c r="M374" s="247"/>
      <c r="N374" s="248"/>
      <c r="O374" s="249"/>
      <c r="P374" s="247"/>
      <c r="R374" s="250"/>
      <c r="U374" s="247"/>
      <c r="V374" s="247"/>
      <c r="W374" s="247"/>
      <c r="X374" s="247"/>
      <c r="Y374" s="247"/>
      <c r="Z374" s="247"/>
      <c r="AA374" s="250"/>
      <c r="AH374" s="258">
        <f t="shared" si="60"/>
        <v>56</v>
      </c>
      <c r="AI374" s="258">
        <f t="shared" si="61"/>
        <v>200</v>
      </c>
      <c r="AJ374" s="259" t="str">
        <f t="shared" si="62"/>
        <v>2/2</v>
      </c>
      <c r="AK374" s="260">
        <f t="shared" si="63"/>
        <v>283.62</v>
      </c>
      <c r="AL374" s="226"/>
      <c r="AM374" s="258">
        <v>56</v>
      </c>
      <c r="AN374" s="258">
        <v>200</v>
      </c>
      <c r="AO374" s="262" t="s">
        <v>258</v>
      </c>
      <c r="AP374" s="260">
        <v>472.7</v>
      </c>
    </row>
    <row r="375" spans="9:42" ht="20.100000000000001" customHeight="1" x14ac:dyDescent="0.25">
      <c r="I375" s="246"/>
      <c r="K375" s="247"/>
      <c r="L375" s="247"/>
      <c r="M375" s="247"/>
      <c r="N375" s="248"/>
      <c r="O375" s="249"/>
      <c r="P375" s="247"/>
      <c r="R375" s="250"/>
      <c r="U375" s="247"/>
      <c r="V375" s="247"/>
      <c r="W375" s="247"/>
      <c r="X375" s="247"/>
      <c r="Y375" s="247"/>
      <c r="Z375" s="247"/>
      <c r="AA375" s="250"/>
      <c r="AH375" s="258">
        <f t="shared" si="60"/>
        <v>57</v>
      </c>
      <c r="AI375" s="258">
        <f t="shared" si="61"/>
        <v>200</v>
      </c>
      <c r="AJ375" s="259" t="str">
        <f t="shared" si="62"/>
        <v>2/2</v>
      </c>
      <c r="AK375" s="260">
        <f t="shared" si="63"/>
        <v>289.08</v>
      </c>
      <c r="AL375" s="226"/>
      <c r="AM375" s="258">
        <v>57</v>
      </c>
      <c r="AN375" s="258">
        <v>200</v>
      </c>
      <c r="AO375" s="262" t="s">
        <v>258</v>
      </c>
      <c r="AP375" s="260">
        <v>481.8</v>
      </c>
    </row>
    <row r="376" spans="9:42" ht="20.100000000000001" customHeight="1" x14ac:dyDescent="0.25">
      <c r="I376" s="246"/>
      <c r="K376" s="247"/>
      <c r="L376" s="247"/>
      <c r="M376" s="247"/>
      <c r="N376" s="248"/>
      <c r="O376" s="249"/>
      <c r="P376" s="247"/>
      <c r="R376" s="250"/>
      <c r="U376" s="247"/>
      <c r="V376" s="247"/>
      <c r="W376" s="247"/>
      <c r="X376" s="247"/>
      <c r="Y376" s="247"/>
      <c r="Z376" s="247"/>
      <c r="AA376" s="250"/>
      <c r="AH376" s="258">
        <f t="shared" si="60"/>
        <v>58</v>
      </c>
      <c r="AI376" s="258">
        <f t="shared" si="61"/>
        <v>200</v>
      </c>
      <c r="AJ376" s="259" t="str">
        <f t="shared" si="62"/>
        <v>2/2</v>
      </c>
      <c r="AK376" s="260">
        <f t="shared" si="63"/>
        <v>294.53999999999996</v>
      </c>
      <c r="AL376" s="226"/>
      <c r="AM376" s="258">
        <v>58</v>
      </c>
      <c r="AN376" s="258">
        <v>200</v>
      </c>
      <c r="AO376" s="262" t="s">
        <v>258</v>
      </c>
      <c r="AP376" s="260">
        <v>490.9</v>
      </c>
    </row>
    <row r="377" spans="9:42" ht="20.100000000000001" customHeight="1" x14ac:dyDescent="0.25">
      <c r="I377" s="246"/>
      <c r="K377" s="247"/>
      <c r="L377" s="247"/>
      <c r="M377" s="247"/>
      <c r="N377" s="248"/>
      <c r="O377" s="249"/>
      <c r="P377" s="247"/>
      <c r="R377" s="250"/>
      <c r="U377" s="247"/>
      <c r="V377" s="247"/>
      <c r="W377" s="247"/>
      <c r="X377" s="247"/>
      <c r="Y377" s="247"/>
      <c r="Z377" s="247"/>
      <c r="AA377" s="250"/>
      <c r="AH377" s="258">
        <f t="shared" si="60"/>
        <v>59</v>
      </c>
      <c r="AI377" s="258">
        <f t="shared" si="61"/>
        <v>200</v>
      </c>
      <c r="AJ377" s="259" t="str">
        <f t="shared" si="62"/>
        <v>2/2</v>
      </c>
      <c r="AK377" s="260">
        <f t="shared" si="63"/>
        <v>300</v>
      </c>
      <c r="AL377" s="226"/>
      <c r="AM377" s="258">
        <v>59</v>
      </c>
      <c r="AN377" s="258">
        <v>200</v>
      </c>
      <c r="AO377" s="262" t="s">
        <v>258</v>
      </c>
      <c r="AP377" s="260">
        <v>500</v>
      </c>
    </row>
    <row r="378" spans="9:42" ht="20.100000000000001" customHeight="1" x14ac:dyDescent="0.25">
      <c r="I378" s="246"/>
      <c r="K378" s="247"/>
      <c r="L378" s="247"/>
      <c r="M378" s="247"/>
      <c r="N378" s="248"/>
      <c r="O378" s="249"/>
      <c r="P378" s="247"/>
      <c r="R378" s="250"/>
      <c r="U378" s="247"/>
      <c r="V378" s="247"/>
      <c r="W378" s="247"/>
      <c r="X378" s="247"/>
      <c r="Y378" s="247"/>
      <c r="Z378" s="247"/>
      <c r="AA378" s="250"/>
      <c r="AH378" s="258" t="str">
        <f t="shared" si="59"/>
        <v>&gt;&gt;&gt;&gt;&gt;&gt;</v>
      </c>
      <c r="AI378" s="258"/>
      <c r="AJ378" s="259"/>
      <c r="AK378" s="260"/>
      <c r="AL378" s="226"/>
      <c r="AM378" s="258" t="s">
        <v>249</v>
      </c>
      <c r="AN378" s="258"/>
      <c r="AO378" s="262"/>
      <c r="AP378" s="260"/>
    </row>
    <row r="379" spans="9:42" ht="20.100000000000001" customHeight="1" x14ac:dyDescent="0.25">
      <c r="I379" s="246"/>
      <c r="K379" s="247"/>
      <c r="L379" s="247"/>
      <c r="M379" s="247"/>
      <c r="N379" s="248"/>
      <c r="O379" s="249"/>
      <c r="P379" s="247"/>
      <c r="R379" s="250"/>
      <c r="U379" s="247"/>
      <c r="V379" s="247"/>
      <c r="W379" s="247"/>
      <c r="X379" s="247"/>
      <c r="Y379" s="247"/>
      <c r="Z379" s="247"/>
      <c r="AA379" s="250"/>
      <c r="AH379" s="258">
        <f t="shared" si="59"/>
        <v>3</v>
      </c>
      <c r="AI379" s="258">
        <f t="shared" si="59"/>
        <v>225</v>
      </c>
      <c r="AJ379" s="259" t="str">
        <f t="shared" si="59"/>
        <v>4/0</v>
      </c>
      <c r="AK379" s="260">
        <f t="shared" ref="AK379:AK381" si="68">(1-$AL$2)*AP379</f>
        <v>56.4</v>
      </c>
      <c r="AL379" s="226"/>
      <c r="AM379" s="258">
        <v>3</v>
      </c>
      <c r="AN379" s="258">
        <v>225</v>
      </c>
      <c r="AO379" s="262" t="s">
        <v>179</v>
      </c>
      <c r="AP379" s="260">
        <v>94</v>
      </c>
    </row>
    <row r="380" spans="9:42" ht="20.100000000000001" customHeight="1" x14ac:dyDescent="0.25">
      <c r="I380" s="246"/>
      <c r="K380" s="247"/>
      <c r="L380" s="247"/>
      <c r="M380" s="247"/>
      <c r="N380" s="248"/>
      <c r="O380" s="249"/>
      <c r="P380" s="247"/>
      <c r="R380" s="250"/>
      <c r="U380" s="247"/>
      <c r="V380" s="247"/>
      <c r="W380" s="247"/>
      <c r="X380" s="247"/>
      <c r="Y380" s="247"/>
      <c r="Z380" s="247"/>
      <c r="AA380" s="250"/>
      <c r="AH380" s="258">
        <f t="shared" si="59"/>
        <v>4</v>
      </c>
      <c r="AI380" s="258">
        <f t="shared" si="59"/>
        <v>225</v>
      </c>
      <c r="AJ380" s="259" t="str">
        <f t="shared" si="59"/>
        <v>4/0</v>
      </c>
      <c r="AK380" s="260">
        <f t="shared" si="68"/>
        <v>66</v>
      </c>
      <c r="AL380" s="226"/>
      <c r="AM380" s="258">
        <v>4</v>
      </c>
      <c r="AN380" s="258">
        <v>225</v>
      </c>
      <c r="AO380" s="262" t="s">
        <v>179</v>
      </c>
      <c r="AP380" s="260">
        <v>110</v>
      </c>
    </row>
    <row r="381" spans="9:42" ht="20.100000000000001" customHeight="1" x14ac:dyDescent="0.25">
      <c r="I381" s="246"/>
      <c r="K381" s="247"/>
      <c r="L381" s="247"/>
      <c r="M381" s="247"/>
      <c r="N381" s="248"/>
      <c r="O381" s="249"/>
      <c r="P381" s="247"/>
      <c r="R381" s="250"/>
      <c r="U381" s="247"/>
      <c r="V381" s="247"/>
      <c r="W381" s="247"/>
      <c r="X381" s="247"/>
      <c r="Y381" s="247"/>
      <c r="Z381" s="247"/>
      <c r="AA381" s="250"/>
      <c r="AH381" s="258">
        <f t="shared" si="59"/>
        <v>5</v>
      </c>
      <c r="AI381" s="258">
        <f t="shared" si="59"/>
        <v>225</v>
      </c>
      <c r="AJ381" s="259" t="str">
        <f t="shared" si="59"/>
        <v>4/0</v>
      </c>
      <c r="AK381" s="260">
        <f t="shared" si="68"/>
        <v>75.599999999999994</v>
      </c>
      <c r="AL381" s="226"/>
      <c r="AM381" s="258">
        <v>5</v>
      </c>
      <c r="AN381" s="258">
        <v>225</v>
      </c>
      <c r="AO381" s="262" t="s">
        <v>179</v>
      </c>
      <c r="AP381" s="260">
        <v>126</v>
      </c>
    </row>
    <row r="382" spans="9:42" ht="20.100000000000001" customHeight="1" x14ac:dyDescent="0.25">
      <c r="I382" s="246"/>
      <c r="K382" s="247"/>
      <c r="L382" s="247"/>
      <c r="M382" s="247"/>
      <c r="N382" s="248"/>
      <c r="O382" s="249"/>
      <c r="P382" s="247"/>
      <c r="R382" s="250"/>
      <c r="U382" s="247"/>
      <c r="V382" s="247"/>
      <c r="W382" s="247"/>
      <c r="X382" s="247"/>
      <c r="Y382" s="247"/>
      <c r="Z382" s="247"/>
      <c r="AA382" s="250"/>
      <c r="AH382" s="258">
        <f t="shared" ref="AH382:AH429" si="69">AM382</f>
        <v>6</v>
      </c>
      <c r="AI382" s="258">
        <f t="shared" ref="AI382:AI429" si="70">AN382</f>
        <v>225</v>
      </c>
      <c r="AJ382" s="259" t="str">
        <f t="shared" ref="AJ382:AJ429" si="71">AO382</f>
        <v>4/0</v>
      </c>
      <c r="AK382" s="260">
        <f t="shared" ref="AK382:AK429" si="72">(1-$AL$2)*AP382</f>
        <v>85.8</v>
      </c>
      <c r="AL382" s="226"/>
      <c r="AM382" s="258">
        <v>6</v>
      </c>
      <c r="AN382" s="258">
        <v>225</v>
      </c>
      <c r="AO382" s="262" t="s">
        <v>179</v>
      </c>
      <c r="AP382" s="260">
        <v>143</v>
      </c>
    </row>
    <row r="383" spans="9:42" ht="20.100000000000001" customHeight="1" x14ac:dyDescent="0.25">
      <c r="I383" s="246"/>
      <c r="K383" s="247"/>
      <c r="L383" s="247"/>
      <c r="M383" s="247"/>
      <c r="N383" s="248"/>
      <c r="O383" s="249"/>
      <c r="P383" s="247"/>
      <c r="R383" s="250"/>
      <c r="U383" s="247"/>
      <c r="V383" s="247"/>
      <c r="W383" s="247"/>
      <c r="X383" s="247"/>
      <c r="Y383" s="247"/>
      <c r="Z383" s="247"/>
      <c r="AA383" s="250"/>
      <c r="AH383" s="258">
        <f t="shared" si="69"/>
        <v>7</v>
      </c>
      <c r="AI383" s="258">
        <f t="shared" si="70"/>
        <v>225</v>
      </c>
      <c r="AJ383" s="259" t="str">
        <f t="shared" si="71"/>
        <v>4/0</v>
      </c>
      <c r="AK383" s="260">
        <f t="shared" si="72"/>
        <v>95.399999999999991</v>
      </c>
      <c r="AL383" s="226"/>
      <c r="AM383" s="258">
        <v>7</v>
      </c>
      <c r="AN383" s="258">
        <v>225</v>
      </c>
      <c r="AO383" s="262" t="s">
        <v>179</v>
      </c>
      <c r="AP383" s="260">
        <v>159</v>
      </c>
    </row>
    <row r="384" spans="9:42" ht="20.100000000000001" customHeight="1" x14ac:dyDescent="0.25">
      <c r="I384" s="246"/>
      <c r="K384" s="247"/>
      <c r="L384" s="247"/>
      <c r="M384" s="247"/>
      <c r="N384" s="248"/>
      <c r="O384" s="249"/>
      <c r="P384" s="247"/>
      <c r="R384" s="250"/>
      <c r="U384" s="247"/>
      <c r="V384" s="247"/>
      <c r="W384" s="247"/>
      <c r="X384" s="247"/>
      <c r="Y384" s="247"/>
      <c r="Z384" s="247"/>
      <c r="AA384" s="250"/>
      <c r="AH384" s="258">
        <f t="shared" si="69"/>
        <v>8</v>
      </c>
      <c r="AI384" s="258">
        <f t="shared" si="70"/>
        <v>225</v>
      </c>
      <c r="AJ384" s="259" t="str">
        <f t="shared" si="71"/>
        <v>4/0</v>
      </c>
      <c r="AK384" s="260">
        <f t="shared" si="72"/>
        <v>105.6</v>
      </c>
      <c r="AL384" s="226"/>
      <c r="AM384" s="258">
        <v>8</v>
      </c>
      <c r="AN384" s="258">
        <v>225</v>
      </c>
      <c r="AO384" s="262" t="s">
        <v>179</v>
      </c>
      <c r="AP384" s="260">
        <v>176</v>
      </c>
    </row>
    <row r="385" spans="9:42" ht="20.100000000000001" customHeight="1" x14ac:dyDescent="0.25">
      <c r="I385" s="246"/>
      <c r="K385" s="247"/>
      <c r="L385" s="247"/>
      <c r="M385" s="247"/>
      <c r="N385" s="248"/>
      <c r="O385" s="249"/>
      <c r="P385" s="247"/>
      <c r="R385" s="250"/>
      <c r="U385" s="247"/>
      <c r="V385" s="247"/>
      <c r="W385" s="247"/>
      <c r="X385" s="247"/>
      <c r="Y385" s="247"/>
      <c r="Z385" s="247"/>
      <c r="AA385" s="250"/>
      <c r="AH385" s="258">
        <f t="shared" si="69"/>
        <v>9</v>
      </c>
      <c r="AI385" s="258">
        <f t="shared" si="70"/>
        <v>225</v>
      </c>
      <c r="AJ385" s="259" t="str">
        <f t="shared" si="71"/>
        <v>4/0</v>
      </c>
      <c r="AK385" s="260">
        <f t="shared" si="72"/>
        <v>115.19999999999999</v>
      </c>
      <c r="AL385" s="226"/>
      <c r="AM385" s="258">
        <v>9</v>
      </c>
      <c r="AN385" s="258">
        <v>225</v>
      </c>
      <c r="AO385" s="262" t="s">
        <v>179</v>
      </c>
      <c r="AP385" s="260">
        <v>192</v>
      </c>
    </row>
    <row r="386" spans="9:42" ht="20.100000000000001" customHeight="1" x14ac:dyDescent="0.25">
      <c r="I386" s="246"/>
      <c r="K386" s="247"/>
      <c r="L386" s="247"/>
      <c r="M386" s="247"/>
      <c r="N386" s="248"/>
      <c r="O386" s="249"/>
      <c r="P386" s="247"/>
      <c r="R386" s="250"/>
      <c r="U386" s="247"/>
      <c r="V386" s="247"/>
      <c r="W386" s="247"/>
      <c r="X386" s="247"/>
      <c r="Y386" s="247"/>
      <c r="Z386" s="247"/>
      <c r="AA386" s="250"/>
      <c r="AH386" s="258">
        <f t="shared" si="69"/>
        <v>10</v>
      </c>
      <c r="AI386" s="258">
        <f t="shared" si="70"/>
        <v>225</v>
      </c>
      <c r="AJ386" s="259" t="str">
        <f t="shared" si="71"/>
        <v>4/0</v>
      </c>
      <c r="AK386" s="260">
        <f t="shared" si="72"/>
        <v>125.39999999999999</v>
      </c>
      <c r="AL386" s="226"/>
      <c r="AM386" s="258">
        <v>10</v>
      </c>
      <c r="AN386" s="258">
        <v>225</v>
      </c>
      <c r="AO386" s="262" t="s">
        <v>179</v>
      </c>
      <c r="AP386" s="260">
        <v>209</v>
      </c>
    </row>
    <row r="387" spans="9:42" ht="20.100000000000001" customHeight="1" x14ac:dyDescent="0.25">
      <c r="I387" s="246"/>
      <c r="K387" s="247"/>
      <c r="L387" s="247"/>
      <c r="M387" s="247"/>
      <c r="N387" s="248"/>
      <c r="O387" s="249"/>
      <c r="P387" s="247"/>
      <c r="R387" s="250"/>
      <c r="U387" s="247"/>
      <c r="V387" s="247"/>
      <c r="W387" s="247"/>
      <c r="X387" s="247"/>
      <c r="Y387" s="247"/>
      <c r="Z387" s="247"/>
      <c r="AA387" s="250"/>
      <c r="AH387" s="258">
        <f t="shared" si="69"/>
        <v>11</v>
      </c>
      <c r="AI387" s="258">
        <f t="shared" si="70"/>
        <v>225</v>
      </c>
      <c r="AJ387" s="259" t="str">
        <f t="shared" si="71"/>
        <v>4/0</v>
      </c>
      <c r="AK387" s="260">
        <f t="shared" si="72"/>
        <v>135</v>
      </c>
      <c r="AL387" s="226"/>
      <c r="AM387" s="258">
        <v>11</v>
      </c>
      <c r="AN387" s="258">
        <v>225</v>
      </c>
      <c r="AO387" s="262" t="s">
        <v>179</v>
      </c>
      <c r="AP387" s="260">
        <v>225</v>
      </c>
    </row>
    <row r="388" spans="9:42" ht="20.100000000000001" customHeight="1" x14ac:dyDescent="0.25">
      <c r="I388" s="246"/>
      <c r="K388" s="247"/>
      <c r="L388" s="247"/>
      <c r="M388" s="247"/>
      <c r="N388" s="248"/>
      <c r="O388" s="249"/>
      <c r="P388" s="247"/>
      <c r="R388" s="250"/>
      <c r="U388" s="247"/>
      <c r="V388" s="247"/>
      <c r="W388" s="247"/>
      <c r="X388" s="247"/>
      <c r="Y388" s="247"/>
      <c r="Z388" s="247"/>
      <c r="AA388" s="250"/>
      <c r="AH388" s="258">
        <f t="shared" si="69"/>
        <v>12</v>
      </c>
      <c r="AI388" s="258">
        <f t="shared" si="70"/>
        <v>225</v>
      </c>
      <c r="AJ388" s="259" t="str">
        <f t="shared" si="71"/>
        <v>4/0</v>
      </c>
      <c r="AK388" s="260">
        <f t="shared" si="72"/>
        <v>141</v>
      </c>
      <c r="AL388" s="226"/>
      <c r="AM388" s="258">
        <v>12</v>
      </c>
      <c r="AN388" s="258">
        <v>225</v>
      </c>
      <c r="AO388" s="262" t="s">
        <v>179</v>
      </c>
      <c r="AP388" s="260">
        <v>235</v>
      </c>
    </row>
    <row r="389" spans="9:42" ht="20.100000000000001" customHeight="1" x14ac:dyDescent="0.25">
      <c r="I389" s="246"/>
      <c r="K389" s="247"/>
      <c r="L389" s="247"/>
      <c r="M389" s="247"/>
      <c r="N389" s="248"/>
      <c r="O389" s="249"/>
      <c r="P389" s="247"/>
      <c r="R389" s="250"/>
      <c r="U389" s="247"/>
      <c r="V389" s="247"/>
      <c r="W389" s="247"/>
      <c r="X389" s="247"/>
      <c r="Y389" s="247"/>
      <c r="Z389" s="247"/>
      <c r="AA389" s="250"/>
      <c r="AH389" s="258">
        <f t="shared" si="69"/>
        <v>13</v>
      </c>
      <c r="AI389" s="258">
        <f t="shared" si="70"/>
        <v>225</v>
      </c>
      <c r="AJ389" s="259" t="str">
        <f t="shared" si="71"/>
        <v>4/0</v>
      </c>
      <c r="AK389" s="260">
        <f t="shared" si="72"/>
        <v>154.79999999999998</v>
      </c>
      <c r="AL389" s="226"/>
      <c r="AM389" s="258">
        <v>13</v>
      </c>
      <c r="AN389" s="258">
        <v>225</v>
      </c>
      <c r="AO389" s="262" t="s">
        <v>179</v>
      </c>
      <c r="AP389" s="260">
        <v>258</v>
      </c>
    </row>
    <row r="390" spans="9:42" ht="20.100000000000001" customHeight="1" x14ac:dyDescent="0.25">
      <c r="I390" s="246"/>
      <c r="K390" s="247"/>
      <c r="L390" s="247"/>
      <c r="M390" s="247"/>
      <c r="N390" s="248"/>
      <c r="O390" s="249"/>
      <c r="P390" s="247"/>
      <c r="R390" s="250"/>
      <c r="U390" s="247"/>
      <c r="V390" s="247"/>
      <c r="W390" s="247"/>
      <c r="X390" s="247"/>
      <c r="Y390" s="247"/>
      <c r="Z390" s="247"/>
      <c r="AA390" s="250"/>
      <c r="AH390" s="258">
        <f t="shared" si="69"/>
        <v>14</v>
      </c>
      <c r="AI390" s="258">
        <f t="shared" si="70"/>
        <v>225</v>
      </c>
      <c r="AJ390" s="259" t="str">
        <f t="shared" si="71"/>
        <v>4/0</v>
      </c>
      <c r="AK390" s="260">
        <f t="shared" si="72"/>
        <v>165</v>
      </c>
      <c r="AL390" s="226"/>
      <c r="AM390" s="258">
        <v>14</v>
      </c>
      <c r="AN390" s="258">
        <v>225</v>
      </c>
      <c r="AO390" s="262" t="s">
        <v>179</v>
      </c>
      <c r="AP390" s="260">
        <v>275</v>
      </c>
    </row>
    <row r="391" spans="9:42" ht="20.100000000000001" customHeight="1" x14ac:dyDescent="0.25">
      <c r="I391" s="246"/>
      <c r="K391" s="247"/>
      <c r="L391" s="247"/>
      <c r="M391" s="247"/>
      <c r="N391" s="248"/>
      <c r="O391" s="249"/>
      <c r="P391" s="247"/>
      <c r="R391" s="250"/>
      <c r="U391" s="247"/>
      <c r="V391" s="247"/>
      <c r="W391" s="247"/>
      <c r="X391" s="247"/>
      <c r="Y391" s="247"/>
      <c r="Z391" s="247"/>
      <c r="AA391" s="250"/>
      <c r="AH391" s="258">
        <f t="shared" ref="AH391:AH394" si="73">AM391</f>
        <v>15</v>
      </c>
      <c r="AI391" s="258">
        <f t="shared" ref="AI391:AI394" si="74">AN391</f>
        <v>225</v>
      </c>
      <c r="AJ391" s="259" t="str">
        <f t="shared" ref="AJ391:AJ394" si="75">AO391</f>
        <v>4/0</v>
      </c>
      <c r="AK391" s="260">
        <f t="shared" ref="AK391:AK394" si="76">(1-$AL$2)*AP391</f>
        <v>175.2</v>
      </c>
      <c r="AL391" s="226"/>
      <c r="AM391" s="258">
        <v>15</v>
      </c>
      <c r="AN391" s="258">
        <v>225</v>
      </c>
      <c r="AO391" s="262" t="s">
        <v>179</v>
      </c>
      <c r="AP391" s="260">
        <v>292</v>
      </c>
    </row>
    <row r="392" spans="9:42" ht="20.100000000000001" customHeight="1" x14ac:dyDescent="0.25">
      <c r="I392" s="246"/>
      <c r="K392" s="247"/>
      <c r="L392" s="247"/>
      <c r="M392" s="247"/>
      <c r="N392" s="248"/>
      <c r="O392" s="249"/>
      <c r="P392" s="247"/>
      <c r="R392" s="250"/>
      <c r="U392" s="247"/>
      <c r="V392" s="247"/>
      <c r="W392" s="247"/>
      <c r="X392" s="247"/>
      <c r="Y392" s="247"/>
      <c r="Z392" s="247"/>
      <c r="AA392" s="250"/>
      <c r="AH392" s="258">
        <f t="shared" si="73"/>
        <v>16</v>
      </c>
      <c r="AI392" s="258">
        <f t="shared" si="74"/>
        <v>225</v>
      </c>
      <c r="AJ392" s="259" t="str">
        <f t="shared" si="75"/>
        <v>4/1</v>
      </c>
      <c r="AK392" s="260">
        <f t="shared" si="76"/>
        <v>151.08000000000001</v>
      </c>
      <c r="AL392" s="226"/>
      <c r="AM392" s="258">
        <v>16</v>
      </c>
      <c r="AN392" s="258">
        <v>225</v>
      </c>
      <c r="AO392" s="262" t="s">
        <v>250</v>
      </c>
      <c r="AP392" s="260">
        <v>251.8</v>
      </c>
    </row>
    <row r="393" spans="9:42" ht="20.100000000000001" customHeight="1" x14ac:dyDescent="0.25">
      <c r="I393" s="246"/>
      <c r="K393" s="247"/>
      <c r="L393" s="247"/>
      <c r="M393" s="247"/>
      <c r="N393" s="248"/>
      <c r="O393" s="249"/>
      <c r="P393" s="247"/>
      <c r="R393" s="250"/>
      <c r="U393" s="247"/>
      <c r="V393" s="247"/>
      <c r="W393" s="247"/>
      <c r="X393" s="247"/>
      <c r="Y393" s="247"/>
      <c r="Z393" s="247"/>
      <c r="AA393" s="250"/>
      <c r="AH393" s="258">
        <f t="shared" si="73"/>
        <v>17</v>
      </c>
      <c r="AI393" s="258">
        <f t="shared" si="74"/>
        <v>225</v>
      </c>
      <c r="AJ393" s="259" t="str">
        <f t="shared" si="75"/>
        <v>4/1</v>
      </c>
      <c r="AK393" s="260">
        <f t="shared" si="76"/>
        <v>167.4</v>
      </c>
      <c r="AL393" s="226"/>
      <c r="AM393" s="258">
        <v>17</v>
      </c>
      <c r="AN393" s="258">
        <v>225</v>
      </c>
      <c r="AO393" s="262" t="s">
        <v>250</v>
      </c>
      <c r="AP393" s="260">
        <v>279</v>
      </c>
    </row>
    <row r="394" spans="9:42" ht="20.100000000000001" customHeight="1" x14ac:dyDescent="0.25">
      <c r="I394" s="246"/>
      <c r="K394" s="247"/>
      <c r="L394" s="247"/>
      <c r="M394" s="247"/>
      <c r="N394" s="248"/>
      <c r="O394" s="249"/>
      <c r="P394" s="247"/>
      <c r="R394" s="250"/>
      <c r="U394" s="247"/>
      <c r="V394" s="247"/>
      <c r="W394" s="247"/>
      <c r="X394" s="247"/>
      <c r="Y394" s="247"/>
      <c r="Z394" s="247"/>
      <c r="AA394" s="250"/>
      <c r="AH394" s="258">
        <f t="shared" si="73"/>
        <v>18</v>
      </c>
      <c r="AI394" s="258">
        <f t="shared" si="74"/>
        <v>225</v>
      </c>
      <c r="AJ394" s="259" t="str">
        <f t="shared" si="75"/>
        <v>4/1</v>
      </c>
      <c r="AK394" s="260">
        <f t="shared" si="76"/>
        <v>177.6</v>
      </c>
      <c r="AL394" s="226"/>
      <c r="AM394" s="258">
        <v>18</v>
      </c>
      <c r="AN394" s="258">
        <v>225</v>
      </c>
      <c r="AO394" s="262" t="s">
        <v>250</v>
      </c>
      <c r="AP394" s="260">
        <v>296</v>
      </c>
    </row>
    <row r="395" spans="9:42" ht="20.100000000000001" customHeight="1" x14ac:dyDescent="0.25">
      <c r="I395" s="246"/>
      <c r="K395" s="247"/>
      <c r="L395" s="247"/>
      <c r="M395" s="247"/>
      <c r="N395" s="248"/>
      <c r="O395" s="249"/>
      <c r="P395" s="247"/>
      <c r="R395" s="250"/>
      <c r="U395" s="247"/>
      <c r="V395" s="247"/>
      <c r="W395" s="247"/>
      <c r="X395" s="247"/>
      <c r="Y395" s="247"/>
      <c r="Z395" s="247"/>
      <c r="AA395" s="250"/>
      <c r="AH395" s="258">
        <f t="shared" si="69"/>
        <v>19</v>
      </c>
      <c r="AI395" s="258">
        <f t="shared" si="70"/>
        <v>225</v>
      </c>
      <c r="AJ395" s="259" t="str">
        <f t="shared" si="71"/>
        <v>4/1</v>
      </c>
      <c r="AK395" s="260">
        <f t="shared" si="72"/>
        <v>187.2</v>
      </c>
      <c r="AL395" s="226"/>
      <c r="AM395" s="258">
        <v>19</v>
      </c>
      <c r="AN395" s="258">
        <v>225</v>
      </c>
      <c r="AO395" s="262" t="s">
        <v>250</v>
      </c>
      <c r="AP395" s="260">
        <v>312</v>
      </c>
    </row>
    <row r="396" spans="9:42" ht="20.100000000000001" customHeight="1" x14ac:dyDescent="0.25">
      <c r="I396" s="246"/>
      <c r="K396" s="247"/>
      <c r="L396" s="247"/>
      <c r="M396" s="247"/>
      <c r="N396" s="248"/>
      <c r="O396" s="249"/>
      <c r="P396" s="247"/>
      <c r="R396" s="250"/>
      <c r="U396" s="247"/>
      <c r="V396" s="247"/>
      <c r="W396" s="247"/>
      <c r="X396" s="247"/>
      <c r="Y396" s="247"/>
      <c r="Z396" s="247"/>
      <c r="AA396" s="250"/>
      <c r="AH396" s="258">
        <f t="shared" si="69"/>
        <v>20</v>
      </c>
      <c r="AI396" s="258">
        <f t="shared" si="70"/>
        <v>225</v>
      </c>
      <c r="AJ396" s="259" t="str">
        <f t="shared" si="71"/>
        <v>4/2</v>
      </c>
      <c r="AK396" s="260">
        <f t="shared" si="72"/>
        <v>169.08</v>
      </c>
      <c r="AL396" s="226"/>
      <c r="AM396" s="258">
        <v>20</v>
      </c>
      <c r="AN396" s="258">
        <v>225</v>
      </c>
      <c r="AO396" s="262" t="s">
        <v>251</v>
      </c>
      <c r="AP396" s="260">
        <v>281.8</v>
      </c>
    </row>
    <row r="397" spans="9:42" ht="20.100000000000001" customHeight="1" x14ac:dyDescent="0.25">
      <c r="I397" s="246"/>
      <c r="K397" s="247"/>
      <c r="L397" s="247"/>
      <c r="M397" s="247"/>
      <c r="N397" s="248"/>
      <c r="O397" s="249"/>
      <c r="P397" s="247"/>
      <c r="R397" s="250"/>
      <c r="U397" s="247"/>
      <c r="V397" s="247"/>
      <c r="W397" s="247"/>
      <c r="X397" s="247"/>
      <c r="Y397" s="247"/>
      <c r="Z397" s="247"/>
      <c r="AA397" s="250"/>
      <c r="AH397" s="258">
        <f t="shared" si="69"/>
        <v>21</v>
      </c>
      <c r="AI397" s="258">
        <f t="shared" si="70"/>
        <v>225</v>
      </c>
      <c r="AJ397" s="259" t="str">
        <f t="shared" si="71"/>
        <v>4/2</v>
      </c>
      <c r="AK397" s="260">
        <f t="shared" si="72"/>
        <v>180</v>
      </c>
      <c r="AL397" s="226"/>
      <c r="AM397" s="258">
        <v>21</v>
      </c>
      <c r="AN397" s="258">
        <v>225</v>
      </c>
      <c r="AO397" s="262" t="s">
        <v>251</v>
      </c>
      <c r="AP397" s="260">
        <v>300</v>
      </c>
    </row>
    <row r="398" spans="9:42" ht="20.100000000000001" customHeight="1" x14ac:dyDescent="0.25">
      <c r="I398" s="246"/>
      <c r="K398" s="247"/>
      <c r="L398" s="247"/>
      <c r="M398" s="247"/>
      <c r="N398" s="248"/>
      <c r="O398" s="249"/>
      <c r="P398" s="247"/>
      <c r="R398" s="250"/>
      <c r="U398" s="247"/>
      <c r="V398" s="247"/>
      <c r="W398" s="247"/>
      <c r="X398" s="247"/>
      <c r="Y398" s="247"/>
      <c r="Z398" s="247"/>
      <c r="AA398" s="250"/>
      <c r="AH398" s="258">
        <f t="shared" si="69"/>
        <v>22</v>
      </c>
      <c r="AI398" s="258">
        <f t="shared" si="70"/>
        <v>225</v>
      </c>
      <c r="AJ398" s="259" t="str">
        <f t="shared" si="71"/>
        <v>4/2</v>
      </c>
      <c r="AK398" s="260">
        <f t="shared" si="72"/>
        <v>190.2</v>
      </c>
      <c r="AL398" s="226"/>
      <c r="AM398" s="258">
        <v>22</v>
      </c>
      <c r="AN398" s="258">
        <v>225</v>
      </c>
      <c r="AO398" s="262" t="s">
        <v>251</v>
      </c>
      <c r="AP398" s="260">
        <v>317</v>
      </c>
    </row>
    <row r="399" spans="9:42" ht="20.100000000000001" customHeight="1" x14ac:dyDescent="0.25">
      <c r="I399" s="246"/>
      <c r="K399" s="247"/>
      <c r="L399" s="247"/>
      <c r="M399" s="247"/>
      <c r="N399" s="248"/>
      <c r="O399" s="249"/>
      <c r="P399" s="247"/>
      <c r="R399" s="250"/>
      <c r="U399" s="247"/>
      <c r="V399" s="247"/>
      <c r="W399" s="247"/>
      <c r="X399" s="247"/>
      <c r="Y399" s="247"/>
      <c r="Z399" s="247"/>
      <c r="AA399" s="250"/>
      <c r="AH399" s="258">
        <f t="shared" si="69"/>
        <v>23</v>
      </c>
      <c r="AI399" s="258">
        <f t="shared" si="70"/>
        <v>225</v>
      </c>
      <c r="AJ399" s="259" t="str">
        <f t="shared" si="71"/>
        <v>4/2</v>
      </c>
      <c r="AK399" s="260">
        <f t="shared" si="72"/>
        <v>199.79999999999998</v>
      </c>
      <c r="AL399" s="226"/>
      <c r="AM399" s="258">
        <v>23</v>
      </c>
      <c r="AN399" s="258">
        <v>225</v>
      </c>
      <c r="AO399" s="262" t="s">
        <v>251</v>
      </c>
      <c r="AP399" s="260">
        <v>333</v>
      </c>
    </row>
    <row r="400" spans="9:42" ht="20.100000000000001" customHeight="1" x14ac:dyDescent="0.25">
      <c r="I400" s="246"/>
      <c r="K400" s="247"/>
      <c r="L400" s="247"/>
      <c r="M400" s="247"/>
      <c r="N400" s="248"/>
      <c r="O400" s="249"/>
      <c r="P400" s="247"/>
      <c r="R400" s="250"/>
      <c r="U400" s="247"/>
      <c r="V400" s="247"/>
      <c r="W400" s="247"/>
      <c r="X400" s="247"/>
      <c r="Y400" s="247"/>
      <c r="Z400" s="247"/>
      <c r="AA400" s="250"/>
      <c r="AH400" s="258">
        <f t="shared" si="69"/>
        <v>24</v>
      </c>
      <c r="AI400" s="258">
        <f t="shared" si="70"/>
        <v>225</v>
      </c>
      <c r="AJ400" s="259" t="str">
        <f t="shared" si="71"/>
        <v>3/0</v>
      </c>
      <c r="AK400" s="260">
        <f t="shared" si="72"/>
        <v>199.2</v>
      </c>
      <c r="AL400" s="226"/>
      <c r="AM400" s="258">
        <v>24</v>
      </c>
      <c r="AN400" s="258">
        <v>225</v>
      </c>
      <c r="AO400" s="262" t="s">
        <v>252</v>
      </c>
      <c r="AP400" s="260">
        <v>332</v>
      </c>
    </row>
    <row r="401" spans="9:42" ht="20.100000000000001" customHeight="1" x14ac:dyDescent="0.25">
      <c r="I401" s="246"/>
      <c r="K401" s="247"/>
      <c r="L401" s="247"/>
      <c r="M401" s="247"/>
      <c r="N401" s="248"/>
      <c r="O401" s="249"/>
      <c r="P401" s="247"/>
      <c r="R401" s="250"/>
      <c r="U401" s="247"/>
      <c r="V401" s="247"/>
      <c r="W401" s="247"/>
      <c r="X401" s="247"/>
      <c r="Y401" s="247"/>
      <c r="Z401" s="247"/>
      <c r="AA401" s="250"/>
      <c r="AH401" s="258">
        <f t="shared" si="69"/>
        <v>25</v>
      </c>
      <c r="AI401" s="258">
        <f t="shared" si="70"/>
        <v>225</v>
      </c>
      <c r="AJ401" s="259" t="str">
        <f t="shared" si="71"/>
        <v>3/0</v>
      </c>
      <c r="AK401" s="260">
        <f t="shared" si="72"/>
        <v>207</v>
      </c>
      <c r="AL401" s="226"/>
      <c r="AM401" s="258">
        <v>25</v>
      </c>
      <c r="AN401" s="258">
        <v>225</v>
      </c>
      <c r="AO401" s="262" t="s">
        <v>252</v>
      </c>
      <c r="AP401" s="260">
        <v>345</v>
      </c>
    </row>
    <row r="402" spans="9:42" ht="20.100000000000001" customHeight="1" x14ac:dyDescent="0.25">
      <c r="I402" s="246"/>
      <c r="K402" s="247"/>
      <c r="L402" s="247"/>
      <c r="M402" s="247"/>
      <c r="N402" s="248"/>
      <c r="O402" s="249"/>
      <c r="P402" s="247"/>
      <c r="R402" s="250"/>
      <c r="U402" s="247"/>
      <c r="V402" s="247"/>
      <c r="W402" s="247"/>
      <c r="X402" s="247"/>
      <c r="Y402" s="247"/>
      <c r="Z402" s="247"/>
      <c r="AA402" s="250"/>
      <c r="AH402" s="258">
        <f t="shared" si="69"/>
        <v>26</v>
      </c>
      <c r="AI402" s="258">
        <f t="shared" si="70"/>
        <v>225</v>
      </c>
      <c r="AJ402" s="259" t="str">
        <f t="shared" si="71"/>
        <v>3/1</v>
      </c>
      <c r="AK402" s="260">
        <f t="shared" si="72"/>
        <v>194.82</v>
      </c>
      <c r="AL402" s="226"/>
      <c r="AM402" s="258">
        <v>26</v>
      </c>
      <c r="AN402" s="258">
        <v>225</v>
      </c>
      <c r="AO402" s="262" t="s">
        <v>254</v>
      </c>
      <c r="AP402" s="260">
        <v>324.7</v>
      </c>
    </row>
    <row r="403" spans="9:42" ht="20.100000000000001" customHeight="1" x14ac:dyDescent="0.25">
      <c r="I403" s="246"/>
      <c r="K403" s="247"/>
      <c r="L403" s="247"/>
      <c r="M403" s="247"/>
      <c r="N403" s="248"/>
      <c r="O403" s="249"/>
      <c r="P403" s="247"/>
      <c r="R403" s="250"/>
      <c r="U403" s="247"/>
      <c r="V403" s="247"/>
      <c r="W403" s="247"/>
      <c r="X403" s="247"/>
      <c r="Y403" s="247"/>
      <c r="Z403" s="247"/>
      <c r="AA403" s="250"/>
      <c r="AH403" s="258">
        <f t="shared" si="69"/>
        <v>27</v>
      </c>
      <c r="AI403" s="258">
        <f t="shared" si="70"/>
        <v>225</v>
      </c>
      <c r="AJ403" s="259" t="str">
        <f t="shared" si="71"/>
        <v>3/1</v>
      </c>
      <c r="AK403" s="260">
        <f t="shared" si="72"/>
        <v>201</v>
      </c>
      <c r="AL403" s="226"/>
      <c r="AM403" s="258">
        <v>27</v>
      </c>
      <c r="AN403" s="258">
        <v>225</v>
      </c>
      <c r="AO403" s="262" t="s">
        <v>254</v>
      </c>
      <c r="AP403" s="260">
        <v>335</v>
      </c>
    </row>
    <row r="404" spans="9:42" ht="20.100000000000001" customHeight="1" x14ac:dyDescent="0.25">
      <c r="I404" s="246"/>
      <c r="K404" s="247"/>
      <c r="L404" s="247"/>
      <c r="M404" s="247"/>
      <c r="N404" s="248"/>
      <c r="O404" s="249"/>
      <c r="P404" s="247"/>
      <c r="R404" s="250"/>
      <c r="U404" s="247"/>
      <c r="V404" s="247"/>
      <c r="W404" s="247"/>
      <c r="X404" s="247"/>
      <c r="Y404" s="247"/>
      <c r="Z404" s="247"/>
      <c r="AA404" s="250"/>
      <c r="AH404" s="258">
        <f t="shared" si="69"/>
        <v>28</v>
      </c>
      <c r="AI404" s="258">
        <f t="shared" si="70"/>
        <v>225</v>
      </c>
      <c r="AJ404" s="259" t="str">
        <f t="shared" si="71"/>
        <v>3/1</v>
      </c>
      <c r="AK404" s="260">
        <f t="shared" si="72"/>
        <v>208.79999999999998</v>
      </c>
      <c r="AL404" s="226"/>
      <c r="AM404" s="258">
        <v>28</v>
      </c>
      <c r="AN404" s="258">
        <v>225</v>
      </c>
      <c r="AO404" s="262" t="s">
        <v>254</v>
      </c>
      <c r="AP404" s="260">
        <v>348</v>
      </c>
    </row>
    <row r="405" spans="9:42" ht="20.100000000000001" customHeight="1" x14ac:dyDescent="0.25">
      <c r="I405" s="246"/>
      <c r="K405" s="247"/>
      <c r="L405" s="247"/>
      <c r="M405" s="247"/>
      <c r="N405" s="248"/>
      <c r="O405" s="249"/>
      <c r="P405" s="247"/>
      <c r="R405" s="250"/>
      <c r="U405" s="247"/>
      <c r="V405" s="247"/>
      <c r="W405" s="247"/>
      <c r="X405" s="247"/>
      <c r="Y405" s="247"/>
      <c r="Z405" s="247"/>
      <c r="AA405" s="250"/>
      <c r="AH405" s="258">
        <f t="shared" si="69"/>
        <v>29</v>
      </c>
      <c r="AI405" s="258">
        <f t="shared" si="70"/>
        <v>225</v>
      </c>
      <c r="AJ405" s="259" t="str">
        <f t="shared" si="71"/>
        <v>3/1</v>
      </c>
      <c r="AK405" s="260">
        <f t="shared" si="72"/>
        <v>216.6</v>
      </c>
      <c r="AL405" s="226"/>
      <c r="AM405" s="258">
        <v>29</v>
      </c>
      <c r="AN405" s="258">
        <v>225</v>
      </c>
      <c r="AO405" s="262" t="s">
        <v>254</v>
      </c>
      <c r="AP405" s="260">
        <v>361</v>
      </c>
    </row>
    <row r="406" spans="9:42" ht="20.100000000000001" customHeight="1" x14ac:dyDescent="0.25">
      <c r="I406" s="246"/>
      <c r="K406" s="247"/>
      <c r="L406" s="247"/>
      <c r="M406" s="247"/>
      <c r="N406" s="248"/>
      <c r="O406" s="249"/>
      <c r="P406" s="247"/>
      <c r="R406" s="250"/>
      <c r="U406" s="247"/>
      <c r="V406" s="247"/>
      <c r="W406" s="247"/>
      <c r="X406" s="247"/>
      <c r="Y406" s="247"/>
      <c r="Z406" s="247"/>
      <c r="AA406" s="250"/>
      <c r="AH406" s="258">
        <f t="shared" si="69"/>
        <v>30</v>
      </c>
      <c r="AI406" s="258">
        <f t="shared" si="70"/>
        <v>225</v>
      </c>
      <c r="AJ406" s="259" t="str">
        <f t="shared" si="71"/>
        <v>3/2</v>
      </c>
      <c r="AK406" s="260">
        <f t="shared" si="72"/>
        <v>204.54</v>
      </c>
      <c r="AL406" s="226"/>
      <c r="AM406" s="258">
        <v>30</v>
      </c>
      <c r="AN406" s="258">
        <v>225</v>
      </c>
      <c r="AO406" s="262" t="s">
        <v>255</v>
      </c>
      <c r="AP406" s="260">
        <v>340.9</v>
      </c>
    </row>
    <row r="407" spans="9:42" ht="20.100000000000001" customHeight="1" x14ac:dyDescent="0.25">
      <c r="I407" s="246"/>
      <c r="K407" s="247"/>
      <c r="L407" s="247"/>
      <c r="M407" s="247"/>
      <c r="N407" s="248"/>
      <c r="O407" s="249"/>
      <c r="P407" s="247"/>
      <c r="R407" s="250"/>
      <c r="U407" s="247"/>
      <c r="V407" s="247"/>
      <c r="W407" s="247"/>
      <c r="X407" s="247"/>
      <c r="Y407" s="247"/>
      <c r="Z407" s="247"/>
      <c r="AA407" s="250"/>
      <c r="AH407" s="258">
        <f t="shared" si="69"/>
        <v>31</v>
      </c>
      <c r="AI407" s="258">
        <f t="shared" si="70"/>
        <v>225</v>
      </c>
      <c r="AJ407" s="259" t="str">
        <f t="shared" si="71"/>
        <v>3/2</v>
      </c>
      <c r="AK407" s="260">
        <f t="shared" si="72"/>
        <v>212.58</v>
      </c>
      <c r="AL407" s="226"/>
      <c r="AM407" s="258">
        <v>31</v>
      </c>
      <c r="AN407" s="258">
        <v>225</v>
      </c>
      <c r="AO407" s="262" t="s">
        <v>255</v>
      </c>
      <c r="AP407" s="260">
        <v>354.3</v>
      </c>
    </row>
    <row r="408" spans="9:42" ht="20.100000000000001" customHeight="1" x14ac:dyDescent="0.25">
      <c r="I408" s="246"/>
      <c r="K408" s="247"/>
      <c r="L408" s="247"/>
      <c r="M408" s="247"/>
      <c r="N408" s="248"/>
      <c r="O408" s="249"/>
      <c r="P408" s="247"/>
      <c r="R408" s="250"/>
      <c r="U408" s="247"/>
      <c r="V408" s="247"/>
      <c r="W408" s="247"/>
      <c r="X408" s="247"/>
      <c r="Y408" s="247"/>
      <c r="Z408" s="247"/>
      <c r="AA408" s="250"/>
      <c r="AH408" s="258">
        <f t="shared" si="69"/>
        <v>32</v>
      </c>
      <c r="AI408" s="258">
        <f t="shared" si="70"/>
        <v>225</v>
      </c>
      <c r="AJ408" s="259" t="str">
        <f t="shared" si="71"/>
        <v>3/2</v>
      </c>
      <c r="AK408" s="260">
        <f t="shared" si="72"/>
        <v>219</v>
      </c>
      <c r="AL408" s="226"/>
      <c r="AM408" s="258">
        <v>32</v>
      </c>
      <c r="AN408" s="258">
        <v>225</v>
      </c>
      <c r="AO408" s="262" t="s">
        <v>255</v>
      </c>
      <c r="AP408" s="260">
        <v>365</v>
      </c>
    </row>
    <row r="409" spans="9:42" ht="20.100000000000001" customHeight="1" x14ac:dyDescent="0.25">
      <c r="I409" s="246"/>
      <c r="K409" s="247"/>
      <c r="L409" s="247"/>
      <c r="M409" s="247"/>
      <c r="N409" s="248"/>
      <c r="O409" s="249"/>
      <c r="P409" s="247"/>
      <c r="R409" s="250"/>
      <c r="U409" s="247"/>
      <c r="V409" s="247"/>
      <c r="W409" s="247"/>
      <c r="X409" s="247"/>
      <c r="Y409" s="247"/>
      <c r="Z409" s="247"/>
      <c r="AA409" s="250"/>
      <c r="AH409" s="258">
        <f t="shared" si="69"/>
        <v>33</v>
      </c>
      <c r="AI409" s="258">
        <f t="shared" si="70"/>
        <v>225</v>
      </c>
      <c r="AJ409" s="259" t="str">
        <f t="shared" si="71"/>
        <v>3/2</v>
      </c>
      <c r="AK409" s="260">
        <f t="shared" si="72"/>
        <v>226.79999999999998</v>
      </c>
      <c r="AL409" s="226"/>
      <c r="AM409" s="258">
        <v>33</v>
      </c>
      <c r="AN409" s="258">
        <v>225</v>
      </c>
      <c r="AO409" s="262" t="s">
        <v>255</v>
      </c>
      <c r="AP409" s="260">
        <v>378</v>
      </c>
    </row>
    <row r="410" spans="9:42" ht="20.100000000000001" customHeight="1" x14ac:dyDescent="0.25">
      <c r="I410" s="246"/>
      <c r="K410" s="247"/>
      <c r="L410" s="247"/>
      <c r="M410" s="247"/>
      <c r="N410" s="248"/>
      <c r="O410" s="249"/>
      <c r="P410" s="247"/>
      <c r="R410" s="250"/>
      <c r="U410" s="247"/>
      <c r="V410" s="247"/>
      <c r="W410" s="247"/>
      <c r="X410" s="247"/>
      <c r="Y410" s="247"/>
      <c r="Z410" s="247"/>
      <c r="AA410" s="250"/>
      <c r="AH410" s="258">
        <f t="shared" si="69"/>
        <v>34</v>
      </c>
      <c r="AI410" s="258">
        <f t="shared" si="70"/>
        <v>225</v>
      </c>
      <c r="AJ410" s="259" t="str">
        <f t="shared" si="71"/>
        <v>3/2</v>
      </c>
      <c r="AK410" s="260">
        <f t="shared" si="72"/>
        <v>234.6</v>
      </c>
      <c r="AL410" s="226"/>
      <c r="AM410" s="258">
        <v>34</v>
      </c>
      <c r="AN410" s="258">
        <v>225</v>
      </c>
      <c r="AO410" s="262" t="s">
        <v>255</v>
      </c>
      <c r="AP410" s="260">
        <v>391</v>
      </c>
    </row>
    <row r="411" spans="9:42" ht="20.100000000000001" customHeight="1" x14ac:dyDescent="0.25">
      <c r="I411" s="246"/>
      <c r="K411" s="247"/>
      <c r="L411" s="247"/>
      <c r="M411" s="247"/>
      <c r="N411" s="248"/>
      <c r="O411" s="249"/>
      <c r="P411" s="247"/>
      <c r="R411" s="250"/>
      <c r="U411" s="247"/>
      <c r="V411" s="247"/>
      <c r="W411" s="247"/>
      <c r="X411" s="247"/>
      <c r="Y411" s="247"/>
      <c r="Z411" s="247"/>
      <c r="AA411" s="250"/>
      <c r="AH411" s="258">
        <f t="shared" si="69"/>
        <v>35</v>
      </c>
      <c r="AI411" s="258">
        <f t="shared" si="70"/>
        <v>225</v>
      </c>
      <c r="AJ411" s="259" t="str">
        <f t="shared" si="71"/>
        <v>2/0</v>
      </c>
      <c r="AK411" s="260">
        <f t="shared" si="72"/>
        <v>196.73999999999998</v>
      </c>
      <c r="AL411" s="226"/>
      <c r="AM411" s="258">
        <v>35</v>
      </c>
      <c r="AN411" s="258">
        <v>225</v>
      </c>
      <c r="AO411" s="262" t="s">
        <v>253</v>
      </c>
      <c r="AP411" s="260">
        <v>327.9</v>
      </c>
    </row>
    <row r="412" spans="9:42" ht="20.100000000000001" customHeight="1" x14ac:dyDescent="0.25">
      <c r="I412" s="246"/>
      <c r="K412" s="247"/>
      <c r="L412" s="247"/>
      <c r="M412" s="247"/>
      <c r="N412" s="248"/>
      <c r="O412" s="249"/>
      <c r="P412" s="247"/>
      <c r="R412" s="250"/>
      <c r="U412" s="247"/>
      <c r="V412" s="247"/>
      <c r="W412" s="247"/>
      <c r="X412" s="247"/>
      <c r="Y412" s="247"/>
      <c r="Z412" s="247"/>
      <c r="AA412" s="250"/>
      <c r="AH412" s="258">
        <f t="shared" si="69"/>
        <v>36</v>
      </c>
      <c r="AI412" s="258">
        <f t="shared" si="70"/>
        <v>225</v>
      </c>
      <c r="AJ412" s="259" t="str">
        <f t="shared" si="71"/>
        <v>2/0</v>
      </c>
      <c r="AK412" s="260">
        <f t="shared" si="72"/>
        <v>202.14</v>
      </c>
      <c r="AL412" s="226"/>
      <c r="AM412" s="258">
        <v>36</v>
      </c>
      <c r="AN412" s="258">
        <v>225</v>
      </c>
      <c r="AO412" s="262" t="s">
        <v>253</v>
      </c>
      <c r="AP412" s="260">
        <v>336.9</v>
      </c>
    </row>
    <row r="413" spans="9:42" ht="20.100000000000001" customHeight="1" x14ac:dyDescent="0.25">
      <c r="I413" s="246"/>
      <c r="K413" s="247"/>
      <c r="L413" s="247"/>
      <c r="M413" s="247"/>
      <c r="N413" s="248"/>
      <c r="O413" s="249"/>
      <c r="P413" s="247"/>
      <c r="R413" s="250"/>
      <c r="U413" s="247"/>
      <c r="V413" s="247"/>
      <c r="W413" s="247"/>
      <c r="X413" s="247"/>
      <c r="Y413" s="247"/>
      <c r="Z413" s="247"/>
      <c r="AA413" s="250"/>
      <c r="AH413" s="258">
        <f t="shared" si="69"/>
        <v>37</v>
      </c>
      <c r="AI413" s="258">
        <f t="shared" si="70"/>
        <v>225</v>
      </c>
      <c r="AJ413" s="259" t="str">
        <f t="shared" si="71"/>
        <v>2/0</v>
      </c>
      <c r="AK413" s="260">
        <f t="shared" si="72"/>
        <v>207.54</v>
      </c>
      <c r="AL413" s="226"/>
      <c r="AM413" s="258">
        <v>37</v>
      </c>
      <c r="AN413" s="258">
        <v>225</v>
      </c>
      <c r="AO413" s="262" t="s">
        <v>253</v>
      </c>
      <c r="AP413" s="260">
        <v>345.9</v>
      </c>
    </row>
    <row r="414" spans="9:42" ht="20.100000000000001" customHeight="1" x14ac:dyDescent="0.25">
      <c r="I414" s="246"/>
      <c r="K414" s="247"/>
      <c r="L414" s="247"/>
      <c r="M414" s="247"/>
      <c r="N414" s="248"/>
      <c r="O414" s="249"/>
      <c r="P414" s="247"/>
      <c r="R414" s="250"/>
      <c r="U414" s="247"/>
      <c r="V414" s="247"/>
      <c r="W414" s="247"/>
      <c r="X414" s="247"/>
      <c r="Y414" s="247"/>
      <c r="Z414" s="247"/>
      <c r="AA414" s="250"/>
      <c r="AH414" s="258">
        <f t="shared" si="69"/>
        <v>38</v>
      </c>
      <c r="AI414" s="258">
        <f t="shared" si="70"/>
        <v>225</v>
      </c>
      <c r="AJ414" s="259" t="str">
        <f t="shared" si="71"/>
        <v>2/0</v>
      </c>
      <c r="AK414" s="260">
        <f t="shared" si="72"/>
        <v>212.93999999999997</v>
      </c>
      <c r="AL414" s="226"/>
      <c r="AM414" s="258">
        <v>38</v>
      </c>
      <c r="AN414" s="258">
        <v>225</v>
      </c>
      <c r="AO414" s="262" t="s">
        <v>253</v>
      </c>
      <c r="AP414" s="260">
        <v>354.9</v>
      </c>
    </row>
    <row r="415" spans="9:42" ht="20.100000000000001" customHeight="1" x14ac:dyDescent="0.25">
      <c r="I415" s="246"/>
      <c r="K415" s="247"/>
      <c r="L415" s="247"/>
      <c r="M415" s="247"/>
      <c r="N415" s="248"/>
      <c r="O415" s="249"/>
      <c r="P415" s="247"/>
      <c r="R415" s="250"/>
      <c r="U415" s="247"/>
      <c r="V415" s="247"/>
      <c r="W415" s="247"/>
      <c r="X415" s="247"/>
      <c r="Y415" s="247"/>
      <c r="Z415" s="247"/>
      <c r="AA415" s="250"/>
      <c r="AH415" s="258">
        <f t="shared" si="69"/>
        <v>39</v>
      </c>
      <c r="AI415" s="258">
        <f t="shared" si="70"/>
        <v>225</v>
      </c>
      <c r="AJ415" s="259" t="str">
        <f t="shared" si="71"/>
        <v>2/0</v>
      </c>
      <c r="AK415" s="260">
        <f t="shared" si="72"/>
        <v>218.33999999999997</v>
      </c>
      <c r="AL415" s="226"/>
      <c r="AM415" s="258">
        <v>39</v>
      </c>
      <c r="AN415" s="258">
        <v>225</v>
      </c>
      <c r="AO415" s="262" t="s">
        <v>253</v>
      </c>
      <c r="AP415" s="260">
        <v>363.9</v>
      </c>
    </row>
    <row r="416" spans="9:42" ht="20.100000000000001" customHeight="1" x14ac:dyDescent="0.25">
      <c r="I416" s="246"/>
      <c r="K416" s="247"/>
      <c r="L416" s="247"/>
      <c r="M416" s="247"/>
      <c r="N416" s="248"/>
      <c r="O416" s="249"/>
      <c r="P416" s="247"/>
      <c r="R416" s="250"/>
      <c r="U416" s="247"/>
      <c r="V416" s="247"/>
      <c r="W416" s="247"/>
      <c r="X416" s="247"/>
      <c r="Y416" s="247"/>
      <c r="Z416" s="247"/>
      <c r="AA416" s="250"/>
      <c r="AH416" s="258">
        <f t="shared" si="69"/>
        <v>40</v>
      </c>
      <c r="AI416" s="258">
        <f t="shared" si="70"/>
        <v>225</v>
      </c>
      <c r="AJ416" s="259" t="str">
        <f t="shared" si="71"/>
        <v>2/0</v>
      </c>
      <c r="AK416" s="260">
        <f t="shared" si="72"/>
        <v>223.73999999999998</v>
      </c>
      <c r="AL416" s="226"/>
      <c r="AM416" s="258">
        <v>40</v>
      </c>
      <c r="AN416" s="258">
        <v>225</v>
      </c>
      <c r="AO416" s="262" t="s">
        <v>253</v>
      </c>
      <c r="AP416" s="260">
        <v>372.9</v>
      </c>
    </row>
    <row r="417" spans="9:42" ht="20.100000000000001" customHeight="1" x14ac:dyDescent="0.25">
      <c r="I417" s="246"/>
      <c r="K417" s="247"/>
      <c r="L417" s="247"/>
      <c r="M417" s="247"/>
      <c r="N417" s="248"/>
      <c r="O417" s="249"/>
      <c r="P417" s="247"/>
      <c r="R417" s="250"/>
      <c r="U417" s="247"/>
      <c r="V417" s="247"/>
      <c r="W417" s="247"/>
      <c r="X417" s="247"/>
      <c r="Y417" s="247"/>
      <c r="Z417" s="247"/>
      <c r="AA417" s="250"/>
      <c r="AH417" s="258">
        <f t="shared" si="69"/>
        <v>41</v>
      </c>
      <c r="AI417" s="258">
        <f t="shared" si="70"/>
        <v>225</v>
      </c>
      <c r="AJ417" s="259" t="str">
        <f t="shared" si="71"/>
        <v>2/0</v>
      </c>
      <c r="AK417" s="260">
        <f t="shared" si="72"/>
        <v>229.14</v>
      </c>
      <c r="AL417" s="226"/>
      <c r="AM417" s="258">
        <v>41</v>
      </c>
      <c r="AN417" s="258">
        <v>225</v>
      </c>
      <c r="AO417" s="262" t="s">
        <v>253</v>
      </c>
      <c r="AP417" s="260">
        <v>381.9</v>
      </c>
    </row>
    <row r="418" spans="9:42" ht="20.100000000000001" customHeight="1" x14ac:dyDescent="0.25">
      <c r="I418" s="246"/>
      <c r="K418" s="247"/>
      <c r="L418" s="247"/>
      <c r="M418" s="247"/>
      <c r="N418" s="248"/>
      <c r="O418" s="249"/>
      <c r="P418" s="247"/>
      <c r="R418" s="250"/>
      <c r="U418" s="247"/>
      <c r="V418" s="247"/>
      <c r="W418" s="247"/>
      <c r="X418" s="247"/>
      <c r="Y418" s="247"/>
      <c r="Z418" s="247"/>
      <c r="AA418" s="250"/>
      <c r="AH418" s="258">
        <f t="shared" si="69"/>
        <v>42</v>
      </c>
      <c r="AI418" s="258">
        <f t="shared" si="70"/>
        <v>225</v>
      </c>
      <c r="AJ418" s="259" t="str">
        <f t="shared" si="71"/>
        <v>2/0</v>
      </c>
      <c r="AK418" s="260">
        <f t="shared" si="72"/>
        <v>234.42</v>
      </c>
      <c r="AL418" s="226"/>
      <c r="AM418" s="258">
        <v>42</v>
      </c>
      <c r="AN418" s="258">
        <v>225</v>
      </c>
      <c r="AO418" s="262" t="s">
        <v>253</v>
      </c>
      <c r="AP418" s="260">
        <v>390.7</v>
      </c>
    </row>
    <row r="419" spans="9:42" ht="20.100000000000001" customHeight="1" x14ac:dyDescent="0.25">
      <c r="I419" s="246"/>
      <c r="K419" s="247"/>
      <c r="L419" s="247"/>
      <c r="M419" s="247"/>
      <c r="N419" s="248"/>
      <c r="O419" s="249"/>
      <c r="P419" s="247"/>
      <c r="R419" s="250"/>
      <c r="U419" s="247"/>
      <c r="V419" s="247"/>
      <c r="W419" s="247"/>
      <c r="X419" s="247"/>
      <c r="Y419" s="247"/>
      <c r="Z419" s="247"/>
      <c r="AA419" s="250"/>
      <c r="AH419" s="258">
        <f t="shared" si="69"/>
        <v>43</v>
      </c>
      <c r="AI419" s="258">
        <f t="shared" si="70"/>
        <v>225</v>
      </c>
      <c r="AJ419" s="259" t="str">
        <f t="shared" si="71"/>
        <v>2/0</v>
      </c>
      <c r="AK419" s="260">
        <f t="shared" si="72"/>
        <v>240</v>
      </c>
      <c r="AL419" s="226"/>
      <c r="AM419" s="258">
        <v>43</v>
      </c>
      <c r="AN419" s="258">
        <v>225</v>
      </c>
      <c r="AO419" s="262" t="s">
        <v>253</v>
      </c>
      <c r="AP419" s="260">
        <v>400</v>
      </c>
    </row>
    <row r="420" spans="9:42" ht="20.100000000000001" customHeight="1" x14ac:dyDescent="0.25">
      <c r="I420" s="246"/>
      <c r="K420" s="247"/>
      <c r="L420" s="247"/>
      <c r="M420" s="247"/>
      <c r="N420" s="248"/>
      <c r="O420" s="249"/>
      <c r="P420" s="247"/>
      <c r="R420" s="250"/>
      <c r="U420" s="247"/>
      <c r="V420" s="247"/>
      <c r="W420" s="247"/>
      <c r="X420" s="247"/>
      <c r="Y420" s="247"/>
      <c r="Z420" s="247"/>
      <c r="AA420" s="250"/>
      <c r="AH420" s="258">
        <f t="shared" si="69"/>
        <v>44</v>
      </c>
      <c r="AI420" s="258">
        <f t="shared" si="70"/>
        <v>225</v>
      </c>
      <c r="AJ420" s="259" t="str">
        <f t="shared" si="71"/>
        <v>2/0</v>
      </c>
      <c r="AK420" s="260">
        <f t="shared" si="72"/>
        <v>245.39999999999998</v>
      </c>
      <c r="AL420" s="226"/>
      <c r="AM420" s="258">
        <v>44</v>
      </c>
      <c r="AN420" s="258">
        <v>225</v>
      </c>
      <c r="AO420" s="262" t="s">
        <v>253</v>
      </c>
      <c r="AP420" s="260">
        <v>409</v>
      </c>
    </row>
    <row r="421" spans="9:42" ht="20.100000000000001" customHeight="1" x14ac:dyDescent="0.25">
      <c r="I421" s="246"/>
      <c r="K421" s="247"/>
      <c r="L421" s="247"/>
      <c r="M421" s="247"/>
      <c r="N421" s="248"/>
      <c r="O421" s="249"/>
      <c r="P421" s="247"/>
      <c r="R421" s="250"/>
      <c r="U421" s="247"/>
      <c r="V421" s="247"/>
      <c r="W421" s="247"/>
      <c r="X421" s="247"/>
      <c r="Y421" s="247"/>
      <c r="Z421" s="247"/>
      <c r="AA421" s="250"/>
      <c r="AH421" s="258">
        <f t="shared" si="69"/>
        <v>45</v>
      </c>
      <c r="AI421" s="258">
        <f t="shared" si="70"/>
        <v>225</v>
      </c>
      <c r="AJ421" s="259" t="str">
        <f t="shared" si="71"/>
        <v>2/0</v>
      </c>
      <c r="AK421" s="260">
        <f t="shared" si="72"/>
        <v>250.79999999999998</v>
      </c>
      <c r="AL421" s="226"/>
      <c r="AM421" s="258">
        <v>45</v>
      </c>
      <c r="AN421" s="258">
        <v>225</v>
      </c>
      <c r="AO421" s="262" t="s">
        <v>253</v>
      </c>
      <c r="AP421" s="260">
        <v>418</v>
      </c>
    </row>
    <row r="422" spans="9:42" ht="20.100000000000001" customHeight="1" x14ac:dyDescent="0.25">
      <c r="I422" s="246"/>
      <c r="K422" s="247"/>
      <c r="L422" s="247"/>
      <c r="M422" s="247"/>
      <c r="N422" s="248"/>
      <c r="O422" s="249"/>
      <c r="P422" s="247"/>
      <c r="R422" s="250"/>
      <c r="U422" s="247"/>
      <c r="V422" s="247"/>
      <c r="W422" s="247"/>
      <c r="X422" s="247"/>
      <c r="Y422" s="247"/>
      <c r="Z422" s="247"/>
      <c r="AA422" s="250"/>
      <c r="AH422" s="258">
        <f t="shared" si="69"/>
        <v>46</v>
      </c>
      <c r="AI422" s="258">
        <f t="shared" si="70"/>
        <v>225</v>
      </c>
      <c r="AJ422" s="259" t="str">
        <f t="shared" si="71"/>
        <v>2/0</v>
      </c>
      <c r="AK422" s="260">
        <f t="shared" si="72"/>
        <v>256.2</v>
      </c>
      <c r="AL422" s="226"/>
      <c r="AM422" s="258">
        <v>46</v>
      </c>
      <c r="AN422" s="258">
        <v>225</v>
      </c>
      <c r="AO422" s="262" t="s">
        <v>253</v>
      </c>
      <c r="AP422" s="260">
        <v>427</v>
      </c>
    </row>
    <row r="423" spans="9:42" ht="20.100000000000001" customHeight="1" x14ac:dyDescent="0.25">
      <c r="I423" s="246"/>
      <c r="K423" s="247"/>
      <c r="L423" s="247"/>
      <c r="M423" s="247"/>
      <c r="N423" s="248"/>
      <c r="O423" s="249"/>
      <c r="P423" s="247"/>
      <c r="R423" s="250"/>
      <c r="U423" s="247"/>
      <c r="V423" s="247"/>
      <c r="W423" s="247"/>
      <c r="X423" s="247"/>
      <c r="Y423" s="247"/>
      <c r="Z423" s="247"/>
      <c r="AA423" s="250"/>
      <c r="AH423" s="258">
        <f t="shared" si="69"/>
        <v>47</v>
      </c>
      <c r="AI423" s="258">
        <f t="shared" si="70"/>
        <v>225</v>
      </c>
      <c r="AJ423" s="259" t="str">
        <f t="shared" si="71"/>
        <v>2/0</v>
      </c>
      <c r="AK423" s="260">
        <f t="shared" si="72"/>
        <v>262.2</v>
      </c>
      <c r="AL423" s="226"/>
      <c r="AM423" s="258">
        <v>47</v>
      </c>
      <c r="AN423" s="258">
        <v>225</v>
      </c>
      <c r="AO423" s="262" t="s">
        <v>253</v>
      </c>
      <c r="AP423" s="260">
        <v>437</v>
      </c>
    </row>
    <row r="424" spans="9:42" ht="20.100000000000001" customHeight="1" x14ac:dyDescent="0.25">
      <c r="I424" s="246"/>
      <c r="K424" s="247"/>
      <c r="L424" s="247"/>
      <c r="M424" s="247"/>
      <c r="N424" s="248"/>
      <c r="O424" s="249"/>
      <c r="P424" s="247"/>
      <c r="R424" s="250"/>
      <c r="U424" s="247"/>
      <c r="V424" s="247"/>
      <c r="W424" s="247"/>
      <c r="X424" s="247"/>
      <c r="Y424" s="247"/>
      <c r="Z424" s="247"/>
      <c r="AA424" s="250"/>
      <c r="AH424" s="258">
        <f t="shared" si="69"/>
        <v>48</v>
      </c>
      <c r="AI424" s="258">
        <f t="shared" si="70"/>
        <v>225</v>
      </c>
      <c r="AJ424" s="259" t="str">
        <f t="shared" si="71"/>
        <v>2/0</v>
      </c>
      <c r="AK424" s="260">
        <f t="shared" si="72"/>
        <v>267.59999999999997</v>
      </c>
      <c r="AL424" s="226"/>
      <c r="AM424" s="258">
        <v>48</v>
      </c>
      <c r="AN424" s="258">
        <v>225</v>
      </c>
      <c r="AO424" s="262" t="s">
        <v>253</v>
      </c>
      <c r="AP424" s="260">
        <v>446</v>
      </c>
    </row>
    <row r="425" spans="9:42" ht="20.100000000000001" customHeight="1" x14ac:dyDescent="0.25">
      <c r="I425" s="246"/>
      <c r="K425" s="247"/>
      <c r="L425" s="247"/>
      <c r="M425" s="247"/>
      <c r="N425" s="248"/>
      <c r="O425" s="249"/>
      <c r="P425" s="247"/>
      <c r="R425" s="250"/>
      <c r="U425" s="247"/>
      <c r="V425" s="247"/>
      <c r="W425" s="247"/>
      <c r="X425" s="247"/>
      <c r="Y425" s="247"/>
      <c r="Z425" s="247"/>
      <c r="AA425" s="250"/>
      <c r="AH425" s="258">
        <f t="shared" si="69"/>
        <v>49</v>
      </c>
      <c r="AI425" s="258">
        <f t="shared" si="70"/>
        <v>225</v>
      </c>
      <c r="AJ425" s="259" t="str">
        <f t="shared" si="71"/>
        <v>2/0</v>
      </c>
      <c r="AK425" s="260">
        <f t="shared" si="72"/>
        <v>273</v>
      </c>
      <c r="AL425" s="226"/>
      <c r="AM425" s="258">
        <v>49</v>
      </c>
      <c r="AN425" s="258">
        <v>225</v>
      </c>
      <c r="AO425" s="262" t="s">
        <v>253</v>
      </c>
      <c r="AP425" s="260">
        <v>455</v>
      </c>
    </row>
    <row r="426" spans="9:42" ht="20.100000000000001" customHeight="1" x14ac:dyDescent="0.25">
      <c r="I426" s="246"/>
      <c r="K426" s="247"/>
      <c r="L426" s="247"/>
      <c r="M426" s="247"/>
      <c r="N426" s="248"/>
      <c r="O426" s="249"/>
      <c r="P426" s="247"/>
      <c r="R426" s="250"/>
      <c r="U426" s="247"/>
      <c r="V426" s="247"/>
      <c r="W426" s="247"/>
      <c r="X426" s="247"/>
      <c r="Y426" s="247"/>
      <c r="Z426" s="247"/>
      <c r="AA426" s="250"/>
      <c r="AH426" s="258">
        <f t="shared" si="69"/>
        <v>50</v>
      </c>
      <c r="AI426" s="258">
        <f t="shared" si="70"/>
        <v>225</v>
      </c>
      <c r="AJ426" s="259" t="str">
        <f t="shared" si="71"/>
        <v>2/0</v>
      </c>
      <c r="AK426" s="260">
        <f t="shared" si="72"/>
        <v>278.39999999999998</v>
      </c>
      <c r="AL426" s="226"/>
      <c r="AM426" s="258">
        <v>50</v>
      </c>
      <c r="AN426" s="258">
        <v>225</v>
      </c>
      <c r="AO426" s="262" t="s">
        <v>253</v>
      </c>
      <c r="AP426" s="260">
        <v>464</v>
      </c>
    </row>
    <row r="427" spans="9:42" ht="20.100000000000001" customHeight="1" x14ac:dyDescent="0.25">
      <c r="I427" s="246"/>
      <c r="K427" s="247"/>
      <c r="L427" s="247"/>
      <c r="M427" s="247"/>
      <c r="N427" s="248"/>
      <c r="O427" s="249"/>
      <c r="P427" s="247"/>
      <c r="R427" s="250"/>
      <c r="U427" s="247"/>
      <c r="V427" s="247"/>
      <c r="W427" s="247"/>
      <c r="X427" s="247"/>
      <c r="Y427" s="247"/>
      <c r="Z427" s="247"/>
      <c r="AA427" s="250"/>
      <c r="AH427" s="258">
        <f t="shared" si="69"/>
        <v>51</v>
      </c>
      <c r="AI427" s="258">
        <f t="shared" si="70"/>
        <v>225</v>
      </c>
      <c r="AJ427" s="259" t="str">
        <f t="shared" si="71"/>
        <v>2/1</v>
      </c>
      <c r="AK427" s="260">
        <f t="shared" si="72"/>
        <v>245.82</v>
      </c>
      <c r="AL427" s="226"/>
      <c r="AM427" s="258">
        <v>51</v>
      </c>
      <c r="AN427" s="258">
        <v>225</v>
      </c>
      <c r="AO427" s="262" t="s">
        <v>256</v>
      </c>
      <c r="AP427" s="260">
        <v>409.7</v>
      </c>
    </row>
    <row r="428" spans="9:42" ht="20.100000000000001" customHeight="1" x14ac:dyDescent="0.25">
      <c r="I428" s="246"/>
      <c r="K428" s="247"/>
      <c r="L428" s="247"/>
      <c r="M428" s="247"/>
      <c r="N428" s="248"/>
      <c r="O428" s="249"/>
      <c r="P428" s="247"/>
      <c r="R428" s="250"/>
      <c r="U428" s="247"/>
      <c r="V428" s="247"/>
      <c r="W428" s="247"/>
      <c r="X428" s="247"/>
      <c r="Y428" s="247"/>
      <c r="Z428" s="247"/>
      <c r="AA428" s="250"/>
      <c r="AH428" s="258">
        <f t="shared" si="69"/>
        <v>52</v>
      </c>
      <c r="AI428" s="258">
        <f t="shared" si="70"/>
        <v>225</v>
      </c>
      <c r="AJ428" s="259" t="str">
        <f t="shared" si="71"/>
        <v>2/1</v>
      </c>
      <c r="AK428" s="260">
        <f t="shared" si="72"/>
        <v>250.92</v>
      </c>
      <c r="AL428" s="226"/>
      <c r="AM428" s="258">
        <v>52</v>
      </c>
      <c r="AN428" s="258">
        <v>225</v>
      </c>
      <c r="AO428" s="262" t="s">
        <v>256</v>
      </c>
      <c r="AP428" s="260">
        <v>418.2</v>
      </c>
    </row>
    <row r="429" spans="9:42" ht="20.100000000000001" customHeight="1" x14ac:dyDescent="0.25">
      <c r="I429" s="246"/>
      <c r="K429" s="247"/>
      <c r="L429" s="247"/>
      <c r="M429" s="247"/>
      <c r="N429" s="248"/>
      <c r="O429" s="249"/>
      <c r="P429" s="247"/>
      <c r="R429" s="250"/>
      <c r="U429" s="247"/>
      <c r="V429" s="247"/>
      <c r="W429" s="247"/>
      <c r="X429" s="247"/>
      <c r="Y429" s="247"/>
      <c r="Z429" s="247"/>
      <c r="AA429" s="250"/>
      <c r="AH429" s="258">
        <f t="shared" si="69"/>
        <v>53</v>
      </c>
      <c r="AI429" s="258">
        <f t="shared" si="70"/>
        <v>225</v>
      </c>
      <c r="AJ429" s="259" t="str">
        <f t="shared" si="71"/>
        <v>2/1</v>
      </c>
      <c r="AK429" s="260">
        <f t="shared" si="72"/>
        <v>256.02</v>
      </c>
      <c r="AL429" s="226"/>
      <c r="AM429" s="258">
        <v>53</v>
      </c>
      <c r="AN429" s="258">
        <v>225</v>
      </c>
      <c r="AO429" s="262" t="s">
        <v>256</v>
      </c>
      <c r="AP429" s="260">
        <v>426.7</v>
      </c>
    </row>
    <row r="430" spans="9:42" ht="20.100000000000001" customHeight="1" x14ac:dyDescent="0.25">
      <c r="I430" s="246"/>
      <c r="K430" s="247"/>
      <c r="L430" s="247"/>
      <c r="M430" s="247"/>
      <c r="N430" s="248"/>
      <c r="O430" s="249"/>
      <c r="P430" s="247"/>
      <c r="R430" s="250"/>
      <c r="U430" s="247"/>
      <c r="V430" s="247"/>
      <c r="W430" s="247"/>
      <c r="X430" s="247"/>
      <c r="Y430" s="247"/>
      <c r="Z430" s="247"/>
      <c r="AA430" s="250"/>
      <c r="AH430" s="258" t="str">
        <f t="shared" ref="AH430:AJ489" si="77">AM430</f>
        <v>&gt;&gt;&gt;&gt;&gt;&gt;</v>
      </c>
      <c r="AI430" s="258"/>
      <c r="AJ430" s="259"/>
      <c r="AK430" s="260"/>
      <c r="AL430" s="226"/>
      <c r="AM430" s="258" t="s">
        <v>249</v>
      </c>
      <c r="AN430" s="258"/>
      <c r="AO430" s="262"/>
      <c r="AP430" s="260"/>
    </row>
    <row r="431" spans="9:42" ht="20.100000000000001" customHeight="1" x14ac:dyDescent="0.25">
      <c r="I431" s="246"/>
      <c r="K431" s="247"/>
      <c r="L431" s="247"/>
      <c r="M431" s="247"/>
      <c r="N431" s="248"/>
      <c r="O431" s="249"/>
      <c r="P431" s="247"/>
      <c r="R431" s="250"/>
      <c r="U431" s="247"/>
      <c r="V431" s="247"/>
      <c r="W431" s="247"/>
      <c r="X431" s="247"/>
      <c r="Y431" s="247"/>
      <c r="Z431" s="247"/>
      <c r="AA431" s="250"/>
      <c r="AH431" s="258">
        <f t="shared" si="77"/>
        <v>5</v>
      </c>
      <c r="AI431" s="258">
        <f t="shared" si="77"/>
        <v>250</v>
      </c>
      <c r="AJ431" s="259" t="str">
        <f t="shared" si="77"/>
        <v>4/0</v>
      </c>
      <c r="AK431" s="260">
        <f t="shared" ref="AK431:AK432" si="78">(1-$AL$2)*AP431</f>
        <v>63</v>
      </c>
      <c r="AL431" s="226"/>
      <c r="AM431" s="258">
        <v>5</v>
      </c>
      <c r="AN431" s="258">
        <v>250</v>
      </c>
      <c r="AO431" s="262" t="s">
        <v>179</v>
      </c>
      <c r="AP431" s="260">
        <v>105</v>
      </c>
    </row>
    <row r="432" spans="9:42" ht="20.100000000000001" customHeight="1" x14ac:dyDescent="0.25">
      <c r="I432" s="246"/>
      <c r="K432" s="247"/>
      <c r="L432" s="247"/>
      <c r="M432" s="247"/>
      <c r="N432" s="248"/>
      <c r="O432" s="249"/>
      <c r="P432" s="247"/>
      <c r="R432" s="250"/>
      <c r="U432" s="247"/>
      <c r="V432" s="247"/>
      <c r="W432" s="247"/>
      <c r="X432" s="247"/>
      <c r="Y432" s="247"/>
      <c r="Z432" s="247"/>
      <c r="AA432" s="250"/>
      <c r="AH432" s="258">
        <f t="shared" si="77"/>
        <v>6</v>
      </c>
      <c r="AI432" s="258">
        <f t="shared" si="77"/>
        <v>250</v>
      </c>
      <c r="AJ432" s="259" t="str">
        <f t="shared" si="77"/>
        <v>4/0</v>
      </c>
      <c r="AK432" s="260">
        <f t="shared" si="78"/>
        <v>72.599999999999994</v>
      </c>
      <c r="AL432" s="226"/>
      <c r="AM432" s="258">
        <v>6</v>
      </c>
      <c r="AN432" s="258">
        <v>250</v>
      </c>
      <c r="AO432" s="262" t="s">
        <v>179</v>
      </c>
      <c r="AP432" s="260">
        <v>121</v>
      </c>
    </row>
    <row r="433" spans="9:42" ht="20.100000000000001" customHeight="1" x14ac:dyDescent="0.25">
      <c r="I433" s="246"/>
      <c r="K433" s="247"/>
      <c r="L433" s="247"/>
      <c r="M433" s="247"/>
      <c r="N433" s="248"/>
      <c r="O433" s="249"/>
      <c r="P433" s="247"/>
      <c r="R433" s="250"/>
      <c r="U433" s="247"/>
      <c r="V433" s="247"/>
      <c r="W433" s="247"/>
      <c r="X433" s="247"/>
      <c r="Y433" s="247"/>
      <c r="Z433" s="247"/>
      <c r="AA433" s="250"/>
      <c r="AH433" s="258">
        <f t="shared" ref="AH433:AH486" si="79">AM433</f>
        <v>7</v>
      </c>
      <c r="AI433" s="258">
        <f t="shared" ref="AI433:AI486" si="80">AN433</f>
        <v>250</v>
      </c>
      <c r="AJ433" s="259" t="str">
        <f t="shared" ref="AJ433:AJ486" si="81">AO433</f>
        <v>4/0</v>
      </c>
      <c r="AK433" s="260">
        <f t="shared" ref="AK433:AK486" si="82">(1-$AL$2)*AP433</f>
        <v>82.8</v>
      </c>
      <c r="AL433" s="226"/>
      <c r="AM433" s="258">
        <v>7</v>
      </c>
      <c r="AN433" s="258">
        <v>250</v>
      </c>
      <c r="AO433" s="262" t="s">
        <v>179</v>
      </c>
      <c r="AP433" s="260">
        <v>138</v>
      </c>
    </row>
    <row r="434" spans="9:42" ht="20.100000000000001" customHeight="1" x14ac:dyDescent="0.25">
      <c r="I434" s="246"/>
      <c r="K434" s="247"/>
      <c r="L434" s="247"/>
      <c r="M434" s="247"/>
      <c r="N434" s="248"/>
      <c r="O434" s="249"/>
      <c r="P434" s="247"/>
      <c r="R434" s="250"/>
      <c r="U434" s="247"/>
      <c r="V434" s="247"/>
      <c r="W434" s="247"/>
      <c r="X434" s="247"/>
      <c r="Y434" s="247"/>
      <c r="Z434" s="247"/>
      <c r="AA434" s="250"/>
      <c r="AH434" s="258">
        <f t="shared" si="79"/>
        <v>8</v>
      </c>
      <c r="AI434" s="258">
        <f t="shared" si="80"/>
        <v>250</v>
      </c>
      <c r="AJ434" s="259" t="str">
        <f t="shared" si="81"/>
        <v>4/0</v>
      </c>
      <c r="AK434" s="260">
        <f t="shared" si="82"/>
        <v>92.399999999999991</v>
      </c>
      <c r="AL434" s="226"/>
      <c r="AM434" s="258">
        <v>8</v>
      </c>
      <c r="AN434" s="258">
        <v>250</v>
      </c>
      <c r="AO434" s="262" t="s">
        <v>179</v>
      </c>
      <c r="AP434" s="260">
        <v>154</v>
      </c>
    </row>
    <row r="435" spans="9:42" ht="20.100000000000001" customHeight="1" x14ac:dyDescent="0.25">
      <c r="I435" s="246"/>
      <c r="K435" s="247"/>
      <c r="L435" s="247"/>
      <c r="M435" s="247"/>
      <c r="N435" s="248"/>
      <c r="O435" s="249"/>
      <c r="P435" s="247"/>
      <c r="R435" s="250"/>
      <c r="U435" s="247"/>
      <c r="V435" s="247"/>
      <c r="W435" s="247"/>
      <c r="X435" s="247"/>
      <c r="Y435" s="247"/>
      <c r="Z435" s="247"/>
      <c r="AA435" s="250"/>
      <c r="AH435" s="258">
        <f t="shared" si="79"/>
        <v>9</v>
      </c>
      <c r="AI435" s="258">
        <f t="shared" si="80"/>
        <v>250</v>
      </c>
      <c r="AJ435" s="259" t="str">
        <f t="shared" si="81"/>
        <v>4/0</v>
      </c>
      <c r="AK435" s="260">
        <f t="shared" si="82"/>
        <v>102</v>
      </c>
      <c r="AL435" s="226"/>
      <c r="AM435" s="258">
        <v>9</v>
      </c>
      <c r="AN435" s="258">
        <v>250</v>
      </c>
      <c r="AO435" s="262" t="s">
        <v>179</v>
      </c>
      <c r="AP435" s="260">
        <v>170</v>
      </c>
    </row>
    <row r="436" spans="9:42" ht="20.100000000000001" customHeight="1" x14ac:dyDescent="0.25">
      <c r="I436" s="246"/>
      <c r="K436" s="247"/>
      <c r="L436" s="247"/>
      <c r="M436" s="247"/>
      <c r="N436" s="248"/>
      <c r="O436" s="249"/>
      <c r="P436" s="247"/>
      <c r="R436" s="250"/>
      <c r="U436" s="247"/>
      <c r="V436" s="247"/>
      <c r="W436" s="247"/>
      <c r="X436" s="247"/>
      <c r="Y436" s="247"/>
      <c r="Z436" s="247"/>
      <c r="AA436" s="250"/>
      <c r="AH436" s="258">
        <f t="shared" si="79"/>
        <v>10</v>
      </c>
      <c r="AI436" s="258">
        <f t="shared" si="80"/>
        <v>250</v>
      </c>
      <c r="AJ436" s="259" t="str">
        <f t="shared" si="81"/>
        <v>4/0</v>
      </c>
      <c r="AK436" s="260">
        <f t="shared" si="82"/>
        <v>112.2</v>
      </c>
      <c r="AL436" s="226"/>
      <c r="AM436" s="258">
        <v>10</v>
      </c>
      <c r="AN436" s="258">
        <v>250</v>
      </c>
      <c r="AO436" s="262" t="s">
        <v>179</v>
      </c>
      <c r="AP436" s="260">
        <v>187</v>
      </c>
    </row>
    <row r="437" spans="9:42" ht="20.100000000000001" customHeight="1" x14ac:dyDescent="0.25">
      <c r="I437" s="246"/>
      <c r="K437" s="247"/>
      <c r="L437" s="247"/>
      <c r="M437" s="247"/>
      <c r="N437" s="248"/>
      <c r="O437" s="249"/>
      <c r="P437" s="247"/>
      <c r="R437" s="250"/>
      <c r="U437" s="247"/>
      <c r="V437" s="247"/>
      <c r="W437" s="247"/>
      <c r="X437" s="247"/>
      <c r="Y437" s="247"/>
      <c r="Z437" s="247"/>
      <c r="AA437" s="250"/>
      <c r="AH437" s="258">
        <f t="shared" si="79"/>
        <v>11</v>
      </c>
      <c r="AI437" s="258">
        <f t="shared" si="80"/>
        <v>250</v>
      </c>
      <c r="AJ437" s="259" t="str">
        <f t="shared" si="81"/>
        <v>4/0</v>
      </c>
      <c r="AK437" s="260">
        <f t="shared" si="82"/>
        <v>121.8</v>
      </c>
      <c r="AL437" s="226"/>
      <c r="AM437" s="258">
        <v>11</v>
      </c>
      <c r="AN437" s="258">
        <v>250</v>
      </c>
      <c r="AO437" s="262" t="s">
        <v>179</v>
      </c>
      <c r="AP437" s="260">
        <v>203</v>
      </c>
    </row>
    <row r="438" spans="9:42" ht="20.100000000000001" customHeight="1" x14ac:dyDescent="0.25">
      <c r="I438" s="246"/>
      <c r="K438" s="247"/>
      <c r="L438" s="247"/>
      <c r="M438" s="247"/>
      <c r="N438" s="248"/>
      <c r="O438" s="249"/>
      <c r="P438" s="247"/>
      <c r="R438" s="250"/>
      <c r="U438" s="247"/>
      <c r="V438" s="247"/>
      <c r="W438" s="247"/>
      <c r="X438" s="247"/>
      <c r="Y438" s="247"/>
      <c r="Z438" s="247"/>
      <c r="AA438" s="250"/>
      <c r="AH438" s="258">
        <f t="shared" si="79"/>
        <v>12</v>
      </c>
      <c r="AI438" s="258">
        <f t="shared" si="80"/>
        <v>250</v>
      </c>
      <c r="AJ438" s="259" t="str">
        <f t="shared" si="81"/>
        <v>4/0</v>
      </c>
      <c r="AK438" s="260">
        <f t="shared" si="82"/>
        <v>127.8</v>
      </c>
      <c r="AL438" s="226"/>
      <c r="AM438" s="258">
        <v>12</v>
      </c>
      <c r="AN438" s="258">
        <v>250</v>
      </c>
      <c r="AO438" s="262" t="s">
        <v>179</v>
      </c>
      <c r="AP438" s="260">
        <v>213</v>
      </c>
    </row>
    <row r="439" spans="9:42" ht="20.100000000000001" customHeight="1" x14ac:dyDescent="0.25">
      <c r="I439" s="246"/>
      <c r="K439" s="247"/>
      <c r="L439" s="247"/>
      <c r="M439" s="247"/>
      <c r="N439" s="248"/>
      <c r="O439" s="249"/>
      <c r="P439" s="247"/>
      <c r="R439" s="250"/>
      <c r="U439" s="247"/>
      <c r="V439" s="247"/>
      <c r="W439" s="247"/>
      <c r="X439" s="247"/>
      <c r="Y439" s="247"/>
      <c r="Z439" s="247"/>
      <c r="AA439" s="250"/>
      <c r="AH439" s="258">
        <f t="shared" si="79"/>
        <v>13</v>
      </c>
      <c r="AI439" s="258">
        <f t="shared" si="80"/>
        <v>250</v>
      </c>
      <c r="AJ439" s="259" t="str">
        <f t="shared" si="81"/>
        <v>4/0</v>
      </c>
      <c r="AK439" s="260">
        <f t="shared" si="82"/>
        <v>141.6</v>
      </c>
      <c r="AL439" s="226"/>
      <c r="AM439" s="258">
        <v>13</v>
      </c>
      <c r="AN439" s="258">
        <v>250</v>
      </c>
      <c r="AO439" s="262" t="s">
        <v>179</v>
      </c>
      <c r="AP439" s="260">
        <v>236</v>
      </c>
    </row>
    <row r="440" spans="9:42" ht="20.100000000000001" customHeight="1" x14ac:dyDescent="0.25">
      <c r="I440" s="246"/>
      <c r="K440" s="247"/>
      <c r="L440" s="247"/>
      <c r="M440" s="247"/>
      <c r="N440" s="248"/>
      <c r="O440" s="249"/>
      <c r="P440" s="247"/>
      <c r="R440" s="250"/>
      <c r="U440" s="247"/>
      <c r="V440" s="247"/>
      <c r="W440" s="247"/>
      <c r="X440" s="247"/>
      <c r="Y440" s="247"/>
      <c r="Z440" s="247"/>
      <c r="AA440" s="250"/>
      <c r="AH440" s="258">
        <f t="shared" si="79"/>
        <v>14</v>
      </c>
      <c r="AI440" s="258">
        <f t="shared" si="80"/>
        <v>250</v>
      </c>
      <c r="AJ440" s="259" t="str">
        <f t="shared" si="81"/>
        <v>4/0</v>
      </c>
      <c r="AK440" s="260">
        <f t="shared" si="82"/>
        <v>151.79999999999998</v>
      </c>
      <c r="AL440" s="226"/>
      <c r="AM440" s="258">
        <v>14</v>
      </c>
      <c r="AN440" s="258">
        <v>250</v>
      </c>
      <c r="AO440" s="262" t="s">
        <v>179</v>
      </c>
      <c r="AP440" s="260">
        <v>253</v>
      </c>
    </row>
    <row r="441" spans="9:42" ht="20.100000000000001" customHeight="1" x14ac:dyDescent="0.25">
      <c r="I441" s="246"/>
      <c r="K441" s="247"/>
      <c r="L441" s="247"/>
      <c r="M441" s="247"/>
      <c r="N441" s="248"/>
      <c r="O441" s="249"/>
      <c r="P441" s="247"/>
      <c r="R441" s="250"/>
      <c r="U441" s="247"/>
      <c r="V441" s="247"/>
      <c r="W441" s="247"/>
      <c r="X441" s="247"/>
      <c r="Y441" s="247"/>
      <c r="Z441" s="247"/>
      <c r="AA441" s="250"/>
      <c r="AH441" s="258">
        <f t="shared" si="79"/>
        <v>15</v>
      </c>
      <c r="AI441" s="258">
        <f t="shared" si="80"/>
        <v>250</v>
      </c>
      <c r="AJ441" s="259" t="str">
        <f t="shared" si="81"/>
        <v>4/0</v>
      </c>
      <c r="AK441" s="260">
        <f t="shared" si="82"/>
        <v>162</v>
      </c>
      <c r="AL441" s="226"/>
      <c r="AM441" s="258">
        <v>15</v>
      </c>
      <c r="AN441" s="258">
        <v>250</v>
      </c>
      <c r="AO441" s="262" t="s">
        <v>179</v>
      </c>
      <c r="AP441" s="260">
        <v>270</v>
      </c>
    </row>
    <row r="442" spans="9:42" ht="20.100000000000001" customHeight="1" x14ac:dyDescent="0.25">
      <c r="I442" s="246"/>
      <c r="K442" s="247"/>
      <c r="L442" s="247"/>
      <c r="M442" s="247"/>
      <c r="N442" s="248"/>
      <c r="O442" s="249"/>
      <c r="P442" s="247"/>
      <c r="R442" s="250"/>
      <c r="U442" s="247"/>
      <c r="V442" s="247"/>
      <c r="W442" s="247"/>
      <c r="X442" s="247"/>
      <c r="Y442" s="247"/>
      <c r="Z442" s="247"/>
      <c r="AA442" s="250"/>
      <c r="AH442" s="258">
        <f t="shared" si="79"/>
        <v>16</v>
      </c>
      <c r="AI442" s="258">
        <f t="shared" si="80"/>
        <v>250</v>
      </c>
      <c r="AJ442" s="259" t="str">
        <f t="shared" si="81"/>
        <v>4/1</v>
      </c>
      <c r="AK442" s="260">
        <f t="shared" si="82"/>
        <v>132.35999999999999</v>
      </c>
      <c r="AL442" s="226"/>
      <c r="AM442" s="258">
        <v>16</v>
      </c>
      <c r="AN442" s="258">
        <v>250</v>
      </c>
      <c r="AO442" s="262" t="s">
        <v>250</v>
      </c>
      <c r="AP442" s="260">
        <v>220.6</v>
      </c>
    </row>
    <row r="443" spans="9:42" ht="20.100000000000001" customHeight="1" x14ac:dyDescent="0.25">
      <c r="I443" s="246"/>
      <c r="K443" s="247"/>
      <c r="L443" s="247"/>
      <c r="M443" s="247"/>
      <c r="N443" s="248"/>
      <c r="O443" s="249"/>
      <c r="P443" s="247"/>
      <c r="R443" s="250"/>
      <c r="U443" s="247"/>
      <c r="V443" s="247"/>
      <c r="W443" s="247"/>
      <c r="X443" s="247"/>
      <c r="Y443" s="247"/>
      <c r="Z443" s="247"/>
      <c r="AA443" s="250"/>
      <c r="AH443" s="258">
        <f t="shared" si="79"/>
        <v>17</v>
      </c>
      <c r="AI443" s="258">
        <f t="shared" si="80"/>
        <v>250</v>
      </c>
      <c r="AJ443" s="259" t="str">
        <f t="shared" si="81"/>
        <v>4/1</v>
      </c>
      <c r="AK443" s="260">
        <f t="shared" si="82"/>
        <v>144.78</v>
      </c>
      <c r="AL443" s="226"/>
      <c r="AM443" s="258">
        <v>17</v>
      </c>
      <c r="AN443" s="258">
        <v>250</v>
      </c>
      <c r="AO443" s="262" t="s">
        <v>250</v>
      </c>
      <c r="AP443" s="260">
        <v>241.3</v>
      </c>
    </row>
    <row r="444" spans="9:42" ht="20.100000000000001" customHeight="1" x14ac:dyDescent="0.25">
      <c r="I444" s="246"/>
      <c r="K444" s="247"/>
      <c r="L444" s="247"/>
      <c r="M444" s="247"/>
      <c r="N444" s="248"/>
      <c r="O444" s="249"/>
      <c r="P444" s="247"/>
      <c r="R444" s="250"/>
      <c r="U444" s="247"/>
      <c r="V444" s="247"/>
      <c r="W444" s="247"/>
      <c r="X444" s="247"/>
      <c r="Y444" s="247"/>
      <c r="Z444" s="247"/>
      <c r="AA444" s="250"/>
      <c r="AH444" s="258">
        <f t="shared" si="79"/>
        <v>18</v>
      </c>
      <c r="AI444" s="258">
        <f t="shared" si="80"/>
        <v>250</v>
      </c>
      <c r="AJ444" s="259" t="str">
        <f t="shared" si="81"/>
        <v>4/1</v>
      </c>
      <c r="AK444" s="260">
        <f t="shared" si="82"/>
        <v>160.79999999999998</v>
      </c>
      <c r="AL444" s="226"/>
      <c r="AM444" s="258">
        <v>18</v>
      </c>
      <c r="AN444" s="258">
        <v>250</v>
      </c>
      <c r="AO444" s="262" t="s">
        <v>250</v>
      </c>
      <c r="AP444" s="260">
        <v>268</v>
      </c>
    </row>
    <row r="445" spans="9:42" ht="20.100000000000001" customHeight="1" x14ac:dyDescent="0.25">
      <c r="I445" s="246"/>
      <c r="K445" s="247"/>
      <c r="L445" s="247"/>
      <c r="M445" s="247"/>
      <c r="N445" s="248"/>
      <c r="O445" s="249"/>
      <c r="P445" s="247"/>
      <c r="R445" s="250"/>
      <c r="U445" s="247"/>
      <c r="V445" s="247"/>
      <c r="W445" s="247"/>
      <c r="X445" s="247"/>
      <c r="Y445" s="247"/>
      <c r="Z445" s="247"/>
      <c r="AA445" s="250"/>
      <c r="AH445" s="258">
        <f t="shared" si="79"/>
        <v>19</v>
      </c>
      <c r="AI445" s="258">
        <f t="shared" si="80"/>
        <v>250</v>
      </c>
      <c r="AJ445" s="259" t="str">
        <f t="shared" si="81"/>
        <v>4/1</v>
      </c>
      <c r="AK445" s="260">
        <f t="shared" si="82"/>
        <v>171</v>
      </c>
      <c r="AL445" s="226"/>
      <c r="AM445" s="258">
        <v>19</v>
      </c>
      <c r="AN445" s="258">
        <v>250</v>
      </c>
      <c r="AO445" s="262" t="s">
        <v>250</v>
      </c>
      <c r="AP445" s="260">
        <v>285</v>
      </c>
    </row>
    <row r="446" spans="9:42" ht="20.100000000000001" customHeight="1" x14ac:dyDescent="0.25">
      <c r="I446" s="246"/>
      <c r="K446" s="247"/>
      <c r="L446" s="247"/>
      <c r="M446" s="247"/>
      <c r="N446" s="248"/>
      <c r="O446" s="249"/>
      <c r="P446" s="247"/>
      <c r="R446" s="250"/>
      <c r="U446" s="247"/>
      <c r="V446" s="247"/>
      <c r="W446" s="247"/>
      <c r="X446" s="247"/>
      <c r="Y446" s="247"/>
      <c r="Z446" s="247"/>
      <c r="AA446" s="250"/>
      <c r="AH446" s="258">
        <f t="shared" si="79"/>
        <v>20</v>
      </c>
      <c r="AI446" s="258">
        <f t="shared" si="80"/>
        <v>250</v>
      </c>
      <c r="AJ446" s="259" t="str">
        <f t="shared" si="81"/>
        <v>4/1</v>
      </c>
      <c r="AK446" s="260">
        <f t="shared" si="82"/>
        <v>181.2</v>
      </c>
      <c r="AL446" s="226"/>
      <c r="AM446" s="258">
        <v>20</v>
      </c>
      <c r="AN446" s="258">
        <v>250</v>
      </c>
      <c r="AO446" s="262" t="s">
        <v>250</v>
      </c>
      <c r="AP446" s="260">
        <v>302</v>
      </c>
    </row>
    <row r="447" spans="9:42" ht="20.100000000000001" customHeight="1" x14ac:dyDescent="0.25">
      <c r="I447" s="246"/>
      <c r="K447" s="247"/>
      <c r="L447" s="247"/>
      <c r="M447" s="247"/>
      <c r="N447" s="248"/>
      <c r="O447" s="249"/>
      <c r="P447" s="247"/>
      <c r="R447" s="250"/>
      <c r="U447" s="247"/>
      <c r="V447" s="247"/>
      <c r="W447" s="247"/>
      <c r="X447" s="247"/>
      <c r="Y447" s="247"/>
      <c r="Z447" s="247"/>
      <c r="AA447" s="250"/>
      <c r="AH447" s="258">
        <f t="shared" si="79"/>
        <v>21</v>
      </c>
      <c r="AI447" s="258">
        <f t="shared" si="80"/>
        <v>250</v>
      </c>
      <c r="AJ447" s="259" t="str">
        <f t="shared" si="81"/>
        <v>4/2</v>
      </c>
      <c r="AK447" s="260">
        <f t="shared" si="82"/>
        <v>165.66</v>
      </c>
      <c r="AL447" s="226"/>
      <c r="AM447" s="258">
        <v>21</v>
      </c>
      <c r="AN447" s="258">
        <v>250</v>
      </c>
      <c r="AO447" s="262" t="s">
        <v>251</v>
      </c>
      <c r="AP447" s="260">
        <v>276.10000000000002</v>
      </c>
    </row>
    <row r="448" spans="9:42" ht="20.100000000000001" customHeight="1" x14ac:dyDescent="0.25">
      <c r="I448" s="246"/>
      <c r="K448" s="247"/>
      <c r="L448" s="247"/>
      <c r="M448" s="247"/>
      <c r="N448" s="248"/>
      <c r="O448" s="249"/>
      <c r="P448" s="247"/>
      <c r="R448" s="250"/>
      <c r="U448" s="247"/>
      <c r="V448" s="247"/>
      <c r="W448" s="247"/>
      <c r="X448" s="247"/>
      <c r="Y448" s="247"/>
      <c r="Z448" s="247"/>
      <c r="AA448" s="250"/>
      <c r="AH448" s="258">
        <f t="shared" si="79"/>
        <v>22</v>
      </c>
      <c r="AI448" s="258">
        <f t="shared" si="80"/>
        <v>250</v>
      </c>
      <c r="AJ448" s="259" t="str">
        <f t="shared" si="81"/>
        <v>3/0</v>
      </c>
      <c r="AK448" s="260">
        <f t="shared" si="82"/>
        <v>174</v>
      </c>
      <c r="AL448" s="226"/>
      <c r="AM448" s="258">
        <v>22</v>
      </c>
      <c r="AN448" s="258">
        <v>250</v>
      </c>
      <c r="AO448" s="262" t="s">
        <v>252</v>
      </c>
      <c r="AP448" s="260">
        <v>290</v>
      </c>
    </row>
    <row r="449" spans="9:42" ht="20.100000000000001" customHeight="1" x14ac:dyDescent="0.25">
      <c r="I449" s="246"/>
      <c r="K449" s="247"/>
      <c r="L449" s="247"/>
      <c r="M449" s="247"/>
      <c r="N449" s="248"/>
      <c r="O449" s="249"/>
      <c r="P449" s="247"/>
      <c r="R449" s="250"/>
      <c r="U449" s="247"/>
      <c r="V449" s="247"/>
      <c r="W449" s="247"/>
      <c r="X449" s="247"/>
      <c r="Y449" s="247"/>
      <c r="Z449" s="247"/>
      <c r="AA449" s="250"/>
      <c r="AH449" s="258">
        <f t="shared" si="79"/>
        <v>23</v>
      </c>
      <c r="AI449" s="258">
        <f t="shared" si="80"/>
        <v>250</v>
      </c>
      <c r="AJ449" s="259" t="str">
        <f t="shared" si="81"/>
        <v>3/0</v>
      </c>
      <c r="AK449" s="260">
        <f t="shared" si="82"/>
        <v>181.2</v>
      </c>
      <c r="AL449" s="226"/>
      <c r="AM449" s="258">
        <v>23</v>
      </c>
      <c r="AN449" s="258">
        <v>250</v>
      </c>
      <c r="AO449" s="262" t="s">
        <v>252</v>
      </c>
      <c r="AP449" s="260">
        <v>302</v>
      </c>
    </row>
    <row r="450" spans="9:42" ht="20.100000000000001" customHeight="1" x14ac:dyDescent="0.25">
      <c r="I450" s="246"/>
      <c r="K450" s="247"/>
      <c r="L450" s="247"/>
      <c r="M450" s="247"/>
      <c r="N450" s="248"/>
      <c r="O450" s="249"/>
      <c r="P450" s="247"/>
      <c r="R450" s="250"/>
      <c r="U450" s="247"/>
      <c r="V450" s="247"/>
      <c r="W450" s="247"/>
      <c r="X450" s="247"/>
      <c r="Y450" s="247"/>
      <c r="Z450" s="247"/>
      <c r="AA450" s="250"/>
      <c r="AH450" s="258">
        <f t="shared" si="79"/>
        <v>24</v>
      </c>
      <c r="AI450" s="258">
        <f t="shared" si="80"/>
        <v>250</v>
      </c>
      <c r="AJ450" s="259" t="str">
        <f t="shared" si="81"/>
        <v>3/0</v>
      </c>
      <c r="AK450" s="260">
        <f t="shared" si="82"/>
        <v>189</v>
      </c>
      <c r="AL450" s="226"/>
      <c r="AM450" s="258">
        <v>24</v>
      </c>
      <c r="AN450" s="258">
        <v>250</v>
      </c>
      <c r="AO450" s="262" t="s">
        <v>252</v>
      </c>
      <c r="AP450" s="260">
        <v>315</v>
      </c>
    </row>
    <row r="451" spans="9:42" ht="20.100000000000001" customHeight="1" x14ac:dyDescent="0.25">
      <c r="I451" s="246"/>
      <c r="K451" s="247"/>
      <c r="L451" s="247"/>
      <c r="M451" s="247"/>
      <c r="N451" s="248"/>
      <c r="O451" s="249"/>
      <c r="P451" s="247"/>
      <c r="R451" s="250"/>
      <c r="U451" s="247"/>
      <c r="V451" s="247"/>
      <c r="W451" s="247"/>
      <c r="X451" s="247"/>
      <c r="Y451" s="247"/>
      <c r="Z451" s="247"/>
      <c r="AA451" s="250"/>
      <c r="AH451" s="258">
        <f t="shared" si="79"/>
        <v>25</v>
      </c>
      <c r="AI451" s="258">
        <f t="shared" si="80"/>
        <v>250</v>
      </c>
      <c r="AJ451" s="259" t="str">
        <f t="shared" si="81"/>
        <v>3/1</v>
      </c>
      <c r="AK451" s="260">
        <f t="shared" si="82"/>
        <v>172.98</v>
      </c>
      <c r="AL451" s="226"/>
      <c r="AM451" s="258">
        <v>25</v>
      </c>
      <c r="AN451" s="258">
        <v>250</v>
      </c>
      <c r="AO451" s="262" t="s">
        <v>254</v>
      </c>
      <c r="AP451" s="260">
        <v>288.3</v>
      </c>
    </row>
    <row r="452" spans="9:42" ht="20.100000000000001" customHeight="1" x14ac:dyDescent="0.25">
      <c r="I452" s="246"/>
      <c r="K452" s="247"/>
      <c r="L452" s="247"/>
      <c r="M452" s="247"/>
      <c r="N452" s="248"/>
      <c r="O452" s="249"/>
      <c r="P452" s="247"/>
      <c r="R452" s="250"/>
      <c r="U452" s="247"/>
      <c r="V452" s="247"/>
      <c r="W452" s="247"/>
      <c r="X452" s="247"/>
      <c r="Y452" s="247"/>
      <c r="Z452" s="247"/>
      <c r="AA452" s="250"/>
      <c r="AH452" s="258">
        <f t="shared" si="79"/>
        <v>26</v>
      </c>
      <c r="AI452" s="258">
        <f t="shared" si="80"/>
        <v>250</v>
      </c>
      <c r="AJ452" s="259" t="str">
        <f t="shared" si="81"/>
        <v>3/1</v>
      </c>
      <c r="AK452" s="260">
        <f t="shared" si="82"/>
        <v>180</v>
      </c>
      <c r="AL452" s="226"/>
      <c r="AM452" s="258">
        <v>26</v>
      </c>
      <c r="AN452" s="258">
        <v>250</v>
      </c>
      <c r="AO452" s="262" t="s">
        <v>254</v>
      </c>
      <c r="AP452" s="260">
        <v>300</v>
      </c>
    </row>
    <row r="453" spans="9:42" ht="20.100000000000001" customHeight="1" x14ac:dyDescent="0.25">
      <c r="I453" s="246"/>
      <c r="K453" s="247"/>
      <c r="L453" s="247"/>
      <c r="M453" s="247"/>
      <c r="N453" s="248"/>
      <c r="O453" s="249"/>
      <c r="P453" s="247"/>
      <c r="R453" s="250"/>
      <c r="U453" s="247"/>
      <c r="V453" s="247"/>
      <c r="W453" s="247"/>
      <c r="X453" s="247"/>
      <c r="Y453" s="247"/>
      <c r="Z453" s="247"/>
      <c r="AA453" s="250"/>
      <c r="AH453" s="258">
        <f t="shared" si="79"/>
        <v>27</v>
      </c>
      <c r="AI453" s="258">
        <f t="shared" si="80"/>
        <v>250</v>
      </c>
      <c r="AJ453" s="259" t="str">
        <f t="shared" si="81"/>
        <v>3/1</v>
      </c>
      <c r="AK453" s="260">
        <f t="shared" si="82"/>
        <v>188.4</v>
      </c>
      <c r="AL453" s="226"/>
      <c r="AM453" s="258">
        <v>27</v>
      </c>
      <c r="AN453" s="258">
        <v>250</v>
      </c>
      <c r="AO453" s="262" t="s">
        <v>254</v>
      </c>
      <c r="AP453" s="260">
        <v>314</v>
      </c>
    </row>
    <row r="454" spans="9:42" ht="20.100000000000001" customHeight="1" x14ac:dyDescent="0.25">
      <c r="I454" s="246"/>
      <c r="K454" s="247"/>
      <c r="L454" s="247"/>
      <c r="M454" s="247"/>
      <c r="N454" s="248"/>
      <c r="O454" s="249"/>
      <c r="P454" s="247"/>
      <c r="R454" s="250"/>
      <c r="U454" s="247"/>
      <c r="V454" s="247"/>
      <c r="W454" s="247"/>
      <c r="X454" s="247"/>
      <c r="Y454" s="247"/>
      <c r="Z454" s="247"/>
      <c r="AA454" s="250"/>
      <c r="AH454" s="258">
        <f t="shared" si="79"/>
        <v>28</v>
      </c>
      <c r="AI454" s="258">
        <f t="shared" si="80"/>
        <v>250</v>
      </c>
      <c r="AJ454" s="259" t="str">
        <f t="shared" si="81"/>
        <v>3/1</v>
      </c>
      <c r="AK454" s="260">
        <f t="shared" si="82"/>
        <v>196.2</v>
      </c>
      <c r="AL454" s="226"/>
      <c r="AM454" s="258">
        <v>28</v>
      </c>
      <c r="AN454" s="258">
        <v>250</v>
      </c>
      <c r="AO454" s="262" t="s">
        <v>254</v>
      </c>
      <c r="AP454" s="260">
        <v>327</v>
      </c>
    </row>
    <row r="455" spans="9:42" ht="20.100000000000001" customHeight="1" x14ac:dyDescent="0.25">
      <c r="I455" s="246"/>
      <c r="K455" s="247"/>
      <c r="L455" s="247"/>
      <c r="M455" s="247"/>
      <c r="N455" s="248"/>
      <c r="O455" s="249"/>
      <c r="P455" s="247"/>
      <c r="R455" s="250"/>
      <c r="U455" s="247"/>
      <c r="V455" s="247"/>
      <c r="W455" s="247"/>
      <c r="X455" s="247"/>
      <c r="Y455" s="247"/>
      <c r="Z455" s="247"/>
      <c r="AA455" s="250"/>
      <c r="AH455" s="258">
        <f t="shared" si="79"/>
        <v>29</v>
      </c>
      <c r="AI455" s="258">
        <f t="shared" si="80"/>
        <v>250</v>
      </c>
      <c r="AJ455" s="259" t="str">
        <f t="shared" si="81"/>
        <v>3/1</v>
      </c>
      <c r="AK455" s="260">
        <f t="shared" si="82"/>
        <v>204</v>
      </c>
      <c r="AL455" s="226"/>
      <c r="AM455" s="258">
        <v>29</v>
      </c>
      <c r="AN455" s="258">
        <v>250</v>
      </c>
      <c r="AO455" s="262" t="s">
        <v>254</v>
      </c>
      <c r="AP455" s="260">
        <v>340</v>
      </c>
    </row>
    <row r="456" spans="9:42" ht="20.100000000000001" customHeight="1" x14ac:dyDescent="0.25">
      <c r="I456" s="246"/>
      <c r="K456" s="247"/>
      <c r="L456" s="247"/>
      <c r="M456" s="247"/>
      <c r="N456" s="248"/>
      <c r="O456" s="249"/>
      <c r="P456" s="247"/>
      <c r="R456" s="250"/>
      <c r="U456" s="247"/>
      <c r="V456" s="247"/>
      <c r="W456" s="247"/>
      <c r="X456" s="247"/>
      <c r="Y456" s="247"/>
      <c r="Z456" s="247"/>
      <c r="AA456" s="250"/>
      <c r="AH456" s="258">
        <f t="shared" si="79"/>
        <v>30</v>
      </c>
      <c r="AI456" s="258">
        <f t="shared" si="80"/>
        <v>250</v>
      </c>
      <c r="AJ456" s="259" t="str">
        <f t="shared" si="81"/>
        <v>3/2</v>
      </c>
      <c r="AK456" s="260">
        <f t="shared" si="82"/>
        <v>187.01999999999998</v>
      </c>
      <c r="AL456" s="226"/>
      <c r="AM456" s="258">
        <v>30</v>
      </c>
      <c r="AN456" s="258">
        <v>250</v>
      </c>
      <c r="AO456" s="262" t="s">
        <v>255</v>
      </c>
      <c r="AP456" s="260">
        <v>311.7</v>
      </c>
    </row>
    <row r="457" spans="9:42" ht="20.100000000000001" customHeight="1" x14ac:dyDescent="0.25">
      <c r="I457" s="246"/>
      <c r="K457" s="247"/>
      <c r="L457" s="247"/>
      <c r="M457" s="247"/>
      <c r="N457" s="248"/>
      <c r="O457" s="249"/>
      <c r="P457" s="247"/>
      <c r="R457" s="250"/>
      <c r="U457" s="247"/>
      <c r="V457" s="247"/>
      <c r="W457" s="247"/>
      <c r="X457" s="247"/>
      <c r="Y457" s="247"/>
      <c r="Z457" s="247"/>
      <c r="AA457" s="250"/>
      <c r="AH457" s="258">
        <f t="shared" si="79"/>
        <v>31</v>
      </c>
      <c r="AI457" s="258">
        <f t="shared" si="80"/>
        <v>250</v>
      </c>
      <c r="AJ457" s="259" t="str">
        <f t="shared" si="81"/>
        <v>3/2</v>
      </c>
      <c r="AK457" s="260">
        <f t="shared" si="82"/>
        <v>195.29999999999998</v>
      </c>
      <c r="AL457" s="226"/>
      <c r="AM457" s="258">
        <v>31</v>
      </c>
      <c r="AN457" s="258">
        <v>250</v>
      </c>
      <c r="AO457" s="262" t="s">
        <v>255</v>
      </c>
      <c r="AP457" s="260">
        <v>325.5</v>
      </c>
    </row>
    <row r="458" spans="9:42" ht="20.100000000000001" customHeight="1" x14ac:dyDescent="0.25">
      <c r="I458" s="246"/>
      <c r="K458" s="247"/>
      <c r="L458" s="247"/>
      <c r="M458" s="247"/>
      <c r="N458" s="248"/>
      <c r="O458" s="249"/>
      <c r="P458" s="247"/>
      <c r="R458" s="250"/>
      <c r="U458" s="247"/>
      <c r="V458" s="247"/>
      <c r="W458" s="247"/>
      <c r="X458" s="247"/>
      <c r="Y458" s="247"/>
      <c r="Z458" s="247"/>
      <c r="AA458" s="250"/>
      <c r="AH458" s="258">
        <f t="shared" si="79"/>
        <v>32</v>
      </c>
      <c r="AI458" s="258">
        <f t="shared" si="80"/>
        <v>250</v>
      </c>
      <c r="AJ458" s="259" t="str">
        <f t="shared" si="81"/>
        <v>3/2</v>
      </c>
      <c r="AK458" s="260">
        <f t="shared" si="82"/>
        <v>204</v>
      </c>
      <c r="AL458" s="226"/>
      <c r="AM458" s="258">
        <v>32</v>
      </c>
      <c r="AN458" s="258">
        <v>250</v>
      </c>
      <c r="AO458" s="262" t="s">
        <v>255</v>
      </c>
      <c r="AP458" s="260">
        <v>340</v>
      </c>
    </row>
    <row r="459" spans="9:42" ht="20.100000000000001" customHeight="1" x14ac:dyDescent="0.25">
      <c r="I459" s="246"/>
      <c r="K459" s="247"/>
      <c r="L459" s="247"/>
      <c r="M459" s="247"/>
      <c r="N459" s="248"/>
      <c r="O459" s="249"/>
      <c r="P459" s="247"/>
      <c r="R459" s="250"/>
      <c r="U459" s="247"/>
      <c r="V459" s="247"/>
      <c r="W459" s="247"/>
      <c r="X459" s="247"/>
      <c r="Y459" s="247"/>
      <c r="Z459" s="247"/>
      <c r="AA459" s="250"/>
      <c r="AH459" s="258">
        <f t="shared" si="79"/>
        <v>33</v>
      </c>
      <c r="AI459" s="258">
        <f t="shared" si="80"/>
        <v>250</v>
      </c>
      <c r="AJ459" s="259" t="str">
        <f t="shared" si="81"/>
        <v>3/2</v>
      </c>
      <c r="AK459" s="260">
        <f t="shared" si="82"/>
        <v>211.79999999999998</v>
      </c>
      <c r="AL459" s="226"/>
      <c r="AM459" s="258">
        <v>33</v>
      </c>
      <c r="AN459" s="258">
        <v>250</v>
      </c>
      <c r="AO459" s="262" t="s">
        <v>255</v>
      </c>
      <c r="AP459" s="260">
        <v>353</v>
      </c>
    </row>
    <row r="460" spans="9:42" ht="20.100000000000001" customHeight="1" x14ac:dyDescent="0.25">
      <c r="I460" s="246"/>
      <c r="K460" s="247"/>
      <c r="L460" s="247"/>
      <c r="M460" s="247"/>
      <c r="N460" s="248"/>
      <c r="O460" s="249"/>
      <c r="P460" s="247"/>
      <c r="R460" s="250"/>
      <c r="U460" s="247"/>
      <c r="V460" s="247"/>
      <c r="W460" s="247"/>
      <c r="X460" s="247"/>
      <c r="Y460" s="247"/>
      <c r="Z460" s="247"/>
      <c r="AA460" s="250"/>
      <c r="AH460" s="258">
        <f t="shared" ref="AH460:AH467" si="83">AM460</f>
        <v>34</v>
      </c>
      <c r="AI460" s="258">
        <f t="shared" ref="AI460:AI467" si="84">AN460</f>
        <v>250</v>
      </c>
      <c r="AJ460" s="259" t="str">
        <f t="shared" ref="AJ460:AJ467" si="85">AO460</f>
        <v>3/2</v>
      </c>
      <c r="AK460" s="260">
        <f t="shared" ref="AK460:AK467" si="86">(1-$AL$2)*AP460</f>
        <v>219</v>
      </c>
      <c r="AL460" s="226"/>
      <c r="AM460" s="258">
        <v>34</v>
      </c>
      <c r="AN460" s="258">
        <v>250</v>
      </c>
      <c r="AO460" s="262" t="s">
        <v>255</v>
      </c>
      <c r="AP460" s="260">
        <v>365</v>
      </c>
    </row>
    <row r="461" spans="9:42" ht="20.100000000000001" customHeight="1" x14ac:dyDescent="0.25">
      <c r="I461" s="246"/>
      <c r="K461" s="247"/>
      <c r="L461" s="247"/>
      <c r="M461" s="247"/>
      <c r="N461" s="248"/>
      <c r="O461" s="249"/>
      <c r="P461" s="247"/>
      <c r="R461" s="250"/>
      <c r="U461" s="247"/>
      <c r="V461" s="247"/>
      <c r="W461" s="247"/>
      <c r="X461" s="247"/>
      <c r="Y461" s="247"/>
      <c r="Z461" s="247"/>
      <c r="AA461" s="250"/>
      <c r="AH461" s="258">
        <f t="shared" si="83"/>
        <v>35</v>
      </c>
      <c r="AI461" s="258">
        <f t="shared" si="84"/>
        <v>250</v>
      </c>
      <c r="AJ461" s="259" t="str">
        <f t="shared" si="85"/>
        <v>2/0</v>
      </c>
      <c r="AK461" s="260">
        <f t="shared" si="86"/>
        <v>186.06</v>
      </c>
      <c r="AL461" s="226"/>
      <c r="AM461" s="258">
        <v>35</v>
      </c>
      <c r="AN461" s="258">
        <v>250</v>
      </c>
      <c r="AO461" s="262" t="s">
        <v>253</v>
      </c>
      <c r="AP461" s="260">
        <v>310.10000000000002</v>
      </c>
    </row>
    <row r="462" spans="9:42" ht="20.100000000000001" customHeight="1" x14ac:dyDescent="0.25">
      <c r="I462" s="246"/>
      <c r="K462" s="247"/>
      <c r="L462" s="247"/>
      <c r="M462" s="247"/>
      <c r="N462" s="248"/>
      <c r="O462" s="249"/>
      <c r="P462" s="247"/>
      <c r="R462" s="250"/>
      <c r="U462" s="247"/>
      <c r="V462" s="247"/>
      <c r="W462" s="247"/>
      <c r="X462" s="247"/>
      <c r="Y462" s="247"/>
      <c r="Z462" s="247"/>
      <c r="AA462" s="250"/>
      <c r="AH462" s="258">
        <f t="shared" si="83"/>
        <v>36</v>
      </c>
      <c r="AI462" s="258">
        <f t="shared" si="84"/>
        <v>250</v>
      </c>
      <c r="AJ462" s="259" t="str">
        <f t="shared" si="85"/>
        <v>2/0</v>
      </c>
      <c r="AK462" s="260">
        <f t="shared" si="86"/>
        <v>191.64</v>
      </c>
      <c r="AL462" s="226"/>
      <c r="AM462" s="258">
        <v>36</v>
      </c>
      <c r="AN462" s="258">
        <v>250</v>
      </c>
      <c r="AO462" s="262" t="s">
        <v>253</v>
      </c>
      <c r="AP462" s="260">
        <v>319.39999999999998</v>
      </c>
    </row>
    <row r="463" spans="9:42" ht="20.100000000000001" customHeight="1" x14ac:dyDescent="0.25">
      <c r="I463" s="246"/>
      <c r="K463" s="247"/>
      <c r="L463" s="247"/>
      <c r="M463" s="247"/>
      <c r="N463" s="248"/>
      <c r="O463" s="249"/>
      <c r="P463" s="247"/>
      <c r="R463" s="250"/>
      <c r="U463" s="247"/>
      <c r="V463" s="247"/>
      <c r="W463" s="247"/>
      <c r="X463" s="247"/>
      <c r="Y463" s="247"/>
      <c r="Z463" s="247"/>
      <c r="AA463" s="250"/>
      <c r="AH463" s="258">
        <f t="shared" si="83"/>
        <v>37</v>
      </c>
      <c r="AI463" s="258">
        <f t="shared" si="84"/>
        <v>250</v>
      </c>
      <c r="AJ463" s="259" t="str">
        <f t="shared" si="85"/>
        <v>2/0</v>
      </c>
      <c r="AK463" s="260">
        <f t="shared" si="86"/>
        <v>197.22</v>
      </c>
      <c r="AL463" s="226"/>
      <c r="AM463" s="258">
        <v>37</v>
      </c>
      <c r="AN463" s="258">
        <v>250</v>
      </c>
      <c r="AO463" s="262" t="s">
        <v>253</v>
      </c>
      <c r="AP463" s="260">
        <v>328.7</v>
      </c>
    </row>
    <row r="464" spans="9:42" ht="20.100000000000001" customHeight="1" x14ac:dyDescent="0.25">
      <c r="I464" s="246"/>
      <c r="K464" s="247"/>
      <c r="L464" s="247"/>
      <c r="M464" s="247"/>
      <c r="N464" s="248"/>
      <c r="O464" s="249"/>
      <c r="P464" s="247"/>
      <c r="R464" s="250"/>
      <c r="U464" s="247"/>
      <c r="V464" s="247"/>
      <c r="W464" s="247"/>
      <c r="X464" s="247"/>
      <c r="Y464" s="247"/>
      <c r="Z464" s="247"/>
      <c r="AA464" s="250"/>
      <c r="AH464" s="258">
        <f t="shared" si="83"/>
        <v>38</v>
      </c>
      <c r="AI464" s="258">
        <f t="shared" si="84"/>
        <v>250</v>
      </c>
      <c r="AJ464" s="259" t="str">
        <f t="shared" si="85"/>
        <v>2/0</v>
      </c>
      <c r="AK464" s="260">
        <f t="shared" si="86"/>
        <v>202.79999999999998</v>
      </c>
      <c r="AL464" s="226"/>
      <c r="AM464" s="258">
        <v>38</v>
      </c>
      <c r="AN464" s="258">
        <v>250</v>
      </c>
      <c r="AO464" s="262" t="s">
        <v>253</v>
      </c>
      <c r="AP464" s="260">
        <v>338</v>
      </c>
    </row>
    <row r="465" spans="9:42" ht="20.100000000000001" customHeight="1" x14ac:dyDescent="0.25">
      <c r="I465" s="246"/>
      <c r="K465" s="247"/>
      <c r="L465" s="247"/>
      <c r="M465" s="247"/>
      <c r="N465" s="248"/>
      <c r="O465" s="249"/>
      <c r="P465" s="247"/>
      <c r="R465" s="250"/>
      <c r="U465" s="247"/>
      <c r="V465" s="247"/>
      <c r="W465" s="247"/>
      <c r="X465" s="247"/>
      <c r="Y465" s="247"/>
      <c r="Z465" s="247"/>
      <c r="AA465" s="250"/>
      <c r="AH465" s="258">
        <f t="shared" si="83"/>
        <v>39</v>
      </c>
      <c r="AI465" s="258">
        <f t="shared" si="84"/>
        <v>250</v>
      </c>
      <c r="AJ465" s="259" t="str">
        <f t="shared" si="85"/>
        <v>2/0</v>
      </c>
      <c r="AK465" s="260">
        <f t="shared" si="86"/>
        <v>208.38</v>
      </c>
      <c r="AL465" s="226"/>
      <c r="AM465" s="258">
        <v>39</v>
      </c>
      <c r="AN465" s="258">
        <v>250</v>
      </c>
      <c r="AO465" s="262" t="s">
        <v>253</v>
      </c>
      <c r="AP465" s="260">
        <v>347.3</v>
      </c>
    </row>
    <row r="466" spans="9:42" ht="20.100000000000001" customHeight="1" x14ac:dyDescent="0.25">
      <c r="I466" s="246"/>
      <c r="K466" s="247"/>
      <c r="L466" s="247"/>
      <c r="M466" s="247"/>
      <c r="N466" s="248"/>
      <c r="O466" s="249"/>
      <c r="P466" s="247"/>
      <c r="R466" s="250"/>
      <c r="U466" s="247"/>
      <c r="V466" s="247"/>
      <c r="W466" s="247"/>
      <c r="X466" s="247"/>
      <c r="Y466" s="247"/>
      <c r="Z466" s="247"/>
      <c r="AA466" s="250"/>
      <c r="AH466" s="258">
        <f t="shared" si="83"/>
        <v>40</v>
      </c>
      <c r="AI466" s="258">
        <f t="shared" si="84"/>
        <v>250</v>
      </c>
      <c r="AJ466" s="259" t="str">
        <f t="shared" si="85"/>
        <v>2/0</v>
      </c>
      <c r="AK466" s="260">
        <f t="shared" si="86"/>
        <v>214.01999999999998</v>
      </c>
      <c r="AL466" s="226"/>
      <c r="AM466" s="258">
        <v>40</v>
      </c>
      <c r="AN466" s="258">
        <v>250</v>
      </c>
      <c r="AO466" s="262" t="s">
        <v>253</v>
      </c>
      <c r="AP466" s="260">
        <v>356.7</v>
      </c>
    </row>
    <row r="467" spans="9:42" ht="20.100000000000001" customHeight="1" x14ac:dyDescent="0.25">
      <c r="I467" s="246"/>
      <c r="K467" s="247"/>
      <c r="L467" s="247"/>
      <c r="M467" s="247"/>
      <c r="N467" s="248"/>
      <c r="O467" s="249"/>
      <c r="P467" s="247"/>
      <c r="R467" s="250"/>
      <c r="U467" s="247"/>
      <c r="V467" s="247"/>
      <c r="W467" s="247"/>
      <c r="X467" s="247"/>
      <c r="Y467" s="247"/>
      <c r="Z467" s="247"/>
      <c r="AA467" s="250"/>
      <c r="AH467" s="258">
        <f t="shared" si="83"/>
        <v>41</v>
      </c>
      <c r="AI467" s="258">
        <f t="shared" si="84"/>
        <v>250</v>
      </c>
      <c r="AJ467" s="259" t="str">
        <f t="shared" si="85"/>
        <v>2/0</v>
      </c>
      <c r="AK467" s="260">
        <f t="shared" si="86"/>
        <v>222</v>
      </c>
      <c r="AL467" s="226"/>
      <c r="AM467" s="258">
        <v>41</v>
      </c>
      <c r="AN467" s="258">
        <v>250</v>
      </c>
      <c r="AO467" s="262" t="s">
        <v>253</v>
      </c>
      <c r="AP467" s="260">
        <v>370</v>
      </c>
    </row>
    <row r="468" spans="9:42" ht="20.100000000000001" customHeight="1" x14ac:dyDescent="0.25">
      <c r="I468" s="246"/>
      <c r="K468" s="247"/>
      <c r="L468" s="247"/>
      <c r="M468" s="247"/>
      <c r="N468" s="248"/>
      <c r="O468" s="249"/>
      <c r="P468" s="247"/>
      <c r="R468" s="250"/>
      <c r="U468" s="247"/>
      <c r="V468" s="247"/>
      <c r="W468" s="247"/>
      <c r="X468" s="247"/>
      <c r="Y468" s="247"/>
      <c r="Z468" s="247"/>
      <c r="AA468" s="250"/>
      <c r="AH468" s="258">
        <f t="shared" si="79"/>
        <v>42</v>
      </c>
      <c r="AI468" s="258">
        <f t="shared" si="80"/>
        <v>250</v>
      </c>
      <c r="AJ468" s="259" t="str">
        <f t="shared" si="81"/>
        <v>2/0</v>
      </c>
      <c r="AK468" s="260">
        <f t="shared" si="82"/>
        <v>227.4</v>
      </c>
      <c r="AL468" s="226"/>
      <c r="AM468" s="258">
        <v>42</v>
      </c>
      <c r="AN468" s="258">
        <v>250</v>
      </c>
      <c r="AO468" s="262" t="s">
        <v>253</v>
      </c>
      <c r="AP468" s="260">
        <v>379</v>
      </c>
    </row>
    <row r="469" spans="9:42" ht="20.100000000000001" customHeight="1" x14ac:dyDescent="0.25">
      <c r="I469" s="246"/>
      <c r="K469" s="247"/>
      <c r="L469" s="247"/>
      <c r="M469" s="247"/>
      <c r="N469" s="248"/>
      <c r="O469" s="249"/>
      <c r="P469" s="247"/>
      <c r="R469" s="250"/>
      <c r="U469" s="247"/>
      <c r="V469" s="247"/>
      <c r="W469" s="247"/>
      <c r="X469" s="247"/>
      <c r="Y469" s="247"/>
      <c r="Z469" s="247"/>
      <c r="AA469" s="250"/>
      <c r="AH469" s="258">
        <f t="shared" si="79"/>
        <v>43</v>
      </c>
      <c r="AI469" s="258">
        <f t="shared" si="80"/>
        <v>250</v>
      </c>
      <c r="AJ469" s="259" t="str">
        <f t="shared" si="81"/>
        <v>2/0</v>
      </c>
      <c r="AK469" s="260">
        <f t="shared" si="82"/>
        <v>232.79999999999998</v>
      </c>
      <c r="AL469" s="226"/>
      <c r="AM469" s="258">
        <v>43</v>
      </c>
      <c r="AN469" s="258">
        <v>250</v>
      </c>
      <c r="AO469" s="262" t="s">
        <v>253</v>
      </c>
      <c r="AP469" s="260">
        <v>388</v>
      </c>
    </row>
    <row r="470" spans="9:42" ht="20.100000000000001" customHeight="1" x14ac:dyDescent="0.25">
      <c r="I470" s="246"/>
      <c r="K470" s="247"/>
      <c r="L470" s="247"/>
      <c r="M470" s="247"/>
      <c r="N470" s="248"/>
      <c r="O470" s="249"/>
      <c r="P470" s="247"/>
      <c r="R470" s="250"/>
      <c r="U470" s="247"/>
      <c r="V470" s="247"/>
      <c r="W470" s="247"/>
      <c r="X470" s="247"/>
      <c r="Y470" s="247"/>
      <c r="Z470" s="247"/>
      <c r="AA470" s="250"/>
      <c r="AH470" s="258">
        <f t="shared" si="79"/>
        <v>44</v>
      </c>
      <c r="AI470" s="258">
        <f t="shared" si="80"/>
        <v>250</v>
      </c>
      <c r="AJ470" s="259" t="str">
        <f t="shared" si="81"/>
        <v>2/0</v>
      </c>
      <c r="AK470" s="260">
        <f t="shared" si="82"/>
        <v>238.2</v>
      </c>
      <c r="AL470" s="226"/>
      <c r="AM470" s="258">
        <v>44</v>
      </c>
      <c r="AN470" s="258">
        <v>250</v>
      </c>
      <c r="AO470" s="262" t="s">
        <v>253</v>
      </c>
      <c r="AP470" s="260">
        <v>397</v>
      </c>
    </row>
    <row r="471" spans="9:42" ht="20.100000000000001" customHeight="1" x14ac:dyDescent="0.25">
      <c r="I471" s="246"/>
      <c r="K471" s="247"/>
      <c r="L471" s="247"/>
      <c r="M471" s="247"/>
      <c r="N471" s="248"/>
      <c r="O471" s="249"/>
      <c r="P471" s="247"/>
      <c r="R471" s="250"/>
      <c r="U471" s="247"/>
      <c r="V471" s="247"/>
      <c r="W471" s="247"/>
      <c r="X471" s="247"/>
      <c r="Y471" s="247"/>
      <c r="Z471" s="247"/>
      <c r="AA471" s="250"/>
      <c r="AH471" s="258">
        <f t="shared" si="79"/>
        <v>45</v>
      </c>
      <c r="AI471" s="258">
        <f t="shared" si="80"/>
        <v>250</v>
      </c>
      <c r="AJ471" s="259" t="str">
        <f t="shared" si="81"/>
        <v>2/0</v>
      </c>
      <c r="AK471" s="260">
        <f t="shared" si="82"/>
        <v>243.6</v>
      </c>
      <c r="AL471" s="226"/>
      <c r="AM471" s="258">
        <v>45</v>
      </c>
      <c r="AN471" s="258">
        <v>250</v>
      </c>
      <c r="AO471" s="262" t="s">
        <v>253</v>
      </c>
      <c r="AP471" s="260">
        <v>406</v>
      </c>
    </row>
    <row r="472" spans="9:42" ht="20.100000000000001" customHeight="1" x14ac:dyDescent="0.25">
      <c r="I472" s="246"/>
      <c r="K472" s="247"/>
      <c r="L472" s="247"/>
      <c r="M472" s="247"/>
      <c r="N472" s="248"/>
      <c r="O472" s="249"/>
      <c r="P472" s="247"/>
      <c r="R472" s="250"/>
      <c r="U472" s="247"/>
      <c r="V472" s="247"/>
      <c r="W472" s="247"/>
      <c r="X472" s="247"/>
      <c r="Y472" s="247"/>
      <c r="Z472" s="247"/>
      <c r="AA472" s="250"/>
      <c r="AH472" s="258">
        <f t="shared" si="79"/>
        <v>46</v>
      </c>
      <c r="AI472" s="258">
        <f t="shared" si="80"/>
        <v>250</v>
      </c>
      <c r="AJ472" s="259" t="str">
        <f t="shared" si="81"/>
        <v>2/0</v>
      </c>
      <c r="AK472" s="260">
        <f t="shared" si="82"/>
        <v>249</v>
      </c>
      <c r="AL472" s="226"/>
      <c r="AM472" s="258">
        <v>46</v>
      </c>
      <c r="AN472" s="258">
        <v>250</v>
      </c>
      <c r="AO472" s="262" t="s">
        <v>253</v>
      </c>
      <c r="AP472" s="260">
        <v>415</v>
      </c>
    </row>
    <row r="473" spans="9:42" ht="20.100000000000001" customHeight="1" x14ac:dyDescent="0.25">
      <c r="I473" s="246"/>
      <c r="K473" s="247"/>
      <c r="L473" s="247"/>
      <c r="M473" s="247"/>
      <c r="N473" s="248"/>
      <c r="O473" s="249"/>
      <c r="P473" s="247"/>
      <c r="R473" s="250"/>
      <c r="U473" s="247"/>
      <c r="V473" s="247"/>
      <c r="W473" s="247"/>
      <c r="X473" s="247"/>
      <c r="Y473" s="247"/>
      <c r="Z473" s="247"/>
      <c r="AA473" s="250"/>
      <c r="AH473" s="258">
        <f t="shared" si="79"/>
        <v>47</v>
      </c>
      <c r="AI473" s="258">
        <f t="shared" si="80"/>
        <v>250</v>
      </c>
      <c r="AJ473" s="259" t="str">
        <f t="shared" si="81"/>
        <v>2/0</v>
      </c>
      <c r="AK473" s="260">
        <f t="shared" si="82"/>
        <v>254.39999999999998</v>
      </c>
      <c r="AL473" s="226"/>
      <c r="AM473" s="258">
        <v>47</v>
      </c>
      <c r="AN473" s="258">
        <v>250</v>
      </c>
      <c r="AO473" s="262" t="s">
        <v>253</v>
      </c>
      <c r="AP473" s="260">
        <v>424</v>
      </c>
    </row>
    <row r="474" spans="9:42" ht="20.100000000000001" customHeight="1" x14ac:dyDescent="0.25">
      <c r="I474" s="246"/>
      <c r="K474" s="247"/>
      <c r="L474" s="247"/>
      <c r="M474" s="247"/>
      <c r="N474" s="248"/>
      <c r="O474" s="249"/>
      <c r="P474" s="247"/>
      <c r="R474" s="250"/>
      <c r="U474" s="247"/>
      <c r="V474" s="247"/>
      <c r="W474" s="247"/>
      <c r="X474" s="247"/>
      <c r="Y474" s="247"/>
      <c r="Z474" s="247"/>
      <c r="AA474" s="250"/>
      <c r="AH474" s="258">
        <f t="shared" si="79"/>
        <v>48</v>
      </c>
      <c r="AI474" s="258">
        <f t="shared" si="80"/>
        <v>250</v>
      </c>
      <c r="AJ474" s="259" t="str">
        <f t="shared" si="81"/>
        <v>2/0</v>
      </c>
      <c r="AK474" s="260">
        <f t="shared" si="82"/>
        <v>259.8</v>
      </c>
      <c r="AL474" s="226"/>
      <c r="AM474" s="258">
        <v>48</v>
      </c>
      <c r="AN474" s="258">
        <v>250</v>
      </c>
      <c r="AO474" s="262" t="s">
        <v>253</v>
      </c>
      <c r="AP474" s="260">
        <v>433</v>
      </c>
    </row>
    <row r="475" spans="9:42" ht="20.100000000000001" customHeight="1" x14ac:dyDescent="0.25">
      <c r="I475" s="246"/>
      <c r="K475" s="247"/>
      <c r="L475" s="247"/>
      <c r="M475" s="247"/>
      <c r="N475" s="248"/>
      <c r="O475" s="249"/>
      <c r="P475" s="247"/>
      <c r="R475" s="250"/>
      <c r="U475" s="247"/>
      <c r="V475" s="247"/>
      <c r="W475" s="247"/>
      <c r="X475" s="247"/>
      <c r="Y475" s="247"/>
      <c r="Z475" s="247"/>
      <c r="AA475" s="250"/>
      <c r="AH475" s="258">
        <f t="shared" si="79"/>
        <v>49</v>
      </c>
      <c r="AI475" s="258">
        <f t="shared" si="80"/>
        <v>250</v>
      </c>
      <c r="AJ475" s="259" t="str">
        <f t="shared" si="81"/>
        <v>2/0</v>
      </c>
      <c r="AK475" s="260">
        <f t="shared" si="82"/>
        <v>265.2</v>
      </c>
      <c r="AL475" s="226"/>
      <c r="AM475" s="258">
        <v>49</v>
      </c>
      <c r="AN475" s="258">
        <v>250</v>
      </c>
      <c r="AO475" s="262" t="s">
        <v>253</v>
      </c>
      <c r="AP475" s="260">
        <v>442</v>
      </c>
    </row>
    <row r="476" spans="9:42" ht="20.100000000000001" customHeight="1" x14ac:dyDescent="0.25">
      <c r="I476" s="246"/>
      <c r="K476" s="247"/>
      <c r="L476" s="247"/>
      <c r="M476" s="247"/>
      <c r="N476" s="248"/>
      <c r="O476" s="249"/>
      <c r="P476" s="247"/>
      <c r="R476" s="250"/>
      <c r="U476" s="247"/>
      <c r="V476" s="247"/>
      <c r="W476" s="247"/>
      <c r="X476" s="247"/>
      <c r="Y476" s="247"/>
      <c r="Z476" s="247"/>
      <c r="AA476" s="250"/>
      <c r="AH476" s="258">
        <f t="shared" si="79"/>
        <v>50</v>
      </c>
      <c r="AI476" s="258">
        <f t="shared" si="80"/>
        <v>250</v>
      </c>
      <c r="AJ476" s="259" t="str">
        <f t="shared" si="81"/>
        <v>2/0</v>
      </c>
      <c r="AK476" s="260">
        <f t="shared" si="82"/>
        <v>270.59999999999997</v>
      </c>
      <c r="AL476" s="226"/>
      <c r="AM476" s="258">
        <v>50</v>
      </c>
      <c r="AN476" s="258">
        <v>250</v>
      </c>
      <c r="AO476" s="262" t="s">
        <v>253</v>
      </c>
      <c r="AP476" s="260">
        <v>451</v>
      </c>
    </row>
    <row r="477" spans="9:42" ht="20.100000000000001" customHeight="1" x14ac:dyDescent="0.25">
      <c r="I477" s="246"/>
      <c r="K477" s="247"/>
      <c r="L477" s="247"/>
      <c r="M477" s="247"/>
      <c r="N477" s="248"/>
      <c r="O477" s="249"/>
      <c r="P477" s="247"/>
      <c r="R477" s="250"/>
      <c r="U477" s="247"/>
      <c r="V477" s="247"/>
      <c r="W477" s="247"/>
      <c r="X477" s="247"/>
      <c r="Y477" s="247"/>
      <c r="Z477" s="247"/>
      <c r="AA477" s="250"/>
      <c r="AH477" s="258">
        <f t="shared" si="79"/>
        <v>51</v>
      </c>
      <c r="AI477" s="258">
        <f t="shared" si="80"/>
        <v>250</v>
      </c>
      <c r="AJ477" s="259" t="str">
        <f t="shared" si="81"/>
        <v>2/4</v>
      </c>
      <c r="AK477" s="260">
        <f t="shared" si="82"/>
        <v>199.68</v>
      </c>
      <c r="AL477" s="226"/>
      <c r="AM477" s="258">
        <v>51</v>
      </c>
      <c r="AN477" s="258">
        <v>250</v>
      </c>
      <c r="AO477" s="262" t="s">
        <v>257</v>
      </c>
      <c r="AP477" s="260">
        <v>332.8</v>
      </c>
    </row>
    <row r="478" spans="9:42" ht="20.100000000000001" customHeight="1" x14ac:dyDescent="0.25">
      <c r="I478" s="246"/>
      <c r="K478" s="247"/>
      <c r="L478" s="247"/>
      <c r="M478" s="247"/>
      <c r="N478" s="248"/>
      <c r="O478" s="249"/>
      <c r="P478" s="247"/>
      <c r="R478" s="250"/>
      <c r="U478" s="247"/>
      <c r="V478" s="247"/>
      <c r="W478" s="247"/>
      <c r="X478" s="247"/>
      <c r="Y478" s="247"/>
      <c r="Z478" s="247"/>
      <c r="AA478" s="250"/>
      <c r="AH478" s="258">
        <f t="shared" si="79"/>
        <v>52</v>
      </c>
      <c r="AI478" s="258">
        <f t="shared" si="80"/>
        <v>250</v>
      </c>
      <c r="AJ478" s="259" t="str">
        <f t="shared" si="81"/>
        <v>2/4</v>
      </c>
      <c r="AK478" s="260">
        <f t="shared" si="82"/>
        <v>205.73999999999998</v>
      </c>
      <c r="AL478" s="226"/>
      <c r="AM478" s="258">
        <v>52</v>
      </c>
      <c r="AN478" s="258">
        <v>250</v>
      </c>
      <c r="AO478" s="262" t="s">
        <v>257</v>
      </c>
      <c r="AP478" s="260">
        <v>342.9</v>
      </c>
    </row>
    <row r="479" spans="9:42" ht="20.100000000000001" customHeight="1" x14ac:dyDescent="0.25">
      <c r="I479" s="246"/>
      <c r="K479" s="247"/>
      <c r="L479" s="247"/>
      <c r="M479" s="247"/>
      <c r="N479" s="248"/>
      <c r="O479" s="249"/>
      <c r="P479" s="247"/>
      <c r="R479" s="250"/>
      <c r="U479" s="247"/>
      <c r="V479" s="247"/>
      <c r="W479" s="247"/>
      <c r="X479" s="247"/>
      <c r="Y479" s="247"/>
      <c r="Z479" s="247"/>
      <c r="AA479" s="250"/>
      <c r="AH479" s="258">
        <f t="shared" si="79"/>
        <v>53</v>
      </c>
      <c r="AI479" s="258">
        <f t="shared" si="80"/>
        <v>250</v>
      </c>
      <c r="AJ479" s="259" t="str">
        <f t="shared" si="81"/>
        <v>2/4</v>
      </c>
      <c r="AK479" s="260">
        <f t="shared" si="82"/>
        <v>211.79999999999998</v>
      </c>
      <c r="AL479" s="226"/>
      <c r="AM479" s="258">
        <v>53</v>
      </c>
      <c r="AN479" s="258">
        <v>250</v>
      </c>
      <c r="AO479" s="262" t="s">
        <v>257</v>
      </c>
      <c r="AP479" s="260">
        <v>353</v>
      </c>
    </row>
    <row r="480" spans="9:42" ht="20.100000000000001" customHeight="1" x14ac:dyDescent="0.25">
      <c r="I480" s="246"/>
      <c r="K480" s="247"/>
      <c r="L480" s="247"/>
      <c r="M480" s="247"/>
      <c r="N480" s="248"/>
      <c r="O480" s="249"/>
      <c r="P480" s="247"/>
      <c r="R480" s="250"/>
      <c r="U480" s="247"/>
      <c r="V480" s="247"/>
      <c r="W480" s="247"/>
      <c r="X480" s="247"/>
      <c r="Y480" s="247"/>
      <c r="Z480" s="247"/>
      <c r="AA480" s="250"/>
      <c r="AH480" s="258">
        <f t="shared" si="79"/>
        <v>54</v>
      </c>
      <c r="AI480" s="258">
        <f t="shared" si="80"/>
        <v>250</v>
      </c>
      <c r="AJ480" s="259" t="str">
        <f t="shared" si="81"/>
        <v>2/4</v>
      </c>
      <c r="AK480" s="260">
        <f t="shared" si="82"/>
        <v>217.86</v>
      </c>
      <c r="AL480" s="226"/>
      <c r="AM480" s="258">
        <v>54</v>
      </c>
      <c r="AN480" s="258">
        <v>250</v>
      </c>
      <c r="AO480" s="262" t="s">
        <v>257</v>
      </c>
      <c r="AP480" s="260">
        <v>363.1</v>
      </c>
    </row>
    <row r="481" spans="9:42" ht="20.100000000000001" customHeight="1" x14ac:dyDescent="0.25">
      <c r="I481" s="246"/>
      <c r="K481" s="247"/>
      <c r="L481" s="247"/>
      <c r="M481" s="247"/>
      <c r="N481" s="248"/>
      <c r="O481" s="249"/>
      <c r="P481" s="247"/>
      <c r="R481" s="250"/>
      <c r="U481" s="247"/>
      <c r="V481" s="247"/>
      <c r="W481" s="247"/>
      <c r="X481" s="247"/>
      <c r="Y481" s="247"/>
      <c r="Z481" s="247"/>
      <c r="AA481" s="250"/>
      <c r="AH481" s="258">
        <f t="shared" si="79"/>
        <v>55</v>
      </c>
      <c r="AI481" s="258">
        <f t="shared" si="80"/>
        <v>250</v>
      </c>
      <c r="AJ481" s="259" t="str">
        <f t="shared" si="81"/>
        <v>2/4</v>
      </c>
      <c r="AK481" s="260">
        <f t="shared" si="82"/>
        <v>223.92</v>
      </c>
      <c r="AL481" s="226"/>
      <c r="AM481" s="258">
        <v>55</v>
      </c>
      <c r="AN481" s="258">
        <v>250</v>
      </c>
      <c r="AO481" s="262" t="s">
        <v>257</v>
      </c>
      <c r="AP481" s="260">
        <v>373.2</v>
      </c>
    </row>
    <row r="482" spans="9:42" ht="20.100000000000001" customHeight="1" x14ac:dyDescent="0.25">
      <c r="I482" s="246"/>
      <c r="K482" s="247"/>
      <c r="L482" s="247"/>
      <c r="M482" s="247"/>
      <c r="N482" s="248"/>
      <c r="O482" s="249"/>
      <c r="P482" s="247"/>
      <c r="R482" s="250"/>
      <c r="U482" s="247"/>
      <c r="V482" s="247"/>
      <c r="W482" s="247"/>
      <c r="X482" s="247"/>
      <c r="Y482" s="247"/>
      <c r="Z482" s="247"/>
      <c r="AA482" s="250"/>
      <c r="AH482" s="258">
        <f t="shared" si="79"/>
        <v>56</v>
      </c>
      <c r="AI482" s="258">
        <f t="shared" si="80"/>
        <v>250</v>
      </c>
      <c r="AJ482" s="259" t="str">
        <f t="shared" si="81"/>
        <v>2/4</v>
      </c>
      <c r="AK482" s="260">
        <f t="shared" si="82"/>
        <v>229.98</v>
      </c>
      <c r="AL482" s="226"/>
      <c r="AM482" s="258">
        <v>56</v>
      </c>
      <c r="AN482" s="258">
        <v>250</v>
      </c>
      <c r="AO482" s="262" t="s">
        <v>257</v>
      </c>
      <c r="AP482" s="260">
        <v>383.3</v>
      </c>
    </row>
    <row r="483" spans="9:42" ht="20.100000000000001" customHeight="1" x14ac:dyDescent="0.25">
      <c r="I483" s="246"/>
      <c r="K483" s="247"/>
      <c r="L483" s="247"/>
      <c r="M483" s="247"/>
      <c r="N483" s="248"/>
      <c r="O483" s="249"/>
      <c r="P483" s="247"/>
      <c r="R483" s="250"/>
      <c r="U483" s="247"/>
      <c r="V483" s="247"/>
      <c r="W483" s="247"/>
      <c r="X483" s="247"/>
      <c r="Y483" s="247"/>
      <c r="Z483" s="247"/>
      <c r="AA483" s="250"/>
      <c r="AH483" s="258">
        <f t="shared" si="79"/>
        <v>57</v>
      </c>
      <c r="AI483" s="258">
        <f t="shared" si="80"/>
        <v>250</v>
      </c>
      <c r="AJ483" s="259" t="str">
        <f t="shared" si="81"/>
        <v>2/4</v>
      </c>
      <c r="AK483" s="260">
        <f t="shared" si="82"/>
        <v>236.03999999999996</v>
      </c>
      <c r="AL483" s="226"/>
      <c r="AM483" s="258">
        <v>57</v>
      </c>
      <c r="AN483" s="258">
        <v>250</v>
      </c>
      <c r="AO483" s="262" t="s">
        <v>257</v>
      </c>
      <c r="AP483" s="260">
        <v>393.4</v>
      </c>
    </row>
    <row r="484" spans="9:42" ht="20.100000000000001" customHeight="1" x14ac:dyDescent="0.25">
      <c r="I484" s="246"/>
      <c r="K484" s="247"/>
      <c r="L484" s="247"/>
      <c r="M484" s="247"/>
      <c r="N484" s="248"/>
      <c r="O484" s="249"/>
      <c r="P484" s="247"/>
      <c r="R484" s="250"/>
      <c r="U484" s="247"/>
      <c r="V484" s="247"/>
      <c r="W484" s="247"/>
      <c r="X484" s="247"/>
      <c r="Y484" s="247"/>
      <c r="Z484" s="247"/>
      <c r="AA484" s="250"/>
      <c r="AH484" s="258">
        <f t="shared" si="79"/>
        <v>58</v>
      </c>
      <c r="AI484" s="258">
        <f t="shared" si="80"/>
        <v>250</v>
      </c>
      <c r="AJ484" s="259" t="str">
        <f t="shared" si="81"/>
        <v>2/4</v>
      </c>
      <c r="AK484" s="260">
        <f t="shared" si="82"/>
        <v>242.1</v>
      </c>
      <c r="AL484" s="226"/>
      <c r="AM484" s="258">
        <v>58</v>
      </c>
      <c r="AN484" s="258">
        <v>250</v>
      </c>
      <c r="AO484" s="262" t="s">
        <v>257</v>
      </c>
      <c r="AP484" s="260">
        <v>403.5</v>
      </c>
    </row>
    <row r="485" spans="9:42" ht="20.100000000000001" customHeight="1" x14ac:dyDescent="0.25">
      <c r="I485" s="246"/>
      <c r="K485" s="247"/>
      <c r="L485" s="247"/>
      <c r="M485" s="247"/>
      <c r="N485" s="248"/>
      <c r="O485" s="249"/>
      <c r="P485" s="247"/>
      <c r="R485" s="250"/>
      <c r="U485" s="247"/>
      <c r="V485" s="247"/>
      <c r="W485" s="247"/>
      <c r="X485" s="247"/>
      <c r="Y485" s="247"/>
      <c r="Z485" s="247"/>
      <c r="AA485" s="250"/>
      <c r="AH485" s="258">
        <f t="shared" si="79"/>
        <v>59</v>
      </c>
      <c r="AI485" s="258">
        <f t="shared" si="80"/>
        <v>250</v>
      </c>
      <c r="AJ485" s="259" t="str">
        <f t="shared" si="81"/>
        <v>2/4</v>
      </c>
      <c r="AK485" s="260">
        <f t="shared" si="82"/>
        <v>248.16</v>
      </c>
      <c r="AL485" s="226"/>
      <c r="AM485" s="258">
        <v>59</v>
      </c>
      <c r="AN485" s="258">
        <v>250</v>
      </c>
      <c r="AO485" s="262" t="s">
        <v>257</v>
      </c>
      <c r="AP485" s="260">
        <v>413.6</v>
      </c>
    </row>
    <row r="486" spans="9:42" ht="20.100000000000001" customHeight="1" x14ac:dyDescent="0.25">
      <c r="I486" s="246"/>
      <c r="K486" s="247"/>
      <c r="L486" s="247"/>
      <c r="M486" s="247"/>
      <c r="N486" s="248"/>
      <c r="O486" s="249"/>
      <c r="P486" s="247"/>
      <c r="R486" s="250"/>
      <c r="U486" s="247"/>
      <c r="V486" s="247"/>
      <c r="W486" s="247"/>
      <c r="X486" s="247"/>
      <c r="Y486" s="247"/>
      <c r="Z486" s="247"/>
      <c r="AA486" s="250"/>
      <c r="AH486" s="258">
        <f t="shared" si="79"/>
        <v>60</v>
      </c>
      <c r="AI486" s="258">
        <f t="shared" si="80"/>
        <v>250</v>
      </c>
      <c r="AJ486" s="259" t="str">
        <f t="shared" si="81"/>
        <v>2/4</v>
      </c>
      <c r="AK486" s="260">
        <f t="shared" si="82"/>
        <v>254.33999999999997</v>
      </c>
      <c r="AL486" s="226"/>
      <c r="AM486" s="258">
        <v>60</v>
      </c>
      <c r="AN486" s="258">
        <v>250</v>
      </c>
      <c r="AO486" s="262" t="s">
        <v>257</v>
      </c>
      <c r="AP486" s="260">
        <v>423.9</v>
      </c>
    </row>
    <row r="487" spans="9:42" ht="20.100000000000001" customHeight="1" x14ac:dyDescent="0.25">
      <c r="I487" s="246"/>
      <c r="K487" s="247"/>
      <c r="L487" s="247"/>
      <c r="M487" s="247"/>
      <c r="N487" s="248"/>
      <c r="O487" s="249"/>
      <c r="P487" s="247"/>
      <c r="R487" s="250"/>
      <c r="U487" s="247"/>
      <c r="V487" s="247"/>
      <c r="W487" s="247"/>
      <c r="X487" s="247"/>
      <c r="Y487" s="247"/>
      <c r="Z487" s="247"/>
      <c r="AA487" s="250"/>
      <c r="AH487" s="258" t="str">
        <f t="shared" si="77"/>
        <v>&gt;&gt;&gt;&gt;&gt;&gt;</v>
      </c>
      <c r="AI487" s="258"/>
      <c r="AJ487" s="259"/>
      <c r="AK487" s="260"/>
      <c r="AL487" s="226"/>
      <c r="AM487" s="258" t="s">
        <v>249</v>
      </c>
      <c r="AN487" s="258"/>
      <c r="AO487" s="262"/>
      <c r="AP487" s="260"/>
    </row>
    <row r="488" spans="9:42" ht="20.100000000000001" customHeight="1" x14ac:dyDescent="0.25">
      <c r="I488" s="246"/>
      <c r="K488" s="247"/>
      <c r="L488" s="247"/>
      <c r="M488" s="247"/>
      <c r="N488" s="248"/>
      <c r="O488" s="249"/>
      <c r="P488" s="247"/>
      <c r="R488" s="250"/>
      <c r="U488" s="247"/>
      <c r="V488" s="247"/>
      <c r="W488" s="247"/>
      <c r="X488" s="247"/>
      <c r="Y488" s="247"/>
      <c r="Z488" s="247"/>
      <c r="AA488" s="250"/>
      <c r="AH488" s="258">
        <f t="shared" si="77"/>
        <v>6</v>
      </c>
      <c r="AI488" s="258">
        <f t="shared" si="77"/>
        <v>275</v>
      </c>
      <c r="AJ488" s="259" t="str">
        <f t="shared" si="77"/>
        <v>4/0</v>
      </c>
      <c r="AK488" s="260">
        <f t="shared" ref="AK488:AK489" si="87">(1-$AL$2)*AP488</f>
        <v>60</v>
      </c>
      <c r="AL488" s="226"/>
      <c r="AM488" s="258">
        <v>6</v>
      </c>
      <c r="AN488" s="258">
        <v>275</v>
      </c>
      <c r="AO488" s="262" t="s">
        <v>179</v>
      </c>
      <c r="AP488" s="260">
        <v>100</v>
      </c>
    </row>
    <row r="489" spans="9:42" ht="20.100000000000001" customHeight="1" x14ac:dyDescent="0.25">
      <c r="I489" s="246"/>
      <c r="K489" s="247"/>
      <c r="L489" s="247"/>
      <c r="M489" s="247"/>
      <c r="N489" s="248"/>
      <c r="O489" s="249"/>
      <c r="P489" s="247"/>
      <c r="R489" s="250"/>
      <c r="U489" s="247"/>
      <c r="V489" s="247"/>
      <c r="W489" s="247"/>
      <c r="X489" s="247"/>
      <c r="Y489" s="247"/>
      <c r="Z489" s="247"/>
      <c r="AA489" s="250"/>
      <c r="AH489" s="258">
        <f t="shared" si="77"/>
        <v>7</v>
      </c>
      <c r="AI489" s="258">
        <f t="shared" si="77"/>
        <v>275</v>
      </c>
      <c r="AJ489" s="259" t="str">
        <f t="shared" si="77"/>
        <v>4/0</v>
      </c>
      <c r="AK489" s="260">
        <f t="shared" si="87"/>
        <v>70.2</v>
      </c>
      <c r="AL489" s="226"/>
      <c r="AM489" s="258">
        <v>7</v>
      </c>
      <c r="AN489" s="258">
        <v>275</v>
      </c>
      <c r="AO489" s="262" t="s">
        <v>179</v>
      </c>
      <c r="AP489" s="260">
        <v>117</v>
      </c>
    </row>
    <row r="490" spans="9:42" ht="20.100000000000001" customHeight="1" x14ac:dyDescent="0.25">
      <c r="I490" s="246"/>
      <c r="K490" s="247"/>
      <c r="L490" s="247"/>
      <c r="M490" s="247"/>
      <c r="N490" s="248"/>
      <c r="O490" s="249"/>
      <c r="P490" s="247"/>
      <c r="R490" s="250"/>
      <c r="U490" s="247"/>
      <c r="V490" s="247"/>
      <c r="W490" s="247"/>
      <c r="X490" s="247"/>
      <c r="Y490" s="247"/>
      <c r="Z490" s="247"/>
      <c r="AA490" s="250"/>
      <c r="AH490" s="258">
        <f t="shared" ref="AH490:AH542" si="88">AM490</f>
        <v>8</v>
      </c>
      <c r="AI490" s="258">
        <f t="shared" ref="AI490:AI542" si="89">AN490</f>
        <v>275</v>
      </c>
      <c r="AJ490" s="259" t="str">
        <f t="shared" ref="AJ490:AJ542" si="90">AO490</f>
        <v>4/0</v>
      </c>
      <c r="AK490" s="260">
        <f t="shared" ref="AK490:AK542" si="91">(1-$AL$2)*AP490</f>
        <v>79.8</v>
      </c>
      <c r="AL490" s="226"/>
      <c r="AM490" s="258">
        <v>8</v>
      </c>
      <c r="AN490" s="258">
        <v>275</v>
      </c>
      <c r="AO490" s="262" t="s">
        <v>179</v>
      </c>
      <c r="AP490" s="260">
        <v>133</v>
      </c>
    </row>
    <row r="491" spans="9:42" ht="20.100000000000001" customHeight="1" x14ac:dyDescent="0.25">
      <c r="I491" s="246"/>
      <c r="K491" s="247"/>
      <c r="L491" s="247"/>
      <c r="M491" s="247"/>
      <c r="N491" s="248"/>
      <c r="O491" s="249"/>
      <c r="P491" s="247"/>
      <c r="R491" s="250"/>
      <c r="U491" s="247"/>
      <c r="V491" s="247"/>
      <c r="W491" s="247"/>
      <c r="X491" s="247"/>
      <c r="Y491" s="247"/>
      <c r="Z491" s="247"/>
      <c r="AA491" s="250"/>
      <c r="AH491" s="258">
        <f t="shared" si="88"/>
        <v>9</v>
      </c>
      <c r="AI491" s="258">
        <f t="shared" si="89"/>
        <v>275</v>
      </c>
      <c r="AJ491" s="259" t="str">
        <f t="shared" si="90"/>
        <v>4/0</v>
      </c>
      <c r="AK491" s="260">
        <f t="shared" si="91"/>
        <v>89.399999999999991</v>
      </c>
      <c r="AL491" s="226"/>
      <c r="AM491" s="258">
        <v>9</v>
      </c>
      <c r="AN491" s="258">
        <v>275</v>
      </c>
      <c r="AO491" s="262" t="s">
        <v>179</v>
      </c>
      <c r="AP491" s="260">
        <v>149</v>
      </c>
    </row>
    <row r="492" spans="9:42" ht="20.100000000000001" customHeight="1" x14ac:dyDescent="0.25">
      <c r="I492" s="246"/>
      <c r="K492" s="247"/>
      <c r="L492" s="247"/>
      <c r="M492" s="247"/>
      <c r="N492" s="248"/>
      <c r="O492" s="249"/>
      <c r="P492" s="247"/>
      <c r="R492" s="250"/>
      <c r="U492" s="247"/>
      <c r="V492" s="247"/>
      <c r="W492" s="247"/>
      <c r="X492" s="247"/>
      <c r="Y492" s="247"/>
      <c r="Z492" s="247"/>
      <c r="AA492" s="250"/>
      <c r="AH492" s="258">
        <f t="shared" si="88"/>
        <v>10</v>
      </c>
      <c r="AI492" s="258">
        <f t="shared" si="89"/>
        <v>275</v>
      </c>
      <c r="AJ492" s="259" t="str">
        <f t="shared" si="90"/>
        <v>4/0</v>
      </c>
      <c r="AK492" s="260">
        <f t="shared" si="91"/>
        <v>99</v>
      </c>
      <c r="AL492" s="226"/>
      <c r="AM492" s="258">
        <v>10</v>
      </c>
      <c r="AN492" s="258">
        <v>275</v>
      </c>
      <c r="AO492" s="262" t="s">
        <v>179</v>
      </c>
      <c r="AP492" s="260">
        <v>165</v>
      </c>
    </row>
    <row r="493" spans="9:42" ht="20.100000000000001" customHeight="1" x14ac:dyDescent="0.25">
      <c r="I493" s="246"/>
      <c r="K493" s="247"/>
      <c r="L493" s="247"/>
      <c r="M493" s="247"/>
      <c r="N493" s="248"/>
      <c r="O493" s="249"/>
      <c r="P493" s="247"/>
      <c r="R493" s="250"/>
      <c r="U493" s="247"/>
      <c r="V493" s="247"/>
      <c r="W493" s="247"/>
      <c r="X493" s="247"/>
      <c r="Y493" s="247"/>
      <c r="Z493" s="247"/>
      <c r="AA493" s="250"/>
      <c r="AH493" s="258">
        <f t="shared" si="88"/>
        <v>11</v>
      </c>
      <c r="AI493" s="258">
        <f t="shared" si="89"/>
        <v>275</v>
      </c>
      <c r="AJ493" s="259" t="str">
        <f t="shared" si="90"/>
        <v>4/0</v>
      </c>
      <c r="AK493" s="260">
        <f t="shared" si="91"/>
        <v>109.2</v>
      </c>
      <c r="AL493" s="226"/>
      <c r="AM493" s="258">
        <v>11</v>
      </c>
      <c r="AN493" s="258">
        <v>275</v>
      </c>
      <c r="AO493" s="262" t="s">
        <v>179</v>
      </c>
      <c r="AP493" s="260">
        <v>182</v>
      </c>
    </row>
    <row r="494" spans="9:42" ht="20.100000000000001" customHeight="1" x14ac:dyDescent="0.25">
      <c r="I494" s="246"/>
      <c r="K494" s="247"/>
      <c r="L494" s="247"/>
      <c r="M494" s="247"/>
      <c r="N494" s="248"/>
      <c r="O494" s="249"/>
      <c r="P494" s="247"/>
      <c r="R494" s="250"/>
      <c r="U494" s="247"/>
      <c r="V494" s="247"/>
      <c r="W494" s="247"/>
      <c r="X494" s="247"/>
      <c r="Y494" s="247"/>
      <c r="Z494" s="247"/>
      <c r="AA494" s="250"/>
      <c r="AH494" s="258">
        <f t="shared" si="88"/>
        <v>12</v>
      </c>
      <c r="AI494" s="258">
        <f t="shared" si="89"/>
        <v>275</v>
      </c>
      <c r="AJ494" s="259" t="str">
        <f t="shared" si="90"/>
        <v>4/0</v>
      </c>
      <c r="AK494" s="260">
        <f t="shared" si="91"/>
        <v>118.8</v>
      </c>
      <c r="AL494" s="226"/>
      <c r="AM494" s="258">
        <v>12</v>
      </c>
      <c r="AN494" s="258">
        <v>275</v>
      </c>
      <c r="AO494" s="262" t="s">
        <v>179</v>
      </c>
      <c r="AP494" s="260">
        <v>198</v>
      </c>
    </row>
    <row r="495" spans="9:42" ht="20.100000000000001" customHeight="1" x14ac:dyDescent="0.25">
      <c r="I495" s="246"/>
      <c r="K495" s="247"/>
      <c r="L495" s="247"/>
      <c r="M495" s="247"/>
      <c r="N495" s="248"/>
      <c r="O495" s="249"/>
      <c r="P495" s="247"/>
      <c r="R495" s="250"/>
      <c r="U495" s="247"/>
      <c r="V495" s="247"/>
      <c r="W495" s="247"/>
      <c r="X495" s="247"/>
      <c r="Y495" s="247"/>
      <c r="Z495" s="247"/>
      <c r="AA495" s="250"/>
      <c r="AH495" s="258">
        <f t="shared" si="88"/>
        <v>13</v>
      </c>
      <c r="AI495" s="258">
        <f t="shared" si="89"/>
        <v>275</v>
      </c>
      <c r="AJ495" s="259" t="str">
        <f t="shared" si="90"/>
        <v>4/0</v>
      </c>
      <c r="AK495" s="260">
        <f t="shared" si="91"/>
        <v>129</v>
      </c>
      <c r="AL495" s="226"/>
      <c r="AM495" s="258">
        <v>13</v>
      </c>
      <c r="AN495" s="258">
        <v>275</v>
      </c>
      <c r="AO495" s="262" t="s">
        <v>179</v>
      </c>
      <c r="AP495" s="260">
        <v>215</v>
      </c>
    </row>
    <row r="496" spans="9:42" ht="20.100000000000001" customHeight="1" x14ac:dyDescent="0.25">
      <c r="I496" s="246"/>
      <c r="K496" s="247"/>
      <c r="L496" s="247"/>
      <c r="M496" s="247"/>
      <c r="N496" s="248"/>
      <c r="O496" s="249"/>
      <c r="P496" s="247"/>
      <c r="R496" s="250"/>
      <c r="U496" s="247"/>
      <c r="V496" s="247"/>
      <c r="W496" s="247"/>
      <c r="X496" s="247"/>
      <c r="Y496" s="247"/>
      <c r="Z496" s="247"/>
      <c r="AA496" s="250"/>
      <c r="AH496" s="258">
        <f t="shared" si="88"/>
        <v>14</v>
      </c>
      <c r="AI496" s="258">
        <f t="shared" si="89"/>
        <v>275</v>
      </c>
      <c r="AJ496" s="259" t="str">
        <f t="shared" si="90"/>
        <v>4/0</v>
      </c>
      <c r="AK496" s="260">
        <f t="shared" si="91"/>
        <v>138.6</v>
      </c>
      <c r="AL496" s="226"/>
      <c r="AM496" s="258">
        <v>14</v>
      </c>
      <c r="AN496" s="258">
        <v>275</v>
      </c>
      <c r="AO496" s="262" t="s">
        <v>179</v>
      </c>
      <c r="AP496" s="260">
        <v>231</v>
      </c>
    </row>
    <row r="497" spans="9:42" ht="20.100000000000001" customHeight="1" x14ac:dyDescent="0.25">
      <c r="I497" s="246"/>
      <c r="K497" s="247"/>
      <c r="L497" s="247"/>
      <c r="M497" s="247"/>
      <c r="N497" s="248"/>
      <c r="O497" s="249"/>
      <c r="P497" s="247"/>
      <c r="R497" s="250"/>
      <c r="U497" s="247"/>
      <c r="V497" s="247"/>
      <c r="W497" s="247"/>
      <c r="X497" s="247"/>
      <c r="Y497" s="247"/>
      <c r="Z497" s="247"/>
      <c r="AA497" s="250"/>
      <c r="AH497" s="258">
        <f t="shared" si="88"/>
        <v>15</v>
      </c>
      <c r="AI497" s="258">
        <f t="shared" si="89"/>
        <v>275</v>
      </c>
      <c r="AJ497" s="259" t="str">
        <f t="shared" si="90"/>
        <v>4/0</v>
      </c>
      <c r="AK497" s="260">
        <f t="shared" si="91"/>
        <v>148.79999999999998</v>
      </c>
      <c r="AL497" s="226"/>
      <c r="AM497" s="258">
        <v>15</v>
      </c>
      <c r="AN497" s="258">
        <v>275</v>
      </c>
      <c r="AO497" s="262" t="s">
        <v>179</v>
      </c>
      <c r="AP497" s="260">
        <v>248</v>
      </c>
    </row>
    <row r="498" spans="9:42" ht="20.100000000000001" customHeight="1" x14ac:dyDescent="0.25">
      <c r="I498" s="246"/>
      <c r="K498" s="247"/>
      <c r="L498" s="247"/>
      <c r="M498" s="247"/>
      <c r="N498" s="248"/>
      <c r="O498" s="249"/>
      <c r="P498" s="247"/>
      <c r="R498" s="250"/>
      <c r="U498" s="247"/>
      <c r="V498" s="247"/>
      <c r="W498" s="247"/>
      <c r="X498" s="247"/>
      <c r="Y498" s="247"/>
      <c r="Z498" s="247"/>
      <c r="AA498" s="250"/>
      <c r="AH498" s="258">
        <f t="shared" si="88"/>
        <v>16</v>
      </c>
      <c r="AI498" s="258">
        <f t="shared" si="89"/>
        <v>275</v>
      </c>
      <c r="AJ498" s="259" t="str">
        <f t="shared" si="90"/>
        <v>4/0</v>
      </c>
      <c r="AK498" s="260">
        <f t="shared" si="91"/>
        <v>158.4</v>
      </c>
      <c r="AL498" s="226"/>
      <c r="AM498" s="258">
        <v>16</v>
      </c>
      <c r="AN498" s="258">
        <v>275</v>
      </c>
      <c r="AO498" s="262" t="s">
        <v>179</v>
      </c>
      <c r="AP498" s="260">
        <v>264</v>
      </c>
    </row>
    <row r="499" spans="9:42" ht="20.100000000000001" customHeight="1" x14ac:dyDescent="0.25">
      <c r="I499" s="246"/>
      <c r="K499" s="247"/>
      <c r="L499" s="247"/>
      <c r="M499" s="247"/>
      <c r="N499" s="248"/>
      <c r="O499" s="249"/>
      <c r="P499" s="247"/>
      <c r="R499" s="250"/>
      <c r="U499" s="247"/>
      <c r="V499" s="247"/>
      <c r="W499" s="247"/>
      <c r="X499" s="247"/>
      <c r="Y499" s="247"/>
      <c r="Z499" s="247"/>
      <c r="AA499" s="250"/>
      <c r="AH499" s="258">
        <f t="shared" si="88"/>
        <v>17</v>
      </c>
      <c r="AI499" s="258">
        <f t="shared" si="89"/>
        <v>275</v>
      </c>
      <c r="AJ499" s="259" t="str">
        <f t="shared" si="90"/>
        <v>4/1</v>
      </c>
      <c r="AK499" s="260">
        <f t="shared" si="91"/>
        <v>132.9</v>
      </c>
      <c r="AL499" s="226"/>
      <c r="AM499" s="258">
        <v>17</v>
      </c>
      <c r="AN499" s="258">
        <v>275</v>
      </c>
      <c r="AO499" s="262" t="s">
        <v>250</v>
      </c>
      <c r="AP499" s="260">
        <v>221.5</v>
      </c>
    </row>
    <row r="500" spans="9:42" ht="20.100000000000001" customHeight="1" x14ac:dyDescent="0.25">
      <c r="I500" s="246"/>
      <c r="K500" s="247"/>
      <c r="L500" s="247"/>
      <c r="M500" s="247"/>
      <c r="N500" s="248"/>
      <c r="O500" s="249"/>
      <c r="P500" s="247"/>
      <c r="R500" s="250"/>
      <c r="U500" s="247"/>
      <c r="V500" s="247"/>
      <c r="W500" s="247"/>
      <c r="X500" s="247"/>
      <c r="Y500" s="247"/>
      <c r="Z500" s="247"/>
      <c r="AA500" s="250"/>
      <c r="AH500" s="258">
        <f t="shared" si="88"/>
        <v>18</v>
      </c>
      <c r="AI500" s="258">
        <f t="shared" si="89"/>
        <v>275</v>
      </c>
      <c r="AJ500" s="259" t="str">
        <f t="shared" si="90"/>
        <v>4/1</v>
      </c>
      <c r="AK500" s="260">
        <f t="shared" si="91"/>
        <v>142.85999999999999</v>
      </c>
      <c r="AL500" s="226"/>
      <c r="AM500" s="258">
        <v>18</v>
      </c>
      <c r="AN500" s="258">
        <v>275</v>
      </c>
      <c r="AO500" s="262" t="s">
        <v>250</v>
      </c>
      <c r="AP500" s="260">
        <v>238.1</v>
      </c>
    </row>
    <row r="501" spans="9:42" ht="20.100000000000001" customHeight="1" x14ac:dyDescent="0.25">
      <c r="I501" s="246"/>
      <c r="K501" s="247"/>
      <c r="L501" s="247"/>
      <c r="M501" s="247"/>
      <c r="N501" s="248"/>
      <c r="O501" s="249"/>
      <c r="P501" s="247"/>
      <c r="R501" s="250"/>
      <c r="U501" s="247"/>
      <c r="V501" s="247"/>
      <c r="W501" s="247"/>
      <c r="X501" s="247"/>
      <c r="Y501" s="247"/>
      <c r="Z501" s="247"/>
      <c r="AA501" s="250"/>
      <c r="AH501" s="258">
        <f t="shared" si="88"/>
        <v>19</v>
      </c>
      <c r="AI501" s="258">
        <f t="shared" si="89"/>
        <v>275</v>
      </c>
      <c r="AJ501" s="259" t="str">
        <f t="shared" si="90"/>
        <v>4/1</v>
      </c>
      <c r="AK501" s="260">
        <f t="shared" si="91"/>
        <v>154.79999999999998</v>
      </c>
      <c r="AL501" s="226"/>
      <c r="AM501" s="258">
        <v>19</v>
      </c>
      <c r="AN501" s="258">
        <v>275</v>
      </c>
      <c r="AO501" s="262" t="s">
        <v>250</v>
      </c>
      <c r="AP501" s="260">
        <v>258</v>
      </c>
    </row>
    <row r="502" spans="9:42" ht="20.100000000000001" customHeight="1" x14ac:dyDescent="0.25">
      <c r="I502" s="246"/>
      <c r="K502" s="247"/>
      <c r="L502" s="247"/>
      <c r="M502" s="247"/>
      <c r="N502" s="248"/>
      <c r="O502" s="249"/>
      <c r="P502" s="247"/>
      <c r="R502" s="250"/>
      <c r="U502" s="247"/>
      <c r="V502" s="247"/>
      <c r="W502" s="247"/>
      <c r="X502" s="247"/>
      <c r="Y502" s="247"/>
      <c r="Z502" s="247"/>
      <c r="AA502" s="250"/>
      <c r="AH502" s="258">
        <f t="shared" si="88"/>
        <v>20</v>
      </c>
      <c r="AI502" s="258">
        <f t="shared" si="89"/>
        <v>275</v>
      </c>
      <c r="AJ502" s="259" t="str">
        <f t="shared" si="90"/>
        <v>4/1</v>
      </c>
      <c r="AK502" s="260">
        <f t="shared" si="91"/>
        <v>165</v>
      </c>
      <c r="AL502" s="226"/>
      <c r="AM502" s="258">
        <v>20</v>
      </c>
      <c r="AN502" s="258">
        <v>275</v>
      </c>
      <c r="AO502" s="262" t="s">
        <v>250</v>
      </c>
      <c r="AP502" s="260">
        <v>275</v>
      </c>
    </row>
    <row r="503" spans="9:42" ht="20.100000000000001" customHeight="1" x14ac:dyDescent="0.25">
      <c r="I503" s="246"/>
      <c r="K503" s="247"/>
      <c r="L503" s="247"/>
      <c r="M503" s="247"/>
      <c r="N503" s="248"/>
      <c r="O503" s="249"/>
      <c r="P503" s="247"/>
      <c r="R503" s="250"/>
      <c r="U503" s="247"/>
      <c r="V503" s="247"/>
      <c r="W503" s="247"/>
      <c r="X503" s="247"/>
      <c r="Y503" s="247"/>
      <c r="Z503" s="247"/>
      <c r="AA503" s="250"/>
      <c r="AH503" s="258">
        <f t="shared" si="88"/>
        <v>21</v>
      </c>
      <c r="AI503" s="258">
        <f t="shared" si="89"/>
        <v>275</v>
      </c>
      <c r="AJ503" s="259" t="str">
        <f t="shared" si="90"/>
        <v>4/1</v>
      </c>
      <c r="AK503" s="260">
        <f t="shared" si="91"/>
        <v>175.2</v>
      </c>
      <c r="AL503" s="226"/>
      <c r="AM503" s="258">
        <v>21</v>
      </c>
      <c r="AN503" s="258">
        <v>275</v>
      </c>
      <c r="AO503" s="262" t="s">
        <v>250</v>
      </c>
      <c r="AP503" s="260">
        <v>292</v>
      </c>
    </row>
    <row r="504" spans="9:42" ht="20.100000000000001" customHeight="1" x14ac:dyDescent="0.25">
      <c r="I504" s="246"/>
      <c r="K504" s="247"/>
      <c r="L504" s="247"/>
      <c r="M504" s="247"/>
      <c r="N504" s="248"/>
      <c r="O504" s="249"/>
      <c r="P504" s="247"/>
      <c r="R504" s="250"/>
      <c r="U504" s="247"/>
      <c r="V504" s="247"/>
      <c r="W504" s="247"/>
      <c r="X504" s="247"/>
      <c r="Y504" s="247"/>
      <c r="Z504" s="247"/>
      <c r="AA504" s="250"/>
      <c r="AH504" s="258">
        <f t="shared" si="88"/>
        <v>22</v>
      </c>
      <c r="AI504" s="258">
        <f t="shared" si="89"/>
        <v>275</v>
      </c>
      <c r="AJ504" s="259" t="str">
        <f t="shared" si="90"/>
        <v>3/0</v>
      </c>
      <c r="AK504" s="260">
        <f t="shared" si="91"/>
        <v>161.51999999999998</v>
      </c>
      <c r="AL504" s="226"/>
      <c r="AM504" s="258">
        <v>22</v>
      </c>
      <c r="AN504" s="258">
        <v>275</v>
      </c>
      <c r="AO504" s="262" t="s">
        <v>252</v>
      </c>
      <c r="AP504" s="260">
        <v>269.2</v>
      </c>
    </row>
    <row r="505" spans="9:42" ht="20.100000000000001" customHeight="1" x14ac:dyDescent="0.25">
      <c r="I505" s="246"/>
      <c r="K505" s="247"/>
      <c r="L505" s="247"/>
      <c r="M505" s="247"/>
      <c r="N505" s="248"/>
      <c r="O505" s="249"/>
      <c r="P505" s="247"/>
      <c r="R505" s="250"/>
      <c r="U505" s="247"/>
      <c r="V505" s="247"/>
      <c r="W505" s="247"/>
      <c r="X505" s="247"/>
      <c r="Y505" s="247"/>
      <c r="Z505" s="247"/>
      <c r="AA505" s="250"/>
      <c r="AH505" s="258">
        <f t="shared" si="88"/>
        <v>23</v>
      </c>
      <c r="AI505" s="258">
        <f t="shared" si="89"/>
        <v>275</v>
      </c>
      <c r="AJ505" s="259" t="str">
        <f t="shared" si="90"/>
        <v>3/0</v>
      </c>
      <c r="AK505" s="260">
        <f t="shared" si="91"/>
        <v>171</v>
      </c>
      <c r="AL505" s="226"/>
      <c r="AM505" s="258">
        <v>23</v>
      </c>
      <c r="AN505" s="258">
        <v>275</v>
      </c>
      <c r="AO505" s="262" t="s">
        <v>252</v>
      </c>
      <c r="AP505" s="260">
        <v>285</v>
      </c>
    </row>
    <row r="506" spans="9:42" ht="20.100000000000001" customHeight="1" x14ac:dyDescent="0.25">
      <c r="I506" s="246"/>
      <c r="K506" s="247"/>
      <c r="L506" s="247"/>
      <c r="M506" s="247"/>
      <c r="N506" s="248"/>
      <c r="O506" s="249"/>
      <c r="P506" s="247"/>
      <c r="R506" s="250"/>
      <c r="U506" s="247"/>
      <c r="V506" s="247"/>
      <c r="W506" s="247"/>
      <c r="X506" s="247"/>
      <c r="Y506" s="247"/>
      <c r="Z506" s="247"/>
      <c r="AA506" s="250"/>
      <c r="AH506" s="258">
        <f t="shared" si="88"/>
        <v>24</v>
      </c>
      <c r="AI506" s="258">
        <f t="shared" si="89"/>
        <v>275</v>
      </c>
      <c r="AJ506" s="259" t="str">
        <f t="shared" si="90"/>
        <v>3/0</v>
      </c>
      <c r="AK506" s="260">
        <f t="shared" si="91"/>
        <v>178.79999999999998</v>
      </c>
      <c r="AL506" s="226"/>
      <c r="AM506" s="258">
        <v>24</v>
      </c>
      <c r="AN506" s="258">
        <v>275</v>
      </c>
      <c r="AO506" s="262" t="s">
        <v>252</v>
      </c>
      <c r="AP506" s="260">
        <v>298</v>
      </c>
    </row>
    <row r="507" spans="9:42" ht="20.100000000000001" customHeight="1" x14ac:dyDescent="0.25">
      <c r="I507" s="246"/>
      <c r="K507" s="247"/>
      <c r="L507" s="247"/>
      <c r="M507" s="247"/>
      <c r="N507" s="248"/>
      <c r="O507" s="249"/>
      <c r="P507" s="247"/>
      <c r="R507" s="250"/>
      <c r="U507" s="247"/>
      <c r="V507" s="247"/>
      <c r="W507" s="247"/>
      <c r="X507" s="247"/>
      <c r="Y507" s="247"/>
      <c r="Z507" s="247"/>
      <c r="AA507" s="250"/>
      <c r="AH507" s="258">
        <f t="shared" si="88"/>
        <v>25</v>
      </c>
      <c r="AI507" s="258">
        <f t="shared" si="89"/>
        <v>275</v>
      </c>
      <c r="AJ507" s="259" t="str">
        <f t="shared" si="90"/>
        <v>3/0</v>
      </c>
      <c r="AK507" s="260">
        <f t="shared" si="91"/>
        <v>186.6</v>
      </c>
      <c r="AL507" s="226"/>
      <c r="AM507" s="258">
        <v>25</v>
      </c>
      <c r="AN507" s="258">
        <v>275</v>
      </c>
      <c r="AO507" s="262" t="s">
        <v>252</v>
      </c>
      <c r="AP507" s="260">
        <v>311</v>
      </c>
    </row>
    <row r="508" spans="9:42" ht="20.100000000000001" customHeight="1" x14ac:dyDescent="0.25">
      <c r="I508" s="246"/>
      <c r="K508" s="247"/>
      <c r="L508" s="247"/>
      <c r="M508" s="247"/>
      <c r="N508" s="248"/>
      <c r="O508" s="249"/>
      <c r="P508" s="247"/>
      <c r="R508" s="250"/>
      <c r="U508" s="247"/>
      <c r="V508" s="247"/>
      <c r="W508" s="247"/>
      <c r="X508" s="247"/>
      <c r="Y508" s="247"/>
      <c r="Z508" s="247"/>
      <c r="AA508" s="250"/>
      <c r="AH508" s="258">
        <f t="shared" si="88"/>
        <v>26</v>
      </c>
      <c r="AI508" s="258">
        <f t="shared" si="89"/>
        <v>275</v>
      </c>
      <c r="AJ508" s="259" t="str">
        <f t="shared" si="90"/>
        <v>3/1</v>
      </c>
      <c r="AK508" s="260">
        <f t="shared" si="91"/>
        <v>159.83999999999997</v>
      </c>
      <c r="AL508" s="226"/>
      <c r="AM508" s="258">
        <v>26</v>
      </c>
      <c r="AN508" s="258">
        <v>275</v>
      </c>
      <c r="AO508" s="262" t="s">
        <v>254</v>
      </c>
      <c r="AP508" s="260">
        <v>266.39999999999998</v>
      </c>
    </row>
    <row r="509" spans="9:42" ht="20.100000000000001" customHeight="1" x14ac:dyDescent="0.25">
      <c r="I509" s="246"/>
      <c r="K509" s="247"/>
      <c r="L509" s="247"/>
      <c r="M509" s="247"/>
      <c r="N509" s="248"/>
      <c r="O509" s="249"/>
      <c r="P509" s="247"/>
      <c r="R509" s="250"/>
      <c r="U509" s="247"/>
      <c r="V509" s="247"/>
      <c r="W509" s="247"/>
      <c r="X509" s="247"/>
      <c r="Y509" s="247"/>
      <c r="Z509" s="247"/>
      <c r="AA509" s="250"/>
      <c r="AH509" s="258">
        <f t="shared" si="88"/>
        <v>27</v>
      </c>
      <c r="AI509" s="258">
        <f t="shared" si="89"/>
        <v>275</v>
      </c>
      <c r="AJ509" s="259" t="str">
        <f t="shared" si="90"/>
        <v>3/1</v>
      </c>
      <c r="AK509" s="260">
        <f t="shared" si="91"/>
        <v>169.56</v>
      </c>
      <c r="AL509" s="226"/>
      <c r="AM509" s="258">
        <v>27</v>
      </c>
      <c r="AN509" s="258">
        <v>275</v>
      </c>
      <c r="AO509" s="262" t="s">
        <v>254</v>
      </c>
      <c r="AP509" s="260">
        <v>282.60000000000002</v>
      </c>
    </row>
    <row r="510" spans="9:42" ht="20.100000000000001" customHeight="1" x14ac:dyDescent="0.25">
      <c r="I510" s="246"/>
      <c r="K510" s="247"/>
      <c r="L510" s="247"/>
      <c r="M510" s="247"/>
      <c r="N510" s="248"/>
      <c r="O510" s="249"/>
      <c r="P510" s="247"/>
      <c r="R510" s="250"/>
      <c r="U510" s="247"/>
      <c r="V510" s="247"/>
      <c r="W510" s="247"/>
      <c r="X510" s="247"/>
      <c r="Y510" s="247"/>
      <c r="Z510" s="247"/>
      <c r="AA510" s="250"/>
      <c r="AH510" s="258">
        <f t="shared" si="88"/>
        <v>28</v>
      </c>
      <c r="AI510" s="258">
        <f t="shared" si="89"/>
        <v>275</v>
      </c>
      <c r="AJ510" s="259" t="str">
        <f t="shared" si="90"/>
        <v>3/1</v>
      </c>
      <c r="AK510" s="260">
        <f t="shared" si="91"/>
        <v>183.6</v>
      </c>
      <c r="AL510" s="226"/>
      <c r="AM510" s="258">
        <v>28</v>
      </c>
      <c r="AN510" s="258">
        <v>275</v>
      </c>
      <c r="AO510" s="262" t="s">
        <v>254</v>
      </c>
      <c r="AP510" s="260">
        <v>306</v>
      </c>
    </row>
    <row r="511" spans="9:42" ht="20.100000000000001" customHeight="1" x14ac:dyDescent="0.25">
      <c r="I511" s="246"/>
      <c r="K511" s="247"/>
      <c r="L511" s="247"/>
      <c r="M511" s="247"/>
      <c r="N511" s="248"/>
      <c r="O511" s="249"/>
      <c r="P511" s="247"/>
      <c r="R511" s="250"/>
      <c r="U511" s="247"/>
      <c r="V511" s="247"/>
      <c r="W511" s="247"/>
      <c r="X511" s="247"/>
      <c r="Y511" s="247"/>
      <c r="Z511" s="247"/>
      <c r="AA511" s="250"/>
      <c r="AH511" s="258">
        <f t="shared" si="88"/>
        <v>29</v>
      </c>
      <c r="AI511" s="258">
        <f t="shared" si="89"/>
        <v>275</v>
      </c>
      <c r="AJ511" s="259" t="str">
        <f t="shared" si="90"/>
        <v>3/1</v>
      </c>
      <c r="AK511" s="260">
        <f t="shared" si="91"/>
        <v>191.4</v>
      </c>
      <c r="AL511" s="226"/>
      <c r="AM511" s="258">
        <v>29</v>
      </c>
      <c r="AN511" s="258">
        <v>275</v>
      </c>
      <c r="AO511" s="262" t="s">
        <v>254</v>
      </c>
      <c r="AP511" s="260">
        <v>319</v>
      </c>
    </row>
    <row r="512" spans="9:42" ht="20.100000000000001" customHeight="1" x14ac:dyDescent="0.25">
      <c r="I512" s="246"/>
      <c r="K512" s="247"/>
      <c r="L512" s="247"/>
      <c r="M512" s="247"/>
      <c r="N512" s="248"/>
      <c r="O512" s="249"/>
      <c r="P512" s="247"/>
      <c r="R512" s="250"/>
      <c r="U512" s="247"/>
      <c r="V512" s="247"/>
      <c r="W512" s="247"/>
      <c r="X512" s="247"/>
      <c r="Y512" s="247"/>
      <c r="Z512" s="247"/>
      <c r="AA512" s="250"/>
      <c r="AH512" s="258">
        <f t="shared" si="88"/>
        <v>30</v>
      </c>
      <c r="AI512" s="258">
        <f t="shared" si="89"/>
        <v>275</v>
      </c>
      <c r="AJ512" s="259" t="str">
        <f t="shared" si="90"/>
        <v>3/1</v>
      </c>
      <c r="AK512" s="260">
        <f t="shared" si="91"/>
        <v>199.2</v>
      </c>
      <c r="AL512" s="226"/>
      <c r="AM512" s="258">
        <v>30</v>
      </c>
      <c r="AN512" s="258">
        <v>275</v>
      </c>
      <c r="AO512" s="262" t="s">
        <v>254</v>
      </c>
      <c r="AP512" s="260">
        <v>332</v>
      </c>
    </row>
    <row r="513" spans="9:42" ht="20.100000000000001" customHeight="1" x14ac:dyDescent="0.25">
      <c r="I513" s="246"/>
      <c r="K513" s="247"/>
      <c r="L513" s="247"/>
      <c r="M513" s="247"/>
      <c r="N513" s="248"/>
      <c r="O513" s="249"/>
      <c r="P513" s="247"/>
      <c r="R513" s="250"/>
      <c r="U513" s="247"/>
      <c r="V513" s="247"/>
      <c r="W513" s="247"/>
      <c r="X513" s="247"/>
      <c r="Y513" s="247"/>
      <c r="Z513" s="247"/>
      <c r="AA513" s="250"/>
      <c r="AH513" s="258">
        <f t="shared" si="88"/>
        <v>31</v>
      </c>
      <c r="AI513" s="258">
        <f t="shared" si="89"/>
        <v>275</v>
      </c>
      <c r="AJ513" s="259" t="str">
        <f t="shared" si="90"/>
        <v>3/2</v>
      </c>
      <c r="AK513" s="260">
        <f t="shared" si="91"/>
        <v>179.76000000000002</v>
      </c>
      <c r="AL513" s="226"/>
      <c r="AM513" s="258">
        <v>31</v>
      </c>
      <c r="AN513" s="258">
        <v>275</v>
      </c>
      <c r="AO513" s="262" t="s">
        <v>255</v>
      </c>
      <c r="AP513" s="260">
        <v>299.60000000000002</v>
      </c>
    </row>
    <row r="514" spans="9:42" ht="20.100000000000001" customHeight="1" x14ac:dyDescent="0.25">
      <c r="I514" s="246"/>
      <c r="K514" s="247"/>
      <c r="L514" s="247"/>
      <c r="M514" s="247"/>
      <c r="N514" s="248"/>
      <c r="O514" s="249"/>
      <c r="P514" s="247"/>
      <c r="R514" s="250"/>
      <c r="U514" s="247"/>
      <c r="V514" s="247"/>
      <c r="W514" s="247"/>
      <c r="X514" s="247"/>
      <c r="Y514" s="247"/>
      <c r="Z514" s="247"/>
      <c r="AA514" s="250"/>
      <c r="AH514" s="258">
        <f t="shared" si="88"/>
        <v>32</v>
      </c>
      <c r="AI514" s="258">
        <f t="shared" si="89"/>
        <v>275</v>
      </c>
      <c r="AJ514" s="259" t="str">
        <f t="shared" si="90"/>
        <v>3/2</v>
      </c>
      <c r="AK514" s="260">
        <f t="shared" si="91"/>
        <v>189</v>
      </c>
      <c r="AL514" s="226"/>
      <c r="AM514" s="258">
        <v>32</v>
      </c>
      <c r="AN514" s="258">
        <v>275</v>
      </c>
      <c r="AO514" s="262" t="s">
        <v>255</v>
      </c>
      <c r="AP514" s="260">
        <v>315</v>
      </c>
    </row>
    <row r="515" spans="9:42" ht="20.100000000000001" customHeight="1" x14ac:dyDescent="0.25">
      <c r="I515" s="246"/>
      <c r="K515" s="247"/>
      <c r="L515" s="247"/>
      <c r="M515" s="247"/>
      <c r="N515" s="248"/>
      <c r="O515" s="249"/>
      <c r="P515" s="247"/>
      <c r="R515" s="250"/>
      <c r="U515" s="247"/>
      <c r="V515" s="247"/>
      <c r="W515" s="247"/>
      <c r="X515" s="247"/>
      <c r="Y515" s="247"/>
      <c r="Z515" s="247"/>
      <c r="AA515" s="250"/>
      <c r="AH515" s="258">
        <f t="shared" si="88"/>
        <v>33</v>
      </c>
      <c r="AI515" s="258">
        <f t="shared" si="89"/>
        <v>275</v>
      </c>
      <c r="AJ515" s="259" t="str">
        <f t="shared" si="90"/>
        <v>3/2</v>
      </c>
      <c r="AK515" s="260">
        <f t="shared" si="91"/>
        <v>196.79999999999998</v>
      </c>
      <c r="AL515" s="226"/>
      <c r="AM515" s="258">
        <v>33</v>
      </c>
      <c r="AN515" s="258">
        <v>275</v>
      </c>
      <c r="AO515" s="262" t="s">
        <v>255</v>
      </c>
      <c r="AP515" s="260">
        <v>328</v>
      </c>
    </row>
    <row r="516" spans="9:42" ht="20.100000000000001" customHeight="1" x14ac:dyDescent="0.25">
      <c r="I516" s="246"/>
      <c r="K516" s="247"/>
      <c r="L516" s="247"/>
      <c r="M516" s="247"/>
      <c r="N516" s="248"/>
      <c r="O516" s="249"/>
      <c r="P516" s="247"/>
      <c r="R516" s="250"/>
      <c r="U516" s="247"/>
      <c r="V516" s="247"/>
      <c r="W516" s="247"/>
      <c r="X516" s="247"/>
      <c r="Y516" s="247"/>
      <c r="Z516" s="247"/>
      <c r="AA516" s="250"/>
      <c r="AH516" s="258">
        <f t="shared" si="88"/>
        <v>34</v>
      </c>
      <c r="AI516" s="258">
        <f t="shared" si="89"/>
        <v>275</v>
      </c>
      <c r="AJ516" s="259" t="str">
        <f t="shared" si="90"/>
        <v>3/2</v>
      </c>
      <c r="AK516" s="260">
        <f t="shared" si="91"/>
        <v>204.6</v>
      </c>
      <c r="AL516" s="226"/>
      <c r="AM516" s="258">
        <v>34</v>
      </c>
      <c r="AN516" s="258">
        <v>275</v>
      </c>
      <c r="AO516" s="262" t="s">
        <v>255</v>
      </c>
      <c r="AP516" s="260">
        <v>341</v>
      </c>
    </row>
    <row r="517" spans="9:42" ht="20.100000000000001" customHeight="1" x14ac:dyDescent="0.25">
      <c r="I517" s="246"/>
      <c r="K517" s="247"/>
      <c r="L517" s="247"/>
      <c r="M517" s="247"/>
      <c r="N517" s="248"/>
      <c r="O517" s="249"/>
      <c r="P517" s="247"/>
      <c r="R517" s="250"/>
      <c r="U517" s="247"/>
      <c r="V517" s="247"/>
      <c r="W517" s="247"/>
      <c r="X517" s="247"/>
      <c r="Y517" s="247"/>
      <c r="Z517" s="247"/>
      <c r="AA517" s="250"/>
      <c r="AH517" s="258">
        <f t="shared" si="88"/>
        <v>35</v>
      </c>
      <c r="AI517" s="258">
        <f t="shared" si="89"/>
        <v>275</v>
      </c>
      <c r="AJ517" s="259" t="str">
        <f t="shared" si="90"/>
        <v>2/0</v>
      </c>
      <c r="AK517" s="260">
        <f t="shared" si="91"/>
        <v>179.28</v>
      </c>
      <c r="AL517" s="226"/>
      <c r="AM517" s="258">
        <v>35</v>
      </c>
      <c r="AN517" s="258">
        <v>275</v>
      </c>
      <c r="AO517" s="262" t="s">
        <v>253</v>
      </c>
      <c r="AP517" s="260">
        <v>298.8</v>
      </c>
    </row>
    <row r="518" spans="9:42" ht="20.100000000000001" customHeight="1" x14ac:dyDescent="0.25">
      <c r="I518" s="246"/>
      <c r="K518" s="247"/>
      <c r="L518" s="247"/>
      <c r="M518" s="247"/>
      <c r="N518" s="248"/>
      <c r="O518" s="249"/>
      <c r="P518" s="247"/>
      <c r="R518" s="250"/>
      <c r="U518" s="247"/>
      <c r="V518" s="247"/>
      <c r="W518" s="247"/>
      <c r="X518" s="247"/>
      <c r="Y518" s="247"/>
      <c r="Z518" s="247"/>
      <c r="AA518" s="250"/>
      <c r="AH518" s="258">
        <f t="shared" si="88"/>
        <v>36</v>
      </c>
      <c r="AI518" s="258">
        <f t="shared" si="89"/>
        <v>275</v>
      </c>
      <c r="AJ518" s="259" t="str">
        <f t="shared" si="90"/>
        <v>2/0</v>
      </c>
      <c r="AK518" s="260">
        <f t="shared" si="91"/>
        <v>185.33999999999997</v>
      </c>
      <c r="AL518" s="226"/>
      <c r="AM518" s="258">
        <v>36</v>
      </c>
      <c r="AN518" s="258">
        <v>275</v>
      </c>
      <c r="AO518" s="262" t="s">
        <v>253</v>
      </c>
      <c r="AP518" s="260">
        <v>308.89999999999998</v>
      </c>
    </row>
    <row r="519" spans="9:42" ht="20.100000000000001" customHeight="1" x14ac:dyDescent="0.25">
      <c r="I519" s="246"/>
      <c r="K519" s="247"/>
      <c r="L519" s="247"/>
      <c r="M519" s="247"/>
      <c r="N519" s="248"/>
      <c r="O519" s="249"/>
      <c r="P519" s="247"/>
      <c r="R519" s="250"/>
      <c r="U519" s="247"/>
      <c r="V519" s="247"/>
      <c r="W519" s="247"/>
      <c r="X519" s="247"/>
      <c r="Y519" s="247"/>
      <c r="Z519" s="247"/>
      <c r="AA519" s="250"/>
      <c r="AH519" s="258">
        <f t="shared" si="88"/>
        <v>37</v>
      </c>
      <c r="AI519" s="258">
        <f t="shared" si="89"/>
        <v>275</v>
      </c>
      <c r="AJ519" s="259" t="str">
        <f t="shared" si="90"/>
        <v>2/0</v>
      </c>
      <c r="AK519" s="260">
        <f t="shared" si="91"/>
        <v>191.4</v>
      </c>
      <c r="AL519" s="226"/>
      <c r="AM519" s="258">
        <v>37</v>
      </c>
      <c r="AN519" s="258">
        <v>275</v>
      </c>
      <c r="AO519" s="262" t="s">
        <v>253</v>
      </c>
      <c r="AP519" s="260">
        <v>319</v>
      </c>
    </row>
    <row r="520" spans="9:42" ht="20.100000000000001" customHeight="1" x14ac:dyDescent="0.25">
      <c r="I520" s="246"/>
      <c r="K520" s="247"/>
      <c r="L520" s="247"/>
      <c r="M520" s="247"/>
      <c r="N520" s="248"/>
      <c r="O520" s="249"/>
      <c r="P520" s="247"/>
      <c r="R520" s="250"/>
      <c r="U520" s="247"/>
      <c r="V520" s="247"/>
      <c r="W520" s="247"/>
      <c r="X520" s="247"/>
      <c r="Y520" s="247"/>
      <c r="Z520" s="247"/>
      <c r="AA520" s="250"/>
      <c r="AH520" s="258">
        <f t="shared" si="88"/>
        <v>38</v>
      </c>
      <c r="AI520" s="258">
        <f t="shared" si="89"/>
        <v>275</v>
      </c>
      <c r="AJ520" s="259" t="str">
        <f t="shared" si="90"/>
        <v>2/0</v>
      </c>
      <c r="AK520" s="260">
        <f t="shared" si="91"/>
        <v>197.46</v>
      </c>
      <c r="AL520" s="226"/>
      <c r="AM520" s="258">
        <v>38</v>
      </c>
      <c r="AN520" s="258">
        <v>275</v>
      </c>
      <c r="AO520" s="262" t="s">
        <v>253</v>
      </c>
      <c r="AP520" s="260">
        <v>329.1</v>
      </c>
    </row>
    <row r="521" spans="9:42" ht="20.100000000000001" customHeight="1" x14ac:dyDescent="0.25">
      <c r="I521" s="246"/>
      <c r="K521" s="247"/>
      <c r="L521" s="247"/>
      <c r="M521" s="247"/>
      <c r="N521" s="248"/>
      <c r="O521" s="249"/>
      <c r="P521" s="247"/>
      <c r="R521" s="250"/>
      <c r="U521" s="247"/>
      <c r="V521" s="247"/>
      <c r="W521" s="247"/>
      <c r="X521" s="247"/>
      <c r="Y521" s="247"/>
      <c r="Z521" s="247"/>
      <c r="AA521" s="250"/>
      <c r="AH521" s="258">
        <f t="shared" si="88"/>
        <v>39</v>
      </c>
      <c r="AI521" s="258">
        <f t="shared" si="89"/>
        <v>275</v>
      </c>
      <c r="AJ521" s="259" t="str">
        <f t="shared" si="90"/>
        <v>2/0</v>
      </c>
      <c r="AK521" s="260">
        <f t="shared" si="91"/>
        <v>203.58</v>
      </c>
      <c r="AL521" s="226"/>
      <c r="AM521" s="258">
        <v>39</v>
      </c>
      <c r="AN521" s="258">
        <v>275</v>
      </c>
      <c r="AO521" s="262" t="s">
        <v>253</v>
      </c>
      <c r="AP521" s="260">
        <v>339.3</v>
      </c>
    </row>
    <row r="522" spans="9:42" ht="20.100000000000001" customHeight="1" x14ac:dyDescent="0.25">
      <c r="I522" s="246"/>
      <c r="K522" s="247"/>
      <c r="L522" s="247"/>
      <c r="M522" s="247"/>
      <c r="N522" s="248"/>
      <c r="O522" s="249"/>
      <c r="P522" s="247"/>
      <c r="R522" s="250"/>
      <c r="U522" s="247"/>
      <c r="V522" s="247"/>
      <c r="W522" s="247"/>
      <c r="X522" s="247"/>
      <c r="Y522" s="247"/>
      <c r="Z522" s="247"/>
      <c r="AA522" s="250"/>
      <c r="AH522" s="258">
        <f t="shared" si="88"/>
        <v>40</v>
      </c>
      <c r="AI522" s="258">
        <f t="shared" si="89"/>
        <v>275</v>
      </c>
      <c r="AJ522" s="259" t="str">
        <f t="shared" si="90"/>
        <v>2/0</v>
      </c>
      <c r="AK522" s="260">
        <f t="shared" si="91"/>
        <v>209.4</v>
      </c>
      <c r="AL522" s="226"/>
      <c r="AM522" s="258">
        <v>40</v>
      </c>
      <c r="AN522" s="258">
        <v>275</v>
      </c>
      <c r="AO522" s="262" t="s">
        <v>253</v>
      </c>
      <c r="AP522" s="260">
        <v>349</v>
      </c>
    </row>
    <row r="523" spans="9:42" ht="20.100000000000001" customHeight="1" x14ac:dyDescent="0.25">
      <c r="I523" s="246"/>
      <c r="K523" s="247"/>
      <c r="L523" s="247"/>
      <c r="M523" s="247"/>
      <c r="N523" s="248"/>
      <c r="O523" s="249"/>
      <c r="P523" s="247"/>
      <c r="R523" s="250"/>
      <c r="U523" s="247"/>
      <c r="V523" s="247"/>
      <c r="W523" s="247"/>
      <c r="X523" s="247"/>
      <c r="Y523" s="247"/>
      <c r="Z523" s="247"/>
      <c r="AA523" s="250"/>
      <c r="AH523" s="258">
        <f t="shared" si="88"/>
        <v>41</v>
      </c>
      <c r="AI523" s="258">
        <f t="shared" si="89"/>
        <v>275</v>
      </c>
      <c r="AJ523" s="259" t="str">
        <f t="shared" si="90"/>
        <v>2/0</v>
      </c>
      <c r="AK523" s="260">
        <f t="shared" si="91"/>
        <v>214.79999999999998</v>
      </c>
      <c r="AL523" s="226"/>
      <c r="AM523" s="258">
        <v>41</v>
      </c>
      <c r="AN523" s="258">
        <v>275</v>
      </c>
      <c r="AO523" s="262" t="s">
        <v>253</v>
      </c>
      <c r="AP523" s="260">
        <v>358</v>
      </c>
    </row>
    <row r="524" spans="9:42" ht="20.100000000000001" customHeight="1" x14ac:dyDescent="0.25">
      <c r="I524" s="246"/>
      <c r="K524" s="247"/>
      <c r="L524" s="247"/>
      <c r="M524" s="247"/>
      <c r="N524" s="248"/>
      <c r="O524" s="249"/>
      <c r="P524" s="247"/>
      <c r="R524" s="250"/>
      <c r="U524" s="247"/>
      <c r="V524" s="247"/>
      <c r="W524" s="247"/>
      <c r="X524" s="247"/>
      <c r="Y524" s="247"/>
      <c r="Z524" s="247"/>
      <c r="AA524" s="250"/>
      <c r="AH524" s="258">
        <f t="shared" si="88"/>
        <v>42</v>
      </c>
      <c r="AI524" s="258">
        <f t="shared" si="89"/>
        <v>275</v>
      </c>
      <c r="AJ524" s="259" t="str">
        <f t="shared" si="90"/>
        <v>2/0</v>
      </c>
      <c r="AK524" s="260">
        <f t="shared" si="91"/>
        <v>220.2</v>
      </c>
      <c r="AL524" s="226"/>
      <c r="AM524" s="258">
        <v>42</v>
      </c>
      <c r="AN524" s="258">
        <v>275</v>
      </c>
      <c r="AO524" s="262" t="s">
        <v>253</v>
      </c>
      <c r="AP524" s="260">
        <v>367</v>
      </c>
    </row>
    <row r="525" spans="9:42" ht="20.100000000000001" customHeight="1" x14ac:dyDescent="0.25">
      <c r="I525" s="246"/>
      <c r="K525" s="247"/>
      <c r="L525" s="247"/>
      <c r="M525" s="247"/>
      <c r="N525" s="248"/>
      <c r="O525" s="249"/>
      <c r="P525" s="247"/>
      <c r="R525" s="250"/>
      <c r="U525" s="247"/>
      <c r="V525" s="247"/>
      <c r="W525" s="247"/>
      <c r="X525" s="247"/>
      <c r="Y525" s="247"/>
      <c r="Z525" s="247"/>
      <c r="AA525" s="250"/>
      <c r="AH525" s="258">
        <f t="shared" si="88"/>
        <v>43</v>
      </c>
      <c r="AI525" s="258">
        <f t="shared" si="89"/>
        <v>275</v>
      </c>
      <c r="AJ525" s="259" t="str">
        <f t="shared" si="90"/>
        <v>2/0</v>
      </c>
      <c r="AK525" s="260">
        <f t="shared" si="91"/>
        <v>225.6</v>
      </c>
      <c r="AL525" s="226"/>
      <c r="AM525" s="258">
        <v>43</v>
      </c>
      <c r="AN525" s="258">
        <v>275</v>
      </c>
      <c r="AO525" s="262" t="s">
        <v>253</v>
      </c>
      <c r="AP525" s="260">
        <v>376</v>
      </c>
    </row>
    <row r="526" spans="9:42" ht="20.100000000000001" customHeight="1" x14ac:dyDescent="0.25">
      <c r="I526" s="246"/>
      <c r="K526" s="247"/>
      <c r="L526" s="247"/>
      <c r="M526" s="247"/>
      <c r="N526" s="248"/>
      <c r="O526" s="249"/>
      <c r="P526" s="247"/>
      <c r="R526" s="250"/>
      <c r="U526" s="247"/>
      <c r="V526" s="247"/>
      <c r="W526" s="247"/>
      <c r="X526" s="247"/>
      <c r="Y526" s="247"/>
      <c r="Z526" s="247"/>
      <c r="AA526" s="250"/>
      <c r="AH526" s="258">
        <f t="shared" si="88"/>
        <v>44</v>
      </c>
      <c r="AI526" s="258">
        <f t="shared" si="89"/>
        <v>275</v>
      </c>
      <c r="AJ526" s="259" t="str">
        <f t="shared" si="90"/>
        <v>2/0</v>
      </c>
      <c r="AK526" s="260">
        <f t="shared" si="91"/>
        <v>231</v>
      </c>
      <c r="AL526" s="226"/>
      <c r="AM526" s="258">
        <v>44</v>
      </c>
      <c r="AN526" s="258">
        <v>275</v>
      </c>
      <c r="AO526" s="262" t="s">
        <v>253</v>
      </c>
      <c r="AP526" s="260">
        <v>385</v>
      </c>
    </row>
    <row r="527" spans="9:42" ht="20.100000000000001" customHeight="1" x14ac:dyDescent="0.25">
      <c r="I527" s="246"/>
      <c r="K527" s="247"/>
      <c r="L527" s="247"/>
      <c r="M527" s="247"/>
      <c r="N527" s="248"/>
      <c r="O527" s="249"/>
      <c r="P527" s="247"/>
      <c r="R527" s="250"/>
      <c r="U527" s="247"/>
      <c r="V527" s="247"/>
      <c r="W527" s="247"/>
      <c r="X527" s="247"/>
      <c r="Y527" s="247"/>
      <c r="Z527" s="247"/>
      <c r="AA527" s="250"/>
      <c r="AH527" s="258">
        <f t="shared" si="88"/>
        <v>45</v>
      </c>
      <c r="AI527" s="258">
        <f t="shared" si="89"/>
        <v>275</v>
      </c>
      <c r="AJ527" s="259" t="str">
        <f t="shared" si="90"/>
        <v>2/0</v>
      </c>
      <c r="AK527" s="260">
        <f t="shared" si="91"/>
        <v>236.39999999999998</v>
      </c>
      <c r="AL527" s="226"/>
      <c r="AM527" s="258">
        <v>45</v>
      </c>
      <c r="AN527" s="258">
        <v>275</v>
      </c>
      <c r="AO527" s="262" t="s">
        <v>253</v>
      </c>
      <c r="AP527" s="260">
        <v>394</v>
      </c>
    </row>
    <row r="528" spans="9:42" ht="20.100000000000001" customHeight="1" x14ac:dyDescent="0.25">
      <c r="I528" s="246"/>
      <c r="K528" s="247"/>
      <c r="L528" s="247"/>
      <c r="M528" s="247"/>
      <c r="N528" s="248"/>
      <c r="O528" s="249"/>
      <c r="P528" s="247"/>
      <c r="R528" s="250"/>
      <c r="U528" s="247"/>
      <c r="V528" s="247"/>
      <c r="W528" s="247"/>
      <c r="X528" s="247"/>
      <c r="Y528" s="247"/>
      <c r="Z528" s="247"/>
      <c r="AA528" s="250"/>
      <c r="AH528" s="258">
        <f t="shared" si="88"/>
        <v>46</v>
      </c>
      <c r="AI528" s="258">
        <f t="shared" si="89"/>
        <v>275</v>
      </c>
      <c r="AJ528" s="259" t="str">
        <f t="shared" si="90"/>
        <v>2/0</v>
      </c>
      <c r="AK528" s="260">
        <f t="shared" si="91"/>
        <v>241.79999999999998</v>
      </c>
      <c r="AL528" s="226"/>
      <c r="AM528" s="258">
        <v>46</v>
      </c>
      <c r="AN528" s="258">
        <v>275</v>
      </c>
      <c r="AO528" s="262" t="s">
        <v>253</v>
      </c>
      <c r="AP528" s="260">
        <v>403</v>
      </c>
    </row>
    <row r="529" spans="9:42" ht="20.100000000000001" customHeight="1" x14ac:dyDescent="0.25">
      <c r="I529" s="246"/>
      <c r="K529" s="247"/>
      <c r="L529" s="247"/>
      <c r="M529" s="247"/>
      <c r="N529" s="248"/>
      <c r="O529" s="249"/>
      <c r="P529" s="247"/>
      <c r="R529" s="250"/>
      <c r="U529" s="247"/>
      <c r="V529" s="247"/>
      <c r="W529" s="247"/>
      <c r="X529" s="247"/>
      <c r="Y529" s="247"/>
      <c r="Z529" s="247"/>
      <c r="AA529" s="250"/>
      <c r="AH529" s="258">
        <f t="shared" si="88"/>
        <v>47</v>
      </c>
      <c r="AI529" s="258">
        <f t="shared" si="89"/>
        <v>275</v>
      </c>
      <c r="AJ529" s="259" t="str">
        <f t="shared" si="90"/>
        <v>2/0</v>
      </c>
      <c r="AK529" s="260">
        <f t="shared" si="91"/>
        <v>247.2</v>
      </c>
      <c r="AL529" s="226"/>
      <c r="AM529" s="258">
        <v>47</v>
      </c>
      <c r="AN529" s="258">
        <v>275</v>
      </c>
      <c r="AO529" s="262" t="s">
        <v>253</v>
      </c>
      <c r="AP529" s="260">
        <v>412</v>
      </c>
    </row>
    <row r="530" spans="9:42" ht="20.100000000000001" customHeight="1" x14ac:dyDescent="0.25">
      <c r="I530" s="246"/>
      <c r="K530" s="247"/>
      <c r="L530" s="247"/>
      <c r="M530" s="247"/>
      <c r="N530" s="248"/>
      <c r="O530" s="249"/>
      <c r="P530" s="247"/>
      <c r="R530" s="250"/>
      <c r="U530" s="247"/>
      <c r="V530" s="247"/>
      <c r="W530" s="247"/>
      <c r="X530" s="247"/>
      <c r="Y530" s="247"/>
      <c r="Z530" s="247"/>
      <c r="AA530" s="250"/>
      <c r="AH530" s="258">
        <f t="shared" si="88"/>
        <v>48</v>
      </c>
      <c r="AI530" s="258">
        <f t="shared" si="89"/>
        <v>275</v>
      </c>
      <c r="AJ530" s="259" t="str">
        <f t="shared" si="90"/>
        <v>2/0</v>
      </c>
      <c r="AK530" s="260">
        <f t="shared" si="91"/>
        <v>252.6</v>
      </c>
      <c r="AL530" s="226"/>
      <c r="AM530" s="258">
        <v>48</v>
      </c>
      <c r="AN530" s="258">
        <v>275</v>
      </c>
      <c r="AO530" s="262" t="s">
        <v>253</v>
      </c>
      <c r="AP530" s="260">
        <v>421</v>
      </c>
    </row>
    <row r="531" spans="9:42" ht="20.100000000000001" customHeight="1" x14ac:dyDescent="0.25">
      <c r="I531" s="246"/>
      <c r="K531" s="247"/>
      <c r="L531" s="247"/>
      <c r="M531" s="247"/>
      <c r="N531" s="248"/>
      <c r="O531" s="249"/>
      <c r="P531" s="247"/>
      <c r="R531" s="250"/>
      <c r="U531" s="247"/>
      <c r="V531" s="247"/>
      <c r="W531" s="247"/>
      <c r="X531" s="247"/>
      <c r="Y531" s="247"/>
      <c r="Z531" s="247"/>
      <c r="AA531" s="250"/>
      <c r="AH531" s="258">
        <f t="shared" si="88"/>
        <v>49</v>
      </c>
      <c r="AI531" s="258">
        <f t="shared" si="89"/>
        <v>275</v>
      </c>
      <c r="AJ531" s="259" t="str">
        <f t="shared" si="90"/>
        <v>2/0</v>
      </c>
      <c r="AK531" s="260">
        <f t="shared" si="91"/>
        <v>258</v>
      </c>
      <c r="AL531" s="226"/>
      <c r="AM531" s="258">
        <v>49</v>
      </c>
      <c r="AN531" s="258">
        <v>275</v>
      </c>
      <c r="AO531" s="262" t="s">
        <v>253</v>
      </c>
      <c r="AP531" s="260">
        <v>430</v>
      </c>
    </row>
    <row r="532" spans="9:42" ht="20.100000000000001" customHeight="1" x14ac:dyDescent="0.25">
      <c r="I532" s="246"/>
      <c r="K532" s="247"/>
      <c r="L532" s="247"/>
      <c r="M532" s="247"/>
      <c r="N532" s="248"/>
      <c r="O532" s="249"/>
      <c r="P532" s="247"/>
      <c r="R532" s="250"/>
      <c r="U532" s="247"/>
      <c r="V532" s="247"/>
      <c r="W532" s="247"/>
      <c r="X532" s="247"/>
      <c r="Y532" s="247"/>
      <c r="Z532" s="247"/>
      <c r="AA532" s="250"/>
      <c r="AH532" s="258">
        <f t="shared" si="88"/>
        <v>50</v>
      </c>
      <c r="AI532" s="258">
        <f t="shared" si="89"/>
        <v>275</v>
      </c>
      <c r="AJ532" s="259" t="str">
        <f t="shared" si="90"/>
        <v>2/4</v>
      </c>
      <c r="AK532" s="260">
        <f t="shared" si="91"/>
        <v>178.79999999999998</v>
      </c>
      <c r="AL532" s="226"/>
      <c r="AM532" s="258">
        <v>50</v>
      </c>
      <c r="AN532" s="258">
        <v>275</v>
      </c>
      <c r="AO532" s="262" t="s">
        <v>257</v>
      </c>
      <c r="AP532" s="260">
        <v>298</v>
      </c>
    </row>
    <row r="533" spans="9:42" ht="20.100000000000001" customHeight="1" x14ac:dyDescent="0.25">
      <c r="I533" s="246"/>
      <c r="K533" s="247"/>
      <c r="L533" s="247"/>
      <c r="M533" s="247"/>
      <c r="N533" s="248"/>
      <c r="O533" s="249"/>
      <c r="P533" s="247"/>
      <c r="R533" s="250"/>
      <c r="U533" s="247"/>
      <c r="V533" s="247"/>
      <c r="W533" s="247"/>
      <c r="X533" s="247"/>
      <c r="Y533" s="247"/>
      <c r="Z533" s="247"/>
      <c r="AA533" s="250"/>
      <c r="AH533" s="258">
        <f t="shared" si="88"/>
        <v>51</v>
      </c>
      <c r="AI533" s="258">
        <f t="shared" si="89"/>
        <v>275</v>
      </c>
      <c r="AJ533" s="259" t="str">
        <f t="shared" si="90"/>
        <v>2/4</v>
      </c>
      <c r="AK533" s="260">
        <f t="shared" si="91"/>
        <v>184.86</v>
      </c>
      <c r="AL533" s="226"/>
      <c r="AM533" s="258">
        <v>51</v>
      </c>
      <c r="AN533" s="258">
        <v>275</v>
      </c>
      <c r="AO533" s="262" t="s">
        <v>257</v>
      </c>
      <c r="AP533" s="260">
        <v>308.10000000000002</v>
      </c>
    </row>
    <row r="534" spans="9:42" ht="20.100000000000001" customHeight="1" x14ac:dyDescent="0.25">
      <c r="I534" s="246"/>
      <c r="K534" s="247"/>
      <c r="L534" s="247"/>
      <c r="M534" s="247"/>
      <c r="N534" s="248"/>
      <c r="O534" s="249"/>
      <c r="P534" s="247"/>
      <c r="R534" s="250"/>
      <c r="U534" s="247"/>
      <c r="V534" s="247"/>
      <c r="W534" s="247"/>
      <c r="X534" s="247"/>
      <c r="Y534" s="247"/>
      <c r="Z534" s="247"/>
      <c r="AA534" s="250"/>
      <c r="AH534" s="258">
        <f t="shared" si="88"/>
        <v>52</v>
      </c>
      <c r="AI534" s="258">
        <f t="shared" si="89"/>
        <v>275</v>
      </c>
      <c r="AJ534" s="259" t="str">
        <f t="shared" si="90"/>
        <v>2/4</v>
      </c>
      <c r="AK534" s="260">
        <f t="shared" si="91"/>
        <v>190.92</v>
      </c>
      <c r="AL534" s="226"/>
      <c r="AM534" s="258">
        <v>52</v>
      </c>
      <c r="AN534" s="258">
        <v>275</v>
      </c>
      <c r="AO534" s="262" t="s">
        <v>257</v>
      </c>
      <c r="AP534" s="260">
        <v>318.2</v>
      </c>
    </row>
    <row r="535" spans="9:42" ht="20.100000000000001" customHeight="1" x14ac:dyDescent="0.25">
      <c r="I535" s="246"/>
      <c r="K535" s="247"/>
      <c r="L535" s="247"/>
      <c r="M535" s="247"/>
      <c r="N535" s="248"/>
      <c r="O535" s="249"/>
      <c r="P535" s="247"/>
      <c r="R535" s="250"/>
      <c r="U535" s="247"/>
      <c r="V535" s="247"/>
      <c r="W535" s="247"/>
      <c r="X535" s="247"/>
      <c r="Y535" s="247"/>
      <c r="Z535" s="247"/>
      <c r="AA535" s="250"/>
      <c r="AH535" s="258">
        <f t="shared" si="88"/>
        <v>53</v>
      </c>
      <c r="AI535" s="258">
        <f t="shared" si="89"/>
        <v>275</v>
      </c>
      <c r="AJ535" s="259" t="str">
        <f t="shared" si="90"/>
        <v>2/4</v>
      </c>
      <c r="AK535" s="260">
        <f t="shared" si="91"/>
        <v>196.98</v>
      </c>
      <c r="AL535" s="226"/>
      <c r="AM535" s="258">
        <v>53</v>
      </c>
      <c r="AN535" s="258">
        <v>275</v>
      </c>
      <c r="AO535" s="262" t="s">
        <v>257</v>
      </c>
      <c r="AP535" s="260">
        <v>328.3</v>
      </c>
    </row>
    <row r="536" spans="9:42" ht="20.100000000000001" customHeight="1" x14ac:dyDescent="0.25">
      <c r="I536" s="246"/>
      <c r="K536" s="247"/>
      <c r="L536" s="247"/>
      <c r="M536" s="247"/>
      <c r="N536" s="248"/>
      <c r="O536" s="249"/>
      <c r="P536" s="247"/>
      <c r="R536" s="250"/>
      <c r="U536" s="247"/>
      <c r="V536" s="247"/>
      <c r="W536" s="247"/>
      <c r="X536" s="247"/>
      <c r="Y536" s="247"/>
      <c r="Z536" s="247"/>
      <c r="AA536" s="250"/>
      <c r="AH536" s="258">
        <f t="shared" si="88"/>
        <v>54</v>
      </c>
      <c r="AI536" s="258">
        <f t="shared" si="89"/>
        <v>275</v>
      </c>
      <c r="AJ536" s="259" t="str">
        <f t="shared" si="90"/>
        <v>2/4</v>
      </c>
      <c r="AK536" s="260">
        <f t="shared" si="91"/>
        <v>203.04</v>
      </c>
      <c r="AL536" s="226"/>
      <c r="AM536" s="258">
        <v>54</v>
      </c>
      <c r="AN536" s="258">
        <v>275</v>
      </c>
      <c r="AO536" s="262" t="s">
        <v>257</v>
      </c>
      <c r="AP536" s="260">
        <v>338.4</v>
      </c>
    </row>
    <row r="537" spans="9:42" ht="20.100000000000001" customHeight="1" x14ac:dyDescent="0.25">
      <c r="I537" s="246"/>
      <c r="K537" s="247"/>
      <c r="L537" s="247"/>
      <c r="M537" s="247"/>
      <c r="N537" s="248"/>
      <c r="O537" s="249"/>
      <c r="P537" s="247"/>
      <c r="R537" s="250"/>
      <c r="U537" s="247"/>
      <c r="V537" s="247"/>
      <c r="W537" s="247"/>
      <c r="X537" s="247"/>
      <c r="Y537" s="247"/>
      <c r="Z537" s="247"/>
      <c r="AA537" s="250"/>
      <c r="AH537" s="258">
        <f t="shared" si="88"/>
        <v>55</v>
      </c>
      <c r="AI537" s="258">
        <f t="shared" si="89"/>
        <v>275</v>
      </c>
      <c r="AJ537" s="259" t="str">
        <f t="shared" si="90"/>
        <v>2/4</v>
      </c>
      <c r="AK537" s="260">
        <f t="shared" si="91"/>
        <v>209.1</v>
      </c>
      <c r="AL537" s="226"/>
      <c r="AM537" s="258">
        <v>55</v>
      </c>
      <c r="AN537" s="258">
        <v>275</v>
      </c>
      <c r="AO537" s="262" t="s">
        <v>257</v>
      </c>
      <c r="AP537" s="260">
        <v>348.5</v>
      </c>
    </row>
    <row r="538" spans="9:42" ht="20.100000000000001" customHeight="1" x14ac:dyDescent="0.25">
      <c r="I538" s="246"/>
      <c r="K538" s="247"/>
      <c r="L538" s="247"/>
      <c r="M538" s="247"/>
      <c r="N538" s="248"/>
      <c r="O538" s="249"/>
      <c r="P538" s="247"/>
      <c r="R538" s="250"/>
      <c r="U538" s="247"/>
      <c r="V538" s="247"/>
      <c r="W538" s="247"/>
      <c r="X538" s="247"/>
      <c r="Y538" s="247"/>
      <c r="Z538" s="247"/>
      <c r="AA538" s="250"/>
      <c r="AH538" s="258">
        <f t="shared" si="88"/>
        <v>56</v>
      </c>
      <c r="AI538" s="258">
        <f t="shared" si="89"/>
        <v>275</v>
      </c>
      <c r="AJ538" s="259" t="str">
        <f t="shared" si="90"/>
        <v>2/4</v>
      </c>
      <c r="AK538" s="260">
        <f t="shared" si="91"/>
        <v>215.16</v>
      </c>
      <c r="AL538" s="226"/>
      <c r="AM538" s="258">
        <v>56</v>
      </c>
      <c r="AN538" s="258">
        <v>275</v>
      </c>
      <c r="AO538" s="262" t="s">
        <v>257</v>
      </c>
      <c r="AP538" s="260">
        <v>358.6</v>
      </c>
    </row>
    <row r="539" spans="9:42" ht="20.100000000000001" customHeight="1" x14ac:dyDescent="0.25">
      <c r="I539" s="246"/>
      <c r="K539" s="247"/>
      <c r="L539" s="247"/>
      <c r="M539" s="247"/>
      <c r="N539" s="248"/>
      <c r="O539" s="249"/>
      <c r="P539" s="247"/>
      <c r="R539" s="250"/>
      <c r="U539" s="247"/>
      <c r="V539" s="247"/>
      <c r="W539" s="247"/>
      <c r="X539" s="247"/>
      <c r="Y539" s="247"/>
      <c r="Z539" s="247"/>
      <c r="AA539" s="250"/>
      <c r="AH539" s="258">
        <f t="shared" si="88"/>
        <v>57</v>
      </c>
      <c r="AI539" s="258">
        <f t="shared" si="89"/>
        <v>275</v>
      </c>
      <c r="AJ539" s="259" t="str">
        <f t="shared" si="90"/>
        <v>2/4</v>
      </c>
      <c r="AK539" s="260">
        <f t="shared" si="91"/>
        <v>221.22</v>
      </c>
      <c r="AL539" s="226"/>
      <c r="AM539" s="258">
        <v>57</v>
      </c>
      <c r="AN539" s="258">
        <v>275</v>
      </c>
      <c r="AO539" s="262" t="s">
        <v>257</v>
      </c>
      <c r="AP539" s="260">
        <v>368.7</v>
      </c>
    </row>
    <row r="540" spans="9:42" ht="20.100000000000001" customHeight="1" x14ac:dyDescent="0.25">
      <c r="I540" s="246"/>
      <c r="K540" s="247"/>
      <c r="L540" s="247"/>
      <c r="M540" s="247"/>
      <c r="N540" s="248"/>
      <c r="O540" s="249"/>
      <c r="P540" s="247"/>
      <c r="R540" s="250"/>
      <c r="U540" s="247"/>
      <c r="V540" s="247"/>
      <c r="W540" s="247"/>
      <c r="X540" s="247"/>
      <c r="Y540" s="247"/>
      <c r="Z540" s="247"/>
      <c r="AA540" s="250"/>
      <c r="AH540" s="258">
        <f t="shared" si="88"/>
        <v>58</v>
      </c>
      <c r="AI540" s="258">
        <f t="shared" si="89"/>
        <v>275</v>
      </c>
      <c r="AJ540" s="259" t="str">
        <f t="shared" si="90"/>
        <v>2/4</v>
      </c>
      <c r="AK540" s="260">
        <f t="shared" si="91"/>
        <v>227.28</v>
      </c>
      <c r="AL540" s="226"/>
      <c r="AM540" s="258">
        <v>58</v>
      </c>
      <c r="AN540" s="258">
        <v>275</v>
      </c>
      <c r="AO540" s="262" t="s">
        <v>257</v>
      </c>
      <c r="AP540" s="260">
        <v>378.8</v>
      </c>
    </row>
    <row r="541" spans="9:42" ht="20.100000000000001" customHeight="1" x14ac:dyDescent="0.25">
      <c r="I541" s="246"/>
      <c r="K541" s="247"/>
      <c r="L541" s="247"/>
      <c r="M541" s="247"/>
      <c r="N541" s="248"/>
      <c r="O541" s="249"/>
      <c r="P541" s="247"/>
      <c r="R541" s="250"/>
      <c r="U541" s="247"/>
      <c r="V541" s="247"/>
      <c r="W541" s="247"/>
      <c r="X541" s="247"/>
      <c r="Y541" s="247"/>
      <c r="Z541" s="247"/>
      <c r="AA541" s="250"/>
      <c r="AH541" s="258">
        <f t="shared" si="88"/>
        <v>59</v>
      </c>
      <c r="AI541" s="258">
        <f t="shared" si="89"/>
        <v>275</v>
      </c>
      <c r="AJ541" s="259" t="str">
        <f t="shared" si="90"/>
        <v>2/4</v>
      </c>
      <c r="AK541" s="260">
        <f t="shared" si="91"/>
        <v>233.33999999999997</v>
      </c>
      <c r="AL541" s="226"/>
      <c r="AM541" s="258">
        <v>59</v>
      </c>
      <c r="AN541" s="258">
        <v>275</v>
      </c>
      <c r="AO541" s="262" t="s">
        <v>257</v>
      </c>
      <c r="AP541" s="260">
        <v>388.9</v>
      </c>
    </row>
    <row r="542" spans="9:42" ht="20.100000000000001" customHeight="1" x14ac:dyDescent="0.25">
      <c r="I542" s="246"/>
      <c r="K542" s="247"/>
      <c r="L542" s="247"/>
      <c r="M542" s="247"/>
      <c r="N542" s="248"/>
      <c r="O542" s="249"/>
      <c r="P542" s="247"/>
      <c r="R542" s="250"/>
      <c r="U542" s="247"/>
      <c r="V542" s="247"/>
      <c r="W542" s="247"/>
      <c r="X542" s="247"/>
      <c r="Y542" s="247"/>
      <c r="Z542" s="247"/>
      <c r="AA542" s="250"/>
      <c r="AH542" s="258">
        <f t="shared" si="88"/>
        <v>60</v>
      </c>
      <c r="AI542" s="258">
        <f t="shared" si="89"/>
        <v>275</v>
      </c>
      <c r="AJ542" s="259" t="str">
        <f t="shared" si="90"/>
        <v>2/4</v>
      </c>
      <c r="AK542" s="260">
        <f t="shared" si="91"/>
        <v>239.28</v>
      </c>
      <c r="AL542" s="226"/>
      <c r="AM542" s="258">
        <v>60</v>
      </c>
      <c r="AN542" s="258">
        <v>275</v>
      </c>
      <c r="AO542" s="262" t="s">
        <v>257</v>
      </c>
      <c r="AP542" s="260">
        <v>398.8</v>
      </c>
    </row>
    <row r="543" spans="9:42" ht="20.100000000000001" customHeight="1" x14ac:dyDescent="0.25">
      <c r="I543" s="246"/>
      <c r="K543" s="247"/>
      <c r="L543" s="247"/>
      <c r="M543" s="247"/>
      <c r="N543" s="248"/>
      <c r="O543" s="249"/>
      <c r="P543" s="247"/>
      <c r="R543" s="250"/>
      <c r="U543" s="247"/>
      <c r="V543" s="247"/>
      <c r="W543" s="247"/>
      <c r="X543" s="247"/>
      <c r="Y543" s="247"/>
      <c r="Z543" s="247"/>
      <c r="AA543" s="250"/>
      <c r="AH543" s="258" t="str">
        <f>AM543</f>
        <v>&gt;&gt;&gt;&gt;&gt;&gt;</v>
      </c>
      <c r="AI543" s="258"/>
      <c r="AJ543" s="259"/>
      <c r="AK543" s="260"/>
      <c r="AL543" s="226"/>
      <c r="AM543" s="258" t="s">
        <v>249</v>
      </c>
      <c r="AN543" s="258"/>
      <c r="AO543" s="262"/>
      <c r="AP543" s="260"/>
    </row>
    <row r="544" spans="9:42" ht="20.100000000000001" customHeight="1" x14ac:dyDescent="0.25">
      <c r="I544" s="246"/>
      <c r="K544" s="247"/>
      <c r="L544" s="247"/>
      <c r="M544" s="247"/>
      <c r="N544" s="248"/>
      <c r="O544" s="249"/>
      <c r="P544" s="247"/>
      <c r="R544" s="250"/>
      <c r="U544" s="247"/>
      <c r="V544" s="247"/>
      <c r="W544" s="247"/>
      <c r="X544" s="247"/>
      <c r="Y544" s="247"/>
      <c r="Z544" s="247"/>
      <c r="AA544" s="250"/>
      <c r="AH544" s="258">
        <f>AM544</f>
        <v>8</v>
      </c>
      <c r="AI544" s="258">
        <f>AN544</f>
        <v>300</v>
      </c>
      <c r="AJ544" s="259" t="str">
        <f>AO544</f>
        <v>4/0</v>
      </c>
      <c r="AK544" s="260">
        <f>(1-$AL$2)*AP544</f>
        <v>67.2</v>
      </c>
      <c r="AL544" s="226"/>
      <c r="AM544" s="258">
        <v>8</v>
      </c>
      <c r="AN544" s="258">
        <v>300</v>
      </c>
      <c r="AO544" s="262" t="s">
        <v>179</v>
      </c>
      <c r="AP544" s="260">
        <v>112</v>
      </c>
    </row>
    <row r="545" spans="9:42" ht="20.100000000000001" customHeight="1" x14ac:dyDescent="0.25">
      <c r="I545" s="246"/>
      <c r="K545" s="247"/>
      <c r="L545" s="247"/>
      <c r="M545" s="247"/>
      <c r="N545" s="248"/>
      <c r="O545" s="249"/>
      <c r="P545" s="247"/>
      <c r="R545" s="250"/>
      <c r="U545" s="247"/>
      <c r="V545" s="247"/>
      <c r="W545" s="247"/>
      <c r="X545" s="247"/>
      <c r="Y545" s="247"/>
      <c r="Z545" s="247"/>
      <c r="AA545" s="250"/>
      <c r="AH545" s="258">
        <f>AM545</f>
        <v>9</v>
      </c>
      <c r="AI545" s="258">
        <f>AN545</f>
        <v>300</v>
      </c>
      <c r="AJ545" s="259" t="str">
        <f>AO545</f>
        <v>4/0</v>
      </c>
      <c r="AK545" s="260">
        <f>(1-$AL$2)*AP545</f>
        <v>76.8</v>
      </c>
      <c r="AL545" s="226"/>
      <c r="AM545" s="258">
        <v>9</v>
      </c>
      <c r="AN545" s="258">
        <v>300</v>
      </c>
      <c r="AO545" s="262" t="s">
        <v>179</v>
      </c>
      <c r="AP545" s="260">
        <v>128</v>
      </c>
    </row>
    <row r="546" spans="9:42" ht="20.100000000000001" customHeight="1" x14ac:dyDescent="0.25">
      <c r="I546" s="246"/>
      <c r="K546" s="247"/>
      <c r="L546" s="247"/>
      <c r="M546" s="247"/>
      <c r="N546" s="248"/>
      <c r="O546" s="249"/>
      <c r="P546" s="247"/>
      <c r="R546" s="250"/>
      <c r="U546" s="247"/>
      <c r="V546" s="247"/>
      <c r="W546" s="247"/>
      <c r="X546" s="247"/>
      <c r="Y546" s="247"/>
      <c r="Z546" s="247"/>
      <c r="AA546" s="250"/>
      <c r="AH546" s="258">
        <f t="shared" ref="AH546:AH596" si="92">AM546</f>
        <v>10</v>
      </c>
      <c r="AI546" s="258">
        <f t="shared" ref="AI546:AI596" si="93">AN546</f>
        <v>300</v>
      </c>
      <c r="AJ546" s="259" t="str">
        <f t="shared" ref="AJ546:AJ596" si="94">AO546</f>
        <v>4/0</v>
      </c>
      <c r="AK546" s="260">
        <f t="shared" ref="AK546:AK596" si="95">(1-$AL$2)*AP546</f>
        <v>86.399999999999991</v>
      </c>
      <c r="AL546" s="226"/>
      <c r="AM546" s="258">
        <v>10</v>
      </c>
      <c r="AN546" s="258">
        <v>300</v>
      </c>
      <c r="AO546" s="262" t="s">
        <v>179</v>
      </c>
      <c r="AP546" s="260">
        <v>144</v>
      </c>
    </row>
    <row r="547" spans="9:42" ht="20.100000000000001" customHeight="1" x14ac:dyDescent="0.25">
      <c r="I547" s="246"/>
      <c r="K547" s="247"/>
      <c r="L547" s="247"/>
      <c r="M547" s="247"/>
      <c r="N547" s="248"/>
      <c r="O547" s="249"/>
      <c r="P547" s="247"/>
      <c r="R547" s="250"/>
      <c r="U547" s="247"/>
      <c r="V547" s="247"/>
      <c r="W547" s="247"/>
      <c r="X547" s="247"/>
      <c r="Y547" s="247"/>
      <c r="Z547" s="247"/>
      <c r="AA547" s="250"/>
      <c r="AH547" s="258">
        <f t="shared" si="92"/>
        <v>11</v>
      </c>
      <c r="AI547" s="258">
        <f t="shared" si="93"/>
        <v>300</v>
      </c>
      <c r="AJ547" s="259" t="str">
        <f t="shared" si="94"/>
        <v>4/0</v>
      </c>
      <c r="AK547" s="260">
        <f t="shared" si="95"/>
        <v>96</v>
      </c>
      <c r="AL547" s="226"/>
      <c r="AM547" s="258">
        <v>11</v>
      </c>
      <c r="AN547" s="258">
        <v>300</v>
      </c>
      <c r="AO547" s="262" t="s">
        <v>179</v>
      </c>
      <c r="AP547" s="260">
        <v>160</v>
      </c>
    </row>
    <row r="548" spans="9:42" ht="20.100000000000001" customHeight="1" x14ac:dyDescent="0.25">
      <c r="I548" s="246"/>
      <c r="K548" s="247"/>
      <c r="L548" s="247"/>
      <c r="M548" s="247"/>
      <c r="N548" s="248"/>
      <c r="O548" s="249"/>
      <c r="P548" s="247"/>
      <c r="R548" s="250"/>
      <c r="U548" s="247"/>
      <c r="V548" s="247"/>
      <c r="W548" s="247"/>
      <c r="X548" s="247"/>
      <c r="Y548" s="247"/>
      <c r="Z548" s="247"/>
      <c r="AA548" s="250"/>
      <c r="AH548" s="258">
        <f t="shared" si="92"/>
        <v>12</v>
      </c>
      <c r="AI548" s="258">
        <f t="shared" si="93"/>
        <v>300</v>
      </c>
      <c r="AJ548" s="259" t="str">
        <f t="shared" si="94"/>
        <v>4/0</v>
      </c>
      <c r="AK548" s="260">
        <f t="shared" si="95"/>
        <v>106.2</v>
      </c>
      <c r="AL548" s="226"/>
      <c r="AM548" s="258">
        <v>12</v>
      </c>
      <c r="AN548" s="258">
        <v>300</v>
      </c>
      <c r="AO548" s="262" t="s">
        <v>179</v>
      </c>
      <c r="AP548" s="260">
        <v>177</v>
      </c>
    </row>
    <row r="549" spans="9:42" ht="20.100000000000001" customHeight="1" x14ac:dyDescent="0.25">
      <c r="I549" s="246"/>
      <c r="K549" s="247"/>
      <c r="L549" s="247"/>
      <c r="M549" s="247"/>
      <c r="N549" s="248"/>
      <c r="O549" s="249"/>
      <c r="P549" s="247"/>
      <c r="R549" s="250"/>
      <c r="U549" s="247"/>
      <c r="V549" s="247"/>
      <c r="W549" s="247"/>
      <c r="X549" s="247"/>
      <c r="Y549" s="247"/>
      <c r="Z549" s="247"/>
      <c r="AA549" s="250"/>
      <c r="AH549" s="258">
        <f t="shared" si="92"/>
        <v>13</v>
      </c>
      <c r="AI549" s="258">
        <f t="shared" si="93"/>
        <v>300</v>
      </c>
      <c r="AJ549" s="259" t="str">
        <f t="shared" si="94"/>
        <v>4/0</v>
      </c>
      <c r="AK549" s="260">
        <f t="shared" si="95"/>
        <v>115.8</v>
      </c>
      <c r="AL549" s="226"/>
      <c r="AM549" s="258">
        <v>13</v>
      </c>
      <c r="AN549" s="258">
        <v>300</v>
      </c>
      <c r="AO549" s="262" t="s">
        <v>179</v>
      </c>
      <c r="AP549" s="260">
        <v>193</v>
      </c>
    </row>
    <row r="550" spans="9:42" ht="20.100000000000001" customHeight="1" x14ac:dyDescent="0.25">
      <c r="I550" s="246"/>
      <c r="K550" s="247"/>
      <c r="L550" s="247"/>
      <c r="M550" s="247"/>
      <c r="N550" s="248"/>
      <c r="O550" s="249"/>
      <c r="P550" s="247"/>
      <c r="R550" s="250"/>
      <c r="U550" s="247"/>
      <c r="V550" s="247"/>
      <c r="W550" s="247"/>
      <c r="X550" s="247"/>
      <c r="Y550" s="247"/>
      <c r="Z550" s="247"/>
      <c r="AA550" s="250"/>
      <c r="AH550" s="258">
        <f t="shared" si="92"/>
        <v>14</v>
      </c>
      <c r="AI550" s="258">
        <f t="shared" si="93"/>
        <v>300</v>
      </c>
      <c r="AJ550" s="259" t="str">
        <f t="shared" si="94"/>
        <v>4/0</v>
      </c>
      <c r="AK550" s="260">
        <f t="shared" si="95"/>
        <v>126</v>
      </c>
      <c r="AL550" s="226"/>
      <c r="AM550" s="258">
        <v>14</v>
      </c>
      <c r="AN550" s="258">
        <v>300</v>
      </c>
      <c r="AO550" s="262" t="s">
        <v>179</v>
      </c>
      <c r="AP550" s="260">
        <v>210</v>
      </c>
    </row>
    <row r="551" spans="9:42" ht="20.100000000000001" customHeight="1" x14ac:dyDescent="0.25">
      <c r="I551" s="246"/>
      <c r="K551" s="247"/>
      <c r="L551" s="247"/>
      <c r="M551" s="247"/>
      <c r="N551" s="248"/>
      <c r="O551" s="249"/>
      <c r="P551" s="247"/>
      <c r="R551" s="250"/>
      <c r="U551" s="247"/>
      <c r="V551" s="247"/>
      <c r="W551" s="247"/>
      <c r="X551" s="247"/>
      <c r="Y551" s="247"/>
      <c r="Z551" s="247"/>
      <c r="AA551" s="250"/>
      <c r="AH551" s="258">
        <f t="shared" si="92"/>
        <v>15</v>
      </c>
      <c r="AI551" s="258">
        <f t="shared" si="93"/>
        <v>300</v>
      </c>
      <c r="AJ551" s="259" t="str">
        <f t="shared" si="94"/>
        <v>4/0</v>
      </c>
      <c r="AK551" s="260">
        <f t="shared" si="95"/>
        <v>135.6</v>
      </c>
      <c r="AL551" s="226"/>
      <c r="AM551" s="258">
        <v>15</v>
      </c>
      <c r="AN551" s="258">
        <v>300</v>
      </c>
      <c r="AO551" s="262" t="s">
        <v>179</v>
      </c>
      <c r="AP551" s="260">
        <v>226</v>
      </c>
    </row>
    <row r="552" spans="9:42" ht="20.100000000000001" customHeight="1" x14ac:dyDescent="0.25">
      <c r="I552" s="246"/>
      <c r="K552" s="247"/>
      <c r="L552" s="247"/>
      <c r="M552" s="247"/>
      <c r="N552" s="248"/>
      <c r="O552" s="249"/>
      <c r="P552" s="247"/>
      <c r="R552" s="250"/>
      <c r="U552" s="247"/>
      <c r="V552" s="247"/>
      <c r="W552" s="247"/>
      <c r="X552" s="247"/>
      <c r="Y552" s="247"/>
      <c r="Z552" s="247"/>
      <c r="AA552" s="250"/>
      <c r="AH552" s="258">
        <f t="shared" si="92"/>
        <v>16</v>
      </c>
      <c r="AI552" s="258">
        <f t="shared" si="93"/>
        <v>300</v>
      </c>
      <c r="AJ552" s="259" t="str">
        <f t="shared" si="94"/>
        <v>4/0</v>
      </c>
      <c r="AK552" s="260">
        <f t="shared" si="95"/>
        <v>145.79999999999998</v>
      </c>
      <c r="AL552" s="226"/>
      <c r="AM552" s="258">
        <v>16</v>
      </c>
      <c r="AN552" s="258">
        <v>300</v>
      </c>
      <c r="AO552" s="262" t="s">
        <v>179</v>
      </c>
      <c r="AP552" s="260">
        <v>243</v>
      </c>
    </row>
    <row r="553" spans="9:42" ht="20.100000000000001" customHeight="1" x14ac:dyDescent="0.25">
      <c r="I553" s="246"/>
      <c r="K553" s="247"/>
      <c r="L553" s="247"/>
      <c r="M553" s="247"/>
      <c r="N553" s="248"/>
      <c r="O553" s="249"/>
      <c r="P553" s="247"/>
      <c r="R553" s="250"/>
      <c r="U553" s="247"/>
      <c r="V553" s="247"/>
      <c r="W553" s="247"/>
      <c r="X553" s="247"/>
      <c r="Y553" s="247"/>
      <c r="Z553" s="247"/>
      <c r="AA553" s="250"/>
      <c r="AH553" s="258">
        <f t="shared" si="92"/>
        <v>17</v>
      </c>
      <c r="AI553" s="258">
        <f t="shared" si="93"/>
        <v>300</v>
      </c>
      <c r="AJ553" s="259" t="str">
        <f t="shared" si="94"/>
        <v>4/0</v>
      </c>
      <c r="AK553" s="260">
        <f t="shared" si="95"/>
        <v>155.4</v>
      </c>
      <c r="AL553" s="226"/>
      <c r="AM553" s="258">
        <v>17</v>
      </c>
      <c r="AN553" s="258">
        <v>300</v>
      </c>
      <c r="AO553" s="262" t="s">
        <v>179</v>
      </c>
      <c r="AP553" s="260">
        <v>259</v>
      </c>
    </row>
    <row r="554" spans="9:42" ht="20.100000000000001" customHeight="1" x14ac:dyDescent="0.25">
      <c r="I554" s="246"/>
      <c r="K554" s="247"/>
      <c r="L554" s="247"/>
      <c r="M554" s="247"/>
      <c r="N554" s="248"/>
      <c r="O554" s="249"/>
      <c r="P554" s="247"/>
      <c r="R554" s="250"/>
      <c r="U554" s="247"/>
      <c r="V554" s="247"/>
      <c r="W554" s="247"/>
      <c r="X554" s="247"/>
      <c r="Y554" s="247"/>
      <c r="Z554" s="247"/>
      <c r="AA554" s="250"/>
      <c r="AH554" s="258">
        <f t="shared" si="92"/>
        <v>18</v>
      </c>
      <c r="AI554" s="258">
        <f t="shared" si="93"/>
        <v>300</v>
      </c>
      <c r="AJ554" s="259" t="str">
        <f t="shared" si="94"/>
        <v>4/1</v>
      </c>
      <c r="AK554" s="260">
        <f t="shared" si="95"/>
        <v>126.3</v>
      </c>
      <c r="AL554" s="226"/>
      <c r="AM554" s="258">
        <v>18</v>
      </c>
      <c r="AN554" s="258">
        <v>300</v>
      </c>
      <c r="AO554" s="262" t="s">
        <v>250</v>
      </c>
      <c r="AP554" s="260">
        <v>210.5</v>
      </c>
    </row>
    <row r="555" spans="9:42" ht="20.100000000000001" customHeight="1" x14ac:dyDescent="0.25">
      <c r="I555" s="246"/>
      <c r="K555" s="247"/>
      <c r="L555" s="247"/>
      <c r="M555" s="247"/>
      <c r="N555" s="248"/>
      <c r="O555" s="249"/>
      <c r="P555" s="247"/>
      <c r="R555" s="250"/>
      <c r="U555" s="247"/>
      <c r="V555" s="247"/>
      <c r="W555" s="247"/>
      <c r="X555" s="247"/>
      <c r="Y555" s="247"/>
      <c r="Z555" s="247"/>
      <c r="AA555" s="250"/>
      <c r="AH555" s="258">
        <f t="shared" si="92"/>
        <v>19</v>
      </c>
      <c r="AI555" s="258">
        <f t="shared" si="93"/>
        <v>300</v>
      </c>
      <c r="AJ555" s="259" t="str">
        <f t="shared" si="94"/>
        <v>4/1</v>
      </c>
      <c r="AK555" s="260">
        <f t="shared" si="95"/>
        <v>136.74</v>
      </c>
      <c r="AL555" s="226"/>
      <c r="AM555" s="258">
        <v>19</v>
      </c>
      <c r="AN555" s="258">
        <v>300</v>
      </c>
      <c r="AO555" s="262" t="s">
        <v>250</v>
      </c>
      <c r="AP555" s="260">
        <v>227.9</v>
      </c>
    </row>
    <row r="556" spans="9:42" ht="20.100000000000001" customHeight="1" x14ac:dyDescent="0.25">
      <c r="I556" s="246"/>
      <c r="K556" s="247"/>
      <c r="L556" s="247"/>
      <c r="M556" s="247"/>
      <c r="N556" s="248"/>
      <c r="O556" s="249"/>
      <c r="P556" s="247"/>
      <c r="R556" s="250"/>
      <c r="U556" s="247"/>
      <c r="V556" s="247"/>
      <c r="W556" s="247"/>
      <c r="X556" s="247"/>
      <c r="Y556" s="247"/>
      <c r="Z556" s="247"/>
      <c r="AA556" s="250"/>
      <c r="AH556" s="258">
        <f t="shared" si="92"/>
        <v>20</v>
      </c>
      <c r="AI556" s="258">
        <f t="shared" si="93"/>
        <v>300</v>
      </c>
      <c r="AJ556" s="259" t="str">
        <f t="shared" si="94"/>
        <v>4/1</v>
      </c>
      <c r="AK556" s="260">
        <f t="shared" si="95"/>
        <v>148.79999999999998</v>
      </c>
      <c r="AL556" s="226"/>
      <c r="AM556" s="258">
        <v>20</v>
      </c>
      <c r="AN556" s="258">
        <v>300</v>
      </c>
      <c r="AO556" s="262" t="s">
        <v>250</v>
      </c>
      <c r="AP556" s="260">
        <v>248</v>
      </c>
    </row>
    <row r="557" spans="9:42" ht="20.100000000000001" customHeight="1" x14ac:dyDescent="0.25">
      <c r="I557" s="246"/>
      <c r="K557" s="247"/>
      <c r="L557" s="247"/>
      <c r="M557" s="247"/>
      <c r="N557" s="248"/>
      <c r="O557" s="249"/>
      <c r="P557" s="247"/>
      <c r="R557" s="250"/>
      <c r="U557" s="247"/>
      <c r="V557" s="247"/>
      <c r="W557" s="247"/>
      <c r="X557" s="247"/>
      <c r="Y557" s="247"/>
      <c r="Z557" s="247"/>
      <c r="AA557" s="250"/>
      <c r="AH557" s="258">
        <f t="shared" si="92"/>
        <v>21</v>
      </c>
      <c r="AI557" s="258">
        <f t="shared" si="93"/>
        <v>300</v>
      </c>
      <c r="AJ557" s="259" t="str">
        <f t="shared" si="94"/>
        <v>4/1</v>
      </c>
      <c r="AK557" s="260">
        <f t="shared" si="95"/>
        <v>159</v>
      </c>
      <c r="AL557" s="226"/>
      <c r="AM557" s="258">
        <v>21</v>
      </c>
      <c r="AN557" s="258">
        <v>300</v>
      </c>
      <c r="AO557" s="262" t="s">
        <v>250</v>
      </c>
      <c r="AP557" s="260">
        <v>265</v>
      </c>
    </row>
    <row r="558" spans="9:42" ht="20.100000000000001" customHeight="1" x14ac:dyDescent="0.25">
      <c r="I558" s="246"/>
      <c r="K558" s="247"/>
      <c r="L558" s="247"/>
      <c r="M558" s="247"/>
      <c r="N558" s="248"/>
      <c r="O558" s="249"/>
      <c r="P558" s="247"/>
      <c r="R558" s="250"/>
      <c r="U558" s="247"/>
      <c r="V558" s="247"/>
      <c r="W558" s="247"/>
      <c r="X558" s="247"/>
      <c r="Y558" s="247"/>
      <c r="Z558" s="247"/>
      <c r="AA558" s="250"/>
      <c r="AH558" s="258">
        <f t="shared" si="92"/>
        <v>22</v>
      </c>
      <c r="AI558" s="258">
        <f t="shared" si="93"/>
        <v>300</v>
      </c>
      <c r="AJ558" s="259" t="str">
        <f t="shared" si="94"/>
        <v>4/1</v>
      </c>
      <c r="AK558" s="260">
        <f t="shared" si="95"/>
        <v>168.6</v>
      </c>
      <c r="AL558" s="226"/>
      <c r="AM558" s="258">
        <v>22</v>
      </c>
      <c r="AN558" s="258">
        <v>300</v>
      </c>
      <c r="AO558" s="262" t="s">
        <v>250</v>
      </c>
      <c r="AP558" s="260">
        <v>281</v>
      </c>
    </row>
    <row r="559" spans="9:42" ht="20.100000000000001" customHeight="1" x14ac:dyDescent="0.25">
      <c r="I559" s="246"/>
      <c r="K559" s="247"/>
      <c r="L559" s="247"/>
      <c r="M559" s="247"/>
      <c r="N559" s="248"/>
      <c r="O559" s="249"/>
      <c r="P559" s="247"/>
      <c r="R559" s="250"/>
      <c r="U559" s="247"/>
      <c r="V559" s="247"/>
      <c r="W559" s="247"/>
      <c r="X559" s="247"/>
      <c r="Y559" s="247"/>
      <c r="Z559" s="247"/>
      <c r="AA559" s="250"/>
      <c r="AH559" s="258">
        <f t="shared" si="92"/>
        <v>23</v>
      </c>
      <c r="AI559" s="258">
        <f t="shared" si="93"/>
        <v>300</v>
      </c>
      <c r="AJ559" s="259" t="str">
        <f t="shared" si="94"/>
        <v>3/0</v>
      </c>
      <c r="AK559" s="260">
        <f t="shared" si="95"/>
        <v>161.4</v>
      </c>
      <c r="AL559" s="226"/>
      <c r="AM559" s="258">
        <v>23</v>
      </c>
      <c r="AN559" s="258">
        <v>300</v>
      </c>
      <c r="AO559" s="262" t="s">
        <v>252</v>
      </c>
      <c r="AP559" s="260">
        <v>269</v>
      </c>
    </row>
    <row r="560" spans="9:42" ht="20.100000000000001" customHeight="1" x14ac:dyDescent="0.25">
      <c r="I560" s="246"/>
      <c r="K560" s="247"/>
      <c r="L560" s="247"/>
      <c r="M560" s="247"/>
      <c r="N560" s="248"/>
      <c r="O560" s="249"/>
      <c r="P560" s="247"/>
      <c r="R560" s="250"/>
      <c r="U560" s="247"/>
      <c r="V560" s="247"/>
      <c r="W560" s="247"/>
      <c r="X560" s="247"/>
      <c r="Y560" s="247"/>
      <c r="Z560" s="247"/>
      <c r="AA560" s="250"/>
      <c r="AH560" s="258">
        <f t="shared" si="92"/>
        <v>24</v>
      </c>
      <c r="AI560" s="258">
        <f t="shared" si="93"/>
        <v>300</v>
      </c>
      <c r="AJ560" s="259" t="str">
        <f t="shared" si="94"/>
        <v>3/0</v>
      </c>
      <c r="AK560" s="260">
        <f t="shared" si="95"/>
        <v>168.6</v>
      </c>
      <c r="AL560" s="226"/>
      <c r="AM560" s="258">
        <v>24</v>
      </c>
      <c r="AN560" s="258">
        <v>300</v>
      </c>
      <c r="AO560" s="262" t="s">
        <v>252</v>
      </c>
      <c r="AP560" s="260">
        <v>281</v>
      </c>
    </row>
    <row r="561" spans="9:42" ht="20.100000000000001" customHeight="1" x14ac:dyDescent="0.25">
      <c r="I561" s="246"/>
      <c r="K561" s="247"/>
      <c r="L561" s="247"/>
      <c r="M561" s="247"/>
      <c r="N561" s="248"/>
      <c r="O561" s="249"/>
      <c r="P561" s="247"/>
      <c r="R561" s="250"/>
      <c r="U561" s="247"/>
      <c r="V561" s="247"/>
      <c r="W561" s="247"/>
      <c r="X561" s="247"/>
      <c r="Y561" s="247"/>
      <c r="Z561" s="247"/>
      <c r="AA561" s="250"/>
      <c r="AH561" s="258">
        <f t="shared" si="92"/>
        <v>25</v>
      </c>
      <c r="AI561" s="258">
        <f t="shared" si="93"/>
        <v>300</v>
      </c>
      <c r="AJ561" s="259" t="str">
        <f t="shared" si="94"/>
        <v>3/0</v>
      </c>
      <c r="AK561" s="260">
        <f t="shared" si="95"/>
        <v>176.4</v>
      </c>
      <c r="AL561" s="226"/>
      <c r="AM561" s="258">
        <v>25</v>
      </c>
      <c r="AN561" s="258">
        <v>300</v>
      </c>
      <c r="AO561" s="262" t="s">
        <v>252</v>
      </c>
      <c r="AP561" s="260">
        <v>294</v>
      </c>
    </row>
    <row r="562" spans="9:42" ht="20.100000000000001" customHeight="1" x14ac:dyDescent="0.25">
      <c r="I562" s="246"/>
      <c r="K562" s="247"/>
      <c r="L562" s="247"/>
      <c r="M562" s="247"/>
      <c r="N562" s="248"/>
      <c r="O562" s="249"/>
      <c r="P562" s="247"/>
      <c r="R562" s="250"/>
      <c r="U562" s="247"/>
      <c r="V562" s="247"/>
      <c r="W562" s="247"/>
      <c r="X562" s="247"/>
      <c r="Y562" s="247"/>
      <c r="Z562" s="247"/>
      <c r="AA562" s="250"/>
      <c r="AH562" s="258">
        <f t="shared" si="92"/>
        <v>26</v>
      </c>
      <c r="AI562" s="258">
        <f t="shared" si="93"/>
        <v>300</v>
      </c>
      <c r="AJ562" s="259" t="str">
        <f t="shared" si="94"/>
        <v>3/1</v>
      </c>
      <c r="AK562" s="260">
        <f t="shared" si="95"/>
        <v>149.63999999999999</v>
      </c>
      <c r="AL562" s="226"/>
      <c r="AM562" s="258">
        <v>26</v>
      </c>
      <c r="AN562" s="258">
        <v>300</v>
      </c>
      <c r="AO562" s="262" t="s">
        <v>254</v>
      </c>
      <c r="AP562" s="260">
        <v>249.4</v>
      </c>
    </row>
    <row r="563" spans="9:42" ht="20.100000000000001" customHeight="1" x14ac:dyDescent="0.25">
      <c r="I563" s="246"/>
      <c r="K563" s="247"/>
      <c r="L563" s="247"/>
      <c r="M563" s="247"/>
      <c r="N563" s="248"/>
      <c r="O563" s="249"/>
      <c r="P563" s="247"/>
      <c r="R563" s="250"/>
      <c r="U563" s="247"/>
      <c r="V563" s="247"/>
      <c r="W563" s="247"/>
      <c r="X563" s="247"/>
      <c r="Y563" s="247"/>
      <c r="Z563" s="247"/>
      <c r="AA563" s="250"/>
      <c r="AH563" s="258">
        <f t="shared" si="92"/>
        <v>27</v>
      </c>
      <c r="AI563" s="258">
        <f t="shared" si="93"/>
        <v>300</v>
      </c>
      <c r="AJ563" s="259" t="str">
        <f t="shared" si="94"/>
        <v>3/1</v>
      </c>
      <c r="AK563" s="260">
        <f t="shared" si="95"/>
        <v>158.88</v>
      </c>
      <c r="AL563" s="226"/>
      <c r="AM563" s="258">
        <v>27</v>
      </c>
      <c r="AN563" s="258">
        <v>300</v>
      </c>
      <c r="AO563" s="262" t="s">
        <v>254</v>
      </c>
      <c r="AP563" s="260">
        <v>264.8</v>
      </c>
    </row>
    <row r="564" spans="9:42" ht="20.100000000000001" customHeight="1" x14ac:dyDescent="0.25">
      <c r="I564" s="246"/>
      <c r="K564" s="247"/>
      <c r="L564" s="247"/>
      <c r="M564" s="247"/>
      <c r="N564" s="248"/>
      <c r="O564" s="249"/>
      <c r="P564" s="247"/>
      <c r="R564" s="250"/>
      <c r="U564" s="247"/>
      <c r="V564" s="247"/>
      <c r="W564" s="247"/>
      <c r="X564" s="247"/>
      <c r="Y564" s="247"/>
      <c r="Z564" s="247"/>
      <c r="AA564" s="250"/>
      <c r="AH564" s="258">
        <f t="shared" si="92"/>
        <v>28</v>
      </c>
      <c r="AI564" s="258">
        <f t="shared" si="93"/>
        <v>300</v>
      </c>
      <c r="AJ564" s="259" t="str">
        <f t="shared" si="94"/>
        <v>3/1</v>
      </c>
      <c r="AK564" s="260">
        <f t="shared" si="95"/>
        <v>171.6</v>
      </c>
      <c r="AL564" s="226"/>
      <c r="AM564" s="258">
        <v>28</v>
      </c>
      <c r="AN564" s="258">
        <v>300</v>
      </c>
      <c r="AO564" s="262" t="s">
        <v>254</v>
      </c>
      <c r="AP564" s="260">
        <v>286</v>
      </c>
    </row>
    <row r="565" spans="9:42" ht="20.100000000000001" customHeight="1" x14ac:dyDescent="0.25">
      <c r="I565" s="246"/>
      <c r="K565" s="247"/>
      <c r="L565" s="247"/>
      <c r="M565" s="247"/>
      <c r="N565" s="248"/>
      <c r="O565" s="249"/>
      <c r="P565" s="247"/>
      <c r="R565" s="250"/>
      <c r="U565" s="247"/>
      <c r="V565" s="247"/>
      <c r="W565" s="247"/>
      <c r="X565" s="247"/>
      <c r="Y565" s="247"/>
      <c r="Z565" s="247"/>
      <c r="AA565" s="250"/>
      <c r="AH565" s="258">
        <f t="shared" si="92"/>
        <v>29</v>
      </c>
      <c r="AI565" s="258">
        <f t="shared" si="93"/>
        <v>300</v>
      </c>
      <c r="AJ565" s="259" t="str">
        <f t="shared" si="94"/>
        <v>3/1</v>
      </c>
      <c r="AK565" s="260">
        <f t="shared" si="95"/>
        <v>178.79999999999998</v>
      </c>
      <c r="AL565" s="226"/>
      <c r="AM565" s="258">
        <v>29</v>
      </c>
      <c r="AN565" s="258">
        <v>300</v>
      </c>
      <c r="AO565" s="262" t="s">
        <v>254</v>
      </c>
      <c r="AP565" s="260">
        <v>298</v>
      </c>
    </row>
    <row r="566" spans="9:42" ht="20.100000000000001" customHeight="1" x14ac:dyDescent="0.25">
      <c r="I566" s="246"/>
      <c r="K566" s="247"/>
      <c r="L566" s="247"/>
      <c r="M566" s="247"/>
      <c r="N566" s="248"/>
      <c r="O566" s="249"/>
      <c r="P566" s="247"/>
      <c r="R566" s="250"/>
      <c r="U566" s="247"/>
      <c r="V566" s="247"/>
      <c r="W566" s="247"/>
      <c r="X566" s="247"/>
      <c r="Y566" s="247"/>
      <c r="Z566" s="247"/>
      <c r="AA566" s="250"/>
      <c r="AH566" s="258">
        <f t="shared" si="92"/>
        <v>30</v>
      </c>
      <c r="AI566" s="258">
        <f t="shared" si="93"/>
        <v>300</v>
      </c>
      <c r="AJ566" s="259" t="str">
        <f t="shared" si="94"/>
        <v>3/1</v>
      </c>
      <c r="AK566" s="260">
        <f t="shared" si="95"/>
        <v>186.6</v>
      </c>
      <c r="AL566" s="226"/>
      <c r="AM566" s="258">
        <v>30</v>
      </c>
      <c r="AN566" s="258">
        <v>300</v>
      </c>
      <c r="AO566" s="262" t="s">
        <v>254</v>
      </c>
      <c r="AP566" s="260">
        <v>311</v>
      </c>
    </row>
    <row r="567" spans="9:42" ht="20.100000000000001" customHeight="1" x14ac:dyDescent="0.25">
      <c r="I567" s="246"/>
      <c r="K567" s="247"/>
      <c r="L567" s="247"/>
      <c r="M567" s="247"/>
      <c r="N567" s="248"/>
      <c r="O567" s="249"/>
      <c r="P567" s="247"/>
      <c r="R567" s="250"/>
      <c r="U567" s="247"/>
      <c r="V567" s="247"/>
      <c r="W567" s="247"/>
      <c r="X567" s="247"/>
      <c r="Y567" s="247"/>
      <c r="Z567" s="247"/>
      <c r="AA567" s="250"/>
      <c r="AH567" s="258">
        <f t="shared" si="92"/>
        <v>31</v>
      </c>
      <c r="AI567" s="258">
        <f t="shared" si="93"/>
        <v>300</v>
      </c>
      <c r="AJ567" s="259" t="str">
        <f t="shared" si="94"/>
        <v>3/2</v>
      </c>
      <c r="AK567" s="260">
        <f t="shared" si="95"/>
        <v>160.79999999999998</v>
      </c>
      <c r="AL567" s="226"/>
      <c r="AM567" s="258">
        <v>31</v>
      </c>
      <c r="AN567" s="258">
        <v>300</v>
      </c>
      <c r="AO567" s="262" t="s">
        <v>255</v>
      </c>
      <c r="AP567" s="260">
        <v>268</v>
      </c>
    </row>
    <row r="568" spans="9:42" ht="20.100000000000001" customHeight="1" x14ac:dyDescent="0.25">
      <c r="I568" s="246"/>
      <c r="K568" s="247"/>
      <c r="L568" s="247"/>
      <c r="M568" s="247"/>
      <c r="N568" s="248"/>
      <c r="O568" s="249"/>
      <c r="P568" s="247"/>
      <c r="R568" s="250"/>
      <c r="U568" s="247"/>
      <c r="V568" s="247"/>
      <c r="W568" s="247"/>
      <c r="X568" s="247"/>
      <c r="Y568" s="247"/>
      <c r="Z568" s="247"/>
      <c r="AA568" s="250"/>
      <c r="AH568" s="258">
        <f t="shared" si="92"/>
        <v>32</v>
      </c>
      <c r="AI568" s="258">
        <f t="shared" si="93"/>
        <v>300</v>
      </c>
      <c r="AJ568" s="259" t="str">
        <f t="shared" si="94"/>
        <v>3/2</v>
      </c>
      <c r="AK568" s="260">
        <f t="shared" si="95"/>
        <v>170.76000000000002</v>
      </c>
      <c r="AL568" s="226"/>
      <c r="AM568" s="258">
        <v>32</v>
      </c>
      <c r="AN568" s="258">
        <v>300</v>
      </c>
      <c r="AO568" s="262" t="s">
        <v>255</v>
      </c>
      <c r="AP568" s="260">
        <v>284.60000000000002</v>
      </c>
    </row>
    <row r="569" spans="9:42" ht="20.100000000000001" customHeight="1" x14ac:dyDescent="0.25">
      <c r="I569" s="246"/>
      <c r="K569" s="247"/>
      <c r="L569" s="247"/>
      <c r="M569" s="247"/>
      <c r="N569" s="248"/>
      <c r="O569" s="249"/>
      <c r="P569" s="247"/>
      <c r="R569" s="250"/>
      <c r="U569" s="247"/>
      <c r="V569" s="247"/>
      <c r="W569" s="247"/>
      <c r="X569" s="247"/>
      <c r="Y569" s="247"/>
      <c r="Z569" s="247"/>
      <c r="AA569" s="250"/>
      <c r="AH569" s="258">
        <f t="shared" si="92"/>
        <v>33</v>
      </c>
      <c r="AI569" s="258">
        <f t="shared" si="93"/>
        <v>300</v>
      </c>
      <c r="AJ569" s="259" t="str">
        <f t="shared" si="94"/>
        <v>3/2</v>
      </c>
      <c r="AK569" s="260">
        <f t="shared" si="95"/>
        <v>181.79999999999998</v>
      </c>
      <c r="AL569" s="226"/>
      <c r="AM569" s="258">
        <v>33</v>
      </c>
      <c r="AN569" s="258">
        <v>300</v>
      </c>
      <c r="AO569" s="262" t="s">
        <v>255</v>
      </c>
      <c r="AP569" s="260">
        <v>303</v>
      </c>
    </row>
    <row r="570" spans="9:42" ht="20.100000000000001" customHeight="1" x14ac:dyDescent="0.25">
      <c r="I570" s="246"/>
      <c r="K570" s="247"/>
      <c r="L570" s="247"/>
      <c r="M570" s="247"/>
      <c r="N570" s="248"/>
      <c r="O570" s="249"/>
      <c r="P570" s="247"/>
      <c r="R570" s="250"/>
      <c r="U570" s="247"/>
      <c r="V570" s="247"/>
      <c r="W570" s="247"/>
      <c r="X570" s="247"/>
      <c r="Y570" s="247"/>
      <c r="Z570" s="247"/>
      <c r="AA570" s="250"/>
      <c r="AH570" s="258">
        <f t="shared" si="92"/>
        <v>34</v>
      </c>
      <c r="AI570" s="258">
        <f t="shared" si="93"/>
        <v>300</v>
      </c>
      <c r="AJ570" s="259" t="str">
        <f t="shared" si="94"/>
        <v>3/2</v>
      </c>
      <c r="AK570" s="260">
        <f t="shared" si="95"/>
        <v>189.6</v>
      </c>
      <c r="AL570" s="226"/>
      <c r="AM570" s="258">
        <v>34</v>
      </c>
      <c r="AN570" s="258">
        <v>300</v>
      </c>
      <c r="AO570" s="262" t="s">
        <v>255</v>
      </c>
      <c r="AP570" s="260">
        <v>316</v>
      </c>
    </row>
    <row r="571" spans="9:42" ht="20.100000000000001" customHeight="1" x14ac:dyDescent="0.25">
      <c r="I571" s="246"/>
      <c r="K571" s="247"/>
      <c r="L571" s="247"/>
      <c r="M571" s="247"/>
      <c r="N571" s="248"/>
      <c r="O571" s="249"/>
      <c r="P571" s="247"/>
      <c r="R571" s="250"/>
      <c r="U571" s="247"/>
      <c r="V571" s="247"/>
      <c r="W571" s="247"/>
      <c r="X571" s="247"/>
      <c r="Y571" s="247"/>
      <c r="Z571" s="247"/>
      <c r="AA571" s="250"/>
      <c r="AH571" s="258">
        <f t="shared" si="92"/>
        <v>35</v>
      </c>
      <c r="AI571" s="258">
        <f t="shared" si="93"/>
        <v>300</v>
      </c>
      <c r="AJ571" s="259" t="str">
        <f t="shared" si="94"/>
        <v>3/2</v>
      </c>
      <c r="AK571" s="260">
        <f t="shared" si="95"/>
        <v>197.4</v>
      </c>
      <c r="AL571" s="226"/>
      <c r="AM571" s="258">
        <v>35</v>
      </c>
      <c r="AN571" s="258">
        <v>300</v>
      </c>
      <c r="AO571" s="262" t="s">
        <v>255</v>
      </c>
      <c r="AP571" s="260">
        <v>329</v>
      </c>
    </row>
    <row r="572" spans="9:42" ht="20.100000000000001" customHeight="1" x14ac:dyDescent="0.25">
      <c r="I572" s="246"/>
      <c r="K572" s="247"/>
      <c r="L572" s="247"/>
      <c r="M572" s="247"/>
      <c r="N572" s="248"/>
      <c r="O572" s="249"/>
      <c r="P572" s="247"/>
      <c r="R572" s="250"/>
      <c r="U572" s="247"/>
      <c r="V572" s="247"/>
      <c r="W572" s="247"/>
      <c r="X572" s="247"/>
      <c r="Y572" s="247"/>
      <c r="Z572" s="247"/>
      <c r="AA572" s="250"/>
      <c r="AH572" s="258">
        <f t="shared" si="92"/>
        <v>36</v>
      </c>
      <c r="AI572" s="258">
        <f t="shared" si="93"/>
        <v>300</v>
      </c>
      <c r="AJ572" s="259" t="str">
        <f t="shared" si="94"/>
        <v>3/2</v>
      </c>
      <c r="AK572" s="260">
        <f t="shared" si="95"/>
        <v>205.2</v>
      </c>
      <c r="AL572" s="226"/>
      <c r="AM572" s="258">
        <v>36</v>
      </c>
      <c r="AN572" s="258">
        <v>300</v>
      </c>
      <c r="AO572" s="262" t="s">
        <v>255</v>
      </c>
      <c r="AP572" s="260">
        <v>342</v>
      </c>
    </row>
    <row r="573" spans="9:42" ht="20.100000000000001" customHeight="1" x14ac:dyDescent="0.25">
      <c r="I573" s="246"/>
      <c r="K573" s="247"/>
      <c r="L573" s="247"/>
      <c r="M573" s="247"/>
      <c r="N573" s="248"/>
      <c r="O573" s="249"/>
      <c r="P573" s="247"/>
      <c r="R573" s="250"/>
      <c r="U573" s="247"/>
      <c r="V573" s="247"/>
      <c r="W573" s="247"/>
      <c r="X573" s="247"/>
      <c r="Y573" s="247"/>
      <c r="Z573" s="247"/>
      <c r="AA573" s="250"/>
      <c r="AH573" s="258">
        <f t="shared" si="92"/>
        <v>37</v>
      </c>
      <c r="AI573" s="258">
        <f t="shared" si="93"/>
        <v>300</v>
      </c>
      <c r="AJ573" s="259" t="str">
        <f t="shared" si="94"/>
        <v>2/0</v>
      </c>
      <c r="AK573" s="260">
        <f t="shared" si="95"/>
        <v>182.7</v>
      </c>
      <c r="AL573" s="226"/>
      <c r="AM573" s="258">
        <v>37</v>
      </c>
      <c r="AN573" s="258">
        <v>300</v>
      </c>
      <c r="AO573" s="262" t="s">
        <v>253</v>
      </c>
      <c r="AP573" s="260">
        <v>304.5</v>
      </c>
    </row>
    <row r="574" spans="9:42" ht="20.100000000000001" customHeight="1" x14ac:dyDescent="0.25">
      <c r="I574" s="246"/>
      <c r="K574" s="247"/>
      <c r="L574" s="247"/>
      <c r="M574" s="247"/>
      <c r="N574" s="248"/>
      <c r="O574" s="249"/>
      <c r="P574" s="247"/>
      <c r="R574" s="250"/>
      <c r="U574" s="247"/>
      <c r="V574" s="247"/>
      <c r="W574" s="247"/>
      <c r="X574" s="247"/>
      <c r="Y574" s="247"/>
      <c r="Z574" s="247"/>
      <c r="AA574" s="250"/>
      <c r="AH574" s="258">
        <f t="shared" si="92"/>
        <v>38</v>
      </c>
      <c r="AI574" s="258">
        <f t="shared" si="93"/>
        <v>300</v>
      </c>
      <c r="AJ574" s="259" t="str">
        <f t="shared" si="94"/>
        <v>2/0</v>
      </c>
      <c r="AK574" s="260">
        <f t="shared" si="95"/>
        <v>188.93999999999997</v>
      </c>
      <c r="AL574" s="226"/>
      <c r="AM574" s="258">
        <v>38</v>
      </c>
      <c r="AN574" s="258">
        <v>300</v>
      </c>
      <c r="AO574" s="262" t="s">
        <v>253</v>
      </c>
      <c r="AP574" s="260">
        <v>314.89999999999998</v>
      </c>
    </row>
    <row r="575" spans="9:42" ht="20.100000000000001" customHeight="1" x14ac:dyDescent="0.25">
      <c r="I575" s="246"/>
      <c r="K575" s="247"/>
      <c r="L575" s="247"/>
      <c r="M575" s="247"/>
      <c r="N575" s="248"/>
      <c r="O575" s="249"/>
      <c r="P575" s="247"/>
      <c r="R575" s="250"/>
      <c r="U575" s="247"/>
      <c r="V575" s="247"/>
      <c r="W575" s="247"/>
      <c r="X575" s="247"/>
      <c r="Y575" s="247"/>
      <c r="Z575" s="247"/>
      <c r="AA575" s="250"/>
      <c r="AH575" s="258">
        <f t="shared" si="92"/>
        <v>39</v>
      </c>
      <c r="AI575" s="258">
        <f t="shared" si="93"/>
        <v>300</v>
      </c>
      <c r="AJ575" s="259" t="str">
        <f t="shared" si="94"/>
        <v>2/0</v>
      </c>
      <c r="AK575" s="260">
        <f t="shared" si="95"/>
        <v>195.18</v>
      </c>
      <c r="AL575" s="226"/>
      <c r="AM575" s="258">
        <v>39</v>
      </c>
      <c r="AN575" s="258">
        <v>300</v>
      </c>
      <c r="AO575" s="262" t="s">
        <v>253</v>
      </c>
      <c r="AP575" s="260">
        <v>325.3</v>
      </c>
    </row>
    <row r="576" spans="9:42" ht="20.100000000000001" customHeight="1" x14ac:dyDescent="0.25">
      <c r="I576" s="246"/>
      <c r="K576" s="247"/>
      <c r="L576" s="247"/>
      <c r="M576" s="247"/>
      <c r="N576" s="248"/>
      <c r="O576" s="249"/>
      <c r="P576" s="247"/>
      <c r="R576" s="250"/>
      <c r="U576" s="247"/>
      <c r="V576" s="247"/>
      <c r="W576" s="247"/>
      <c r="X576" s="247"/>
      <c r="Y576" s="247"/>
      <c r="Z576" s="247"/>
      <c r="AA576" s="250"/>
      <c r="AH576" s="258">
        <f t="shared" si="92"/>
        <v>40</v>
      </c>
      <c r="AI576" s="258">
        <f t="shared" si="93"/>
        <v>300</v>
      </c>
      <c r="AJ576" s="259" t="str">
        <f t="shared" si="94"/>
        <v>2/0</v>
      </c>
      <c r="AK576" s="260">
        <f t="shared" si="95"/>
        <v>201.42</v>
      </c>
      <c r="AL576" s="226"/>
      <c r="AM576" s="258">
        <v>40</v>
      </c>
      <c r="AN576" s="258">
        <v>300</v>
      </c>
      <c r="AO576" s="262" t="s">
        <v>253</v>
      </c>
      <c r="AP576" s="260">
        <v>335.7</v>
      </c>
    </row>
    <row r="577" spans="9:42" ht="20.100000000000001" customHeight="1" x14ac:dyDescent="0.25">
      <c r="I577" s="246"/>
      <c r="K577" s="247"/>
      <c r="L577" s="247"/>
      <c r="M577" s="247"/>
      <c r="N577" s="248"/>
      <c r="O577" s="249"/>
      <c r="P577" s="247"/>
      <c r="R577" s="250"/>
      <c r="U577" s="247"/>
      <c r="V577" s="247"/>
      <c r="W577" s="247"/>
      <c r="X577" s="247"/>
      <c r="Y577" s="247"/>
      <c r="Z577" s="247"/>
      <c r="AA577" s="250"/>
      <c r="AH577" s="258">
        <f t="shared" si="92"/>
        <v>41</v>
      </c>
      <c r="AI577" s="258">
        <f t="shared" si="93"/>
        <v>300</v>
      </c>
      <c r="AJ577" s="259" t="str">
        <f t="shared" si="94"/>
        <v>2/0</v>
      </c>
      <c r="AK577" s="260">
        <f t="shared" si="95"/>
        <v>207.6</v>
      </c>
      <c r="AL577" s="226"/>
      <c r="AM577" s="258">
        <v>41</v>
      </c>
      <c r="AN577" s="258">
        <v>300</v>
      </c>
      <c r="AO577" s="262" t="s">
        <v>253</v>
      </c>
      <c r="AP577" s="260">
        <v>346</v>
      </c>
    </row>
    <row r="578" spans="9:42" ht="20.100000000000001" customHeight="1" x14ac:dyDescent="0.25">
      <c r="I578" s="246"/>
      <c r="K578" s="247"/>
      <c r="L578" s="247"/>
      <c r="M578" s="247"/>
      <c r="N578" s="248"/>
      <c r="O578" s="249"/>
      <c r="P578" s="247"/>
      <c r="R578" s="250"/>
      <c r="U578" s="247"/>
      <c r="V578" s="247"/>
      <c r="W578" s="247"/>
      <c r="X578" s="247"/>
      <c r="Y578" s="247"/>
      <c r="Z578" s="247"/>
      <c r="AA578" s="250"/>
      <c r="AH578" s="258">
        <f t="shared" si="92"/>
        <v>42</v>
      </c>
      <c r="AI578" s="258">
        <f t="shared" si="93"/>
        <v>300</v>
      </c>
      <c r="AJ578" s="259" t="str">
        <f t="shared" si="94"/>
        <v>2/0</v>
      </c>
      <c r="AK578" s="260">
        <f t="shared" si="95"/>
        <v>213</v>
      </c>
      <c r="AL578" s="226"/>
      <c r="AM578" s="258">
        <v>42</v>
      </c>
      <c r="AN578" s="258">
        <v>300</v>
      </c>
      <c r="AO578" s="262" t="s">
        <v>253</v>
      </c>
      <c r="AP578" s="260">
        <v>355</v>
      </c>
    </row>
    <row r="579" spans="9:42" ht="20.100000000000001" customHeight="1" x14ac:dyDescent="0.25">
      <c r="I579" s="246"/>
      <c r="K579" s="247"/>
      <c r="L579" s="247"/>
      <c r="M579" s="247"/>
      <c r="N579" s="248"/>
      <c r="O579" s="249"/>
      <c r="P579" s="247"/>
      <c r="R579" s="250"/>
      <c r="U579" s="247"/>
      <c r="V579" s="247"/>
      <c r="W579" s="247"/>
      <c r="X579" s="247"/>
      <c r="Y579" s="247"/>
      <c r="Z579" s="247"/>
      <c r="AA579" s="250"/>
      <c r="AH579" s="258">
        <f t="shared" si="92"/>
        <v>43</v>
      </c>
      <c r="AI579" s="258">
        <f t="shared" si="93"/>
        <v>300</v>
      </c>
      <c r="AJ579" s="259" t="str">
        <f t="shared" si="94"/>
        <v>2/0</v>
      </c>
      <c r="AK579" s="260">
        <f t="shared" si="95"/>
        <v>218.4</v>
      </c>
      <c r="AL579" s="226"/>
      <c r="AM579" s="258">
        <v>43</v>
      </c>
      <c r="AN579" s="258">
        <v>300</v>
      </c>
      <c r="AO579" s="262" t="s">
        <v>253</v>
      </c>
      <c r="AP579" s="260">
        <v>364</v>
      </c>
    </row>
    <row r="580" spans="9:42" ht="20.100000000000001" customHeight="1" x14ac:dyDescent="0.25">
      <c r="I580" s="246"/>
      <c r="K580" s="247"/>
      <c r="L580" s="247"/>
      <c r="M580" s="247"/>
      <c r="N580" s="248"/>
      <c r="O580" s="249"/>
      <c r="P580" s="247"/>
      <c r="R580" s="250"/>
      <c r="U580" s="247"/>
      <c r="V580" s="247"/>
      <c r="W580" s="247"/>
      <c r="X580" s="247"/>
      <c r="Y580" s="247"/>
      <c r="Z580" s="247"/>
      <c r="AA580" s="250"/>
      <c r="AH580" s="258">
        <f t="shared" si="92"/>
        <v>44</v>
      </c>
      <c r="AI580" s="258">
        <f t="shared" si="93"/>
        <v>300</v>
      </c>
      <c r="AJ580" s="259" t="str">
        <f t="shared" si="94"/>
        <v>2/0</v>
      </c>
      <c r="AK580" s="260">
        <f t="shared" si="95"/>
        <v>223.2</v>
      </c>
      <c r="AL580" s="226"/>
      <c r="AM580" s="258">
        <v>44</v>
      </c>
      <c r="AN580" s="258">
        <v>300</v>
      </c>
      <c r="AO580" s="262" t="s">
        <v>253</v>
      </c>
      <c r="AP580" s="260">
        <v>372</v>
      </c>
    </row>
    <row r="581" spans="9:42" ht="20.100000000000001" customHeight="1" x14ac:dyDescent="0.25">
      <c r="I581" s="246"/>
      <c r="K581" s="247"/>
      <c r="L581" s="247"/>
      <c r="M581" s="247"/>
      <c r="N581" s="248"/>
      <c r="O581" s="249"/>
      <c r="P581" s="247"/>
      <c r="R581" s="250"/>
      <c r="U581" s="247"/>
      <c r="V581" s="247"/>
      <c r="W581" s="247"/>
      <c r="X581" s="247"/>
      <c r="Y581" s="247"/>
      <c r="Z581" s="247"/>
      <c r="AA581" s="250"/>
      <c r="AH581" s="258">
        <f t="shared" si="92"/>
        <v>45</v>
      </c>
      <c r="AI581" s="258">
        <f t="shared" si="93"/>
        <v>300</v>
      </c>
      <c r="AJ581" s="259" t="str">
        <f t="shared" si="94"/>
        <v>2/0</v>
      </c>
      <c r="AK581" s="260">
        <f t="shared" si="95"/>
        <v>228.6</v>
      </c>
      <c r="AL581" s="226"/>
      <c r="AM581" s="258">
        <v>45</v>
      </c>
      <c r="AN581" s="258">
        <v>300</v>
      </c>
      <c r="AO581" s="262" t="s">
        <v>253</v>
      </c>
      <c r="AP581" s="260">
        <v>381</v>
      </c>
    </row>
    <row r="582" spans="9:42" ht="20.100000000000001" customHeight="1" x14ac:dyDescent="0.25">
      <c r="I582" s="246"/>
      <c r="K582" s="247"/>
      <c r="L582" s="247"/>
      <c r="M582" s="247"/>
      <c r="N582" s="248"/>
      <c r="O582" s="249"/>
      <c r="P582" s="247"/>
      <c r="R582" s="250"/>
      <c r="U582" s="247"/>
      <c r="V582" s="247"/>
      <c r="W582" s="247"/>
      <c r="X582" s="247"/>
      <c r="Y582" s="247"/>
      <c r="Z582" s="247"/>
      <c r="AA582" s="250"/>
      <c r="AH582" s="258">
        <f t="shared" si="92"/>
        <v>46</v>
      </c>
      <c r="AI582" s="258">
        <f t="shared" si="93"/>
        <v>300</v>
      </c>
      <c r="AJ582" s="259" t="str">
        <f t="shared" si="94"/>
        <v>2/0</v>
      </c>
      <c r="AK582" s="260">
        <f t="shared" si="95"/>
        <v>234</v>
      </c>
      <c r="AL582" s="226"/>
      <c r="AM582" s="258">
        <v>46</v>
      </c>
      <c r="AN582" s="258">
        <v>300</v>
      </c>
      <c r="AO582" s="262" t="s">
        <v>253</v>
      </c>
      <c r="AP582" s="260">
        <v>390</v>
      </c>
    </row>
    <row r="583" spans="9:42" ht="20.100000000000001" customHeight="1" x14ac:dyDescent="0.25">
      <c r="I583" s="246"/>
      <c r="K583" s="247"/>
      <c r="L583" s="247"/>
      <c r="M583" s="247"/>
      <c r="N583" s="248"/>
      <c r="O583" s="249"/>
      <c r="P583" s="247"/>
      <c r="R583" s="250"/>
      <c r="U583" s="247"/>
      <c r="V583" s="247"/>
      <c r="W583" s="247"/>
      <c r="X583" s="247"/>
      <c r="Y583" s="247"/>
      <c r="Z583" s="247"/>
      <c r="AA583" s="250"/>
      <c r="AH583" s="258">
        <f t="shared" si="92"/>
        <v>47</v>
      </c>
      <c r="AI583" s="258">
        <f t="shared" si="93"/>
        <v>300</v>
      </c>
      <c r="AJ583" s="259" t="str">
        <f t="shared" si="94"/>
        <v>2/0</v>
      </c>
      <c r="AK583" s="260">
        <f t="shared" si="95"/>
        <v>239.39999999999998</v>
      </c>
      <c r="AL583" s="226"/>
      <c r="AM583" s="258">
        <v>47</v>
      </c>
      <c r="AN583" s="258">
        <v>300</v>
      </c>
      <c r="AO583" s="262" t="s">
        <v>253</v>
      </c>
      <c r="AP583" s="260">
        <v>399</v>
      </c>
    </row>
    <row r="584" spans="9:42" ht="20.100000000000001" customHeight="1" x14ac:dyDescent="0.25">
      <c r="I584" s="246"/>
      <c r="K584" s="247"/>
      <c r="L584" s="247"/>
      <c r="M584" s="247"/>
      <c r="N584" s="248"/>
      <c r="O584" s="249"/>
      <c r="P584" s="247"/>
      <c r="R584" s="250"/>
      <c r="U584" s="247"/>
      <c r="V584" s="247"/>
      <c r="W584" s="247"/>
      <c r="X584" s="247"/>
      <c r="Y584" s="247"/>
      <c r="Z584" s="247"/>
      <c r="AA584" s="250"/>
      <c r="AH584" s="258">
        <f t="shared" si="92"/>
        <v>48</v>
      </c>
      <c r="AI584" s="258">
        <f t="shared" si="93"/>
        <v>300</v>
      </c>
      <c r="AJ584" s="259" t="str">
        <f t="shared" si="94"/>
        <v>2/0</v>
      </c>
      <c r="AK584" s="260">
        <f t="shared" si="95"/>
        <v>244.79999999999998</v>
      </c>
      <c r="AL584" s="226"/>
      <c r="AM584" s="258">
        <v>48</v>
      </c>
      <c r="AN584" s="258">
        <v>300</v>
      </c>
      <c r="AO584" s="262" t="s">
        <v>253</v>
      </c>
      <c r="AP584" s="260">
        <v>408</v>
      </c>
    </row>
    <row r="585" spans="9:42" ht="20.100000000000001" customHeight="1" x14ac:dyDescent="0.25">
      <c r="I585" s="246"/>
      <c r="K585" s="247"/>
      <c r="L585" s="247"/>
      <c r="M585" s="247"/>
      <c r="N585" s="248"/>
      <c r="O585" s="249"/>
      <c r="P585" s="247"/>
      <c r="R585" s="250"/>
      <c r="U585" s="247"/>
      <c r="V585" s="247"/>
      <c r="W585" s="247"/>
      <c r="X585" s="247"/>
      <c r="Y585" s="247"/>
      <c r="Z585" s="247"/>
      <c r="AA585" s="250"/>
      <c r="AH585" s="258">
        <f t="shared" si="92"/>
        <v>49</v>
      </c>
      <c r="AI585" s="258">
        <f t="shared" si="93"/>
        <v>300</v>
      </c>
      <c r="AJ585" s="259" t="str">
        <f t="shared" si="94"/>
        <v>2/4</v>
      </c>
      <c r="AK585" s="260">
        <f t="shared" si="95"/>
        <v>157.13999999999999</v>
      </c>
      <c r="AL585" s="226"/>
      <c r="AM585" s="258">
        <v>49</v>
      </c>
      <c r="AN585" s="258">
        <v>300</v>
      </c>
      <c r="AO585" s="262" t="s">
        <v>257</v>
      </c>
      <c r="AP585" s="260">
        <v>261.89999999999998</v>
      </c>
    </row>
    <row r="586" spans="9:42" ht="20.100000000000001" customHeight="1" x14ac:dyDescent="0.25">
      <c r="I586" s="246"/>
      <c r="K586" s="247"/>
      <c r="L586" s="247"/>
      <c r="M586" s="247"/>
      <c r="N586" s="248"/>
      <c r="O586" s="249"/>
      <c r="P586" s="247"/>
      <c r="R586" s="250"/>
      <c r="U586" s="247"/>
      <c r="V586" s="247"/>
      <c r="W586" s="247"/>
      <c r="X586" s="247"/>
      <c r="Y586" s="247"/>
      <c r="Z586" s="247"/>
      <c r="AA586" s="250"/>
      <c r="AH586" s="258">
        <f t="shared" si="92"/>
        <v>50</v>
      </c>
      <c r="AI586" s="258">
        <f t="shared" si="93"/>
        <v>300</v>
      </c>
      <c r="AJ586" s="259" t="str">
        <f t="shared" si="94"/>
        <v>2/4</v>
      </c>
      <c r="AK586" s="260">
        <f t="shared" si="95"/>
        <v>163.19999999999999</v>
      </c>
      <c r="AL586" s="226"/>
      <c r="AM586" s="258">
        <v>50</v>
      </c>
      <c r="AN586" s="258">
        <v>300</v>
      </c>
      <c r="AO586" s="262" t="s">
        <v>257</v>
      </c>
      <c r="AP586" s="260">
        <v>272</v>
      </c>
    </row>
    <row r="587" spans="9:42" ht="20.100000000000001" customHeight="1" x14ac:dyDescent="0.25">
      <c r="I587" s="246"/>
      <c r="K587" s="247"/>
      <c r="L587" s="247"/>
      <c r="M587" s="247"/>
      <c r="N587" s="248"/>
      <c r="O587" s="249"/>
      <c r="P587" s="247"/>
      <c r="R587" s="250"/>
      <c r="U587" s="247"/>
      <c r="V587" s="247"/>
      <c r="W587" s="247"/>
      <c r="X587" s="247"/>
      <c r="Y587" s="247"/>
      <c r="Z587" s="247"/>
      <c r="AA587" s="250"/>
      <c r="AH587" s="258">
        <f t="shared" si="92"/>
        <v>51</v>
      </c>
      <c r="AI587" s="258">
        <f t="shared" si="93"/>
        <v>300</v>
      </c>
      <c r="AJ587" s="259" t="str">
        <f t="shared" si="94"/>
        <v>2/4</v>
      </c>
      <c r="AK587" s="260">
        <f t="shared" si="95"/>
        <v>169.26000000000002</v>
      </c>
      <c r="AL587" s="226"/>
      <c r="AM587" s="258">
        <v>51</v>
      </c>
      <c r="AN587" s="258">
        <v>300</v>
      </c>
      <c r="AO587" s="262" t="s">
        <v>257</v>
      </c>
      <c r="AP587" s="260">
        <v>282.10000000000002</v>
      </c>
    </row>
    <row r="588" spans="9:42" ht="20.100000000000001" customHeight="1" x14ac:dyDescent="0.25">
      <c r="I588" s="246"/>
      <c r="K588" s="247"/>
      <c r="L588" s="247"/>
      <c r="M588" s="247"/>
      <c r="N588" s="248"/>
      <c r="O588" s="249"/>
      <c r="P588" s="247"/>
      <c r="R588" s="250"/>
      <c r="U588" s="247"/>
      <c r="V588" s="247"/>
      <c r="W588" s="247"/>
      <c r="X588" s="247"/>
      <c r="Y588" s="247"/>
      <c r="Z588" s="247"/>
      <c r="AA588" s="250"/>
      <c r="AH588" s="258">
        <f t="shared" si="92"/>
        <v>52</v>
      </c>
      <c r="AI588" s="258">
        <f t="shared" si="93"/>
        <v>300</v>
      </c>
      <c r="AJ588" s="259" t="str">
        <f t="shared" si="94"/>
        <v>2/4</v>
      </c>
      <c r="AK588" s="260">
        <f t="shared" si="95"/>
        <v>175.32</v>
      </c>
      <c r="AL588" s="226"/>
      <c r="AM588" s="258">
        <v>52</v>
      </c>
      <c r="AN588" s="258">
        <v>300</v>
      </c>
      <c r="AO588" s="262" t="s">
        <v>257</v>
      </c>
      <c r="AP588" s="260">
        <v>292.2</v>
      </c>
    </row>
    <row r="589" spans="9:42" ht="20.100000000000001" customHeight="1" x14ac:dyDescent="0.25">
      <c r="I589" s="246"/>
      <c r="K589" s="247"/>
      <c r="L589" s="247"/>
      <c r="M589" s="247"/>
      <c r="N589" s="248"/>
      <c r="O589" s="249"/>
      <c r="P589" s="247"/>
      <c r="R589" s="250"/>
      <c r="U589" s="247"/>
      <c r="V589" s="247"/>
      <c r="W589" s="247"/>
      <c r="X589" s="247"/>
      <c r="Y589" s="247"/>
      <c r="Z589" s="247"/>
      <c r="AA589" s="250"/>
      <c r="AH589" s="258">
        <f t="shared" si="92"/>
        <v>53</v>
      </c>
      <c r="AI589" s="258">
        <f t="shared" si="93"/>
        <v>300</v>
      </c>
      <c r="AJ589" s="259" t="str">
        <f t="shared" si="94"/>
        <v>2/4</v>
      </c>
      <c r="AK589" s="260">
        <f t="shared" si="95"/>
        <v>181.38</v>
      </c>
      <c r="AL589" s="226"/>
      <c r="AM589" s="258">
        <v>53</v>
      </c>
      <c r="AN589" s="258">
        <v>300</v>
      </c>
      <c r="AO589" s="262" t="s">
        <v>257</v>
      </c>
      <c r="AP589" s="260">
        <v>302.3</v>
      </c>
    </row>
    <row r="590" spans="9:42" ht="20.100000000000001" customHeight="1" x14ac:dyDescent="0.25">
      <c r="I590" s="246"/>
      <c r="K590" s="247"/>
      <c r="L590" s="247"/>
      <c r="M590" s="247"/>
      <c r="N590" s="248"/>
      <c r="O590" s="249"/>
      <c r="P590" s="247"/>
      <c r="R590" s="250"/>
      <c r="U590" s="247"/>
      <c r="V590" s="247"/>
      <c r="W590" s="247"/>
      <c r="X590" s="247"/>
      <c r="Y590" s="247"/>
      <c r="Z590" s="247"/>
      <c r="AA590" s="250"/>
      <c r="AH590" s="258">
        <f t="shared" si="92"/>
        <v>54</v>
      </c>
      <c r="AI590" s="258">
        <f t="shared" si="93"/>
        <v>300</v>
      </c>
      <c r="AJ590" s="259" t="str">
        <f t="shared" si="94"/>
        <v>2/4</v>
      </c>
      <c r="AK590" s="260">
        <f t="shared" si="95"/>
        <v>187.43999999999997</v>
      </c>
      <c r="AL590" s="226"/>
      <c r="AM590" s="258">
        <v>54</v>
      </c>
      <c r="AN590" s="258">
        <v>300</v>
      </c>
      <c r="AO590" s="262" t="s">
        <v>257</v>
      </c>
      <c r="AP590" s="260">
        <v>312.39999999999998</v>
      </c>
    </row>
    <row r="591" spans="9:42" ht="20.100000000000001" customHeight="1" x14ac:dyDescent="0.25">
      <c r="I591" s="246"/>
      <c r="K591" s="247"/>
      <c r="L591" s="247"/>
      <c r="M591" s="247"/>
      <c r="N591" s="248"/>
      <c r="O591" s="249"/>
      <c r="P591" s="247"/>
      <c r="R591" s="250"/>
      <c r="U591" s="247"/>
      <c r="V591" s="247"/>
      <c r="W591" s="247"/>
      <c r="X591" s="247"/>
      <c r="Y591" s="247"/>
      <c r="Z591" s="247"/>
      <c r="AA591" s="250"/>
      <c r="AH591" s="258">
        <f t="shared" si="92"/>
        <v>55</v>
      </c>
      <c r="AI591" s="258">
        <f t="shared" si="93"/>
        <v>300</v>
      </c>
      <c r="AJ591" s="259" t="str">
        <f t="shared" si="94"/>
        <v>2/4</v>
      </c>
      <c r="AK591" s="260">
        <f t="shared" si="95"/>
        <v>193.5</v>
      </c>
      <c r="AL591" s="226"/>
      <c r="AM591" s="258">
        <v>55</v>
      </c>
      <c r="AN591" s="258">
        <v>300</v>
      </c>
      <c r="AO591" s="262" t="s">
        <v>257</v>
      </c>
      <c r="AP591" s="260">
        <v>322.5</v>
      </c>
    </row>
    <row r="592" spans="9:42" ht="20.100000000000001" customHeight="1" x14ac:dyDescent="0.25">
      <c r="I592" s="246"/>
      <c r="K592" s="247"/>
      <c r="L592" s="247"/>
      <c r="M592" s="247"/>
      <c r="N592" s="248"/>
      <c r="O592" s="249"/>
      <c r="P592" s="247"/>
      <c r="R592" s="250"/>
      <c r="U592" s="247"/>
      <c r="V592" s="247"/>
      <c r="W592" s="247"/>
      <c r="X592" s="247"/>
      <c r="Y592" s="247"/>
      <c r="Z592" s="247"/>
      <c r="AA592" s="250"/>
      <c r="AH592" s="258">
        <f t="shared" si="92"/>
        <v>56</v>
      </c>
      <c r="AI592" s="258">
        <f t="shared" si="93"/>
        <v>300</v>
      </c>
      <c r="AJ592" s="259" t="str">
        <f t="shared" si="94"/>
        <v>2/4</v>
      </c>
      <c r="AK592" s="260">
        <f t="shared" si="95"/>
        <v>199.56</v>
      </c>
      <c r="AL592" s="226"/>
      <c r="AM592" s="258">
        <v>56</v>
      </c>
      <c r="AN592" s="258">
        <v>300</v>
      </c>
      <c r="AO592" s="262" t="s">
        <v>257</v>
      </c>
      <c r="AP592" s="260">
        <v>332.6</v>
      </c>
    </row>
    <row r="593" spans="9:42" ht="20.100000000000001" customHeight="1" x14ac:dyDescent="0.25">
      <c r="I593" s="246"/>
      <c r="K593" s="247"/>
      <c r="L593" s="247"/>
      <c r="M593" s="247"/>
      <c r="N593" s="248"/>
      <c r="O593" s="249"/>
      <c r="P593" s="247"/>
      <c r="R593" s="250"/>
      <c r="U593" s="247"/>
      <c r="V593" s="247"/>
      <c r="W593" s="247"/>
      <c r="X593" s="247"/>
      <c r="Y593" s="247"/>
      <c r="Z593" s="247"/>
      <c r="AA593" s="250"/>
      <c r="AH593" s="258">
        <f t="shared" si="92"/>
        <v>57</v>
      </c>
      <c r="AI593" s="258">
        <f t="shared" si="93"/>
        <v>300</v>
      </c>
      <c r="AJ593" s="259" t="str">
        <f t="shared" si="94"/>
        <v>2/4</v>
      </c>
      <c r="AK593" s="260">
        <f t="shared" si="95"/>
        <v>205.61999999999998</v>
      </c>
      <c r="AL593" s="226"/>
      <c r="AM593" s="258">
        <v>57</v>
      </c>
      <c r="AN593" s="258">
        <v>300</v>
      </c>
      <c r="AO593" s="262" t="s">
        <v>257</v>
      </c>
      <c r="AP593" s="260">
        <v>342.7</v>
      </c>
    </row>
    <row r="594" spans="9:42" ht="20.100000000000001" customHeight="1" x14ac:dyDescent="0.25">
      <c r="I594" s="246"/>
      <c r="K594" s="247"/>
      <c r="L594" s="247"/>
      <c r="M594" s="247"/>
      <c r="N594" s="248"/>
      <c r="O594" s="249"/>
      <c r="P594" s="247"/>
      <c r="R594" s="250"/>
      <c r="U594" s="247"/>
      <c r="V594" s="247"/>
      <c r="W594" s="247"/>
      <c r="X594" s="247"/>
      <c r="Y594" s="247"/>
      <c r="Z594" s="247"/>
      <c r="AA594" s="250"/>
      <c r="AH594" s="258">
        <f t="shared" si="92"/>
        <v>58</v>
      </c>
      <c r="AI594" s="258">
        <f t="shared" si="93"/>
        <v>300</v>
      </c>
      <c r="AJ594" s="259" t="str">
        <f t="shared" si="94"/>
        <v>2/4</v>
      </c>
      <c r="AK594" s="260">
        <f t="shared" si="95"/>
        <v>211.68</v>
      </c>
      <c r="AL594" s="226"/>
      <c r="AM594" s="258">
        <v>58</v>
      </c>
      <c r="AN594" s="258">
        <v>300</v>
      </c>
      <c r="AO594" s="262" t="s">
        <v>257</v>
      </c>
      <c r="AP594" s="260">
        <v>352.8</v>
      </c>
    </row>
    <row r="595" spans="9:42" ht="20.100000000000001" customHeight="1" x14ac:dyDescent="0.25">
      <c r="I595" s="246"/>
      <c r="K595" s="247"/>
      <c r="L595" s="247"/>
      <c r="M595" s="247"/>
      <c r="N595" s="248"/>
      <c r="O595" s="249"/>
      <c r="P595" s="247"/>
      <c r="R595" s="250"/>
      <c r="U595" s="247"/>
      <c r="V595" s="247"/>
      <c r="W595" s="247"/>
      <c r="X595" s="247"/>
      <c r="Y595" s="247"/>
      <c r="Z595" s="247"/>
      <c r="AA595" s="250"/>
      <c r="AH595" s="258">
        <f t="shared" si="92"/>
        <v>59</v>
      </c>
      <c r="AI595" s="258">
        <f t="shared" si="93"/>
        <v>300</v>
      </c>
      <c r="AJ595" s="259" t="str">
        <f t="shared" si="94"/>
        <v>2/4</v>
      </c>
      <c r="AK595" s="260">
        <f t="shared" si="95"/>
        <v>217.73999999999998</v>
      </c>
      <c r="AL595" s="226"/>
      <c r="AM595" s="258">
        <v>59</v>
      </c>
      <c r="AN595" s="258">
        <v>300</v>
      </c>
      <c r="AO595" s="262" t="s">
        <v>257</v>
      </c>
      <c r="AP595" s="260">
        <v>362.9</v>
      </c>
    </row>
    <row r="596" spans="9:42" ht="20.100000000000001" customHeight="1" x14ac:dyDescent="0.25">
      <c r="I596" s="246"/>
      <c r="K596" s="247"/>
      <c r="L596" s="247"/>
      <c r="M596" s="247"/>
      <c r="N596" s="248"/>
      <c r="O596" s="249"/>
      <c r="P596" s="247"/>
      <c r="R596" s="250"/>
      <c r="U596" s="247"/>
      <c r="V596" s="247"/>
      <c r="W596" s="247"/>
      <c r="X596" s="247"/>
      <c r="Y596" s="247"/>
      <c r="Z596" s="247"/>
      <c r="AA596" s="250"/>
      <c r="AH596" s="258">
        <f t="shared" si="92"/>
        <v>60</v>
      </c>
      <c r="AI596" s="258">
        <f t="shared" si="93"/>
        <v>300</v>
      </c>
      <c r="AJ596" s="259" t="str">
        <f t="shared" si="94"/>
        <v>2/4</v>
      </c>
      <c r="AK596" s="260">
        <f t="shared" si="95"/>
        <v>223.5</v>
      </c>
      <c r="AL596" s="226"/>
      <c r="AM596" s="258">
        <v>60</v>
      </c>
      <c r="AN596" s="258">
        <v>300</v>
      </c>
      <c r="AO596" s="262" t="s">
        <v>257</v>
      </c>
      <c r="AP596" s="260">
        <v>372.5</v>
      </c>
    </row>
    <row r="597" spans="9:42" ht="20.100000000000001" customHeight="1" x14ac:dyDescent="0.25">
      <c r="I597" s="246"/>
      <c r="K597" s="247"/>
      <c r="L597" s="247"/>
      <c r="M597" s="247"/>
      <c r="N597" s="248"/>
      <c r="O597" s="249"/>
      <c r="P597" s="247"/>
      <c r="R597" s="250"/>
      <c r="U597" s="247"/>
      <c r="V597" s="247"/>
      <c r="W597" s="247"/>
      <c r="X597" s="247"/>
      <c r="Y597" s="247"/>
      <c r="Z597" s="247"/>
      <c r="AA597" s="250"/>
      <c r="AH597" s="258" t="str">
        <f>AM597</f>
        <v>&gt;&gt;&gt;&gt;&gt;&gt;</v>
      </c>
      <c r="AI597" s="258"/>
      <c r="AJ597" s="259"/>
      <c r="AK597" s="260"/>
      <c r="AL597" s="226"/>
      <c r="AM597" s="258" t="s">
        <v>249</v>
      </c>
      <c r="AN597" s="258"/>
      <c r="AO597" s="262"/>
      <c r="AP597" s="260"/>
    </row>
    <row r="598" spans="9:42" ht="20.100000000000001" customHeight="1" x14ac:dyDescent="0.25">
      <c r="I598" s="246"/>
      <c r="K598" s="247"/>
      <c r="L598" s="247"/>
      <c r="M598" s="247"/>
      <c r="N598" s="248"/>
      <c r="O598" s="249"/>
      <c r="P598" s="247"/>
      <c r="R598" s="250"/>
      <c r="U598" s="247"/>
      <c r="V598" s="247"/>
      <c r="W598" s="247"/>
      <c r="X598" s="247"/>
      <c r="Y598" s="247"/>
      <c r="Z598" s="247"/>
      <c r="AA598" s="250"/>
      <c r="AH598" s="258">
        <f>AM598</f>
        <v>10</v>
      </c>
      <c r="AI598" s="258">
        <f>AN598</f>
        <v>325</v>
      </c>
      <c r="AJ598" s="259" t="str">
        <f>AO598</f>
        <v>4/0</v>
      </c>
      <c r="AK598" s="260">
        <f>(1-$AL$2)*AP598</f>
        <v>73.8</v>
      </c>
      <c r="AL598" s="226"/>
      <c r="AM598" s="258">
        <v>10</v>
      </c>
      <c r="AN598" s="258">
        <v>325</v>
      </c>
      <c r="AO598" s="262" t="s">
        <v>179</v>
      </c>
      <c r="AP598" s="260">
        <v>123</v>
      </c>
    </row>
    <row r="599" spans="9:42" ht="20.100000000000001" customHeight="1" x14ac:dyDescent="0.25">
      <c r="I599" s="246"/>
      <c r="K599" s="247"/>
      <c r="L599" s="247"/>
      <c r="M599" s="247"/>
      <c r="N599" s="248"/>
      <c r="O599" s="249"/>
      <c r="P599" s="247"/>
      <c r="R599" s="250"/>
      <c r="U599" s="247"/>
      <c r="V599" s="247"/>
      <c r="W599" s="247"/>
      <c r="X599" s="247"/>
      <c r="Y599" s="247"/>
      <c r="Z599" s="247"/>
      <c r="AA599" s="250"/>
      <c r="AH599" s="258">
        <f>AM599</f>
        <v>11</v>
      </c>
      <c r="AI599" s="258">
        <f>AN599</f>
        <v>325</v>
      </c>
      <c r="AJ599" s="259" t="str">
        <f>AO599</f>
        <v>4/0</v>
      </c>
      <c r="AK599" s="260">
        <f>(1-$AL$2)*AP599</f>
        <v>83.399999999999991</v>
      </c>
      <c r="AL599" s="226"/>
      <c r="AM599" s="258">
        <v>11</v>
      </c>
      <c r="AN599" s="258">
        <v>325</v>
      </c>
      <c r="AO599" s="262" t="s">
        <v>179</v>
      </c>
      <c r="AP599" s="260">
        <v>139</v>
      </c>
    </row>
    <row r="600" spans="9:42" ht="20.100000000000001" customHeight="1" x14ac:dyDescent="0.25">
      <c r="I600" s="246"/>
      <c r="K600" s="247"/>
      <c r="L600" s="247"/>
      <c r="M600" s="247"/>
      <c r="N600" s="248"/>
      <c r="O600" s="249"/>
      <c r="P600" s="247"/>
      <c r="R600" s="250"/>
      <c r="U600" s="247"/>
      <c r="V600" s="247"/>
      <c r="W600" s="247"/>
      <c r="X600" s="247"/>
      <c r="Y600" s="247"/>
      <c r="Z600" s="247"/>
      <c r="AA600" s="250"/>
      <c r="AH600" s="258">
        <f t="shared" ref="AH600:AH648" si="96">AM600</f>
        <v>12</v>
      </c>
      <c r="AI600" s="258">
        <f t="shared" ref="AI600:AI648" si="97">AN600</f>
        <v>325</v>
      </c>
      <c r="AJ600" s="259" t="str">
        <f t="shared" ref="AJ600:AJ648" si="98">AO600</f>
        <v>4/0</v>
      </c>
      <c r="AK600" s="260">
        <f t="shared" ref="AK600:AK648" si="99">(1-$AL$2)*AP600</f>
        <v>93</v>
      </c>
      <c r="AL600" s="226"/>
      <c r="AM600" s="258">
        <v>12</v>
      </c>
      <c r="AN600" s="258">
        <v>325</v>
      </c>
      <c r="AO600" s="262" t="s">
        <v>179</v>
      </c>
      <c r="AP600" s="260">
        <v>155</v>
      </c>
    </row>
    <row r="601" spans="9:42" ht="20.100000000000001" customHeight="1" x14ac:dyDescent="0.25">
      <c r="I601" s="246"/>
      <c r="K601" s="247"/>
      <c r="L601" s="247"/>
      <c r="M601" s="247"/>
      <c r="N601" s="248"/>
      <c r="O601" s="249"/>
      <c r="P601" s="247"/>
      <c r="R601" s="250"/>
      <c r="U601" s="247"/>
      <c r="V601" s="247"/>
      <c r="W601" s="247"/>
      <c r="X601" s="247"/>
      <c r="Y601" s="247"/>
      <c r="Z601" s="247"/>
      <c r="AA601" s="250"/>
      <c r="AH601" s="258">
        <f t="shared" si="96"/>
        <v>13</v>
      </c>
      <c r="AI601" s="258">
        <f t="shared" si="97"/>
        <v>325</v>
      </c>
      <c r="AJ601" s="259" t="str">
        <f t="shared" si="98"/>
        <v>4/0</v>
      </c>
      <c r="AK601" s="260">
        <f t="shared" si="99"/>
        <v>103.2</v>
      </c>
      <c r="AL601" s="226"/>
      <c r="AM601" s="258">
        <v>13</v>
      </c>
      <c r="AN601" s="258">
        <v>325</v>
      </c>
      <c r="AO601" s="262" t="s">
        <v>179</v>
      </c>
      <c r="AP601" s="260">
        <v>172</v>
      </c>
    </row>
    <row r="602" spans="9:42" ht="20.100000000000001" customHeight="1" x14ac:dyDescent="0.25">
      <c r="I602" s="246"/>
      <c r="K602" s="247"/>
      <c r="L602" s="247"/>
      <c r="M602" s="247"/>
      <c r="N602" s="248"/>
      <c r="O602" s="249"/>
      <c r="P602" s="247"/>
      <c r="R602" s="250"/>
      <c r="U602" s="247"/>
      <c r="V602" s="247"/>
      <c r="W602" s="247"/>
      <c r="X602" s="247"/>
      <c r="Y602" s="247"/>
      <c r="Z602" s="247"/>
      <c r="AA602" s="250"/>
      <c r="AH602" s="258">
        <f t="shared" si="96"/>
        <v>14</v>
      </c>
      <c r="AI602" s="258">
        <f t="shared" si="97"/>
        <v>325</v>
      </c>
      <c r="AJ602" s="259" t="str">
        <f t="shared" si="98"/>
        <v>4/0</v>
      </c>
      <c r="AK602" s="260">
        <f t="shared" si="99"/>
        <v>112.8</v>
      </c>
      <c r="AL602" s="226"/>
      <c r="AM602" s="258">
        <v>14</v>
      </c>
      <c r="AN602" s="258">
        <v>325</v>
      </c>
      <c r="AO602" s="262" t="s">
        <v>179</v>
      </c>
      <c r="AP602" s="260">
        <v>188</v>
      </c>
    </row>
    <row r="603" spans="9:42" ht="20.100000000000001" customHeight="1" x14ac:dyDescent="0.25">
      <c r="I603" s="246"/>
      <c r="K603" s="247"/>
      <c r="L603" s="247"/>
      <c r="M603" s="247"/>
      <c r="N603" s="248"/>
      <c r="O603" s="249"/>
      <c r="P603" s="247"/>
      <c r="R603" s="250"/>
      <c r="U603" s="247"/>
      <c r="V603" s="247"/>
      <c r="W603" s="247"/>
      <c r="X603" s="247"/>
      <c r="Y603" s="247"/>
      <c r="Z603" s="247"/>
      <c r="AA603" s="250"/>
      <c r="AH603" s="258">
        <f t="shared" si="96"/>
        <v>15</v>
      </c>
      <c r="AI603" s="258">
        <f t="shared" si="97"/>
        <v>325</v>
      </c>
      <c r="AJ603" s="259" t="str">
        <f t="shared" si="98"/>
        <v>4/0</v>
      </c>
      <c r="AK603" s="260">
        <f t="shared" si="99"/>
        <v>122.39999999999999</v>
      </c>
      <c r="AL603" s="226"/>
      <c r="AM603" s="258">
        <v>15</v>
      </c>
      <c r="AN603" s="258">
        <v>325</v>
      </c>
      <c r="AO603" s="262" t="s">
        <v>179</v>
      </c>
      <c r="AP603" s="260">
        <v>204</v>
      </c>
    </row>
    <row r="604" spans="9:42" ht="20.100000000000001" customHeight="1" x14ac:dyDescent="0.25">
      <c r="I604" s="246"/>
      <c r="K604" s="247"/>
      <c r="L604" s="247"/>
      <c r="M604" s="247"/>
      <c r="N604" s="248"/>
      <c r="O604" s="249"/>
      <c r="P604" s="247"/>
      <c r="R604" s="250"/>
      <c r="U604" s="247"/>
      <c r="V604" s="247"/>
      <c r="W604" s="247"/>
      <c r="X604" s="247"/>
      <c r="Y604" s="247"/>
      <c r="Z604" s="247"/>
      <c r="AA604" s="250"/>
      <c r="AH604" s="258">
        <f t="shared" si="96"/>
        <v>16</v>
      </c>
      <c r="AI604" s="258">
        <f t="shared" si="97"/>
        <v>325</v>
      </c>
      <c r="AJ604" s="259" t="str">
        <f t="shared" si="98"/>
        <v>4/0</v>
      </c>
      <c r="AK604" s="260">
        <f t="shared" si="99"/>
        <v>132.6</v>
      </c>
      <c r="AL604" s="226"/>
      <c r="AM604" s="258">
        <v>16</v>
      </c>
      <c r="AN604" s="258">
        <v>325</v>
      </c>
      <c r="AO604" s="262" t="s">
        <v>179</v>
      </c>
      <c r="AP604" s="260">
        <v>221</v>
      </c>
    </row>
    <row r="605" spans="9:42" ht="20.100000000000001" customHeight="1" x14ac:dyDescent="0.25">
      <c r="AA605" s="250"/>
      <c r="AH605" s="258">
        <f t="shared" si="96"/>
        <v>17</v>
      </c>
      <c r="AI605" s="258">
        <f t="shared" si="97"/>
        <v>325</v>
      </c>
      <c r="AJ605" s="259" t="str">
        <f t="shared" si="98"/>
        <v>4/0</v>
      </c>
      <c r="AK605" s="260">
        <f t="shared" si="99"/>
        <v>142.19999999999999</v>
      </c>
      <c r="AL605" s="226"/>
      <c r="AM605" s="258">
        <v>17</v>
      </c>
      <c r="AN605" s="258">
        <v>325</v>
      </c>
      <c r="AO605" s="262" t="s">
        <v>179</v>
      </c>
      <c r="AP605" s="260">
        <v>237</v>
      </c>
    </row>
    <row r="606" spans="9:42" ht="20.100000000000001" customHeight="1" x14ac:dyDescent="0.25">
      <c r="AH606" s="258">
        <f t="shared" si="96"/>
        <v>18</v>
      </c>
      <c r="AI606" s="258">
        <f t="shared" si="97"/>
        <v>325</v>
      </c>
      <c r="AJ606" s="259" t="str">
        <f t="shared" si="98"/>
        <v>4/0</v>
      </c>
      <c r="AK606" s="260">
        <f t="shared" si="99"/>
        <v>152.4</v>
      </c>
      <c r="AL606" s="226"/>
      <c r="AM606" s="258">
        <v>18</v>
      </c>
      <c r="AN606" s="258">
        <v>325</v>
      </c>
      <c r="AO606" s="262" t="s">
        <v>179</v>
      </c>
      <c r="AP606" s="260">
        <v>254</v>
      </c>
    </row>
    <row r="607" spans="9:42" ht="20.100000000000001" customHeight="1" x14ac:dyDescent="0.25">
      <c r="AH607" s="258">
        <f t="shared" si="96"/>
        <v>19</v>
      </c>
      <c r="AI607" s="258">
        <f t="shared" si="97"/>
        <v>325</v>
      </c>
      <c r="AJ607" s="259" t="str">
        <f t="shared" si="98"/>
        <v>4/1</v>
      </c>
      <c r="AK607" s="260">
        <f t="shared" si="99"/>
        <v>121.68</v>
      </c>
      <c r="AL607" s="226"/>
      <c r="AM607" s="258">
        <v>19</v>
      </c>
      <c r="AN607" s="258">
        <v>325</v>
      </c>
      <c r="AO607" s="262" t="s">
        <v>250</v>
      </c>
      <c r="AP607" s="260">
        <v>202.8</v>
      </c>
    </row>
    <row r="608" spans="9:42" ht="20.100000000000001" customHeight="1" x14ac:dyDescent="0.25">
      <c r="AH608" s="258">
        <f t="shared" si="96"/>
        <v>20</v>
      </c>
      <c r="AI608" s="258">
        <f t="shared" si="97"/>
        <v>325</v>
      </c>
      <c r="AJ608" s="259" t="str">
        <f t="shared" si="98"/>
        <v>4/1</v>
      </c>
      <c r="AK608" s="260">
        <f t="shared" si="99"/>
        <v>131.88</v>
      </c>
      <c r="AL608" s="226"/>
      <c r="AM608" s="258">
        <v>20</v>
      </c>
      <c r="AN608" s="258">
        <v>325</v>
      </c>
      <c r="AO608" s="262" t="s">
        <v>250</v>
      </c>
      <c r="AP608" s="260">
        <v>219.8</v>
      </c>
    </row>
    <row r="609" spans="34:42" ht="20.100000000000001" customHeight="1" x14ac:dyDescent="0.25">
      <c r="AH609" s="258">
        <f t="shared" si="96"/>
        <v>21</v>
      </c>
      <c r="AI609" s="258">
        <f t="shared" si="97"/>
        <v>325</v>
      </c>
      <c r="AJ609" s="259" t="str">
        <f t="shared" si="98"/>
        <v>4/1</v>
      </c>
      <c r="AK609" s="260">
        <f t="shared" si="99"/>
        <v>142.79999999999998</v>
      </c>
      <c r="AL609" s="226"/>
      <c r="AM609" s="258">
        <v>21</v>
      </c>
      <c r="AN609" s="258">
        <v>325</v>
      </c>
      <c r="AO609" s="262" t="s">
        <v>250</v>
      </c>
      <c r="AP609" s="260">
        <v>238</v>
      </c>
    </row>
    <row r="610" spans="34:42" ht="20.100000000000001" customHeight="1" x14ac:dyDescent="0.25">
      <c r="AH610" s="258">
        <f t="shared" si="96"/>
        <v>22</v>
      </c>
      <c r="AI610" s="258">
        <f t="shared" si="97"/>
        <v>325</v>
      </c>
      <c r="AJ610" s="259" t="str">
        <f t="shared" si="98"/>
        <v>4/1</v>
      </c>
      <c r="AK610" s="260">
        <f t="shared" si="99"/>
        <v>153</v>
      </c>
      <c r="AL610" s="226"/>
      <c r="AM610" s="258">
        <v>22</v>
      </c>
      <c r="AN610" s="258">
        <v>325</v>
      </c>
      <c r="AO610" s="262" t="s">
        <v>250</v>
      </c>
      <c r="AP610" s="260">
        <v>255</v>
      </c>
    </row>
    <row r="611" spans="34:42" ht="20.100000000000001" customHeight="1" x14ac:dyDescent="0.25">
      <c r="AH611" s="258">
        <f t="shared" si="96"/>
        <v>23</v>
      </c>
      <c r="AI611" s="258">
        <f t="shared" si="97"/>
        <v>325</v>
      </c>
      <c r="AJ611" s="259" t="str">
        <f t="shared" si="98"/>
        <v>4/1</v>
      </c>
      <c r="AK611" s="260">
        <f t="shared" si="99"/>
        <v>162.6</v>
      </c>
      <c r="AL611" s="226"/>
      <c r="AM611" s="258">
        <v>23</v>
      </c>
      <c r="AN611" s="258">
        <v>325</v>
      </c>
      <c r="AO611" s="262" t="s">
        <v>250</v>
      </c>
      <c r="AP611" s="260">
        <v>271</v>
      </c>
    </row>
    <row r="612" spans="34:42" ht="20.100000000000001" customHeight="1" x14ac:dyDescent="0.25">
      <c r="AH612" s="258">
        <f t="shared" si="96"/>
        <v>24</v>
      </c>
      <c r="AI612" s="258">
        <f t="shared" si="97"/>
        <v>325</v>
      </c>
      <c r="AJ612" s="259" t="str">
        <f t="shared" si="98"/>
        <v>3/0</v>
      </c>
      <c r="AK612" s="260">
        <f t="shared" si="99"/>
        <v>159</v>
      </c>
      <c r="AL612" s="226"/>
      <c r="AM612" s="258">
        <v>24</v>
      </c>
      <c r="AN612" s="258">
        <v>325</v>
      </c>
      <c r="AO612" s="262" t="s">
        <v>252</v>
      </c>
      <c r="AP612" s="260">
        <v>265</v>
      </c>
    </row>
    <row r="613" spans="34:42" ht="20.100000000000001" customHeight="1" x14ac:dyDescent="0.25">
      <c r="AH613" s="258">
        <f t="shared" si="96"/>
        <v>25</v>
      </c>
      <c r="AI613" s="258">
        <f t="shared" si="97"/>
        <v>325</v>
      </c>
      <c r="AJ613" s="259" t="str">
        <f t="shared" si="98"/>
        <v>3/0</v>
      </c>
      <c r="AK613" s="260">
        <f t="shared" si="99"/>
        <v>166.2</v>
      </c>
      <c r="AL613" s="226"/>
      <c r="AM613" s="258">
        <v>25</v>
      </c>
      <c r="AN613" s="258">
        <v>325</v>
      </c>
      <c r="AO613" s="262" t="s">
        <v>252</v>
      </c>
      <c r="AP613" s="260">
        <v>277</v>
      </c>
    </row>
    <row r="614" spans="34:42" ht="20.100000000000001" customHeight="1" x14ac:dyDescent="0.25">
      <c r="AH614" s="258">
        <f t="shared" si="96"/>
        <v>26</v>
      </c>
      <c r="AI614" s="258">
        <f t="shared" si="97"/>
        <v>325</v>
      </c>
      <c r="AJ614" s="259" t="str">
        <f t="shared" si="98"/>
        <v>3/0</v>
      </c>
      <c r="AK614" s="260">
        <f t="shared" si="99"/>
        <v>174</v>
      </c>
      <c r="AL614" s="226"/>
      <c r="AM614" s="258">
        <v>26</v>
      </c>
      <c r="AN614" s="258">
        <v>325</v>
      </c>
      <c r="AO614" s="262" t="s">
        <v>252</v>
      </c>
      <c r="AP614" s="260">
        <v>290</v>
      </c>
    </row>
    <row r="615" spans="34:42" ht="20.100000000000001" customHeight="1" x14ac:dyDescent="0.25">
      <c r="AH615" s="258">
        <f t="shared" si="96"/>
        <v>27</v>
      </c>
      <c r="AI615" s="258">
        <f t="shared" si="97"/>
        <v>325</v>
      </c>
      <c r="AJ615" s="259" t="str">
        <f t="shared" si="98"/>
        <v>3/1</v>
      </c>
      <c r="AK615" s="260">
        <f t="shared" si="99"/>
        <v>145.01999999999998</v>
      </c>
      <c r="AL615" s="226"/>
      <c r="AM615" s="258">
        <v>27</v>
      </c>
      <c r="AN615" s="258">
        <v>325</v>
      </c>
      <c r="AO615" s="262" t="s">
        <v>254</v>
      </c>
      <c r="AP615" s="260">
        <v>241.7</v>
      </c>
    </row>
    <row r="616" spans="34:42" ht="20.100000000000001" customHeight="1" x14ac:dyDescent="0.25">
      <c r="AH616" s="258">
        <f t="shared" si="96"/>
        <v>28</v>
      </c>
      <c r="AI616" s="258">
        <f t="shared" si="97"/>
        <v>325</v>
      </c>
      <c r="AJ616" s="259" t="str">
        <f t="shared" si="98"/>
        <v>3/1</v>
      </c>
      <c r="AK616" s="260">
        <f t="shared" si="99"/>
        <v>154.01999999999998</v>
      </c>
      <c r="AL616" s="226"/>
      <c r="AM616" s="258">
        <v>28</v>
      </c>
      <c r="AN616" s="258">
        <v>325</v>
      </c>
      <c r="AO616" s="262" t="s">
        <v>254</v>
      </c>
      <c r="AP616" s="260">
        <v>256.7</v>
      </c>
    </row>
    <row r="617" spans="34:42" ht="20.100000000000001" customHeight="1" x14ac:dyDescent="0.25">
      <c r="AH617" s="258">
        <f t="shared" si="96"/>
        <v>29</v>
      </c>
      <c r="AI617" s="258">
        <f t="shared" si="97"/>
        <v>325</v>
      </c>
      <c r="AJ617" s="259" t="str">
        <f t="shared" si="98"/>
        <v>3/1</v>
      </c>
      <c r="AK617" s="260">
        <f t="shared" si="99"/>
        <v>166.79999999999998</v>
      </c>
      <c r="AL617" s="226"/>
      <c r="AM617" s="258">
        <v>29</v>
      </c>
      <c r="AN617" s="258">
        <v>325</v>
      </c>
      <c r="AO617" s="262" t="s">
        <v>254</v>
      </c>
      <c r="AP617" s="260">
        <v>278</v>
      </c>
    </row>
    <row r="618" spans="34:42" ht="20.100000000000001" customHeight="1" x14ac:dyDescent="0.25">
      <c r="AH618" s="258">
        <f t="shared" si="96"/>
        <v>30</v>
      </c>
      <c r="AI618" s="258">
        <f t="shared" si="97"/>
        <v>325</v>
      </c>
      <c r="AJ618" s="259" t="str">
        <f t="shared" si="98"/>
        <v>3/1</v>
      </c>
      <c r="AK618" s="260">
        <f t="shared" si="99"/>
        <v>174.6</v>
      </c>
      <c r="AL618" s="226"/>
      <c r="AM618" s="258">
        <v>30</v>
      </c>
      <c r="AN618" s="258">
        <v>325</v>
      </c>
      <c r="AO618" s="262" t="s">
        <v>254</v>
      </c>
      <c r="AP618" s="260">
        <v>291</v>
      </c>
    </row>
    <row r="619" spans="34:42" ht="20.100000000000001" customHeight="1" x14ac:dyDescent="0.25">
      <c r="AH619" s="258">
        <f t="shared" si="96"/>
        <v>31</v>
      </c>
      <c r="AI619" s="258">
        <f t="shared" si="97"/>
        <v>325</v>
      </c>
      <c r="AJ619" s="259" t="str">
        <f t="shared" si="98"/>
        <v>3/1</v>
      </c>
      <c r="AK619" s="260">
        <f t="shared" si="99"/>
        <v>181.79999999999998</v>
      </c>
      <c r="AL619" s="226"/>
      <c r="AM619" s="258">
        <v>31</v>
      </c>
      <c r="AN619" s="258">
        <v>325</v>
      </c>
      <c r="AO619" s="262" t="s">
        <v>254</v>
      </c>
      <c r="AP619" s="260">
        <v>303</v>
      </c>
    </row>
    <row r="620" spans="34:42" ht="20.100000000000001" customHeight="1" x14ac:dyDescent="0.25">
      <c r="AH620" s="258">
        <f t="shared" si="96"/>
        <v>32</v>
      </c>
      <c r="AI620" s="258">
        <f t="shared" si="97"/>
        <v>325</v>
      </c>
      <c r="AJ620" s="259" t="str">
        <f t="shared" si="98"/>
        <v>3/2</v>
      </c>
      <c r="AK620" s="260">
        <f t="shared" si="99"/>
        <v>152.58000000000001</v>
      </c>
      <c r="AL620" s="226"/>
      <c r="AM620" s="258">
        <v>32</v>
      </c>
      <c r="AN620" s="258">
        <v>325</v>
      </c>
      <c r="AO620" s="262" t="s">
        <v>255</v>
      </c>
      <c r="AP620" s="260">
        <v>254.3</v>
      </c>
    </row>
    <row r="621" spans="34:42" ht="20.100000000000001" customHeight="1" x14ac:dyDescent="0.25">
      <c r="AH621" s="258">
        <f t="shared" si="96"/>
        <v>33</v>
      </c>
      <c r="AI621" s="258">
        <f t="shared" si="97"/>
        <v>325</v>
      </c>
      <c r="AJ621" s="259" t="str">
        <f t="shared" si="98"/>
        <v>3/2</v>
      </c>
      <c r="AK621" s="260">
        <f t="shared" si="99"/>
        <v>161.58000000000001</v>
      </c>
      <c r="AL621" s="226"/>
      <c r="AM621" s="258">
        <v>33</v>
      </c>
      <c r="AN621" s="258">
        <v>325</v>
      </c>
      <c r="AO621" s="262" t="s">
        <v>255</v>
      </c>
      <c r="AP621" s="260">
        <v>269.3</v>
      </c>
    </row>
    <row r="622" spans="34:42" ht="20.100000000000001" customHeight="1" x14ac:dyDescent="0.25">
      <c r="AH622" s="258">
        <f t="shared" si="96"/>
        <v>34</v>
      </c>
      <c r="AI622" s="258">
        <f t="shared" si="97"/>
        <v>325</v>
      </c>
      <c r="AJ622" s="259" t="str">
        <f t="shared" si="98"/>
        <v>3/2</v>
      </c>
      <c r="AK622" s="260">
        <f t="shared" si="99"/>
        <v>170.51999999999998</v>
      </c>
      <c r="AL622" s="226"/>
      <c r="AM622" s="258">
        <v>34</v>
      </c>
      <c r="AN622" s="258">
        <v>325</v>
      </c>
      <c r="AO622" s="262" t="s">
        <v>255</v>
      </c>
      <c r="AP622" s="260">
        <v>284.2</v>
      </c>
    </row>
    <row r="623" spans="34:42" ht="20.100000000000001" customHeight="1" x14ac:dyDescent="0.25">
      <c r="AH623" s="258">
        <f t="shared" si="96"/>
        <v>35</v>
      </c>
      <c r="AI623" s="258">
        <f t="shared" si="97"/>
        <v>325</v>
      </c>
      <c r="AJ623" s="259" t="str">
        <f t="shared" si="98"/>
        <v>3/2</v>
      </c>
      <c r="AK623" s="260">
        <f t="shared" si="99"/>
        <v>182.4</v>
      </c>
      <c r="AL623" s="226"/>
      <c r="AM623" s="258">
        <v>35</v>
      </c>
      <c r="AN623" s="258">
        <v>325</v>
      </c>
      <c r="AO623" s="262" t="s">
        <v>255</v>
      </c>
      <c r="AP623" s="260">
        <v>304</v>
      </c>
    </row>
    <row r="624" spans="34:42" ht="20.100000000000001" customHeight="1" x14ac:dyDescent="0.25">
      <c r="AH624" s="258">
        <f t="shared" si="96"/>
        <v>36</v>
      </c>
      <c r="AI624" s="258">
        <f t="shared" si="97"/>
        <v>325</v>
      </c>
      <c r="AJ624" s="259" t="str">
        <f t="shared" si="98"/>
        <v>3/2</v>
      </c>
      <c r="AK624" s="260">
        <f t="shared" si="99"/>
        <v>190.2</v>
      </c>
      <c r="AL624" s="226"/>
      <c r="AM624" s="258">
        <v>36</v>
      </c>
      <c r="AN624" s="258">
        <v>325</v>
      </c>
      <c r="AO624" s="262" t="s">
        <v>255</v>
      </c>
      <c r="AP624" s="260">
        <v>317</v>
      </c>
    </row>
    <row r="625" spans="34:42" ht="20.100000000000001" customHeight="1" x14ac:dyDescent="0.25">
      <c r="AH625" s="258">
        <f t="shared" si="96"/>
        <v>37</v>
      </c>
      <c r="AI625" s="258">
        <f t="shared" si="97"/>
        <v>325</v>
      </c>
      <c r="AJ625" s="259" t="str">
        <f t="shared" si="98"/>
        <v>3/2</v>
      </c>
      <c r="AK625" s="260">
        <f t="shared" si="99"/>
        <v>198</v>
      </c>
      <c r="AL625" s="226"/>
      <c r="AM625" s="258">
        <v>37</v>
      </c>
      <c r="AN625" s="258">
        <v>325</v>
      </c>
      <c r="AO625" s="262" t="s">
        <v>255</v>
      </c>
      <c r="AP625" s="260">
        <v>330</v>
      </c>
    </row>
    <row r="626" spans="34:42" ht="20.100000000000001" customHeight="1" x14ac:dyDescent="0.25">
      <c r="AH626" s="258">
        <f t="shared" si="96"/>
        <v>38</v>
      </c>
      <c r="AI626" s="258">
        <f t="shared" si="97"/>
        <v>325</v>
      </c>
      <c r="AJ626" s="259" t="str">
        <f t="shared" si="98"/>
        <v>2/0</v>
      </c>
      <c r="AK626" s="260">
        <f t="shared" si="99"/>
        <v>179.51999999999998</v>
      </c>
      <c r="AL626" s="226"/>
      <c r="AM626" s="258">
        <v>38</v>
      </c>
      <c r="AN626" s="258">
        <v>325</v>
      </c>
      <c r="AO626" s="262" t="s">
        <v>253</v>
      </c>
      <c r="AP626" s="260">
        <v>299.2</v>
      </c>
    </row>
    <row r="627" spans="34:42" ht="20.100000000000001" customHeight="1" x14ac:dyDescent="0.25">
      <c r="AH627" s="258">
        <f t="shared" si="96"/>
        <v>39</v>
      </c>
      <c r="AI627" s="258">
        <f t="shared" si="97"/>
        <v>325</v>
      </c>
      <c r="AJ627" s="259" t="str">
        <f t="shared" si="98"/>
        <v>2/0</v>
      </c>
      <c r="AK627" s="260">
        <f t="shared" si="99"/>
        <v>185.33999999999997</v>
      </c>
      <c r="AL627" s="226"/>
      <c r="AM627" s="258">
        <v>39</v>
      </c>
      <c r="AN627" s="258">
        <v>325</v>
      </c>
      <c r="AO627" s="262" t="s">
        <v>253</v>
      </c>
      <c r="AP627" s="260">
        <v>308.89999999999998</v>
      </c>
    </row>
    <row r="628" spans="34:42" ht="20.100000000000001" customHeight="1" x14ac:dyDescent="0.25">
      <c r="AH628" s="258">
        <f t="shared" si="96"/>
        <v>40</v>
      </c>
      <c r="AI628" s="258">
        <f t="shared" si="97"/>
        <v>325</v>
      </c>
      <c r="AJ628" s="259" t="str">
        <f t="shared" si="98"/>
        <v>2/0</v>
      </c>
      <c r="AK628" s="260">
        <f t="shared" si="99"/>
        <v>191.16</v>
      </c>
      <c r="AL628" s="226"/>
      <c r="AM628" s="258">
        <v>40</v>
      </c>
      <c r="AN628" s="258">
        <v>325</v>
      </c>
      <c r="AO628" s="262" t="s">
        <v>253</v>
      </c>
      <c r="AP628" s="260">
        <v>318.60000000000002</v>
      </c>
    </row>
    <row r="629" spans="34:42" ht="20.100000000000001" customHeight="1" x14ac:dyDescent="0.25">
      <c r="AH629" s="258">
        <f t="shared" si="96"/>
        <v>41</v>
      </c>
      <c r="AI629" s="258">
        <f t="shared" si="97"/>
        <v>325</v>
      </c>
      <c r="AJ629" s="259" t="str">
        <f t="shared" si="98"/>
        <v>2/0</v>
      </c>
      <c r="AK629" s="260">
        <f t="shared" si="99"/>
        <v>200.4</v>
      </c>
      <c r="AL629" s="226"/>
      <c r="AM629" s="258">
        <v>41</v>
      </c>
      <c r="AN629" s="258">
        <v>325</v>
      </c>
      <c r="AO629" s="262" t="s">
        <v>253</v>
      </c>
      <c r="AP629" s="260">
        <v>334</v>
      </c>
    </row>
    <row r="630" spans="34:42" ht="20.100000000000001" customHeight="1" x14ac:dyDescent="0.25">
      <c r="AH630" s="258">
        <f t="shared" si="96"/>
        <v>42</v>
      </c>
      <c r="AI630" s="258">
        <f t="shared" si="97"/>
        <v>325</v>
      </c>
      <c r="AJ630" s="259" t="str">
        <f t="shared" si="98"/>
        <v>2/0</v>
      </c>
      <c r="AK630" s="260">
        <f t="shared" si="99"/>
        <v>205.79999999999998</v>
      </c>
      <c r="AL630" s="226"/>
      <c r="AM630" s="258">
        <v>42</v>
      </c>
      <c r="AN630" s="258">
        <v>325</v>
      </c>
      <c r="AO630" s="262" t="s">
        <v>253</v>
      </c>
      <c r="AP630" s="260">
        <v>343</v>
      </c>
    </row>
    <row r="631" spans="34:42" ht="20.100000000000001" customHeight="1" x14ac:dyDescent="0.25">
      <c r="AH631" s="258">
        <f t="shared" si="96"/>
        <v>43</v>
      </c>
      <c r="AI631" s="258">
        <f t="shared" si="97"/>
        <v>325</v>
      </c>
      <c r="AJ631" s="259" t="str">
        <f t="shared" si="98"/>
        <v>2/0</v>
      </c>
      <c r="AK631" s="260">
        <f t="shared" si="99"/>
        <v>210.6</v>
      </c>
      <c r="AL631" s="226"/>
      <c r="AM631" s="258">
        <v>43</v>
      </c>
      <c r="AN631" s="258">
        <v>325</v>
      </c>
      <c r="AO631" s="262" t="s">
        <v>253</v>
      </c>
      <c r="AP631" s="260">
        <v>351</v>
      </c>
    </row>
    <row r="632" spans="34:42" ht="20.100000000000001" customHeight="1" x14ac:dyDescent="0.25">
      <c r="AH632" s="258">
        <f t="shared" si="96"/>
        <v>44</v>
      </c>
      <c r="AI632" s="258">
        <f t="shared" si="97"/>
        <v>325</v>
      </c>
      <c r="AJ632" s="259" t="str">
        <f t="shared" si="98"/>
        <v>2/0</v>
      </c>
      <c r="AK632" s="260">
        <f t="shared" si="99"/>
        <v>216</v>
      </c>
      <c r="AL632" s="226"/>
      <c r="AM632" s="258">
        <v>44</v>
      </c>
      <c r="AN632" s="258">
        <v>325</v>
      </c>
      <c r="AO632" s="262" t="s">
        <v>253</v>
      </c>
      <c r="AP632" s="260">
        <v>360</v>
      </c>
    </row>
    <row r="633" spans="34:42" ht="20.100000000000001" customHeight="1" x14ac:dyDescent="0.25">
      <c r="AH633" s="258">
        <f t="shared" si="96"/>
        <v>45</v>
      </c>
      <c r="AI633" s="258">
        <f t="shared" si="97"/>
        <v>325</v>
      </c>
      <c r="AJ633" s="259" t="str">
        <f t="shared" si="98"/>
        <v>2/0</v>
      </c>
      <c r="AK633" s="260">
        <f t="shared" si="99"/>
        <v>221.4</v>
      </c>
      <c r="AL633" s="226"/>
      <c r="AM633" s="258">
        <v>45</v>
      </c>
      <c r="AN633" s="258">
        <v>325</v>
      </c>
      <c r="AO633" s="262" t="s">
        <v>253</v>
      </c>
      <c r="AP633" s="260">
        <v>369</v>
      </c>
    </row>
    <row r="634" spans="34:42" ht="20.100000000000001" customHeight="1" x14ac:dyDescent="0.25">
      <c r="AH634" s="258">
        <f t="shared" si="96"/>
        <v>46</v>
      </c>
      <c r="AI634" s="258">
        <f t="shared" si="97"/>
        <v>325</v>
      </c>
      <c r="AJ634" s="259" t="str">
        <f t="shared" si="98"/>
        <v>2/0</v>
      </c>
      <c r="AK634" s="260">
        <f t="shared" si="99"/>
        <v>226.79999999999998</v>
      </c>
      <c r="AL634" s="226"/>
      <c r="AM634" s="258">
        <v>46</v>
      </c>
      <c r="AN634" s="258">
        <v>325</v>
      </c>
      <c r="AO634" s="262" t="s">
        <v>253</v>
      </c>
      <c r="AP634" s="260">
        <v>378</v>
      </c>
    </row>
    <row r="635" spans="34:42" ht="20.100000000000001" customHeight="1" x14ac:dyDescent="0.25">
      <c r="AH635" s="258">
        <f t="shared" si="96"/>
        <v>47</v>
      </c>
      <c r="AI635" s="258">
        <f t="shared" si="97"/>
        <v>325</v>
      </c>
      <c r="AJ635" s="259" t="str">
        <f t="shared" si="98"/>
        <v>2/0</v>
      </c>
      <c r="AK635" s="260">
        <f t="shared" si="99"/>
        <v>232.2</v>
      </c>
      <c r="AL635" s="226"/>
      <c r="AM635" s="258">
        <v>47</v>
      </c>
      <c r="AN635" s="258">
        <v>325</v>
      </c>
      <c r="AO635" s="262" t="s">
        <v>253</v>
      </c>
      <c r="AP635" s="260">
        <v>387</v>
      </c>
    </row>
    <row r="636" spans="34:42" ht="20.100000000000001" customHeight="1" x14ac:dyDescent="0.25">
      <c r="AH636" s="258">
        <f t="shared" si="96"/>
        <v>48</v>
      </c>
      <c r="AI636" s="258">
        <f t="shared" si="97"/>
        <v>325</v>
      </c>
      <c r="AJ636" s="259" t="str">
        <f t="shared" si="98"/>
        <v>2/4</v>
      </c>
      <c r="AK636" s="260">
        <f t="shared" si="99"/>
        <v>140.63999999999999</v>
      </c>
      <c r="AL636" s="226"/>
      <c r="AM636" s="258">
        <v>48</v>
      </c>
      <c r="AN636" s="258">
        <v>325</v>
      </c>
      <c r="AO636" s="262" t="s">
        <v>257</v>
      </c>
      <c r="AP636" s="260">
        <v>234.4</v>
      </c>
    </row>
    <row r="637" spans="34:42" ht="20.100000000000001" customHeight="1" x14ac:dyDescent="0.25">
      <c r="AH637" s="258">
        <f t="shared" si="96"/>
        <v>49</v>
      </c>
      <c r="AI637" s="258">
        <f t="shared" si="97"/>
        <v>325</v>
      </c>
      <c r="AJ637" s="259" t="str">
        <f t="shared" si="98"/>
        <v>2/4</v>
      </c>
      <c r="AK637" s="260">
        <f t="shared" si="99"/>
        <v>146.45999999999998</v>
      </c>
      <c r="AL637" s="226"/>
      <c r="AM637" s="258">
        <v>49</v>
      </c>
      <c r="AN637" s="258">
        <v>325</v>
      </c>
      <c r="AO637" s="262" t="s">
        <v>257</v>
      </c>
      <c r="AP637" s="260">
        <v>244.1</v>
      </c>
    </row>
    <row r="638" spans="34:42" ht="20.100000000000001" customHeight="1" x14ac:dyDescent="0.25">
      <c r="AH638" s="258">
        <f t="shared" si="96"/>
        <v>50</v>
      </c>
      <c r="AI638" s="258">
        <f t="shared" si="97"/>
        <v>325</v>
      </c>
      <c r="AJ638" s="259" t="str">
        <f t="shared" si="98"/>
        <v>2/4</v>
      </c>
      <c r="AK638" s="260">
        <f t="shared" si="99"/>
        <v>152.28</v>
      </c>
      <c r="AL638" s="226"/>
      <c r="AM638" s="258">
        <v>50</v>
      </c>
      <c r="AN638" s="258">
        <v>325</v>
      </c>
      <c r="AO638" s="262" t="s">
        <v>257</v>
      </c>
      <c r="AP638" s="260">
        <v>253.8</v>
      </c>
    </row>
    <row r="639" spans="34:42" ht="20.100000000000001" customHeight="1" x14ac:dyDescent="0.25">
      <c r="AH639" s="258">
        <f t="shared" si="96"/>
        <v>51</v>
      </c>
      <c r="AI639" s="258">
        <f t="shared" si="97"/>
        <v>325</v>
      </c>
      <c r="AJ639" s="259" t="str">
        <f t="shared" si="98"/>
        <v>2/4</v>
      </c>
      <c r="AK639" s="260">
        <f t="shared" si="99"/>
        <v>158.1</v>
      </c>
      <c r="AL639" s="226"/>
      <c r="AM639" s="258">
        <v>51</v>
      </c>
      <c r="AN639" s="258">
        <v>325</v>
      </c>
      <c r="AO639" s="262" t="s">
        <v>257</v>
      </c>
      <c r="AP639" s="260">
        <v>263.5</v>
      </c>
    </row>
    <row r="640" spans="34:42" ht="20.100000000000001" customHeight="1" x14ac:dyDescent="0.25">
      <c r="AH640" s="258">
        <f t="shared" si="96"/>
        <v>52</v>
      </c>
      <c r="AI640" s="258">
        <f t="shared" si="97"/>
        <v>325</v>
      </c>
      <c r="AJ640" s="259" t="str">
        <f t="shared" si="98"/>
        <v>2/4</v>
      </c>
      <c r="AK640" s="260">
        <f t="shared" si="99"/>
        <v>163.92</v>
      </c>
      <c r="AL640" s="226"/>
      <c r="AM640" s="258">
        <v>52</v>
      </c>
      <c r="AN640" s="258">
        <v>325</v>
      </c>
      <c r="AO640" s="262" t="s">
        <v>257</v>
      </c>
      <c r="AP640" s="260">
        <v>273.2</v>
      </c>
    </row>
    <row r="641" spans="34:42" ht="20.100000000000001" customHeight="1" x14ac:dyDescent="0.25">
      <c r="AH641" s="258">
        <f t="shared" si="96"/>
        <v>53</v>
      </c>
      <c r="AI641" s="258">
        <f t="shared" si="97"/>
        <v>325</v>
      </c>
      <c r="AJ641" s="259" t="str">
        <f t="shared" si="98"/>
        <v>2/4</v>
      </c>
      <c r="AK641" s="260">
        <f t="shared" si="99"/>
        <v>169.73999999999998</v>
      </c>
      <c r="AL641" s="226"/>
      <c r="AM641" s="258">
        <v>53</v>
      </c>
      <c r="AN641" s="258">
        <v>325</v>
      </c>
      <c r="AO641" s="262" t="s">
        <v>257</v>
      </c>
      <c r="AP641" s="260">
        <v>282.89999999999998</v>
      </c>
    </row>
    <row r="642" spans="34:42" ht="20.100000000000001" customHeight="1" x14ac:dyDescent="0.25">
      <c r="AH642" s="258">
        <f t="shared" si="96"/>
        <v>54</v>
      </c>
      <c r="AI642" s="258">
        <f t="shared" si="97"/>
        <v>325</v>
      </c>
      <c r="AJ642" s="259" t="str">
        <f t="shared" si="98"/>
        <v>2/4</v>
      </c>
      <c r="AK642" s="260">
        <f t="shared" si="99"/>
        <v>175.56</v>
      </c>
      <c r="AL642" s="226"/>
      <c r="AM642" s="258">
        <v>54</v>
      </c>
      <c r="AN642" s="258">
        <v>325</v>
      </c>
      <c r="AO642" s="262" t="s">
        <v>257</v>
      </c>
      <c r="AP642" s="260">
        <v>292.60000000000002</v>
      </c>
    </row>
    <row r="643" spans="34:42" ht="20.100000000000001" customHeight="1" x14ac:dyDescent="0.25">
      <c r="AH643" s="258">
        <f t="shared" si="96"/>
        <v>55</v>
      </c>
      <c r="AI643" s="258">
        <f t="shared" si="97"/>
        <v>325</v>
      </c>
      <c r="AJ643" s="259" t="str">
        <f t="shared" si="98"/>
        <v>2/4</v>
      </c>
      <c r="AK643" s="260">
        <f t="shared" si="99"/>
        <v>181.38</v>
      </c>
      <c r="AL643" s="226"/>
      <c r="AM643" s="258">
        <v>55</v>
      </c>
      <c r="AN643" s="258">
        <v>325</v>
      </c>
      <c r="AO643" s="262" t="s">
        <v>257</v>
      </c>
      <c r="AP643" s="260">
        <v>302.3</v>
      </c>
    </row>
    <row r="644" spans="34:42" ht="20.100000000000001" customHeight="1" x14ac:dyDescent="0.25">
      <c r="AH644" s="258">
        <f t="shared" si="96"/>
        <v>56</v>
      </c>
      <c r="AI644" s="258">
        <f t="shared" si="97"/>
        <v>325</v>
      </c>
      <c r="AJ644" s="259" t="str">
        <f t="shared" si="98"/>
        <v>2/4</v>
      </c>
      <c r="AK644" s="260">
        <f t="shared" si="99"/>
        <v>187.2</v>
      </c>
      <c r="AL644" s="226"/>
      <c r="AM644" s="258">
        <v>56</v>
      </c>
      <c r="AN644" s="258">
        <v>325</v>
      </c>
      <c r="AO644" s="262" t="s">
        <v>257</v>
      </c>
      <c r="AP644" s="260">
        <v>312</v>
      </c>
    </row>
    <row r="645" spans="34:42" ht="20.100000000000001" customHeight="1" x14ac:dyDescent="0.25">
      <c r="AH645" s="258">
        <f t="shared" si="96"/>
        <v>57</v>
      </c>
      <c r="AI645" s="258">
        <f t="shared" si="97"/>
        <v>325</v>
      </c>
      <c r="AJ645" s="259" t="str">
        <f t="shared" si="98"/>
        <v>2/4</v>
      </c>
      <c r="AK645" s="260">
        <f t="shared" si="99"/>
        <v>193.01999999999998</v>
      </c>
      <c r="AL645" s="226"/>
      <c r="AM645" s="258">
        <v>57</v>
      </c>
      <c r="AN645" s="258">
        <v>325</v>
      </c>
      <c r="AO645" s="262" t="s">
        <v>257</v>
      </c>
      <c r="AP645" s="260">
        <v>321.7</v>
      </c>
    </row>
    <row r="646" spans="34:42" ht="20.100000000000001" customHeight="1" x14ac:dyDescent="0.25">
      <c r="AH646" s="258">
        <f t="shared" si="96"/>
        <v>58</v>
      </c>
      <c r="AI646" s="258">
        <f t="shared" si="97"/>
        <v>325</v>
      </c>
      <c r="AJ646" s="259" t="str">
        <f t="shared" si="98"/>
        <v>2/4</v>
      </c>
      <c r="AK646" s="260">
        <f t="shared" si="99"/>
        <v>198.83999999999997</v>
      </c>
      <c r="AL646" s="226"/>
      <c r="AM646" s="258">
        <v>58</v>
      </c>
      <c r="AN646" s="258">
        <v>325</v>
      </c>
      <c r="AO646" s="262" t="s">
        <v>257</v>
      </c>
      <c r="AP646" s="260">
        <v>331.4</v>
      </c>
    </row>
    <row r="647" spans="34:42" ht="20.100000000000001" customHeight="1" x14ac:dyDescent="0.25">
      <c r="AH647" s="258">
        <f t="shared" si="96"/>
        <v>59</v>
      </c>
      <c r="AI647" s="258">
        <f t="shared" si="97"/>
        <v>325</v>
      </c>
      <c r="AJ647" s="259" t="str">
        <f t="shared" si="98"/>
        <v>2/4</v>
      </c>
      <c r="AK647" s="260">
        <f t="shared" si="99"/>
        <v>204.66</v>
      </c>
      <c r="AL647" s="226"/>
      <c r="AM647" s="258">
        <v>59</v>
      </c>
      <c r="AN647" s="258">
        <v>325</v>
      </c>
      <c r="AO647" s="262" t="s">
        <v>257</v>
      </c>
      <c r="AP647" s="260">
        <v>341.1</v>
      </c>
    </row>
    <row r="648" spans="34:42" ht="20.100000000000001" customHeight="1" x14ac:dyDescent="0.25">
      <c r="AH648" s="258">
        <f t="shared" si="96"/>
        <v>60</v>
      </c>
      <c r="AI648" s="258">
        <f t="shared" si="97"/>
        <v>325</v>
      </c>
      <c r="AJ648" s="259" t="str">
        <f t="shared" si="98"/>
        <v>2/4</v>
      </c>
      <c r="AK648" s="260">
        <f t="shared" si="99"/>
        <v>210.6</v>
      </c>
      <c r="AL648" s="226"/>
      <c r="AM648" s="258">
        <v>60</v>
      </c>
      <c r="AN648" s="258">
        <v>325</v>
      </c>
      <c r="AO648" s="262" t="s">
        <v>257</v>
      </c>
      <c r="AP648" s="260">
        <v>351</v>
      </c>
    </row>
    <row r="649" spans="34:42" ht="20.100000000000001" customHeight="1" x14ac:dyDescent="0.25">
      <c r="AH649" s="258" t="str">
        <f t="shared" ref="AH649:AH680" si="100">AM649</f>
        <v>&gt;&gt;&gt;&gt;&gt;&gt;</v>
      </c>
      <c r="AI649" s="258"/>
      <c r="AJ649" s="259"/>
      <c r="AK649" s="260"/>
      <c r="AL649" s="226"/>
      <c r="AM649" s="258" t="s">
        <v>249</v>
      </c>
      <c r="AN649" s="258"/>
      <c r="AO649" s="262"/>
      <c r="AP649" s="260"/>
    </row>
    <row r="650" spans="34:42" ht="20.100000000000001" customHeight="1" x14ac:dyDescent="0.25">
      <c r="AH650" s="258">
        <f t="shared" si="100"/>
        <v>12</v>
      </c>
      <c r="AI650" s="258">
        <f t="shared" ref="AI650:AI681" si="101">AN650</f>
        <v>350</v>
      </c>
      <c r="AJ650" s="259" t="str">
        <f t="shared" ref="AJ650:AJ681" si="102">AO650</f>
        <v>4/0</v>
      </c>
      <c r="AK650" s="260">
        <f t="shared" ref="AK650:AK681" si="103">(1-$AL$2)*AP650</f>
        <v>84</v>
      </c>
      <c r="AL650" s="226"/>
      <c r="AM650" s="258">
        <v>12</v>
      </c>
      <c r="AN650" s="258">
        <v>350</v>
      </c>
      <c r="AO650" s="262" t="s">
        <v>179</v>
      </c>
      <c r="AP650" s="260">
        <v>140</v>
      </c>
    </row>
    <row r="651" spans="34:42" ht="20.100000000000001" customHeight="1" x14ac:dyDescent="0.25">
      <c r="AH651" s="258">
        <f t="shared" si="100"/>
        <v>13</v>
      </c>
      <c r="AI651" s="258">
        <f t="shared" si="101"/>
        <v>350</v>
      </c>
      <c r="AJ651" s="259" t="str">
        <f t="shared" si="102"/>
        <v>4/0</v>
      </c>
      <c r="AK651" s="260">
        <f t="shared" si="103"/>
        <v>93.6</v>
      </c>
      <c r="AL651" s="226"/>
      <c r="AM651" s="258">
        <v>13</v>
      </c>
      <c r="AN651" s="258">
        <v>350</v>
      </c>
      <c r="AO651" s="262" t="s">
        <v>179</v>
      </c>
      <c r="AP651" s="260">
        <v>156</v>
      </c>
    </row>
    <row r="652" spans="34:42" ht="20.100000000000001" customHeight="1" x14ac:dyDescent="0.25">
      <c r="AH652" s="258">
        <f t="shared" si="100"/>
        <v>14</v>
      </c>
      <c r="AI652" s="258">
        <f t="shared" si="101"/>
        <v>350</v>
      </c>
      <c r="AJ652" s="259" t="str">
        <f t="shared" si="102"/>
        <v>4/0</v>
      </c>
      <c r="AK652" s="260">
        <f t="shared" si="103"/>
        <v>102</v>
      </c>
      <c r="AL652" s="226"/>
      <c r="AM652" s="258">
        <v>14</v>
      </c>
      <c r="AN652" s="258">
        <v>350</v>
      </c>
      <c r="AO652" s="262" t="s">
        <v>179</v>
      </c>
      <c r="AP652" s="260">
        <v>170</v>
      </c>
    </row>
    <row r="653" spans="34:42" ht="20.100000000000001" customHeight="1" x14ac:dyDescent="0.25">
      <c r="AH653" s="258">
        <f t="shared" si="100"/>
        <v>15</v>
      </c>
      <c r="AI653" s="258">
        <f t="shared" si="101"/>
        <v>350</v>
      </c>
      <c r="AJ653" s="259" t="str">
        <f t="shared" si="102"/>
        <v>4/0</v>
      </c>
      <c r="AK653" s="260">
        <f t="shared" si="103"/>
        <v>111.6</v>
      </c>
      <c r="AL653" s="226"/>
      <c r="AM653" s="258">
        <v>15</v>
      </c>
      <c r="AN653" s="258">
        <v>350</v>
      </c>
      <c r="AO653" s="262" t="s">
        <v>179</v>
      </c>
      <c r="AP653" s="260">
        <v>186</v>
      </c>
    </row>
    <row r="654" spans="34:42" ht="20.100000000000001" customHeight="1" x14ac:dyDescent="0.25">
      <c r="AH654" s="258">
        <f t="shared" si="100"/>
        <v>16</v>
      </c>
      <c r="AI654" s="258">
        <f t="shared" si="101"/>
        <v>350</v>
      </c>
      <c r="AJ654" s="259" t="str">
        <f t="shared" si="102"/>
        <v>4/0</v>
      </c>
      <c r="AK654" s="260">
        <f t="shared" si="103"/>
        <v>121.19999999999999</v>
      </c>
      <c r="AL654" s="226"/>
      <c r="AM654" s="258">
        <v>16</v>
      </c>
      <c r="AN654" s="258">
        <v>350</v>
      </c>
      <c r="AO654" s="262" t="s">
        <v>179</v>
      </c>
      <c r="AP654" s="260">
        <v>202</v>
      </c>
    </row>
    <row r="655" spans="34:42" ht="20.100000000000001" customHeight="1" x14ac:dyDescent="0.25">
      <c r="AH655" s="258">
        <f t="shared" si="100"/>
        <v>17</v>
      </c>
      <c r="AI655" s="258">
        <f t="shared" si="101"/>
        <v>350</v>
      </c>
      <c r="AJ655" s="259" t="str">
        <f t="shared" si="102"/>
        <v>4/0</v>
      </c>
      <c r="AK655" s="260">
        <f t="shared" si="103"/>
        <v>130.19999999999999</v>
      </c>
      <c r="AL655" s="226"/>
      <c r="AM655" s="258">
        <v>17</v>
      </c>
      <c r="AN655" s="258">
        <v>350</v>
      </c>
      <c r="AO655" s="262" t="s">
        <v>179</v>
      </c>
      <c r="AP655" s="260">
        <v>217</v>
      </c>
    </row>
    <row r="656" spans="34:42" ht="20.100000000000001" customHeight="1" x14ac:dyDescent="0.25">
      <c r="AH656" s="258">
        <f t="shared" si="100"/>
        <v>18</v>
      </c>
      <c r="AI656" s="258">
        <f t="shared" si="101"/>
        <v>350</v>
      </c>
      <c r="AJ656" s="259" t="str">
        <f t="shared" si="102"/>
        <v>4/0</v>
      </c>
      <c r="AK656" s="260">
        <f t="shared" si="103"/>
        <v>139.79999999999998</v>
      </c>
      <c r="AL656" s="226"/>
      <c r="AM656" s="258">
        <v>18</v>
      </c>
      <c r="AN656" s="258">
        <v>350</v>
      </c>
      <c r="AO656" s="262" t="s">
        <v>179</v>
      </c>
      <c r="AP656" s="260">
        <v>233</v>
      </c>
    </row>
    <row r="657" spans="34:42" ht="20.100000000000001" customHeight="1" x14ac:dyDescent="0.25">
      <c r="AH657" s="258">
        <f t="shared" si="100"/>
        <v>19</v>
      </c>
      <c r="AI657" s="258">
        <f t="shared" si="101"/>
        <v>350</v>
      </c>
      <c r="AJ657" s="259" t="str">
        <f t="shared" si="102"/>
        <v>4/0</v>
      </c>
      <c r="AK657" s="260">
        <f t="shared" si="103"/>
        <v>148.79999999999998</v>
      </c>
      <c r="AL657" s="226"/>
      <c r="AM657" s="258">
        <v>19</v>
      </c>
      <c r="AN657" s="258">
        <v>350</v>
      </c>
      <c r="AO657" s="262" t="s">
        <v>179</v>
      </c>
      <c r="AP657" s="260">
        <v>248</v>
      </c>
    </row>
    <row r="658" spans="34:42" ht="20.100000000000001" customHeight="1" x14ac:dyDescent="0.25">
      <c r="AH658" s="258">
        <f t="shared" si="100"/>
        <v>20</v>
      </c>
      <c r="AI658" s="258">
        <f t="shared" si="101"/>
        <v>350</v>
      </c>
      <c r="AJ658" s="259" t="str">
        <f t="shared" si="102"/>
        <v>4/1</v>
      </c>
      <c r="AK658" s="260">
        <f t="shared" si="103"/>
        <v>116.1</v>
      </c>
      <c r="AL658" s="226"/>
      <c r="AM658" s="258">
        <v>20</v>
      </c>
      <c r="AN658" s="258">
        <v>350</v>
      </c>
      <c r="AO658" s="262" t="s">
        <v>250</v>
      </c>
      <c r="AP658" s="260">
        <v>193.5</v>
      </c>
    </row>
    <row r="659" spans="34:42" ht="20.100000000000001" customHeight="1" x14ac:dyDescent="0.25">
      <c r="AH659" s="258">
        <f t="shared" si="100"/>
        <v>21</v>
      </c>
      <c r="AI659" s="258">
        <f t="shared" si="101"/>
        <v>350</v>
      </c>
      <c r="AJ659" s="259" t="str">
        <f t="shared" si="102"/>
        <v>4/1</v>
      </c>
      <c r="AK659" s="260">
        <f t="shared" si="103"/>
        <v>126.96</v>
      </c>
      <c r="AL659" s="226"/>
      <c r="AM659" s="258">
        <v>21</v>
      </c>
      <c r="AN659" s="258">
        <v>350</v>
      </c>
      <c r="AO659" s="262" t="s">
        <v>250</v>
      </c>
      <c r="AP659" s="260">
        <v>211.6</v>
      </c>
    </row>
    <row r="660" spans="34:42" ht="20.100000000000001" customHeight="1" x14ac:dyDescent="0.25">
      <c r="AH660" s="258">
        <f t="shared" si="100"/>
        <v>22</v>
      </c>
      <c r="AI660" s="258">
        <f t="shared" si="101"/>
        <v>350</v>
      </c>
      <c r="AJ660" s="259" t="str">
        <f t="shared" si="102"/>
        <v>4/1</v>
      </c>
      <c r="AK660" s="260">
        <f t="shared" si="103"/>
        <v>137.82</v>
      </c>
      <c r="AL660" s="226"/>
      <c r="AM660" s="258">
        <v>22</v>
      </c>
      <c r="AN660" s="258">
        <v>350</v>
      </c>
      <c r="AO660" s="262" t="s">
        <v>250</v>
      </c>
      <c r="AP660" s="260">
        <v>229.7</v>
      </c>
    </row>
    <row r="661" spans="34:42" ht="20.100000000000001" customHeight="1" x14ac:dyDescent="0.25">
      <c r="AH661" s="258">
        <f t="shared" si="100"/>
        <v>23</v>
      </c>
      <c r="AI661" s="258">
        <f t="shared" si="101"/>
        <v>350</v>
      </c>
      <c r="AJ661" s="259" t="str">
        <f t="shared" si="102"/>
        <v>4/1</v>
      </c>
      <c r="AK661" s="260">
        <f t="shared" si="103"/>
        <v>148.85999999999999</v>
      </c>
      <c r="AL661" s="226"/>
      <c r="AM661" s="258">
        <v>23</v>
      </c>
      <c r="AN661" s="258">
        <v>350</v>
      </c>
      <c r="AO661" s="262" t="s">
        <v>250</v>
      </c>
      <c r="AP661" s="260">
        <v>248.1</v>
      </c>
    </row>
    <row r="662" spans="34:42" ht="20.100000000000001" customHeight="1" x14ac:dyDescent="0.25">
      <c r="AH662" s="258">
        <f t="shared" si="100"/>
        <v>24</v>
      </c>
      <c r="AI662" s="258">
        <f t="shared" si="101"/>
        <v>350</v>
      </c>
      <c r="AJ662" s="259" t="str">
        <f t="shared" si="102"/>
        <v>4/1</v>
      </c>
      <c r="AK662" s="260">
        <f t="shared" si="103"/>
        <v>160.26000000000002</v>
      </c>
      <c r="AL662" s="226"/>
      <c r="AM662" s="258">
        <v>24</v>
      </c>
      <c r="AN662" s="258">
        <v>350</v>
      </c>
      <c r="AO662" s="262" t="s">
        <v>250</v>
      </c>
      <c r="AP662" s="260">
        <v>267.10000000000002</v>
      </c>
    </row>
    <row r="663" spans="34:42" ht="20.100000000000001" customHeight="1" x14ac:dyDescent="0.25">
      <c r="AH663" s="258">
        <f t="shared" si="100"/>
        <v>25</v>
      </c>
      <c r="AI663" s="258">
        <f t="shared" si="101"/>
        <v>350</v>
      </c>
      <c r="AJ663" s="259" t="str">
        <f t="shared" si="102"/>
        <v>3/0</v>
      </c>
      <c r="AK663" s="260">
        <f t="shared" si="103"/>
        <v>158.4</v>
      </c>
      <c r="AL663" s="226"/>
      <c r="AM663" s="258">
        <v>25</v>
      </c>
      <c r="AN663" s="258">
        <v>350</v>
      </c>
      <c r="AO663" s="262" t="s">
        <v>252</v>
      </c>
      <c r="AP663" s="260">
        <v>264</v>
      </c>
    </row>
    <row r="664" spans="34:42" ht="20.100000000000001" customHeight="1" x14ac:dyDescent="0.25">
      <c r="AH664" s="258">
        <f t="shared" si="100"/>
        <v>26</v>
      </c>
      <c r="AI664" s="258">
        <f t="shared" si="101"/>
        <v>350</v>
      </c>
      <c r="AJ664" s="259" t="str">
        <f t="shared" si="102"/>
        <v>3/0</v>
      </c>
      <c r="AK664" s="260">
        <f t="shared" si="103"/>
        <v>163.19999999999999</v>
      </c>
      <c r="AL664" s="226"/>
      <c r="AM664" s="258">
        <v>26</v>
      </c>
      <c r="AN664" s="258">
        <v>350</v>
      </c>
      <c r="AO664" s="262" t="s">
        <v>252</v>
      </c>
      <c r="AP664" s="260">
        <v>272</v>
      </c>
    </row>
    <row r="665" spans="34:42" ht="20.100000000000001" customHeight="1" x14ac:dyDescent="0.25">
      <c r="AH665" s="258">
        <f t="shared" si="100"/>
        <v>27</v>
      </c>
      <c r="AI665" s="258">
        <f t="shared" si="101"/>
        <v>350</v>
      </c>
      <c r="AJ665" s="259" t="str">
        <f t="shared" si="102"/>
        <v>3/0</v>
      </c>
      <c r="AK665" s="260">
        <f t="shared" si="103"/>
        <v>166.79999999999998</v>
      </c>
      <c r="AL665" s="226"/>
      <c r="AM665" s="258">
        <v>27</v>
      </c>
      <c r="AN665" s="258">
        <v>350</v>
      </c>
      <c r="AO665" s="262" t="s">
        <v>252</v>
      </c>
      <c r="AP665" s="260">
        <v>278</v>
      </c>
    </row>
    <row r="666" spans="34:42" ht="20.100000000000001" customHeight="1" x14ac:dyDescent="0.25">
      <c r="AH666" s="258">
        <f t="shared" si="100"/>
        <v>28</v>
      </c>
      <c r="AI666" s="258">
        <f t="shared" si="101"/>
        <v>350</v>
      </c>
      <c r="AJ666" s="259" t="str">
        <f t="shared" si="102"/>
        <v>3/1</v>
      </c>
      <c r="AK666" s="260">
        <f t="shared" si="103"/>
        <v>141.9</v>
      </c>
      <c r="AL666" s="226"/>
      <c r="AM666" s="258">
        <v>28</v>
      </c>
      <c r="AN666" s="258">
        <v>350</v>
      </c>
      <c r="AO666" s="262" t="s">
        <v>254</v>
      </c>
      <c r="AP666" s="260">
        <v>236.5</v>
      </c>
    </row>
    <row r="667" spans="34:42" ht="20.100000000000001" customHeight="1" x14ac:dyDescent="0.25">
      <c r="AH667" s="258">
        <f t="shared" si="100"/>
        <v>29</v>
      </c>
      <c r="AI667" s="258">
        <f t="shared" si="101"/>
        <v>350</v>
      </c>
      <c r="AJ667" s="259" t="str">
        <f t="shared" si="102"/>
        <v>3/1</v>
      </c>
      <c r="AK667" s="260">
        <f t="shared" si="103"/>
        <v>150.72</v>
      </c>
      <c r="AL667" s="226"/>
      <c r="AM667" s="258">
        <v>29</v>
      </c>
      <c r="AN667" s="258">
        <v>350</v>
      </c>
      <c r="AO667" s="262" t="s">
        <v>254</v>
      </c>
      <c r="AP667" s="260">
        <v>251.2</v>
      </c>
    </row>
    <row r="668" spans="34:42" ht="20.100000000000001" customHeight="1" x14ac:dyDescent="0.25">
      <c r="AH668" s="258">
        <f t="shared" si="100"/>
        <v>30</v>
      </c>
      <c r="AI668" s="258">
        <f t="shared" si="101"/>
        <v>350</v>
      </c>
      <c r="AJ668" s="259" t="str">
        <f t="shared" si="102"/>
        <v>3/1</v>
      </c>
      <c r="AK668" s="260">
        <f t="shared" si="103"/>
        <v>159.54</v>
      </c>
      <c r="AL668" s="226"/>
      <c r="AM668" s="258">
        <v>30</v>
      </c>
      <c r="AN668" s="258">
        <v>350</v>
      </c>
      <c r="AO668" s="262" t="s">
        <v>254</v>
      </c>
      <c r="AP668" s="260">
        <v>265.89999999999998</v>
      </c>
    </row>
    <row r="669" spans="34:42" ht="20.100000000000001" customHeight="1" x14ac:dyDescent="0.25">
      <c r="AH669" s="258">
        <f t="shared" si="100"/>
        <v>31</v>
      </c>
      <c r="AI669" s="258">
        <f t="shared" si="101"/>
        <v>350</v>
      </c>
      <c r="AJ669" s="259" t="str">
        <f t="shared" si="102"/>
        <v>3/1</v>
      </c>
      <c r="AK669" s="260">
        <f t="shared" si="103"/>
        <v>168.36</v>
      </c>
      <c r="AL669" s="226"/>
      <c r="AM669" s="258">
        <v>31</v>
      </c>
      <c r="AN669" s="258">
        <v>350</v>
      </c>
      <c r="AO669" s="262" t="s">
        <v>254</v>
      </c>
      <c r="AP669" s="260">
        <v>280.60000000000002</v>
      </c>
    </row>
    <row r="670" spans="34:42" ht="20.100000000000001" customHeight="1" x14ac:dyDescent="0.25">
      <c r="AH670" s="258">
        <f t="shared" si="100"/>
        <v>32</v>
      </c>
      <c r="AI670" s="258">
        <f t="shared" si="101"/>
        <v>350</v>
      </c>
      <c r="AJ670" s="259" t="str">
        <f t="shared" si="102"/>
        <v>3/1</v>
      </c>
      <c r="AK670" s="260">
        <f t="shared" si="103"/>
        <v>177.48</v>
      </c>
      <c r="AL670" s="226"/>
      <c r="AM670" s="258">
        <v>32</v>
      </c>
      <c r="AN670" s="258">
        <v>350</v>
      </c>
      <c r="AO670" s="262" t="s">
        <v>254</v>
      </c>
      <c r="AP670" s="260">
        <v>295.8</v>
      </c>
    </row>
    <row r="671" spans="34:42" ht="20.100000000000001" customHeight="1" x14ac:dyDescent="0.25">
      <c r="AH671" s="258">
        <f t="shared" si="100"/>
        <v>33</v>
      </c>
      <c r="AI671" s="258">
        <f t="shared" si="101"/>
        <v>350</v>
      </c>
      <c r="AJ671" s="259" t="str">
        <f t="shared" si="102"/>
        <v>3/2</v>
      </c>
      <c r="AK671" s="260">
        <f t="shared" si="103"/>
        <v>144.18</v>
      </c>
      <c r="AL671" s="226"/>
      <c r="AM671" s="258">
        <v>33</v>
      </c>
      <c r="AN671" s="258">
        <v>350</v>
      </c>
      <c r="AO671" s="262" t="s">
        <v>255</v>
      </c>
      <c r="AP671" s="260">
        <v>240.3</v>
      </c>
    </row>
    <row r="672" spans="34:42" ht="20.100000000000001" customHeight="1" x14ac:dyDescent="0.25">
      <c r="AH672" s="258">
        <f t="shared" si="100"/>
        <v>34</v>
      </c>
      <c r="AI672" s="258">
        <f t="shared" si="101"/>
        <v>350</v>
      </c>
      <c r="AJ672" s="259" t="str">
        <f t="shared" si="102"/>
        <v>3/2</v>
      </c>
      <c r="AK672" s="260">
        <f t="shared" si="103"/>
        <v>153.72</v>
      </c>
      <c r="AL672" s="226"/>
      <c r="AM672" s="258">
        <v>34</v>
      </c>
      <c r="AN672" s="258">
        <v>350</v>
      </c>
      <c r="AO672" s="262" t="s">
        <v>255</v>
      </c>
      <c r="AP672" s="260">
        <v>256.2</v>
      </c>
    </row>
    <row r="673" spans="34:42" ht="20.100000000000001" customHeight="1" x14ac:dyDescent="0.25">
      <c r="AH673" s="258">
        <f t="shared" si="100"/>
        <v>35</v>
      </c>
      <c r="AI673" s="258">
        <f t="shared" si="101"/>
        <v>350</v>
      </c>
      <c r="AJ673" s="259" t="str">
        <f t="shared" si="102"/>
        <v>3/2</v>
      </c>
      <c r="AK673" s="260">
        <f t="shared" si="103"/>
        <v>163.26000000000002</v>
      </c>
      <c r="AL673" s="226"/>
      <c r="AM673" s="258">
        <v>35</v>
      </c>
      <c r="AN673" s="258">
        <v>350</v>
      </c>
      <c r="AO673" s="262" t="s">
        <v>255</v>
      </c>
      <c r="AP673" s="260">
        <v>272.10000000000002</v>
      </c>
    </row>
    <row r="674" spans="34:42" ht="20.100000000000001" customHeight="1" x14ac:dyDescent="0.25">
      <c r="AH674" s="258">
        <f t="shared" si="100"/>
        <v>36</v>
      </c>
      <c r="AI674" s="258">
        <f t="shared" si="101"/>
        <v>350</v>
      </c>
      <c r="AJ674" s="259" t="str">
        <f t="shared" si="102"/>
        <v>3/2</v>
      </c>
      <c r="AK674" s="260">
        <f t="shared" si="103"/>
        <v>172.86</v>
      </c>
      <c r="AL674" s="226"/>
      <c r="AM674" s="258">
        <v>36</v>
      </c>
      <c r="AN674" s="258">
        <v>350</v>
      </c>
      <c r="AO674" s="262" t="s">
        <v>255</v>
      </c>
      <c r="AP674" s="260">
        <v>288.10000000000002</v>
      </c>
    </row>
    <row r="675" spans="34:42" ht="20.100000000000001" customHeight="1" x14ac:dyDescent="0.25">
      <c r="AH675" s="258">
        <f t="shared" si="100"/>
        <v>37</v>
      </c>
      <c r="AI675" s="258">
        <f t="shared" si="101"/>
        <v>350</v>
      </c>
      <c r="AJ675" s="259" t="str">
        <f t="shared" si="102"/>
        <v>3/2</v>
      </c>
      <c r="AK675" s="260">
        <f t="shared" si="103"/>
        <v>182.51999999999998</v>
      </c>
      <c r="AL675" s="226"/>
      <c r="AM675" s="258">
        <v>37</v>
      </c>
      <c r="AN675" s="258">
        <v>350</v>
      </c>
      <c r="AO675" s="262" t="s">
        <v>255</v>
      </c>
      <c r="AP675" s="260">
        <v>304.2</v>
      </c>
    </row>
    <row r="676" spans="34:42" ht="20.100000000000001" customHeight="1" x14ac:dyDescent="0.25">
      <c r="AH676" s="258">
        <f t="shared" si="100"/>
        <v>38</v>
      </c>
      <c r="AI676" s="258">
        <f t="shared" si="101"/>
        <v>350</v>
      </c>
      <c r="AJ676" s="259" t="str">
        <f t="shared" si="102"/>
        <v>3/2</v>
      </c>
      <c r="AK676" s="260">
        <f t="shared" si="103"/>
        <v>192.18</v>
      </c>
      <c r="AL676" s="226"/>
      <c r="AM676" s="258">
        <v>38</v>
      </c>
      <c r="AN676" s="258">
        <v>350</v>
      </c>
      <c r="AO676" s="262" t="s">
        <v>255</v>
      </c>
      <c r="AP676" s="260">
        <v>320.3</v>
      </c>
    </row>
    <row r="677" spans="34:42" ht="20.100000000000001" customHeight="1" x14ac:dyDescent="0.25">
      <c r="AH677" s="258">
        <f t="shared" si="100"/>
        <v>39</v>
      </c>
      <c r="AI677" s="258">
        <f t="shared" si="101"/>
        <v>350</v>
      </c>
      <c r="AJ677" s="259" t="str">
        <f t="shared" si="102"/>
        <v>2/0</v>
      </c>
      <c r="AK677" s="260">
        <f t="shared" si="103"/>
        <v>181.2</v>
      </c>
      <c r="AL677" s="226"/>
      <c r="AM677" s="258">
        <v>39</v>
      </c>
      <c r="AN677" s="258">
        <v>350</v>
      </c>
      <c r="AO677" s="262" t="s">
        <v>253</v>
      </c>
      <c r="AP677" s="260">
        <v>302</v>
      </c>
    </row>
    <row r="678" spans="34:42" ht="20.100000000000001" customHeight="1" x14ac:dyDescent="0.25">
      <c r="AH678" s="258">
        <f t="shared" si="100"/>
        <v>40</v>
      </c>
      <c r="AI678" s="258">
        <f t="shared" si="101"/>
        <v>350</v>
      </c>
      <c r="AJ678" s="259" t="str">
        <f t="shared" si="102"/>
        <v>2/0</v>
      </c>
      <c r="AK678" s="260">
        <f t="shared" si="103"/>
        <v>187.2</v>
      </c>
      <c r="AL678" s="226"/>
      <c r="AM678" s="258">
        <v>40</v>
      </c>
      <c r="AN678" s="258">
        <v>350</v>
      </c>
      <c r="AO678" s="262" t="s">
        <v>253</v>
      </c>
      <c r="AP678" s="260">
        <v>312</v>
      </c>
    </row>
    <row r="679" spans="34:42" ht="20.100000000000001" customHeight="1" x14ac:dyDescent="0.25">
      <c r="AH679" s="258">
        <f t="shared" si="100"/>
        <v>41</v>
      </c>
      <c r="AI679" s="258">
        <f t="shared" si="101"/>
        <v>350</v>
      </c>
      <c r="AJ679" s="259" t="str">
        <f t="shared" si="102"/>
        <v>2/0</v>
      </c>
      <c r="AK679" s="260">
        <f t="shared" si="103"/>
        <v>193.2</v>
      </c>
      <c r="AL679" s="226"/>
      <c r="AM679" s="258">
        <v>41</v>
      </c>
      <c r="AN679" s="258">
        <v>350</v>
      </c>
      <c r="AO679" s="262" t="s">
        <v>253</v>
      </c>
      <c r="AP679" s="260">
        <v>322</v>
      </c>
    </row>
    <row r="680" spans="34:42" ht="20.100000000000001" customHeight="1" x14ac:dyDescent="0.25">
      <c r="AH680" s="258">
        <f t="shared" si="100"/>
        <v>42</v>
      </c>
      <c r="AI680" s="258">
        <f t="shared" si="101"/>
        <v>350</v>
      </c>
      <c r="AJ680" s="259" t="str">
        <f t="shared" si="102"/>
        <v>2/0</v>
      </c>
      <c r="AK680" s="260">
        <f t="shared" si="103"/>
        <v>199.2</v>
      </c>
      <c r="AL680" s="226"/>
      <c r="AM680" s="258">
        <v>42</v>
      </c>
      <c r="AN680" s="258">
        <v>350</v>
      </c>
      <c r="AO680" s="262" t="s">
        <v>253</v>
      </c>
      <c r="AP680" s="260">
        <v>332</v>
      </c>
    </row>
    <row r="681" spans="34:42" ht="20.100000000000001" customHeight="1" x14ac:dyDescent="0.25">
      <c r="AH681" s="258">
        <f t="shared" ref="AH681:AH705" si="104">AM681</f>
        <v>43</v>
      </c>
      <c r="AI681" s="258">
        <f t="shared" si="101"/>
        <v>350</v>
      </c>
      <c r="AJ681" s="259" t="str">
        <f t="shared" si="102"/>
        <v>2/0</v>
      </c>
      <c r="AK681" s="260">
        <f t="shared" si="103"/>
        <v>204.6</v>
      </c>
      <c r="AL681" s="226"/>
      <c r="AM681" s="258">
        <v>43</v>
      </c>
      <c r="AN681" s="258">
        <v>350</v>
      </c>
      <c r="AO681" s="262" t="s">
        <v>253</v>
      </c>
      <c r="AP681" s="260">
        <v>341</v>
      </c>
    </row>
    <row r="682" spans="34:42" ht="20.100000000000001" customHeight="1" x14ac:dyDescent="0.25">
      <c r="AH682" s="258">
        <f t="shared" si="104"/>
        <v>44</v>
      </c>
      <c r="AI682" s="258">
        <f t="shared" ref="AI682:AI698" si="105">AN682</f>
        <v>350</v>
      </c>
      <c r="AJ682" s="259" t="str">
        <f t="shared" ref="AJ682:AJ698" si="106">AO682</f>
        <v>2/0</v>
      </c>
      <c r="AK682" s="260">
        <f t="shared" ref="AK682:AK698" si="107">(1-$AL$2)*AP682</f>
        <v>210.6</v>
      </c>
      <c r="AL682" s="226"/>
      <c r="AM682" s="258">
        <v>44</v>
      </c>
      <c r="AN682" s="258">
        <v>350</v>
      </c>
      <c r="AO682" s="262" t="s">
        <v>253</v>
      </c>
      <c r="AP682" s="260">
        <v>351</v>
      </c>
    </row>
    <row r="683" spans="34:42" ht="20.100000000000001" customHeight="1" x14ac:dyDescent="0.25">
      <c r="AH683" s="258">
        <f t="shared" si="104"/>
        <v>45</v>
      </c>
      <c r="AI683" s="258">
        <f t="shared" si="105"/>
        <v>350</v>
      </c>
      <c r="AJ683" s="259" t="str">
        <f t="shared" si="106"/>
        <v>2/0</v>
      </c>
      <c r="AK683" s="260">
        <f t="shared" si="107"/>
        <v>216</v>
      </c>
      <c r="AL683" s="226"/>
      <c r="AM683" s="258">
        <v>45</v>
      </c>
      <c r="AN683" s="258">
        <v>350</v>
      </c>
      <c r="AO683" s="262" t="s">
        <v>253</v>
      </c>
      <c r="AP683" s="260">
        <v>360</v>
      </c>
    </row>
    <row r="684" spans="34:42" ht="20.100000000000001" customHeight="1" x14ac:dyDescent="0.25">
      <c r="AH684" s="258">
        <f t="shared" si="104"/>
        <v>46</v>
      </c>
      <c r="AI684" s="258">
        <f t="shared" si="105"/>
        <v>350</v>
      </c>
      <c r="AJ684" s="259" t="str">
        <f t="shared" si="106"/>
        <v>2/1</v>
      </c>
      <c r="AK684" s="260">
        <f t="shared" si="107"/>
        <v>204</v>
      </c>
      <c r="AL684" s="226"/>
      <c r="AM684" s="258">
        <v>46</v>
      </c>
      <c r="AN684" s="258">
        <v>350</v>
      </c>
      <c r="AO684" s="262" t="s">
        <v>256</v>
      </c>
      <c r="AP684" s="260">
        <v>340</v>
      </c>
    </row>
    <row r="685" spans="34:42" ht="20.100000000000001" customHeight="1" x14ac:dyDescent="0.25">
      <c r="AH685" s="258">
        <f t="shared" si="104"/>
        <v>47</v>
      </c>
      <c r="AI685" s="258">
        <f t="shared" si="105"/>
        <v>350</v>
      </c>
      <c r="AJ685" s="259" t="str">
        <f t="shared" si="106"/>
        <v>2/1</v>
      </c>
      <c r="AK685" s="260">
        <f t="shared" si="107"/>
        <v>209.28</v>
      </c>
      <c r="AL685" s="226"/>
      <c r="AM685" s="258">
        <v>47</v>
      </c>
      <c r="AN685" s="258">
        <v>350</v>
      </c>
      <c r="AO685" s="262" t="s">
        <v>256</v>
      </c>
      <c r="AP685" s="260">
        <v>348.8</v>
      </c>
    </row>
    <row r="686" spans="34:42" ht="20.100000000000001" customHeight="1" x14ac:dyDescent="0.25">
      <c r="AH686" s="258">
        <f t="shared" si="104"/>
        <v>48</v>
      </c>
      <c r="AI686" s="258">
        <f t="shared" si="105"/>
        <v>350</v>
      </c>
      <c r="AJ686" s="259" t="str">
        <f t="shared" si="106"/>
        <v>2/1</v>
      </c>
      <c r="AK686" s="260">
        <f t="shared" si="107"/>
        <v>214.56</v>
      </c>
      <c r="AL686" s="226"/>
      <c r="AM686" s="258">
        <v>48</v>
      </c>
      <c r="AN686" s="258">
        <v>350</v>
      </c>
      <c r="AO686" s="262" t="s">
        <v>256</v>
      </c>
      <c r="AP686" s="260">
        <v>357.6</v>
      </c>
    </row>
    <row r="687" spans="34:42" ht="20.100000000000001" customHeight="1" x14ac:dyDescent="0.25">
      <c r="AH687" s="258">
        <f t="shared" si="104"/>
        <v>49</v>
      </c>
      <c r="AI687" s="258">
        <f t="shared" si="105"/>
        <v>350</v>
      </c>
      <c r="AJ687" s="259" t="str">
        <f t="shared" si="106"/>
        <v>2/1</v>
      </c>
      <c r="AK687" s="260">
        <f t="shared" si="107"/>
        <v>219.83999999999997</v>
      </c>
      <c r="AL687" s="226"/>
      <c r="AM687" s="258">
        <v>49</v>
      </c>
      <c r="AN687" s="258">
        <v>350</v>
      </c>
      <c r="AO687" s="262" t="s">
        <v>256</v>
      </c>
      <c r="AP687" s="260">
        <v>366.4</v>
      </c>
    </row>
    <row r="688" spans="34:42" ht="20.100000000000001" customHeight="1" x14ac:dyDescent="0.25">
      <c r="AH688" s="258">
        <f t="shared" si="104"/>
        <v>50</v>
      </c>
      <c r="AI688" s="258">
        <f t="shared" si="105"/>
        <v>350</v>
      </c>
      <c r="AJ688" s="259" t="str">
        <f t="shared" si="106"/>
        <v>2/1</v>
      </c>
      <c r="AK688" s="260">
        <f t="shared" si="107"/>
        <v>225</v>
      </c>
      <c r="AL688" s="226"/>
      <c r="AM688" s="258">
        <v>50</v>
      </c>
      <c r="AN688" s="258">
        <v>350</v>
      </c>
      <c r="AO688" s="262" t="s">
        <v>256</v>
      </c>
      <c r="AP688" s="260">
        <v>375</v>
      </c>
    </row>
    <row r="689" spans="34:42" ht="20.100000000000001" customHeight="1" x14ac:dyDescent="0.25">
      <c r="AH689" s="258">
        <f t="shared" si="104"/>
        <v>51</v>
      </c>
      <c r="AI689" s="258">
        <f t="shared" si="105"/>
        <v>350</v>
      </c>
      <c r="AJ689" s="259" t="str">
        <f t="shared" si="106"/>
        <v>2/1</v>
      </c>
      <c r="AK689" s="260">
        <f t="shared" si="107"/>
        <v>230.1</v>
      </c>
      <c r="AL689" s="226"/>
      <c r="AM689" s="258">
        <v>51</v>
      </c>
      <c r="AN689" s="258">
        <v>350</v>
      </c>
      <c r="AO689" s="262" t="s">
        <v>256</v>
      </c>
      <c r="AP689" s="260">
        <v>383.5</v>
      </c>
    </row>
    <row r="690" spans="34:42" ht="20.100000000000001" customHeight="1" x14ac:dyDescent="0.25">
      <c r="AH690" s="258">
        <f t="shared" si="104"/>
        <v>52</v>
      </c>
      <c r="AI690" s="258">
        <f t="shared" si="105"/>
        <v>350</v>
      </c>
      <c r="AJ690" s="259" t="str">
        <f t="shared" si="106"/>
        <v>2/1</v>
      </c>
      <c r="AK690" s="260">
        <f t="shared" si="107"/>
        <v>235.2</v>
      </c>
      <c r="AL690" s="226"/>
      <c r="AM690" s="258">
        <v>52</v>
      </c>
      <c r="AN690" s="258">
        <v>350</v>
      </c>
      <c r="AO690" s="262" t="s">
        <v>256</v>
      </c>
      <c r="AP690" s="260">
        <v>392</v>
      </c>
    </row>
    <row r="691" spans="34:42" ht="20.100000000000001" customHeight="1" x14ac:dyDescent="0.25">
      <c r="AH691" s="258">
        <f t="shared" si="104"/>
        <v>53</v>
      </c>
      <c r="AI691" s="258">
        <f t="shared" si="105"/>
        <v>350</v>
      </c>
      <c r="AJ691" s="259" t="str">
        <f t="shared" si="106"/>
        <v>2/4</v>
      </c>
      <c r="AK691" s="260">
        <f t="shared" si="107"/>
        <v>177</v>
      </c>
      <c r="AL691" s="226"/>
      <c r="AM691" s="258">
        <v>53</v>
      </c>
      <c r="AN691" s="258">
        <v>350</v>
      </c>
      <c r="AO691" s="262" t="s">
        <v>257</v>
      </c>
      <c r="AP691" s="260">
        <v>295</v>
      </c>
    </row>
    <row r="692" spans="34:42" ht="20.100000000000001" customHeight="1" x14ac:dyDescent="0.25">
      <c r="AH692" s="258">
        <f t="shared" si="104"/>
        <v>54</v>
      </c>
      <c r="AI692" s="258">
        <f t="shared" si="105"/>
        <v>350</v>
      </c>
      <c r="AJ692" s="259" t="str">
        <f t="shared" si="106"/>
        <v>2/4</v>
      </c>
      <c r="AK692" s="260">
        <f t="shared" si="107"/>
        <v>181.79999999999998</v>
      </c>
      <c r="AL692" s="226"/>
      <c r="AM692" s="258">
        <v>54</v>
      </c>
      <c r="AN692" s="258">
        <v>350</v>
      </c>
      <c r="AO692" s="262" t="s">
        <v>257</v>
      </c>
      <c r="AP692" s="260">
        <v>303</v>
      </c>
    </row>
    <row r="693" spans="34:42" ht="20.100000000000001" customHeight="1" x14ac:dyDescent="0.25">
      <c r="AH693" s="258">
        <f t="shared" si="104"/>
        <v>55</v>
      </c>
      <c r="AI693" s="258">
        <f t="shared" si="105"/>
        <v>350</v>
      </c>
      <c r="AJ693" s="259" t="str">
        <f t="shared" si="106"/>
        <v>2/4</v>
      </c>
      <c r="AK693" s="260">
        <f t="shared" si="107"/>
        <v>186.6</v>
      </c>
      <c r="AL693" s="226"/>
      <c r="AM693" s="258">
        <v>55</v>
      </c>
      <c r="AN693" s="258">
        <v>350</v>
      </c>
      <c r="AO693" s="262" t="s">
        <v>257</v>
      </c>
      <c r="AP693" s="260">
        <v>311</v>
      </c>
    </row>
    <row r="694" spans="34:42" ht="20.100000000000001" customHeight="1" x14ac:dyDescent="0.25">
      <c r="AH694" s="258">
        <f t="shared" si="104"/>
        <v>56</v>
      </c>
      <c r="AI694" s="258">
        <f t="shared" si="105"/>
        <v>350</v>
      </c>
      <c r="AJ694" s="259" t="str">
        <f t="shared" si="106"/>
        <v>2/4</v>
      </c>
      <c r="AK694" s="260">
        <f t="shared" si="107"/>
        <v>192</v>
      </c>
      <c r="AL694" s="226"/>
      <c r="AM694" s="258">
        <v>56</v>
      </c>
      <c r="AN694" s="258">
        <v>350</v>
      </c>
      <c r="AO694" s="262" t="s">
        <v>257</v>
      </c>
      <c r="AP694" s="260">
        <v>320</v>
      </c>
    </row>
    <row r="695" spans="34:42" ht="20.100000000000001" customHeight="1" x14ac:dyDescent="0.25">
      <c r="AH695" s="258">
        <f t="shared" si="104"/>
        <v>57</v>
      </c>
      <c r="AI695" s="258">
        <f t="shared" si="105"/>
        <v>350</v>
      </c>
      <c r="AJ695" s="259" t="str">
        <f t="shared" si="106"/>
        <v>2/4</v>
      </c>
      <c r="AK695" s="260">
        <f t="shared" si="107"/>
        <v>196.2</v>
      </c>
      <c r="AL695" s="226"/>
      <c r="AM695" s="258">
        <v>57</v>
      </c>
      <c r="AN695" s="258">
        <v>350</v>
      </c>
      <c r="AO695" s="262" t="s">
        <v>257</v>
      </c>
      <c r="AP695" s="260">
        <v>327</v>
      </c>
    </row>
    <row r="696" spans="34:42" ht="20.100000000000001" customHeight="1" x14ac:dyDescent="0.25">
      <c r="AH696" s="258">
        <f t="shared" si="104"/>
        <v>58</v>
      </c>
      <c r="AI696" s="258">
        <f t="shared" si="105"/>
        <v>350</v>
      </c>
      <c r="AJ696" s="259" t="str">
        <f t="shared" si="106"/>
        <v>2/4</v>
      </c>
      <c r="AK696" s="260">
        <f t="shared" si="107"/>
        <v>199.79999999999998</v>
      </c>
      <c r="AL696" s="226"/>
      <c r="AM696" s="258">
        <v>58</v>
      </c>
      <c r="AN696" s="258">
        <v>350</v>
      </c>
      <c r="AO696" s="262" t="s">
        <v>257</v>
      </c>
      <c r="AP696" s="260">
        <v>333</v>
      </c>
    </row>
    <row r="697" spans="34:42" ht="20.100000000000001" customHeight="1" x14ac:dyDescent="0.25">
      <c r="AH697" s="258">
        <f t="shared" si="104"/>
        <v>59</v>
      </c>
      <c r="AI697" s="258">
        <f t="shared" si="105"/>
        <v>350</v>
      </c>
      <c r="AJ697" s="259" t="str">
        <f t="shared" si="106"/>
        <v>2/4</v>
      </c>
      <c r="AK697" s="260">
        <f t="shared" si="107"/>
        <v>205.2</v>
      </c>
      <c r="AL697" s="226"/>
      <c r="AM697" s="258">
        <v>59</v>
      </c>
      <c r="AN697" s="258">
        <v>350</v>
      </c>
      <c r="AO697" s="262" t="s">
        <v>257</v>
      </c>
      <c r="AP697" s="260">
        <v>342</v>
      </c>
    </row>
    <row r="698" spans="34:42" ht="20.100000000000001" customHeight="1" x14ac:dyDescent="0.25">
      <c r="AH698" s="258">
        <f t="shared" si="104"/>
        <v>60</v>
      </c>
      <c r="AI698" s="258">
        <f t="shared" si="105"/>
        <v>350</v>
      </c>
      <c r="AJ698" s="259" t="str">
        <f t="shared" si="106"/>
        <v>2/4</v>
      </c>
      <c r="AK698" s="260">
        <f t="shared" si="107"/>
        <v>211.2</v>
      </c>
      <c r="AL698" s="226"/>
      <c r="AM698" s="258">
        <v>60</v>
      </c>
      <c r="AN698" s="258">
        <v>350</v>
      </c>
      <c r="AO698" s="262" t="s">
        <v>257</v>
      </c>
      <c r="AP698" s="260">
        <v>352</v>
      </c>
    </row>
    <row r="699" spans="34:42" ht="20.100000000000001" customHeight="1" x14ac:dyDescent="0.25">
      <c r="AH699" s="258" t="str">
        <f t="shared" si="104"/>
        <v>&gt;&gt;&gt;&gt;&gt;&gt;</v>
      </c>
      <c r="AI699" s="258"/>
      <c r="AJ699" s="259"/>
      <c r="AK699" s="260"/>
      <c r="AL699" s="226"/>
      <c r="AM699" s="258" t="s">
        <v>249</v>
      </c>
      <c r="AN699" s="258"/>
      <c r="AO699" s="262"/>
      <c r="AP699" s="260"/>
    </row>
    <row r="700" spans="34:42" ht="20.100000000000001" customHeight="1" x14ac:dyDescent="0.25">
      <c r="AH700" s="258">
        <f t="shared" si="104"/>
        <v>12</v>
      </c>
      <c r="AI700" s="258">
        <f t="shared" ref="AI700:AJ705" si="108">AN700</f>
        <v>400</v>
      </c>
      <c r="AJ700" s="259" t="str">
        <f t="shared" si="108"/>
        <v>4/0</v>
      </c>
      <c r="AK700" s="260">
        <f t="shared" ref="AK700:AK731" si="109">(1-$AL$2)*AP700</f>
        <v>51.6</v>
      </c>
      <c r="AL700" s="226"/>
      <c r="AM700" s="258">
        <v>12</v>
      </c>
      <c r="AN700" s="258">
        <v>400</v>
      </c>
      <c r="AO700" s="262" t="s">
        <v>179</v>
      </c>
      <c r="AP700" s="260">
        <v>86</v>
      </c>
    </row>
    <row r="701" spans="34:42" ht="20.100000000000001" customHeight="1" x14ac:dyDescent="0.25">
      <c r="AH701" s="258">
        <f t="shared" si="104"/>
        <v>13</v>
      </c>
      <c r="AI701" s="258">
        <f t="shared" si="108"/>
        <v>400</v>
      </c>
      <c r="AJ701" s="259" t="str">
        <f t="shared" si="108"/>
        <v>4/0</v>
      </c>
      <c r="AK701" s="260">
        <f t="shared" si="109"/>
        <v>60</v>
      </c>
      <c r="AL701" s="226"/>
      <c r="AM701" s="258">
        <v>13</v>
      </c>
      <c r="AN701" s="258">
        <v>400</v>
      </c>
      <c r="AO701" s="262" t="s">
        <v>179</v>
      </c>
      <c r="AP701" s="260">
        <v>100</v>
      </c>
    </row>
    <row r="702" spans="34:42" ht="20.100000000000001" customHeight="1" x14ac:dyDescent="0.25">
      <c r="AH702" s="258">
        <f t="shared" si="104"/>
        <v>14</v>
      </c>
      <c r="AI702" s="258">
        <f t="shared" si="108"/>
        <v>400</v>
      </c>
      <c r="AJ702" s="259" t="str">
        <f t="shared" si="108"/>
        <v>4/0</v>
      </c>
      <c r="AK702" s="260">
        <f t="shared" si="109"/>
        <v>69.599999999999994</v>
      </c>
      <c r="AL702" s="226"/>
      <c r="AM702" s="258">
        <v>14</v>
      </c>
      <c r="AN702" s="258">
        <v>400</v>
      </c>
      <c r="AO702" s="262" t="s">
        <v>179</v>
      </c>
      <c r="AP702" s="260">
        <v>116</v>
      </c>
    </row>
    <row r="703" spans="34:42" ht="20.100000000000001" customHeight="1" x14ac:dyDescent="0.25">
      <c r="AH703" s="258">
        <f t="shared" si="104"/>
        <v>15</v>
      </c>
      <c r="AI703" s="258">
        <f t="shared" si="108"/>
        <v>400</v>
      </c>
      <c r="AJ703" s="259" t="str">
        <f t="shared" si="108"/>
        <v>4/0</v>
      </c>
      <c r="AK703" s="260">
        <f t="shared" si="109"/>
        <v>79.2</v>
      </c>
      <c r="AL703" s="226"/>
      <c r="AM703" s="258">
        <v>15</v>
      </c>
      <c r="AN703" s="258">
        <v>400</v>
      </c>
      <c r="AO703" s="262" t="s">
        <v>179</v>
      </c>
      <c r="AP703" s="260">
        <v>132</v>
      </c>
    </row>
    <row r="704" spans="34:42" ht="20.100000000000001" customHeight="1" x14ac:dyDescent="0.25">
      <c r="AH704" s="258">
        <f t="shared" si="104"/>
        <v>16</v>
      </c>
      <c r="AI704" s="258">
        <f t="shared" si="108"/>
        <v>400</v>
      </c>
      <c r="AJ704" s="259" t="str">
        <f t="shared" si="108"/>
        <v>4/0</v>
      </c>
      <c r="AK704" s="260">
        <f t="shared" si="109"/>
        <v>88.2</v>
      </c>
      <c r="AL704" s="226"/>
      <c r="AM704" s="258">
        <v>16</v>
      </c>
      <c r="AN704" s="258">
        <v>400</v>
      </c>
      <c r="AO704" s="262" t="s">
        <v>179</v>
      </c>
      <c r="AP704" s="260">
        <v>147</v>
      </c>
    </row>
    <row r="705" spans="34:42" ht="20.100000000000001" customHeight="1" x14ac:dyDescent="0.25">
      <c r="AH705" s="258">
        <f t="shared" si="104"/>
        <v>17</v>
      </c>
      <c r="AI705" s="258">
        <f t="shared" si="108"/>
        <v>400</v>
      </c>
      <c r="AJ705" s="259" t="str">
        <f t="shared" si="108"/>
        <v>4/0</v>
      </c>
      <c r="AK705" s="260">
        <f t="shared" si="109"/>
        <v>97.2</v>
      </c>
      <c r="AL705" s="226"/>
      <c r="AM705" s="258">
        <v>17</v>
      </c>
      <c r="AN705" s="258">
        <v>400</v>
      </c>
      <c r="AO705" s="262" t="s">
        <v>179</v>
      </c>
      <c r="AP705" s="260">
        <v>162</v>
      </c>
    </row>
    <row r="706" spans="34:42" ht="20.100000000000001" customHeight="1" x14ac:dyDescent="0.25">
      <c r="AH706" s="258">
        <f t="shared" ref="AH706:AJ748" si="110">AM706</f>
        <v>18</v>
      </c>
      <c r="AI706" s="258">
        <f t="shared" si="110"/>
        <v>400</v>
      </c>
      <c r="AJ706" s="259" t="str">
        <f t="shared" si="110"/>
        <v>4/0</v>
      </c>
      <c r="AK706" s="260">
        <f t="shared" si="109"/>
        <v>106.2</v>
      </c>
      <c r="AL706" s="226"/>
      <c r="AM706" s="258">
        <v>18</v>
      </c>
      <c r="AN706" s="258">
        <v>400</v>
      </c>
      <c r="AO706" s="262" t="s">
        <v>179</v>
      </c>
      <c r="AP706" s="260">
        <v>177</v>
      </c>
    </row>
    <row r="707" spans="34:42" ht="20.100000000000001" customHeight="1" x14ac:dyDescent="0.25">
      <c r="AH707" s="258">
        <f t="shared" si="110"/>
        <v>19</v>
      </c>
      <c r="AI707" s="258">
        <f t="shared" si="110"/>
        <v>400</v>
      </c>
      <c r="AJ707" s="259" t="str">
        <f t="shared" si="110"/>
        <v>4/0</v>
      </c>
      <c r="AK707" s="260">
        <f t="shared" si="109"/>
        <v>115.19999999999999</v>
      </c>
      <c r="AL707" s="226"/>
      <c r="AM707" s="258">
        <v>19</v>
      </c>
      <c r="AN707" s="258">
        <v>400</v>
      </c>
      <c r="AO707" s="262" t="s">
        <v>179</v>
      </c>
      <c r="AP707" s="260">
        <v>192</v>
      </c>
    </row>
    <row r="708" spans="34:42" ht="20.100000000000001" customHeight="1" x14ac:dyDescent="0.25">
      <c r="AH708" s="258">
        <f t="shared" si="110"/>
        <v>20</v>
      </c>
      <c r="AI708" s="258">
        <f t="shared" si="110"/>
        <v>400</v>
      </c>
      <c r="AJ708" s="259" t="str">
        <f t="shared" si="110"/>
        <v>4/0</v>
      </c>
      <c r="AK708" s="260">
        <f t="shared" si="109"/>
        <v>126</v>
      </c>
      <c r="AL708" s="226"/>
      <c r="AM708" s="258">
        <v>20</v>
      </c>
      <c r="AN708" s="258">
        <v>400</v>
      </c>
      <c r="AO708" s="262" t="s">
        <v>179</v>
      </c>
      <c r="AP708" s="260">
        <v>210</v>
      </c>
    </row>
    <row r="709" spans="34:42" ht="20.100000000000001" customHeight="1" x14ac:dyDescent="0.25">
      <c r="AH709" s="258">
        <f t="shared" si="110"/>
        <v>21</v>
      </c>
      <c r="AI709" s="258">
        <f t="shared" si="110"/>
        <v>400</v>
      </c>
      <c r="AJ709" s="259" t="str">
        <f t="shared" si="110"/>
        <v>4/0</v>
      </c>
      <c r="AK709" s="260">
        <f t="shared" si="109"/>
        <v>133.79999999999998</v>
      </c>
      <c r="AL709" s="226"/>
      <c r="AM709" s="258">
        <v>21</v>
      </c>
      <c r="AN709" s="258">
        <v>400</v>
      </c>
      <c r="AO709" s="262" t="s">
        <v>179</v>
      </c>
      <c r="AP709" s="260">
        <v>223</v>
      </c>
    </row>
    <row r="710" spans="34:42" ht="20.100000000000001" customHeight="1" x14ac:dyDescent="0.25">
      <c r="AH710" s="258">
        <f t="shared" si="110"/>
        <v>22</v>
      </c>
      <c r="AI710" s="258">
        <f t="shared" si="110"/>
        <v>400</v>
      </c>
      <c r="AJ710" s="259" t="str">
        <f t="shared" si="110"/>
        <v>4/0</v>
      </c>
      <c r="AK710" s="260">
        <f t="shared" si="109"/>
        <v>142.79999999999998</v>
      </c>
      <c r="AL710" s="226"/>
      <c r="AM710" s="258">
        <v>22</v>
      </c>
      <c r="AN710" s="258">
        <v>400</v>
      </c>
      <c r="AO710" s="262" t="s">
        <v>179</v>
      </c>
      <c r="AP710" s="260">
        <v>238</v>
      </c>
    </row>
    <row r="711" spans="34:42" ht="20.100000000000001" customHeight="1" x14ac:dyDescent="0.25">
      <c r="AH711" s="258">
        <f t="shared" si="110"/>
        <v>23</v>
      </c>
      <c r="AI711" s="258">
        <f t="shared" si="110"/>
        <v>400</v>
      </c>
      <c r="AJ711" s="259" t="str">
        <f t="shared" si="110"/>
        <v>4/1</v>
      </c>
      <c r="AK711" s="260">
        <f t="shared" si="109"/>
        <v>100.8</v>
      </c>
      <c r="AL711" s="226"/>
      <c r="AM711" s="258">
        <v>23</v>
      </c>
      <c r="AN711" s="258">
        <v>400</v>
      </c>
      <c r="AO711" s="262" t="s">
        <v>250</v>
      </c>
      <c r="AP711" s="260">
        <v>168</v>
      </c>
    </row>
    <row r="712" spans="34:42" ht="20.100000000000001" customHeight="1" x14ac:dyDescent="0.25">
      <c r="AH712" s="258">
        <f t="shared" si="110"/>
        <v>24</v>
      </c>
      <c r="AI712" s="258">
        <f t="shared" si="110"/>
        <v>400</v>
      </c>
      <c r="AJ712" s="259" t="str">
        <f t="shared" si="110"/>
        <v>4/1</v>
      </c>
      <c r="AK712" s="260">
        <f t="shared" si="109"/>
        <v>112.2</v>
      </c>
      <c r="AL712" s="226"/>
      <c r="AM712" s="258">
        <v>24</v>
      </c>
      <c r="AN712" s="258">
        <v>400</v>
      </c>
      <c r="AO712" s="262" t="s">
        <v>250</v>
      </c>
      <c r="AP712" s="260">
        <v>187</v>
      </c>
    </row>
    <row r="713" spans="34:42" ht="20.100000000000001" customHeight="1" x14ac:dyDescent="0.25">
      <c r="AH713" s="258">
        <f t="shared" si="110"/>
        <v>25</v>
      </c>
      <c r="AI713" s="258">
        <f t="shared" si="110"/>
        <v>400</v>
      </c>
      <c r="AJ713" s="259" t="str">
        <f t="shared" si="110"/>
        <v>4/1</v>
      </c>
      <c r="AK713" s="260">
        <f t="shared" si="109"/>
        <v>123</v>
      </c>
      <c r="AL713" s="226"/>
      <c r="AM713" s="258">
        <v>25</v>
      </c>
      <c r="AN713" s="258">
        <v>400</v>
      </c>
      <c r="AO713" s="262" t="s">
        <v>250</v>
      </c>
      <c r="AP713" s="260">
        <v>205</v>
      </c>
    </row>
    <row r="714" spans="34:42" ht="20.100000000000001" customHeight="1" x14ac:dyDescent="0.25">
      <c r="AH714" s="258">
        <f t="shared" si="110"/>
        <v>26</v>
      </c>
      <c r="AI714" s="258">
        <f t="shared" si="110"/>
        <v>400</v>
      </c>
      <c r="AJ714" s="259" t="str">
        <f t="shared" si="110"/>
        <v>4/1</v>
      </c>
      <c r="AK714" s="260">
        <f t="shared" si="109"/>
        <v>133.79999999999998</v>
      </c>
      <c r="AL714" s="226"/>
      <c r="AM714" s="258">
        <v>26</v>
      </c>
      <c r="AN714" s="258">
        <v>400</v>
      </c>
      <c r="AO714" s="262" t="s">
        <v>250</v>
      </c>
      <c r="AP714" s="260">
        <v>223</v>
      </c>
    </row>
    <row r="715" spans="34:42" ht="20.100000000000001" customHeight="1" x14ac:dyDescent="0.25">
      <c r="AH715" s="258">
        <f t="shared" si="110"/>
        <v>27</v>
      </c>
      <c r="AI715" s="258">
        <f t="shared" si="110"/>
        <v>400</v>
      </c>
      <c r="AJ715" s="259" t="str">
        <f t="shared" si="110"/>
        <v>3/0</v>
      </c>
      <c r="AK715" s="260">
        <f t="shared" si="109"/>
        <v>143.4</v>
      </c>
      <c r="AL715" s="226"/>
      <c r="AM715" s="258">
        <v>27</v>
      </c>
      <c r="AN715" s="258">
        <v>400</v>
      </c>
      <c r="AO715" s="262" t="s">
        <v>252</v>
      </c>
      <c r="AP715" s="260">
        <v>239</v>
      </c>
    </row>
    <row r="716" spans="34:42" ht="20.100000000000001" customHeight="1" x14ac:dyDescent="0.25">
      <c r="AH716" s="258">
        <f t="shared" si="110"/>
        <v>28</v>
      </c>
      <c r="AI716" s="258">
        <f t="shared" si="110"/>
        <v>400</v>
      </c>
      <c r="AJ716" s="259" t="str">
        <f t="shared" si="110"/>
        <v>3/0</v>
      </c>
      <c r="AK716" s="260">
        <f t="shared" si="109"/>
        <v>150.6</v>
      </c>
      <c r="AL716" s="226"/>
      <c r="AM716" s="258">
        <v>28</v>
      </c>
      <c r="AN716" s="258">
        <v>400</v>
      </c>
      <c r="AO716" s="262" t="s">
        <v>252</v>
      </c>
      <c r="AP716" s="260">
        <v>251</v>
      </c>
    </row>
    <row r="717" spans="34:42" ht="20.100000000000001" customHeight="1" x14ac:dyDescent="0.25">
      <c r="AH717" s="258">
        <f t="shared" si="110"/>
        <v>29</v>
      </c>
      <c r="AI717" s="258">
        <f t="shared" si="110"/>
        <v>400</v>
      </c>
      <c r="AJ717" s="259" t="str">
        <f t="shared" si="110"/>
        <v>3/0</v>
      </c>
      <c r="AK717" s="260">
        <f t="shared" si="109"/>
        <v>156.6</v>
      </c>
      <c r="AL717" s="226"/>
      <c r="AM717" s="258">
        <v>29</v>
      </c>
      <c r="AN717" s="258">
        <v>400</v>
      </c>
      <c r="AO717" s="262" t="s">
        <v>252</v>
      </c>
      <c r="AP717" s="260">
        <v>261</v>
      </c>
    </row>
    <row r="718" spans="34:42" ht="20.100000000000001" customHeight="1" x14ac:dyDescent="0.25">
      <c r="AH718" s="258">
        <f t="shared" si="110"/>
        <v>30</v>
      </c>
      <c r="AI718" s="258">
        <f t="shared" si="110"/>
        <v>400</v>
      </c>
      <c r="AJ718" s="259" t="str">
        <f t="shared" si="110"/>
        <v>4/2</v>
      </c>
      <c r="AK718" s="260">
        <f t="shared" si="109"/>
        <v>122.39999999999999</v>
      </c>
      <c r="AL718" s="226"/>
      <c r="AM718" s="258">
        <v>30</v>
      </c>
      <c r="AN718" s="258">
        <v>400</v>
      </c>
      <c r="AO718" s="262" t="s">
        <v>251</v>
      </c>
      <c r="AP718" s="260">
        <v>204</v>
      </c>
    </row>
    <row r="719" spans="34:42" ht="20.100000000000001" customHeight="1" x14ac:dyDescent="0.25">
      <c r="AH719" s="258">
        <f t="shared" si="110"/>
        <v>31</v>
      </c>
      <c r="AI719" s="258">
        <f t="shared" si="110"/>
        <v>400</v>
      </c>
      <c r="AJ719" s="259" t="str">
        <f t="shared" si="110"/>
        <v>4/2</v>
      </c>
      <c r="AK719" s="260">
        <f t="shared" si="109"/>
        <v>133.19999999999999</v>
      </c>
      <c r="AL719" s="226"/>
      <c r="AM719" s="258">
        <v>31</v>
      </c>
      <c r="AN719" s="258">
        <v>400</v>
      </c>
      <c r="AO719" s="262" t="s">
        <v>251</v>
      </c>
      <c r="AP719" s="260">
        <v>222</v>
      </c>
    </row>
    <row r="720" spans="34:42" ht="20.100000000000001" customHeight="1" x14ac:dyDescent="0.25">
      <c r="AH720" s="258">
        <f t="shared" si="110"/>
        <v>32</v>
      </c>
      <c r="AI720" s="258">
        <f t="shared" si="110"/>
        <v>400</v>
      </c>
      <c r="AJ720" s="259" t="str">
        <f t="shared" si="110"/>
        <v>4/2</v>
      </c>
      <c r="AK720" s="260">
        <f t="shared" si="109"/>
        <v>144</v>
      </c>
      <c r="AL720" s="226"/>
      <c r="AM720" s="258">
        <v>32</v>
      </c>
      <c r="AN720" s="258">
        <v>400</v>
      </c>
      <c r="AO720" s="262" t="s">
        <v>251</v>
      </c>
      <c r="AP720" s="260">
        <v>240</v>
      </c>
    </row>
    <row r="721" spans="34:42" ht="20.100000000000001" customHeight="1" x14ac:dyDescent="0.25">
      <c r="AH721" s="258">
        <f t="shared" si="110"/>
        <v>33</v>
      </c>
      <c r="AI721" s="258">
        <f t="shared" si="110"/>
        <v>400</v>
      </c>
      <c r="AJ721" s="259" t="str">
        <f t="shared" si="110"/>
        <v>4/2</v>
      </c>
      <c r="AK721" s="260">
        <f t="shared" si="109"/>
        <v>153.6</v>
      </c>
      <c r="AL721" s="226"/>
      <c r="AM721" s="258">
        <v>33</v>
      </c>
      <c r="AN721" s="258">
        <v>400</v>
      </c>
      <c r="AO721" s="262" t="s">
        <v>251</v>
      </c>
      <c r="AP721" s="260">
        <v>256</v>
      </c>
    </row>
    <row r="722" spans="34:42" ht="20.100000000000001" customHeight="1" x14ac:dyDescent="0.25">
      <c r="AH722" s="258">
        <f t="shared" si="110"/>
        <v>34</v>
      </c>
      <c r="AI722" s="258">
        <f t="shared" si="110"/>
        <v>400</v>
      </c>
      <c r="AJ722" s="259" t="str">
        <f t="shared" si="110"/>
        <v>4/2</v>
      </c>
      <c r="AK722" s="260">
        <f t="shared" si="109"/>
        <v>163.79999999999998</v>
      </c>
      <c r="AL722" s="226"/>
      <c r="AM722" s="258">
        <v>34</v>
      </c>
      <c r="AN722" s="258">
        <v>400</v>
      </c>
      <c r="AO722" s="262" t="s">
        <v>251</v>
      </c>
      <c r="AP722" s="260">
        <v>273</v>
      </c>
    </row>
    <row r="723" spans="34:42" ht="20.100000000000001" customHeight="1" x14ac:dyDescent="0.25">
      <c r="AH723" s="258">
        <f t="shared" si="110"/>
        <v>35</v>
      </c>
      <c r="AI723" s="258">
        <f t="shared" si="110"/>
        <v>400</v>
      </c>
      <c r="AJ723" s="259" t="str">
        <f t="shared" si="110"/>
        <v>3/2</v>
      </c>
      <c r="AK723" s="260">
        <f t="shared" si="109"/>
        <v>139.79999999999998</v>
      </c>
      <c r="AL723" s="226"/>
      <c r="AM723" s="258">
        <v>35</v>
      </c>
      <c r="AN723" s="258">
        <v>400</v>
      </c>
      <c r="AO723" s="262" t="s">
        <v>255</v>
      </c>
      <c r="AP723" s="260">
        <v>233</v>
      </c>
    </row>
    <row r="724" spans="34:42" ht="20.100000000000001" customHeight="1" x14ac:dyDescent="0.25">
      <c r="AH724" s="258">
        <f t="shared" si="110"/>
        <v>36</v>
      </c>
      <c r="AI724" s="258">
        <f t="shared" si="110"/>
        <v>400</v>
      </c>
      <c r="AJ724" s="259" t="str">
        <f t="shared" si="110"/>
        <v>3/2</v>
      </c>
      <c r="AK724" s="260">
        <f t="shared" si="109"/>
        <v>145.19999999999999</v>
      </c>
      <c r="AL724" s="226"/>
      <c r="AM724" s="258">
        <v>36</v>
      </c>
      <c r="AN724" s="258">
        <v>400</v>
      </c>
      <c r="AO724" s="262" t="s">
        <v>255</v>
      </c>
      <c r="AP724" s="260">
        <v>242</v>
      </c>
    </row>
    <row r="725" spans="34:42" ht="20.100000000000001" customHeight="1" x14ac:dyDescent="0.25">
      <c r="AH725" s="258">
        <f t="shared" si="110"/>
        <v>37</v>
      </c>
      <c r="AI725" s="258">
        <f t="shared" si="110"/>
        <v>400</v>
      </c>
      <c r="AJ725" s="259" t="str">
        <f t="shared" si="110"/>
        <v>3/2</v>
      </c>
      <c r="AK725" s="260">
        <f t="shared" si="109"/>
        <v>151.19999999999999</v>
      </c>
      <c r="AL725" s="226"/>
      <c r="AM725" s="258">
        <v>37</v>
      </c>
      <c r="AN725" s="258">
        <v>400</v>
      </c>
      <c r="AO725" s="262" t="s">
        <v>255</v>
      </c>
      <c r="AP725" s="260">
        <v>252</v>
      </c>
    </row>
    <row r="726" spans="34:42" ht="20.100000000000001" customHeight="1" x14ac:dyDescent="0.25">
      <c r="AH726" s="258">
        <f t="shared" si="110"/>
        <v>38</v>
      </c>
      <c r="AI726" s="258">
        <f t="shared" si="110"/>
        <v>400</v>
      </c>
      <c r="AJ726" s="259" t="str">
        <f t="shared" si="110"/>
        <v>3/2</v>
      </c>
      <c r="AK726" s="260">
        <f t="shared" si="109"/>
        <v>157.19999999999999</v>
      </c>
      <c r="AL726" s="226"/>
      <c r="AM726" s="258">
        <v>38</v>
      </c>
      <c r="AN726" s="258">
        <v>400</v>
      </c>
      <c r="AO726" s="262" t="s">
        <v>255</v>
      </c>
      <c r="AP726" s="260">
        <v>262</v>
      </c>
    </row>
    <row r="727" spans="34:42" ht="20.100000000000001" customHeight="1" x14ac:dyDescent="0.25">
      <c r="AH727" s="258">
        <f t="shared" si="110"/>
        <v>39</v>
      </c>
      <c r="AI727" s="258">
        <f t="shared" si="110"/>
        <v>400</v>
      </c>
      <c r="AJ727" s="259" t="str">
        <f t="shared" si="110"/>
        <v>3/2</v>
      </c>
      <c r="AK727" s="260">
        <f t="shared" si="109"/>
        <v>163.19999999999999</v>
      </c>
      <c r="AL727" s="226"/>
      <c r="AM727" s="258">
        <v>39</v>
      </c>
      <c r="AN727" s="258">
        <v>400</v>
      </c>
      <c r="AO727" s="262" t="s">
        <v>255</v>
      </c>
      <c r="AP727" s="260">
        <v>272</v>
      </c>
    </row>
    <row r="728" spans="34:42" ht="20.100000000000001" customHeight="1" x14ac:dyDescent="0.25">
      <c r="AH728" s="258">
        <f t="shared" si="110"/>
        <v>40</v>
      </c>
      <c r="AI728" s="258">
        <f t="shared" si="110"/>
        <v>400</v>
      </c>
      <c r="AJ728" s="259" t="str">
        <f t="shared" si="110"/>
        <v>3/2</v>
      </c>
      <c r="AK728" s="260">
        <f t="shared" si="109"/>
        <v>168.6</v>
      </c>
      <c r="AL728" s="226"/>
      <c r="AM728" s="258">
        <v>40</v>
      </c>
      <c r="AN728" s="258">
        <v>400</v>
      </c>
      <c r="AO728" s="262" t="s">
        <v>255</v>
      </c>
      <c r="AP728" s="260">
        <v>281</v>
      </c>
    </row>
    <row r="729" spans="34:42" ht="20.100000000000001" customHeight="1" x14ac:dyDescent="0.25">
      <c r="AH729" s="258">
        <f t="shared" si="110"/>
        <v>41</v>
      </c>
      <c r="AI729" s="258">
        <f t="shared" si="110"/>
        <v>400</v>
      </c>
      <c r="AJ729" s="259" t="str">
        <f t="shared" si="110"/>
        <v>3/2</v>
      </c>
      <c r="AK729" s="260">
        <f t="shared" si="109"/>
        <v>174</v>
      </c>
      <c r="AL729" s="226"/>
      <c r="AM729" s="258">
        <v>41</v>
      </c>
      <c r="AN729" s="258">
        <v>400</v>
      </c>
      <c r="AO729" s="262" t="s">
        <v>255</v>
      </c>
      <c r="AP729" s="260">
        <v>290</v>
      </c>
    </row>
    <row r="730" spans="34:42" ht="20.100000000000001" customHeight="1" x14ac:dyDescent="0.25">
      <c r="AH730" s="258">
        <f t="shared" si="110"/>
        <v>42</v>
      </c>
      <c r="AI730" s="258">
        <f t="shared" si="110"/>
        <v>400</v>
      </c>
      <c r="AJ730" s="259" t="str">
        <f t="shared" si="110"/>
        <v>3/2</v>
      </c>
      <c r="AK730" s="260">
        <f t="shared" si="109"/>
        <v>179.4</v>
      </c>
      <c r="AL730" s="226"/>
      <c r="AM730" s="258">
        <v>42</v>
      </c>
      <c r="AN730" s="258">
        <v>400</v>
      </c>
      <c r="AO730" s="262" t="s">
        <v>255</v>
      </c>
      <c r="AP730" s="260">
        <v>299</v>
      </c>
    </row>
    <row r="731" spans="34:42" ht="20.100000000000001" customHeight="1" x14ac:dyDescent="0.25">
      <c r="AH731" s="258">
        <f t="shared" si="110"/>
        <v>43</v>
      </c>
      <c r="AI731" s="258">
        <f t="shared" si="110"/>
        <v>400</v>
      </c>
      <c r="AJ731" s="259" t="str">
        <f t="shared" si="110"/>
        <v>2/0</v>
      </c>
      <c r="AK731" s="260">
        <f t="shared" si="109"/>
        <v>174.6</v>
      </c>
      <c r="AL731" s="226"/>
      <c r="AM731" s="258">
        <v>43</v>
      </c>
      <c r="AN731" s="258">
        <v>400</v>
      </c>
      <c r="AO731" s="262" t="s">
        <v>253</v>
      </c>
      <c r="AP731" s="260">
        <v>291</v>
      </c>
    </row>
    <row r="732" spans="34:42" ht="20.100000000000001" customHeight="1" x14ac:dyDescent="0.25">
      <c r="AH732" s="258">
        <f t="shared" si="110"/>
        <v>44</v>
      </c>
      <c r="AI732" s="258">
        <f t="shared" si="110"/>
        <v>400</v>
      </c>
      <c r="AJ732" s="259" t="str">
        <f t="shared" si="110"/>
        <v>2/0</v>
      </c>
      <c r="AK732" s="260">
        <f t="shared" ref="AK732:AK748" si="111">(1-$AL$2)*AP732</f>
        <v>181.2</v>
      </c>
      <c r="AL732" s="226"/>
      <c r="AM732" s="258">
        <v>44</v>
      </c>
      <c r="AN732" s="258">
        <v>400</v>
      </c>
      <c r="AO732" s="262" t="s">
        <v>253</v>
      </c>
      <c r="AP732" s="260">
        <v>302</v>
      </c>
    </row>
    <row r="733" spans="34:42" ht="20.100000000000001" customHeight="1" x14ac:dyDescent="0.25">
      <c r="AH733" s="258">
        <f t="shared" si="110"/>
        <v>45</v>
      </c>
      <c r="AI733" s="258">
        <f t="shared" si="110"/>
        <v>400</v>
      </c>
      <c r="AJ733" s="259" t="str">
        <f t="shared" si="110"/>
        <v>2/0</v>
      </c>
      <c r="AK733" s="260">
        <f t="shared" si="111"/>
        <v>187.79999999999998</v>
      </c>
      <c r="AL733" s="226"/>
      <c r="AM733" s="258">
        <v>45</v>
      </c>
      <c r="AN733" s="258">
        <v>400</v>
      </c>
      <c r="AO733" s="262" t="s">
        <v>253</v>
      </c>
      <c r="AP733" s="260">
        <v>313</v>
      </c>
    </row>
    <row r="734" spans="34:42" ht="20.100000000000001" customHeight="1" x14ac:dyDescent="0.25">
      <c r="AH734" s="258">
        <f t="shared" si="110"/>
        <v>46</v>
      </c>
      <c r="AI734" s="258">
        <f t="shared" si="110"/>
        <v>400</v>
      </c>
      <c r="AJ734" s="259" t="str">
        <f t="shared" si="110"/>
        <v>2/0</v>
      </c>
      <c r="AK734" s="260">
        <f t="shared" si="111"/>
        <v>193.79999999999998</v>
      </c>
      <c r="AL734" s="226"/>
      <c r="AM734" s="258">
        <v>46</v>
      </c>
      <c r="AN734" s="258">
        <v>400</v>
      </c>
      <c r="AO734" s="262" t="s">
        <v>253</v>
      </c>
      <c r="AP734" s="260">
        <v>323</v>
      </c>
    </row>
    <row r="735" spans="34:42" ht="20.100000000000001" customHeight="1" x14ac:dyDescent="0.25">
      <c r="AH735" s="258">
        <f t="shared" si="110"/>
        <v>47</v>
      </c>
      <c r="AI735" s="258">
        <f t="shared" si="110"/>
        <v>400</v>
      </c>
      <c r="AJ735" s="259" t="str">
        <f t="shared" si="110"/>
        <v>2/1</v>
      </c>
      <c r="AK735" s="260">
        <f t="shared" si="111"/>
        <v>193.79999999999998</v>
      </c>
      <c r="AL735" s="226"/>
      <c r="AM735" s="258">
        <v>47</v>
      </c>
      <c r="AN735" s="258">
        <v>400</v>
      </c>
      <c r="AO735" s="262" t="s">
        <v>256</v>
      </c>
      <c r="AP735" s="260">
        <v>323</v>
      </c>
    </row>
    <row r="736" spans="34:42" ht="20.100000000000001" customHeight="1" x14ac:dyDescent="0.25">
      <c r="AH736" s="258">
        <f t="shared" si="110"/>
        <v>48</v>
      </c>
      <c r="AI736" s="258">
        <f t="shared" si="110"/>
        <v>400</v>
      </c>
      <c r="AJ736" s="259" t="str">
        <f t="shared" si="110"/>
        <v>2/1</v>
      </c>
      <c r="AK736" s="260">
        <f t="shared" si="111"/>
        <v>199.79999999999998</v>
      </c>
      <c r="AL736" s="226"/>
      <c r="AM736" s="258">
        <v>48</v>
      </c>
      <c r="AN736" s="258">
        <v>400</v>
      </c>
      <c r="AO736" s="262" t="s">
        <v>256</v>
      </c>
      <c r="AP736" s="260">
        <v>333</v>
      </c>
    </row>
    <row r="737" spans="34:42" ht="20.100000000000001" customHeight="1" x14ac:dyDescent="0.25">
      <c r="AH737" s="258">
        <f t="shared" si="110"/>
        <v>49</v>
      </c>
      <c r="AI737" s="258">
        <f t="shared" si="110"/>
        <v>400</v>
      </c>
      <c r="AJ737" s="259" t="str">
        <f t="shared" si="110"/>
        <v>2/1</v>
      </c>
      <c r="AK737" s="260">
        <f t="shared" si="111"/>
        <v>204</v>
      </c>
      <c r="AL737" s="226"/>
      <c r="AM737" s="258">
        <v>49</v>
      </c>
      <c r="AN737" s="258">
        <v>400</v>
      </c>
      <c r="AO737" s="262" t="s">
        <v>256</v>
      </c>
      <c r="AP737" s="260">
        <v>340</v>
      </c>
    </row>
    <row r="738" spans="34:42" ht="20.100000000000001" customHeight="1" x14ac:dyDescent="0.25">
      <c r="AH738" s="258">
        <f t="shared" si="110"/>
        <v>50</v>
      </c>
      <c r="AI738" s="258">
        <f t="shared" si="110"/>
        <v>400</v>
      </c>
      <c r="AJ738" s="259" t="str">
        <f t="shared" si="110"/>
        <v>2/1</v>
      </c>
      <c r="AK738" s="260">
        <f t="shared" si="111"/>
        <v>208.2</v>
      </c>
      <c r="AL738" s="226"/>
      <c r="AM738" s="258">
        <v>50</v>
      </c>
      <c r="AN738" s="258">
        <v>400</v>
      </c>
      <c r="AO738" s="262" t="s">
        <v>256</v>
      </c>
      <c r="AP738" s="260">
        <v>347</v>
      </c>
    </row>
    <row r="739" spans="34:42" ht="20.100000000000001" customHeight="1" x14ac:dyDescent="0.25">
      <c r="AH739" s="258">
        <f t="shared" si="110"/>
        <v>51</v>
      </c>
      <c r="AI739" s="258">
        <f t="shared" si="110"/>
        <v>400</v>
      </c>
      <c r="AJ739" s="259" t="str">
        <f t="shared" si="110"/>
        <v>2/1</v>
      </c>
      <c r="AK739" s="260">
        <f t="shared" si="111"/>
        <v>212.4</v>
      </c>
      <c r="AL739" s="226"/>
      <c r="AM739" s="258">
        <v>51</v>
      </c>
      <c r="AN739" s="258">
        <v>400</v>
      </c>
      <c r="AO739" s="262" t="s">
        <v>256</v>
      </c>
      <c r="AP739" s="260">
        <v>354</v>
      </c>
    </row>
    <row r="740" spans="34:42" ht="20.100000000000001" customHeight="1" x14ac:dyDescent="0.25">
      <c r="AH740" s="258">
        <f t="shared" si="110"/>
        <v>52</v>
      </c>
      <c r="AI740" s="258">
        <f t="shared" si="110"/>
        <v>400</v>
      </c>
      <c r="AJ740" s="259" t="str">
        <f t="shared" si="110"/>
        <v>2/1</v>
      </c>
      <c r="AK740" s="260">
        <f t="shared" si="111"/>
        <v>217.79999999999998</v>
      </c>
      <c r="AL740" s="226"/>
      <c r="AM740" s="258">
        <v>52</v>
      </c>
      <c r="AN740" s="258">
        <v>400</v>
      </c>
      <c r="AO740" s="262" t="s">
        <v>256</v>
      </c>
      <c r="AP740" s="260">
        <v>363</v>
      </c>
    </row>
    <row r="741" spans="34:42" ht="20.100000000000001" customHeight="1" x14ac:dyDescent="0.25">
      <c r="AH741" s="258">
        <f t="shared" si="110"/>
        <v>53</v>
      </c>
      <c r="AI741" s="258">
        <f t="shared" si="110"/>
        <v>400</v>
      </c>
      <c r="AJ741" s="259" t="str">
        <f t="shared" si="110"/>
        <v>2/1</v>
      </c>
      <c r="AK741" s="260">
        <f t="shared" si="111"/>
        <v>223.2</v>
      </c>
      <c r="AL741" s="226"/>
      <c r="AM741" s="258">
        <v>53</v>
      </c>
      <c r="AN741" s="258">
        <v>400</v>
      </c>
      <c r="AO741" s="262" t="s">
        <v>256</v>
      </c>
      <c r="AP741" s="260">
        <v>372</v>
      </c>
    </row>
    <row r="742" spans="34:42" ht="20.100000000000001" customHeight="1" x14ac:dyDescent="0.25">
      <c r="AH742" s="258">
        <f t="shared" si="110"/>
        <v>54</v>
      </c>
      <c r="AI742" s="258">
        <f t="shared" si="110"/>
        <v>400</v>
      </c>
      <c r="AJ742" s="259" t="str">
        <f t="shared" si="110"/>
        <v>2/2</v>
      </c>
      <c r="AK742" s="260">
        <f t="shared" si="111"/>
        <v>174.6</v>
      </c>
      <c r="AL742" s="226"/>
      <c r="AM742" s="258">
        <v>54</v>
      </c>
      <c r="AN742" s="258">
        <v>400</v>
      </c>
      <c r="AO742" s="262" t="s">
        <v>258</v>
      </c>
      <c r="AP742" s="260">
        <v>291</v>
      </c>
    </row>
    <row r="743" spans="34:42" ht="20.100000000000001" customHeight="1" x14ac:dyDescent="0.25">
      <c r="AH743" s="258">
        <f t="shared" si="110"/>
        <v>55</v>
      </c>
      <c r="AI743" s="258">
        <f t="shared" si="110"/>
        <v>400</v>
      </c>
      <c r="AJ743" s="259" t="str">
        <f t="shared" si="110"/>
        <v>2/2</v>
      </c>
      <c r="AK743" s="260">
        <f t="shared" si="111"/>
        <v>174.6</v>
      </c>
      <c r="AL743" s="226"/>
      <c r="AM743" s="258">
        <v>55</v>
      </c>
      <c r="AN743" s="258">
        <v>400</v>
      </c>
      <c r="AO743" s="262" t="s">
        <v>258</v>
      </c>
      <c r="AP743" s="260">
        <v>291</v>
      </c>
    </row>
    <row r="744" spans="34:42" ht="20.100000000000001" customHeight="1" x14ac:dyDescent="0.25">
      <c r="AH744" s="258">
        <f t="shared" si="110"/>
        <v>56</v>
      </c>
      <c r="AI744" s="258">
        <f t="shared" si="110"/>
        <v>400</v>
      </c>
      <c r="AJ744" s="259" t="str">
        <f t="shared" si="110"/>
        <v>2/2</v>
      </c>
      <c r="AK744" s="260">
        <f t="shared" si="111"/>
        <v>180.6</v>
      </c>
      <c r="AL744" s="226"/>
      <c r="AM744" s="258">
        <v>56</v>
      </c>
      <c r="AN744" s="258">
        <v>400</v>
      </c>
      <c r="AO744" s="262" t="s">
        <v>258</v>
      </c>
      <c r="AP744" s="260">
        <v>301</v>
      </c>
    </row>
    <row r="745" spans="34:42" ht="20.100000000000001" customHeight="1" x14ac:dyDescent="0.25">
      <c r="AH745" s="258">
        <f t="shared" si="110"/>
        <v>57</v>
      </c>
      <c r="AI745" s="258">
        <f t="shared" si="110"/>
        <v>400</v>
      </c>
      <c r="AJ745" s="259" t="str">
        <f t="shared" si="110"/>
        <v>2/2</v>
      </c>
      <c r="AK745" s="260">
        <f t="shared" si="111"/>
        <v>186</v>
      </c>
      <c r="AL745" s="226"/>
      <c r="AM745" s="258">
        <v>57</v>
      </c>
      <c r="AN745" s="258">
        <v>400</v>
      </c>
      <c r="AO745" s="262" t="s">
        <v>258</v>
      </c>
      <c r="AP745" s="260">
        <v>310</v>
      </c>
    </row>
    <row r="746" spans="34:42" ht="20.100000000000001" customHeight="1" x14ac:dyDescent="0.25">
      <c r="AH746" s="258">
        <f t="shared" si="110"/>
        <v>58</v>
      </c>
      <c r="AI746" s="258">
        <f t="shared" si="110"/>
        <v>400</v>
      </c>
      <c r="AJ746" s="259" t="str">
        <f t="shared" si="110"/>
        <v>2/2</v>
      </c>
      <c r="AK746" s="260">
        <f t="shared" si="111"/>
        <v>192</v>
      </c>
      <c r="AL746" s="226"/>
      <c r="AM746" s="258">
        <v>58</v>
      </c>
      <c r="AN746" s="258">
        <v>400</v>
      </c>
      <c r="AO746" s="262" t="s">
        <v>258</v>
      </c>
      <c r="AP746" s="260">
        <v>320</v>
      </c>
    </row>
    <row r="747" spans="34:42" ht="20.100000000000001" customHeight="1" x14ac:dyDescent="0.25">
      <c r="AH747" s="258">
        <f t="shared" si="110"/>
        <v>59</v>
      </c>
      <c r="AI747" s="258">
        <f t="shared" si="110"/>
        <v>400</v>
      </c>
      <c r="AJ747" s="259" t="str">
        <f t="shared" si="110"/>
        <v>2/2</v>
      </c>
      <c r="AK747" s="260">
        <f t="shared" si="111"/>
        <v>198</v>
      </c>
      <c r="AL747" s="226"/>
      <c r="AM747" s="258">
        <v>59</v>
      </c>
      <c r="AN747" s="258">
        <v>400</v>
      </c>
      <c r="AO747" s="262" t="s">
        <v>258</v>
      </c>
      <c r="AP747" s="260">
        <v>330</v>
      </c>
    </row>
    <row r="748" spans="34:42" ht="20.100000000000001" customHeight="1" x14ac:dyDescent="0.25">
      <c r="AH748" s="258">
        <f t="shared" si="110"/>
        <v>60</v>
      </c>
      <c r="AI748" s="258">
        <f t="shared" si="110"/>
        <v>400</v>
      </c>
      <c r="AJ748" s="259" t="str">
        <f t="shared" si="110"/>
        <v>2/2</v>
      </c>
      <c r="AK748" s="260">
        <f t="shared" si="111"/>
        <v>203.4</v>
      </c>
      <c r="AL748" s="226"/>
      <c r="AM748" s="258">
        <v>60</v>
      </c>
      <c r="AN748" s="258">
        <v>400</v>
      </c>
      <c r="AO748" s="262" t="s">
        <v>258</v>
      </c>
      <c r="AP748" s="260">
        <v>339</v>
      </c>
    </row>
  </sheetData>
  <sheetProtection algorithmName="SHA-512" hashValue="CrnNU5vl2bwN+tlCiKIzdWNkXfDj6/poSg1/xDYu55EhkI8PkZSnwoCdDCYr8x3I7to4tPhvdfqt+PHbl1hLYQ==" saltValue="3oVjbDkXXjH1EkSnEX/PGQ==" spinCount="100000" sheet="1" objects="1" scenarios="1" formatColumns="0" formatRows="0" insertColumns="0" insertRows="0" sort="0" autoFilter="0" pivotTables="0"/>
  <mergeCells count="2">
    <mergeCell ref="I1:Q1"/>
    <mergeCell ref="N2:N3"/>
  </mergeCells>
  <phoneticPr fontId="45" type="noConversion"/>
  <conditionalFormatting sqref="O36:O37 O4:O34">
    <cfRule type="cellIs" dxfId="156" priority="6" operator="lessThan">
      <formula>1</formula>
    </cfRule>
  </conditionalFormatting>
  <conditionalFormatting sqref="M4:M33">
    <cfRule type="cellIs" dxfId="155" priority="5" operator="notEqual">
      <formula>0</formula>
    </cfRule>
  </conditionalFormatting>
  <conditionalFormatting sqref="X4:X33">
    <cfRule type="cellIs" dxfId="154" priority="2" operator="notEqual">
      <formula>0</formula>
    </cfRule>
  </conditionalFormatting>
  <conditionalFormatting sqref="Z4:Z33">
    <cfRule type="cellIs" dxfId="153" priority="1" operator="notEqual">
      <formula>0</formula>
    </cfRule>
  </conditionalFormatting>
  <printOptions horizontalCentered="1"/>
  <pageMargins left="0.59055118110236227" right="0.39370078740157483" top="0.59055118110236227" bottom="0.39370078740157483" header="0.31496062992125984" footer="0.31496062992125984"/>
  <pageSetup paperSize="9" scale="65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ch">
    <tabColor rgb="FFC00000"/>
    <pageSetUpPr fitToPage="1"/>
  </sheetPr>
  <dimension ref="A1:G34"/>
  <sheetViews>
    <sheetView zoomScale="85" zoomScaleNormal="85" workbookViewId="0">
      <selection activeCell="A35" sqref="A35:XFD35"/>
    </sheetView>
  </sheetViews>
  <sheetFormatPr defaultColWidth="0" defaultRowHeight="20.100000000000001" customHeight="1" zeroHeight="1" x14ac:dyDescent="0.25"/>
  <cols>
    <col min="1" max="2" width="10.7109375" style="226" customWidth="1"/>
    <col min="3" max="6" width="28.7109375" style="226" customWidth="1"/>
    <col min="7" max="7" width="2.7109375" style="226" customWidth="1"/>
    <col min="8" max="16384" width="22.7109375" style="226" hidden="1"/>
  </cols>
  <sheetData>
    <row r="1" spans="1:6" ht="20.100000000000001" customHeight="1" thickBot="1" x14ac:dyDescent="0.3">
      <c r="B1" s="497" t="s">
        <v>133</v>
      </c>
      <c r="C1" s="498"/>
      <c r="D1" s="498"/>
      <c r="E1" s="498"/>
      <c r="F1" s="499"/>
    </row>
    <row r="2" spans="1:6" ht="20.100000000000001" customHeight="1" x14ac:dyDescent="0.25">
      <c r="B2" s="240" t="s">
        <v>118</v>
      </c>
      <c r="C2" s="241" t="str">
        <f>IF(MR!R10="","",MR!R10)</f>
        <v>1 - 30 June 2025</v>
      </c>
      <c r="D2" s="26" t="s">
        <v>119</v>
      </c>
      <c r="E2" s="241" t="str">
        <f>IF(MR!R11="","",MR!R11)</f>
        <v>SP. Tambun - Cluster F</v>
      </c>
      <c r="F2" s="242"/>
    </row>
    <row r="3" spans="1:6" ht="20.100000000000001" customHeight="1" thickBot="1" x14ac:dyDescent="0.3">
      <c r="B3" s="231"/>
      <c r="C3" s="243"/>
      <c r="D3" s="233"/>
      <c r="E3" s="243"/>
      <c r="F3" s="244"/>
    </row>
    <row r="4" spans="1:6" ht="20.100000000000001" customHeight="1" thickBot="1" x14ac:dyDescent="0.3">
      <c r="B4" s="235" t="s">
        <v>40</v>
      </c>
      <c r="C4" s="235" t="s">
        <v>134</v>
      </c>
      <c r="D4" s="235" t="s">
        <v>135</v>
      </c>
      <c r="E4" s="235" t="s">
        <v>136</v>
      </c>
      <c r="F4" s="235" t="s">
        <v>178</v>
      </c>
    </row>
    <row r="5" spans="1:6" ht="20.100000000000001" customHeight="1" x14ac:dyDescent="0.25">
      <c r="A5" s="226" t="s">
        <v>55</v>
      </c>
      <c r="B5" s="245">
        <f>DATE(YEAR(MR!F10),MONTH(MR!F10)-1,1)</f>
        <v>45809</v>
      </c>
      <c r="C5" s="128"/>
      <c r="D5" s="128"/>
      <c r="E5" s="457" t="s">
        <v>341</v>
      </c>
      <c r="F5" s="457" t="s">
        <v>352</v>
      </c>
    </row>
    <row r="6" spans="1:6" ht="20.100000000000001" customHeight="1" x14ac:dyDescent="0.25">
      <c r="A6" s="226" t="s">
        <v>56</v>
      </c>
      <c r="B6" s="236">
        <f>B5+1</f>
        <v>45810</v>
      </c>
      <c r="C6" s="129"/>
      <c r="D6" s="129"/>
      <c r="E6" s="129" t="s">
        <v>341</v>
      </c>
      <c r="F6" s="471" t="s">
        <v>352</v>
      </c>
    </row>
    <row r="7" spans="1:6" ht="20.100000000000001" customHeight="1" x14ac:dyDescent="0.25">
      <c r="A7" s="226" t="s">
        <v>57</v>
      </c>
      <c r="B7" s="236">
        <f t="shared" ref="B7:B34" si="0">B6+1</f>
        <v>45811</v>
      </c>
      <c r="C7" s="129"/>
      <c r="D7" s="129"/>
      <c r="E7" s="129" t="s">
        <v>341</v>
      </c>
      <c r="F7" s="471" t="s">
        <v>352</v>
      </c>
    </row>
    <row r="8" spans="1:6" ht="20.100000000000001" customHeight="1" x14ac:dyDescent="0.25">
      <c r="A8" s="226" t="s">
        <v>58</v>
      </c>
      <c r="B8" s="236">
        <f t="shared" si="0"/>
        <v>45812</v>
      </c>
      <c r="C8" s="129"/>
      <c r="D8" s="129"/>
      <c r="E8" s="129" t="s">
        <v>341</v>
      </c>
      <c r="F8" s="471" t="s">
        <v>352</v>
      </c>
    </row>
    <row r="9" spans="1:6" ht="20.100000000000001" customHeight="1" x14ac:dyDescent="0.25">
      <c r="A9" s="226" t="s">
        <v>59</v>
      </c>
      <c r="B9" s="236">
        <f t="shared" si="0"/>
        <v>45813</v>
      </c>
      <c r="C9" s="129"/>
      <c r="D9" s="129"/>
      <c r="E9" s="129" t="s">
        <v>341</v>
      </c>
      <c r="F9" s="471" t="s">
        <v>352</v>
      </c>
    </row>
    <row r="10" spans="1:6" ht="20.100000000000001" customHeight="1" x14ac:dyDescent="0.25">
      <c r="A10" s="226" t="s">
        <v>60</v>
      </c>
      <c r="B10" s="236">
        <f t="shared" si="0"/>
        <v>45814</v>
      </c>
      <c r="C10" s="129"/>
      <c r="D10" s="129"/>
      <c r="E10" s="129" t="s">
        <v>341</v>
      </c>
      <c r="F10" s="471" t="s">
        <v>352</v>
      </c>
    </row>
    <row r="11" spans="1:6" ht="20.100000000000001" customHeight="1" x14ac:dyDescent="0.25">
      <c r="A11" s="226" t="s">
        <v>61</v>
      </c>
      <c r="B11" s="236">
        <f t="shared" si="0"/>
        <v>45815</v>
      </c>
      <c r="C11" s="129"/>
      <c r="D11" s="129"/>
      <c r="E11" s="129" t="s">
        <v>341</v>
      </c>
      <c r="F11" s="471" t="s">
        <v>352</v>
      </c>
    </row>
    <row r="12" spans="1:6" ht="20.100000000000001" customHeight="1" x14ac:dyDescent="0.25">
      <c r="A12" s="226" t="s">
        <v>62</v>
      </c>
      <c r="B12" s="236">
        <f t="shared" si="0"/>
        <v>45816</v>
      </c>
      <c r="C12" s="129"/>
      <c r="D12" s="129"/>
      <c r="E12" s="129" t="s">
        <v>341</v>
      </c>
      <c r="F12" s="471" t="s">
        <v>352</v>
      </c>
    </row>
    <row r="13" spans="1:6" ht="20.100000000000001" customHeight="1" x14ac:dyDescent="0.25">
      <c r="A13" s="226" t="s">
        <v>63</v>
      </c>
      <c r="B13" s="236">
        <f t="shared" si="0"/>
        <v>45817</v>
      </c>
      <c r="C13" s="129"/>
      <c r="D13" s="129"/>
      <c r="E13" s="129" t="s">
        <v>341</v>
      </c>
      <c r="F13" s="471" t="s">
        <v>352</v>
      </c>
    </row>
    <row r="14" spans="1:6" ht="20.100000000000001" customHeight="1" x14ac:dyDescent="0.25">
      <c r="A14" s="226" t="s">
        <v>64</v>
      </c>
      <c r="B14" s="236">
        <f t="shared" si="0"/>
        <v>45818</v>
      </c>
      <c r="C14" s="129"/>
      <c r="D14" s="129"/>
      <c r="E14" s="129" t="s">
        <v>341</v>
      </c>
      <c r="F14" s="471" t="s">
        <v>352</v>
      </c>
    </row>
    <row r="15" spans="1:6" ht="20.100000000000001" customHeight="1" x14ac:dyDescent="0.25">
      <c r="A15" s="226" t="s">
        <v>65</v>
      </c>
      <c r="B15" s="236">
        <f t="shared" si="0"/>
        <v>45819</v>
      </c>
      <c r="C15" s="129"/>
      <c r="D15" s="129"/>
      <c r="E15" s="129" t="s">
        <v>341</v>
      </c>
      <c r="F15" s="471" t="s">
        <v>353</v>
      </c>
    </row>
    <row r="16" spans="1:6" ht="20.100000000000001" customHeight="1" x14ac:dyDescent="0.25">
      <c r="A16" s="226" t="s">
        <v>66</v>
      </c>
      <c r="B16" s="236">
        <f t="shared" si="0"/>
        <v>45820</v>
      </c>
      <c r="C16" s="129"/>
      <c r="D16" s="129"/>
      <c r="E16" s="129" t="s">
        <v>341</v>
      </c>
      <c r="F16" s="471" t="s">
        <v>353</v>
      </c>
    </row>
    <row r="17" spans="1:6" ht="20.100000000000001" customHeight="1" x14ac:dyDescent="0.25">
      <c r="A17" s="226" t="s">
        <v>67</v>
      </c>
      <c r="B17" s="236">
        <f t="shared" si="0"/>
        <v>45821</v>
      </c>
      <c r="C17" s="129"/>
      <c r="D17" s="129"/>
      <c r="E17" s="129" t="s">
        <v>341</v>
      </c>
      <c r="F17" s="471" t="s">
        <v>353</v>
      </c>
    </row>
    <row r="18" spans="1:6" ht="20.100000000000001" customHeight="1" x14ac:dyDescent="0.25">
      <c r="A18" s="226" t="s">
        <v>68</v>
      </c>
      <c r="B18" s="236">
        <f t="shared" si="0"/>
        <v>45822</v>
      </c>
      <c r="C18" s="129"/>
      <c r="D18" s="129"/>
      <c r="E18" s="129" t="s">
        <v>341</v>
      </c>
      <c r="F18" s="471" t="s">
        <v>353</v>
      </c>
    </row>
    <row r="19" spans="1:6" ht="20.100000000000001" customHeight="1" x14ac:dyDescent="0.25">
      <c r="A19" s="226" t="s">
        <v>69</v>
      </c>
      <c r="B19" s="236">
        <f t="shared" si="0"/>
        <v>45823</v>
      </c>
      <c r="C19" s="129"/>
      <c r="D19" s="129"/>
      <c r="E19" s="129" t="s">
        <v>341</v>
      </c>
      <c r="F19" s="471" t="s">
        <v>353</v>
      </c>
    </row>
    <row r="20" spans="1:6" ht="20.100000000000001" customHeight="1" x14ac:dyDescent="0.25">
      <c r="A20" s="226" t="s">
        <v>70</v>
      </c>
      <c r="B20" s="236">
        <f t="shared" si="0"/>
        <v>45824</v>
      </c>
      <c r="C20" s="129"/>
      <c r="D20" s="129"/>
      <c r="E20" s="129" t="s">
        <v>341</v>
      </c>
      <c r="F20" s="471" t="s">
        <v>353</v>
      </c>
    </row>
    <row r="21" spans="1:6" ht="20.100000000000001" customHeight="1" x14ac:dyDescent="0.25">
      <c r="A21" s="226" t="s">
        <v>71</v>
      </c>
      <c r="B21" s="236">
        <f t="shared" si="0"/>
        <v>45825</v>
      </c>
      <c r="C21" s="129"/>
      <c r="D21" s="129"/>
      <c r="E21" s="129" t="s">
        <v>341</v>
      </c>
      <c r="F21" s="471" t="s">
        <v>353</v>
      </c>
    </row>
    <row r="22" spans="1:6" ht="20.100000000000001" customHeight="1" x14ac:dyDescent="0.25">
      <c r="A22" s="226" t="s">
        <v>72</v>
      </c>
      <c r="B22" s="236">
        <f t="shared" si="0"/>
        <v>45826</v>
      </c>
      <c r="C22" s="129"/>
      <c r="D22" s="129"/>
      <c r="E22" s="129" t="s">
        <v>341</v>
      </c>
      <c r="F22" s="471" t="s">
        <v>353</v>
      </c>
    </row>
    <row r="23" spans="1:6" ht="20.100000000000001" customHeight="1" x14ac:dyDescent="0.25">
      <c r="A23" s="226" t="s">
        <v>73</v>
      </c>
      <c r="B23" s="236">
        <f t="shared" si="0"/>
        <v>45827</v>
      </c>
      <c r="C23" s="129"/>
      <c r="D23" s="129"/>
      <c r="E23" s="129" t="s">
        <v>341</v>
      </c>
      <c r="F23" s="471" t="s">
        <v>353</v>
      </c>
    </row>
    <row r="24" spans="1:6" ht="20.100000000000001" customHeight="1" x14ac:dyDescent="0.25">
      <c r="A24" s="226" t="s">
        <v>74</v>
      </c>
      <c r="B24" s="236">
        <f t="shared" si="0"/>
        <v>45828</v>
      </c>
      <c r="C24" s="129"/>
      <c r="D24" s="129"/>
      <c r="E24" s="129" t="s">
        <v>341</v>
      </c>
      <c r="F24" s="471" t="s">
        <v>353</v>
      </c>
    </row>
    <row r="25" spans="1:6" ht="20.100000000000001" customHeight="1" x14ac:dyDescent="0.25">
      <c r="A25" s="226" t="s">
        <v>75</v>
      </c>
      <c r="B25" s="236">
        <f t="shared" si="0"/>
        <v>45829</v>
      </c>
      <c r="C25" s="129"/>
      <c r="D25" s="129"/>
      <c r="E25" s="129" t="s">
        <v>341</v>
      </c>
      <c r="F25" s="129" t="s">
        <v>342</v>
      </c>
    </row>
    <row r="26" spans="1:6" ht="20.100000000000001" customHeight="1" x14ac:dyDescent="0.25">
      <c r="A26" s="226" t="s">
        <v>76</v>
      </c>
      <c r="B26" s="236">
        <f t="shared" si="0"/>
        <v>45830</v>
      </c>
      <c r="C26" s="129"/>
      <c r="D26" s="129"/>
      <c r="E26" s="129" t="s">
        <v>341</v>
      </c>
      <c r="F26" s="129" t="s">
        <v>342</v>
      </c>
    </row>
    <row r="27" spans="1:6" ht="20.100000000000001" customHeight="1" x14ac:dyDescent="0.25">
      <c r="A27" s="226" t="s">
        <v>77</v>
      </c>
      <c r="B27" s="236">
        <f t="shared" si="0"/>
        <v>45831</v>
      </c>
      <c r="C27" s="129"/>
      <c r="D27" s="129"/>
      <c r="E27" s="129" t="s">
        <v>341</v>
      </c>
      <c r="F27" s="129" t="s">
        <v>342</v>
      </c>
    </row>
    <row r="28" spans="1:6" ht="20.100000000000001" customHeight="1" x14ac:dyDescent="0.25">
      <c r="A28" s="226" t="s">
        <v>78</v>
      </c>
      <c r="B28" s="236">
        <f t="shared" si="0"/>
        <v>45832</v>
      </c>
      <c r="C28" s="129"/>
      <c r="D28" s="129"/>
      <c r="E28" s="129" t="s">
        <v>341</v>
      </c>
      <c r="F28" s="129" t="s">
        <v>342</v>
      </c>
    </row>
    <row r="29" spans="1:6" ht="20.100000000000001" customHeight="1" x14ac:dyDescent="0.25">
      <c r="A29" s="226" t="s">
        <v>79</v>
      </c>
      <c r="B29" s="236">
        <f t="shared" si="0"/>
        <v>45833</v>
      </c>
      <c r="C29" s="129"/>
      <c r="D29" s="129"/>
      <c r="E29" s="129" t="s">
        <v>341</v>
      </c>
      <c r="F29" s="129" t="s">
        <v>342</v>
      </c>
    </row>
    <row r="30" spans="1:6" ht="20.100000000000001" customHeight="1" x14ac:dyDescent="0.25">
      <c r="A30" s="226" t="s">
        <v>80</v>
      </c>
      <c r="B30" s="236">
        <f t="shared" si="0"/>
        <v>45834</v>
      </c>
      <c r="C30" s="129"/>
      <c r="D30" s="129"/>
      <c r="E30" s="129" t="s">
        <v>341</v>
      </c>
      <c r="F30" s="129" t="s">
        <v>342</v>
      </c>
    </row>
    <row r="31" spans="1:6" ht="20.100000000000001" customHeight="1" x14ac:dyDescent="0.25">
      <c r="A31" s="226" t="s">
        <v>81</v>
      </c>
      <c r="B31" s="236">
        <f t="shared" si="0"/>
        <v>45835</v>
      </c>
      <c r="C31" s="129"/>
      <c r="D31" s="129"/>
      <c r="E31" s="129" t="s">
        <v>341</v>
      </c>
      <c r="F31" s="129" t="s">
        <v>342</v>
      </c>
    </row>
    <row r="32" spans="1:6" ht="20.100000000000001" customHeight="1" x14ac:dyDescent="0.25">
      <c r="A32" s="226" t="s">
        <v>82</v>
      </c>
      <c r="B32" s="236">
        <f t="shared" si="0"/>
        <v>45836</v>
      </c>
      <c r="C32" s="129"/>
      <c r="D32" s="129"/>
      <c r="E32" s="129" t="s">
        <v>341</v>
      </c>
      <c r="F32" s="129" t="s">
        <v>342</v>
      </c>
    </row>
    <row r="33" spans="1:6" ht="20.100000000000001" customHeight="1" x14ac:dyDescent="0.25">
      <c r="A33" s="226" t="s">
        <v>83</v>
      </c>
      <c r="B33" s="236">
        <f t="shared" si="0"/>
        <v>45837</v>
      </c>
      <c r="C33" s="129"/>
      <c r="D33" s="129"/>
      <c r="E33" s="129" t="s">
        <v>341</v>
      </c>
      <c r="F33" s="129" t="s">
        <v>342</v>
      </c>
    </row>
    <row r="34" spans="1:6" ht="20.100000000000001" customHeight="1" x14ac:dyDescent="0.25">
      <c r="A34" s="226" t="s">
        <v>84</v>
      </c>
      <c r="B34" s="236">
        <f t="shared" si="0"/>
        <v>45838</v>
      </c>
      <c r="C34" s="129"/>
      <c r="D34" s="129"/>
      <c r="E34" s="129" t="s">
        <v>341</v>
      </c>
      <c r="F34" s="129" t="s">
        <v>342</v>
      </c>
    </row>
  </sheetData>
  <sheetProtection algorithmName="SHA-512" hashValue="527sWsygSGHe67TaezqL+2INyiyrcEyozilgv60z+E1wCVPSllVzng68W83xZSGZ0xZ2sfJUmoBSSWJFrgBN9w==" saltValue="jEQNC+0AiDnjoJpi3RxTzA==" spinCount="100000" sheet="1" objects="1" scenarios="1" formatColumns="0" formatRows="0" insertColumns="0" insertRows="0" sort="0" autoFilter="0" pivotTables="0"/>
  <mergeCells count="1">
    <mergeCell ref="B1:F1"/>
  </mergeCells>
  <phoneticPr fontId="45" type="noConversion"/>
  <printOptions horizontalCentered="1"/>
  <pageMargins left="0.59055118110236227" right="0.39370078740157483" top="0.39370078740157483" bottom="0.39370078740157483" header="0.31496062992125984" footer="0.31496062992125984"/>
  <pageSetup paperSize="9" scale="92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ube">
    <tabColor theme="1"/>
    <pageSetUpPr fitToPage="1"/>
  </sheetPr>
  <dimension ref="A1:F35"/>
  <sheetViews>
    <sheetView zoomScale="85" zoomScaleNormal="85" workbookViewId="0">
      <selection activeCell="A36" sqref="A36:XFD36"/>
    </sheetView>
  </sheetViews>
  <sheetFormatPr defaultColWidth="0" defaultRowHeight="20.100000000000001" customHeight="1" zeroHeight="1" x14ac:dyDescent="0.25"/>
  <cols>
    <col min="1" max="2" width="12.7109375" style="226" customWidth="1"/>
    <col min="3" max="3" width="20.7109375" style="226" customWidth="1"/>
    <col min="4" max="4" width="24.7109375" style="226" customWidth="1"/>
    <col min="5" max="5" width="28.7109375" style="226" customWidth="1"/>
    <col min="6" max="6" width="2.7109375" style="226" customWidth="1"/>
    <col min="7" max="16384" width="24.7109375" style="226" hidden="1"/>
  </cols>
  <sheetData>
    <row r="1" spans="1:5" ht="20.100000000000001" customHeight="1" thickBot="1" x14ac:dyDescent="0.3">
      <c r="B1" s="497" t="s">
        <v>181</v>
      </c>
      <c r="C1" s="498"/>
      <c r="D1" s="498"/>
      <c r="E1" s="499"/>
    </row>
    <row r="2" spans="1:5" ht="20.100000000000001" customHeight="1" x14ac:dyDescent="0.25">
      <c r="B2" s="227" t="s">
        <v>113</v>
      </c>
      <c r="C2" s="228" t="str">
        <f>MR!F14</f>
        <v>MPR 632  RFD</v>
      </c>
      <c r="D2" s="229" t="str">
        <f>IF(MR!P10="","",MR!P10)</f>
        <v>Period :</v>
      </c>
      <c r="E2" s="230" t="str">
        <f>IF(MR!R10="","",MR!R10)</f>
        <v>1 - 30 June 2025</v>
      </c>
    </row>
    <row r="3" spans="1:5" ht="20.100000000000001" customHeight="1" thickBot="1" x14ac:dyDescent="0.3">
      <c r="B3" s="231" t="str">
        <f>MR!$E$15</f>
        <v>Engine S/N</v>
      </c>
      <c r="C3" s="232" t="str">
        <f>MR!F15</f>
        <v>FP 65354</v>
      </c>
      <c r="D3" s="233" t="str">
        <f>IF(MR!P11="","",MR!P11)</f>
        <v>Compressor Location :</v>
      </c>
      <c r="E3" s="234" t="str">
        <f>IF(MR!R11="","",MR!R11)</f>
        <v>SP. Tambun - Cluster F</v>
      </c>
    </row>
    <row r="4" spans="1:5" ht="20.100000000000001" customHeight="1" thickBot="1" x14ac:dyDescent="0.3">
      <c r="B4" s="235" t="s">
        <v>40</v>
      </c>
      <c r="C4" s="235" t="s">
        <v>0</v>
      </c>
      <c r="D4" s="235" t="s">
        <v>180</v>
      </c>
      <c r="E4" s="235" t="s">
        <v>8</v>
      </c>
    </row>
    <row r="5" spans="1:5" ht="20.100000000000001" customHeight="1" x14ac:dyDescent="0.25">
      <c r="A5" s="226" t="s">
        <v>55</v>
      </c>
      <c r="B5" s="245">
        <f>DATE(YEAR(MR!F10),MONTH(MR!F10)-1,1)</f>
        <v>45809</v>
      </c>
      <c r="C5" s="346"/>
      <c r="D5" s="128"/>
      <c r="E5" s="128"/>
    </row>
    <row r="6" spans="1:5" ht="20.100000000000001" customHeight="1" x14ac:dyDescent="0.25">
      <c r="A6" s="226" t="s">
        <v>56</v>
      </c>
      <c r="B6" s="236">
        <f>B5+1</f>
        <v>45810</v>
      </c>
      <c r="C6" s="347"/>
      <c r="D6" s="129"/>
      <c r="E6" s="129"/>
    </row>
    <row r="7" spans="1:5" ht="20.100000000000001" customHeight="1" x14ac:dyDescent="0.25">
      <c r="A7" s="226" t="s">
        <v>57</v>
      </c>
      <c r="B7" s="236">
        <f t="shared" ref="B7:B34" si="0">B6+1</f>
        <v>45811</v>
      </c>
      <c r="C7" s="347"/>
      <c r="D7" s="129"/>
      <c r="E7" s="129"/>
    </row>
    <row r="8" spans="1:5" ht="20.100000000000001" customHeight="1" x14ac:dyDescent="0.25">
      <c r="A8" s="226" t="s">
        <v>58</v>
      </c>
      <c r="B8" s="236">
        <f t="shared" si="0"/>
        <v>45812</v>
      </c>
      <c r="C8" s="347"/>
      <c r="D8" s="129"/>
      <c r="E8" s="129"/>
    </row>
    <row r="9" spans="1:5" ht="20.100000000000001" customHeight="1" x14ac:dyDescent="0.25">
      <c r="A9" s="226" t="s">
        <v>59</v>
      </c>
      <c r="B9" s="236">
        <f t="shared" si="0"/>
        <v>45813</v>
      </c>
      <c r="C9" s="347"/>
      <c r="D9" s="129"/>
      <c r="E9" s="129"/>
    </row>
    <row r="10" spans="1:5" ht="20.100000000000001" customHeight="1" x14ac:dyDescent="0.25">
      <c r="A10" s="226" t="s">
        <v>60</v>
      </c>
      <c r="B10" s="236">
        <f t="shared" si="0"/>
        <v>45814</v>
      </c>
      <c r="C10" s="347"/>
      <c r="D10" s="129"/>
      <c r="E10" s="129"/>
    </row>
    <row r="11" spans="1:5" ht="20.100000000000001" customHeight="1" x14ac:dyDescent="0.25">
      <c r="A11" s="226" t="s">
        <v>61</v>
      </c>
      <c r="B11" s="236">
        <f t="shared" si="0"/>
        <v>45815</v>
      </c>
      <c r="C11" s="347"/>
      <c r="D11" s="129"/>
      <c r="E11" s="129"/>
    </row>
    <row r="12" spans="1:5" ht="20.100000000000001" customHeight="1" x14ac:dyDescent="0.25">
      <c r="A12" s="226" t="s">
        <v>62</v>
      </c>
      <c r="B12" s="236">
        <f t="shared" si="0"/>
        <v>45816</v>
      </c>
      <c r="C12" s="347"/>
      <c r="D12" s="129"/>
      <c r="E12" s="129"/>
    </row>
    <row r="13" spans="1:5" ht="20.100000000000001" customHeight="1" x14ac:dyDescent="0.25">
      <c r="A13" s="226" t="s">
        <v>63</v>
      </c>
      <c r="B13" s="236">
        <f t="shared" si="0"/>
        <v>45817</v>
      </c>
      <c r="C13" s="347"/>
      <c r="D13" s="129"/>
      <c r="E13" s="129"/>
    </row>
    <row r="14" spans="1:5" ht="20.100000000000001" customHeight="1" x14ac:dyDescent="0.25">
      <c r="A14" s="226" t="s">
        <v>64</v>
      </c>
      <c r="B14" s="236">
        <f t="shared" si="0"/>
        <v>45818</v>
      </c>
      <c r="C14" s="347"/>
      <c r="D14" s="129"/>
      <c r="E14" s="129"/>
    </row>
    <row r="15" spans="1:5" ht="20.100000000000001" customHeight="1" x14ac:dyDescent="0.25">
      <c r="A15" s="226" t="s">
        <v>65</v>
      </c>
      <c r="B15" s="236">
        <f t="shared" si="0"/>
        <v>45819</v>
      </c>
      <c r="C15" s="347"/>
      <c r="D15" s="129"/>
      <c r="E15" s="129"/>
    </row>
    <row r="16" spans="1:5" ht="20.100000000000001" customHeight="1" x14ac:dyDescent="0.25">
      <c r="A16" s="226" t="s">
        <v>66</v>
      </c>
      <c r="B16" s="236">
        <f t="shared" si="0"/>
        <v>45820</v>
      </c>
      <c r="C16" s="347"/>
      <c r="D16" s="129"/>
      <c r="E16" s="129"/>
    </row>
    <row r="17" spans="1:5" ht="20.100000000000001" customHeight="1" x14ac:dyDescent="0.25">
      <c r="A17" s="226" t="s">
        <v>67</v>
      </c>
      <c r="B17" s="236">
        <f t="shared" si="0"/>
        <v>45821</v>
      </c>
      <c r="C17" s="347"/>
      <c r="D17" s="129"/>
      <c r="E17" s="129"/>
    </row>
    <row r="18" spans="1:5" ht="20.100000000000001" customHeight="1" x14ac:dyDescent="0.25">
      <c r="A18" s="226" t="s">
        <v>68</v>
      </c>
      <c r="B18" s="236">
        <f t="shared" si="0"/>
        <v>45822</v>
      </c>
      <c r="C18" s="347"/>
      <c r="D18" s="129"/>
      <c r="E18" s="129"/>
    </row>
    <row r="19" spans="1:5" ht="20.100000000000001" customHeight="1" x14ac:dyDescent="0.25">
      <c r="A19" s="226" t="s">
        <v>69</v>
      </c>
      <c r="B19" s="236">
        <f t="shared" si="0"/>
        <v>45823</v>
      </c>
      <c r="C19" s="347"/>
      <c r="D19" s="129"/>
      <c r="E19" s="129"/>
    </row>
    <row r="20" spans="1:5" ht="20.100000000000001" customHeight="1" x14ac:dyDescent="0.25">
      <c r="A20" s="226" t="s">
        <v>70</v>
      </c>
      <c r="B20" s="236">
        <f t="shared" si="0"/>
        <v>45824</v>
      </c>
      <c r="C20" s="347"/>
      <c r="D20" s="129"/>
      <c r="E20" s="129"/>
    </row>
    <row r="21" spans="1:5" ht="20.100000000000001" customHeight="1" x14ac:dyDescent="0.25">
      <c r="A21" s="226" t="s">
        <v>71</v>
      </c>
      <c r="B21" s="236">
        <f t="shared" si="0"/>
        <v>45825</v>
      </c>
      <c r="C21" s="347"/>
      <c r="D21" s="129"/>
      <c r="E21" s="129"/>
    </row>
    <row r="22" spans="1:5" ht="20.100000000000001" customHeight="1" x14ac:dyDescent="0.25">
      <c r="A22" s="226" t="s">
        <v>72</v>
      </c>
      <c r="B22" s="236">
        <f t="shared" si="0"/>
        <v>45826</v>
      </c>
      <c r="C22" s="347"/>
      <c r="D22" s="129"/>
      <c r="E22" s="129"/>
    </row>
    <row r="23" spans="1:5" ht="20.100000000000001" customHeight="1" x14ac:dyDescent="0.25">
      <c r="A23" s="226" t="s">
        <v>73</v>
      </c>
      <c r="B23" s="236">
        <f t="shared" si="0"/>
        <v>45827</v>
      </c>
      <c r="C23" s="347"/>
      <c r="D23" s="129"/>
      <c r="E23" s="129"/>
    </row>
    <row r="24" spans="1:5" ht="20.100000000000001" customHeight="1" x14ac:dyDescent="0.25">
      <c r="A24" s="226" t="s">
        <v>74</v>
      </c>
      <c r="B24" s="236">
        <f t="shared" si="0"/>
        <v>45828</v>
      </c>
      <c r="C24" s="347"/>
      <c r="D24" s="129"/>
      <c r="E24" s="129"/>
    </row>
    <row r="25" spans="1:5" ht="20.100000000000001" customHeight="1" x14ac:dyDescent="0.25">
      <c r="A25" s="226" t="s">
        <v>75</v>
      </c>
      <c r="B25" s="236">
        <f t="shared" si="0"/>
        <v>45829</v>
      </c>
      <c r="C25" s="347"/>
      <c r="D25" s="129"/>
      <c r="E25" s="129"/>
    </row>
    <row r="26" spans="1:5" ht="20.100000000000001" customHeight="1" x14ac:dyDescent="0.25">
      <c r="A26" s="226" t="s">
        <v>76</v>
      </c>
      <c r="B26" s="236">
        <f t="shared" si="0"/>
        <v>45830</v>
      </c>
      <c r="C26" s="347"/>
      <c r="D26" s="129"/>
      <c r="E26" s="129"/>
    </row>
    <row r="27" spans="1:5" ht="20.100000000000001" customHeight="1" x14ac:dyDescent="0.25">
      <c r="A27" s="226" t="s">
        <v>77</v>
      </c>
      <c r="B27" s="236">
        <f t="shared" si="0"/>
        <v>45831</v>
      </c>
      <c r="C27" s="347"/>
      <c r="D27" s="129"/>
      <c r="E27" s="129"/>
    </row>
    <row r="28" spans="1:5" ht="20.100000000000001" customHeight="1" x14ac:dyDescent="0.25">
      <c r="A28" s="226" t="s">
        <v>78</v>
      </c>
      <c r="B28" s="236">
        <f t="shared" si="0"/>
        <v>45832</v>
      </c>
      <c r="C28" s="347"/>
      <c r="D28" s="129"/>
      <c r="E28" s="129"/>
    </row>
    <row r="29" spans="1:5" ht="20.100000000000001" customHeight="1" x14ac:dyDescent="0.25">
      <c r="A29" s="226" t="s">
        <v>79</v>
      </c>
      <c r="B29" s="236">
        <f t="shared" si="0"/>
        <v>45833</v>
      </c>
      <c r="C29" s="347"/>
      <c r="D29" s="129"/>
      <c r="E29" s="129"/>
    </row>
    <row r="30" spans="1:5" ht="20.100000000000001" customHeight="1" x14ac:dyDescent="0.25">
      <c r="A30" s="226" t="s">
        <v>80</v>
      </c>
      <c r="B30" s="236">
        <f t="shared" si="0"/>
        <v>45834</v>
      </c>
      <c r="C30" s="347"/>
      <c r="D30" s="129"/>
      <c r="E30" s="129"/>
    </row>
    <row r="31" spans="1:5" ht="20.100000000000001" customHeight="1" x14ac:dyDescent="0.25">
      <c r="A31" s="226" t="s">
        <v>81</v>
      </c>
      <c r="B31" s="236">
        <f t="shared" si="0"/>
        <v>45835</v>
      </c>
      <c r="C31" s="347"/>
      <c r="D31" s="129"/>
      <c r="E31" s="129"/>
    </row>
    <row r="32" spans="1:5" ht="20.100000000000001" customHeight="1" x14ac:dyDescent="0.25">
      <c r="A32" s="226" t="s">
        <v>82</v>
      </c>
      <c r="B32" s="236">
        <f t="shared" si="0"/>
        <v>45836</v>
      </c>
      <c r="C32" s="347"/>
      <c r="D32" s="129"/>
      <c r="E32" s="129"/>
    </row>
    <row r="33" spans="1:5" ht="20.100000000000001" customHeight="1" x14ac:dyDescent="0.25">
      <c r="A33" s="226" t="s">
        <v>83</v>
      </c>
      <c r="B33" s="236">
        <f t="shared" si="0"/>
        <v>45837</v>
      </c>
      <c r="C33" s="347"/>
      <c r="D33" s="129"/>
      <c r="E33" s="129"/>
    </row>
    <row r="34" spans="1:5" ht="20.100000000000001" customHeight="1" thickBot="1" x14ac:dyDescent="0.3">
      <c r="A34" s="226" t="s">
        <v>84</v>
      </c>
      <c r="B34" s="236">
        <f t="shared" si="0"/>
        <v>45838</v>
      </c>
      <c r="C34" s="347"/>
      <c r="D34" s="129"/>
      <c r="E34" s="129"/>
    </row>
    <row r="35" spans="1:5" ht="20.100000000000001" customHeight="1" thickBot="1" x14ac:dyDescent="0.3">
      <c r="B35" s="53" t="s">
        <v>54</v>
      </c>
      <c r="C35" s="237"/>
      <c r="D35" s="235" t="str">
        <f>IF(COUNT(D5:D34)=0,"",SUM(D5:D34))</f>
        <v/>
      </c>
      <c r="E35" s="239"/>
    </row>
  </sheetData>
  <sheetProtection algorithmName="SHA-512" hashValue="pzLAgxn+keTA7yFKMs3mt21TOHB6JISO2uH7X/MAvdgw7XGPGnWWK5Mh45FN3VwY3/PmSFyQts8icl3zs6hMFw==" saltValue="jF9CO9QNXUqIDR5s5F/JBQ==" spinCount="100000" sheet="1" objects="1" scenarios="1" formatColumns="0" formatRows="0" insertColumns="0" insertRows="0" sort="0" autoFilter="0" pivotTables="0"/>
  <mergeCells count="1">
    <mergeCell ref="B1:E1"/>
  </mergeCells>
  <printOptions horizontalCentered="1"/>
  <pageMargins left="0.59055118110236227" right="0.39370078740157483" top="0.39370078740157483" bottom="0.39370078740157483" header="0.31496062992125984" footer="0.31496062992125984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N01">
    <pageSetUpPr fitToPage="1"/>
  </sheetPr>
  <dimension ref="A1:BC94"/>
  <sheetViews>
    <sheetView topLeftCell="A16" zoomScale="85" zoomScaleNormal="85" workbookViewId="0">
      <selection activeCell="I33" sqref="I33"/>
    </sheetView>
  </sheetViews>
  <sheetFormatPr defaultColWidth="0" defaultRowHeight="0" customHeight="1" zeroHeight="1" x14ac:dyDescent="0.25"/>
  <cols>
    <col min="1" max="1" width="10.7109375" style="7" customWidth="1"/>
    <col min="2" max="3" width="10.7109375" style="7" hidden="1" customWidth="1"/>
    <col min="4" max="14" width="10.7109375" style="7" customWidth="1"/>
    <col min="15" max="17" width="11.7109375" style="7" customWidth="1"/>
    <col min="18" max="18" width="10.7109375" style="7" hidden="1" customWidth="1"/>
    <col min="19" max="22" width="10.7109375" style="7" customWidth="1"/>
    <col min="23" max="23" width="2.7109375" style="7" customWidth="1"/>
    <col min="24" max="29" width="10.7109375" style="7" customWidth="1"/>
    <col min="30" max="30" width="30.7109375" style="7" customWidth="1"/>
    <col min="31" max="33" width="11.7109375" style="7" customWidth="1"/>
    <col min="34" max="34" width="30.7109375" style="7" customWidth="1"/>
    <col min="35" max="35" width="2.7109375" style="7" hidden="1" customWidth="1"/>
    <col min="36" max="55" width="11.7109375" style="7" hidden="1" customWidth="1"/>
    <col min="56" max="16384" width="9.140625" style="7" hidden="1"/>
  </cols>
  <sheetData>
    <row r="1" spans="1:55" ht="15" customHeight="1" x14ac:dyDescent="0.25">
      <c r="A1" s="7" t="s">
        <v>16</v>
      </c>
      <c r="D1" s="11" t="s">
        <v>85</v>
      </c>
      <c r="J1" s="7" t="str">
        <f>IF(MR!U13="Yes","PRINT","No")</f>
        <v>PRINT</v>
      </c>
      <c r="M1" s="191"/>
      <c r="N1" s="191"/>
    </row>
    <row r="2" spans="1:55" ht="15" customHeight="1" thickBot="1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192"/>
      <c r="M2" s="4"/>
      <c r="N2" s="4"/>
      <c r="O2" s="4"/>
      <c r="P2" s="4"/>
      <c r="Q2" s="4"/>
      <c r="R2" s="4"/>
      <c r="S2" s="8"/>
      <c r="T2" s="8"/>
      <c r="U2" s="8"/>
      <c r="V2" s="8"/>
      <c r="X2" s="8"/>
      <c r="Y2" s="8"/>
      <c r="Z2" s="8"/>
      <c r="AA2" s="8"/>
      <c r="AB2" s="8"/>
      <c r="AC2" s="8"/>
      <c r="AD2" s="8"/>
      <c r="AE2" s="8"/>
    </row>
    <row r="3" spans="1:55" ht="15" customHeight="1" x14ac:dyDescent="0.2">
      <c r="A3" s="31"/>
      <c r="B3" s="28"/>
      <c r="C3" s="28"/>
      <c r="D3" s="28"/>
      <c r="E3" s="28"/>
      <c r="F3" s="13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2"/>
      <c r="T3" s="22"/>
      <c r="U3" s="22"/>
      <c r="V3" s="23"/>
      <c r="X3" s="8"/>
      <c r="Y3" s="8"/>
      <c r="Z3" s="8"/>
      <c r="AA3" s="8"/>
      <c r="AB3" s="8"/>
      <c r="AC3" s="8"/>
      <c r="AD3" s="8"/>
      <c r="AE3" s="8"/>
    </row>
    <row r="4" spans="1:55" ht="30" customHeight="1" x14ac:dyDescent="0.25">
      <c r="A4" s="30"/>
      <c r="B4" s="1"/>
      <c r="C4" s="1"/>
      <c r="D4" s="1"/>
      <c r="E4" s="3"/>
      <c r="F4" s="63" t="s">
        <v>210</v>
      </c>
      <c r="G4" s="1"/>
      <c r="H4" s="1"/>
      <c r="I4" s="3"/>
      <c r="J4" s="3"/>
      <c r="K4" s="3"/>
      <c r="L4" s="3"/>
      <c r="M4" s="3"/>
      <c r="N4" s="3"/>
      <c r="O4" s="3"/>
      <c r="P4" s="3"/>
      <c r="Q4" s="3"/>
      <c r="R4" s="3"/>
      <c r="S4" s="1"/>
      <c r="T4" s="1"/>
      <c r="U4" s="1"/>
      <c r="V4" s="2"/>
      <c r="X4" s="5"/>
      <c r="Y4" s="5"/>
      <c r="Z4" s="5"/>
      <c r="AA4" s="5"/>
      <c r="AB4" s="5"/>
      <c r="AC4" s="5"/>
      <c r="AD4" s="5"/>
      <c r="AE4" s="5"/>
    </row>
    <row r="5" spans="1:55" ht="15" customHeight="1" x14ac:dyDescent="0.2">
      <c r="A5" s="32"/>
      <c r="B5" s="33"/>
      <c r="C5" s="33"/>
      <c r="D5" s="12"/>
      <c r="E5" s="3"/>
      <c r="F5" s="10" t="s">
        <v>129</v>
      </c>
      <c r="G5" s="1"/>
      <c r="H5" s="1"/>
      <c r="I5" s="3"/>
      <c r="J5" s="3"/>
      <c r="K5" s="3"/>
      <c r="L5" s="3"/>
      <c r="M5" s="3"/>
      <c r="N5" s="3"/>
      <c r="O5" s="3"/>
      <c r="P5" s="3"/>
      <c r="Q5" s="3"/>
      <c r="R5" s="3"/>
      <c r="S5" s="12"/>
      <c r="T5" s="12"/>
      <c r="U5" s="12"/>
      <c r="V5" s="14"/>
      <c r="X5" s="8"/>
      <c r="Y5" s="8"/>
      <c r="Z5" s="8"/>
      <c r="AA5" s="8"/>
      <c r="AB5" s="8"/>
      <c r="AC5" s="8"/>
      <c r="AD5" s="8"/>
      <c r="AE5" s="8"/>
      <c r="AJ5" s="193" t="s">
        <v>184</v>
      </c>
      <c r="AK5" s="194">
        <f>'V Calc'!B1</f>
        <v>500</v>
      </c>
      <c r="AL5" s="124"/>
    </row>
    <row r="6" spans="1:55" ht="15" customHeight="1" x14ac:dyDescent="0.2">
      <c r="A6" s="32"/>
      <c r="B6" s="33"/>
      <c r="C6" s="33"/>
      <c r="D6" s="12"/>
      <c r="E6" s="3"/>
      <c r="F6" s="10" t="s">
        <v>132</v>
      </c>
      <c r="G6" s="1"/>
      <c r="H6" s="1"/>
      <c r="I6" s="3"/>
      <c r="J6" s="3"/>
      <c r="K6" s="3"/>
      <c r="L6" s="3"/>
      <c r="M6" s="3"/>
      <c r="N6" s="3"/>
      <c r="O6" s="3"/>
      <c r="P6" s="3"/>
      <c r="Q6" s="3"/>
      <c r="R6" s="3"/>
      <c r="S6" s="12"/>
      <c r="T6" s="12"/>
      <c r="U6" s="12"/>
      <c r="V6" s="14"/>
      <c r="X6" s="8"/>
      <c r="Y6" s="8"/>
      <c r="Z6" s="8"/>
      <c r="AA6" s="8"/>
      <c r="AB6" s="8"/>
      <c r="AC6" s="8"/>
      <c r="AD6" s="8"/>
      <c r="AE6" s="8"/>
      <c r="AJ6" s="193" t="s">
        <v>185</v>
      </c>
      <c r="AK6" s="194">
        <f>'V Calc'!B2</f>
        <v>100</v>
      </c>
      <c r="AL6" s="124"/>
    </row>
    <row r="7" spans="1:55" ht="15" customHeight="1" x14ac:dyDescent="0.2">
      <c r="A7" s="32"/>
      <c r="B7" s="33"/>
      <c r="C7" s="33"/>
      <c r="D7" s="12"/>
      <c r="E7" s="3"/>
      <c r="F7" s="10" t="s">
        <v>130</v>
      </c>
      <c r="G7" s="1"/>
      <c r="H7" s="1"/>
      <c r="I7" s="3"/>
      <c r="J7" s="3"/>
      <c r="K7" s="3"/>
      <c r="L7" s="3"/>
      <c r="M7" s="3"/>
      <c r="N7" s="3"/>
      <c r="O7" s="3"/>
      <c r="P7" s="3"/>
      <c r="Q7" s="3"/>
      <c r="R7" s="3"/>
      <c r="S7" s="12"/>
      <c r="T7" s="12"/>
      <c r="U7" s="12"/>
      <c r="V7" s="14"/>
      <c r="X7" s="8"/>
      <c r="Y7" s="8"/>
      <c r="Z7" s="8"/>
      <c r="AA7" s="8"/>
      <c r="AB7" s="8"/>
      <c r="AC7" s="8"/>
      <c r="AD7" s="8"/>
      <c r="AE7" s="8"/>
      <c r="AJ7" s="193" t="s">
        <v>186</v>
      </c>
      <c r="AK7" s="195">
        <f>'V Calc'!B3</f>
        <v>2</v>
      </c>
      <c r="AL7" s="124"/>
    </row>
    <row r="8" spans="1:55" ht="15" customHeight="1" x14ac:dyDescent="0.2">
      <c r="A8" s="32"/>
      <c r="B8" s="33"/>
      <c r="C8" s="33"/>
      <c r="D8" s="12"/>
      <c r="E8" s="3"/>
      <c r="F8" s="10" t="s">
        <v>131</v>
      </c>
      <c r="G8" s="62"/>
      <c r="H8" s="62"/>
      <c r="I8" s="3"/>
      <c r="J8" s="3"/>
      <c r="K8" s="3"/>
      <c r="L8" s="3"/>
      <c r="M8" s="3"/>
      <c r="N8" s="3"/>
      <c r="O8" s="3"/>
      <c r="P8" s="3"/>
      <c r="Q8" s="3"/>
      <c r="R8" s="3"/>
      <c r="S8" s="12"/>
      <c r="T8" s="12"/>
      <c r="U8" s="12"/>
      <c r="V8" s="14"/>
      <c r="X8" s="8"/>
      <c r="Y8" s="8"/>
      <c r="Z8" s="8"/>
      <c r="AA8" s="8"/>
      <c r="AB8" s="8"/>
      <c r="AC8" s="8"/>
      <c r="AD8" s="8"/>
      <c r="AE8" s="8"/>
      <c r="AJ8" s="193" t="s">
        <v>187</v>
      </c>
      <c r="AK8" s="195">
        <f>'V Calc'!B4</f>
        <v>0.875</v>
      </c>
      <c r="AL8" s="124"/>
    </row>
    <row r="9" spans="1:55" ht="15" customHeight="1" thickBot="1" x14ac:dyDescent="0.25">
      <c r="A9" s="34"/>
      <c r="B9" s="29"/>
      <c r="C9" s="29"/>
      <c r="D9" s="29"/>
      <c r="E9" s="29"/>
      <c r="F9" s="15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16"/>
      <c r="T9" s="16"/>
      <c r="U9" s="16"/>
      <c r="V9" s="17"/>
      <c r="X9" s="8"/>
      <c r="Y9" s="8"/>
      <c r="Z9" s="8"/>
      <c r="AA9" s="8"/>
      <c r="AB9" s="8"/>
      <c r="AC9" s="8"/>
      <c r="AD9" s="8"/>
      <c r="AE9" s="8"/>
      <c r="AJ9" s="196" t="s">
        <v>188</v>
      </c>
      <c r="AK9" s="197">
        <f>'V Calc'!B5</f>
        <v>158.47</v>
      </c>
      <c r="AL9" s="198"/>
    </row>
    <row r="10" spans="1:55" s="9" customFormat="1" ht="30" customHeight="1" x14ac:dyDescent="0.2">
      <c r="A10" s="513" t="s">
        <v>20</v>
      </c>
      <c r="B10" s="514"/>
      <c r="C10" s="514"/>
      <c r="D10" s="514"/>
      <c r="E10" s="514"/>
      <c r="F10" s="514"/>
      <c r="G10" s="514"/>
      <c r="H10" s="514"/>
      <c r="I10" s="514"/>
      <c r="J10" s="514"/>
      <c r="K10" s="514"/>
      <c r="L10" s="514"/>
      <c r="M10" s="514"/>
      <c r="N10" s="514"/>
      <c r="O10" s="514"/>
      <c r="P10" s="514"/>
      <c r="Q10" s="514"/>
      <c r="R10" s="514"/>
      <c r="S10" s="514"/>
      <c r="T10" s="514"/>
      <c r="U10" s="514"/>
      <c r="V10" s="515"/>
      <c r="X10" s="96"/>
      <c r="Y10" s="96"/>
      <c r="Z10" s="96"/>
      <c r="AA10" s="96"/>
      <c r="AB10" s="96"/>
      <c r="AC10" s="96"/>
      <c r="AJ10" s="193" t="s">
        <v>189</v>
      </c>
      <c r="AK10" s="199">
        <f>'V Calc'!B6</f>
        <v>0.63607464142166403</v>
      </c>
      <c r="AL10" s="198" t="s">
        <v>190</v>
      </c>
    </row>
    <row r="11" spans="1:55" s="9" customFormat="1" ht="20.100000000000001" customHeight="1" thickBot="1" x14ac:dyDescent="0.25">
      <c r="A11" s="516" t="s">
        <v>21</v>
      </c>
      <c r="B11" s="517"/>
      <c r="C11" s="517"/>
      <c r="D11" s="517"/>
      <c r="E11" s="517"/>
      <c r="F11" s="517"/>
      <c r="G11" s="517"/>
      <c r="H11" s="517"/>
      <c r="I11" s="517"/>
      <c r="J11" s="517"/>
      <c r="K11" s="517"/>
      <c r="L11" s="517"/>
      <c r="M11" s="517"/>
      <c r="N11" s="517"/>
      <c r="O11" s="517"/>
      <c r="P11" s="517"/>
      <c r="Q11" s="517"/>
      <c r="R11" s="517"/>
      <c r="S11" s="517"/>
      <c r="T11" s="517"/>
      <c r="U11" s="517"/>
      <c r="V11" s="518"/>
      <c r="X11" s="97"/>
      <c r="Y11" s="97"/>
      <c r="Z11" s="97"/>
      <c r="AA11" s="97"/>
      <c r="AB11" s="97"/>
      <c r="AC11" s="97"/>
    </row>
    <row r="12" spans="1:55" s="6" customFormat="1" ht="30" customHeight="1" thickBot="1" x14ac:dyDescent="0.3">
      <c r="A12" s="18"/>
      <c r="B12" s="20"/>
      <c r="C12" s="20"/>
      <c r="D12" s="19" t="s">
        <v>121</v>
      </c>
      <c r="E12" s="200" t="str">
        <f>MR!F14</f>
        <v>MPR 632  RFD</v>
      </c>
      <c r="F12" s="35"/>
      <c r="G12" s="19" t="s">
        <v>120</v>
      </c>
      <c r="H12" s="200" t="str">
        <f>IF(Volume!C$4="","",Volume!C$4)</f>
        <v>FP 65354</v>
      </c>
      <c r="I12" s="20"/>
      <c r="J12" s="19" t="s">
        <v>17</v>
      </c>
      <c r="K12" s="505">
        <f>DATE(YEAR(MR!F10),MONTH(MR!F10)-1,1)</f>
        <v>45809</v>
      </c>
      <c r="L12" s="505"/>
      <c r="M12" s="100"/>
      <c r="N12" s="19" t="s">
        <v>119</v>
      </c>
      <c r="O12" s="200" t="str">
        <f>IF(Volume!D$4="","",Volume!D$4)</f>
        <v>SP. Tambun - Cluster F</v>
      </c>
      <c r="P12" s="20"/>
      <c r="Q12" s="19" t="s">
        <v>122</v>
      </c>
      <c r="S12" s="201">
        <f>IF(Volume!E$4="","",Volume!E$4)</f>
        <v>1.25</v>
      </c>
      <c r="T12" s="20"/>
      <c r="U12" s="19" t="s">
        <v>126</v>
      </c>
      <c r="V12" s="202" t="str">
        <f>IF(Volume!F$4="","",Volume!F$4)</f>
        <v>4/0</v>
      </c>
    </row>
    <row r="13" spans="1:55" ht="30" customHeight="1" thickBot="1" x14ac:dyDescent="0.3">
      <c r="A13" s="502" t="s">
        <v>0</v>
      </c>
      <c r="B13" s="502" t="s">
        <v>213</v>
      </c>
      <c r="C13" s="502" t="s">
        <v>212</v>
      </c>
      <c r="D13" s="502" t="s">
        <v>31</v>
      </c>
      <c r="E13" s="502" t="s">
        <v>32</v>
      </c>
      <c r="F13" s="502" t="s">
        <v>2</v>
      </c>
      <c r="G13" s="502" t="s">
        <v>33</v>
      </c>
      <c r="H13" s="502" t="s">
        <v>35</v>
      </c>
      <c r="I13" s="502" t="s">
        <v>36</v>
      </c>
      <c r="J13" s="502" t="s">
        <v>110</v>
      </c>
      <c r="K13" s="502" t="s">
        <v>15</v>
      </c>
      <c r="L13" s="502" t="s">
        <v>34</v>
      </c>
      <c r="M13" s="502" t="s">
        <v>10</v>
      </c>
      <c r="N13" s="502"/>
      <c r="O13" s="506" t="s">
        <v>300</v>
      </c>
      <c r="P13" s="506" t="s">
        <v>299</v>
      </c>
      <c r="Q13" s="502" t="s">
        <v>7</v>
      </c>
      <c r="R13" s="502" t="s">
        <v>88</v>
      </c>
      <c r="S13" s="502" t="s">
        <v>8</v>
      </c>
      <c r="T13" s="502"/>
      <c r="U13" s="502"/>
      <c r="V13" s="502"/>
      <c r="X13" s="98"/>
      <c r="Y13" s="98"/>
      <c r="Z13" s="98"/>
      <c r="AA13" s="98"/>
      <c r="AB13" s="98"/>
      <c r="AC13" s="98"/>
    </row>
    <row r="14" spans="1:55" ht="30" customHeight="1" x14ac:dyDescent="0.25">
      <c r="A14" s="504"/>
      <c r="B14" s="504"/>
      <c r="C14" s="504"/>
      <c r="D14" s="504"/>
      <c r="E14" s="504"/>
      <c r="F14" s="504"/>
      <c r="G14" s="504"/>
      <c r="H14" s="504"/>
      <c r="I14" s="504"/>
      <c r="J14" s="504"/>
      <c r="K14" s="504"/>
      <c r="L14" s="504"/>
      <c r="M14" s="94" t="s">
        <v>3</v>
      </c>
      <c r="N14" s="94" t="s">
        <v>4</v>
      </c>
      <c r="O14" s="507"/>
      <c r="P14" s="507"/>
      <c r="Q14" s="504"/>
      <c r="R14" s="504"/>
      <c r="S14" s="504"/>
      <c r="T14" s="504"/>
      <c r="U14" s="504"/>
      <c r="V14" s="504"/>
      <c r="Y14" s="502" t="s">
        <v>230</v>
      </c>
      <c r="Z14" s="502"/>
      <c r="AA14" s="502"/>
      <c r="AB14" s="502"/>
      <c r="AC14" s="502"/>
      <c r="AD14" s="502" t="s">
        <v>231</v>
      </c>
      <c r="AH14" s="203" t="s">
        <v>232</v>
      </c>
      <c r="AJ14" s="520" t="s">
        <v>191</v>
      </c>
      <c r="AK14" s="520" t="s">
        <v>192</v>
      </c>
      <c r="AL14" s="520" t="s">
        <v>193</v>
      </c>
      <c r="AM14" s="520" t="s">
        <v>194</v>
      </c>
      <c r="AN14" s="520" t="s">
        <v>195</v>
      </c>
      <c r="AO14" s="506" t="s">
        <v>196</v>
      </c>
      <c r="AP14" s="506" t="s">
        <v>197</v>
      </c>
      <c r="AQ14" s="506" t="s">
        <v>198</v>
      </c>
      <c r="AR14" s="506" t="s">
        <v>188</v>
      </c>
      <c r="AS14" s="506" t="s">
        <v>199</v>
      </c>
      <c r="AT14" s="506" t="s">
        <v>200</v>
      </c>
      <c r="AU14" s="506" t="s">
        <v>201</v>
      </c>
      <c r="AV14" s="506" t="s">
        <v>202</v>
      </c>
      <c r="AW14" s="506" t="s">
        <v>203</v>
      </c>
      <c r="AX14" s="506" t="s">
        <v>204</v>
      </c>
      <c r="AY14" s="523" t="s">
        <v>205</v>
      </c>
      <c r="AZ14" s="523" t="s">
        <v>206</v>
      </c>
      <c r="BA14" s="523" t="s">
        <v>207</v>
      </c>
      <c r="BB14" s="523" t="s">
        <v>208</v>
      </c>
      <c r="BC14" s="506" t="s">
        <v>197</v>
      </c>
    </row>
    <row r="15" spans="1:55" ht="20.100000000000001" customHeight="1" thickBot="1" x14ac:dyDescent="0.3">
      <c r="A15" s="503"/>
      <c r="B15" s="95" t="s">
        <v>1</v>
      </c>
      <c r="C15" s="95" t="s">
        <v>1</v>
      </c>
      <c r="D15" s="95" t="s">
        <v>1</v>
      </c>
      <c r="E15" s="95" t="s">
        <v>1</v>
      </c>
      <c r="F15" s="95" t="s">
        <v>140</v>
      </c>
      <c r="G15" s="95" t="s">
        <v>1</v>
      </c>
      <c r="H15" s="95" t="s">
        <v>1</v>
      </c>
      <c r="I15" s="95" t="s">
        <v>1</v>
      </c>
      <c r="J15" s="95" t="s">
        <v>18</v>
      </c>
      <c r="K15" s="95" t="s">
        <v>9</v>
      </c>
      <c r="L15" s="95" t="s">
        <v>5</v>
      </c>
      <c r="M15" s="95" t="s">
        <v>5</v>
      </c>
      <c r="N15" s="95" t="s">
        <v>5</v>
      </c>
      <c r="O15" s="95" t="s">
        <v>1</v>
      </c>
      <c r="P15" s="95" t="s">
        <v>14</v>
      </c>
      <c r="Q15" s="95" t="str">
        <f>IF(MR!G17="MSCF","MSCFD","MMSCFD")</f>
        <v>MSCFD</v>
      </c>
      <c r="R15" s="95" t="str">
        <f>MR!L17</f>
        <v>BPD</v>
      </c>
      <c r="S15" s="503"/>
      <c r="T15" s="503"/>
      <c r="U15" s="503"/>
      <c r="V15" s="503"/>
      <c r="X15" s="365"/>
      <c r="Y15" s="95" t="s">
        <v>123</v>
      </c>
      <c r="Z15" s="95" t="s">
        <v>124</v>
      </c>
      <c r="AA15" s="95" t="s">
        <v>125</v>
      </c>
      <c r="AB15" s="95" t="s">
        <v>51</v>
      </c>
      <c r="AC15" s="95" t="s">
        <v>48</v>
      </c>
      <c r="AD15" s="503"/>
      <c r="AH15" s="204" t="s">
        <v>228</v>
      </c>
      <c r="AJ15" s="521"/>
      <c r="AK15" s="521"/>
      <c r="AL15" s="521"/>
      <c r="AM15" s="521"/>
      <c r="AN15" s="521"/>
      <c r="AO15" s="522"/>
      <c r="AP15" s="522"/>
      <c r="AQ15" s="522"/>
      <c r="AR15" s="522"/>
      <c r="AS15" s="522"/>
      <c r="AT15" s="522"/>
      <c r="AU15" s="522"/>
      <c r="AV15" s="522"/>
      <c r="AW15" s="522"/>
      <c r="AX15" s="522"/>
      <c r="AY15" s="524"/>
      <c r="AZ15" s="524"/>
      <c r="BA15" s="524"/>
      <c r="BB15" s="524"/>
      <c r="BC15" s="522"/>
    </row>
    <row r="16" spans="1:55" ht="19.899999999999999" customHeight="1" x14ac:dyDescent="0.2">
      <c r="A16" s="44">
        <v>4.1666666666666664E-2</v>
      </c>
      <c r="B16" s="450"/>
      <c r="C16" s="450"/>
      <c r="D16" s="450">
        <v>7.4</v>
      </c>
      <c r="E16" s="450">
        <v>63.2</v>
      </c>
      <c r="F16" s="40">
        <v>1920</v>
      </c>
      <c r="G16" s="37">
        <v>-5.5</v>
      </c>
      <c r="H16" s="36">
        <v>71.599999999999994</v>
      </c>
      <c r="I16" s="36">
        <v>21.7</v>
      </c>
      <c r="J16" s="40">
        <v>80</v>
      </c>
      <c r="K16" s="37">
        <v>13</v>
      </c>
      <c r="L16" s="450">
        <v>126</v>
      </c>
      <c r="M16" s="450">
        <v>220</v>
      </c>
      <c r="N16" s="450">
        <v>90</v>
      </c>
      <c r="O16" s="352">
        <v>20</v>
      </c>
      <c r="P16" s="352">
        <v>13</v>
      </c>
      <c r="Q16" s="352">
        <v>188.78</v>
      </c>
      <c r="R16" s="36"/>
      <c r="S16" s="519" t="str">
        <f t="shared" ref="S16:S32" si="0">IF(Z16="",IF(AD16="","",AD16),CONCATENATE(TEXT(Z16,"[hh]:mm"),IF(AA16="",""," - "&amp;TEXT(AA16,"[hh]:mm")),IF(Y16="",""," "&amp;Y16&amp;"/")," "&amp;AD16))</f>
        <v/>
      </c>
      <c r="T16" s="519"/>
      <c r="U16" s="519"/>
      <c r="V16" s="519"/>
      <c r="X16" s="44">
        <v>4.1666666666666664E-2</v>
      </c>
      <c r="Y16" s="105"/>
      <c r="Z16" s="101"/>
      <c r="AA16" s="101"/>
      <c r="AB16" s="44" t="str">
        <f>IF(Y16="STBY",AA16-Z16,"")</f>
        <v/>
      </c>
      <c r="AC16" s="44" t="str">
        <f t="shared" ref="AC16:AC39" si="1">IF(Y16="SD",AA16-Z16,"")</f>
        <v/>
      </c>
      <c r="AD16" s="355"/>
      <c r="AE16" s="9" t="str">
        <f>IF(S16="","",IF(COUNTA(Z16:$Z$39)=1,IF(COUNTA(AD16:$AD$39)=1,""," ; "),IF(COUNTA(AD16:$AD$39)=1,IF(Z16="",""," ; ")," ; ")))</f>
        <v/>
      </c>
      <c r="AF16" s="9" t="str">
        <f t="shared" ref="AF16:AF39" si="2">CONCATENATE(S16,AE16)</f>
        <v/>
      </c>
      <c r="AG16" s="90" t="str">
        <f t="shared" ref="AG16:AG39" si="3">IF(AND(COUNTBLANK(N16:P16)&lt;3,Q16=""),"CEK : Data Flowrate","")</f>
        <v/>
      </c>
      <c r="AH16" s="204" t="s">
        <v>229</v>
      </c>
      <c r="AJ16" s="205">
        <f>AK5</f>
        <v>500</v>
      </c>
      <c r="AK16" s="205">
        <f>AK6</f>
        <v>100</v>
      </c>
      <c r="AL16" s="206">
        <f>AK7</f>
        <v>2</v>
      </c>
      <c r="AM16" s="207">
        <f>AK8</f>
        <v>0.875</v>
      </c>
      <c r="AN16" s="208">
        <f>AK10</f>
        <v>0.63607464142166403</v>
      </c>
      <c r="AO16" s="209">
        <f t="shared" ref="AO16:AO39" si="4">T16^2*AJ16/100-14.7</f>
        <v>-14.7</v>
      </c>
      <c r="AP16" s="210">
        <f t="shared" ref="AP16:AP39" si="5">IF(AO16&lt;100,1,BC16)</f>
        <v>1</v>
      </c>
      <c r="AQ16" s="210">
        <f t="shared" ref="AQ16:AQ39" si="6">(1/AP16)^0.5</f>
        <v>1</v>
      </c>
      <c r="AR16" s="52">
        <f>AK9</f>
        <v>158.47</v>
      </c>
      <c r="AS16" s="210">
        <f t="shared" ref="AS16:AS39" si="7">(520/(460+N16))^0.5</f>
        <v>0.9723448696087954</v>
      </c>
      <c r="AT16" s="210">
        <f t="shared" ref="AT16:AT39" si="8">(1/AN16)^0.5</f>
        <v>1.2538510821608391</v>
      </c>
      <c r="AU16" s="210">
        <f t="shared" ref="AU16:AU39" si="9">0.01*(AJ16*AK16)^0.5</f>
        <v>2.2360679774997898</v>
      </c>
      <c r="AV16" s="211">
        <f t="shared" ref="AV16:AV39" si="10">0.024*AQ16*AR16*AS16*AT16*AU16</f>
        <v>10.368348541764712</v>
      </c>
      <c r="AW16" s="210">
        <f t="shared" ref="AW16:AW39" si="11">(AO16+14.7)/(697.2-43*AN16)</f>
        <v>0</v>
      </c>
      <c r="AX16" s="212">
        <f t="shared" ref="AX16:AX39" si="12">(N16+460)/(315.1*AN16+170.4)</f>
        <v>1.4831709199797398</v>
      </c>
      <c r="AY16" s="210">
        <f t="shared" ref="AY16:AY39" si="13">0.3379*LN(LN(AX16))+1.091</f>
        <v>0.77643477842613629</v>
      </c>
      <c r="AZ16" s="211">
        <f t="shared" ref="AZ16:AZ39" si="14">21.46*AY16-11.9*AY16^2-5.9</f>
        <v>3.5883638597441294</v>
      </c>
      <c r="BA16" s="210">
        <f t="shared" ref="BA16:BA39" si="15">AW16/AZ16</f>
        <v>0</v>
      </c>
      <c r="BB16" s="210">
        <f t="shared" ref="BB16:BB39" si="16">(1.1+0.26*AX16+(1.04-1.42*AX16)*BA16)*2.718^BA16/AX16</f>
        <v>1.0016542390239327</v>
      </c>
      <c r="BC16" s="210">
        <f t="shared" ref="BC16:BC39" si="17">1+(AY16-1)*SIN((90*BA16)/57.29578)^BB16</f>
        <v>1</v>
      </c>
    </row>
    <row r="17" spans="1:55" ht="20.100000000000001" customHeight="1" x14ac:dyDescent="0.2">
      <c r="A17" s="45">
        <v>8.3333333333333301E-2</v>
      </c>
      <c r="B17" s="451"/>
      <c r="C17" s="451"/>
      <c r="D17" s="451">
        <v>5.2</v>
      </c>
      <c r="E17" s="451">
        <v>67.099999999999994</v>
      </c>
      <c r="F17" s="41">
        <v>1915</v>
      </c>
      <c r="G17" s="37">
        <v>-5.5</v>
      </c>
      <c r="H17" s="37">
        <v>71.2</v>
      </c>
      <c r="I17" s="37">
        <v>21.5</v>
      </c>
      <c r="J17" s="41">
        <v>81</v>
      </c>
      <c r="K17" s="37">
        <v>13</v>
      </c>
      <c r="L17" s="451">
        <v>124</v>
      </c>
      <c r="M17" s="451">
        <v>221</v>
      </c>
      <c r="N17" s="451">
        <v>90</v>
      </c>
      <c r="O17" s="353">
        <v>20</v>
      </c>
      <c r="P17" s="353">
        <v>13</v>
      </c>
      <c r="Q17" s="353">
        <v>188.78</v>
      </c>
      <c r="R17" s="37"/>
      <c r="S17" s="508" t="str">
        <f t="shared" si="0"/>
        <v/>
      </c>
      <c r="T17" s="508"/>
      <c r="U17" s="508"/>
      <c r="V17" s="508"/>
      <c r="X17" s="45">
        <v>8.3333333333333301E-2</v>
      </c>
      <c r="Y17" s="106"/>
      <c r="Z17" s="102"/>
      <c r="AA17" s="102"/>
      <c r="AB17" s="45" t="str">
        <f t="shared" ref="AB17:AB39" si="18">IF(Y17="STBY",AA17-Z17,"")</f>
        <v/>
      </c>
      <c r="AC17" s="45" t="str">
        <f t="shared" si="1"/>
        <v/>
      </c>
      <c r="AD17" s="81"/>
      <c r="AE17" s="9" t="str">
        <f>IF(S17="","",IF(COUNTA(Z17:$Z$39)=1,IF(COUNTA(AD17:$AD$39)=1,""," ; "),IF(COUNTA(AD17:$AD$39)=1,IF(Z17="",""," ; ")," ; ")))</f>
        <v/>
      </c>
      <c r="AF17" s="9" t="str">
        <f t="shared" si="2"/>
        <v/>
      </c>
      <c r="AG17" s="90" t="str">
        <f t="shared" si="3"/>
        <v/>
      </c>
      <c r="AH17" s="204" t="s">
        <v>289</v>
      </c>
      <c r="AJ17" s="206">
        <f t="shared" ref="AJ17:AN32" si="19">AJ16</f>
        <v>500</v>
      </c>
      <c r="AK17" s="206">
        <f t="shared" si="19"/>
        <v>100</v>
      </c>
      <c r="AL17" s="206">
        <f>AL16</f>
        <v>2</v>
      </c>
      <c r="AM17" s="213">
        <f>AM16</f>
        <v>0.875</v>
      </c>
      <c r="AN17" s="214">
        <f>AN16</f>
        <v>0.63607464142166403</v>
      </c>
      <c r="AO17" s="215">
        <f t="shared" si="4"/>
        <v>-14.7</v>
      </c>
      <c r="AP17" s="216">
        <f t="shared" si="5"/>
        <v>1</v>
      </c>
      <c r="AQ17" s="216">
        <f t="shared" si="6"/>
        <v>1</v>
      </c>
      <c r="AR17" s="215">
        <f>AR16</f>
        <v>158.47</v>
      </c>
      <c r="AS17" s="216">
        <f t="shared" si="7"/>
        <v>0.9723448696087954</v>
      </c>
      <c r="AT17" s="216">
        <f t="shared" si="8"/>
        <v>1.2538510821608391</v>
      </c>
      <c r="AU17" s="216">
        <f t="shared" si="9"/>
        <v>2.2360679774997898</v>
      </c>
      <c r="AV17" s="217">
        <f t="shared" si="10"/>
        <v>10.368348541764712</v>
      </c>
      <c r="AW17" s="216">
        <f t="shared" si="11"/>
        <v>0</v>
      </c>
      <c r="AX17" s="218">
        <f t="shared" si="12"/>
        <v>1.4831709199797398</v>
      </c>
      <c r="AY17" s="216">
        <f t="shared" si="13"/>
        <v>0.77643477842613629</v>
      </c>
      <c r="AZ17" s="217">
        <f t="shared" si="14"/>
        <v>3.5883638597441294</v>
      </c>
      <c r="BA17" s="216">
        <f t="shared" si="15"/>
        <v>0</v>
      </c>
      <c r="BB17" s="216">
        <f t="shared" si="16"/>
        <v>1.0016542390239327</v>
      </c>
      <c r="BC17" s="216">
        <f t="shared" si="17"/>
        <v>1</v>
      </c>
    </row>
    <row r="18" spans="1:55" ht="20.100000000000001" customHeight="1" x14ac:dyDescent="0.2">
      <c r="A18" s="45">
        <v>0.125</v>
      </c>
      <c r="B18" s="451"/>
      <c r="C18" s="451"/>
      <c r="D18" s="451">
        <v>7.7</v>
      </c>
      <c r="E18" s="451">
        <v>54.6</v>
      </c>
      <c r="F18" s="41">
        <v>1921</v>
      </c>
      <c r="G18" s="37">
        <v>-5.5</v>
      </c>
      <c r="H18" s="37">
        <v>71.400000000000006</v>
      </c>
      <c r="I18" s="37">
        <v>21.2</v>
      </c>
      <c r="J18" s="41">
        <v>82</v>
      </c>
      <c r="K18" s="37">
        <v>13</v>
      </c>
      <c r="L18" s="451">
        <v>120</v>
      </c>
      <c r="M18" s="451">
        <v>220</v>
      </c>
      <c r="N18" s="451">
        <v>90</v>
      </c>
      <c r="O18" s="353">
        <v>20</v>
      </c>
      <c r="P18" s="353">
        <v>11</v>
      </c>
      <c r="Q18" s="353">
        <v>173.8</v>
      </c>
      <c r="R18" s="37"/>
      <c r="S18" s="508" t="str">
        <f t="shared" si="0"/>
        <v/>
      </c>
      <c r="T18" s="508"/>
      <c r="U18" s="508"/>
      <c r="V18" s="508"/>
      <c r="X18" s="45">
        <v>0.125</v>
      </c>
      <c r="Y18" s="106"/>
      <c r="Z18" s="102"/>
      <c r="AA18" s="102"/>
      <c r="AB18" s="45" t="str">
        <f t="shared" si="18"/>
        <v/>
      </c>
      <c r="AC18" s="45" t="str">
        <f t="shared" si="1"/>
        <v/>
      </c>
      <c r="AD18" s="81"/>
      <c r="AE18" s="9" t="str">
        <f>IF(S18="","",IF(COUNTA(Z18:$Z$39)=1,IF(COUNTA(AD18:$AD$39)=1,""," ; "),IF(COUNTA(AD18:$AD$39)=1,IF(Z18="",""," ; ")," ; ")))</f>
        <v/>
      </c>
      <c r="AF18" s="9" t="str">
        <f t="shared" si="2"/>
        <v/>
      </c>
      <c r="AG18" s="90" t="str">
        <f t="shared" si="3"/>
        <v/>
      </c>
      <c r="AH18" s="204" t="s">
        <v>321</v>
      </c>
      <c r="AJ18" s="206">
        <f t="shared" si="19"/>
        <v>500</v>
      </c>
      <c r="AK18" s="206">
        <f t="shared" si="19"/>
        <v>100</v>
      </c>
      <c r="AL18" s="206">
        <f t="shared" si="19"/>
        <v>2</v>
      </c>
      <c r="AM18" s="213">
        <f t="shared" si="19"/>
        <v>0.875</v>
      </c>
      <c r="AN18" s="214">
        <f t="shared" si="19"/>
        <v>0.63607464142166403</v>
      </c>
      <c r="AO18" s="215">
        <f t="shared" si="4"/>
        <v>-14.7</v>
      </c>
      <c r="AP18" s="216">
        <f t="shared" si="5"/>
        <v>1</v>
      </c>
      <c r="AQ18" s="216">
        <f t="shared" si="6"/>
        <v>1</v>
      </c>
      <c r="AR18" s="215">
        <f t="shared" ref="AR18:AR39" si="20">AR17</f>
        <v>158.47</v>
      </c>
      <c r="AS18" s="216">
        <f t="shared" si="7"/>
        <v>0.9723448696087954</v>
      </c>
      <c r="AT18" s="216">
        <f t="shared" si="8"/>
        <v>1.2538510821608391</v>
      </c>
      <c r="AU18" s="216">
        <f t="shared" si="9"/>
        <v>2.2360679774997898</v>
      </c>
      <c r="AV18" s="217">
        <f t="shared" si="10"/>
        <v>10.368348541764712</v>
      </c>
      <c r="AW18" s="216">
        <f t="shared" si="11"/>
        <v>0</v>
      </c>
      <c r="AX18" s="218">
        <f t="shared" si="12"/>
        <v>1.4831709199797398</v>
      </c>
      <c r="AY18" s="216">
        <f t="shared" si="13"/>
        <v>0.77643477842613629</v>
      </c>
      <c r="AZ18" s="217">
        <f t="shared" si="14"/>
        <v>3.5883638597441294</v>
      </c>
      <c r="BA18" s="216">
        <f t="shared" si="15"/>
        <v>0</v>
      </c>
      <c r="BB18" s="216">
        <f t="shared" si="16"/>
        <v>1.0016542390239327</v>
      </c>
      <c r="BC18" s="216">
        <f t="shared" si="17"/>
        <v>1</v>
      </c>
    </row>
    <row r="19" spans="1:55" ht="20.100000000000001" customHeight="1" x14ac:dyDescent="0.2">
      <c r="A19" s="45">
        <v>0.16666666666666699</v>
      </c>
      <c r="B19" s="451"/>
      <c r="C19" s="451"/>
      <c r="D19" s="451">
        <v>7.4</v>
      </c>
      <c r="E19" s="451">
        <v>52.9</v>
      </c>
      <c r="F19" s="41">
        <v>1915</v>
      </c>
      <c r="G19" s="37">
        <v>-5.5</v>
      </c>
      <c r="H19" s="37">
        <v>71.7</v>
      </c>
      <c r="I19" s="37">
        <v>21.6</v>
      </c>
      <c r="J19" s="41">
        <v>83</v>
      </c>
      <c r="K19" s="37">
        <v>13</v>
      </c>
      <c r="L19" s="451">
        <v>127</v>
      </c>
      <c r="M19" s="451">
        <v>220</v>
      </c>
      <c r="N19" s="451">
        <v>90</v>
      </c>
      <c r="O19" s="353">
        <v>35</v>
      </c>
      <c r="P19" s="353">
        <v>11</v>
      </c>
      <c r="Q19" s="353">
        <v>208.31</v>
      </c>
      <c r="R19" s="37"/>
      <c r="S19" s="508" t="str">
        <f t="shared" si="0"/>
        <v/>
      </c>
      <c r="T19" s="508"/>
      <c r="U19" s="508"/>
      <c r="V19" s="508"/>
      <c r="X19" s="45">
        <v>0.16666666666666699</v>
      </c>
      <c r="Y19" s="106"/>
      <c r="Z19" s="102"/>
      <c r="AA19" s="102"/>
      <c r="AB19" s="45" t="str">
        <f t="shared" si="18"/>
        <v/>
      </c>
      <c r="AC19" s="45" t="str">
        <f t="shared" si="1"/>
        <v/>
      </c>
      <c r="AD19" s="81"/>
      <c r="AE19" s="9" t="str">
        <f>IF(S19="","",IF(COUNTA(Z19:$Z$39)=1,IF(COUNTA(AD19:$AD$39)=1,""," ; "),IF(COUNTA(AD19:$AD$39)=1,IF(Z19="",""," ; ")," ; ")))</f>
        <v/>
      </c>
      <c r="AF19" s="9" t="str">
        <f t="shared" si="2"/>
        <v/>
      </c>
      <c r="AG19" s="90" t="str">
        <f t="shared" si="3"/>
        <v/>
      </c>
      <c r="AH19" s="204" t="s">
        <v>272</v>
      </c>
      <c r="AJ19" s="206">
        <f t="shared" si="19"/>
        <v>500</v>
      </c>
      <c r="AK19" s="206">
        <f t="shared" si="19"/>
        <v>100</v>
      </c>
      <c r="AL19" s="206">
        <f t="shared" si="19"/>
        <v>2</v>
      </c>
      <c r="AM19" s="213">
        <f t="shared" si="19"/>
        <v>0.875</v>
      </c>
      <c r="AN19" s="214">
        <f t="shared" si="19"/>
        <v>0.63607464142166403</v>
      </c>
      <c r="AO19" s="215">
        <f t="shared" si="4"/>
        <v>-14.7</v>
      </c>
      <c r="AP19" s="216">
        <f t="shared" si="5"/>
        <v>1</v>
      </c>
      <c r="AQ19" s="216">
        <f t="shared" si="6"/>
        <v>1</v>
      </c>
      <c r="AR19" s="215">
        <f t="shared" si="20"/>
        <v>158.47</v>
      </c>
      <c r="AS19" s="216">
        <f t="shared" si="7"/>
        <v>0.9723448696087954</v>
      </c>
      <c r="AT19" s="216">
        <f t="shared" si="8"/>
        <v>1.2538510821608391</v>
      </c>
      <c r="AU19" s="216">
        <f t="shared" si="9"/>
        <v>2.2360679774997898</v>
      </c>
      <c r="AV19" s="217">
        <f t="shared" si="10"/>
        <v>10.368348541764712</v>
      </c>
      <c r="AW19" s="216">
        <f t="shared" si="11"/>
        <v>0</v>
      </c>
      <c r="AX19" s="218">
        <f t="shared" si="12"/>
        <v>1.4831709199797398</v>
      </c>
      <c r="AY19" s="216">
        <f t="shared" si="13"/>
        <v>0.77643477842613629</v>
      </c>
      <c r="AZ19" s="217">
        <f t="shared" si="14"/>
        <v>3.5883638597441294</v>
      </c>
      <c r="BA19" s="216">
        <f t="shared" si="15"/>
        <v>0</v>
      </c>
      <c r="BB19" s="216">
        <f t="shared" si="16"/>
        <v>1.0016542390239327</v>
      </c>
      <c r="BC19" s="216">
        <f t="shared" si="17"/>
        <v>1</v>
      </c>
    </row>
    <row r="20" spans="1:55" ht="20.100000000000001" customHeight="1" x14ac:dyDescent="0.2">
      <c r="A20" s="45">
        <v>0.20833333333333301</v>
      </c>
      <c r="B20" s="451"/>
      <c r="C20" s="451"/>
      <c r="D20" s="451">
        <v>6.2</v>
      </c>
      <c r="E20" s="451">
        <v>54.8</v>
      </c>
      <c r="F20" s="41">
        <v>1922</v>
      </c>
      <c r="G20" s="37">
        <v>-5.5</v>
      </c>
      <c r="H20" s="37">
        <v>71.3</v>
      </c>
      <c r="I20" s="37">
        <v>21.6</v>
      </c>
      <c r="J20" s="41">
        <v>84</v>
      </c>
      <c r="K20" s="37">
        <v>13</v>
      </c>
      <c r="L20" s="451">
        <v>127</v>
      </c>
      <c r="M20" s="451">
        <v>222</v>
      </c>
      <c r="N20" s="451">
        <v>90</v>
      </c>
      <c r="O20" s="353">
        <v>35</v>
      </c>
      <c r="P20" s="353">
        <v>14</v>
      </c>
      <c r="Q20" s="353">
        <v>234.77</v>
      </c>
      <c r="R20" s="37"/>
      <c r="S20" s="508" t="str">
        <f t="shared" si="0"/>
        <v/>
      </c>
      <c r="T20" s="508"/>
      <c r="U20" s="508"/>
      <c r="V20" s="508"/>
      <c r="X20" s="45">
        <v>0.20833333333333301</v>
      </c>
      <c r="Y20" s="106"/>
      <c r="Z20" s="102"/>
      <c r="AA20" s="102"/>
      <c r="AB20" s="45" t="str">
        <f t="shared" si="18"/>
        <v/>
      </c>
      <c r="AC20" s="45" t="str">
        <f t="shared" si="1"/>
        <v/>
      </c>
      <c r="AD20" s="81"/>
      <c r="AE20" s="9" t="str">
        <f>IF(S20="","",IF(COUNTA(Z20:$Z$39)=1,IF(COUNTA(AD20:$AD$39)=1,""," ; "),IF(COUNTA(AD20:$AD$39)=1,IF(Z20="",""," ; ")," ; ")))</f>
        <v/>
      </c>
      <c r="AF20" s="9" t="str">
        <f t="shared" si="2"/>
        <v/>
      </c>
      <c r="AG20" s="90" t="str">
        <f t="shared" si="3"/>
        <v/>
      </c>
      <c r="AH20" s="204" t="s">
        <v>275</v>
      </c>
      <c r="AJ20" s="206">
        <f t="shared" si="19"/>
        <v>500</v>
      </c>
      <c r="AK20" s="206">
        <f t="shared" si="19"/>
        <v>100</v>
      </c>
      <c r="AL20" s="206">
        <f t="shared" si="19"/>
        <v>2</v>
      </c>
      <c r="AM20" s="213">
        <f t="shared" si="19"/>
        <v>0.875</v>
      </c>
      <c r="AN20" s="214">
        <f t="shared" si="19"/>
        <v>0.63607464142166403</v>
      </c>
      <c r="AO20" s="215">
        <f t="shared" si="4"/>
        <v>-14.7</v>
      </c>
      <c r="AP20" s="216">
        <f t="shared" si="5"/>
        <v>1</v>
      </c>
      <c r="AQ20" s="216">
        <f t="shared" si="6"/>
        <v>1</v>
      </c>
      <c r="AR20" s="215">
        <f t="shared" si="20"/>
        <v>158.47</v>
      </c>
      <c r="AS20" s="216">
        <f t="shared" si="7"/>
        <v>0.9723448696087954</v>
      </c>
      <c r="AT20" s="216">
        <f t="shared" si="8"/>
        <v>1.2538510821608391</v>
      </c>
      <c r="AU20" s="216">
        <f t="shared" si="9"/>
        <v>2.2360679774997898</v>
      </c>
      <c r="AV20" s="217">
        <f t="shared" si="10"/>
        <v>10.368348541764712</v>
      </c>
      <c r="AW20" s="216">
        <f t="shared" si="11"/>
        <v>0</v>
      </c>
      <c r="AX20" s="218">
        <f t="shared" si="12"/>
        <v>1.4831709199797398</v>
      </c>
      <c r="AY20" s="216">
        <f t="shared" si="13"/>
        <v>0.77643477842613629</v>
      </c>
      <c r="AZ20" s="217">
        <f t="shared" si="14"/>
        <v>3.5883638597441294</v>
      </c>
      <c r="BA20" s="216">
        <f t="shared" si="15"/>
        <v>0</v>
      </c>
      <c r="BB20" s="216">
        <f t="shared" si="16"/>
        <v>1.0016542390239327</v>
      </c>
      <c r="BC20" s="216">
        <f t="shared" si="17"/>
        <v>1</v>
      </c>
    </row>
    <row r="21" spans="1:55" ht="20.100000000000001" customHeight="1" x14ac:dyDescent="0.2">
      <c r="A21" s="45">
        <v>0.25</v>
      </c>
      <c r="B21" s="451"/>
      <c r="C21" s="451"/>
      <c r="D21" s="451">
        <v>4.9000000000000004</v>
      </c>
      <c r="E21" s="451">
        <v>48.3</v>
      </c>
      <c r="F21" s="41">
        <v>1947</v>
      </c>
      <c r="G21" s="37">
        <v>-5.5</v>
      </c>
      <c r="H21" s="37">
        <v>71.900000000000006</v>
      </c>
      <c r="I21" s="37">
        <v>21.9</v>
      </c>
      <c r="J21" s="41">
        <v>85</v>
      </c>
      <c r="K21" s="37">
        <v>13</v>
      </c>
      <c r="L21" s="451">
        <v>121</v>
      </c>
      <c r="M21" s="451">
        <v>221</v>
      </c>
      <c r="N21" s="451">
        <v>90</v>
      </c>
      <c r="O21" s="353">
        <v>35</v>
      </c>
      <c r="P21" s="353">
        <v>14</v>
      </c>
      <c r="Q21" s="353">
        <v>234.77</v>
      </c>
      <c r="R21" s="37"/>
      <c r="S21" s="508" t="str">
        <f t="shared" si="0"/>
        <v/>
      </c>
      <c r="T21" s="508"/>
      <c r="U21" s="508"/>
      <c r="V21" s="508"/>
      <c r="X21" s="45">
        <v>0.25</v>
      </c>
      <c r="Y21" s="106"/>
      <c r="Z21" s="102"/>
      <c r="AA21" s="102"/>
      <c r="AB21" s="45" t="str">
        <f t="shared" si="18"/>
        <v/>
      </c>
      <c r="AC21" s="45" t="str">
        <f t="shared" si="1"/>
        <v/>
      </c>
      <c r="AD21" s="81"/>
      <c r="AE21" s="9" t="str">
        <f>IF(S21="","",IF(COUNTA(Z21:$Z$39)=1,IF(COUNTA(AD21:$AD$39)=1,""," ; "),IF(COUNTA(AD21:$AD$39)=1,IF(Z21="",""," ; ")," ; ")))</f>
        <v/>
      </c>
      <c r="AF21" s="9" t="str">
        <f t="shared" si="2"/>
        <v/>
      </c>
      <c r="AG21" s="90" t="str">
        <f t="shared" si="3"/>
        <v/>
      </c>
      <c r="AH21" s="204" t="s">
        <v>322</v>
      </c>
      <c r="AJ21" s="206">
        <f t="shared" si="19"/>
        <v>500</v>
      </c>
      <c r="AK21" s="206">
        <f t="shared" si="19"/>
        <v>100</v>
      </c>
      <c r="AL21" s="206">
        <f t="shared" si="19"/>
        <v>2</v>
      </c>
      <c r="AM21" s="213">
        <f t="shared" si="19"/>
        <v>0.875</v>
      </c>
      <c r="AN21" s="214">
        <f t="shared" si="19"/>
        <v>0.63607464142166403</v>
      </c>
      <c r="AO21" s="215">
        <f t="shared" si="4"/>
        <v>-14.7</v>
      </c>
      <c r="AP21" s="216">
        <f t="shared" si="5"/>
        <v>1</v>
      </c>
      <c r="AQ21" s="216">
        <f t="shared" si="6"/>
        <v>1</v>
      </c>
      <c r="AR21" s="215">
        <f t="shared" si="20"/>
        <v>158.47</v>
      </c>
      <c r="AS21" s="216">
        <f t="shared" si="7"/>
        <v>0.9723448696087954</v>
      </c>
      <c r="AT21" s="216">
        <f t="shared" si="8"/>
        <v>1.2538510821608391</v>
      </c>
      <c r="AU21" s="216">
        <f t="shared" si="9"/>
        <v>2.2360679774997898</v>
      </c>
      <c r="AV21" s="217">
        <f t="shared" si="10"/>
        <v>10.368348541764712</v>
      </c>
      <c r="AW21" s="216">
        <f t="shared" si="11"/>
        <v>0</v>
      </c>
      <c r="AX21" s="218">
        <f t="shared" si="12"/>
        <v>1.4831709199797398</v>
      </c>
      <c r="AY21" s="216">
        <f t="shared" si="13"/>
        <v>0.77643477842613629</v>
      </c>
      <c r="AZ21" s="217">
        <f t="shared" si="14"/>
        <v>3.5883638597441294</v>
      </c>
      <c r="BA21" s="216">
        <f t="shared" si="15"/>
        <v>0</v>
      </c>
      <c r="BB21" s="216">
        <f t="shared" si="16"/>
        <v>1.0016542390239327</v>
      </c>
      <c r="BC21" s="216">
        <f t="shared" si="17"/>
        <v>1</v>
      </c>
    </row>
    <row r="22" spans="1:55" ht="20.100000000000001" customHeight="1" x14ac:dyDescent="0.2">
      <c r="A22" s="45">
        <v>0.29166666666666702</v>
      </c>
      <c r="B22" s="451"/>
      <c r="C22" s="451"/>
      <c r="D22" s="451">
        <v>5.7</v>
      </c>
      <c r="E22" s="451">
        <v>52.6</v>
      </c>
      <c r="F22" s="41">
        <v>1930</v>
      </c>
      <c r="G22" s="37">
        <v>-5.5</v>
      </c>
      <c r="H22" s="37">
        <v>71.3</v>
      </c>
      <c r="I22" s="37">
        <v>21</v>
      </c>
      <c r="J22" s="41">
        <v>86</v>
      </c>
      <c r="K22" s="37">
        <v>13</v>
      </c>
      <c r="L22" s="451">
        <v>125</v>
      </c>
      <c r="M22" s="451">
        <v>221</v>
      </c>
      <c r="N22" s="451">
        <v>90</v>
      </c>
      <c r="O22" s="353">
        <v>35</v>
      </c>
      <c r="P22" s="353">
        <v>14</v>
      </c>
      <c r="Q22" s="353">
        <v>234.77</v>
      </c>
      <c r="R22" s="37"/>
      <c r="S22" s="508" t="str">
        <f t="shared" si="0"/>
        <v/>
      </c>
      <c r="T22" s="508"/>
      <c r="U22" s="508"/>
      <c r="V22" s="508"/>
      <c r="X22" s="45">
        <v>0.29166666666666702</v>
      </c>
      <c r="Y22" s="106"/>
      <c r="Z22" s="102"/>
      <c r="AA22" s="102"/>
      <c r="AB22" s="45" t="str">
        <f t="shared" si="18"/>
        <v/>
      </c>
      <c r="AC22" s="45" t="str">
        <f t="shared" si="1"/>
        <v/>
      </c>
      <c r="AD22" s="81"/>
      <c r="AE22" s="9" t="str">
        <f>IF(S22="","",IF(COUNTA(Z22:$Z$39)=1,IF(COUNTA(AD22:$AD$39)=1,""," ; "),IF(COUNTA(AD22:$AD$39)=1,IF(Z22="",""," ; ")," ; ")))</f>
        <v/>
      </c>
      <c r="AF22" s="9" t="str">
        <f t="shared" si="2"/>
        <v/>
      </c>
      <c r="AG22" s="90" t="str">
        <f t="shared" si="3"/>
        <v/>
      </c>
      <c r="AH22" s="204" t="s">
        <v>279</v>
      </c>
      <c r="AJ22" s="206">
        <f t="shared" si="19"/>
        <v>500</v>
      </c>
      <c r="AK22" s="206">
        <f t="shared" si="19"/>
        <v>100</v>
      </c>
      <c r="AL22" s="206">
        <f t="shared" si="19"/>
        <v>2</v>
      </c>
      <c r="AM22" s="213">
        <f t="shared" si="19"/>
        <v>0.875</v>
      </c>
      <c r="AN22" s="214">
        <f t="shared" si="19"/>
        <v>0.63607464142166403</v>
      </c>
      <c r="AO22" s="215">
        <f t="shared" si="4"/>
        <v>-14.7</v>
      </c>
      <c r="AP22" s="216">
        <f t="shared" si="5"/>
        <v>1</v>
      </c>
      <c r="AQ22" s="216">
        <f t="shared" si="6"/>
        <v>1</v>
      </c>
      <c r="AR22" s="215">
        <f t="shared" si="20"/>
        <v>158.47</v>
      </c>
      <c r="AS22" s="216">
        <f t="shared" si="7"/>
        <v>0.9723448696087954</v>
      </c>
      <c r="AT22" s="216">
        <f t="shared" si="8"/>
        <v>1.2538510821608391</v>
      </c>
      <c r="AU22" s="216">
        <f t="shared" si="9"/>
        <v>2.2360679774997898</v>
      </c>
      <c r="AV22" s="217">
        <f t="shared" si="10"/>
        <v>10.368348541764712</v>
      </c>
      <c r="AW22" s="216">
        <f t="shared" si="11"/>
        <v>0</v>
      </c>
      <c r="AX22" s="218">
        <f t="shared" si="12"/>
        <v>1.4831709199797398</v>
      </c>
      <c r="AY22" s="216">
        <f t="shared" si="13"/>
        <v>0.77643477842613629</v>
      </c>
      <c r="AZ22" s="217">
        <f t="shared" si="14"/>
        <v>3.5883638597441294</v>
      </c>
      <c r="BA22" s="216">
        <f t="shared" si="15"/>
        <v>0</v>
      </c>
      <c r="BB22" s="216">
        <f t="shared" si="16"/>
        <v>1.0016542390239327</v>
      </c>
      <c r="BC22" s="216">
        <f t="shared" si="17"/>
        <v>1</v>
      </c>
    </row>
    <row r="23" spans="1:55" ht="20.100000000000001" customHeight="1" x14ac:dyDescent="0.2">
      <c r="A23" s="45">
        <v>0.33333333333333298</v>
      </c>
      <c r="B23" s="451"/>
      <c r="C23" s="451"/>
      <c r="D23" s="451">
        <v>6.6</v>
      </c>
      <c r="E23" s="451">
        <v>55.9</v>
      </c>
      <c r="F23" s="41">
        <v>1991</v>
      </c>
      <c r="G23" s="37">
        <v>-5.5</v>
      </c>
      <c r="H23" s="37">
        <v>71.099999999999994</v>
      </c>
      <c r="I23" s="37">
        <v>21.1</v>
      </c>
      <c r="J23" s="41">
        <v>87</v>
      </c>
      <c r="K23" s="37">
        <v>13</v>
      </c>
      <c r="L23" s="451">
        <v>126</v>
      </c>
      <c r="M23" s="451">
        <v>222</v>
      </c>
      <c r="N23" s="451">
        <v>90</v>
      </c>
      <c r="O23" s="353">
        <v>35</v>
      </c>
      <c r="P23" s="353">
        <v>11</v>
      </c>
      <c r="Q23" s="353">
        <v>208.31</v>
      </c>
      <c r="R23" s="37"/>
      <c r="S23" s="508" t="str">
        <f t="shared" si="0"/>
        <v/>
      </c>
      <c r="T23" s="508"/>
      <c r="U23" s="508"/>
      <c r="V23" s="508"/>
      <c r="X23" s="45">
        <v>0.33333333333333298</v>
      </c>
      <c r="Y23" s="106"/>
      <c r="Z23" s="102"/>
      <c r="AA23" s="102"/>
      <c r="AB23" s="45" t="str">
        <f t="shared" si="18"/>
        <v/>
      </c>
      <c r="AC23" s="45" t="str">
        <f t="shared" si="1"/>
        <v/>
      </c>
      <c r="AD23" s="81"/>
      <c r="AE23" s="9" t="str">
        <f>IF(S23="","",IF(COUNTA(Z23:$Z$39)=1,IF(COUNTA(AD23:$AD$39)=1,""," ; "),IF(COUNTA(AD23:$AD$39)=1,IF(Z23="",""," ; ")," ; ")))</f>
        <v/>
      </c>
      <c r="AF23" s="9" t="str">
        <f t="shared" si="2"/>
        <v/>
      </c>
      <c r="AG23" s="90" t="str">
        <f t="shared" si="3"/>
        <v/>
      </c>
      <c r="AH23" s="204" t="s">
        <v>274</v>
      </c>
      <c r="AJ23" s="206">
        <f t="shared" si="19"/>
        <v>500</v>
      </c>
      <c r="AK23" s="206">
        <f t="shared" si="19"/>
        <v>100</v>
      </c>
      <c r="AL23" s="206">
        <f t="shared" si="19"/>
        <v>2</v>
      </c>
      <c r="AM23" s="213">
        <f t="shared" si="19"/>
        <v>0.875</v>
      </c>
      <c r="AN23" s="214">
        <f t="shared" si="19"/>
        <v>0.63607464142166403</v>
      </c>
      <c r="AO23" s="215">
        <f t="shared" si="4"/>
        <v>-14.7</v>
      </c>
      <c r="AP23" s="216">
        <f t="shared" si="5"/>
        <v>1</v>
      </c>
      <c r="AQ23" s="216">
        <f t="shared" si="6"/>
        <v>1</v>
      </c>
      <c r="AR23" s="215">
        <f t="shared" si="20"/>
        <v>158.47</v>
      </c>
      <c r="AS23" s="216">
        <f t="shared" si="7"/>
        <v>0.9723448696087954</v>
      </c>
      <c r="AT23" s="216">
        <f t="shared" si="8"/>
        <v>1.2538510821608391</v>
      </c>
      <c r="AU23" s="216">
        <f t="shared" si="9"/>
        <v>2.2360679774997898</v>
      </c>
      <c r="AV23" s="217">
        <f t="shared" si="10"/>
        <v>10.368348541764712</v>
      </c>
      <c r="AW23" s="216">
        <f t="shared" si="11"/>
        <v>0</v>
      </c>
      <c r="AX23" s="218">
        <f t="shared" si="12"/>
        <v>1.4831709199797398</v>
      </c>
      <c r="AY23" s="216">
        <f t="shared" si="13"/>
        <v>0.77643477842613629</v>
      </c>
      <c r="AZ23" s="217">
        <f t="shared" si="14"/>
        <v>3.5883638597441294</v>
      </c>
      <c r="BA23" s="216">
        <f t="shared" si="15"/>
        <v>0</v>
      </c>
      <c r="BB23" s="216">
        <f t="shared" si="16"/>
        <v>1.0016542390239327</v>
      </c>
      <c r="BC23" s="216">
        <f t="shared" si="17"/>
        <v>1</v>
      </c>
    </row>
    <row r="24" spans="1:55" ht="20.100000000000001" customHeight="1" x14ac:dyDescent="0.2">
      <c r="A24" s="45">
        <v>0.375</v>
      </c>
      <c r="B24" s="451"/>
      <c r="C24" s="451"/>
      <c r="D24" s="451">
        <v>7.2</v>
      </c>
      <c r="E24" s="451">
        <v>56.6</v>
      </c>
      <c r="F24" s="41">
        <v>1985</v>
      </c>
      <c r="G24" s="37">
        <v>-5.5</v>
      </c>
      <c r="H24" s="37">
        <v>71.900000000000006</v>
      </c>
      <c r="I24" s="37">
        <v>21.3</v>
      </c>
      <c r="J24" s="41">
        <v>88</v>
      </c>
      <c r="K24" s="37">
        <v>13</v>
      </c>
      <c r="L24" s="451">
        <v>126</v>
      </c>
      <c r="M24" s="451">
        <v>223</v>
      </c>
      <c r="N24" s="451">
        <v>90</v>
      </c>
      <c r="O24" s="353">
        <v>35</v>
      </c>
      <c r="P24" s="353">
        <v>12</v>
      </c>
      <c r="Q24" s="353">
        <v>217.49</v>
      </c>
      <c r="R24" s="37"/>
      <c r="S24" s="508" t="str">
        <f t="shared" si="0"/>
        <v/>
      </c>
      <c r="T24" s="508"/>
      <c r="U24" s="508"/>
      <c r="V24" s="508"/>
      <c r="X24" s="45">
        <v>0.375</v>
      </c>
      <c r="Y24" s="106"/>
      <c r="Z24" s="102"/>
      <c r="AA24" s="102"/>
      <c r="AB24" s="45" t="str">
        <f t="shared" si="18"/>
        <v/>
      </c>
      <c r="AC24" s="45" t="str">
        <f t="shared" si="1"/>
        <v/>
      </c>
      <c r="AD24" s="81"/>
      <c r="AE24" s="9" t="str">
        <f>IF(S24="","",IF(COUNTA(Z24:$Z$39)=1,IF(COUNTA(AD24:$AD$39)=1,""," ; "),IF(COUNTA(AD24:$AD$39)=1,IF(Z24="",""," ; ")," ; ")))</f>
        <v/>
      </c>
      <c r="AF24" s="9" t="str">
        <f t="shared" si="2"/>
        <v/>
      </c>
      <c r="AG24" s="90" t="str">
        <f t="shared" si="3"/>
        <v/>
      </c>
      <c r="AH24" s="204" t="s">
        <v>307</v>
      </c>
      <c r="AJ24" s="206">
        <f t="shared" si="19"/>
        <v>500</v>
      </c>
      <c r="AK24" s="206">
        <f t="shared" si="19"/>
        <v>100</v>
      </c>
      <c r="AL24" s="206">
        <f t="shared" si="19"/>
        <v>2</v>
      </c>
      <c r="AM24" s="213">
        <f t="shared" si="19"/>
        <v>0.875</v>
      </c>
      <c r="AN24" s="214">
        <f t="shared" si="19"/>
        <v>0.63607464142166403</v>
      </c>
      <c r="AO24" s="215">
        <f t="shared" si="4"/>
        <v>-14.7</v>
      </c>
      <c r="AP24" s="216">
        <f t="shared" si="5"/>
        <v>1</v>
      </c>
      <c r="AQ24" s="216">
        <f t="shared" si="6"/>
        <v>1</v>
      </c>
      <c r="AR24" s="215">
        <f t="shared" si="20"/>
        <v>158.47</v>
      </c>
      <c r="AS24" s="216">
        <f t="shared" si="7"/>
        <v>0.9723448696087954</v>
      </c>
      <c r="AT24" s="216">
        <f t="shared" si="8"/>
        <v>1.2538510821608391</v>
      </c>
      <c r="AU24" s="216">
        <f t="shared" si="9"/>
        <v>2.2360679774997898</v>
      </c>
      <c r="AV24" s="217">
        <f t="shared" si="10"/>
        <v>10.368348541764712</v>
      </c>
      <c r="AW24" s="216">
        <f t="shared" si="11"/>
        <v>0</v>
      </c>
      <c r="AX24" s="218">
        <f t="shared" si="12"/>
        <v>1.4831709199797398</v>
      </c>
      <c r="AY24" s="216">
        <f t="shared" si="13"/>
        <v>0.77643477842613629</v>
      </c>
      <c r="AZ24" s="217">
        <f t="shared" si="14"/>
        <v>3.5883638597441294</v>
      </c>
      <c r="BA24" s="216">
        <f t="shared" si="15"/>
        <v>0</v>
      </c>
      <c r="BB24" s="216">
        <f t="shared" si="16"/>
        <v>1.0016542390239327</v>
      </c>
      <c r="BC24" s="216">
        <f t="shared" si="17"/>
        <v>1</v>
      </c>
    </row>
    <row r="25" spans="1:55" ht="20.100000000000001" customHeight="1" x14ac:dyDescent="0.2">
      <c r="A25" s="45">
        <v>0.41666666666666702</v>
      </c>
      <c r="B25" s="451"/>
      <c r="C25" s="451"/>
      <c r="D25" s="451">
        <v>7.7</v>
      </c>
      <c r="E25" s="451">
        <v>57.1</v>
      </c>
      <c r="F25" s="41">
        <v>1970</v>
      </c>
      <c r="G25" s="37">
        <v>-5.5</v>
      </c>
      <c r="H25" s="37">
        <v>71</v>
      </c>
      <c r="I25" s="37">
        <v>21.9</v>
      </c>
      <c r="J25" s="41">
        <v>89</v>
      </c>
      <c r="K25" s="37">
        <v>13</v>
      </c>
      <c r="L25" s="451">
        <v>126</v>
      </c>
      <c r="M25" s="451">
        <v>223</v>
      </c>
      <c r="N25" s="451">
        <v>90</v>
      </c>
      <c r="O25" s="353">
        <v>35</v>
      </c>
      <c r="P25" s="353">
        <v>13</v>
      </c>
      <c r="Q25" s="353">
        <v>226.3</v>
      </c>
      <c r="R25" s="37"/>
      <c r="S25" s="508" t="str">
        <f t="shared" si="0"/>
        <v/>
      </c>
      <c r="T25" s="508"/>
      <c r="U25" s="508"/>
      <c r="V25" s="508"/>
      <c r="X25" s="45">
        <v>0.41666666666666702</v>
      </c>
      <c r="Y25" s="106"/>
      <c r="Z25" s="102"/>
      <c r="AA25" s="102"/>
      <c r="AB25" s="45" t="str">
        <f t="shared" si="18"/>
        <v/>
      </c>
      <c r="AC25" s="45" t="str">
        <f t="shared" si="1"/>
        <v/>
      </c>
      <c r="AD25" s="81"/>
      <c r="AE25" s="9" t="str">
        <f>IF(S25="","",IF(COUNTA(Z25:$Z$39)=1,IF(COUNTA(AD25:$AD$39)=1,""," ; "),IF(COUNTA(AD25:$AD$39)=1,IF(Z25="",""," ; ")," ; ")))</f>
        <v/>
      </c>
      <c r="AF25" s="9" t="str">
        <f t="shared" si="2"/>
        <v/>
      </c>
      <c r="AG25" s="90" t="str">
        <f t="shared" si="3"/>
        <v/>
      </c>
      <c r="AH25" s="204" t="s">
        <v>225</v>
      </c>
      <c r="AJ25" s="206">
        <f t="shared" si="19"/>
        <v>500</v>
      </c>
      <c r="AK25" s="206">
        <f t="shared" si="19"/>
        <v>100</v>
      </c>
      <c r="AL25" s="206">
        <f t="shared" si="19"/>
        <v>2</v>
      </c>
      <c r="AM25" s="213">
        <f t="shared" si="19"/>
        <v>0.875</v>
      </c>
      <c r="AN25" s="214">
        <f t="shared" si="19"/>
        <v>0.63607464142166403</v>
      </c>
      <c r="AO25" s="215">
        <f t="shared" si="4"/>
        <v>-14.7</v>
      </c>
      <c r="AP25" s="216">
        <f t="shared" si="5"/>
        <v>1</v>
      </c>
      <c r="AQ25" s="216">
        <f t="shared" si="6"/>
        <v>1</v>
      </c>
      <c r="AR25" s="215">
        <f t="shared" si="20"/>
        <v>158.47</v>
      </c>
      <c r="AS25" s="216">
        <f t="shared" si="7"/>
        <v>0.9723448696087954</v>
      </c>
      <c r="AT25" s="216">
        <f t="shared" si="8"/>
        <v>1.2538510821608391</v>
      </c>
      <c r="AU25" s="216">
        <f t="shared" si="9"/>
        <v>2.2360679774997898</v>
      </c>
      <c r="AV25" s="217">
        <f t="shared" si="10"/>
        <v>10.368348541764712</v>
      </c>
      <c r="AW25" s="216">
        <f t="shared" si="11"/>
        <v>0</v>
      </c>
      <c r="AX25" s="218">
        <f t="shared" si="12"/>
        <v>1.4831709199797398</v>
      </c>
      <c r="AY25" s="216">
        <f t="shared" si="13"/>
        <v>0.77643477842613629</v>
      </c>
      <c r="AZ25" s="217">
        <f t="shared" si="14"/>
        <v>3.5883638597441294</v>
      </c>
      <c r="BA25" s="216">
        <f t="shared" si="15"/>
        <v>0</v>
      </c>
      <c r="BB25" s="216">
        <f t="shared" si="16"/>
        <v>1.0016542390239327</v>
      </c>
      <c r="BC25" s="216">
        <f t="shared" si="17"/>
        <v>1</v>
      </c>
    </row>
    <row r="26" spans="1:55" ht="20.100000000000001" customHeight="1" x14ac:dyDescent="0.2">
      <c r="A26" s="45">
        <v>0.45833333333333298</v>
      </c>
      <c r="B26" s="451"/>
      <c r="C26" s="451"/>
      <c r="D26" s="451">
        <v>7.5</v>
      </c>
      <c r="E26" s="451">
        <v>57.3</v>
      </c>
      <c r="F26" s="41">
        <v>1965</v>
      </c>
      <c r="G26" s="37">
        <v>-5.5</v>
      </c>
      <c r="H26" s="37">
        <v>71.400000000000006</v>
      </c>
      <c r="I26" s="37">
        <v>21.4</v>
      </c>
      <c r="J26" s="41">
        <v>90</v>
      </c>
      <c r="K26" s="37">
        <v>13</v>
      </c>
      <c r="L26" s="451">
        <v>125</v>
      </c>
      <c r="M26" s="451">
        <v>225</v>
      </c>
      <c r="N26" s="451">
        <v>90</v>
      </c>
      <c r="O26" s="353">
        <v>35</v>
      </c>
      <c r="P26" s="353">
        <v>13</v>
      </c>
      <c r="Q26" s="353">
        <v>226.3</v>
      </c>
      <c r="R26" s="37"/>
      <c r="S26" s="508" t="str">
        <f t="shared" si="0"/>
        <v/>
      </c>
      <c r="T26" s="508"/>
      <c r="U26" s="508"/>
      <c r="V26" s="508"/>
      <c r="X26" s="45">
        <v>0.45833333333333298</v>
      </c>
      <c r="Y26" s="106"/>
      <c r="Z26" s="102"/>
      <c r="AA26" s="102"/>
      <c r="AB26" s="45" t="str">
        <f t="shared" si="18"/>
        <v/>
      </c>
      <c r="AC26" s="45" t="str">
        <f t="shared" si="1"/>
        <v/>
      </c>
      <c r="AD26" s="81"/>
      <c r="AE26" s="9" t="str">
        <f>IF(S26="","",IF(COUNTA(Z26:$Z$39)=1,IF(COUNTA(AD26:$AD$39)=1,""," ; "),IF(COUNTA(AD26:$AD$39)=1,IF(Z26="",""," ; ")," ; ")))</f>
        <v/>
      </c>
      <c r="AF26" s="9" t="str">
        <f t="shared" si="2"/>
        <v/>
      </c>
      <c r="AG26" s="90" t="str">
        <f t="shared" si="3"/>
        <v/>
      </c>
      <c r="AH26" s="204" t="s">
        <v>287</v>
      </c>
      <c r="AJ26" s="206">
        <f t="shared" si="19"/>
        <v>500</v>
      </c>
      <c r="AK26" s="206">
        <f t="shared" si="19"/>
        <v>100</v>
      </c>
      <c r="AL26" s="206">
        <f t="shared" si="19"/>
        <v>2</v>
      </c>
      <c r="AM26" s="213">
        <f t="shared" si="19"/>
        <v>0.875</v>
      </c>
      <c r="AN26" s="214">
        <f t="shared" si="19"/>
        <v>0.63607464142166403</v>
      </c>
      <c r="AO26" s="215">
        <f t="shared" si="4"/>
        <v>-14.7</v>
      </c>
      <c r="AP26" s="216">
        <f t="shared" si="5"/>
        <v>1</v>
      </c>
      <c r="AQ26" s="216">
        <f t="shared" si="6"/>
        <v>1</v>
      </c>
      <c r="AR26" s="215">
        <f t="shared" si="20"/>
        <v>158.47</v>
      </c>
      <c r="AS26" s="216">
        <f t="shared" si="7"/>
        <v>0.9723448696087954</v>
      </c>
      <c r="AT26" s="216">
        <f t="shared" si="8"/>
        <v>1.2538510821608391</v>
      </c>
      <c r="AU26" s="216">
        <f t="shared" si="9"/>
        <v>2.2360679774997898</v>
      </c>
      <c r="AV26" s="217">
        <f t="shared" si="10"/>
        <v>10.368348541764712</v>
      </c>
      <c r="AW26" s="216">
        <f t="shared" si="11"/>
        <v>0</v>
      </c>
      <c r="AX26" s="218">
        <f t="shared" si="12"/>
        <v>1.4831709199797398</v>
      </c>
      <c r="AY26" s="216">
        <f t="shared" si="13"/>
        <v>0.77643477842613629</v>
      </c>
      <c r="AZ26" s="217">
        <f t="shared" si="14"/>
        <v>3.5883638597441294</v>
      </c>
      <c r="BA26" s="216">
        <f t="shared" si="15"/>
        <v>0</v>
      </c>
      <c r="BB26" s="216">
        <f t="shared" si="16"/>
        <v>1.0016542390239327</v>
      </c>
      <c r="BC26" s="216">
        <f t="shared" si="17"/>
        <v>1</v>
      </c>
    </row>
    <row r="27" spans="1:55" ht="20.100000000000001" customHeight="1" x14ac:dyDescent="0.2">
      <c r="A27" s="45">
        <v>0.5</v>
      </c>
      <c r="B27" s="451"/>
      <c r="C27" s="451"/>
      <c r="D27" s="451">
        <v>7.9</v>
      </c>
      <c r="E27" s="451">
        <v>57.9</v>
      </c>
      <c r="F27" s="41">
        <v>1975</v>
      </c>
      <c r="G27" s="37">
        <v>-5.5</v>
      </c>
      <c r="H27" s="37">
        <v>71.7</v>
      </c>
      <c r="I27" s="37">
        <v>21</v>
      </c>
      <c r="J27" s="41">
        <v>91</v>
      </c>
      <c r="K27" s="37">
        <v>13</v>
      </c>
      <c r="L27" s="451">
        <v>127</v>
      </c>
      <c r="M27" s="451">
        <v>225</v>
      </c>
      <c r="N27" s="451">
        <v>90</v>
      </c>
      <c r="O27" s="353">
        <v>35</v>
      </c>
      <c r="P27" s="353">
        <v>13</v>
      </c>
      <c r="Q27" s="353">
        <v>226.3</v>
      </c>
      <c r="R27" s="37"/>
      <c r="S27" s="508" t="str">
        <f t="shared" si="0"/>
        <v/>
      </c>
      <c r="T27" s="508"/>
      <c r="U27" s="508"/>
      <c r="V27" s="508"/>
      <c r="X27" s="45">
        <v>0.5</v>
      </c>
      <c r="Y27" s="106"/>
      <c r="Z27" s="102"/>
      <c r="AA27" s="102"/>
      <c r="AB27" s="45" t="str">
        <f t="shared" si="18"/>
        <v/>
      </c>
      <c r="AC27" s="45" t="str">
        <f t="shared" si="1"/>
        <v/>
      </c>
      <c r="AD27" s="81"/>
      <c r="AE27" s="9" t="str">
        <f>IF(S27="","",IF(COUNTA(Z27:$Z$39)=1,IF(COUNTA(AD27:$AD$39)=1,""," ; "),IF(COUNTA(AD27:$AD$39)=1,IF(Z27="",""," ; ")," ; ")))</f>
        <v/>
      </c>
      <c r="AF27" s="9" t="str">
        <f t="shared" si="2"/>
        <v/>
      </c>
      <c r="AG27" s="90" t="str">
        <f t="shared" si="3"/>
        <v/>
      </c>
      <c r="AH27" s="204" t="s">
        <v>276</v>
      </c>
      <c r="AJ27" s="206">
        <f t="shared" si="19"/>
        <v>500</v>
      </c>
      <c r="AK27" s="206">
        <f t="shared" si="19"/>
        <v>100</v>
      </c>
      <c r="AL27" s="206">
        <f t="shared" si="19"/>
        <v>2</v>
      </c>
      <c r="AM27" s="213">
        <f t="shared" si="19"/>
        <v>0.875</v>
      </c>
      <c r="AN27" s="214">
        <f t="shared" si="19"/>
        <v>0.63607464142166403</v>
      </c>
      <c r="AO27" s="215">
        <f t="shared" si="4"/>
        <v>-14.7</v>
      </c>
      <c r="AP27" s="216">
        <f t="shared" si="5"/>
        <v>1</v>
      </c>
      <c r="AQ27" s="216">
        <f t="shared" si="6"/>
        <v>1</v>
      </c>
      <c r="AR27" s="215">
        <f t="shared" si="20"/>
        <v>158.47</v>
      </c>
      <c r="AS27" s="216">
        <f t="shared" si="7"/>
        <v>0.9723448696087954</v>
      </c>
      <c r="AT27" s="216">
        <f t="shared" si="8"/>
        <v>1.2538510821608391</v>
      </c>
      <c r="AU27" s="216">
        <f t="shared" si="9"/>
        <v>2.2360679774997898</v>
      </c>
      <c r="AV27" s="217">
        <f t="shared" si="10"/>
        <v>10.368348541764712</v>
      </c>
      <c r="AW27" s="216">
        <f t="shared" si="11"/>
        <v>0</v>
      </c>
      <c r="AX27" s="218">
        <f t="shared" si="12"/>
        <v>1.4831709199797398</v>
      </c>
      <c r="AY27" s="216">
        <f t="shared" si="13"/>
        <v>0.77643477842613629</v>
      </c>
      <c r="AZ27" s="217">
        <f t="shared" si="14"/>
        <v>3.5883638597441294</v>
      </c>
      <c r="BA27" s="216">
        <f t="shared" si="15"/>
        <v>0</v>
      </c>
      <c r="BB27" s="216">
        <f t="shared" si="16"/>
        <v>1.0016542390239327</v>
      </c>
      <c r="BC27" s="216">
        <f t="shared" si="17"/>
        <v>1</v>
      </c>
    </row>
    <row r="28" spans="1:55" ht="20.100000000000001" customHeight="1" x14ac:dyDescent="0.2">
      <c r="A28" s="45">
        <v>0.54166666666666696</v>
      </c>
      <c r="B28" s="451"/>
      <c r="C28" s="451"/>
      <c r="D28" s="451">
        <v>7.5</v>
      </c>
      <c r="E28" s="451">
        <v>57.4</v>
      </c>
      <c r="F28" s="41">
        <v>1962</v>
      </c>
      <c r="G28" s="37">
        <v>-5.5</v>
      </c>
      <c r="H28" s="37">
        <v>71.3</v>
      </c>
      <c r="I28" s="37">
        <v>21.6</v>
      </c>
      <c r="J28" s="41">
        <v>92</v>
      </c>
      <c r="K28" s="37">
        <v>13</v>
      </c>
      <c r="L28" s="451">
        <v>128</v>
      </c>
      <c r="M28" s="451">
        <v>226</v>
      </c>
      <c r="N28" s="451">
        <v>90</v>
      </c>
      <c r="O28" s="353">
        <v>35</v>
      </c>
      <c r="P28" s="353">
        <v>13</v>
      </c>
      <c r="Q28" s="353">
        <v>226.3</v>
      </c>
      <c r="R28" s="37"/>
      <c r="S28" s="508" t="str">
        <f t="shared" si="0"/>
        <v/>
      </c>
      <c r="T28" s="508"/>
      <c r="U28" s="508"/>
      <c r="V28" s="508"/>
      <c r="X28" s="45">
        <v>0.54166666666666696</v>
      </c>
      <c r="Y28" s="106"/>
      <c r="Z28" s="102"/>
      <c r="AA28" s="102"/>
      <c r="AB28" s="45" t="str">
        <f t="shared" si="18"/>
        <v/>
      </c>
      <c r="AC28" s="45" t="str">
        <f t="shared" si="1"/>
        <v/>
      </c>
      <c r="AD28" s="81"/>
      <c r="AE28" s="9" t="str">
        <f>IF(S28="","",IF(COUNTA(Z28:$Z$39)=1,IF(COUNTA(AD28:$AD$39)=1,""," ; "),IF(COUNTA(AD28:$AD$39)=1,IF(Z28="",""," ; ")," ; ")))</f>
        <v/>
      </c>
      <c r="AF28" s="9" t="str">
        <f t="shared" si="2"/>
        <v/>
      </c>
      <c r="AG28" s="90" t="str">
        <f t="shared" si="3"/>
        <v/>
      </c>
      <c r="AH28" s="204" t="s">
        <v>278</v>
      </c>
      <c r="AJ28" s="206">
        <f t="shared" si="19"/>
        <v>500</v>
      </c>
      <c r="AK28" s="206">
        <f t="shared" si="19"/>
        <v>100</v>
      </c>
      <c r="AL28" s="206">
        <f t="shared" si="19"/>
        <v>2</v>
      </c>
      <c r="AM28" s="213">
        <f t="shared" si="19"/>
        <v>0.875</v>
      </c>
      <c r="AN28" s="214">
        <f t="shared" si="19"/>
        <v>0.63607464142166403</v>
      </c>
      <c r="AO28" s="215">
        <f t="shared" si="4"/>
        <v>-14.7</v>
      </c>
      <c r="AP28" s="216">
        <f t="shared" si="5"/>
        <v>1</v>
      </c>
      <c r="AQ28" s="216">
        <f t="shared" si="6"/>
        <v>1</v>
      </c>
      <c r="AR28" s="215">
        <f t="shared" si="20"/>
        <v>158.47</v>
      </c>
      <c r="AS28" s="216">
        <f t="shared" si="7"/>
        <v>0.9723448696087954</v>
      </c>
      <c r="AT28" s="216">
        <f t="shared" si="8"/>
        <v>1.2538510821608391</v>
      </c>
      <c r="AU28" s="216">
        <f t="shared" si="9"/>
        <v>2.2360679774997898</v>
      </c>
      <c r="AV28" s="217">
        <f t="shared" si="10"/>
        <v>10.368348541764712</v>
      </c>
      <c r="AW28" s="216">
        <f t="shared" si="11"/>
        <v>0</v>
      </c>
      <c r="AX28" s="218">
        <f t="shared" si="12"/>
        <v>1.4831709199797398</v>
      </c>
      <c r="AY28" s="216">
        <f t="shared" si="13"/>
        <v>0.77643477842613629</v>
      </c>
      <c r="AZ28" s="217">
        <f t="shared" si="14"/>
        <v>3.5883638597441294</v>
      </c>
      <c r="BA28" s="216">
        <f t="shared" si="15"/>
        <v>0</v>
      </c>
      <c r="BB28" s="216">
        <f t="shared" si="16"/>
        <v>1.0016542390239327</v>
      </c>
      <c r="BC28" s="216">
        <f t="shared" si="17"/>
        <v>1</v>
      </c>
    </row>
    <row r="29" spans="1:55" ht="20.100000000000001" customHeight="1" x14ac:dyDescent="0.2">
      <c r="A29" s="45">
        <v>0.58333333333333304</v>
      </c>
      <c r="B29" s="451"/>
      <c r="C29" s="451"/>
      <c r="D29" s="451">
        <v>7.8</v>
      </c>
      <c r="E29" s="451">
        <v>57.3</v>
      </c>
      <c r="F29" s="41">
        <v>1981</v>
      </c>
      <c r="G29" s="37">
        <v>-5.5</v>
      </c>
      <c r="H29" s="37">
        <v>71.7</v>
      </c>
      <c r="I29" s="37">
        <v>21.2</v>
      </c>
      <c r="J29" s="41">
        <v>93</v>
      </c>
      <c r="K29" s="37">
        <v>13</v>
      </c>
      <c r="L29" s="451">
        <v>128</v>
      </c>
      <c r="M29" s="451">
        <v>226</v>
      </c>
      <c r="N29" s="451">
        <v>90</v>
      </c>
      <c r="O29" s="353">
        <v>35</v>
      </c>
      <c r="P29" s="353">
        <v>13</v>
      </c>
      <c r="Q29" s="353">
        <v>226.3</v>
      </c>
      <c r="R29" s="37"/>
      <c r="S29" s="508" t="str">
        <f t="shared" si="0"/>
        <v/>
      </c>
      <c r="T29" s="508"/>
      <c r="U29" s="508"/>
      <c r="V29" s="508"/>
      <c r="X29" s="45">
        <v>0.58333333333333304</v>
      </c>
      <c r="Y29" s="106"/>
      <c r="Z29" s="102"/>
      <c r="AA29" s="102"/>
      <c r="AB29" s="45" t="str">
        <f t="shared" si="18"/>
        <v/>
      </c>
      <c r="AC29" s="45" t="str">
        <f t="shared" si="1"/>
        <v/>
      </c>
      <c r="AD29" s="81"/>
      <c r="AE29" s="9" t="str">
        <f>IF(S29="","",IF(COUNTA(Z29:$Z$39)=1,IF(COUNTA(AD29:$AD$39)=1,""," ; "),IF(COUNTA(AD29:$AD$39)=1,IF(Z29="",""," ; ")," ; ")))</f>
        <v/>
      </c>
      <c r="AF29" s="9" t="str">
        <f t="shared" si="2"/>
        <v/>
      </c>
      <c r="AG29" s="90" t="str">
        <f t="shared" si="3"/>
        <v/>
      </c>
      <c r="AH29" s="204" t="s">
        <v>224</v>
      </c>
      <c r="AJ29" s="206">
        <f t="shared" si="19"/>
        <v>500</v>
      </c>
      <c r="AK29" s="206">
        <f t="shared" si="19"/>
        <v>100</v>
      </c>
      <c r="AL29" s="206">
        <f t="shared" si="19"/>
        <v>2</v>
      </c>
      <c r="AM29" s="213">
        <f t="shared" si="19"/>
        <v>0.875</v>
      </c>
      <c r="AN29" s="214">
        <f t="shared" si="19"/>
        <v>0.63607464142166403</v>
      </c>
      <c r="AO29" s="215">
        <f t="shared" si="4"/>
        <v>-14.7</v>
      </c>
      <c r="AP29" s="216">
        <f t="shared" si="5"/>
        <v>1</v>
      </c>
      <c r="AQ29" s="216">
        <f t="shared" si="6"/>
        <v>1</v>
      </c>
      <c r="AR29" s="215">
        <f t="shared" si="20"/>
        <v>158.47</v>
      </c>
      <c r="AS29" s="216">
        <f t="shared" si="7"/>
        <v>0.9723448696087954</v>
      </c>
      <c r="AT29" s="216">
        <f t="shared" si="8"/>
        <v>1.2538510821608391</v>
      </c>
      <c r="AU29" s="216">
        <f t="shared" si="9"/>
        <v>2.2360679774997898</v>
      </c>
      <c r="AV29" s="217">
        <f t="shared" si="10"/>
        <v>10.368348541764712</v>
      </c>
      <c r="AW29" s="216">
        <f t="shared" si="11"/>
        <v>0</v>
      </c>
      <c r="AX29" s="218">
        <f t="shared" si="12"/>
        <v>1.4831709199797398</v>
      </c>
      <c r="AY29" s="216">
        <f t="shared" si="13"/>
        <v>0.77643477842613629</v>
      </c>
      <c r="AZ29" s="217">
        <f t="shared" si="14"/>
        <v>3.5883638597441294</v>
      </c>
      <c r="BA29" s="216">
        <f t="shared" si="15"/>
        <v>0</v>
      </c>
      <c r="BB29" s="216">
        <f t="shared" si="16"/>
        <v>1.0016542390239327</v>
      </c>
      <c r="BC29" s="216">
        <f t="shared" si="17"/>
        <v>1</v>
      </c>
    </row>
    <row r="30" spans="1:55" ht="20.100000000000001" customHeight="1" x14ac:dyDescent="0.2">
      <c r="A30" s="45">
        <v>0.625</v>
      </c>
      <c r="B30" s="451"/>
      <c r="C30" s="451"/>
      <c r="D30" s="451">
        <v>7.5</v>
      </c>
      <c r="E30" s="451">
        <v>59.8</v>
      </c>
      <c r="F30" s="41">
        <v>1965</v>
      </c>
      <c r="G30" s="37">
        <v>-5.5</v>
      </c>
      <c r="H30" s="37">
        <v>71.3</v>
      </c>
      <c r="I30" s="37">
        <v>21.7</v>
      </c>
      <c r="J30" s="41">
        <v>94</v>
      </c>
      <c r="K30" s="37">
        <v>13</v>
      </c>
      <c r="L30" s="451">
        <v>130</v>
      </c>
      <c r="M30" s="451">
        <v>227</v>
      </c>
      <c r="N30" s="451">
        <v>90</v>
      </c>
      <c r="O30" s="353">
        <v>35</v>
      </c>
      <c r="P30" s="353">
        <v>7</v>
      </c>
      <c r="Q30" s="353">
        <v>166.51</v>
      </c>
      <c r="R30" s="37"/>
      <c r="S30" s="508" t="str">
        <f t="shared" si="0"/>
        <v/>
      </c>
      <c r="T30" s="508"/>
      <c r="U30" s="508"/>
      <c r="V30" s="508"/>
      <c r="X30" s="45">
        <v>0.625</v>
      </c>
      <c r="Y30" s="106"/>
      <c r="Z30" s="102"/>
      <c r="AA30" s="102"/>
      <c r="AB30" s="45" t="str">
        <f t="shared" si="18"/>
        <v/>
      </c>
      <c r="AC30" s="45" t="str">
        <f t="shared" si="1"/>
        <v/>
      </c>
      <c r="AD30" s="81"/>
      <c r="AE30" s="9" t="str">
        <f>IF(S30="","",IF(COUNTA(Z30:$Z$39)=1,IF(COUNTA(AD30:$AD$39)=1,""," ; "),IF(COUNTA(AD30:$AD$39)=1,IF(Z30="",""," ; ")," ; ")))</f>
        <v/>
      </c>
      <c r="AF30" s="9" t="str">
        <f t="shared" si="2"/>
        <v/>
      </c>
      <c r="AG30" s="90" t="str">
        <f t="shared" si="3"/>
        <v/>
      </c>
      <c r="AH30" s="204" t="s">
        <v>260</v>
      </c>
      <c r="AJ30" s="206">
        <f t="shared" si="19"/>
        <v>500</v>
      </c>
      <c r="AK30" s="206">
        <f t="shared" si="19"/>
        <v>100</v>
      </c>
      <c r="AL30" s="206">
        <f t="shared" si="19"/>
        <v>2</v>
      </c>
      <c r="AM30" s="213">
        <f t="shared" si="19"/>
        <v>0.875</v>
      </c>
      <c r="AN30" s="214">
        <f t="shared" si="19"/>
        <v>0.63607464142166403</v>
      </c>
      <c r="AO30" s="215">
        <f t="shared" si="4"/>
        <v>-14.7</v>
      </c>
      <c r="AP30" s="216">
        <f t="shared" si="5"/>
        <v>1</v>
      </c>
      <c r="AQ30" s="216">
        <f t="shared" si="6"/>
        <v>1</v>
      </c>
      <c r="AR30" s="215">
        <f t="shared" si="20"/>
        <v>158.47</v>
      </c>
      <c r="AS30" s="216">
        <f t="shared" si="7"/>
        <v>0.9723448696087954</v>
      </c>
      <c r="AT30" s="216">
        <f t="shared" si="8"/>
        <v>1.2538510821608391</v>
      </c>
      <c r="AU30" s="216">
        <f t="shared" si="9"/>
        <v>2.2360679774997898</v>
      </c>
      <c r="AV30" s="217">
        <f t="shared" si="10"/>
        <v>10.368348541764712</v>
      </c>
      <c r="AW30" s="216">
        <f t="shared" si="11"/>
        <v>0</v>
      </c>
      <c r="AX30" s="218">
        <f t="shared" si="12"/>
        <v>1.4831709199797398</v>
      </c>
      <c r="AY30" s="216">
        <f t="shared" si="13"/>
        <v>0.77643477842613629</v>
      </c>
      <c r="AZ30" s="217">
        <f t="shared" si="14"/>
        <v>3.5883638597441294</v>
      </c>
      <c r="BA30" s="216">
        <f t="shared" si="15"/>
        <v>0</v>
      </c>
      <c r="BB30" s="216">
        <f t="shared" si="16"/>
        <v>1.0016542390239327</v>
      </c>
      <c r="BC30" s="216">
        <f t="shared" si="17"/>
        <v>1</v>
      </c>
    </row>
    <row r="31" spans="1:55" ht="20.100000000000001" customHeight="1" x14ac:dyDescent="0.2">
      <c r="A31" s="45">
        <v>0.66666666666666696</v>
      </c>
      <c r="B31" s="451"/>
      <c r="C31" s="451"/>
      <c r="D31" s="451">
        <v>8.4</v>
      </c>
      <c r="E31" s="451">
        <v>65.3</v>
      </c>
      <c r="F31" s="41">
        <v>1970</v>
      </c>
      <c r="G31" s="37">
        <v>-5.5</v>
      </c>
      <c r="H31" s="37">
        <v>71.8</v>
      </c>
      <c r="I31" s="37">
        <v>21.5</v>
      </c>
      <c r="J31" s="41">
        <v>95</v>
      </c>
      <c r="K31" s="37">
        <v>13</v>
      </c>
      <c r="L31" s="451">
        <v>131</v>
      </c>
      <c r="M31" s="451">
        <v>227</v>
      </c>
      <c r="N31" s="451">
        <v>90</v>
      </c>
      <c r="O31" s="353">
        <v>70</v>
      </c>
      <c r="P31" s="353">
        <v>9</v>
      </c>
      <c r="Q31" s="353">
        <v>247.07</v>
      </c>
      <c r="R31" s="37"/>
      <c r="S31" s="508" t="str">
        <f t="shared" si="0"/>
        <v/>
      </c>
      <c r="T31" s="508"/>
      <c r="U31" s="508"/>
      <c r="V31" s="508"/>
      <c r="X31" s="45">
        <v>0.66666666666666696</v>
      </c>
      <c r="Y31" s="106"/>
      <c r="Z31" s="102"/>
      <c r="AA31" s="102"/>
      <c r="AB31" s="45" t="str">
        <f t="shared" si="18"/>
        <v/>
      </c>
      <c r="AC31" s="45" t="str">
        <f t="shared" si="1"/>
        <v/>
      </c>
      <c r="AD31" s="81"/>
      <c r="AE31" s="9" t="str">
        <f>IF(S31="","",IF(COUNTA(Z31:$Z$39)=1,IF(COUNTA(AD31:$AD$39)=1,""," ; "),IF(COUNTA(AD31:$AD$39)=1,IF(Z31="",""," ; ")," ; ")))</f>
        <v/>
      </c>
      <c r="AF31" s="9" t="str">
        <f t="shared" si="2"/>
        <v/>
      </c>
      <c r="AG31" s="90" t="str">
        <f t="shared" si="3"/>
        <v/>
      </c>
      <c r="AH31" s="204" t="s">
        <v>226</v>
      </c>
      <c r="AJ31" s="206">
        <f t="shared" si="19"/>
        <v>500</v>
      </c>
      <c r="AK31" s="206">
        <f t="shared" si="19"/>
        <v>100</v>
      </c>
      <c r="AL31" s="206">
        <f t="shared" si="19"/>
        <v>2</v>
      </c>
      <c r="AM31" s="213">
        <f t="shared" si="19"/>
        <v>0.875</v>
      </c>
      <c r="AN31" s="214">
        <f t="shared" si="19"/>
        <v>0.63607464142166403</v>
      </c>
      <c r="AO31" s="215">
        <f t="shared" si="4"/>
        <v>-14.7</v>
      </c>
      <c r="AP31" s="216">
        <f t="shared" si="5"/>
        <v>1</v>
      </c>
      <c r="AQ31" s="216">
        <f t="shared" si="6"/>
        <v>1</v>
      </c>
      <c r="AR31" s="215">
        <f t="shared" si="20"/>
        <v>158.47</v>
      </c>
      <c r="AS31" s="216">
        <f t="shared" si="7"/>
        <v>0.9723448696087954</v>
      </c>
      <c r="AT31" s="216">
        <f t="shared" si="8"/>
        <v>1.2538510821608391</v>
      </c>
      <c r="AU31" s="216">
        <f t="shared" si="9"/>
        <v>2.2360679774997898</v>
      </c>
      <c r="AV31" s="217">
        <f t="shared" si="10"/>
        <v>10.368348541764712</v>
      </c>
      <c r="AW31" s="216">
        <f t="shared" si="11"/>
        <v>0</v>
      </c>
      <c r="AX31" s="218">
        <f t="shared" si="12"/>
        <v>1.4831709199797398</v>
      </c>
      <c r="AY31" s="216">
        <f t="shared" si="13"/>
        <v>0.77643477842613629</v>
      </c>
      <c r="AZ31" s="217">
        <f t="shared" si="14"/>
        <v>3.5883638597441294</v>
      </c>
      <c r="BA31" s="216">
        <f t="shared" si="15"/>
        <v>0</v>
      </c>
      <c r="BB31" s="216">
        <f t="shared" si="16"/>
        <v>1.0016542390239327</v>
      </c>
      <c r="BC31" s="216">
        <f t="shared" si="17"/>
        <v>1</v>
      </c>
    </row>
    <row r="32" spans="1:55" ht="20.100000000000001" customHeight="1" x14ac:dyDescent="0.2">
      <c r="A32" s="45">
        <v>0.70833333333333304</v>
      </c>
      <c r="B32" s="451"/>
      <c r="C32" s="451"/>
      <c r="D32" s="451">
        <v>9.1</v>
      </c>
      <c r="E32" s="451">
        <v>69.900000000000006</v>
      </c>
      <c r="F32" s="41">
        <v>1944</v>
      </c>
      <c r="G32" s="37">
        <v>-5.5</v>
      </c>
      <c r="H32" s="37">
        <v>71.099999999999994</v>
      </c>
      <c r="I32" s="37">
        <v>21</v>
      </c>
      <c r="J32" s="41">
        <v>96</v>
      </c>
      <c r="K32" s="37">
        <v>13</v>
      </c>
      <c r="L32" s="451">
        <v>130</v>
      </c>
      <c r="M32" s="451">
        <v>227</v>
      </c>
      <c r="N32" s="451">
        <v>90</v>
      </c>
      <c r="O32" s="353">
        <v>70</v>
      </c>
      <c r="P32" s="353">
        <v>8</v>
      </c>
      <c r="Q32" s="353">
        <v>233.04</v>
      </c>
      <c r="R32" s="37"/>
      <c r="S32" s="508" t="str">
        <f t="shared" si="0"/>
        <v/>
      </c>
      <c r="T32" s="508"/>
      <c r="U32" s="508"/>
      <c r="V32" s="508"/>
      <c r="X32" s="45">
        <v>0.70833333333333304</v>
      </c>
      <c r="Y32" s="106"/>
      <c r="Z32" s="102"/>
      <c r="AA32" s="102"/>
      <c r="AB32" s="45" t="str">
        <f t="shared" si="18"/>
        <v/>
      </c>
      <c r="AC32" s="45" t="str">
        <f t="shared" si="1"/>
        <v/>
      </c>
      <c r="AD32" s="81"/>
      <c r="AE32" s="9" t="str">
        <f>IF(S32="","",IF(COUNTA(Z32:$Z$39)=1,IF(COUNTA(AD32:$AD$39)=1,""," ; "),IF(COUNTA(AD32:$AD$39)=1,IF(Z32="",""," ; ")," ; ")))</f>
        <v/>
      </c>
      <c r="AF32" s="9" t="str">
        <f t="shared" si="2"/>
        <v/>
      </c>
      <c r="AG32" s="90" t="str">
        <f t="shared" si="3"/>
        <v/>
      </c>
      <c r="AH32" s="204" t="s">
        <v>313</v>
      </c>
      <c r="AJ32" s="206">
        <f t="shared" si="19"/>
        <v>500</v>
      </c>
      <c r="AK32" s="206">
        <f t="shared" si="19"/>
        <v>100</v>
      </c>
      <c r="AL32" s="206">
        <f t="shared" si="19"/>
        <v>2</v>
      </c>
      <c r="AM32" s="213">
        <f t="shared" si="19"/>
        <v>0.875</v>
      </c>
      <c r="AN32" s="214">
        <f t="shared" si="19"/>
        <v>0.63607464142166403</v>
      </c>
      <c r="AO32" s="215">
        <f t="shared" si="4"/>
        <v>-14.7</v>
      </c>
      <c r="AP32" s="216">
        <f t="shared" si="5"/>
        <v>1</v>
      </c>
      <c r="AQ32" s="216">
        <f t="shared" si="6"/>
        <v>1</v>
      </c>
      <c r="AR32" s="215">
        <f t="shared" si="20"/>
        <v>158.47</v>
      </c>
      <c r="AS32" s="216">
        <f t="shared" si="7"/>
        <v>0.9723448696087954</v>
      </c>
      <c r="AT32" s="216">
        <f t="shared" si="8"/>
        <v>1.2538510821608391</v>
      </c>
      <c r="AU32" s="216">
        <f t="shared" si="9"/>
        <v>2.2360679774997898</v>
      </c>
      <c r="AV32" s="217">
        <f t="shared" si="10"/>
        <v>10.368348541764712</v>
      </c>
      <c r="AW32" s="216">
        <f t="shared" si="11"/>
        <v>0</v>
      </c>
      <c r="AX32" s="218">
        <f t="shared" si="12"/>
        <v>1.4831709199797398</v>
      </c>
      <c r="AY32" s="216">
        <f t="shared" si="13"/>
        <v>0.77643477842613629</v>
      </c>
      <c r="AZ32" s="217">
        <f t="shared" si="14"/>
        <v>3.5883638597441294</v>
      </c>
      <c r="BA32" s="216">
        <f t="shared" si="15"/>
        <v>0</v>
      </c>
      <c r="BB32" s="216">
        <f t="shared" si="16"/>
        <v>1.0016542390239327</v>
      </c>
      <c r="BC32" s="216">
        <f t="shared" si="17"/>
        <v>1</v>
      </c>
    </row>
    <row r="33" spans="1:55" ht="20.100000000000001" customHeight="1" x14ac:dyDescent="0.2">
      <c r="A33" s="45">
        <v>0.75</v>
      </c>
      <c r="B33" s="451"/>
      <c r="C33" s="451"/>
      <c r="D33" s="451">
        <v>8.9</v>
      </c>
      <c r="E33" s="451">
        <v>68.099999999999994</v>
      </c>
      <c r="F33" s="41">
        <v>1962</v>
      </c>
      <c r="G33" s="37">
        <v>-5.6</v>
      </c>
      <c r="H33" s="37">
        <v>71.3</v>
      </c>
      <c r="I33" s="37">
        <v>21.7</v>
      </c>
      <c r="J33" s="41">
        <v>97</v>
      </c>
      <c r="K33" s="37">
        <v>13</v>
      </c>
      <c r="L33" s="451">
        <v>127</v>
      </c>
      <c r="M33" s="451">
        <v>227</v>
      </c>
      <c r="N33" s="451">
        <v>90</v>
      </c>
      <c r="O33" s="353">
        <v>70</v>
      </c>
      <c r="P33" s="353">
        <v>5</v>
      </c>
      <c r="Q33" s="353">
        <v>184.58</v>
      </c>
      <c r="R33" s="37"/>
      <c r="S33" s="508" t="str">
        <f>IF(Z33="",IF(AD33="","",AD33),CONCATENATE(TEXT(Z33,"[hh]:mm"),IF(AA33="",""," - "&amp;TEXT(AA33,"[hh]:mm")),IF(Y33="",""," "&amp;Y33&amp;"/")," "&amp;AD33))</f>
        <v/>
      </c>
      <c r="T33" s="508"/>
      <c r="U33" s="508"/>
      <c r="V33" s="508"/>
      <c r="X33" s="45">
        <v>0.75</v>
      </c>
      <c r="Y33" s="106"/>
      <c r="Z33" s="102"/>
      <c r="AA33" s="102"/>
      <c r="AB33" s="45" t="str">
        <f t="shared" si="18"/>
        <v/>
      </c>
      <c r="AC33" s="45" t="str">
        <f t="shared" si="1"/>
        <v/>
      </c>
      <c r="AD33" s="81"/>
      <c r="AE33" s="9" t="str">
        <f>IF(S33="","",IF(COUNTA(Z33:$Z$39)=1,IF(COUNTA(AD33:$AD$39)=1,""," ; "),IF(COUNTA(AD33:$AD$39)=1,IF(Z33="",""," ; ")," ; ")))</f>
        <v/>
      </c>
      <c r="AF33" s="9" t="str">
        <f t="shared" si="2"/>
        <v/>
      </c>
      <c r="AG33" s="90" t="str">
        <f t="shared" si="3"/>
        <v/>
      </c>
      <c r="AH33" s="204" t="s">
        <v>308</v>
      </c>
      <c r="AJ33" s="206">
        <f t="shared" ref="AJ33:AN39" si="21">AJ32</f>
        <v>500</v>
      </c>
      <c r="AK33" s="206">
        <f t="shared" si="21"/>
        <v>100</v>
      </c>
      <c r="AL33" s="206">
        <f t="shared" si="21"/>
        <v>2</v>
      </c>
      <c r="AM33" s="213">
        <f t="shared" si="21"/>
        <v>0.875</v>
      </c>
      <c r="AN33" s="214">
        <f t="shared" si="21"/>
        <v>0.63607464142166403</v>
      </c>
      <c r="AO33" s="215">
        <f t="shared" si="4"/>
        <v>-14.7</v>
      </c>
      <c r="AP33" s="216">
        <f t="shared" si="5"/>
        <v>1</v>
      </c>
      <c r="AQ33" s="216">
        <f t="shared" si="6"/>
        <v>1</v>
      </c>
      <c r="AR33" s="215">
        <f t="shared" si="20"/>
        <v>158.47</v>
      </c>
      <c r="AS33" s="216">
        <f t="shared" si="7"/>
        <v>0.9723448696087954</v>
      </c>
      <c r="AT33" s="216">
        <f t="shared" si="8"/>
        <v>1.2538510821608391</v>
      </c>
      <c r="AU33" s="216">
        <f t="shared" si="9"/>
        <v>2.2360679774997898</v>
      </c>
      <c r="AV33" s="217">
        <f t="shared" si="10"/>
        <v>10.368348541764712</v>
      </c>
      <c r="AW33" s="216">
        <f t="shared" si="11"/>
        <v>0</v>
      </c>
      <c r="AX33" s="218">
        <f t="shared" si="12"/>
        <v>1.4831709199797398</v>
      </c>
      <c r="AY33" s="216">
        <f t="shared" si="13"/>
        <v>0.77643477842613629</v>
      </c>
      <c r="AZ33" s="217">
        <f t="shared" si="14"/>
        <v>3.5883638597441294</v>
      </c>
      <c r="BA33" s="216">
        <f t="shared" si="15"/>
        <v>0</v>
      </c>
      <c r="BB33" s="216">
        <f t="shared" si="16"/>
        <v>1.0016542390239327</v>
      </c>
      <c r="BC33" s="216">
        <f t="shared" si="17"/>
        <v>1</v>
      </c>
    </row>
    <row r="34" spans="1:55" ht="20.100000000000001" customHeight="1" x14ac:dyDescent="0.2">
      <c r="A34" s="45">
        <v>0.79166666666666696</v>
      </c>
      <c r="B34" s="451"/>
      <c r="C34" s="451"/>
      <c r="D34" s="451">
        <v>8.6999999999999993</v>
      </c>
      <c r="E34" s="451">
        <v>66.599999999999994</v>
      </c>
      <c r="F34" s="41">
        <v>1955</v>
      </c>
      <c r="G34" s="37">
        <v>-5.6</v>
      </c>
      <c r="H34" s="37">
        <v>71.599999999999994</v>
      </c>
      <c r="I34" s="37">
        <v>21.5</v>
      </c>
      <c r="J34" s="41">
        <v>98</v>
      </c>
      <c r="K34" s="37">
        <v>13</v>
      </c>
      <c r="L34" s="451">
        <v>126</v>
      </c>
      <c r="M34" s="451">
        <v>225</v>
      </c>
      <c r="N34" s="451">
        <v>90</v>
      </c>
      <c r="O34" s="353">
        <v>70</v>
      </c>
      <c r="P34" s="353">
        <v>5</v>
      </c>
      <c r="Q34" s="353">
        <v>184.58</v>
      </c>
      <c r="R34" s="37"/>
      <c r="S34" s="508" t="str">
        <f t="shared" ref="S34:S39" si="22">IF(Z34="",IF(AD34="","",AD34),CONCATENATE(TEXT(Z34,"[hh]:mm"),IF(AA34="",""," - "&amp;TEXT(AA34,"[hh]:mm")),IF(Y34="",""," "&amp;Y34&amp;"/")," "&amp;AD34))</f>
        <v/>
      </c>
      <c r="T34" s="508"/>
      <c r="U34" s="508"/>
      <c r="V34" s="508"/>
      <c r="X34" s="45">
        <v>0.79166666666666696</v>
      </c>
      <c r="Y34" s="106"/>
      <c r="Z34" s="102"/>
      <c r="AA34" s="102"/>
      <c r="AB34" s="45" t="str">
        <f t="shared" si="18"/>
        <v/>
      </c>
      <c r="AC34" s="45" t="str">
        <f t="shared" si="1"/>
        <v/>
      </c>
      <c r="AD34" s="81"/>
      <c r="AE34" s="9" t="str">
        <f>IF(S34="","",IF(COUNTA(Z34:$Z$39)=1,IF(COUNTA(AD34:$AD$39)=1,""," ; "),IF(COUNTA(AD34:$AD$39)=1,IF(Z34="",""," ; ")," ; ")))</f>
        <v/>
      </c>
      <c r="AF34" s="9" t="str">
        <f t="shared" si="2"/>
        <v/>
      </c>
      <c r="AG34" s="90" t="str">
        <f t="shared" si="3"/>
        <v/>
      </c>
      <c r="AH34" s="204" t="s">
        <v>314</v>
      </c>
      <c r="AJ34" s="206">
        <f t="shared" si="21"/>
        <v>500</v>
      </c>
      <c r="AK34" s="206">
        <f t="shared" si="21"/>
        <v>100</v>
      </c>
      <c r="AL34" s="206">
        <f t="shared" si="21"/>
        <v>2</v>
      </c>
      <c r="AM34" s="213">
        <f t="shared" si="21"/>
        <v>0.875</v>
      </c>
      <c r="AN34" s="214">
        <f t="shared" si="21"/>
        <v>0.63607464142166403</v>
      </c>
      <c r="AO34" s="215">
        <f t="shared" si="4"/>
        <v>-14.7</v>
      </c>
      <c r="AP34" s="216">
        <f t="shared" si="5"/>
        <v>1</v>
      </c>
      <c r="AQ34" s="216">
        <f t="shared" si="6"/>
        <v>1</v>
      </c>
      <c r="AR34" s="215">
        <f t="shared" si="20"/>
        <v>158.47</v>
      </c>
      <c r="AS34" s="216">
        <f t="shared" si="7"/>
        <v>0.9723448696087954</v>
      </c>
      <c r="AT34" s="216">
        <f t="shared" si="8"/>
        <v>1.2538510821608391</v>
      </c>
      <c r="AU34" s="216">
        <f t="shared" si="9"/>
        <v>2.2360679774997898</v>
      </c>
      <c r="AV34" s="217">
        <f t="shared" si="10"/>
        <v>10.368348541764712</v>
      </c>
      <c r="AW34" s="216">
        <f t="shared" si="11"/>
        <v>0</v>
      </c>
      <c r="AX34" s="218">
        <f t="shared" si="12"/>
        <v>1.4831709199797398</v>
      </c>
      <c r="AY34" s="216">
        <f t="shared" si="13"/>
        <v>0.77643477842613629</v>
      </c>
      <c r="AZ34" s="217">
        <f t="shared" si="14"/>
        <v>3.5883638597441294</v>
      </c>
      <c r="BA34" s="216">
        <f t="shared" si="15"/>
        <v>0</v>
      </c>
      <c r="BB34" s="216">
        <f t="shared" si="16"/>
        <v>1.0016542390239327</v>
      </c>
      <c r="BC34" s="216">
        <f t="shared" si="17"/>
        <v>1</v>
      </c>
    </row>
    <row r="35" spans="1:55" ht="20.100000000000001" customHeight="1" x14ac:dyDescent="0.2">
      <c r="A35" s="45">
        <v>0.83333333333333304</v>
      </c>
      <c r="B35" s="451"/>
      <c r="C35" s="451"/>
      <c r="D35" s="451">
        <v>7.4</v>
      </c>
      <c r="E35" s="451">
        <v>63.7</v>
      </c>
      <c r="F35" s="41">
        <v>1930</v>
      </c>
      <c r="G35" s="37">
        <v>-5.6</v>
      </c>
      <c r="H35" s="37">
        <v>71.3</v>
      </c>
      <c r="I35" s="37">
        <v>21.6</v>
      </c>
      <c r="J35" s="41">
        <v>99</v>
      </c>
      <c r="K35" s="37">
        <v>13</v>
      </c>
      <c r="L35" s="451">
        <v>122</v>
      </c>
      <c r="M35" s="451">
        <v>222</v>
      </c>
      <c r="N35" s="451">
        <v>90</v>
      </c>
      <c r="O35" s="353">
        <v>70</v>
      </c>
      <c r="P35" s="353">
        <v>9</v>
      </c>
      <c r="Q35" s="353">
        <v>247.07</v>
      </c>
      <c r="R35" s="37"/>
      <c r="S35" s="508" t="str">
        <f t="shared" si="22"/>
        <v/>
      </c>
      <c r="T35" s="508"/>
      <c r="U35" s="508"/>
      <c r="V35" s="508"/>
      <c r="X35" s="45">
        <v>0.83333333333333304</v>
      </c>
      <c r="Y35" s="106"/>
      <c r="Z35" s="102"/>
      <c r="AA35" s="102"/>
      <c r="AB35" s="45" t="str">
        <f t="shared" si="18"/>
        <v/>
      </c>
      <c r="AC35" s="45" t="str">
        <f t="shared" si="1"/>
        <v/>
      </c>
      <c r="AD35" s="81"/>
      <c r="AE35" s="9" t="str">
        <f>IF(S35="","",IF(COUNTA(Z35:$Z$39)=1,IF(COUNTA(AD35:$AD$39)=1,""," ; "),IF(COUNTA(AD35:$AD$39)=1,IF(Z35="",""," ; ")," ; ")))</f>
        <v/>
      </c>
      <c r="AF35" s="9" t="str">
        <f t="shared" si="2"/>
        <v/>
      </c>
      <c r="AG35" s="90" t="str">
        <f t="shared" si="3"/>
        <v/>
      </c>
      <c r="AH35" s="204" t="s">
        <v>227</v>
      </c>
      <c r="AJ35" s="206">
        <f t="shared" si="21"/>
        <v>500</v>
      </c>
      <c r="AK35" s="206">
        <f t="shared" si="21"/>
        <v>100</v>
      </c>
      <c r="AL35" s="206">
        <f t="shared" si="21"/>
        <v>2</v>
      </c>
      <c r="AM35" s="213">
        <f t="shared" si="21"/>
        <v>0.875</v>
      </c>
      <c r="AN35" s="214">
        <f t="shared" si="21"/>
        <v>0.63607464142166403</v>
      </c>
      <c r="AO35" s="215">
        <f t="shared" si="4"/>
        <v>-14.7</v>
      </c>
      <c r="AP35" s="216">
        <f t="shared" si="5"/>
        <v>1</v>
      </c>
      <c r="AQ35" s="216">
        <f t="shared" si="6"/>
        <v>1</v>
      </c>
      <c r="AR35" s="215">
        <f t="shared" si="20"/>
        <v>158.47</v>
      </c>
      <c r="AS35" s="216">
        <f t="shared" si="7"/>
        <v>0.9723448696087954</v>
      </c>
      <c r="AT35" s="216">
        <f t="shared" si="8"/>
        <v>1.2538510821608391</v>
      </c>
      <c r="AU35" s="216">
        <f t="shared" si="9"/>
        <v>2.2360679774997898</v>
      </c>
      <c r="AV35" s="217">
        <f t="shared" si="10"/>
        <v>10.368348541764712</v>
      </c>
      <c r="AW35" s="216">
        <f t="shared" si="11"/>
        <v>0</v>
      </c>
      <c r="AX35" s="218">
        <f t="shared" si="12"/>
        <v>1.4831709199797398</v>
      </c>
      <c r="AY35" s="216">
        <f t="shared" si="13"/>
        <v>0.77643477842613629</v>
      </c>
      <c r="AZ35" s="217">
        <f t="shared" si="14"/>
        <v>3.5883638597441294</v>
      </c>
      <c r="BA35" s="216">
        <f t="shared" si="15"/>
        <v>0</v>
      </c>
      <c r="BB35" s="216">
        <f t="shared" si="16"/>
        <v>1.0016542390239327</v>
      </c>
      <c r="BC35" s="216">
        <f t="shared" si="17"/>
        <v>1</v>
      </c>
    </row>
    <row r="36" spans="1:55" ht="20.100000000000001" customHeight="1" x14ac:dyDescent="0.2">
      <c r="A36" s="45">
        <v>0.875</v>
      </c>
      <c r="B36" s="451"/>
      <c r="C36" s="451"/>
      <c r="D36" s="451">
        <v>7.5</v>
      </c>
      <c r="E36" s="451">
        <v>64.599999999999994</v>
      </c>
      <c r="F36" s="41">
        <v>1925</v>
      </c>
      <c r="G36" s="37">
        <v>-5.6</v>
      </c>
      <c r="H36" s="37">
        <v>71.2</v>
      </c>
      <c r="I36" s="37">
        <v>21.3</v>
      </c>
      <c r="J36" s="41">
        <v>100</v>
      </c>
      <c r="K36" s="37">
        <v>13</v>
      </c>
      <c r="L36" s="451">
        <v>127</v>
      </c>
      <c r="M36" s="451">
        <v>222</v>
      </c>
      <c r="N36" s="451">
        <v>90</v>
      </c>
      <c r="O36" s="353">
        <v>70</v>
      </c>
      <c r="P36" s="353">
        <v>9</v>
      </c>
      <c r="Q36" s="353">
        <v>247.07</v>
      </c>
      <c r="R36" s="37"/>
      <c r="S36" s="508" t="str">
        <f t="shared" si="22"/>
        <v/>
      </c>
      <c r="T36" s="508"/>
      <c r="U36" s="508"/>
      <c r="V36" s="508"/>
      <c r="X36" s="45">
        <v>0.875</v>
      </c>
      <c r="Y36" s="106"/>
      <c r="Z36" s="102"/>
      <c r="AA36" s="102"/>
      <c r="AB36" s="45" t="str">
        <f t="shared" si="18"/>
        <v/>
      </c>
      <c r="AC36" s="45" t="str">
        <f t="shared" si="1"/>
        <v/>
      </c>
      <c r="AD36" s="81"/>
      <c r="AE36" s="9" t="str">
        <f>IF(S36="","",IF(COUNTA(Z36:$Z$39)=1,IF(COUNTA(AD36:$AD$39)=1,""," ; "),IF(COUNTA(AD36:$AD$39)=1,IF(Z36="",""," ; ")," ; ")))</f>
        <v/>
      </c>
      <c r="AF36" s="9" t="str">
        <f t="shared" si="2"/>
        <v/>
      </c>
      <c r="AG36" s="90" t="str">
        <f t="shared" si="3"/>
        <v/>
      </c>
      <c r="AH36" s="204" t="s">
        <v>309</v>
      </c>
      <c r="AJ36" s="206">
        <f t="shared" si="21"/>
        <v>500</v>
      </c>
      <c r="AK36" s="206">
        <f t="shared" si="21"/>
        <v>100</v>
      </c>
      <c r="AL36" s="206">
        <f t="shared" si="21"/>
        <v>2</v>
      </c>
      <c r="AM36" s="213">
        <f t="shared" si="21"/>
        <v>0.875</v>
      </c>
      <c r="AN36" s="214">
        <f t="shared" si="21"/>
        <v>0.63607464142166403</v>
      </c>
      <c r="AO36" s="215">
        <f t="shared" si="4"/>
        <v>-14.7</v>
      </c>
      <c r="AP36" s="216">
        <f t="shared" si="5"/>
        <v>1</v>
      </c>
      <c r="AQ36" s="216">
        <f t="shared" si="6"/>
        <v>1</v>
      </c>
      <c r="AR36" s="215">
        <f t="shared" si="20"/>
        <v>158.47</v>
      </c>
      <c r="AS36" s="216">
        <f t="shared" si="7"/>
        <v>0.9723448696087954</v>
      </c>
      <c r="AT36" s="216">
        <f t="shared" si="8"/>
        <v>1.2538510821608391</v>
      </c>
      <c r="AU36" s="216">
        <f t="shared" si="9"/>
        <v>2.2360679774997898</v>
      </c>
      <c r="AV36" s="217">
        <f t="shared" si="10"/>
        <v>10.368348541764712</v>
      </c>
      <c r="AW36" s="216">
        <f t="shared" si="11"/>
        <v>0</v>
      </c>
      <c r="AX36" s="218">
        <f t="shared" si="12"/>
        <v>1.4831709199797398</v>
      </c>
      <c r="AY36" s="216">
        <f t="shared" si="13"/>
        <v>0.77643477842613629</v>
      </c>
      <c r="AZ36" s="217">
        <f t="shared" si="14"/>
        <v>3.5883638597441294</v>
      </c>
      <c r="BA36" s="216">
        <f t="shared" si="15"/>
        <v>0</v>
      </c>
      <c r="BB36" s="216">
        <f t="shared" si="16"/>
        <v>1.0016542390239327</v>
      </c>
      <c r="BC36" s="216">
        <f t="shared" si="17"/>
        <v>1</v>
      </c>
    </row>
    <row r="37" spans="1:55" ht="20.100000000000001" customHeight="1" x14ac:dyDescent="0.2">
      <c r="A37" s="45">
        <v>0.91666666666666696</v>
      </c>
      <c r="B37" s="451"/>
      <c r="C37" s="451"/>
      <c r="D37" s="451">
        <v>8.1999999999999993</v>
      </c>
      <c r="E37" s="451">
        <v>58.2</v>
      </c>
      <c r="F37" s="41">
        <v>1922</v>
      </c>
      <c r="G37" s="37">
        <v>-5.6</v>
      </c>
      <c r="H37" s="37">
        <v>71</v>
      </c>
      <c r="I37" s="37">
        <v>21.2</v>
      </c>
      <c r="J37" s="41">
        <v>101</v>
      </c>
      <c r="K37" s="37">
        <v>13</v>
      </c>
      <c r="L37" s="451">
        <v>122</v>
      </c>
      <c r="M37" s="451">
        <v>220</v>
      </c>
      <c r="N37" s="451">
        <v>90</v>
      </c>
      <c r="O37" s="353">
        <v>35</v>
      </c>
      <c r="P37" s="353">
        <v>7</v>
      </c>
      <c r="Q37" s="353">
        <v>166.51</v>
      </c>
      <c r="R37" s="37"/>
      <c r="S37" s="508" t="str">
        <f t="shared" si="22"/>
        <v/>
      </c>
      <c r="T37" s="508"/>
      <c r="U37" s="508"/>
      <c r="V37" s="508"/>
      <c r="X37" s="45">
        <v>0.91666666666666696</v>
      </c>
      <c r="Y37" s="106"/>
      <c r="Z37" s="102"/>
      <c r="AA37" s="102"/>
      <c r="AB37" s="45" t="str">
        <f t="shared" si="18"/>
        <v/>
      </c>
      <c r="AC37" s="45" t="str">
        <f t="shared" si="1"/>
        <v/>
      </c>
      <c r="AD37" s="81"/>
      <c r="AE37" s="9" t="str">
        <f>IF(S37="","",IF(COUNTA(Z37:$Z$39)=1,IF(COUNTA(AD37:$AD$39)=1,""," ; "),IF(COUNTA(AD37:$AD$39)=1,IF(Z37="",""," ; ")," ; ")))</f>
        <v/>
      </c>
      <c r="AF37" s="9" t="str">
        <f t="shared" si="2"/>
        <v/>
      </c>
      <c r="AG37" s="90" t="str">
        <f t="shared" si="3"/>
        <v/>
      </c>
      <c r="AH37" s="204" t="s">
        <v>319</v>
      </c>
      <c r="AJ37" s="206">
        <f t="shared" si="21"/>
        <v>500</v>
      </c>
      <c r="AK37" s="206">
        <f t="shared" si="21"/>
        <v>100</v>
      </c>
      <c r="AL37" s="206">
        <f t="shared" si="21"/>
        <v>2</v>
      </c>
      <c r="AM37" s="213">
        <f t="shared" si="21"/>
        <v>0.875</v>
      </c>
      <c r="AN37" s="214">
        <f t="shared" si="21"/>
        <v>0.63607464142166403</v>
      </c>
      <c r="AO37" s="215">
        <f t="shared" si="4"/>
        <v>-14.7</v>
      </c>
      <c r="AP37" s="216">
        <f t="shared" si="5"/>
        <v>1</v>
      </c>
      <c r="AQ37" s="216">
        <f t="shared" si="6"/>
        <v>1</v>
      </c>
      <c r="AR37" s="215">
        <f t="shared" si="20"/>
        <v>158.47</v>
      </c>
      <c r="AS37" s="216">
        <f t="shared" si="7"/>
        <v>0.9723448696087954</v>
      </c>
      <c r="AT37" s="216">
        <f t="shared" si="8"/>
        <v>1.2538510821608391</v>
      </c>
      <c r="AU37" s="216">
        <f t="shared" si="9"/>
        <v>2.2360679774997898</v>
      </c>
      <c r="AV37" s="217">
        <f t="shared" si="10"/>
        <v>10.368348541764712</v>
      </c>
      <c r="AW37" s="216">
        <f t="shared" si="11"/>
        <v>0</v>
      </c>
      <c r="AX37" s="218">
        <f t="shared" si="12"/>
        <v>1.4831709199797398</v>
      </c>
      <c r="AY37" s="216">
        <f t="shared" si="13"/>
        <v>0.77643477842613629</v>
      </c>
      <c r="AZ37" s="217">
        <f t="shared" si="14"/>
        <v>3.5883638597441294</v>
      </c>
      <c r="BA37" s="216">
        <f t="shared" si="15"/>
        <v>0</v>
      </c>
      <c r="BB37" s="216">
        <f t="shared" si="16"/>
        <v>1.0016542390239327</v>
      </c>
      <c r="BC37" s="216">
        <f t="shared" si="17"/>
        <v>1</v>
      </c>
    </row>
    <row r="38" spans="1:55" ht="20.100000000000001" customHeight="1" thickBot="1" x14ac:dyDescent="0.25">
      <c r="A38" s="45">
        <v>0.95833333333333304</v>
      </c>
      <c r="B38" s="451"/>
      <c r="C38" s="451"/>
      <c r="D38" s="451">
        <v>8</v>
      </c>
      <c r="E38" s="451">
        <v>52.9</v>
      </c>
      <c r="F38" s="42">
        <v>1920</v>
      </c>
      <c r="G38" s="37">
        <v>-5.6</v>
      </c>
      <c r="H38" s="37">
        <v>71.599999999999994</v>
      </c>
      <c r="I38" s="37">
        <v>21</v>
      </c>
      <c r="J38" s="41">
        <v>102</v>
      </c>
      <c r="K38" s="37">
        <v>13</v>
      </c>
      <c r="L38" s="451">
        <v>127</v>
      </c>
      <c r="M38" s="451">
        <v>221</v>
      </c>
      <c r="N38" s="451">
        <v>90</v>
      </c>
      <c r="O38" s="353">
        <v>35</v>
      </c>
      <c r="P38" s="353">
        <v>7</v>
      </c>
      <c r="Q38" s="353">
        <v>166.51</v>
      </c>
      <c r="R38" s="37"/>
      <c r="S38" s="508" t="str">
        <f t="shared" si="22"/>
        <v/>
      </c>
      <c r="T38" s="508"/>
      <c r="U38" s="508"/>
      <c r="V38" s="508"/>
      <c r="X38" s="45">
        <v>0.95833333333333304</v>
      </c>
      <c r="Y38" s="106"/>
      <c r="Z38" s="102"/>
      <c r="AA38" s="102"/>
      <c r="AB38" s="45" t="str">
        <f t="shared" si="18"/>
        <v/>
      </c>
      <c r="AC38" s="45" t="str">
        <f t="shared" si="1"/>
        <v/>
      </c>
      <c r="AD38" s="81"/>
      <c r="AE38" s="9" t="str">
        <f>IF(S38="","",IF(COUNTA(Z38:$Z$39)=1,IF(COUNTA(AD38:$AD$39)=1,""," ; "),IF(COUNTA(AD38:$AD$39)=1,IF(Z38="",""," ; ")," ; ")))</f>
        <v/>
      </c>
      <c r="AF38" s="9" t="str">
        <f t="shared" si="2"/>
        <v/>
      </c>
      <c r="AG38" s="90" t="str">
        <f t="shared" si="3"/>
        <v/>
      </c>
      <c r="AH38" s="204" t="s">
        <v>219</v>
      </c>
      <c r="AJ38" s="206">
        <f t="shared" si="21"/>
        <v>500</v>
      </c>
      <c r="AK38" s="206">
        <f t="shared" si="21"/>
        <v>100</v>
      </c>
      <c r="AL38" s="206">
        <f t="shared" si="21"/>
        <v>2</v>
      </c>
      <c r="AM38" s="213">
        <f t="shared" si="21"/>
        <v>0.875</v>
      </c>
      <c r="AN38" s="214">
        <f t="shared" si="21"/>
        <v>0.63607464142166403</v>
      </c>
      <c r="AO38" s="215">
        <f t="shared" si="4"/>
        <v>-14.7</v>
      </c>
      <c r="AP38" s="216">
        <f t="shared" si="5"/>
        <v>1</v>
      </c>
      <c r="AQ38" s="216">
        <f t="shared" si="6"/>
        <v>1</v>
      </c>
      <c r="AR38" s="215">
        <f t="shared" si="20"/>
        <v>158.47</v>
      </c>
      <c r="AS38" s="216">
        <f t="shared" si="7"/>
        <v>0.9723448696087954</v>
      </c>
      <c r="AT38" s="216">
        <f t="shared" si="8"/>
        <v>1.2538510821608391</v>
      </c>
      <c r="AU38" s="216">
        <f t="shared" si="9"/>
        <v>2.2360679774997898</v>
      </c>
      <c r="AV38" s="217">
        <f t="shared" si="10"/>
        <v>10.368348541764712</v>
      </c>
      <c r="AW38" s="216">
        <f t="shared" si="11"/>
        <v>0</v>
      </c>
      <c r="AX38" s="218">
        <f t="shared" si="12"/>
        <v>1.4831709199797398</v>
      </c>
      <c r="AY38" s="216">
        <f t="shared" si="13"/>
        <v>0.77643477842613629</v>
      </c>
      <c r="AZ38" s="217">
        <f t="shared" si="14"/>
        <v>3.5883638597441294</v>
      </c>
      <c r="BA38" s="216">
        <f t="shared" si="15"/>
        <v>0</v>
      </c>
      <c r="BB38" s="216">
        <f t="shared" si="16"/>
        <v>1.0016542390239327</v>
      </c>
      <c r="BC38" s="216">
        <f t="shared" si="17"/>
        <v>1</v>
      </c>
    </row>
    <row r="39" spans="1:55" ht="20.100000000000001" customHeight="1" thickBot="1" x14ac:dyDescent="0.25">
      <c r="A39" s="46">
        <v>1</v>
      </c>
      <c r="B39" s="451"/>
      <c r="C39" s="451"/>
      <c r="D39" s="452">
        <v>7.3</v>
      </c>
      <c r="E39" s="452">
        <v>56.4</v>
      </c>
      <c r="F39" s="42">
        <v>1936</v>
      </c>
      <c r="G39" s="37">
        <v>-5.6</v>
      </c>
      <c r="H39" s="38">
        <v>71.2</v>
      </c>
      <c r="I39" s="37">
        <v>21.3</v>
      </c>
      <c r="J39" s="41">
        <v>103</v>
      </c>
      <c r="K39" s="37">
        <v>13</v>
      </c>
      <c r="L39" s="452">
        <v>120</v>
      </c>
      <c r="M39" s="452">
        <v>220</v>
      </c>
      <c r="N39" s="451">
        <v>90</v>
      </c>
      <c r="O39" s="353">
        <v>70</v>
      </c>
      <c r="P39" s="353">
        <v>9</v>
      </c>
      <c r="Q39" s="354">
        <v>247.07</v>
      </c>
      <c r="R39" s="38"/>
      <c r="S39" s="512" t="str">
        <f t="shared" si="22"/>
        <v/>
      </c>
      <c r="T39" s="512"/>
      <c r="U39" s="512"/>
      <c r="V39" s="512"/>
      <c r="X39" s="46">
        <v>1</v>
      </c>
      <c r="Y39" s="107"/>
      <c r="Z39" s="103"/>
      <c r="AA39" s="103"/>
      <c r="AB39" s="46" t="str">
        <f t="shared" si="18"/>
        <v/>
      </c>
      <c r="AC39" s="46" t="str">
        <f t="shared" si="1"/>
        <v/>
      </c>
      <c r="AD39" s="82"/>
      <c r="AE39" s="9" t="str">
        <f>IF(S39="","",IF(COUNTA(Z39:$Z$39)=1,IF(COUNTA(AD39:$AD$39)=1,""," ; "),IF(COUNTA(AD39:$AD$39)=1,IF(Z39="",""," ; ")," ; ")))</f>
        <v/>
      </c>
      <c r="AF39" s="9" t="str">
        <f t="shared" si="2"/>
        <v/>
      </c>
      <c r="AG39" s="90" t="str">
        <f t="shared" si="3"/>
        <v/>
      </c>
      <c r="AH39" s="204" t="s">
        <v>220</v>
      </c>
      <c r="AJ39" s="219">
        <f t="shared" si="21"/>
        <v>500</v>
      </c>
      <c r="AK39" s="219">
        <f t="shared" si="21"/>
        <v>100</v>
      </c>
      <c r="AL39" s="219">
        <f t="shared" si="21"/>
        <v>2</v>
      </c>
      <c r="AM39" s="220">
        <f t="shared" si="21"/>
        <v>0.875</v>
      </c>
      <c r="AN39" s="221">
        <f t="shared" si="21"/>
        <v>0.63607464142166403</v>
      </c>
      <c r="AO39" s="222">
        <f t="shared" si="4"/>
        <v>-14.7</v>
      </c>
      <c r="AP39" s="223">
        <f t="shared" si="5"/>
        <v>1</v>
      </c>
      <c r="AQ39" s="223">
        <f t="shared" si="6"/>
        <v>1</v>
      </c>
      <c r="AR39" s="222">
        <f t="shared" si="20"/>
        <v>158.47</v>
      </c>
      <c r="AS39" s="223">
        <f t="shared" si="7"/>
        <v>0.9723448696087954</v>
      </c>
      <c r="AT39" s="223">
        <f t="shared" si="8"/>
        <v>1.2538510821608391</v>
      </c>
      <c r="AU39" s="223">
        <f t="shared" si="9"/>
        <v>2.2360679774997898</v>
      </c>
      <c r="AV39" s="224">
        <f t="shared" si="10"/>
        <v>10.368348541764712</v>
      </c>
      <c r="AW39" s="223">
        <f t="shared" si="11"/>
        <v>0</v>
      </c>
      <c r="AX39" s="225">
        <f t="shared" si="12"/>
        <v>1.4831709199797398</v>
      </c>
      <c r="AY39" s="223">
        <f t="shared" si="13"/>
        <v>0.77643477842613629</v>
      </c>
      <c r="AZ39" s="224">
        <f t="shared" si="14"/>
        <v>3.5883638597441294</v>
      </c>
      <c r="BA39" s="223">
        <f t="shared" si="15"/>
        <v>0</v>
      </c>
      <c r="BB39" s="223">
        <f t="shared" si="16"/>
        <v>1.0016542390239327</v>
      </c>
      <c r="BC39" s="223">
        <f t="shared" si="17"/>
        <v>1</v>
      </c>
    </row>
    <row r="40" spans="1:55" ht="20.100000000000001" customHeight="1" thickBot="1" x14ac:dyDescent="0.3">
      <c r="A40" s="53" t="s">
        <v>11</v>
      </c>
      <c r="B40" s="453" t="str">
        <f>IFERROR(ROUND(AVERAGE(B16:B39),2),"")</f>
        <v/>
      </c>
      <c r="C40" s="453" t="str">
        <f>IFERROR(ROUND(AVERAGE(C16:C39),2),"")</f>
        <v/>
      </c>
      <c r="D40" s="453">
        <f>IFERROR(ROUND(AVERAGE(D16:D39),2),"")</f>
        <v>7.4</v>
      </c>
      <c r="E40" s="453">
        <f>IFERROR(ROUND(AVERAGE(E16:E39),2),"")</f>
        <v>59.1</v>
      </c>
      <c r="F40" s="55">
        <f>IFERROR(ROUND(AVERAGE(F16:F39),0),"")</f>
        <v>1947</v>
      </c>
      <c r="G40" s="54">
        <f>IFERROR(AVERAGE(G16:G39),"")</f>
        <v>-5.529166666666665</v>
      </c>
      <c r="H40" s="54">
        <f>IFERROR(AVERAGE(H16:H39),"")</f>
        <v>71.41249999999998</v>
      </c>
      <c r="I40" s="54">
        <f>IFERROR(AVERAGE(I16:I39),"")</f>
        <v>21.408333333333335</v>
      </c>
      <c r="J40" s="71"/>
      <c r="K40" s="111">
        <f>IFERROR(AVERAGE(K16:K39),"")</f>
        <v>13</v>
      </c>
      <c r="L40" s="453">
        <f t="shared" ref="L40:N40" si="23">IFERROR(ROUND(AVERAGE(L16:L39),1),"")</f>
        <v>125.8</v>
      </c>
      <c r="M40" s="453">
        <f t="shared" si="23"/>
        <v>223</v>
      </c>
      <c r="N40" s="453">
        <f t="shared" si="23"/>
        <v>90</v>
      </c>
      <c r="O40" s="456">
        <f>IFERROR(ROUND(AVERAGE(O16:O39),4),"")</f>
        <v>43.333300000000001</v>
      </c>
      <c r="P40" s="456">
        <f>IFERROR(ROUND(AVERAGE(P16:P39),4),"")</f>
        <v>10.541700000000001</v>
      </c>
      <c r="Q40" s="456">
        <f>IF($I$47=1,$M$49,$Q$44)</f>
        <v>217.4</v>
      </c>
      <c r="R40" s="54" t="str">
        <f>IFERROR(ROUND(AVERAGE(R16:R39),1),"")</f>
        <v/>
      </c>
      <c r="S40" s="509"/>
      <c r="T40" s="510"/>
      <c r="U40" s="510"/>
      <c r="V40" s="511"/>
      <c r="X40" s="99"/>
      <c r="Y40" s="99"/>
      <c r="Z40" s="99"/>
      <c r="AA40" s="99"/>
      <c r="AB40" s="104">
        <f>SUM(AB16:AB39)</f>
        <v>0</v>
      </c>
      <c r="AC40" s="104">
        <f>SUM(AC16:AC39)</f>
        <v>0</v>
      </c>
      <c r="AD40" s="92" t="str">
        <f>IF(OR(COUNTBLANK(D16:E39)+COUNTBLANK(O16:P39)=0,COUNTA(S16:V39)&lt;&gt;0),"","CEK : Blank Data - Remarks")</f>
        <v/>
      </c>
      <c r="AG40" s="90" t="str">
        <f>IF(COUNTIF(AG16:AG39,"")=COUNTA(AG16:AG39),"","CEK : Data Flowrate")</f>
        <v/>
      </c>
      <c r="AH40" s="204" t="s">
        <v>311</v>
      </c>
    </row>
    <row r="41" spans="1:55" ht="20.100000000000001" hidden="1" customHeight="1" thickBot="1" x14ac:dyDescent="0.3">
      <c r="A41" s="49" t="s">
        <v>12</v>
      </c>
      <c r="B41" s="52" t="str">
        <f>IF(COUNT(B16:B39)&gt;0,ROUND(MIN(B16:B39),2),"")</f>
        <v/>
      </c>
      <c r="C41" s="52" t="str">
        <f>IF(COUNT(C16:C39)&gt;0,ROUND(MIN(C16:C39),2),"")</f>
        <v/>
      </c>
      <c r="D41" s="52">
        <f>IF(COUNT(D16:D39)&gt;0,ROUND(MIN(D16:D39),2),"")</f>
        <v>4.9000000000000004</v>
      </c>
      <c r="E41" s="52">
        <f>IF(COUNT(E16:E39)&gt;0,ROUND(MIN(E16:E39),2),"")</f>
        <v>48.3</v>
      </c>
      <c r="F41" s="51">
        <f>IF(COUNT(F16:F39)&gt;0,ROUND(MIN(F16:F39),0),"")</f>
        <v>1915</v>
      </c>
      <c r="G41" s="50">
        <f>IF(COUNT(G16:G39)&gt;0,MIN(G16:G39),"")</f>
        <v>-5.6</v>
      </c>
      <c r="H41" s="50">
        <f>IF(COUNT(H16:H39)&gt;0,MIN(H16:H39),"")</f>
        <v>71</v>
      </c>
      <c r="I41" s="50">
        <f>IF(COUNT(I16:I39)&gt;0,MIN(I16:I39),"")</f>
        <v>21</v>
      </c>
      <c r="J41" s="72"/>
      <c r="K41" s="50">
        <f>IF(COUNT(K16:K39)&gt;0,MIN(K16:K39),"")</f>
        <v>13</v>
      </c>
      <c r="L41" s="52">
        <f>IF(COUNT(L16:L39)&gt;0,ROUND(MIN(L16:L39),1),"")</f>
        <v>120</v>
      </c>
      <c r="M41" s="52">
        <f>IF(COUNT(M16:M39)&gt;0,ROUND(MIN(M16:M39),1),"")</f>
        <v>220</v>
      </c>
      <c r="N41" s="52">
        <f>IF(COUNT(N16:N39)&gt;0,ROUND(MIN(N16:N39),1),"")</f>
        <v>90</v>
      </c>
      <c r="O41" s="440">
        <f>IF(COUNT(O16:O39)&gt;0,ROUND(MIN(O16:O39),4),"")</f>
        <v>20</v>
      </c>
      <c r="P41" s="440">
        <f>IF(COUNT(P16:P39)&gt;0,ROUND(MIN(P16:P39),4),"")</f>
        <v>5</v>
      </c>
      <c r="Q41" s="440">
        <f>IF(COUNT(Q16:Q39)&gt;0,ROUND(MIN(Q16:Q39),4),"")</f>
        <v>166.51</v>
      </c>
      <c r="R41" s="121" t="str">
        <f>IF(COUNT(R16:R39)&gt;0,ROUND(MIN(R16:R39),1),"")</f>
        <v/>
      </c>
      <c r="S41" s="509"/>
      <c r="T41" s="510"/>
      <c r="U41" s="510"/>
      <c r="V41" s="511"/>
      <c r="X41" s="99"/>
      <c r="Y41" s="99"/>
      <c r="Z41" s="99"/>
      <c r="AA41" s="99"/>
      <c r="AB41" s="99"/>
      <c r="AC41" s="99"/>
      <c r="AH41" s="204" t="s">
        <v>318</v>
      </c>
    </row>
    <row r="42" spans="1:55" ht="20.100000000000001" hidden="1" customHeight="1" thickBot="1" x14ac:dyDescent="0.3">
      <c r="A42" s="21" t="s">
        <v>13</v>
      </c>
      <c r="B42" s="454" t="str">
        <f>IF(COUNT(B16:B39)&gt;0,ROUND(MAX(B16:B39),2),"")</f>
        <v/>
      </c>
      <c r="C42" s="454" t="str">
        <f>IF(COUNT(C16:C39)&gt;0,ROUND(MAX(C16:C39),2),"")</f>
        <v/>
      </c>
      <c r="D42" s="454">
        <f>IF(COUNT(D16:D39)&gt;0,ROUND(MAX(D16:D39),2),"")</f>
        <v>9.1</v>
      </c>
      <c r="E42" s="454">
        <f>IF(COUNT(E16:E39)&gt;0,ROUND(MAX(E16:E39),2),"")</f>
        <v>69.900000000000006</v>
      </c>
      <c r="F42" s="43">
        <f>IF(COUNT(F16:F39)&gt;0,ROUND(MAX(F16:F39),0),"")</f>
        <v>1991</v>
      </c>
      <c r="G42" s="39">
        <f>IF(COUNT(G16:G39)&gt;0,MAX(G16:G39),"")</f>
        <v>-5.5</v>
      </c>
      <c r="H42" s="39">
        <f>IF(COUNT(H16:H39)&gt;0,MAX(H16:H39),"")</f>
        <v>71.900000000000006</v>
      </c>
      <c r="I42" s="39">
        <f>IF(COUNT(I16:I39)&gt;0,MAX(I16:I39),"")</f>
        <v>21.9</v>
      </c>
      <c r="J42" s="43">
        <f>IF(COUNT(J16:J39)&gt;0,MAX(J16:J39),"")</f>
        <v>103</v>
      </c>
      <c r="K42" s="39">
        <f>IF(COUNT(K16:K39)&gt;0,MAX(K16:K39),"")</f>
        <v>13</v>
      </c>
      <c r="L42" s="454">
        <f>IF(COUNT(L16:L39)&gt;0,ROUND(MAX(L16:L39),1),"")</f>
        <v>131</v>
      </c>
      <c r="M42" s="454">
        <f>IF(COUNT(M16:M39)&gt;0,ROUND(MAX(M16:M39),1),"")</f>
        <v>227</v>
      </c>
      <c r="N42" s="454">
        <f>IF(COUNT(N16:N39)&gt;0,ROUND(MAX(N16:N39),1),"")</f>
        <v>90</v>
      </c>
      <c r="O42" s="441">
        <f>IF(COUNT(O16:O39)&gt;0,ROUND(MAX(O16:O39),4),"")</f>
        <v>70</v>
      </c>
      <c r="P42" s="441">
        <f>IF(COUNT(P16:P39)&gt;0,ROUND(MAX(P16:P39),4),"")</f>
        <v>14</v>
      </c>
      <c r="Q42" s="441">
        <f>IF(COUNT(Q16:Q39)&gt;0,ROUND(MAX(Q16:Q39),4),"")</f>
        <v>247.07</v>
      </c>
      <c r="R42" s="39" t="str">
        <f>IF(COUNT(R16:R39)&gt;0,ROUND(MAX(R16:R39),1),"")</f>
        <v/>
      </c>
      <c r="S42" s="509"/>
      <c r="T42" s="510"/>
      <c r="U42" s="510"/>
      <c r="V42" s="511"/>
      <c r="X42" s="99"/>
      <c r="Y42" s="99"/>
      <c r="Z42" s="99"/>
      <c r="AA42" s="99"/>
      <c r="AB42" s="99"/>
      <c r="AC42" s="99"/>
      <c r="AH42" s="204" t="s">
        <v>312</v>
      </c>
    </row>
    <row r="43" spans="1:55" ht="20.100000000000001" hidden="1" customHeight="1" x14ac:dyDescent="0.25">
      <c r="A43" s="109"/>
      <c r="B43" s="110">
        <f>COUNT(B16:B39)</f>
        <v>0</v>
      </c>
      <c r="C43" s="110">
        <f>COUNT(C16:C39)</f>
        <v>0</v>
      </c>
      <c r="D43" s="110">
        <f>COUNT(D16:D39)</f>
        <v>24</v>
      </c>
      <c r="E43" s="110">
        <f t="shared" ref="E43:H43" si="24">COUNT(E16:E39)</f>
        <v>24</v>
      </c>
      <c r="F43" s="110">
        <f t="shared" si="24"/>
        <v>24</v>
      </c>
      <c r="G43" s="110">
        <f t="shared" si="24"/>
        <v>24</v>
      </c>
      <c r="H43" s="110">
        <f t="shared" si="24"/>
        <v>24</v>
      </c>
      <c r="I43" s="110"/>
      <c r="J43" s="110"/>
      <c r="K43" s="110"/>
      <c r="L43" s="110">
        <f t="shared" ref="L43:Q43" si="25">COUNT(L16:L39)</f>
        <v>24</v>
      </c>
      <c r="M43" s="110">
        <f t="shared" si="25"/>
        <v>24</v>
      </c>
      <c r="N43" s="110">
        <f t="shared" si="25"/>
        <v>24</v>
      </c>
      <c r="O43" s="110">
        <f t="shared" si="25"/>
        <v>24</v>
      </c>
      <c r="P43" s="110">
        <f t="shared" si="25"/>
        <v>24</v>
      </c>
      <c r="Q43" s="110">
        <f t="shared" si="25"/>
        <v>24</v>
      </c>
      <c r="R43" s="110"/>
      <c r="S43" s="99"/>
      <c r="T43" s="99"/>
      <c r="U43" s="99"/>
      <c r="V43" s="99"/>
      <c r="X43" s="99"/>
      <c r="Y43" s="99"/>
      <c r="Z43" s="99"/>
      <c r="AA43" s="99"/>
      <c r="AB43" s="99"/>
      <c r="AC43" s="99"/>
      <c r="AD43" s="92" t="str">
        <f>IF(AND(D43=E43,D43=F43,D43=G43,D43=H43,D43=L43,D43=M43,D43=N43,D43=O43,D43=P43,D43=Q43),"","CEK : Data Content")</f>
        <v/>
      </c>
      <c r="AH43" s="204" t="s">
        <v>221</v>
      </c>
    </row>
    <row r="44" spans="1:55" s="6" customFormat="1" ht="15" customHeight="1" x14ac:dyDescent="0.25">
      <c r="J44" s="91" t="str">
        <f>IF(J1="PRINT","",IF(J42="","RH please ! !",""))</f>
        <v/>
      </c>
      <c r="L44" s="24"/>
      <c r="Q44" s="445">
        <f>IFERROR(ROUND(AVERAGE(Q16:Q39),4),"")</f>
        <v>212.97040000000001</v>
      </c>
      <c r="AH44" s="204" t="s">
        <v>323</v>
      </c>
      <c r="AI44" s="7"/>
    </row>
    <row r="45" spans="1:55" s="6" customFormat="1" ht="15" customHeight="1" x14ac:dyDescent="0.25">
      <c r="L45" s="26" t="s">
        <v>290</v>
      </c>
      <c r="Q45" s="445"/>
      <c r="AH45" s="204" t="s">
        <v>288</v>
      </c>
      <c r="AI45" s="7"/>
    </row>
    <row r="46" spans="1:55" s="6" customFormat="1" ht="15" customHeight="1" x14ac:dyDescent="0.25">
      <c r="D46" s="443" t="s">
        <v>90</v>
      </c>
      <c r="E46" s="448" t="str">
        <f>IF(Schedule!C$5="","",Schedule!C$5)</f>
        <v/>
      </c>
      <c r="G46" s="61"/>
      <c r="H46" s="25" t="str">
        <f>IFERROR(IF(OR(I47="",I48="",I49=""),"WAKTU BELUM DI-ISI LENGKAP",IF(SUM(I48:I49)&lt;=1,"","CEK KEMBALI PENULISAN WAKTU SALAH")),"CEK KEMBALI PENULISAN WAKTU SALAH")</f>
        <v/>
      </c>
      <c r="L46" s="26" t="s">
        <v>22</v>
      </c>
      <c r="M46" s="460">
        <f>IF(Volume!$W4="",$O47,Volume!$W4)</f>
        <v>47.250500000000002</v>
      </c>
      <c r="N46" s="27" t="s">
        <v>1</v>
      </c>
      <c r="O46" s="447">
        <f>IF(O40="","",O40)</f>
        <v>43.333300000000001</v>
      </c>
      <c r="P46" s="361" t="s">
        <v>29</v>
      </c>
      <c r="Q46" s="362"/>
      <c r="R46" s="362"/>
      <c r="S46" s="362"/>
      <c r="T46" s="361" t="s">
        <v>30</v>
      </c>
      <c r="U46" s="362"/>
      <c r="V46" s="362"/>
      <c r="AH46" s="204" t="s">
        <v>222</v>
      </c>
    </row>
    <row r="47" spans="1:55" s="6" customFormat="1" ht="15" customHeight="1" x14ac:dyDescent="0.25">
      <c r="D47" s="448"/>
      <c r="E47" s="448"/>
      <c r="H47" s="26" t="s">
        <v>26</v>
      </c>
      <c r="I47" s="56">
        <f>IF(OR(I48="",I49=""),"",1-I48-I49)</f>
        <v>1</v>
      </c>
      <c r="J47" s="27" t="s">
        <v>19</v>
      </c>
      <c r="L47" s="26" t="s">
        <v>23</v>
      </c>
      <c r="M47" s="442">
        <f>IF(Volume!$Y4="",$O47,Volume!$Y4)</f>
        <v>10.0749</v>
      </c>
      <c r="N47" s="27" t="s">
        <v>14</v>
      </c>
      <c r="O47" s="447">
        <f>IF(P40="","",P40)</f>
        <v>10.541700000000001</v>
      </c>
      <c r="P47" s="361" t="s">
        <v>211</v>
      </c>
      <c r="Q47" s="362"/>
      <c r="R47" s="362"/>
      <c r="S47" s="362"/>
      <c r="T47" s="361" t="s">
        <v>271</v>
      </c>
      <c r="U47" s="362"/>
      <c r="V47" s="362"/>
      <c r="AH47" s="204" t="s">
        <v>223</v>
      </c>
    </row>
    <row r="48" spans="1:55" s="6" customFormat="1" ht="15" customHeight="1" x14ac:dyDescent="0.25">
      <c r="D48" s="443" t="s">
        <v>91</v>
      </c>
      <c r="E48" s="448" t="str">
        <f>IF(Schedule!D$5="","",Schedule!D$5)</f>
        <v/>
      </c>
      <c r="H48" s="26" t="s">
        <v>37</v>
      </c>
      <c r="I48" s="108">
        <f>IF(OR(COUNT($Q$16:$Q$39)&lt;&gt;0,COUNTA($AD$16:$AD$39)&lt;&gt;0),AB40,"")</f>
        <v>0</v>
      </c>
      <c r="J48" s="27" t="s">
        <v>19</v>
      </c>
      <c r="L48" s="26" t="s">
        <v>24</v>
      </c>
      <c r="M48" s="449">
        <f>IF(N40="","",N40)</f>
        <v>90</v>
      </c>
      <c r="N48" s="27" t="s">
        <v>5</v>
      </c>
      <c r="P48" s="362"/>
      <c r="Q48" s="362"/>
      <c r="R48" s="362"/>
      <c r="S48" s="362"/>
      <c r="T48" s="361" t="s">
        <v>291</v>
      </c>
      <c r="U48" s="362"/>
      <c r="V48" s="362"/>
      <c r="AH48" s="204" t="s">
        <v>324</v>
      </c>
    </row>
    <row r="49" spans="1:34" s="6" customFormat="1" ht="15" customHeight="1" x14ac:dyDescent="0.25">
      <c r="D49" s="448"/>
      <c r="E49" s="448"/>
      <c r="H49" s="26" t="s">
        <v>27</v>
      </c>
      <c r="I49" s="108">
        <f>IF(OR(COUNT($Q$16:$Q$39)&lt;&gt;0,COUNTA($AD$16:$AD$39)&lt;&gt;0),AC40,"")</f>
        <v>0</v>
      </c>
      <c r="J49" s="27" t="s">
        <v>19</v>
      </c>
      <c r="L49" s="26" t="s">
        <v>128</v>
      </c>
      <c r="M49" s="442">
        <f>IF(Volume!$L4="",M51,Volume!$L4)</f>
        <v>217.4</v>
      </c>
      <c r="N49" s="27" t="str">
        <f>IF(Q15="MSCFD","MSCF","MMSCF")</f>
        <v>MSCF</v>
      </c>
      <c r="P49" s="362"/>
      <c r="Q49" s="362"/>
      <c r="R49" s="362"/>
      <c r="S49" s="362"/>
      <c r="T49" s="362"/>
      <c r="U49" s="362"/>
      <c r="V49" s="362"/>
      <c r="AH49" s="204" t="s">
        <v>317</v>
      </c>
    </row>
    <row r="50" spans="1:34" s="6" customFormat="1" ht="15" customHeight="1" x14ac:dyDescent="0.25">
      <c r="D50" s="443" t="s">
        <v>92</v>
      </c>
      <c r="E50" s="448" t="str">
        <f>IF(Schedule!E$5="","",Schedule!E$5)</f>
        <v>Marihot Gustafa S.</v>
      </c>
      <c r="L50" s="443" t="str">
        <f>CONCATENATE(MR!L16," ",":")</f>
        <v>Liquid Gain :</v>
      </c>
      <c r="M50" s="446" t="str">
        <f>IF(R40="","",ROUND(SUM(R16:R39),2))</f>
        <v/>
      </c>
      <c r="N50" s="444" t="str">
        <f>R15</f>
        <v>BPD</v>
      </c>
      <c r="P50" s="362"/>
      <c r="Q50" s="362"/>
      <c r="R50" s="362"/>
      <c r="S50" s="362"/>
      <c r="T50" s="362"/>
      <c r="U50" s="362"/>
      <c r="V50" s="362"/>
      <c r="AH50" s="204" t="s">
        <v>282</v>
      </c>
    </row>
    <row r="51" spans="1:34" s="6" customFormat="1" ht="15" customHeight="1" x14ac:dyDescent="0.25">
      <c r="A51" s="4"/>
      <c r="L51" s="443" t="s">
        <v>286</v>
      </c>
      <c r="M51" s="447">
        <f>IF(Q44="","",IF(SUM(I48:I49)=1,IF(Q44&lt;&gt;0,"Cek Tabel",""),ROUND(Q44*I47,4)))</f>
        <v>212.97040000000001</v>
      </c>
      <c r="N51" s="444" t="str">
        <f>IF(Q15="MSCFD","MSCF","MMSCF")</f>
        <v>MSCF</v>
      </c>
      <c r="P51" s="362"/>
      <c r="Q51" s="362"/>
      <c r="R51" s="362"/>
      <c r="S51" s="362"/>
      <c r="T51" s="362"/>
      <c r="U51" s="362"/>
      <c r="V51" s="362"/>
      <c r="AH51" s="204" t="s">
        <v>325</v>
      </c>
    </row>
    <row r="52" spans="1:34" s="6" customFormat="1" ht="15" customHeight="1" x14ac:dyDescent="0.25">
      <c r="D52" s="26" t="s">
        <v>28</v>
      </c>
      <c r="E52" s="47"/>
      <c r="F52" s="47"/>
      <c r="G52" s="47"/>
      <c r="H52" s="47"/>
      <c r="I52" s="47"/>
      <c r="J52" s="47"/>
      <c r="K52" s="47"/>
      <c r="L52" s="5"/>
      <c r="P52" s="362"/>
      <c r="Q52" s="362"/>
      <c r="R52" s="362"/>
      <c r="S52" s="362"/>
      <c r="T52" s="362"/>
      <c r="U52" s="362"/>
      <c r="V52" s="362"/>
      <c r="AH52" s="204" t="s">
        <v>280</v>
      </c>
    </row>
    <row r="53" spans="1:34" s="6" customFormat="1" ht="15" customHeight="1" x14ac:dyDescent="0.25">
      <c r="D53" s="5"/>
      <c r="E53" s="48"/>
      <c r="F53" s="48"/>
      <c r="G53" s="48"/>
      <c r="H53" s="48"/>
      <c r="I53" s="48"/>
      <c r="J53" s="48"/>
      <c r="K53" s="48"/>
      <c r="L53" s="5"/>
      <c r="P53" s="363" t="str">
        <f>UPPER(E50)</f>
        <v>MARIHOT GUSTAFA S.</v>
      </c>
      <c r="Q53" s="362"/>
      <c r="R53" s="362"/>
      <c r="S53" s="362"/>
      <c r="T53" s="363" t="str">
        <f>IF(Schedule!F$5="","",UPPER(Schedule!F$5))</f>
        <v>BUDI WIDHARTONO</v>
      </c>
      <c r="U53" s="362"/>
      <c r="V53" s="362"/>
      <c r="AH53" s="204" t="s">
        <v>316</v>
      </c>
    </row>
    <row r="54" spans="1:34" s="6" customFormat="1" ht="15" customHeight="1" x14ac:dyDescent="0.25">
      <c r="E54" s="48"/>
      <c r="F54" s="48"/>
      <c r="G54" s="48"/>
      <c r="H54" s="48"/>
      <c r="I54" s="48"/>
      <c r="J54" s="48"/>
      <c r="K54" s="48"/>
      <c r="P54" s="361" t="s">
        <v>107</v>
      </c>
      <c r="Q54" s="362"/>
      <c r="R54" s="362"/>
      <c r="S54" s="362"/>
      <c r="T54" s="361" t="s">
        <v>294</v>
      </c>
      <c r="U54" s="362"/>
      <c r="V54" s="362"/>
      <c r="AH54" s="204" t="s">
        <v>326</v>
      </c>
    </row>
    <row r="55" spans="1:34" s="6" customFormat="1" ht="15" customHeight="1" x14ac:dyDescent="0.25">
      <c r="P55" s="364" t="str">
        <f>CONCATENATE("Date : ",TEXT(K12,"[$-409]d mmm yyyy;@"))</f>
        <v>Date : 1 Jun 2025</v>
      </c>
      <c r="Q55" s="362"/>
      <c r="R55" s="364"/>
      <c r="S55" s="362"/>
      <c r="T55" s="364" t="str">
        <f>CONCATENATE("Date : ",TEXT(K12,"[$-409]d mmm yyyy;@"))</f>
        <v>Date : 1 Jun 2025</v>
      </c>
      <c r="U55" s="362"/>
      <c r="V55" s="362"/>
      <c r="AH55" s="204" t="s">
        <v>327</v>
      </c>
    </row>
    <row r="56" spans="1:34" ht="15" customHeight="1" x14ac:dyDescent="0.25">
      <c r="AH56" s="204" t="s">
        <v>281</v>
      </c>
    </row>
    <row r="57" spans="1:34" ht="15" customHeight="1" x14ac:dyDescent="0.25">
      <c r="AH57" s="204" t="s">
        <v>277</v>
      </c>
    </row>
    <row r="58" spans="1:34" ht="15" customHeight="1" x14ac:dyDescent="0.25">
      <c r="AH58" s="204" t="s">
        <v>328</v>
      </c>
    </row>
    <row r="59" spans="1:34" ht="15" customHeight="1" x14ac:dyDescent="0.25">
      <c r="AH59" s="204" t="s">
        <v>329</v>
      </c>
    </row>
    <row r="60" spans="1:34" ht="15" customHeight="1" x14ac:dyDescent="0.25">
      <c r="AH60" s="204" t="s">
        <v>330</v>
      </c>
    </row>
    <row r="61" spans="1:34" ht="15" customHeight="1" x14ac:dyDescent="0.25">
      <c r="AH61" s="204" t="s">
        <v>331</v>
      </c>
    </row>
    <row r="62" spans="1:34" ht="15" customHeight="1" x14ac:dyDescent="0.25">
      <c r="AH62" s="204" t="s">
        <v>332</v>
      </c>
    </row>
    <row r="63" spans="1:34" ht="15" customHeight="1" x14ac:dyDescent="0.25">
      <c r="AH63" s="204" t="s">
        <v>315</v>
      </c>
    </row>
    <row r="64" spans="1:34" ht="15" customHeight="1" x14ac:dyDescent="0.25">
      <c r="AH64" s="204" t="s">
        <v>333</v>
      </c>
    </row>
    <row r="65" spans="34:34" ht="15" customHeight="1" x14ac:dyDescent="0.25">
      <c r="AH65" s="204" t="s">
        <v>310</v>
      </c>
    </row>
    <row r="66" spans="34:34" ht="15" customHeight="1" x14ac:dyDescent="0.25">
      <c r="AH66" s="204" t="s">
        <v>334</v>
      </c>
    </row>
    <row r="67" spans="34:34" ht="15" customHeight="1" x14ac:dyDescent="0.25">
      <c r="AH67" s="204" t="s">
        <v>335</v>
      </c>
    </row>
    <row r="68" spans="34:34" ht="15" customHeight="1" x14ac:dyDescent="0.25">
      <c r="AH68" s="204" t="s">
        <v>336</v>
      </c>
    </row>
    <row r="69" spans="34:34" ht="15" customHeight="1" x14ac:dyDescent="0.25">
      <c r="AH69" s="204" t="s">
        <v>337</v>
      </c>
    </row>
    <row r="70" spans="34:34" ht="15" customHeight="1" x14ac:dyDescent="0.25">
      <c r="AH70" s="204" t="s">
        <v>338</v>
      </c>
    </row>
    <row r="71" spans="34:34" ht="15" customHeight="1" x14ac:dyDescent="0.25">
      <c r="AH71" s="204" t="s">
        <v>339</v>
      </c>
    </row>
    <row r="72" spans="34:34" ht="15" customHeight="1" x14ac:dyDescent="0.25">
      <c r="AH72" s="204" t="s">
        <v>340</v>
      </c>
    </row>
    <row r="85" spans="34:34" ht="0" hidden="1" customHeight="1" x14ac:dyDescent="0.25">
      <c r="AH85" s="6"/>
    </row>
    <row r="86" spans="34:34" ht="0" hidden="1" customHeight="1" x14ac:dyDescent="0.25">
      <c r="AH86" s="6"/>
    </row>
    <row r="87" spans="34:34" ht="0" hidden="1" customHeight="1" x14ac:dyDescent="0.25">
      <c r="AH87" s="6"/>
    </row>
    <row r="88" spans="34:34" ht="0" hidden="1" customHeight="1" x14ac:dyDescent="0.25">
      <c r="AH88" s="6"/>
    </row>
    <row r="89" spans="34:34" ht="0" hidden="1" customHeight="1" x14ac:dyDescent="0.25">
      <c r="AH89" s="6"/>
    </row>
    <row r="90" spans="34:34" ht="0" hidden="1" customHeight="1" x14ac:dyDescent="0.25">
      <c r="AH90" s="6"/>
    </row>
    <row r="91" spans="34:34" ht="0" hidden="1" customHeight="1" x14ac:dyDescent="0.25">
      <c r="AH91" s="6"/>
    </row>
    <row r="92" spans="34:34" ht="0" hidden="1" customHeight="1" x14ac:dyDescent="0.25">
      <c r="AH92" s="6"/>
    </row>
    <row r="93" spans="34:34" ht="0" hidden="1" customHeight="1" x14ac:dyDescent="0.25">
      <c r="AH93" s="6"/>
    </row>
    <row r="94" spans="34:34" ht="0" hidden="1" customHeight="1" x14ac:dyDescent="0.25">
      <c r="AH94" s="6"/>
    </row>
  </sheetData>
  <sheetProtection algorithmName="SHA-512" hashValue="volG67qPkLFKUez3WNSO7gdYUnJpVgND6b6Vpeh77Cm0eArUxQ/GD3kEAM4burOxIsepek6RVX7ZkozBMjUIQw==" saltValue="F4iZAqf6DcLocL9rFB2cjw==" spinCount="100000" sheet="1" objects="1" scenarios="1" formatColumns="0" formatRows="0" insertColumns="0" insertRows="0" sort="0" autoFilter="0" pivotTables="0"/>
  <sortState xmlns:xlrd2="http://schemas.microsoft.com/office/spreadsheetml/2017/richdata2" ref="AH15:AH72">
    <sortCondition ref="AH15:AH72"/>
  </sortState>
  <mergeCells count="69">
    <mergeCell ref="AY14:AY15"/>
    <mergeCell ref="AZ14:AZ15"/>
    <mergeCell ref="BA14:BA15"/>
    <mergeCell ref="BB14:BB15"/>
    <mergeCell ref="BC14:BC15"/>
    <mergeCell ref="AT14:AT15"/>
    <mergeCell ref="AU14:AU15"/>
    <mergeCell ref="AV14:AV15"/>
    <mergeCell ref="AW14:AW15"/>
    <mergeCell ref="AX14:AX15"/>
    <mergeCell ref="AO14:AO15"/>
    <mergeCell ref="AP14:AP15"/>
    <mergeCell ref="AQ14:AQ15"/>
    <mergeCell ref="AR14:AR15"/>
    <mergeCell ref="AS14:AS15"/>
    <mergeCell ref="AJ14:AJ15"/>
    <mergeCell ref="AK14:AK15"/>
    <mergeCell ref="AL14:AL15"/>
    <mergeCell ref="AM14:AM15"/>
    <mergeCell ref="AN14:AN15"/>
    <mergeCell ref="A10:V10"/>
    <mergeCell ref="A11:V11"/>
    <mergeCell ref="S16:V16"/>
    <mergeCell ref="S17:V17"/>
    <mergeCell ref="A13:A15"/>
    <mergeCell ref="F13:F14"/>
    <mergeCell ref="M13:N13"/>
    <mergeCell ref="K13:K14"/>
    <mergeCell ref="Q13:Q14"/>
    <mergeCell ref="J13:J14"/>
    <mergeCell ref="R13:R14"/>
    <mergeCell ref="B13:B14"/>
    <mergeCell ref="D13:D14"/>
    <mergeCell ref="E13:E14"/>
    <mergeCell ref="G13:G14"/>
    <mergeCell ref="L13:L14"/>
    <mergeCell ref="S41:V42"/>
    <mergeCell ref="S38:V38"/>
    <mergeCell ref="S39:V39"/>
    <mergeCell ref="S33:V33"/>
    <mergeCell ref="S37:V37"/>
    <mergeCell ref="S36:V36"/>
    <mergeCell ref="S35:V35"/>
    <mergeCell ref="S34:V34"/>
    <mergeCell ref="S21:V21"/>
    <mergeCell ref="S18:V18"/>
    <mergeCell ref="S19:V19"/>
    <mergeCell ref="S20:V20"/>
    <mergeCell ref="S40:V40"/>
    <mergeCell ref="S28:V28"/>
    <mergeCell ref="S29:V29"/>
    <mergeCell ref="S30:V30"/>
    <mergeCell ref="S31:V31"/>
    <mergeCell ref="S32:V32"/>
    <mergeCell ref="S27:V27"/>
    <mergeCell ref="S22:V22"/>
    <mergeCell ref="S23:V23"/>
    <mergeCell ref="S24:V24"/>
    <mergeCell ref="S25:V25"/>
    <mergeCell ref="S26:V26"/>
    <mergeCell ref="AD14:AD15"/>
    <mergeCell ref="C13:C14"/>
    <mergeCell ref="K12:L12"/>
    <mergeCell ref="S13:V15"/>
    <mergeCell ref="Y14:AC14"/>
    <mergeCell ref="H13:H14"/>
    <mergeCell ref="I13:I14"/>
    <mergeCell ref="O13:O14"/>
    <mergeCell ref="P13:P14"/>
  </mergeCells>
  <conditionalFormatting sqref="I47">
    <cfRule type="cellIs" dxfId="152" priority="5" operator="lessThan">
      <formula>0</formula>
    </cfRule>
  </conditionalFormatting>
  <conditionalFormatting sqref="Y16:Y39">
    <cfRule type="containsText" dxfId="151" priority="3" operator="containsText" text="STBY">
      <formula>NOT(ISERROR(SEARCH("STBY",Y16)))</formula>
    </cfRule>
    <cfRule type="containsText" dxfId="150" priority="4" operator="containsText" text="SD">
      <formula>NOT(ISERROR(SEARCH("SD",Y16)))</formula>
    </cfRule>
  </conditionalFormatting>
  <conditionalFormatting sqref="B16:B39 D16:R39">
    <cfRule type="expression" dxfId="149" priority="2">
      <formula>ISTEXT(B16)</formula>
    </cfRule>
  </conditionalFormatting>
  <conditionalFormatting sqref="C16:C39">
    <cfRule type="expression" dxfId="148" priority="1">
      <formula>ISTEXT(C16)</formula>
    </cfRule>
  </conditionalFormatting>
  <dataValidations count="2">
    <dataValidation type="list" allowBlank="1" showInputMessage="1" showErrorMessage="1" sqref="Y16:Y39" xr:uid="{00000000-0002-0000-0500-000000000000}">
      <formula1>"SD,STBY"</formula1>
    </dataValidation>
    <dataValidation type="list" allowBlank="1" showInputMessage="1" sqref="AD16:AD39" xr:uid="{B97E57A5-30AD-47F1-A58F-7795B5143FC1}">
      <formula1>$AH$15:$AH$72</formula1>
    </dataValidation>
  </dataValidations>
  <printOptions horizontalCentered="1"/>
  <pageMargins left="0.39370078740157483" right="0.39370078740157483" top="0.59055118110236227" bottom="0.39370078740157483" header="0.31496062992125984" footer="0.31496062992125984"/>
  <pageSetup paperSize="9" scale="56" orientation="landscape" r:id="rId1"/>
  <ignoredErrors>
    <ignoredError sqref="F40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4B798-C4FF-4350-874C-E45378B085BE}">
  <sheetPr codeName="N02">
    <pageSetUpPr fitToPage="1"/>
  </sheetPr>
  <dimension ref="A1:BC94"/>
  <sheetViews>
    <sheetView topLeftCell="A16" zoomScale="85" zoomScaleNormal="85" workbookViewId="0">
      <selection activeCell="K35" sqref="K35"/>
    </sheetView>
  </sheetViews>
  <sheetFormatPr defaultColWidth="0" defaultRowHeight="0" customHeight="1" zeroHeight="1" x14ac:dyDescent="0.25"/>
  <cols>
    <col min="1" max="1" width="10.7109375" style="7" customWidth="1"/>
    <col min="2" max="3" width="10.7109375" style="7" hidden="1" customWidth="1"/>
    <col min="4" max="14" width="10.7109375" style="7" customWidth="1"/>
    <col min="15" max="17" width="11.7109375" style="7" customWidth="1"/>
    <col min="18" max="18" width="10.7109375" style="7" hidden="1" customWidth="1"/>
    <col min="19" max="22" width="10.7109375" style="7" customWidth="1"/>
    <col min="23" max="23" width="2.7109375" style="7" customWidth="1"/>
    <col min="24" max="29" width="10.7109375" style="7" customWidth="1"/>
    <col min="30" max="30" width="30.7109375" style="7" customWidth="1"/>
    <col min="31" max="33" width="11.7109375" style="7" customWidth="1"/>
    <col min="34" max="34" width="30.7109375" style="7" customWidth="1"/>
    <col min="35" max="35" width="2.7109375" style="7" hidden="1" customWidth="1"/>
    <col min="36" max="55" width="11.7109375" style="7" hidden="1" customWidth="1"/>
    <col min="56" max="16384" width="9.140625" style="7" hidden="1"/>
  </cols>
  <sheetData>
    <row r="1" spans="1:55" ht="15" customHeight="1" x14ac:dyDescent="0.25">
      <c r="A1" s="7" t="s">
        <v>16</v>
      </c>
      <c r="D1" s="11" t="s">
        <v>85</v>
      </c>
      <c r="J1" s="7" t="str">
        <f>IF(MR!U13="Yes","PRINT","No")</f>
        <v>PRINT</v>
      </c>
      <c r="M1" s="191"/>
      <c r="N1" s="191"/>
    </row>
    <row r="2" spans="1:55" ht="15" customHeight="1" thickBot="1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192"/>
      <c r="M2" s="4"/>
      <c r="N2" s="4"/>
      <c r="O2" s="4"/>
      <c r="P2" s="4"/>
      <c r="Q2" s="4"/>
      <c r="R2" s="4"/>
      <c r="S2" s="8"/>
      <c r="T2" s="8"/>
      <c r="U2" s="8"/>
      <c r="V2" s="8"/>
      <c r="X2" s="8"/>
      <c r="Y2" s="8"/>
      <c r="Z2" s="8"/>
      <c r="AA2" s="8"/>
      <c r="AB2" s="8"/>
      <c r="AC2" s="8"/>
      <c r="AD2" s="8"/>
      <c r="AE2" s="8"/>
    </row>
    <row r="3" spans="1:55" ht="15" customHeight="1" x14ac:dyDescent="0.2">
      <c r="A3" s="31"/>
      <c r="B3" s="28"/>
      <c r="C3" s="28"/>
      <c r="D3" s="28"/>
      <c r="E3" s="28"/>
      <c r="F3" s="13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2"/>
      <c r="T3" s="22"/>
      <c r="U3" s="22"/>
      <c r="V3" s="23"/>
      <c r="X3" s="8"/>
      <c r="Y3" s="8"/>
      <c r="Z3" s="8"/>
      <c r="AA3" s="8"/>
      <c r="AB3" s="8"/>
      <c r="AC3" s="8"/>
      <c r="AD3" s="8"/>
      <c r="AE3" s="8"/>
    </row>
    <row r="4" spans="1:55" ht="30" customHeight="1" x14ac:dyDescent="0.25">
      <c r="A4" s="30"/>
      <c r="B4" s="1"/>
      <c r="C4" s="1"/>
      <c r="D4" s="1"/>
      <c r="E4" s="3"/>
      <c r="F4" s="63" t="s">
        <v>210</v>
      </c>
      <c r="G4" s="1"/>
      <c r="H4" s="1"/>
      <c r="I4" s="3"/>
      <c r="J4" s="3"/>
      <c r="K4" s="3"/>
      <c r="L4" s="3"/>
      <c r="M4" s="3"/>
      <c r="N4" s="3"/>
      <c r="O4" s="3"/>
      <c r="P4" s="3"/>
      <c r="Q4" s="3"/>
      <c r="R4" s="3"/>
      <c r="S4" s="1"/>
      <c r="T4" s="1"/>
      <c r="U4" s="1"/>
      <c r="V4" s="2"/>
      <c r="X4" s="5"/>
      <c r="Y4" s="5"/>
      <c r="Z4" s="5"/>
      <c r="AA4" s="5"/>
      <c r="AB4" s="5"/>
      <c r="AC4" s="5"/>
      <c r="AD4" s="5"/>
      <c r="AE4" s="5"/>
    </row>
    <row r="5" spans="1:55" ht="15" customHeight="1" x14ac:dyDescent="0.2">
      <c r="A5" s="32"/>
      <c r="B5" s="33"/>
      <c r="C5" s="33"/>
      <c r="D5" s="12"/>
      <c r="E5" s="3"/>
      <c r="F5" s="10" t="s">
        <v>129</v>
      </c>
      <c r="G5" s="1"/>
      <c r="H5" s="1"/>
      <c r="I5" s="3"/>
      <c r="J5" s="3"/>
      <c r="K5" s="3"/>
      <c r="L5" s="3"/>
      <c r="M5" s="3"/>
      <c r="N5" s="3"/>
      <c r="O5" s="3"/>
      <c r="P5" s="3"/>
      <c r="Q5" s="3"/>
      <c r="R5" s="3"/>
      <c r="S5" s="12"/>
      <c r="T5" s="12"/>
      <c r="U5" s="12"/>
      <c r="V5" s="14"/>
      <c r="X5" s="8"/>
      <c r="Y5" s="8"/>
      <c r="Z5" s="8"/>
      <c r="AA5" s="8"/>
      <c r="AB5" s="8"/>
      <c r="AC5" s="8"/>
      <c r="AD5" s="8"/>
      <c r="AE5" s="8"/>
      <c r="AJ5" s="193" t="s">
        <v>184</v>
      </c>
      <c r="AK5" s="194">
        <f>'V Calc'!B1</f>
        <v>500</v>
      </c>
      <c r="AL5" s="124"/>
    </row>
    <row r="6" spans="1:55" ht="15" customHeight="1" x14ac:dyDescent="0.2">
      <c r="A6" s="32"/>
      <c r="B6" s="33"/>
      <c r="C6" s="33"/>
      <c r="D6" s="12"/>
      <c r="E6" s="3"/>
      <c r="F6" s="10" t="s">
        <v>132</v>
      </c>
      <c r="G6" s="1"/>
      <c r="H6" s="1"/>
      <c r="I6" s="3"/>
      <c r="J6" s="3"/>
      <c r="K6" s="3"/>
      <c r="L6" s="3"/>
      <c r="M6" s="3"/>
      <c r="N6" s="3"/>
      <c r="O6" s="3"/>
      <c r="P6" s="3"/>
      <c r="Q6" s="3"/>
      <c r="R6" s="3"/>
      <c r="S6" s="12"/>
      <c r="T6" s="12"/>
      <c r="U6" s="12"/>
      <c r="V6" s="14"/>
      <c r="X6" s="8"/>
      <c r="Y6" s="8"/>
      <c r="Z6" s="8"/>
      <c r="AA6" s="8"/>
      <c r="AB6" s="8"/>
      <c r="AC6" s="8"/>
      <c r="AD6" s="8"/>
      <c r="AE6" s="8"/>
      <c r="AJ6" s="193" t="s">
        <v>185</v>
      </c>
      <c r="AK6" s="194">
        <f>'V Calc'!B2</f>
        <v>100</v>
      </c>
      <c r="AL6" s="124"/>
    </row>
    <row r="7" spans="1:55" ht="15" customHeight="1" x14ac:dyDescent="0.2">
      <c r="A7" s="32"/>
      <c r="B7" s="33"/>
      <c r="C7" s="33"/>
      <c r="D7" s="12"/>
      <c r="E7" s="3"/>
      <c r="F7" s="10" t="s">
        <v>130</v>
      </c>
      <c r="G7" s="1"/>
      <c r="H7" s="1"/>
      <c r="I7" s="3"/>
      <c r="J7" s="3"/>
      <c r="K7" s="3"/>
      <c r="L7" s="3"/>
      <c r="M7" s="3"/>
      <c r="N7" s="3"/>
      <c r="O7" s="3"/>
      <c r="P7" s="3"/>
      <c r="Q7" s="3"/>
      <c r="R7" s="3"/>
      <c r="S7" s="12"/>
      <c r="T7" s="12"/>
      <c r="U7" s="12"/>
      <c r="V7" s="14"/>
      <c r="X7" s="8"/>
      <c r="Y7" s="8"/>
      <c r="Z7" s="8"/>
      <c r="AA7" s="8"/>
      <c r="AB7" s="8"/>
      <c r="AC7" s="8"/>
      <c r="AD7" s="8"/>
      <c r="AE7" s="8"/>
      <c r="AJ7" s="193" t="s">
        <v>186</v>
      </c>
      <c r="AK7" s="195">
        <f>'V Calc'!B3</f>
        <v>2</v>
      </c>
      <c r="AL7" s="124"/>
    </row>
    <row r="8" spans="1:55" ht="15" customHeight="1" x14ac:dyDescent="0.2">
      <c r="A8" s="32"/>
      <c r="B8" s="33"/>
      <c r="C8" s="33"/>
      <c r="D8" s="12"/>
      <c r="E8" s="3"/>
      <c r="F8" s="10" t="s">
        <v>131</v>
      </c>
      <c r="G8" s="62"/>
      <c r="H8" s="62"/>
      <c r="I8" s="3"/>
      <c r="J8" s="3"/>
      <c r="K8" s="3"/>
      <c r="L8" s="3"/>
      <c r="M8" s="3"/>
      <c r="N8" s="3"/>
      <c r="O8" s="3"/>
      <c r="P8" s="3"/>
      <c r="Q8" s="3"/>
      <c r="R8" s="3"/>
      <c r="S8" s="12"/>
      <c r="T8" s="12"/>
      <c r="U8" s="12"/>
      <c r="V8" s="14"/>
      <c r="X8" s="8"/>
      <c r="Y8" s="8"/>
      <c r="Z8" s="8"/>
      <c r="AA8" s="8"/>
      <c r="AB8" s="8"/>
      <c r="AC8" s="8"/>
      <c r="AD8" s="8"/>
      <c r="AE8" s="8"/>
      <c r="AJ8" s="193" t="s">
        <v>187</v>
      </c>
      <c r="AK8" s="195">
        <f>'V Calc'!B4</f>
        <v>0.875</v>
      </c>
      <c r="AL8" s="124"/>
    </row>
    <row r="9" spans="1:55" ht="15" customHeight="1" thickBot="1" x14ac:dyDescent="0.25">
      <c r="A9" s="34"/>
      <c r="B9" s="29"/>
      <c r="C9" s="29"/>
      <c r="D9" s="29"/>
      <c r="E9" s="29"/>
      <c r="F9" s="15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16"/>
      <c r="T9" s="16"/>
      <c r="U9" s="16"/>
      <c r="V9" s="17"/>
      <c r="X9" s="8"/>
      <c r="Y9" s="8"/>
      <c r="Z9" s="8"/>
      <c r="AA9" s="8"/>
      <c r="AB9" s="8"/>
      <c r="AC9" s="8"/>
      <c r="AD9" s="8"/>
      <c r="AE9" s="8"/>
      <c r="AJ9" s="196" t="s">
        <v>188</v>
      </c>
      <c r="AK9" s="197">
        <f>'V Calc'!B5</f>
        <v>158.47</v>
      </c>
      <c r="AL9" s="198"/>
    </row>
    <row r="10" spans="1:55" s="9" customFormat="1" ht="30" customHeight="1" x14ac:dyDescent="0.2">
      <c r="A10" s="513" t="s">
        <v>20</v>
      </c>
      <c r="B10" s="514"/>
      <c r="C10" s="514"/>
      <c r="D10" s="514"/>
      <c r="E10" s="514"/>
      <c r="F10" s="514"/>
      <c r="G10" s="514"/>
      <c r="H10" s="514"/>
      <c r="I10" s="514"/>
      <c r="J10" s="514"/>
      <c r="K10" s="514"/>
      <c r="L10" s="514"/>
      <c r="M10" s="514"/>
      <c r="N10" s="514"/>
      <c r="O10" s="514"/>
      <c r="P10" s="514"/>
      <c r="Q10" s="514"/>
      <c r="R10" s="514"/>
      <c r="S10" s="514"/>
      <c r="T10" s="514"/>
      <c r="U10" s="514"/>
      <c r="V10" s="515"/>
      <c r="X10" s="96"/>
      <c r="Y10" s="96"/>
      <c r="Z10" s="96"/>
      <c r="AA10" s="96"/>
      <c r="AB10" s="96"/>
      <c r="AC10" s="96"/>
      <c r="AJ10" s="193" t="s">
        <v>189</v>
      </c>
      <c r="AK10" s="199">
        <f>'V Calc'!B6</f>
        <v>0.63607464142166403</v>
      </c>
      <c r="AL10" s="198" t="s">
        <v>190</v>
      </c>
    </row>
    <row r="11" spans="1:55" s="9" customFormat="1" ht="20.100000000000001" customHeight="1" thickBot="1" x14ac:dyDescent="0.25">
      <c r="A11" s="516" t="s">
        <v>21</v>
      </c>
      <c r="B11" s="517"/>
      <c r="C11" s="517"/>
      <c r="D11" s="517"/>
      <c r="E11" s="517"/>
      <c r="F11" s="517"/>
      <c r="G11" s="517"/>
      <c r="H11" s="517"/>
      <c r="I11" s="517"/>
      <c r="J11" s="517"/>
      <c r="K11" s="517"/>
      <c r="L11" s="517"/>
      <c r="M11" s="517"/>
      <c r="N11" s="517"/>
      <c r="O11" s="517"/>
      <c r="P11" s="517"/>
      <c r="Q11" s="517"/>
      <c r="R11" s="517"/>
      <c r="S11" s="517"/>
      <c r="T11" s="517"/>
      <c r="U11" s="517"/>
      <c r="V11" s="518"/>
      <c r="X11" s="97"/>
      <c r="Y11" s="97"/>
      <c r="Z11" s="97"/>
      <c r="AA11" s="97"/>
      <c r="AB11" s="97"/>
      <c r="AC11" s="97"/>
    </row>
    <row r="12" spans="1:55" s="6" customFormat="1" ht="30" customHeight="1" thickBot="1" x14ac:dyDescent="0.3">
      <c r="A12" s="18"/>
      <c r="B12" s="20"/>
      <c r="C12" s="20"/>
      <c r="D12" s="19" t="s">
        <v>121</v>
      </c>
      <c r="E12" s="200" t="str">
        <f>'Day 1'!E12</f>
        <v>MPR 632  RFD</v>
      </c>
      <c r="F12" s="35"/>
      <c r="G12" s="19" t="s">
        <v>120</v>
      </c>
      <c r="H12" s="200" t="str">
        <f>IF(Volume!C$5="","",Volume!C$5)</f>
        <v>FP 65354</v>
      </c>
      <c r="I12" s="20"/>
      <c r="J12" s="19" t="s">
        <v>17</v>
      </c>
      <c r="K12" s="505">
        <f>'Day 1'!K12+1</f>
        <v>45810</v>
      </c>
      <c r="L12" s="505"/>
      <c r="M12" s="100"/>
      <c r="N12" s="19" t="s">
        <v>119</v>
      </c>
      <c r="O12" s="200" t="str">
        <f>IF(Volume!D$5="","",Volume!D$5)</f>
        <v>SP. Tambun - Cluster F</v>
      </c>
      <c r="P12" s="20"/>
      <c r="Q12" s="19" t="s">
        <v>122</v>
      </c>
      <c r="S12" s="201">
        <f>IF(Volume!E$5="","",Volume!E$5)</f>
        <v>1.25</v>
      </c>
      <c r="T12" s="20"/>
      <c r="U12" s="19" t="s">
        <v>126</v>
      </c>
      <c r="V12" s="202" t="str">
        <f>IF(Volume!F$5="","",Volume!F$5)</f>
        <v>4/0</v>
      </c>
    </row>
    <row r="13" spans="1:55" ht="30" customHeight="1" thickBot="1" x14ac:dyDescent="0.3">
      <c r="A13" s="502" t="s">
        <v>0</v>
      </c>
      <c r="B13" s="502" t="s">
        <v>213</v>
      </c>
      <c r="C13" s="502" t="s">
        <v>212</v>
      </c>
      <c r="D13" s="502" t="s">
        <v>31</v>
      </c>
      <c r="E13" s="502" t="s">
        <v>32</v>
      </c>
      <c r="F13" s="502" t="s">
        <v>2</v>
      </c>
      <c r="G13" s="502" t="s">
        <v>33</v>
      </c>
      <c r="H13" s="502" t="s">
        <v>35</v>
      </c>
      <c r="I13" s="502" t="s">
        <v>36</v>
      </c>
      <c r="J13" s="502" t="s">
        <v>110</v>
      </c>
      <c r="K13" s="502" t="s">
        <v>15</v>
      </c>
      <c r="L13" s="502" t="s">
        <v>34</v>
      </c>
      <c r="M13" s="502" t="s">
        <v>10</v>
      </c>
      <c r="N13" s="502"/>
      <c r="O13" s="506" t="s">
        <v>300</v>
      </c>
      <c r="P13" s="506" t="s">
        <v>299</v>
      </c>
      <c r="Q13" s="502" t="s">
        <v>7</v>
      </c>
      <c r="R13" s="502" t="s">
        <v>88</v>
      </c>
      <c r="S13" s="502" t="s">
        <v>8</v>
      </c>
      <c r="T13" s="502"/>
      <c r="U13" s="502"/>
      <c r="V13" s="502"/>
      <c r="X13" s="98"/>
      <c r="Y13" s="98"/>
      <c r="Z13" s="98"/>
      <c r="AA13" s="98"/>
      <c r="AB13" s="98"/>
      <c r="AC13" s="98"/>
    </row>
    <row r="14" spans="1:55" ht="30" customHeight="1" x14ac:dyDescent="0.25">
      <c r="A14" s="504"/>
      <c r="B14" s="504"/>
      <c r="C14" s="504"/>
      <c r="D14" s="504"/>
      <c r="E14" s="504"/>
      <c r="F14" s="504"/>
      <c r="G14" s="504"/>
      <c r="H14" s="504"/>
      <c r="I14" s="504"/>
      <c r="J14" s="504"/>
      <c r="K14" s="504"/>
      <c r="L14" s="504"/>
      <c r="M14" s="94" t="s">
        <v>3</v>
      </c>
      <c r="N14" s="94" t="s">
        <v>4</v>
      </c>
      <c r="O14" s="507"/>
      <c r="P14" s="507"/>
      <c r="Q14" s="504"/>
      <c r="R14" s="504"/>
      <c r="S14" s="504"/>
      <c r="T14" s="504"/>
      <c r="U14" s="504"/>
      <c r="V14" s="504"/>
      <c r="Y14" s="502" t="s">
        <v>230</v>
      </c>
      <c r="Z14" s="502"/>
      <c r="AA14" s="502"/>
      <c r="AB14" s="502"/>
      <c r="AC14" s="502"/>
      <c r="AD14" s="502" t="s">
        <v>231</v>
      </c>
      <c r="AH14" s="203" t="s">
        <v>232</v>
      </c>
      <c r="AJ14" s="520" t="s">
        <v>191</v>
      </c>
      <c r="AK14" s="520" t="s">
        <v>192</v>
      </c>
      <c r="AL14" s="520" t="s">
        <v>193</v>
      </c>
      <c r="AM14" s="520" t="s">
        <v>194</v>
      </c>
      <c r="AN14" s="520" t="s">
        <v>195</v>
      </c>
      <c r="AO14" s="506" t="s">
        <v>196</v>
      </c>
      <c r="AP14" s="506" t="s">
        <v>197</v>
      </c>
      <c r="AQ14" s="506" t="s">
        <v>198</v>
      </c>
      <c r="AR14" s="506" t="s">
        <v>188</v>
      </c>
      <c r="AS14" s="506" t="s">
        <v>199</v>
      </c>
      <c r="AT14" s="506" t="s">
        <v>200</v>
      </c>
      <c r="AU14" s="506" t="s">
        <v>201</v>
      </c>
      <c r="AV14" s="506" t="s">
        <v>202</v>
      </c>
      <c r="AW14" s="506" t="s">
        <v>203</v>
      </c>
      <c r="AX14" s="506" t="s">
        <v>204</v>
      </c>
      <c r="AY14" s="523" t="s">
        <v>205</v>
      </c>
      <c r="AZ14" s="523" t="s">
        <v>206</v>
      </c>
      <c r="BA14" s="523" t="s">
        <v>207</v>
      </c>
      <c r="BB14" s="523" t="s">
        <v>208</v>
      </c>
      <c r="BC14" s="506" t="s">
        <v>197</v>
      </c>
    </row>
    <row r="15" spans="1:55" ht="20.100000000000001" customHeight="1" thickBot="1" x14ac:dyDescent="0.3">
      <c r="A15" s="503"/>
      <c r="B15" s="95" t="s">
        <v>1</v>
      </c>
      <c r="C15" s="95" t="s">
        <v>1</v>
      </c>
      <c r="D15" s="95" t="s">
        <v>1</v>
      </c>
      <c r="E15" s="95" t="s">
        <v>1</v>
      </c>
      <c r="F15" s="95" t="s">
        <v>140</v>
      </c>
      <c r="G15" s="95" t="s">
        <v>1</v>
      </c>
      <c r="H15" s="95" t="s">
        <v>1</v>
      </c>
      <c r="I15" s="95" t="s">
        <v>1</v>
      </c>
      <c r="J15" s="95" t="s">
        <v>18</v>
      </c>
      <c r="K15" s="95" t="s">
        <v>9</v>
      </c>
      <c r="L15" s="95" t="s">
        <v>5</v>
      </c>
      <c r="M15" s="95" t="s">
        <v>5</v>
      </c>
      <c r="N15" s="95" t="s">
        <v>5</v>
      </c>
      <c r="O15" s="95" t="s">
        <v>1</v>
      </c>
      <c r="P15" s="95" t="s">
        <v>14</v>
      </c>
      <c r="Q15" s="95" t="str">
        <f>IF(MR!G17="MSCF","MSCFD","MMSCFD")</f>
        <v>MSCFD</v>
      </c>
      <c r="R15" s="95" t="str">
        <f>MR!L17</f>
        <v>BPD</v>
      </c>
      <c r="S15" s="503"/>
      <c r="T15" s="503"/>
      <c r="U15" s="503"/>
      <c r="V15" s="503"/>
      <c r="X15" s="365"/>
      <c r="Y15" s="95" t="s">
        <v>123</v>
      </c>
      <c r="Z15" s="95" t="s">
        <v>124</v>
      </c>
      <c r="AA15" s="95" t="s">
        <v>125</v>
      </c>
      <c r="AB15" s="95" t="s">
        <v>51</v>
      </c>
      <c r="AC15" s="95" t="s">
        <v>48</v>
      </c>
      <c r="AD15" s="503"/>
      <c r="AH15" s="204" t="s">
        <v>228</v>
      </c>
      <c r="AJ15" s="521"/>
      <c r="AK15" s="521"/>
      <c r="AL15" s="521"/>
      <c r="AM15" s="521"/>
      <c r="AN15" s="521"/>
      <c r="AO15" s="522"/>
      <c r="AP15" s="522"/>
      <c r="AQ15" s="522"/>
      <c r="AR15" s="522"/>
      <c r="AS15" s="522"/>
      <c r="AT15" s="522"/>
      <c r="AU15" s="522"/>
      <c r="AV15" s="522"/>
      <c r="AW15" s="522"/>
      <c r="AX15" s="522"/>
      <c r="AY15" s="524"/>
      <c r="AZ15" s="524"/>
      <c r="BA15" s="524"/>
      <c r="BB15" s="524"/>
      <c r="BC15" s="522"/>
    </row>
    <row r="16" spans="1:55" ht="19.5" customHeight="1" x14ac:dyDescent="0.2">
      <c r="A16" s="44">
        <v>4.1666666666666664E-2</v>
      </c>
      <c r="B16" s="450"/>
      <c r="C16" s="450"/>
      <c r="D16" s="450">
        <v>6.3</v>
      </c>
      <c r="E16" s="450">
        <v>56.2</v>
      </c>
      <c r="F16" s="40">
        <v>1915</v>
      </c>
      <c r="G16" s="37">
        <v>-5.5</v>
      </c>
      <c r="H16" s="36">
        <v>71.400000000000006</v>
      </c>
      <c r="I16" s="36">
        <v>21.9</v>
      </c>
      <c r="J16" s="40">
        <v>104</v>
      </c>
      <c r="K16" s="37">
        <v>13</v>
      </c>
      <c r="L16" s="450">
        <v>127</v>
      </c>
      <c r="M16" s="450">
        <v>222</v>
      </c>
      <c r="N16" s="451">
        <v>90</v>
      </c>
      <c r="O16" s="353">
        <v>50</v>
      </c>
      <c r="P16" s="352">
        <v>10</v>
      </c>
      <c r="Q16" s="352">
        <v>227.05</v>
      </c>
      <c r="R16" s="36"/>
      <c r="S16" s="519" t="str">
        <f t="shared" ref="S16:S32" si="0">IF(Z16="",IF(AD16="","",AD16),CONCATENATE(TEXT(Z16,"[hh]:mm"),IF(AA16="",""," - "&amp;TEXT(AA16,"[hh]:mm")),IF(Y16="",""," "&amp;Y16&amp;"/")," "&amp;AD16))</f>
        <v/>
      </c>
      <c r="T16" s="519"/>
      <c r="U16" s="519"/>
      <c r="V16" s="519"/>
      <c r="X16" s="44">
        <v>4.1666666666666664E-2</v>
      </c>
      <c r="Y16" s="105"/>
      <c r="Z16" s="101"/>
      <c r="AA16" s="101"/>
      <c r="AB16" s="44" t="str">
        <f>IF(Y16="STBY",AA16-Z16,"")</f>
        <v/>
      </c>
      <c r="AC16" s="44" t="str">
        <f t="shared" ref="AC16:AC39" si="1">IF(Y16="SD",AA16-Z16,"")</f>
        <v/>
      </c>
      <c r="AD16" s="355"/>
      <c r="AE16" s="9" t="str">
        <f>IF(S16="","",IF(COUNTA(Z16:$Z$39)=1,IF(COUNTA(AD16:$AD$39)=1,""," ; "),IF(COUNTA(AD16:$AD$39)=1,IF(Z16="",""," ; ")," ; ")))</f>
        <v/>
      </c>
      <c r="AF16" s="9" t="str">
        <f t="shared" ref="AF16:AF39" si="2">CONCATENATE(S16,AE16)</f>
        <v/>
      </c>
      <c r="AG16" s="90" t="str">
        <f t="shared" ref="AG16:AG39" si="3">IF(AND(COUNTBLANK(N16:P16)&lt;3,Q16=""),"CEK : Data Flowrate","")</f>
        <v/>
      </c>
      <c r="AH16" s="204" t="s">
        <v>229</v>
      </c>
      <c r="AJ16" s="205">
        <f>AK5</f>
        <v>500</v>
      </c>
      <c r="AK16" s="205">
        <f>AK6</f>
        <v>100</v>
      </c>
      <c r="AL16" s="206">
        <f>AK7</f>
        <v>2</v>
      </c>
      <c r="AM16" s="207">
        <f>AK8</f>
        <v>0.875</v>
      </c>
      <c r="AN16" s="208">
        <f>AK10</f>
        <v>0.63607464142166403</v>
      </c>
      <c r="AO16" s="209">
        <f t="shared" ref="AO16:AO39" si="4">T16^2*AJ16/100-14.7</f>
        <v>-14.7</v>
      </c>
      <c r="AP16" s="210">
        <f t="shared" ref="AP16:AP39" si="5">IF(AO16&lt;100,1,BC16)</f>
        <v>1</v>
      </c>
      <c r="AQ16" s="210">
        <f t="shared" ref="AQ16:AQ39" si="6">(1/AP16)^0.5</f>
        <v>1</v>
      </c>
      <c r="AR16" s="52">
        <f>AK9</f>
        <v>158.47</v>
      </c>
      <c r="AS16" s="210">
        <f t="shared" ref="AS16:AS39" si="7">(520/(460+N16))^0.5</f>
        <v>0.9723448696087954</v>
      </c>
      <c r="AT16" s="210">
        <f t="shared" ref="AT16:AT39" si="8">(1/AN16)^0.5</f>
        <v>1.2538510821608391</v>
      </c>
      <c r="AU16" s="210">
        <f t="shared" ref="AU16:AU39" si="9">0.01*(AJ16*AK16)^0.5</f>
        <v>2.2360679774997898</v>
      </c>
      <c r="AV16" s="211">
        <f t="shared" ref="AV16:AV39" si="10">0.024*AQ16*AR16*AS16*AT16*AU16</f>
        <v>10.368348541764712</v>
      </c>
      <c r="AW16" s="210">
        <f t="shared" ref="AW16:AW39" si="11">(AO16+14.7)/(697.2-43*AN16)</f>
        <v>0</v>
      </c>
      <c r="AX16" s="212">
        <f t="shared" ref="AX16:AX39" si="12">(N16+460)/(315.1*AN16+170.4)</f>
        <v>1.4831709199797398</v>
      </c>
      <c r="AY16" s="210">
        <f t="shared" ref="AY16:AY39" si="13">0.3379*LN(LN(AX16))+1.091</f>
        <v>0.77643477842613629</v>
      </c>
      <c r="AZ16" s="211">
        <f t="shared" ref="AZ16:AZ39" si="14">21.46*AY16-11.9*AY16^2-5.9</f>
        <v>3.5883638597441294</v>
      </c>
      <c r="BA16" s="210">
        <f t="shared" ref="BA16:BA39" si="15">AW16/AZ16</f>
        <v>0</v>
      </c>
      <c r="BB16" s="210">
        <f t="shared" ref="BB16:BB39" si="16">(1.1+0.26*AX16+(1.04-1.42*AX16)*BA16)*2.718^BA16/AX16</f>
        <v>1.0016542390239327</v>
      </c>
      <c r="BC16" s="210">
        <f t="shared" ref="BC16:BC39" si="17">1+(AY16-1)*SIN((90*BA16)/57.29578)^BB16</f>
        <v>1</v>
      </c>
    </row>
    <row r="17" spans="1:55" ht="20.100000000000001" customHeight="1" x14ac:dyDescent="0.2">
      <c r="A17" s="45">
        <v>8.3333333333333301E-2</v>
      </c>
      <c r="B17" s="451"/>
      <c r="C17" s="451"/>
      <c r="D17" s="451">
        <v>7.5</v>
      </c>
      <c r="E17" s="451">
        <v>56.3</v>
      </c>
      <c r="F17" s="41">
        <v>1944</v>
      </c>
      <c r="G17" s="37">
        <v>-5.5</v>
      </c>
      <c r="H17" s="37">
        <v>71.3</v>
      </c>
      <c r="I17" s="37">
        <v>21.5</v>
      </c>
      <c r="J17" s="41">
        <v>105</v>
      </c>
      <c r="K17" s="37">
        <v>13</v>
      </c>
      <c r="L17" s="451">
        <v>126</v>
      </c>
      <c r="M17" s="451">
        <v>221</v>
      </c>
      <c r="N17" s="451">
        <v>90</v>
      </c>
      <c r="O17" s="353">
        <v>50</v>
      </c>
      <c r="P17" s="353">
        <v>10</v>
      </c>
      <c r="Q17" s="353">
        <v>227.05</v>
      </c>
      <c r="R17" s="37"/>
      <c r="S17" s="508" t="str">
        <f t="shared" si="0"/>
        <v/>
      </c>
      <c r="T17" s="508"/>
      <c r="U17" s="508"/>
      <c r="V17" s="508"/>
      <c r="X17" s="45">
        <v>8.3333333333333301E-2</v>
      </c>
      <c r="Y17" s="106"/>
      <c r="Z17" s="102"/>
      <c r="AA17" s="102"/>
      <c r="AB17" s="45" t="str">
        <f t="shared" ref="AB17:AB39" si="18">IF(Y17="STBY",AA17-Z17,"")</f>
        <v/>
      </c>
      <c r="AC17" s="45" t="str">
        <f t="shared" si="1"/>
        <v/>
      </c>
      <c r="AD17" s="81"/>
      <c r="AE17" s="9" t="str">
        <f>IF(S17="","",IF(COUNTA(Z17:$Z$39)=1,IF(COUNTA(AD17:$AD$39)=1,""," ; "),IF(COUNTA(AD17:$AD$39)=1,IF(Z17="",""," ; ")," ; ")))</f>
        <v/>
      </c>
      <c r="AF17" s="9" t="str">
        <f t="shared" si="2"/>
        <v/>
      </c>
      <c r="AG17" s="90" t="str">
        <f t="shared" si="3"/>
        <v/>
      </c>
      <c r="AH17" s="204" t="s">
        <v>289</v>
      </c>
      <c r="AJ17" s="206">
        <f t="shared" ref="AJ17:AN32" si="19">AJ16</f>
        <v>500</v>
      </c>
      <c r="AK17" s="206">
        <f t="shared" si="19"/>
        <v>100</v>
      </c>
      <c r="AL17" s="206">
        <f>AL16</f>
        <v>2</v>
      </c>
      <c r="AM17" s="213">
        <f>AM16</f>
        <v>0.875</v>
      </c>
      <c r="AN17" s="214">
        <f>AN16</f>
        <v>0.63607464142166403</v>
      </c>
      <c r="AO17" s="215">
        <f t="shared" si="4"/>
        <v>-14.7</v>
      </c>
      <c r="AP17" s="216">
        <f t="shared" si="5"/>
        <v>1</v>
      </c>
      <c r="AQ17" s="216">
        <f t="shared" si="6"/>
        <v>1</v>
      </c>
      <c r="AR17" s="215">
        <f>AR16</f>
        <v>158.47</v>
      </c>
      <c r="AS17" s="216">
        <f t="shared" si="7"/>
        <v>0.9723448696087954</v>
      </c>
      <c r="AT17" s="216">
        <f t="shared" si="8"/>
        <v>1.2538510821608391</v>
      </c>
      <c r="AU17" s="216">
        <f t="shared" si="9"/>
        <v>2.2360679774997898</v>
      </c>
      <c r="AV17" s="217">
        <f t="shared" si="10"/>
        <v>10.368348541764712</v>
      </c>
      <c r="AW17" s="216">
        <f t="shared" si="11"/>
        <v>0</v>
      </c>
      <c r="AX17" s="218">
        <f t="shared" si="12"/>
        <v>1.4831709199797398</v>
      </c>
      <c r="AY17" s="216">
        <f t="shared" si="13"/>
        <v>0.77643477842613629</v>
      </c>
      <c r="AZ17" s="217">
        <f t="shared" si="14"/>
        <v>3.5883638597441294</v>
      </c>
      <c r="BA17" s="216">
        <f t="shared" si="15"/>
        <v>0</v>
      </c>
      <c r="BB17" s="216">
        <f t="shared" si="16"/>
        <v>1.0016542390239327</v>
      </c>
      <c r="BC17" s="216">
        <f t="shared" si="17"/>
        <v>1</v>
      </c>
    </row>
    <row r="18" spans="1:55" ht="20.100000000000001" customHeight="1" x14ac:dyDescent="0.2">
      <c r="A18" s="45">
        <v>0.125</v>
      </c>
      <c r="B18" s="451"/>
      <c r="C18" s="451"/>
      <c r="D18" s="451">
        <v>7</v>
      </c>
      <c r="E18" s="451">
        <v>58.7</v>
      </c>
      <c r="F18" s="41">
        <v>1922</v>
      </c>
      <c r="G18" s="37">
        <v>-5.5</v>
      </c>
      <c r="H18" s="37">
        <v>71.900000000000006</v>
      </c>
      <c r="I18" s="37">
        <v>21.3</v>
      </c>
      <c r="J18" s="41">
        <v>106</v>
      </c>
      <c r="K18" s="37">
        <v>13</v>
      </c>
      <c r="L18" s="451">
        <v>127</v>
      </c>
      <c r="M18" s="451">
        <v>225</v>
      </c>
      <c r="N18" s="451">
        <v>90</v>
      </c>
      <c r="O18" s="353">
        <v>50</v>
      </c>
      <c r="P18" s="353">
        <v>10</v>
      </c>
      <c r="Q18" s="353">
        <v>227.05</v>
      </c>
      <c r="R18" s="37"/>
      <c r="S18" s="508" t="str">
        <f t="shared" si="0"/>
        <v/>
      </c>
      <c r="T18" s="508"/>
      <c r="U18" s="508"/>
      <c r="V18" s="508"/>
      <c r="X18" s="45">
        <v>0.125</v>
      </c>
      <c r="Y18" s="106"/>
      <c r="Z18" s="102"/>
      <c r="AA18" s="102"/>
      <c r="AB18" s="45" t="str">
        <f t="shared" si="18"/>
        <v/>
      </c>
      <c r="AC18" s="45" t="str">
        <f t="shared" si="1"/>
        <v/>
      </c>
      <c r="AD18" s="81"/>
      <c r="AE18" s="9" t="str">
        <f>IF(S18="","",IF(COUNTA(Z18:$Z$39)=1,IF(COUNTA(AD18:$AD$39)=1,""," ; "),IF(COUNTA(AD18:$AD$39)=1,IF(Z18="",""," ; ")," ; ")))</f>
        <v/>
      </c>
      <c r="AF18" s="9" t="str">
        <f t="shared" si="2"/>
        <v/>
      </c>
      <c r="AG18" s="90" t="str">
        <f t="shared" si="3"/>
        <v/>
      </c>
      <c r="AH18" s="204" t="s">
        <v>321</v>
      </c>
      <c r="AJ18" s="206">
        <f t="shared" si="19"/>
        <v>500</v>
      </c>
      <c r="AK18" s="206">
        <f t="shared" si="19"/>
        <v>100</v>
      </c>
      <c r="AL18" s="206">
        <f t="shared" si="19"/>
        <v>2</v>
      </c>
      <c r="AM18" s="213">
        <f t="shared" si="19"/>
        <v>0.875</v>
      </c>
      <c r="AN18" s="214">
        <f t="shared" si="19"/>
        <v>0.63607464142166403</v>
      </c>
      <c r="AO18" s="215">
        <f t="shared" si="4"/>
        <v>-14.7</v>
      </c>
      <c r="AP18" s="216">
        <f t="shared" si="5"/>
        <v>1</v>
      </c>
      <c r="AQ18" s="216">
        <f t="shared" si="6"/>
        <v>1</v>
      </c>
      <c r="AR18" s="215">
        <f t="shared" ref="AR18:AR39" si="20">AR17</f>
        <v>158.47</v>
      </c>
      <c r="AS18" s="216">
        <f t="shared" si="7"/>
        <v>0.9723448696087954</v>
      </c>
      <c r="AT18" s="216">
        <f t="shared" si="8"/>
        <v>1.2538510821608391</v>
      </c>
      <c r="AU18" s="216">
        <f t="shared" si="9"/>
        <v>2.2360679774997898</v>
      </c>
      <c r="AV18" s="217">
        <f t="shared" si="10"/>
        <v>10.368348541764712</v>
      </c>
      <c r="AW18" s="216">
        <f t="shared" si="11"/>
        <v>0</v>
      </c>
      <c r="AX18" s="218">
        <f t="shared" si="12"/>
        <v>1.4831709199797398</v>
      </c>
      <c r="AY18" s="216">
        <f t="shared" si="13"/>
        <v>0.77643477842613629</v>
      </c>
      <c r="AZ18" s="217">
        <f t="shared" si="14"/>
        <v>3.5883638597441294</v>
      </c>
      <c r="BA18" s="216">
        <f t="shared" si="15"/>
        <v>0</v>
      </c>
      <c r="BB18" s="216">
        <f t="shared" si="16"/>
        <v>1.0016542390239327</v>
      </c>
      <c r="BC18" s="216">
        <f t="shared" si="17"/>
        <v>1</v>
      </c>
    </row>
    <row r="19" spans="1:55" ht="20.100000000000001" customHeight="1" x14ac:dyDescent="0.2">
      <c r="A19" s="45">
        <v>0.16666666666666699</v>
      </c>
      <c r="B19" s="451"/>
      <c r="C19" s="451"/>
      <c r="D19" s="451">
        <v>6.4</v>
      </c>
      <c r="E19" s="451">
        <v>63.4</v>
      </c>
      <c r="F19" s="41">
        <v>1915</v>
      </c>
      <c r="G19" s="37">
        <v>-5.5</v>
      </c>
      <c r="H19" s="37">
        <v>71.400000000000006</v>
      </c>
      <c r="I19" s="37">
        <v>21.6</v>
      </c>
      <c r="J19" s="41">
        <v>107</v>
      </c>
      <c r="K19" s="37">
        <v>13</v>
      </c>
      <c r="L19" s="451">
        <v>124</v>
      </c>
      <c r="M19" s="451">
        <v>225</v>
      </c>
      <c r="N19" s="451">
        <v>90</v>
      </c>
      <c r="O19" s="353">
        <v>50</v>
      </c>
      <c r="P19" s="353">
        <v>12</v>
      </c>
      <c r="Q19" s="353">
        <v>248.54</v>
      </c>
      <c r="R19" s="37"/>
      <c r="S19" s="508" t="str">
        <f t="shared" si="0"/>
        <v/>
      </c>
      <c r="T19" s="508"/>
      <c r="U19" s="508"/>
      <c r="V19" s="508"/>
      <c r="X19" s="45">
        <v>0.16666666666666699</v>
      </c>
      <c r="Y19" s="106"/>
      <c r="Z19" s="102"/>
      <c r="AA19" s="102"/>
      <c r="AB19" s="45" t="str">
        <f t="shared" si="18"/>
        <v/>
      </c>
      <c r="AC19" s="45" t="str">
        <f t="shared" si="1"/>
        <v/>
      </c>
      <c r="AD19" s="81"/>
      <c r="AE19" s="9" t="str">
        <f>IF(S19="","",IF(COUNTA(Z19:$Z$39)=1,IF(COUNTA(AD19:$AD$39)=1,""," ; "),IF(COUNTA(AD19:$AD$39)=1,IF(Z19="",""," ; ")," ; ")))</f>
        <v/>
      </c>
      <c r="AF19" s="9" t="str">
        <f t="shared" si="2"/>
        <v/>
      </c>
      <c r="AG19" s="90" t="str">
        <f t="shared" si="3"/>
        <v/>
      </c>
      <c r="AH19" s="204" t="s">
        <v>272</v>
      </c>
      <c r="AJ19" s="206">
        <f t="shared" si="19"/>
        <v>500</v>
      </c>
      <c r="AK19" s="206">
        <f t="shared" si="19"/>
        <v>100</v>
      </c>
      <c r="AL19" s="206">
        <f t="shared" si="19"/>
        <v>2</v>
      </c>
      <c r="AM19" s="213">
        <f t="shared" si="19"/>
        <v>0.875</v>
      </c>
      <c r="AN19" s="214">
        <f t="shared" si="19"/>
        <v>0.63607464142166403</v>
      </c>
      <c r="AO19" s="215">
        <f t="shared" si="4"/>
        <v>-14.7</v>
      </c>
      <c r="AP19" s="216">
        <f t="shared" si="5"/>
        <v>1</v>
      </c>
      <c r="AQ19" s="216">
        <f t="shared" si="6"/>
        <v>1</v>
      </c>
      <c r="AR19" s="215">
        <f t="shared" si="20"/>
        <v>158.47</v>
      </c>
      <c r="AS19" s="216">
        <f t="shared" si="7"/>
        <v>0.9723448696087954</v>
      </c>
      <c r="AT19" s="216">
        <f t="shared" si="8"/>
        <v>1.2538510821608391</v>
      </c>
      <c r="AU19" s="216">
        <f t="shared" si="9"/>
        <v>2.2360679774997898</v>
      </c>
      <c r="AV19" s="217">
        <f t="shared" si="10"/>
        <v>10.368348541764712</v>
      </c>
      <c r="AW19" s="216">
        <f t="shared" si="11"/>
        <v>0</v>
      </c>
      <c r="AX19" s="218">
        <f t="shared" si="12"/>
        <v>1.4831709199797398</v>
      </c>
      <c r="AY19" s="216">
        <f t="shared" si="13"/>
        <v>0.77643477842613629</v>
      </c>
      <c r="AZ19" s="217">
        <f t="shared" si="14"/>
        <v>3.5883638597441294</v>
      </c>
      <c r="BA19" s="216">
        <f t="shared" si="15"/>
        <v>0</v>
      </c>
      <c r="BB19" s="216">
        <f t="shared" si="16"/>
        <v>1.0016542390239327</v>
      </c>
      <c r="BC19" s="216">
        <f t="shared" si="17"/>
        <v>1</v>
      </c>
    </row>
    <row r="20" spans="1:55" ht="20.100000000000001" customHeight="1" x14ac:dyDescent="0.2">
      <c r="A20" s="45">
        <v>0.20833333333333301</v>
      </c>
      <c r="B20" s="451"/>
      <c r="C20" s="451"/>
      <c r="D20" s="451">
        <v>6.3</v>
      </c>
      <c r="E20" s="451">
        <v>52.8</v>
      </c>
      <c r="F20" s="41">
        <v>1920</v>
      </c>
      <c r="G20" s="37">
        <v>-5.5</v>
      </c>
      <c r="H20" s="37">
        <v>71</v>
      </c>
      <c r="I20" s="37">
        <v>21.2</v>
      </c>
      <c r="J20" s="41">
        <v>108</v>
      </c>
      <c r="K20" s="37">
        <v>13</v>
      </c>
      <c r="L20" s="451">
        <v>124</v>
      </c>
      <c r="M20" s="451">
        <v>220</v>
      </c>
      <c r="N20" s="451">
        <v>90</v>
      </c>
      <c r="O20" s="353">
        <v>50</v>
      </c>
      <c r="P20" s="353">
        <v>12</v>
      </c>
      <c r="Q20" s="353">
        <v>248.54</v>
      </c>
      <c r="R20" s="37"/>
      <c r="S20" s="508" t="str">
        <f t="shared" si="0"/>
        <v/>
      </c>
      <c r="T20" s="508"/>
      <c r="U20" s="508"/>
      <c r="V20" s="508"/>
      <c r="X20" s="45">
        <v>0.20833333333333301</v>
      </c>
      <c r="Y20" s="106"/>
      <c r="Z20" s="102"/>
      <c r="AA20" s="102"/>
      <c r="AB20" s="45" t="str">
        <f t="shared" si="18"/>
        <v/>
      </c>
      <c r="AC20" s="45" t="str">
        <f t="shared" si="1"/>
        <v/>
      </c>
      <c r="AD20" s="81"/>
      <c r="AE20" s="9" t="str">
        <f>IF(S20="","",IF(COUNTA(Z20:$Z$39)=1,IF(COUNTA(AD20:$AD$39)=1,""," ; "),IF(COUNTA(AD20:$AD$39)=1,IF(Z20="",""," ; ")," ; ")))</f>
        <v/>
      </c>
      <c r="AF20" s="9" t="str">
        <f t="shared" si="2"/>
        <v/>
      </c>
      <c r="AG20" s="90" t="str">
        <f t="shared" si="3"/>
        <v/>
      </c>
      <c r="AH20" s="204" t="s">
        <v>275</v>
      </c>
      <c r="AJ20" s="206">
        <f t="shared" si="19"/>
        <v>500</v>
      </c>
      <c r="AK20" s="206">
        <f t="shared" si="19"/>
        <v>100</v>
      </c>
      <c r="AL20" s="206">
        <f t="shared" si="19"/>
        <v>2</v>
      </c>
      <c r="AM20" s="213">
        <f t="shared" si="19"/>
        <v>0.875</v>
      </c>
      <c r="AN20" s="214">
        <f t="shared" si="19"/>
        <v>0.63607464142166403</v>
      </c>
      <c r="AO20" s="215">
        <f t="shared" si="4"/>
        <v>-14.7</v>
      </c>
      <c r="AP20" s="216">
        <f t="shared" si="5"/>
        <v>1</v>
      </c>
      <c r="AQ20" s="216">
        <f t="shared" si="6"/>
        <v>1</v>
      </c>
      <c r="AR20" s="215">
        <f t="shared" si="20"/>
        <v>158.47</v>
      </c>
      <c r="AS20" s="216">
        <f t="shared" si="7"/>
        <v>0.9723448696087954</v>
      </c>
      <c r="AT20" s="216">
        <f t="shared" si="8"/>
        <v>1.2538510821608391</v>
      </c>
      <c r="AU20" s="216">
        <f t="shared" si="9"/>
        <v>2.2360679774997898</v>
      </c>
      <c r="AV20" s="217">
        <f t="shared" si="10"/>
        <v>10.368348541764712</v>
      </c>
      <c r="AW20" s="216">
        <f t="shared" si="11"/>
        <v>0</v>
      </c>
      <c r="AX20" s="218">
        <f t="shared" si="12"/>
        <v>1.4831709199797398</v>
      </c>
      <c r="AY20" s="216">
        <f t="shared" si="13"/>
        <v>0.77643477842613629</v>
      </c>
      <c r="AZ20" s="217">
        <f t="shared" si="14"/>
        <v>3.5883638597441294</v>
      </c>
      <c r="BA20" s="216">
        <f t="shared" si="15"/>
        <v>0</v>
      </c>
      <c r="BB20" s="216">
        <f t="shared" si="16"/>
        <v>1.0016542390239327</v>
      </c>
      <c r="BC20" s="216">
        <f t="shared" si="17"/>
        <v>1</v>
      </c>
    </row>
    <row r="21" spans="1:55" ht="20.100000000000001" customHeight="1" x14ac:dyDescent="0.2">
      <c r="A21" s="45">
        <v>0.25</v>
      </c>
      <c r="B21" s="451"/>
      <c r="C21" s="451"/>
      <c r="D21" s="451">
        <v>8</v>
      </c>
      <c r="E21" s="451">
        <v>56.9</v>
      </c>
      <c r="F21" s="41">
        <v>1954</v>
      </c>
      <c r="G21" s="37">
        <v>-5.5</v>
      </c>
      <c r="H21" s="37">
        <v>71.2</v>
      </c>
      <c r="I21" s="37">
        <v>21.4</v>
      </c>
      <c r="J21" s="41">
        <v>109</v>
      </c>
      <c r="K21" s="37">
        <v>13</v>
      </c>
      <c r="L21" s="451">
        <v>127</v>
      </c>
      <c r="M21" s="451">
        <v>221</v>
      </c>
      <c r="N21" s="451">
        <v>90</v>
      </c>
      <c r="O21" s="353">
        <v>50</v>
      </c>
      <c r="P21" s="353">
        <v>12</v>
      </c>
      <c r="Q21" s="353">
        <v>248.54</v>
      </c>
      <c r="R21" s="37"/>
      <c r="S21" s="508" t="str">
        <f t="shared" si="0"/>
        <v/>
      </c>
      <c r="T21" s="508"/>
      <c r="U21" s="508"/>
      <c r="V21" s="508"/>
      <c r="X21" s="45">
        <v>0.25</v>
      </c>
      <c r="Y21" s="106"/>
      <c r="Z21" s="102"/>
      <c r="AA21" s="102"/>
      <c r="AB21" s="45" t="str">
        <f t="shared" si="18"/>
        <v/>
      </c>
      <c r="AC21" s="45" t="str">
        <f t="shared" si="1"/>
        <v/>
      </c>
      <c r="AD21" s="81"/>
      <c r="AE21" s="9" t="str">
        <f>IF(S21="","",IF(COUNTA(Z21:$Z$39)=1,IF(COUNTA(AD21:$AD$39)=1,""," ; "),IF(COUNTA(AD21:$AD$39)=1,IF(Z21="",""," ; ")," ; ")))</f>
        <v/>
      </c>
      <c r="AF21" s="9" t="str">
        <f t="shared" si="2"/>
        <v/>
      </c>
      <c r="AG21" s="90" t="str">
        <f t="shared" si="3"/>
        <v/>
      </c>
      <c r="AH21" s="204" t="s">
        <v>322</v>
      </c>
      <c r="AJ21" s="206">
        <f t="shared" si="19"/>
        <v>500</v>
      </c>
      <c r="AK21" s="206">
        <f t="shared" si="19"/>
        <v>100</v>
      </c>
      <c r="AL21" s="206">
        <f t="shared" si="19"/>
        <v>2</v>
      </c>
      <c r="AM21" s="213">
        <f t="shared" si="19"/>
        <v>0.875</v>
      </c>
      <c r="AN21" s="214">
        <f t="shared" si="19"/>
        <v>0.63607464142166403</v>
      </c>
      <c r="AO21" s="215">
        <f t="shared" si="4"/>
        <v>-14.7</v>
      </c>
      <c r="AP21" s="216">
        <f t="shared" si="5"/>
        <v>1</v>
      </c>
      <c r="AQ21" s="216">
        <f t="shared" si="6"/>
        <v>1</v>
      </c>
      <c r="AR21" s="215">
        <f t="shared" si="20"/>
        <v>158.47</v>
      </c>
      <c r="AS21" s="216">
        <f t="shared" si="7"/>
        <v>0.9723448696087954</v>
      </c>
      <c r="AT21" s="216">
        <f t="shared" si="8"/>
        <v>1.2538510821608391</v>
      </c>
      <c r="AU21" s="216">
        <f t="shared" si="9"/>
        <v>2.2360679774997898</v>
      </c>
      <c r="AV21" s="217">
        <f t="shared" si="10"/>
        <v>10.368348541764712</v>
      </c>
      <c r="AW21" s="216">
        <f t="shared" si="11"/>
        <v>0</v>
      </c>
      <c r="AX21" s="218">
        <f t="shared" si="12"/>
        <v>1.4831709199797398</v>
      </c>
      <c r="AY21" s="216">
        <f t="shared" si="13"/>
        <v>0.77643477842613629</v>
      </c>
      <c r="AZ21" s="217">
        <f t="shared" si="14"/>
        <v>3.5883638597441294</v>
      </c>
      <c r="BA21" s="216">
        <f t="shared" si="15"/>
        <v>0</v>
      </c>
      <c r="BB21" s="216">
        <f t="shared" si="16"/>
        <v>1.0016542390239327</v>
      </c>
      <c r="BC21" s="216">
        <f t="shared" si="17"/>
        <v>1</v>
      </c>
    </row>
    <row r="22" spans="1:55" ht="20.100000000000001" customHeight="1" x14ac:dyDescent="0.2">
      <c r="A22" s="45">
        <v>0.29166666666666702</v>
      </c>
      <c r="B22" s="451"/>
      <c r="C22" s="451"/>
      <c r="D22" s="451">
        <v>7.4</v>
      </c>
      <c r="E22" s="451">
        <v>61.9</v>
      </c>
      <c r="F22" s="41">
        <v>1937</v>
      </c>
      <c r="G22" s="37">
        <v>-5.5</v>
      </c>
      <c r="H22" s="37">
        <v>71.5</v>
      </c>
      <c r="I22" s="37">
        <v>21.9</v>
      </c>
      <c r="J22" s="41">
        <v>110</v>
      </c>
      <c r="K22" s="37">
        <v>13</v>
      </c>
      <c r="L22" s="451">
        <v>123</v>
      </c>
      <c r="M22" s="451">
        <v>221</v>
      </c>
      <c r="N22" s="451">
        <v>90</v>
      </c>
      <c r="O22" s="353">
        <v>50</v>
      </c>
      <c r="P22" s="353">
        <v>12</v>
      </c>
      <c r="Q22" s="353">
        <v>248.54</v>
      </c>
      <c r="R22" s="37"/>
      <c r="S22" s="508" t="str">
        <f t="shared" si="0"/>
        <v/>
      </c>
      <c r="T22" s="508"/>
      <c r="U22" s="508"/>
      <c r="V22" s="508"/>
      <c r="X22" s="45">
        <v>0.29166666666666702</v>
      </c>
      <c r="Y22" s="106"/>
      <c r="Z22" s="102"/>
      <c r="AA22" s="102"/>
      <c r="AB22" s="45" t="str">
        <f t="shared" si="18"/>
        <v/>
      </c>
      <c r="AC22" s="45" t="str">
        <f t="shared" si="1"/>
        <v/>
      </c>
      <c r="AD22" s="81"/>
      <c r="AE22" s="9" t="str">
        <f>IF(S22="","",IF(COUNTA(Z22:$Z$39)=1,IF(COUNTA(AD22:$AD$39)=1,""," ; "),IF(COUNTA(AD22:$AD$39)=1,IF(Z22="",""," ; ")," ; ")))</f>
        <v/>
      </c>
      <c r="AF22" s="9" t="str">
        <f t="shared" si="2"/>
        <v/>
      </c>
      <c r="AG22" s="90" t="str">
        <f t="shared" si="3"/>
        <v/>
      </c>
      <c r="AH22" s="204" t="s">
        <v>279</v>
      </c>
      <c r="AJ22" s="206">
        <f t="shared" si="19"/>
        <v>500</v>
      </c>
      <c r="AK22" s="206">
        <f t="shared" si="19"/>
        <v>100</v>
      </c>
      <c r="AL22" s="206">
        <f t="shared" si="19"/>
        <v>2</v>
      </c>
      <c r="AM22" s="213">
        <f t="shared" si="19"/>
        <v>0.875</v>
      </c>
      <c r="AN22" s="214">
        <f t="shared" si="19"/>
        <v>0.63607464142166403</v>
      </c>
      <c r="AO22" s="215">
        <f t="shared" si="4"/>
        <v>-14.7</v>
      </c>
      <c r="AP22" s="216">
        <f t="shared" si="5"/>
        <v>1</v>
      </c>
      <c r="AQ22" s="216">
        <f t="shared" si="6"/>
        <v>1</v>
      </c>
      <c r="AR22" s="215">
        <f t="shared" si="20"/>
        <v>158.47</v>
      </c>
      <c r="AS22" s="216">
        <f t="shared" si="7"/>
        <v>0.9723448696087954</v>
      </c>
      <c r="AT22" s="216">
        <f t="shared" si="8"/>
        <v>1.2538510821608391</v>
      </c>
      <c r="AU22" s="216">
        <f t="shared" si="9"/>
        <v>2.2360679774997898</v>
      </c>
      <c r="AV22" s="217">
        <f t="shared" si="10"/>
        <v>10.368348541764712</v>
      </c>
      <c r="AW22" s="216">
        <f t="shared" si="11"/>
        <v>0</v>
      </c>
      <c r="AX22" s="218">
        <f t="shared" si="12"/>
        <v>1.4831709199797398</v>
      </c>
      <c r="AY22" s="216">
        <f t="shared" si="13"/>
        <v>0.77643477842613629</v>
      </c>
      <c r="AZ22" s="217">
        <f t="shared" si="14"/>
        <v>3.5883638597441294</v>
      </c>
      <c r="BA22" s="216">
        <f t="shared" si="15"/>
        <v>0</v>
      </c>
      <c r="BB22" s="216">
        <f t="shared" si="16"/>
        <v>1.0016542390239327</v>
      </c>
      <c r="BC22" s="216">
        <f t="shared" si="17"/>
        <v>1</v>
      </c>
    </row>
    <row r="23" spans="1:55" ht="20.100000000000001" customHeight="1" x14ac:dyDescent="0.2">
      <c r="A23" s="45">
        <v>0.33333333333333298</v>
      </c>
      <c r="B23" s="451"/>
      <c r="C23" s="451"/>
      <c r="D23" s="451">
        <v>7.2</v>
      </c>
      <c r="E23" s="451">
        <v>62.9</v>
      </c>
      <c r="F23" s="41">
        <v>1944</v>
      </c>
      <c r="G23" s="37">
        <v>-5.5</v>
      </c>
      <c r="H23" s="37">
        <v>71.2</v>
      </c>
      <c r="I23" s="37">
        <v>21.2</v>
      </c>
      <c r="J23" s="41">
        <v>111</v>
      </c>
      <c r="K23" s="37">
        <v>13</v>
      </c>
      <c r="L23" s="451">
        <v>124</v>
      </c>
      <c r="M23" s="451">
        <v>221</v>
      </c>
      <c r="N23" s="451">
        <v>90</v>
      </c>
      <c r="O23" s="353">
        <v>50</v>
      </c>
      <c r="P23" s="353">
        <v>12</v>
      </c>
      <c r="Q23" s="353">
        <v>248.54</v>
      </c>
      <c r="R23" s="37"/>
      <c r="S23" s="508" t="str">
        <f t="shared" si="0"/>
        <v/>
      </c>
      <c r="T23" s="508"/>
      <c r="U23" s="508"/>
      <c r="V23" s="508"/>
      <c r="X23" s="45">
        <v>0.33333333333333298</v>
      </c>
      <c r="Y23" s="106"/>
      <c r="Z23" s="102"/>
      <c r="AA23" s="102"/>
      <c r="AB23" s="45" t="str">
        <f t="shared" si="18"/>
        <v/>
      </c>
      <c r="AC23" s="45" t="str">
        <f t="shared" si="1"/>
        <v/>
      </c>
      <c r="AD23" s="81"/>
      <c r="AE23" s="9" t="str">
        <f>IF(S23="","",IF(COUNTA(Z23:$Z$39)=1,IF(COUNTA(AD23:$AD$39)=1,""," ; "),IF(COUNTA(AD23:$AD$39)=1,IF(Z23="",""," ; ")," ; ")))</f>
        <v/>
      </c>
      <c r="AF23" s="9" t="str">
        <f t="shared" si="2"/>
        <v/>
      </c>
      <c r="AG23" s="90" t="str">
        <f t="shared" si="3"/>
        <v/>
      </c>
      <c r="AH23" s="204" t="s">
        <v>274</v>
      </c>
      <c r="AJ23" s="206">
        <f t="shared" si="19"/>
        <v>500</v>
      </c>
      <c r="AK23" s="206">
        <f t="shared" si="19"/>
        <v>100</v>
      </c>
      <c r="AL23" s="206">
        <f t="shared" si="19"/>
        <v>2</v>
      </c>
      <c r="AM23" s="213">
        <f t="shared" si="19"/>
        <v>0.875</v>
      </c>
      <c r="AN23" s="214">
        <f t="shared" si="19"/>
        <v>0.63607464142166403</v>
      </c>
      <c r="AO23" s="215">
        <f t="shared" si="4"/>
        <v>-14.7</v>
      </c>
      <c r="AP23" s="216">
        <f t="shared" si="5"/>
        <v>1</v>
      </c>
      <c r="AQ23" s="216">
        <f t="shared" si="6"/>
        <v>1</v>
      </c>
      <c r="AR23" s="215">
        <f t="shared" si="20"/>
        <v>158.47</v>
      </c>
      <c r="AS23" s="216">
        <f t="shared" si="7"/>
        <v>0.9723448696087954</v>
      </c>
      <c r="AT23" s="216">
        <f t="shared" si="8"/>
        <v>1.2538510821608391</v>
      </c>
      <c r="AU23" s="216">
        <f t="shared" si="9"/>
        <v>2.2360679774997898</v>
      </c>
      <c r="AV23" s="217">
        <f t="shared" si="10"/>
        <v>10.368348541764712</v>
      </c>
      <c r="AW23" s="216">
        <f t="shared" si="11"/>
        <v>0</v>
      </c>
      <c r="AX23" s="218">
        <f t="shared" si="12"/>
        <v>1.4831709199797398</v>
      </c>
      <c r="AY23" s="216">
        <f t="shared" si="13"/>
        <v>0.77643477842613629</v>
      </c>
      <c r="AZ23" s="217">
        <f t="shared" si="14"/>
        <v>3.5883638597441294</v>
      </c>
      <c r="BA23" s="216">
        <f t="shared" si="15"/>
        <v>0</v>
      </c>
      <c r="BB23" s="216">
        <f t="shared" si="16"/>
        <v>1.0016542390239327</v>
      </c>
      <c r="BC23" s="216">
        <f t="shared" si="17"/>
        <v>1</v>
      </c>
    </row>
    <row r="24" spans="1:55" ht="20.100000000000001" customHeight="1" x14ac:dyDescent="0.2">
      <c r="A24" s="45">
        <v>0.375</v>
      </c>
      <c r="B24" s="451"/>
      <c r="C24" s="451"/>
      <c r="D24" s="451">
        <v>7.6</v>
      </c>
      <c r="E24" s="451">
        <v>57.3</v>
      </c>
      <c r="F24" s="41">
        <v>1951</v>
      </c>
      <c r="G24" s="37">
        <v>-5.5</v>
      </c>
      <c r="H24" s="37">
        <v>71.8</v>
      </c>
      <c r="I24" s="37">
        <v>21</v>
      </c>
      <c r="J24" s="41">
        <v>112</v>
      </c>
      <c r="K24" s="37">
        <v>13</v>
      </c>
      <c r="L24" s="451">
        <v>125</v>
      </c>
      <c r="M24" s="451">
        <v>222</v>
      </c>
      <c r="N24" s="451">
        <v>90</v>
      </c>
      <c r="O24" s="353">
        <v>50</v>
      </c>
      <c r="P24" s="353">
        <v>12</v>
      </c>
      <c r="Q24" s="353">
        <v>248.54</v>
      </c>
      <c r="R24" s="37"/>
      <c r="S24" s="508" t="str">
        <f t="shared" si="0"/>
        <v/>
      </c>
      <c r="T24" s="508"/>
      <c r="U24" s="508"/>
      <c r="V24" s="508"/>
      <c r="X24" s="45">
        <v>0.375</v>
      </c>
      <c r="Y24" s="106"/>
      <c r="Z24" s="102"/>
      <c r="AA24" s="102"/>
      <c r="AB24" s="45" t="str">
        <f t="shared" si="18"/>
        <v/>
      </c>
      <c r="AC24" s="45" t="str">
        <f t="shared" si="1"/>
        <v/>
      </c>
      <c r="AD24" s="81"/>
      <c r="AE24" s="9" t="str">
        <f>IF(S24="","",IF(COUNTA(Z24:$Z$39)=1,IF(COUNTA(AD24:$AD$39)=1,""," ; "),IF(COUNTA(AD24:$AD$39)=1,IF(Z24="",""," ; ")," ; ")))</f>
        <v/>
      </c>
      <c r="AF24" s="9" t="str">
        <f t="shared" si="2"/>
        <v/>
      </c>
      <c r="AG24" s="90" t="str">
        <f t="shared" si="3"/>
        <v/>
      </c>
      <c r="AH24" s="204" t="s">
        <v>307</v>
      </c>
      <c r="AJ24" s="206">
        <f t="shared" si="19"/>
        <v>500</v>
      </c>
      <c r="AK24" s="206">
        <f t="shared" si="19"/>
        <v>100</v>
      </c>
      <c r="AL24" s="206">
        <f t="shared" si="19"/>
        <v>2</v>
      </c>
      <c r="AM24" s="213">
        <f t="shared" si="19"/>
        <v>0.875</v>
      </c>
      <c r="AN24" s="214">
        <f t="shared" si="19"/>
        <v>0.63607464142166403</v>
      </c>
      <c r="AO24" s="215">
        <f t="shared" si="4"/>
        <v>-14.7</v>
      </c>
      <c r="AP24" s="216">
        <f t="shared" si="5"/>
        <v>1</v>
      </c>
      <c r="AQ24" s="216">
        <f t="shared" si="6"/>
        <v>1</v>
      </c>
      <c r="AR24" s="215">
        <f t="shared" si="20"/>
        <v>158.47</v>
      </c>
      <c r="AS24" s="216">
        <f t="shared" si="7"/>
        <v>0.9723448696087954</v>
      </c>
      <c r="AT24" s="216">
        <f t="shared" si="8"/>
        <v>1.2538510821608391</v>
      </c>
      <c r="AU24" s="216">
        <f t="shared" si="9"/>
        <v>2.2360679774997898</v>
      </c>
      <c r="AV24" s="217">
        <f t="shared" si="10"/>
        <v>10.368348541764712</v>
      </c>
      <c r="AW24" s="216">
        <f t="shared" si="11"/>
        <v>0</v>
      </c>
      <c r="AX24" s="218">
        <f t="shared" si="12"/>
        <v>1.4831709199797398</v>
      </c>
      <c r="AY24" s="216">
        <f t="shared" si="13"/>
        <v>0.77643477842613629</v>
      </c>
      <c r="AZ24" s="217">
        <f t="shared" si="14"/>
        <v>3.5883638597441294</v>
      </c>
      <c r="BA24" s="216">
        <f t="shared" si="15"/>
        <v>0</v>
      </c>
      <c r="BB24" s="216">
        <f t="shared" si="16"/>
        <v>1.0016542390239327</v>
      </c>
      <c r="BC24" s="216">
        <f t="shared" si="17"/>
        <v>1</v>
      </c>
    </row>
    <row r="25" spans="1:55" ht="20.100000000000001" customHeight="1" x14ac:dyDescent="0.2">
      <c r="A25" s="45">
        <v>0.41666666666666702</v>
      </c>
      <c r="B25" s="451"/>
      <c r="C25" s="451"/>
      <c r="D25" s="451">
        <v>6.9</v>
      </c>
      <c r="E25" s="451">
        <v>57.1</v>
      </c>
      <c r="F25" s="41">
        <v>1962</v>
      </c>
      <c r="G25" s="37">
        <v>-5.5</v>
      </c>
      <c r="H25" s="37">
        <v>71.2</v>
      </c>
      <c r="I25" s="37">
        <v>21.6</v>
      </c>
      <c r="J25" s="41">
        <v>113</v>
      </c>
      <c r="K25" s="37">
        <v>13</v>
      </c>
      <c r="L25" s="451">
        <v>125</v>
      </c>
      <c r="M25" s="451">
        <v>223</v>
      </c>
      <c r="N25" s="451">
        <v>90</v>
      </c>
      <c r="O25" s="353">
        <v>50</v>
      </c>
      <c r="P25" s="353">
        <v>7</v>
      </c>
      <c r="Q25" s="353">
        <v>190.25</v>
      </c>
      <c r="R25" s="37"/>
      <c r="S25" s="508" t="str">
        <f t="shared" si="0"/>
        <v/>
      </c>
      <c r="T25" s="508"/>
      <c r="U25" s="508"/>
      <c r="V25" s="508"/>
      <c r="X25" s="45">
        <v>0.41666666666666702</v>
      </c>
      <c r="Y25" s="106"/>
      <c r="Z25" s="102"/>
      <c r="AA25" s="102"/>
      <c r="AB25" s="45" t="str">
        <f t="shared" si="18"/>
        <v/>
      </c>
      <c r="AC25" s="45" t="str">
        <f t="shared" si="1"/>
        <v/>
      </c>
      <c r="AD25" s="81"/>
      <c r="AE25" s="9" t="str">
        <f>IF(S25="","",IF(COUNTA(Z25:$Z$39)=1,IF(COUNTA(AD25:$AD$39)=1,""," ; "),IF(COUNTA(AD25:$AD$39)=1,IF(Z25="",""," ; ")," ; ")))</f>
        <v/>
      </c>
      <c r="AF25" s="9" t="str">
        <f t="shared" si="2"/>
        <v/>
      </c>
      <c r="AG25" s="90" t="str">
        <f t="shared" si="3"/>
        <v/>
      </c>
      <c r="AH25" s="204" t="s">
        <v>225</v>
      </c>
      <c r="AJ25" s="206">
        <f t="shared" si="19"/>
        <v>500</v>
      </c>
      <c r="AK25" s="206">
        <f t="shared" si="19"/>
        <v>100</v>
      </c>
      <c r="AL25" s="206">
        <f t="shared" si="19"/>
        <v>2</v>
      </c>
      <c r="AM25" s="213">
        <f t="shared" si="19"/>
        <v>0.875</v>
      </c>
      <c r="AN25" s="214">
        <f t="shared" si="19"/>
        <v>0.63607464142166403</v>
      </c>
      <c r="AO25" s="215">
        <f t="shared" si="4"/>
        <v>-14.7</v>
      </c>
      <c r="AP25" s="216">
        <f t="shared" si="5"/>
        <v>1</v>
      </c>
      <c r="AQ25" s="216">
        <f t="shared" si="6"/>
        <v>1</v>
      </c>
      <c r="AR25" s="215">
        <f t="shared" si="20"/>
        <v>158.47</v>
      </c>
      <c r="AS25" s="216">
        <f t="shared" si="7"/>
        <v>0.9723448696087954</v>
      </c>
      <c r="AT25" s="216">
        <f t="shared" si="8"/>
        <v>1.2538510821608391</v>
      </c>
      <c r="AU25" s="216">
        <f t="shared" si="9"/>
        <v>2.2360679774997898</v>
      </c>
      <c r="AV25" s="217">
        <f t="shared" si="10"/>
        <v>10.368348541764712</v>
      </c>
      <c r="AW25" s="216">
        <f t="shared" si="11"/>
        <v>0</v>
      </c>
      <c r="AX25" s="218">
        <f t="shared" si="12"/>
        <v>1.4831709199797398</v>
      </c>
      <c r="AY25" s="216">
        <f t="shared" si="13"/>
        <v>0.77643477842613629</v>
      </c>
      <c r="AZ25" s="217">
        <f t="shared" si="14"/>
        <v>3.5883638597441294</v>
      </c>
      <c r="BA25" s="216">
        <f t="shared" si="15"/>
        <v>0</v>
      </c>
      <c r="BB25" s="216">
        <f t="shared" si="16"/>
        <v>1.0016542390239327</v>
      </c>
      <c r="BC25" s="216">
        <f t="shared" si="17"/>
        <v>1</v>
      </c>
    </row>
    <row r="26" spans="1:55" ht="20.100000000000001" customHeight="1" x14ac:dyDescent="0.2">
      <c r="A26" s="45">
        <v>0.45833333333333298</v>
      </c>
      <c r="B26" s="451"/>
      <c r="C26" s="451"/>
      <c r="D26" s="451">
        <v>6.4</v>
      </c>
      <c r="E26" s="451">
        <v>56.6</v>
      </c>
      <c r="F26" s="41">
        <v>1948</v>
      </c>
      <c r="G26" s="37">
        <v>-5.5</v>
      </c>
      <c r="H26" s="37">
        <v>71.900000000000006</v>
      </c>
      <c r="I26" s="37">
        <v>21.3</v>
      </c>
      <c r="J26" s="41">
        <v>114</v>
      </c>
      <c r="K26" s="37">
        <v>13</v>
      </c>
      <c r="L26" s="451">
        <v>126</v>
      </c>
      <c r="M26" s="451">
        <v>223</v>
      </c>
      <c r="N26" s="451">
        <v>90</v>
      </c>
      <c r="O26" s="353">
        <v>50</v>
      </c>
      <c r="P26" s="353">
        <v>7</v>
      </c>
      <c r="Q26" s="353">
        <v>190.25</v>
      </c>
      <c r="R26" s="37"/>
      <c r="S26" s="508" t="str">
        <f t="shared" si="0"/>
        <v/>
      </c>
      <c r="T26" s="508"/>
      <c r="U26" s="508"/>
      <c r="V26" s="508"/>
      <c r="X26" s="45">
        <v>0.45833333333333298</v>
      </c>
      <c r="Y26" s="106"/>
      <c r="Z26" s="102"/>
      <c r="AA26" s="102"/>
      <c r="AB26" s="45" t="str">
        <f t="shared" si="18"/>
        <v/>
      </c>
      <c r="AC26" s="45" t="str">
        <f t="shared" si="1"/>
        <v/>
      </c>
      <c r="AD26" s="81"/>
      <c r="AE26" s="9" t="str">
        <f>IF(S26="","",IF(COUNTA(Z26:$Z$39)=1,IF(COUNTA(AD26:$AD$39)=1,""," ; "),IF(COUNTA(AD26:$AD$39)=1,IF(Z26="",""," ; ")," ; ")))</f>
        <v/>
      </c>
      <c r="AF26" s="9" t="str">
        <f t="shared" si="2"/>
        <v/>
      </c>
      <c r="AG26" s="90" t="str">
        <f t="shared" si="3"/>
        <v/>
      </c>
      <c r="AH26" s="204" t="s">
        <v>287</v>
      </c>
      <c r="AJ26" s="206">
        <f t="shared" si="19"/>
        <v>500</v>
      </c>
      <c r="AK26" s="206">
        <f t="shared" si="19"/>
        <v>100</v>
      </c>
      <c r="AL26" s="206">
        <f t="shared" si="19"/>
        <v>2</v>
      </c>
      <c r="AM26" s="213">
        <f t="shared" si="19"/>
        <v>0.875</v>
      </c>
      <c r="AN26" s="214">
        <f t="shared" si="19"/>
        <v>0.63607464142166403</v>
      </c>
      <c r="AO26" s="215">
        <f t="shared" si="4"/>
        <v>-14.7</v>
      </c>
      <c r="AP26" s="216">
        <f t="shared" si="5"/>
        <v>1</v>
      </c>
      <c r="AQ26" s="216">
        <f t="shared" si="6"/>
        <v>1</v>
      </c>
      <c r="AR26" s="215">
        <f t="shared" si="20"/>
        <v>158.47</v>
      </c>
      <c r="AS26" s="216">
        <f t="shared" si="7"/>
        <v>0.9723448696087954</v>
      </c>
      <c r="AT26" s="216">
        <f t="shared" si="8"/>
        <v>1.2538510821608391</v>
      </c>
      <c r="AU26" s="216">
        <f t="shared" si="9"/>
        <v>2.2360679774997898</v>
      </c>
      <c r="AV26" s="217">
        <f t="shared" si="10"/>
        <v>10.368348541764712</v>
      </c>
      <c r="AW26" s="216">
        <f t="shared" si="11"/>
        <v>0</v>
      </c>
      <c r="AX26" s="218">
        <f t="shared" si="12"/>
        <v>1.4831709199797398</v>
      </c>
      <c r="AY26" s="216">
        <f t="shared" si="13"/>
        <v>0.77643477842613629</v>
      </c>
      <c r="AZ26" s="217">
        <f t="shared" si="14"/>
        <v>3.5883638597441294</v>
      </c>
      <c r="BA26" s="216">
        <f t="shared" si="15"/>
        <v>0</v>
      </c>
      <c r="BB26" s="216">
        <f t="shared" si="16"/>
        <v>1.0016542390239327</v>
      </c>
      <c r="BC26" s="216">
        <f t="shared" si="17"/>
        <v>1</v>
      </c>
    </row>
    <row r="27" spans="1:55" ht="20.100000000000001" customHeight="1" x14ac:dyDescent="0.2">
      <c r="A27" s="45">
        <v>0.5</v>
      </c>
      <c r="B27" s="451"/>
      <c r="C27" s="451"/>
      <c r="D27" s="451">
        <v>6.2</v>
      </c>
      <c r="E27" s="451">
        <v>56.2</v>
      </c>
      <c r="F27" s="41">
        <v>1961</v>
      </c>
      <c r="G27" s="37">
        <v>-5.5</v>
      </c>
      <c r="H27" s="37">
        <v>71.5</v>
      </c>
      <c r="I27" s="37">
        <v>21.7</v>
      </c>
      <c r="J27" s="41">
        <v>115</v>
      </c>
      <c r="K27" s="37">
        <v>13</v>
      </c>
      <c r="L27" s="451">
        <v>126</v>
      </c>
      <c r="M27" s="451">
        <v>224</v>
      </c>
      <c r="N27" s="451">
        <v>90</v>
      </c>
      <c r="O27" s="353">
        <v>50</v>
      </c>
      <c r="P27" s="353">
        <v>9</v>
      </c>
      <c r="Q27" s="353">
        <v>215.49</v>
      </c>
      <c r="R27" s="37"/>
      <c r="S27" s="508" t="str">
        <f t="shared" si="0"/>
        <v/>
      </c>
      <c r="T27" s="508"/>
      <c r="U27" s="508"/>
      <c r="V27" s="508"/>
      <c r="X27" s="45">
        <v>0.5</v>
      </c>
      <c r="Y27" s="106"/>
      <c r="Z27" s="102"/>
      <c r="AA27" s="102"/>
      <c r="AB27" s="45" t="str">
        <f t="shared" si="18"/>
        <v/>
      </c>
      <c r="AC27" s="45" t="str">
        <f t="shared" si="1"/>
        <v/>
      </c>
      <c r="AD27" s="81"/>
      <c r="AE27" s="9" t="str">
        <f>IF(S27="","",IF(COUNTA(Z27:$Z$39)=1,IF(COUNTA(AD27:$AD$39)=1,""," ; "),IF(COUNTA(AD27:$AD$39)=1,IF(Z27="",""," ; ")," ; ")))</f>
        <v/>
      </c>
      <c r="AF27" s="9" t="str">
        <f t="shared" si="2"/>
        <v/>
      </c>
      <c r="AG27" s="90" t="str">
        <f t="shared" si="3"/>
        <v/>
      </c>
      <c r="AH27" s="204" t="s">
        <v>276</v>
      </c>
      <c r="AJ27" s="206">
        <f t="shared" si="19"/>
        <v>500</v>
      </c>
      <c r="AK27" s="206">
        <f t="shared" si="19"/>
        <v>100</v>
      </c>
      <c r="AL27" s="206">
        <f t="shared" si="19"/>
        <v>2</v>
      </c>
      <c r="AM27" s="213">
        <f t="shared" si="19"/>
        <v>0.875</v>
      </c>
      <c r="AN27" s="214">
        <f t="shared" si="19"/>
        <v>0.63607464142166403</v>
      </c>
      <c r="AO27" s="215">
        <f t="shared" si="4"/>
        <v>-14.7</v>
      </c>
      <c r="AP27" s="216">
        <f t="shared" si="5"/>
        <v>1</v>
      </c>
      <c r="AQ27" s="216">
        <f t="shared" si="6"/>
        <v>1</v>
      </c>
      <c r="AR27" s="215">
        <f t="shared" si="20"/>
        <v>158.47</v>
      </c>
      <c r="AS27" s="216">
        <f t="shared" si="7"/>
        <v>0.9723448696087954</v>
      </c>
      <c r="AT27" s="216">
        <f t="shared" si="8"/>
        <v>1.2538510821608391</v>
      </c>
      <c r="AU27" s="216">
        <f t="shared" si="9"/>
        <v>2.2360679774997898</v>
      </c>
      <c r="AV27" s="217">
        <f t="shared" si="10"/>
        <v>10.368348541764712</v>
      </c>
      <c r="AW27" s="216">
        <f t="shared" si="11"/>
        <v>0</v>
      </c>
      <c r="AX27" s="218">
        <f t="shared" si="12"/>
        <v>1.4831709199797398</v>
      </c>
      <c r="AY27" s="216">
        <f t="shared" si="13"/>
        <v>0.77643477842613629</v>
      </c>
      <c r="AZ27" s="217">
        <f t="shared" si="14"/>
        <v>3.5883638597441294</v>
      </c>
      <c r="BA27" s="216">
        <f t="shared" si="15"/>
        <v>0</v>
      </c>
      <c r="BB27" s="216">
        <f t="shared" si="16"/>
        <v>1.0016542390239327</v>
      </c>
      <c r="BC27" s="216">
        <f t="shared" si="17"/>
        <v>1</v>
      </c>
    </row>
    <row r="28" spans="1:55" ht="20.100000000000001" customHeight="1" x14ac:dyDescent="0.2">
      <c r="A28" s="45">
        <v>0.54166666666666696</v>
      </c>
      <c r="B28" s="451"/>
      <c r="C28" s="451"/>
      <c r="D28" s="451">
        <v>6.6</v>
      </c>
      <c r="E28" s="451">
        <v>55.9</v>
      </c>
      <c r="F28" s="41">
        <v>1955</v>
      </c>
      <c r="G28" s="37">
        <v>-5.5</v>
      </c>
      <c r="H28" s="37">
        <v>71.2</v>
      </c>
      <c r="I28" s="37">
        <v>21</v>
      </c>
      <c r="J28" s="41">
        <v>116</v>
      </c>
      <c r="K28" s="37">
        <v>13</v>
      </c>
      <c r="L28" s="451">
        <v>127</v>
      </c>
      <c r="M28" s="451">
        <v>224</v>
      </c>
      <c r="N28" s="451">
        <v>90</v>
      </c>
      <c r="O28" s="353">
        <v>50</v>
      </c>
      <c r="P28" s="353">
        <v>9</v>
      </c>
      <c r="Q28" s="353">
        <v>215.49</v>
      </c>
      <c r="R28" s="37"/>
      <c r="S28" s="508" t="str">
        <f t="shared" si="0"/>
        <v/>
      </c>
      <c r="T28" s="508"/>
      <c r="U28" s="508"/>
      <c r="V28" s="508"/>
      <c r="X28" s="45">
        <v>0.54166666666666696</v>
      </c>
      <c r="Y28" s="106"/>
      <c r="Z28" s="102"/>
      <c r="AA28" s="102"/>
      <c r="AB28" s="45" t="str">
        <f t="shared" si="18"/>
        <v/>
      </c>
      <c r="AC28" s="45" t="str">
        <f t="shared" si="1"/>
        <v/>
      </c>
      <c r="AD28" s="81"/>
      <c r="AE28" s="9" t="str">
        <f>IF(S28="","",IF(COUNTA(Z28:$Z$39)=1,IF(COUNTA(AD28:$AD$39)=1,""," ; "),IF(COUNTA(AD28:$AD$39)=1,IF(Z28="",""," ; ")," ; ")))</f>
        <v/>
      </c>
      <c r="AF28" s="9" t="str">
        <f t="shared" si="2"/>
        <v/>
      </c>
      <c r="AG28" s="90" t="str">
        <f t="shared" si="3"/>
        <v/>
      </c>
      <c r="AH28" s="204" t="s">
        <v>278</v>
      </c>
      <c r="AJ28" s="206">
        <f t="shared" si="19"/>
        <v>500</v>
      </c>
      <c r="AK28" s="206">
        <f t="shared" si="19"/>
        <v>100</v>
      </c>
      <c r="AL28" s="206">
        <f t="shared" si="19"/>
        <v>2</v>
      </c>
      <c r="AM28" s="213">
        <f t="shared" si="19"/>
        <v>0.875</v>
      </c>
      <c r="AN28" s="214">
        <f t="shared" si="19"/>
        <v>0.63607464142166403</v>
      </c>
      <c r="AO28" s="215">
        <f t="shared" si="4"/>
        <v>-14.7</v>
      </c>
      <c r="AP28" s="216">
        <f t="shared" si="5"/>
        <v>1</v>
      </c>
      <c r="AQ28" s="216">
        <f t="shared" si="6"/>
        <v>1</v>
      </c>
      <c r="AR28" s="215">
        <f t="shared" si="20"/>
        <v>158.47</v>
      </c>
      <c r="AS28" s="216">
        <f t="shared" si="7"/>
        <v>0.9723448696087954</v>
      </c>
      <c r="AT28" s="216">
        <f t="shared" si="8"/>
        <v>1.2538510821608391</v>
      </c>
      <c r="AU28" s="216">
        <f t="shared" si="9"/>
        <v>2.2360679774997898</v>
      </c>
      <c r="AV28" s="217">
        <f t="shared" si="10"/>
        <v>10.368348541764712</v>
      </c>
      <c r="AW28" s="216">
        <f t="shared" si="11"/>
        <v>0</v>
      </c>
      <c r="AX28" s="218">
        <f t="shared" si="12"/>
        <v>1.4831709199797398</v>
      </c>
      <c r="AY28" s="216">
        <f t="shared" si="13"/>
        <v>0.77643477842613629</v>
      </c>
      <c r="AZ28" s="217">
        <f t="shared" si="14"/>
        <v>3.5883638597441294</v>
      </c>
      <c r="BA28" s="216">
        <f t="shared" si="15"/>
        <v>0</v>
      </c>
      <c r="BB28" s="216">
        <f t="shared" si="16"/>
        <v>1.0016542390239327</v>
      </c>
      <c r="BC28" s="216">
        <f t="shared" si="17"/>
        <v>1</v>
      </c>
    </row>
    <row r="29" spans="1:55" ht="20.100000000000001" customHeight="1" x14ac:dyDescent="0.2">
      <c r="A29" s="45">
        <v>0.58333333333333304</v>
      </c>
      <c r="B29" s="451"/>
      <c r="C29" s="451"/>
      <c r="D29" s="451">
        <v>6.8</v>
      </c>
      <c r="E29" s="451">
        <v>56.6</v>
      </c>
      <c r="F29" s="41">
        <v>1980</v>
      </c>
      <c r="G29" s="37">
        <v>-5.5</v>
      </c>
      <c r="H29" s="37">
        <v>71.900000000000006</v>
      </c>
      <c r="I29" s="37">
        <v>21.7</v>
      </c>
      <c r="J29" s="41">
        <v>117</v>
      </c>
      <c r="K29" s="37">
        <v>13</v>
      </c>
      <c r="L29" s="451">
        <v>128</v>
      </c>
      <c r="M29" s="451">
        <v>225</v>
      </c>
      <c r="N29" s="451">
        <v>90</v>
      </c>
      <c r="O29" s="353">
        <v>50</v>
      </c>
      <c r="P29" s="353">
        <v>11</v>
      </c>
      <c r="Q29" s="353">
        <v>238.04</v>
      </c>
      <c r="R29" s="37"/>
      <c r="S29" s="508" t="str">
        <f t="shared" si="0"/>
        <v/>
      </c>
      <c r="T29" s="508"/>
      <c r="U29" s="508"/>
      <c r="V29" s="508"/>
      <c r="X29" s="45">
        <v>0.58333333333333304</v>
      </c>
      <c r="Y29" s="106"/>
      <c r="Z29" s="102"/>
      <c r="AA29" s="102"/>
      <c r="AB29" s="45" t="str">
        <f t="shared" si="18"/>
        <v/>
      </c>
      <c r="AC29" s="45" t="str">
        <f t="shared" si="1"/>
        <v/>
      </c>
      <c r="AD29" s="81"/>
      <c r="AE29" s="9" t="str">
        <f>IF(S29="","",IF(COUNTA(Z29:$Z$39)=1,IF(COUNTA(AD29:$AD$39)=1,""," ; "),IF(COUNTA(AD29:$AD$39)=1,IF(Z29="",""," ; ")," ; ")))</f>
        <v/>
      </c>
      <c r="AF29" s="9" t="str">
        <f t="shared" si="2"/>
        <v/>
      </c>
      <c r="AG29" s="90" t="str">
        <f t="shared" si="3"/>
        <v/>
      </c>
      <c r="AH29" s="204" t="s">
        <v>224</v>
      </c>
      <c r="AJ29" s="206">
        <f t="shared" si="19"/>
        <v>500</v>
      </c>
      <c r="AK29" s="206">
        <f t="shared" si="19"/>
        <v>100</v>
      </c>
      <c r="AL29" s="206">
        <f t="shared" si="19"/>
        <v>2</v>
      </c>
      <c r="AM29" s="213">
        <f t="shared" si="19"/>
        <v>0.875</v>
      </c>
      <c r="AN29" s="214">
        <f t="shared" si="19"/>
        <v>0.63607464142166403</v>
      </c>
      <c r="AO29" s="215">
        <f t="shared" si="4"/>
        <v>-14.7</v>
      </c>
      <c r="AP29" s="216">
        <f t="shared" si="5"/>
        <v>1</v>
      </c>
      <c r="AQ29" s="216">
        <f t="shared" si="6"/>
        <v>1</v>
      </c>
      <c r="AR29" s="215">
        <f t="shared" si="20"/>
        <v>158.47</v>
      </c>
      <c r="AS29" s="216">
        <f t="shared" si="7"/>
        <v>0.9723448696087954</v>
      </c>
      <c r="AT29" s="216">
        <f t="shared" si="8"/>
        <v>1.2538510821608391</v>
      </c>
      <c r="AU29" s="216">
        <f t="shared" si="9"/>
        <v>2.2360679774997898</v>
      </c>
      <c r="AV29" s="217">
        <f t="shared" si="10"/>
        <v>10.368348541764712</v>
      </c>
      <c r="AW29" s="216">
        <f t="shared" si="11"/>
        <v>0</v>
      </c>
      <c r="AX29" s="218">
        <f t="shared" si="12"/>
        <v>1.4831709199797398</v>
      </c>
      <c r="AY29" s="216">
        <f t="shared" si="13"/>
        <v>0.77643477842613629</v>
      </c>
      <c r="AZ29" s="217">
        <f t="shared" si="14"/>
        <v>3.5883638597441294</v>
      </c>
      <c r="BA29" s="216">
        <f t="shared" si="15"/>
        <v>0</v>
      </c>
      <c r="BB29" s="216">
        <f t="shared" si="16"/>
        <v>1.0016542390239327</v>
      </c>
      <c r="BC29" s="216">
        <f t="shared" si="17"/>
        <v>1</v>
      </c>
    </row>
    <row r="30" spans="1:55" ht="20.100000000000001" customHeight="1" x14ac:dyDescent="0.2">
      <c r="A30" s="45">
        <v>0.625</v>
      </c>
      <c r="B30" s="451"/>
      <c r="C30" s="451"/>
      <c r="D30" s="451">
        <v>6.5</v>
      </c>
      <c r="E30" s="451">
        <v>56.3</v>
      </c>
      <c r="F30" s="41">
        <v>1973</v>
      </c>
      <c r="G30" s="37">
        <v>-5.5</v>
      </c>
      <c r="H30" s="37">
        <v>71</v>
      </c>
      <c r="I30" s="37">
        <v>21.5</v>
      </c>
      <c r="J30" s="41">
        <v>118</v>
      </c>
      <c r="K30" s="37">
        <v>13</v>
      </c>
      <c r="L30" s="451">
        <v>131</v>
      </c>
      <c r="M30" s="451">
        <v>225</v>
      </c>
      <c r="N30" s="451">
        <v>90</v>
      </c>
      <c r="O30" s="353">
        <v>50</v>
      </c>
      <c r="P30" s="353">
        <v>11</v>
      </c>
      <c r="Q30" s="353">
        <v>238.04</v>
      </c>
      <c r="R30" s="37"/>
      <c r="S30" s="508" t="str">
        <f t="shared" si="0"/>
        <v/>
      </c>
      <c r="T30" s="508"/>
      <c r="U30" s="508"/>
      <c r="V30" s="508"/>
      <c r="X30" s="45">
        <v>0.625</v>
      </c>
      <c r="Y30" s="106"/>
      <c r="Z30" s="102"/>
      <c r="AA30" s="102"/>
      <c r="AB30" s="45" t="str">
        <f t="shared" si="18"/>
        <v/>
      </c>
      <c r="AC30" s="45" t="str">
        <f t="shared" si="1"/>
        <v/>
      </c>
      <c r="AD30" s="81"/>
      <c r="AE30" s="9" t="str">
        <f>IF(S30="","",IF(COUNTA(Z30:$Z$39)=1,IF(COUNTA(AD30:$AD$39)=1,""," ; "),IF(COUNTA(AD30:$AD$39)=1,IF(Z30="",""," ; ")," ; ")))</f>
        <v/>
      </c>
      <c r="AF30" s="9" t="str">
        <f t="shared" si="2"/>
        <v/>
      </c>
      <c r="AG30" s="90" t="str">
        <f t="shared" si="3"/>
        <v/>
      </c>
      <c r="AH30" s="204" t="s">
        <v>260</v>
      </c>
      <c r="AJ30" s="206">
        <f t="shared" si="19"/>
        <v>500</v>
      </c>
      <c r="AK30" s="206">
        <f t="shared" si="19"/>
        <v>100</v>
      </c>
      <c r="AL30" s="206">
        <f t="shared" si="19"/>
        <v>2</v>
      </c>
      <c r="AM30" s="213">
        <f t="shared" si="19"/>
        <v>0.875</v>
      </c>
      <c r="AN30" s="214">
        <f t="shared" si="19"/>
        <v>0.63607464142166403</v>
      </c>
      <c r="AO30" s="215">
        <f t="shared" si="4"/>
        <v>-14.7</v>
      </c>
      <c r="AP30" s="216">
        <f t="shared" si="5"/>
        <v>1</v>
      </c>
      <c r="AQ30" s="216">
        <f t="shared" si="6"/>
        <v>1</v>
      </c>
      <c r="AR30" s="215">
        <f t="shared" si="20"/>
        <v>158.47</v>
      </c>
      <c r="AS30" s="216">
        <f t="shared" si="7"/>
        <v>0.9723448696087954</v>
      </c>
      <c r="AT30" s="216">
        <f t="shared" si="8"/>
        <v>1.2538510821608391</v>
      </c>
      <c r="AU30" s="216">
        <f t="shared" si="9"/>
        <v>2.2360679774997898</v>
      </c>
      <c r="AV30" s="217">
        <f t="shared" si="10"/>
        <v>10.368348541764712</v>
      </c>
      <c r="AW30" s="216">
        <f t="shared" si="11"/>
        <v>0</v>
      </c>
      <c r="AX30" s="218">
        <f t="shared" si="12"/>
        <v>1.4831709199797398</v>
      </c>
      <c r="AY30" s="216">
        <f t="shared" si="13"/>
        <v>0.77643477842613629</v>
      </c>
      <c r="AZ30" s="217">
        <f t="shared" si="14"/>
        <v>3.5883638597441294</v>
      </c>
      <c r="BA30" s="216">
        <f t="shared" si="15"/>
        <v>0</v>
      </c>
      <c r="BB30" s="216">
        <f t="shared" si="16"/>
        <v>1.0016542390239327</v>
      </c>
      <c r="BC30" s="216">
        <f t="shared" si="17"/>
        <v>1</v>
      </c>
    </row>
    <row r="31" spans="1:55" ht="20.100000000000001" customHeight="1" x14ac:dyDescent="0.2">
      <c r="A31" s="45">
        <v>0.66666666666666696</v>
      </c>
      <c r="B31" s="451"/>
      <c r="C31" s="451"/>
      <c r="D31" s="451">
        <v>7.2</v>
      </c>
      <c r="E31" s="451">
        <v>57.1</v>
      </c>
      <c r="F31" s="41">
        <v>1942</v>
      </c>
      <c r="G31" s="37">
        <v>-5.5</v>
      </c>
      <c r="H31" s="37">
        <v>71.599999999999994</v>
      </c>
      <c r="I31" s="37">
        <v>21.7</v>
      </c>
      <c r="J31" s="41">
        <v>119</v>
      </c>
      <c r="K31" s="37">
        <v>13</v>
      </c>
      <c r="L31" s="451">
        <v>131</v>
      </c>
      <c r="M31" s="451">
        <v>226</v>
      </c>
      <c r="N31" s="451">
        <v>90</v>
      </c>
      <c r="O31" s="353">
        <v>60</v>
      </c>
      <c r="P31" s="353">
        <v>8</v>
      </c>
      <c r="Q31" s="353">
        <v>218.63</v>
      </c>
      <c r="R31" s="37"/>
      <c r="S31" s="508" t="str">
        <f t="shared" si="0"/>
        <v/>
      </c>
      <c r="T31" s="508"/>
      <c r="U31" s="508"/>
      <c r="V31" s="508"/>
      <c r="X31" s="45">
        <v>0.66666666666666696</v>
      </c>
      <c r="Y31" s="106"/>
      <c r="Z31" s="102"/>
      <c r="AA31" s="102"/>
      <c r="AB31" s="45" t="str">
        <f t="shared" si="18"/>
        <v/>
      </c>
      <c r="AC31" s="45" t="str">
        <f t="shared" si="1"/>
        <v/>
      </c>
      <c r="AD31" s="81"/>
      <c r="AE31" s="9" t="str">
        <f>IF(S31="","",IF(COUNTA(Z31:$Z$39)=1,IF(COUNTA(AD31:$AD$39)=1,""," ; "),IF(COUNTA(AD31:$AD$39)=1,IF(Z31="",""," ; ")," ; ")))</f>
        <v/>
      </c>
      <c r="AF31" s="9" t="str">
        <f t="shared" si="2"/>
        <v/>
      </c>
      <c r="AG31" s="90" t="str">
        <f t="shared" si="3"/>
        <v/>
      </c>
      <c r="AH31" s="204" t="s">
        <v>226</v>
      </c>
      <c r="AJ31" s="206">
        <f t="shared" si="19"/>
        <v>500</v>
      </c>
      <c r="AK31" s="206">
        <f t="shared" si="19"/>
        <v>100</v>
      </c>
      <c r="AL31" s="206">
        <f t="shared" si="19"/>
        <v>2</v>
      </c>
      <c r="AM31" s="213">
        <f t="shared" si="19"/>
        <v>0.875</v>
      </c>
      <c r="AN31" s="214">
        <f t="shared" si="19"/>
        <v>0.63607464142166403</v>
      </c>
      <c r="AO31" s="215">
        <f t="shared" si="4"/>
        <v>-14.7</v>
      </c>
      <c r="AP31" s="216">
        <f t="shared" si="5"/>
        <v>1</v>
      </c>
      <c r="AQ31" s="216">
        <f t="shared" si="6"/>
        <v>1</v>
      </c>
      <c r="AR31" s="215">
        <f t="shared" si="20"/>
        <v>158.47</v>
      </c>
      <c r="AS31" s="216">
        <f t="shared" si="7"/>
        <v>0.9723448696087954</v>
      </c>
      <c r="AT31" s="216">
        <f t="shared" si="8"/>
        <v>1.2538510821608391</v>
      </c>
      <c r="AU31" s="216">
        <f t="shared" si="9"/>
        <v>2.2360679774997898</v>
      </c>
      <c r="AV31" s="217">
        <f t="shared" si="10"/>
        <v>10.368348541764712</v>
      </c>
      <c r="AW31" s="216">
        <f t="shared" si="11"/>
        <v>0</v>
      </c>
      <c r="AX31" s="218">
        <f t="shared" si="12"/>
        <v>1.4831709199797398</v>
      </c>
      <c r="AY31" s="216">
        <f t="shared" si="13"/>
        <v>0.77643477842613629</v>
      </c>
      <c r="AZ31" s="217">
        <f t="shared" si="14"/>
        <v>3.5883638597441294</v>
      </c>
      <c r="BA31" s="216">
        <f t="shared" si="15"/>
        <v>0</v>
      </c>
      <c r="BB31" s="216">
        <f t="shared" si="16"/>
        <v>1.0016542390239327</v>
      </c>
      <c r="BC31" s="216">
        <f t="shared" si="17"/>
        <v>1</v>
      </c>
    </row>
    <row r="32" spans="1:55" ht="20.100000000000001" customHeight="1" x14ac:dyDescent="0.2">
      <c r="A32" s="45">
        <v>0.70833333333333304</v>
      </c>
      <c r="B32" s="451"/>
      <c r="C32" s="451"/>
      <c r="D32" s="451">
        <v>6.3</v>
      </c>
      <c r="E32" s="451">
        <v>57.8</v>
      </c>
      <c r="F32" s="41">
        <v>1962</v>
      </c>
      <c r="G32" s="37">
        <v>-5.5</v>
      </c>
      <c r="H32" s="37">
        <v>71.2</v>
      </c>
      <c r="I32" s="37">
        <v>21.2</v>
      </c>
      <c r="J32" s="41">
        <v>120</v>
      </c>
      <c r="K32" s="37">
        <v>13</v>
      </c>
      <c r="L32" s="451">
        <v>129</v>
      </c>
      <c r="M32" s="451">
        <v>226</v>
      </c>
      <c r="N32" s="451">
        <v>90</v>
      </c>
      <c r="O32" s="353">
        <v>60</v>
      </c>
      <c r="P32" s="353">
        <v>6</v>
      </c>
      <c r="Q32" s="353">
        <v>189.56</v>
      </c>
      <c r="R32" s="37"/>
      <c r="S32" s="508" t="str">
        <f t="shared" si="0"/>
        <v/>
      </c>
      <c r="T32" s="508"/>
      <c r="U32" s="508"/>
      <c r="V32" s="508"/>
      <c r="X32" s="45">
        <v>0.70833333333333304</v>
      </c>
      <c r="Y32" s="106"/>
      <c r="Z32" s="102"/>
      <c r="AA32" s="102"/>
      <c r="AB32" s="45" t="str">
        <f t="shared" si="18"/>
        <v/>
      </c>
      <c r="AC32" s="45" t="str">
        <f t="shared" si="1"/>
        <v/>
      </c>
      <c r="AD32" s="81"/>
      <c r="AE32" s="9" t="str">
        <f>IF(S32="","",IF(COUNTA(Z32:$Z$39)=1,IF(COUNTA(AD32:$AD$39)=1,""," ; "),IF(COUNTA(AD32:$AD$39)=1,IF(Z32="",""," ; ")," ; ")))</f>
        <v/>
      </c>
      <c r="AF32" s="9" t="str">
        <f t="shared" si="2"/>
        <v/>
      </c>
      <c r="AG32" s="90" t="str">
        <f t="shared" si="3"/>
        <v/>
      </c>
      <c r="AH32" s="204" t="s">
        <v>313</v>
      </c>
      <c r="AJ32" s="206">
        <f t="shared" si="19"/>
        <v>500</v>
      </c>
      <c r="AK32" s="206">
        <f t="shared" si="19"/>
        <v>100</v>
      </c>
      <c r="AL32" s="206">
        <f t="shared" si="19"/>
        <v>2</v>
      </c>
      <c r="AM32" s="213">
        <f t="shared" si="19"/>
        <v>0.875</v>
      </c>
      <c r="AN32" s="214">
        <f t="shared" si="19"/>
        <v>0.63607464142166403</v>
      </c>
      <c r="AO32" s="215">
        <f t="shared" si="4"/>
        <v>-14.7</v>
      </c>
      <c r="AP32" s="216">
        <f t="shared" si="5"/>
        <v>1</v>
      </c>
      <c r="AQ32" s="216">
        <f t="shared" si="6"/>
        <v>1</v>
      </c>
      <c r="AR32" s="215">
        <f t="shared" si="20"/>
        <v>158.47</v>
      </c>
      <c r="AS32" s="216">
        <f t="shared" si="7"/>
        <v>0.9723448696087954</v>
      </c>
      <c r="AT32" s="216">
        <f t="shared" si="8"/>
        <v>1.2538510821608391</v>
      </c>
      <c r="AU32" s="216">
        <f t="shared" si="9"/>
        <v>2.2360679774997898</v>
      </c>
      <c r="AV32" s="217">
        <f t="shared" si="10"/>
        <v>10.368348541764712</v>
      </c>
      <c r="AW32" s="216">
        <f t="shared" si="11"/>
        <v>0</v>
      </c>
      <c r="AX32" s="218">
        <f t="shared" si="12"/>
        <v>1.4831709199797398</v>
      </c>
      <c r="AY32" s="216">
        <f t="shared" si="13"/>
        <v>0.77643477842613629</v>
      </c>
      <c r="AZ32" s="217">
        <f t="shared" si="14"/>
        <v>3.5883638597441294</v>
      </c>
      <c r="BA32" s="216">
        <f t="shared" si="15"/>
        <v>0</v>
      </c>
      <c r="BB32" s="216">
        <f t="shared" si="16"/>
        <v>1.0016542390239327</v>
      </c>
      <c r="BC32" s="216">
        <f t="shared" si="17"/>
        <v>1</v>
      </c>
    </row>
    <row r="33" spans="1:55" ht="20.100000000000001" customHeight="1" x14ac:dyDescent="0.2">
      <c r="A33" s="45">
        <v>0.75</v>
      </c>
      <c r="B33" s="451"/>
      <c r="C33" s="451"/>
      <c r="D33" s="451">
        <v>6.9</v>
      </c>
      <c r="E33" s="451">
        <v>56.9</v>
      </c>
      <c r="F33" s="41">
        <v>1951</v>
      </c>
      <c r="G33" s="37">
        <v>-5.5</v>
      </c>
      <c r="H33" s="37">
        <v>71.099999999999994</v>
      </c>
      <c r="I33" s="37">
        <v>21</v>
      </c>
      <c r="J33" s="41">
        <v>121</v>
      </c>
      <c r="K33" s="37">
        <v>13</v>
      </c>
      <c r="L33" s="451">
        <v>128</v>
      </c>
      <c r="M33" s="451">
        <v>226</v>
      </c>
      <c r="N33" s="451">
        <v>90</v>
      </c>
      <c r="O33" s="353">
        <v>60</v>
      </c>
      <c r="P33" s="353">
        <v>7</v>
      </c>
      <c r="Q33" s="353">
        <v>204.62</v>
      </c>
      <c r="R33" s="37"/>
      <c r="S33" s="508" t="str">
        <f>IF(Z33="",IF(AD33="","",AD33),CONCATENATE(TEXT(Z33,"[hh]:mm"),IF(AA33="",""," - "&amp;TEXT(AA33,"[hh]:mm")),IF(Y33="",""," "&amp;Y33&amp;"/")," "&amp;AD33))</f>
        <v/>
      </c>
      <c r="T33" s="508"/>
      <c r="U33" s="508"/>
      <c r="V33" s="508"/>
      <c r="X33" s="45">
        <v>0.75</v>
      </c>
      <c r="Y33" s="106"/>
      <c r="Z33" s="102"/>
      <c r="AA33" s="102"/>
      <c r="AB33" s="45" t="str">
        <f t="shared" si="18"/>
        <v/>
      </c>
      <c r="AC33" s="45" t="str">
        <f t="shared" si="1"/>
        <v/>
      </c>
      <c r="AD33" s="81"/>
      <c r="AE33" s="9" t="str">
        <f>IF(S33="","",IF(COUNTA(Z33:$Z$39)=1,IF(COUNTA(AD33:$AD$39)=1,""," ; "),IF(COUNTA(AD33:$AD$39)=1,IF(Z33="",""," ; ")," ; ")))</f>
        <v/>
      </c>
      <c r="AF33" s="9" t="str">
        <f t="shared" si="2"/>
        <v/>
      </c>
      <c r="AG33" s="90" t="str">
        <f t="shared" si="3"/>
        <v/>
      </c>
      <c r="AH33" s="204" t="s">
        <v>308</v>
      </c>
      <c r="AJ33" s="206">
        <f t="shared" ref="AJ33:AN39" si="21">AJ32</f>
        <v>500</v>
      </c>
      <c r="AK33" s="206">
        <f t="shared" si="21"/>
        <v>100</v>
      </c>
      <c r="AL33" s="206">
        <f t="shared" si="21"/>
        <v>2</v>
      </c>
      <c r="AM33" s="213">
        <f t="shared" si="21"/>
        <v>0.875</v>
      </c>
      <c r="AN33" s="214">
        <f t="shared" si="21"/>
        <v>0.63607464142166403</v>
      </c>
      <c r="AO33" s="215">
        <f t="shared" si="4"/>
        <v>-14.7</v>
      </c>
      <c r="AP33" s="216">
        <f t="shared" si="5"/>
        <v>1</v>
      </c>
      <c r="AQ33" s="216">
        <f t="shared" si="6"/>
        <v>1</v>
      </c>
      <c r="AR33" s="215">
        <f t="shared" si="20"/>
        <v>158.47</v>
      </c>
      <c r="AS33" s="216">
        <f t="shared" si="7"/>
        <v>0.9723448696087954</v>
      </c>
      <c r="AT33" s="216">
        <f t="shared" si="8"/>
        <v>1.2538510821608391</v>
      </c>
      <c r="AU33" s="216">
        <f t="shared" si="9"/>
        <v>2.2360679774997898</v>
      </c>
      <c r="AV33" s="217">
        <f t="shared" si="10"/>
        <v>10.368348541764712</v>
      </c>
      <c r="AW33" s="216">
        <f t="shared" si="11"/>
        <v>0</v>
      </c>
      <c r="AX33" s="218">
        <f t="shared" si="12"/>
        <v>1.4831709199797398</v>
      </c>
      <c r="AY33" s="216">
        <f t="shared" si="13"/>
        <v>0.77643477842613629</v>
      </c>
      <c r="AZ33" s="217">
        <f t="shared" si="14"/>
        <v>3.5883638597441294</v>
      </c>
      <c r="BA33" s="216">
        <f t="shared" si="15"/>
        <v>0</v>
      </c>
      <c r="BB33" s="216">
        <f t="shared" si="16"/>
        <v>1.0016542390239327</v>
      </c>
      <c r="BC33" s="216">
        <f t="shared" si="17"/>
        <v>1</v>
      </c>
    </row>
    <row r="34" spans="1:55" ht="20.100000000000001" customHeight="1" x14ac:dyDescent="0.2">
      <c r="A34" s="45">
        <v>0.79166666666666696</v>
      </c>
      <c r="B34" s="451"/>
      <c r="C34" s="451"/>
      <c r="D34" s="451">
        <v>7.2</v>
      </c>
      <c r="E34" s="451">
        <v>57.2</v>
      </c>
      <c r="F34" s="41">
        <v>1973</v>
      </c>
      <c r="G34" s="37">
        <v>-5.5</v>
      </c>
      <c r="H34" s="37">
        <v>71.599999999999994</v>
      </c>
      <c r="I34" s="37">
        <v>21.6</v>
      </c>
      <c r="J34" s="41">
        <v>122</v>
      </c>
      <c r="K34" s="37">
        <v>13</v>
      </c>
      <c r="L34" s="451">
        <v>127</v>
      </c>
      <c r="M34" s="451">
        <v>226</v>
      </c>
      <c r="N34" s="451">
        <v>90</v>
      </c>
      <c r="O34" s="353">
        <v>65</v>
      </c>
      <c r="P34" s="353">
        <v>7</v>
      </c>
      <c r="Q34" s="353">
        <v>211.46</v>
      </c>
      <c r="R34" s="37"/>
      <c r="S34" s="508" t="str">
        <f t="shared" ref="S34:S39" si="22">IF(Z34="",IF(AD34="","",AD34),CONCATENATE(TEXT(Z34,"[hh]:mm"),IF(AA34="",""," - "&amp;TEXT(AA34,"[hh]:mm")),IF(Y34="",""," "&amp;Y34&amp;"/")," "&amp;AD34))</f>
        <v/>
      </c>
      <c r="T34" s="508"/>
      <c r="U34" s="508"/>
      <c r="V34" s="508"/>
      <c r="X34" s="45">
        <v>0.79166666666666696</v>
      </c>
      <c r="Y34" s="106"/>
      <c r="Z34" s="102"/>
      <c r="AA34" s="102"/>
      <c r="AB34" s="45" t="str">
        <f t="shared" si="18"/>
        <v/>
      </c>
      <c r="AC34" s="45" t="str">
        <f t="shared" si="1"/>
        <v/>
      </c>
      <c r="AD34" s="81"/>
      <c r="AE34" s="9" t="str">
        <f>IF(S34="","",IF(COUNTA(Z34:$Z$39)=1,IF(COUNTA(AD34:$AD$39)=1,""," ; "),IF(COUNTA(AD34:$AD$39)=1,IF(Z34="",""," ; ")," ; ")))</f>
        <v/>
      </c>
      <c r="AF34" s="9" t="str">
        <f t="shared" si="2"/>
        <v/>
      </c>
      <c r="AG34" s="90" t="str">
        <f t="shared" si="3"/>
        <v/>
      </c>
      <c r="AH34" s="204" t="s">
        <v>314</v>
      </c>
      <c r="AJ34" s="206">
        <f t="shared" si="21"/>
        <v>500</v>
      </c>
      <c r="AK34" s="206">
        <f t="shared" si="21"/>
        <v>100</v>
      </c>
      <c r="AL34" s="206">
        <f t="shared" si="21"/>
        <v>2</v>
      </c>
      <c r="AM34" s="213">
        <f t="shared" si="21"/>
        <v>0.875</v>
      </c>
      <c r="AN34" s="214">
        <f t="shared" si="21"/>
        <v>0.63607464142166403</v>
      </c>
      <c r="AO34" s="215">
        <f t="shared" si="4"/>
        <v>-14.7</v>
      </c>
      <c r="AP34" s="216">
        <f t="shared" si="5"/>
        <v>1</v>
      </c>
      <c r="AQ34" s="216">
        <f t="shared" si="6"/>
        <v>1</v>
      </c>
      <c r="AR34" s="215">
        <f t="shared" si="20"/>
        <v>158.47</v>
      </c>
      <c r="AS34" s="216">
        <f t="shared" si="7"/>
        <v>0.9723448696087954</v>
      </c>
      <c r="AT34" s="216">
        <f t="shared" si="8"/>
        <v>1.2538510821608391</v>
      </c>
      <c r="AU34" s="216">
        <f t="shared" si="9"/>
        <v>2.2360679774997898</v>
      </c>
      <c r="AV34" s="217">
        <f t="shared" si="10"/>
        <v>10.368348541764712</v>
      </c>
      <c r="AW34" s="216">
        <f t="shared" si="11"/>
        <v>0</v>
      </c>
      <c r="AX34" s="218">
        <f t="shared" si="12"/>
        <v>1.4831709199797398</v>
      </c>
      <c r="AY34" s="216">
        <f t="shared" si="13"/>
        <v>0.77643477842613629</v>
      </c>
      <c r="AZ34" s="217">
        <f t="shared" si="14"/>
        <v>3.5883638597441294</v>
      </c>
      <c r="BA34" s="216">
        <f t="shared" si="15"/>
        <v>0</v>
      </c>
      <c r="BB34" s="216">
        <f t="shared" si="16"/>
        <v>1.0016542390239327</v>
      </c>
      <c r="BC34" s="216">
        <f t="shared" si="17"/>
        <v>1</v>
      </c>
    </row>
    <row r="35" spans="1:55" ht="20.100000000000001" customHeight="1" x14ac:dyDescent="0.2">
      <c r="A35" s="45">
        <v>0.83333333333333304</v>
      </c>
      <c r="B35" s="451"/>
      <c r="C35" s="451"/>
      <c r="D35" s="451">
        <v>6.5</v>
      </c>
      <c r="E35" s="451">
        <v>56.4</v>
      </c>
      <c r="F35" s="41">
        <v>1920</v>
      </c>
      <c r="G35" s="37">
        <v>-5.5</v>
      </c>
      <c r="H35" s="37">
        <v>71.400000000000006</v>
      </c>
      <c r="I35" s="37">
        <v>21.4</v>
      </c>
      <c r="J35" s="41">
        <v>123</v>
      </c>
      <c r="K35" s="37">
        <v>13</v>
      </c>
      <c r="L35" s="451">
        <v>125</v>
      </c>
      <c r="M35" s="451">
        <v>222</v>
      </c>
      <c r="N35" s="451">
        <v>90</v>
      </c>
      <c r="O35" s="353">
        <v>65</v>
      </c>
      <c r="P35" s="353">
        <v>7</v>
      </c>
      <c r="Q35" s="353">
        <v>211.46</v>
      </c>
      <c r="R35" s="37"/>
      <c r="S35" s="508" t="str">
        <f t="shared" si="22"/>
        <v/>
      </c>
      <c r="T35" s="508"/>
      <c r="U35" s="508"/>
      <c r="V35" s="508"/>
      <c r="X35" s="45">
        <v>0.83333333333333304</v>
      </c>
      <c r="Y35" s="106"/>
      <c r="Z35" s="102"/>
      <c r="AA35" s="102"/>
      <c r="AB35" s="45" t="str">
        <f t="shared" si="18"/>
        <v/>
      </c>
      <c r="AC35" s="45" t="str">
        <f t="shared" si="1"/>
        <v/>
      </c>
      <c r="AD35" s="81"/>
      <c r="AE35" s="9" t="str">
        <f>IF(S35="","",IF(COUNTA(Z35:$Z$39)=1,IF(COUNTA(AD35:$AD$39)=1,""," ; "),IF(COUNTA(AD35:$AD$39)=1,IF(Z35="",""," ; ")," ; ")))</f>
        <v/>
      </c>
      <c r="AF35" s="9" t="str">
        <f t="shared" si="2"/>
        <v/>
      </c>
      <c r="AG35" s="90" t="str">
        <f t="shared" si="3"/>
        <v/>
      </c>
      <c r="AH35" s="204" t="s">
        <v>227</v>
      </c>
      <c r="AJ35" s="206">
        <f t="shared" si="21"/>
        <v>500</v>
      </c>
      <c r="AK35" s="206">
        <f t="shared" si="21"/>
        <v>100</v>
      </c>
      <c r="AL35" s="206">
        <f t="shared" si="21"/>
        <v>2</v>
      </c>
      <c r="AM35" s="213">
        <f t="shared" si="21"/>
        <v>0.875</v>
      </c>
      <c r="AN35" s="214">
        <f t="shared" si="21"/>
        <v>0.63607464142166403</v>
      </c>
      <c r="AO35" s="215">
        <f t="shared" si="4"/>
        <v>-14.7</v>
      </c>
      <c r="AP35" s="216">
        <f t="shared" si="5"/>
        <v>1</v>
      </c>
      <c r="AQ35" s="216">
        <f t="shared" si="6"/>
        <v>1</v>
      </c>
      <c r="AR35" s="215">
        <f t="shared" si="20"/>
        <v>158.47</v>
      </c>
      <c r="AS35" s="216">
        <f t="shared" si="7"/>
        <v>0.9723448696087954</v>
      </c>
      <c r="AT35" s="216">
        <f t="shared" si="8"/>
        <v>1.2538510821608391</v>
      </c>
      <c r="AU35" s="216">
        <f t="shared" si="9"/>
        <v>2.2360679774997898</v>
      </c>
      <c r="AV35" s="217">
        <f t="shared" si="10"/>
        <v>10.368348541764712</v>
      </c>
      <c r="AW35" s="216">
        <f t="shared" si="11"/>
        <v>0</v>
      </c>
      <c r="AX35" s="218">
        <f t="shared" si="12"/>
        <v>1.4831709199797398</v>
      </c>
      <c r="AY35" s="216">
        <f t="shared" si="13"/>
        <v>0.77643477842613629</v>
      </c>
      <c r="AZ35" s="217">
        <f t="shared" si="14"/>
        <v>3.5883638597441294</v>
      </c>
      <c r="BA35" s="216">
        <f t="shared" si="15"/>
        <v>0</v>
      </c>
      <c r="BB35" s="216">
        <f t="shared" si="16"/>
        <v>1.0016542390239327</v>
      </c>
      <c r="BC35" s="216">
        <f t="shared" si="17"/>
        <v>1</v>
      </c>
    </row>
    <row r="36" spans="1:55" ht="20.100000000000001" customHeight="1" x14ac:dyDescent="0.2">
      <c r="A36" s="45">
        <v>0.875</v>
      </c>
      <c r="B36" s="451"/>
      <c r="C36" s="451"/>
      <c r="D36" s="451">
        <v>7.2</v>
      </c>
      <c r="E36" s="451">
        <v>58.2</v>
      </c>
      <c r="F36" s="41">
        <v>1922</v>
      </c>
      <c r="G36" s="37">
        <v>-5.5</v>
      </c>
      <c r="H36" s="37">
        <v>71.2</v>
      </c>
      <c r="I36" s="37">
        <v>21.6</v>
      </c>
      <c r="J36" s="41">
        <v>124</v>
      </c>
      <c r="K36" s="37">
        <v>13</v>
      </c>
      <c r="L36" s="451">
        <v>127</v>
      </c>
      <c r="M36" s="451">
        <v>220</v>
      </c>
      <c r="N36" s="451">
        <v>90</v>
      </c>
      <c r="O36" s="353">
        <v>65</v>
      </c>
      <c r="P36" s="353">
        <v>7</v>
      </c>
      <c r="Q36" s="353">
        <v>211.46</v>
      </c>
      <c r="R36" s="37"/>
      <c r="S36" s="508" t="str">
        <f t="shared" si="22"/>
        <v/>
      </c>
      <c r="T36" s="508"/>
      <c r="U36" s="508"/>
      <c r="V36" s="508"/>
      <c r="X36" s="45">
        <v>0.875</v>
      </c>
      <c r="Y36" s="106"/>
      <c r="Z36" s="102"/>
      <c r="AA36" s="102"/>
      <c r="AB36" s="45" t="str">
        <f t="shared" si="18"/>
        <v/>
      </c>
      <c r="AC36" s="45" t="str">
        <f t="shared" si="1"/>
        <v/>
      </c>
      <c r="AD36" s="81"/>
      <c r="AE36" s="9" t="str">
        <f>IF(S36="","",IF(COUNTA(Z36:$Z$39)=1,IF(COUNTA(AD36:$AD$39)=1,""," ; "),IF(COUNTA(AD36:$AD$39)=1,IF(Z36="",""," ; ")," ; ")))</f>
        <v/>
      </c>
      <c r="AF36" s="9" t="str">
        <f t="shared" si="2"/>
        <v/>
      </c>
      <c r="AG36" s="90" t="str">
        <f t="shared" si="3"/>
        <v/>
      </c>
      <c r="AH36" s="204" t="s">
        <v>309</v>
      </c>
      <c r="AJ36" s="206">
        <f t="shared" si="21"/>
        <v>500</v>
      </c>
      <c r="AK36" s="206">
        <f t="shared" si="21"/>
        <v>100</v>
      </c>
      <c r="AL36" s="206">
        <f t="shared" si="21"/>
        <v>2</v>
      </c>
      <c r="AM36" s="213">
        <f t="shared" si="21"/>
        <v>0.875</v>
      </c>
      <c r="AN36" s="214">
        <f t="shared" si="21"/>
        <v>0.63607464142166403</v>
      </c>
      <c r="AO36" s="215">
        <f t="shared" si="4"/>
        <v>-14.7</v>
      </c>
      <c r="AP36" s="216">
        <f t="shared" si="5"/>
        <v>1</v>
      </c>
      <c r="AQ36" s="216">
        <f t="shared" si="6"/>
        <v>1</v>
      </c>
      <c r="AR36" s="215">
        <f t="shared" si="20"/>
        <v>158.47</v>
      </c>
      <c r="AS36" s="216">
        <f t="shared" si="7"/>
        <v>0.9723448696087954</v>
      </c>
      <c r="AT36" s="216">
        <f t="shared" si="8"/>
        <v>1.2538510821608391</v>
      </c>
      <c r="AU36" s="216">
        <f t="shared" si="9"/>
        <v>2.2360679774997898</v>
      </c>
      <c r="AV36" s="217">
        <f t="shared" si="10"/>
        <v>10.368348541764712</v>
      </c>
      <c r="AW36" s="216">
        <f t="shared" si="11"/>
        <v>0</v>
      </c>
      <c r="AX36" s="218">
        <f t="shared" si="12"/>
        <v>1.4831709199797398</v>
      </c>
      <c r="AY36" s="216">
        <f t="shared" si="13"/>
        <v>0.77643477842613629</v>
      </c>
      <c r="AZ36" s="217">
        <f t="shared" si="14"/>
        <v>3.5883638597441294</v>
      </c>
      <c r="BA36" s="216">
        <f t="shared" si="15"/>
        <v>0</v>
      </c>
      <c r="BB36" s="216">
        <f t="shared" si="16"/>
        <v>1.0016542390239327</v>
      </c>
      <c r="BC36" s="216">
        <f t="shared" si="17"/>
        <v>1</v>
      </c>
    </row>
    <row r="37" spans="1:55" ht="20.100000000000001" customHeight="1" x14ac:dyDescent="0.2">
      <c r="A37" s="45">
        <v>0.91666666666666696</v>
      </c>
      <c r="B37" s="451"/>
      <c r="C37" s="451"/>
      <c r="D37" s="451">
        <v>7.4</v>
      </c>
      <c r="E37" s="451">
        <v>57.4</v>
      </c>
      <c r="F37" s="41">
        <v>1925</v>
      </c>
      <c r="G37" s="37">
        <v>-5.5</v>
      </c>
      <c r="H37" s="37">
        <v>71.3</v>
      </c>
      <c r="I37" s="37">
        <v>21.3</v>
      </c>
      <c r="J37" s="41">
        <v>125</v>
      </c>
      <c r="K37" s="37">
        <v>13</v>
      </c>
      <c r="L37" s="451">
        <v>127</v>
      </c>
      <c r="M37" s="451">
        <v>220</v>
      </c>
      <c r="N37" s="451">
        <v>90</v>
      </c>
      <c r="O37" s="353">
        <v>65</v>
      </c>
      <c r="P37" s="353">
        <v>6</v>
      </c>
      <c r="Q37" s="353">
        <v>195.9</v>
      </c>
      <c r="R37" s="37"/>
      <c r="S37" s="508" t="str">
        <f t="shared" si="22"/>
        <v/>
      </c>
      <c r="T37" s="508"/>
      <c r="U37" s="508"/>
      <c r="V37" s="508"/>
      <c r="X37" s="45">
        <v>0.91666666666666696</v>
      </c>
      <c r="Y37" s="106"/>
      <c r="Z37" s="102"/>
      <c r="AA37" s="102"/>
      <c r="AB37" s="45" t="str">
        <f t="shared" si="18"/>
        <v/>
      </c>
      <c r="AC37" s="45" t="str">
        <f t="shared" si="1"/>
        <v/>
      </c>
      <c r="AD37" s="81"/>
      <c r="AE37" s="9" t="str">
        <f>IF(S37="","",IF(COUNTA(Z37:$Z$39)=1,IF(COUNTA(AD37:$AD$39)=1,""," ; "),IF(COUNTA(AD37:$AD$39)=1,IF(Z37="",""," ; ")," ; ")))</f>
        <v/>
      </c>
      <c r="AF37" s="9" t="str">
        <f t="shared" si="2"/>
        <v/>
      </c>
      <c r="AG37" s="90" t="str">
        <f t="shared" si="3"/>
        <v/>
      </c>
      <c r="AH37" s="204" t="s">
        <v>319</v>
      </c>
      <c r="AJ37" s="206">
        <f t="shared" si="21"/>
        <v>500</v>
      </c>
      <c r="AK37" s="206">
        <f t="shared" si="21"/>
        <v>100</v>
      </c>
      <c r="AL37" s="206">
        <f t="shared" si="21"/>
        <v>2</v>
      </c>
      <c r="AM37" s="213">
        <f t="shared" si="21"/>
        <v>0.875</v>
      </c>
      <c r="AN37" s="214">
        <f t="shared" si="21"/>
        <v>0.63607464142166403</v>
      </c>
      <c r="AO37" s="215">
        <f t="shared" si="4"/>
        <v>-14.7</v>
      </c>
      <c r="AP37" s="216">
        <f t="shared" si="5"/>
        <v>1</v>
      </c>
      <c r="AQ37" s="216">
        <f t="shared" si="6"/>
        <v>1</v>
      </c>
      <c r="AR37" s="215">
        <f t="shared" si="20"/>
        <v>158.47</v>
      </c>
      <c r="AS37" s="216">
        <f t="shared" si="7"/>
        <v>0.9723448696087954</v>
      </c>
      <c r="AT37" s="216">
        <f t="shared" si="8"/>
        <v>1.2538510821608391</v>
      </c>
      <c r="AU37" s="216">
        <f t="shared" si="9"/>
        <v>2.2360679774997898</v>
      </c>
      <c r="AV37" s="217">
        <f t="shared" si="10"/>
        <v>10.368348541764712</v>
      </c>
      <c r="AW37" s="216">
        <f t="shared" si="11"/>
        <v>0</v>
      </c>
      <c r="AX37" s="218">
        <f t="shared" si="12"/>
        <v>1.4831709199797398</v>
      </c>
      <c r="AY37" s="216">
        <f t="shared" si="13"/>
        <v>0.77643477842613629</v>
      </c>
      <c r="AZ37" s="217">
        <f t="shared" si="14"/>
        <v>3.5883638597441294</v>
      </c>
      <c r="BA37" s="216">
        <f t="shared" si="15"/>
        <v>0</v>
      </c>
      <c r="BB37" s="216">
        <f t="shared" si="16"/>
        <v>1.0016542390239327</v>
      </c>
      <c r="BC37" s="216">
        <f t="shared" si="17"/>
        <v>1</v>
      </c>
    </row>
    <row r="38" spans="1:55" ht="20.100000000000001" customHeight="1" x14ac:dyDescent="0.2">
      <c r="A38" s="45">
        <v>0.95833333333333304</v>
      </c>
      <c r="B38" s="451"/>
      <c r="C38" s="451"/>
      <c r="D38" s="451">
        <v>6.6</v>
      </c>
      <c r="E38" s="451">
        <v>55.9</v>
      </c>
      <c r="F38" s="41">
        <v>1943</v>
      </c>
      <c r="G38" s="37">
        <v>-5.5</v>
      </c>
      <c r="H38" s="37">
        <v>71.3</v>
      </c>
      <c r="I38" s="37">
        <v>21.9</v>
      </c>
      <c r="J38" s="41">
        <v>126</v>
      </c>
      <c r="K38" s="37">
        <v>13</v>
      </c>
      <c r="L38" s="451">
        <v>121</v>
      </c>
      <c r="M38" s="451">
        <v>221</v>
      </c>
      <c r="N38" s="451">
        <v>90</v>
      </c>
      <c r="O38" s="353">
        <v>65</v>
      </c>
      <c r="P38" s="353">
        <v>6</v>
      </c>
      <c r="Q38" s="353">
        <v>195.9</v>
      </c>
      <c r="R38" s="37"/>
      <c r="S38" s="508" t="str">
        <f t="shared" si="22"/>
        <v/>
      </c>
      <c r="T38" s="508"/>
      <c r="U38" s="508"/>
      <c r="V38" s="508"/>
      <c r="X38" s="45">
        <v>0.95833333333333304</v>
      </c>
      <c r="Y38" s="106"/>
      <c r="Z38" s="102"/>
      <c r="AA38" s="102"/>
      <c r="AB38" s="45" t="str">
        <f t="shared" si="18"/>
        <v/>
      </c>
      <c r="AC38" s="45" t="str">
        <f t="shared" si="1"/>
        <v/>
      </c>
      <c r="AD38" s="81"/>
      <c r="AE38" s="9" t="str">
        <f>IF(S38="","",IF(COUNTA(Z38:$Z$39)=1,IF(COUNTA(AD38:$AD$39)=1,""," ; "),IF(COUNTA(AD38:$AD$39)=1,IF(Z38="",""," ; ")," ; ")))</f>
        <v/>
      </c>
      <c r="AF38" s="9" t="str">
        <f t="shared" si="2"/>
        <v/>
      </c>
      <c r="AG38" s="90" t="str">
        <f t="shared" si="3"/>
        <v/>
      </c>
      <c r="AH38" s="204" t="s">
        <v>219</v>
      </c>
      <c r="AJ38" s="206">
        <f t="shared" si="21"/>
        <v>500</v>
      </c>
      <c r="AK38" s="206">
        <f t="shared" si="21"/>
        <v>100</v>
      </c>
      <c r="AL38" s="206">
        <f t="shared" si="21"/>
        <v>2</v>
      </c>
      <c r="AM38" s="213">
        <f t="shared" si="21"/>
        <v>0.875</v>
      </c>
      <c r="AN38" s="214">
        <f t="shared" si="21"/>
        <v>0.63607464142166403</v>
      </c>
      <c r="AO38" s="215">
        <f t="shared" si="4"/>
        <v>-14.7</v>
      </c>
      <c r="AP38" s="216">
        <f t="shared" si="5"/>
        <v>1</v>
      </c>
      <c r="AQ38" s="216">
        <f t="shared" si="6"/>
        <v>1</v>
      </c>
      <c r="AR38" s="215">
        <f t="shared" si="20"/>
        <v>158.47</v>
      </c>
      <c r="AS38" s="216">
        <f t="shared" si="7"/>
        <v>0.9723448696087954</v>
      </c>
      <c r="AT38" s="216">
        <f t="shared" si="8"/>
        <v>1.2538510821608391</v>
      </c>
      <c r="AU38" s="216">
        <f t="shared" si="9"/>
        <v>2.2360679774997898</v>
      </c>
      <c r="AV38" s="217">
        <f t="shared" si="10"/>
        <v>10.368348541764712</v>
      </c>
      <c r="AW38" s="216">
        <f t="shared" si="11"/>
        <v>0</v>
      </c>
      <c r="AX38" s="218">
        <f t="shared" si="12"/>
        <v>1.4831709199797398</v>
      </c>
      <c r="AY38" s="216">
        <f t="shared" si="13"/>
        <v>0.77643477842613629</v>
      </c>
      <c r="AZ38" s="217">
        <f t="shared" si="14"/>
        <v>3.5883638597441294</v>
      </c>
      <c r="BA38" s="216">
        <f t="shared" si="15"/>
        <v>0</v>
      </c>
      <c r="BB38" s="216">
        <f t="shared" si="16"/>
        <v>1.0016542390239327</v>
      </c>
      <c r="BC38" s="216">
        <f t="shared" si="17"/>
        <v>1</v>
      </c>
    </row>
    <row r="39" spans="1:55" ht="20.100000000000001" customHeight="1" thickBot="1" x14ac:dyDescent="0.25">
      <c r="A39" s="46">
        <v>1</v>
      </c>
      <c r="B39" s="451"/>
      <c r="C39" s="451"/>
      <c r="D39" s="452">
        <v>7.1</v>
      </c>
      <c r="E39" s="452">
        <v>58.1</v>
      </c>
      <c r="F39" s="42">
        <v>1932</v>
      </c>
      <c r="G39" s="37">
        <v>-5.5</v>
      </c>
      <c r="H39" s="37">
        <v>71.3</v>
      </c>
      <c r="I39" s="37">
        <v>21.5</v>
      </c>
      <c r="J39" s="41">
        <v>127</v>
      </c>
      <c r="K39" s="37">
        <v>13</v>
      </c>
      <c r="L39" s="452">
        <v>122</v>
      </c>
      <c r="M39" s="452">
        <v>222</v>
      </c>
      <c r="N39" s="451">
        <v>90</v>
      </c>
      <c r="O39" s="353">
        <v>65</v>
      </c>
      <c r="P39" s="353">
        <v>6</v>
      </c>
      <c r="Q39" s="354">
        <v>195.9</v>
      </c>
      <c r="R39" s="38"/>
      <c r="S39" s="512" t="str">
        <f t="shared" si="22"/>
        <v/>
      </c>
      <c r="T39" s="512"/>
      <c r="U39" s="512"/>
      <c r="V39" s="512"/>
      <c r="X39" s="46">
        <v>1</v>
      </c>
      <c r="Y39" s="107"/>
      <c r="Z39" s="103"/>
      <c r="AA39" s="103"/>
      <c r="AB39" s="46" t="str">
        <f t="shared" si="18"/>
        <v/>
      </c>
      <c r="AC39" s="46" t="str">
        <f t="shared" si="1"/>
        <v/>
      </c>
      <c r="AD39" s="82"/>
      <c r="AE39" s="9" t="str">
        <f>IF(S39="","",IF(COUNTA(Z39:$Z$39)=1,IF(COUNTA(AD39:$AD$39)=1,""," ; "),IF(COUNTA(AD39:$AD$39)=1,IF(Z39="",""," ; ")," ; ")))</f>
        <v/>
      </c>
      <c r="AF39" s="9" t="str">
        <f t="shared" si="2"/>
        <v/>
      </c>
      <c r="AG39" s="90" t="str">
        <f t="shared" si="3"/>
        <v/>
      </c>
      <c r="AH39" s="204" t="s">
        <v>220</v>
      </c>
      <c r="AJ39" s="219">
        <f t="shared" si="21"/>
        <v>500</v>
      </c>
      <c r="AK39" s="219">
        <f t="shared" si="21"/>
        <v>100</v>
      </c>
      <c r="AL39" s="219">
        <f t="shared" si="21"/>
        <v>2</v>
      </c>
      <c r="AM39" s="220">
        <f t="shared" si="21"/>
        <v>0.875</v>
      </c>
      <c r="AN39" s="221">
        <f t="shared" si="21"/>
        <v>0.63607464142166403</v>
      </c>
      <c r="AO39" s="222">
        <f t="shared" si="4"/>
        <v>-14.7</v>
      </c>
      <c r="AP39" s="223">
        <f t="shared" si="5"/>
        <v>1</v>
      </c>
      <c r="AQ39" s="223">
        <f t="shared" si="6"/>
        <v>1</v>
      </c>
      <c r="AR39" s="222">
        <f t="shared" si="20"/>
        <v>158.47</v>
      </c>
      <c r="AS39" s="223">
        <f t="shared" si="7"/>
        <v>0.9723448696087954</v>
      </c>
      <c r="AT39" s="223">
        <f t="shared" si="8"/>
        <v>1.2538510821608391</v>
      </c>
      <c r="AU39" s="223">
        <f t="shared" si="9"/>
        <v>2.2360679774997898</v>
      </c>
      <c r="AV39" s="224">
        <f t="shared" si="10"/>
        <v>10.368348541764712</v>
      </c>
      <c r="AW39" s="223">
        <f t="shared" si="11"/>
        <v>0</v>
      </c>
      <c r="AX39" s="225">
        <f t="shared" si="12"/>
        <v>1.4831709199797398</v>
      </c>
      <c r="AY39" s="223">
        <f t="shared" si="13"/>
        <v>0.77643477842613629</v>
      </c>
      <c r="AZ39" s="224">
        <f t="shared" si="14"/>
        <v>3.5883638597441294</v>
      </c>
      <c r="BA39" s="223">
        <f t="shared" si="15"/>
        <v>0</v>
      </c>
      <c r="BB39" s="223">
        <f t="shared" si="16"/>
        <v>1.0016542390239327</v>
      </c>
      <c r="BC39" s="223">
        <f t="shared" si="17"/>
        <v>1</v>
      </c>
    </row>
    <row r="40" spans="1:55" ht="20.100000000000001" customHeight="1" thickBot="1" x14ac:dyDescent="0.3">
      <c r="A40" s="53" t="s">
        <v>11</v>
      </c>
      <c r="B40" s="453" t="str">
        <f>IFERROR(ROUND(AVERAGE(B16:B39),2),"")</f>
        <v/>
      </c>
      <c r="C40" s="453" t="str">
        <f>IFERROR(ROUND(AVERAGE(C16:C39),2),"")</f>
        <v/>
      </c>
      <c r="D40" s="453">
        <f>IFERROR(ROUND(AVERAGE(D16:D39),2),"")</f>
        <v>6.9</v>
      </c>
      <c r="E40" s="453">
        <f>IFERROR(ROUND(AVERAGE(E16:E39),2),"")</f>
        <v>57.5</v>
      </c>
      <c r="F40" s="55">
        <f>IFERROR(ROUND(AVERAGE(F16:F39),0),"")</f>
        <v>1944</v>
      </c>
      <c r="G40" s="54">
        <f>IFERROR(AVERAGE(G16:G39),"")</f>
        <v>-5.5</v>
      </c>
      <c r="H40" s="54">
        <f>IFERROR(AVERAGE(H16:H39),"")</f>
        <v>71.391666666666666</v>
      </c>
      <c r="I40" s="54">
        <f>IFERROR(AVERAGE(I16:I39),"")</f>
        <v>21.458333333333332</v>
      </c>
      <c r="J40" s="71"/>
      <c r="K40" s="111">
        <f>IFERROR(AVERAGE(K16:K39),"")</f>
        <v>13</v>
      </c>
      <c r="L40" s="453">
        <f t="shared" ref="L40:P40" si="23">IFERROR(ROUND(AVERAGE(L16:L39),1),"")</f>
        <v>126.1</v>
      </c>
      <c r="M40" s="453">
        <f t="shared" si="23"/>
        <v>223</v>
      </c>
      <c r="N40" s="453">
        <f t="shared" si="23"/>
        <v>90</v>
      </c>
      <c r="O40" s="456">
        <f t="shared" si="23"/>
        <v>55</v>
      </c>
      <c r="P40" s="456">
        <f t="shared" si="23"/>
        <v>9</v>
      </c>
      <c r="Q40" s="456">
        <f>IF($I$47=1,$M$49,$Q$44)</f>
        <v>206.6</v>
      </c>
      <c r="R40" s="54" t="str">
        <f>IFERROR(ROUND(AVERAGE(R16:R39),1),"")</f>
        <v/>
      </c>
      <c r="S40" s="509"/>
      <c r="T40" s="510"/>
      <c r="U40" s="510"/>
      <c r="V40" s="511"/>
      <c r="X40" s="99"/>
      <c r="Y40" s="99"/>
      <c r="Z40" s="99"/>
      <c r="AA40" s="99"/>
      <c r="AB40" s="104">
        <f>SUM(AB16:AB39)</f>
        <v>0</v>
      </c>
      <c r="AC40" s="104">
        <f>SUM(AC16:AC39)</f>
        <v>0</v>
      </c>
      <c r="AD40" s="92" t="str">
        <f>IF(OR(COUNTBLANK(D16:E39)+COUNTBLANK(O16:P39)=0,COUNTA(S16:V39)&lt;&gt;0),"","CEK : Blank Data - Remarks")</f>
        <v/>
      </c>
      <c r="AG40" s="90" t="str">
        <f>IF(COUNTIF(AG16:AG39,"")=COUNTA(AG16:AG39),"","CEK : Data Flowrate")</f>
        <v/>
      </c>
      <c r="AH40" s="204" t="s">
        <v>311</v>
      </c>
    </row>
    <row r="41" spans="1:55" ht="20.100000000000001" hidden="1" customHeight="1" thickBot="1" x14ac:dyDescent="0.3">
      <c r="A41" s="49" t="s">
        <v>12</v>
      </c>
      <c r="B41" s="52" t="str">
        <f>IF(COUNT(B16:B39)&gt;0,ROUND(MIN(B16:B39),2),"")</f>
        <v/>
      </c>
      <c r="C41" s="52" t="str">
        <f>IF(COUNT(C16:C39)&gt;0,ROUND(MIN(C16:C39),2),"")</f>
        <v/>
      </c>
      <c r="D41" s="52">
        <f>IF(COUNT(D16:D39)&gt;0,ROUND(MIN(D16:D39),2),"")</f>
        <v>6.2</v>
      </c>
      <c r="E41" s="52">
        <f>IF(COUNT(E16:E39)&gt;0,ROUND(MIN(E16:E39),2),"")</f>
        <v>52.8</v>
      </c>
      <c r="F41" s="51">
        <f>IF(COUNT(F16:F39)&gt;0,ROUND(MIN(F16:F39),0),"")</f>
        <v>1915</v>
      </c>
      <c r="G41" s="50">
        <f>IF(COUNT(G16:G39)&gt;0,MIN(G16:G39),"")</f>
        <v>-5.5</v>
      </c>
      <c r="H41" s="50">
        <f>IF(COUNT(H16:H39)&gt;0,MIN(H16:H39),"")</f>
        <v>71</v>
      </c>
      <c r="I41" s="50">
        <f>IF(COUNT(I16:I39)&gt;0,MIN(I16:I39),"")</f>
        <v>21</v>
      </c>
      <c r="J41" s="72"/>
      <c r="K41" s="50">
        <f>IF(COUNT(K16:K39)&gt;0,MIN(K16:K39),"")</f>
        <v>13</v>
      </c>
      <c r="L41" s="52">
        <f>IF(COUNT(L16:L39)&gt;0,ROUND(MIN(L16:L39),1),"")</f>
        <v>121</v>
      </c>
      <c r="M41" s="52">
        <f>IF(COUNT(M16:M39)&gt;0,ROUND(MIN(M16:M39),1),"")</f>
        <v>220</v>
      </c>
      <c r="N41" s="52">
        <f>IF(COUNT(N16:N39)&gt;0,ROUND(MIN(N16:N39),1),"")</f>
        <v>90</v>
      </c>
      <c r="O41" s="440">
        <f>IF(COUNT(O16:O39)&gt;0,ROUND(MIN(O16:O39),1),"")</f>
        <v>50</v>
      </c>
      <c r="P41" s="440">
        <f>IF(COUNT(P16:P39)&gt;0,ROUND(MIN(P16:P39),1),"")</f>
        <v>6</v>
      </c>
      <c r="Q41" s="440">
        <f>IF(COUNT(Q16:Q39)&gt;0,ROUND(MIN(Q16:Q39),4),"")</f>
        <v>189.56</v>
      </c>
      <c r="R41" s="121" t="str">
        <f>IF(COUNT(R16:R39)&gt;0,ROUND(MIN(R16:R39),1),"")</f>
        <v/>
      </c>
      <c r="S41" s="509"/>
      <c r="T41" s="510"/>
      <c r="U41" s="510"/>
      <c r="V41" s="511"/>
      <c r="X41" s="99"/>
      <c r="Y41" s="99"/>
      <c r="Z41" s="99"/>
      <c r="AA41" s="99"/>
      <c r="AB41" s="99"/>
      <c r="AC41" s="99"/>
      <c r="AH41" s="204" t="s">
        <v>318</v>
      </c>
    </row>
    <row r="42" spans="1:55" ht="20.100000000000001" hidden="1" customHeight="1" thickBot="1" x14ac:dyDescent="0.3">
      <c r="A42" s="21" t="s">
        <v>13</v>
      </c>
      <c r="B42" s="454" t="str">
        <f>IF(COUNT(B16:B39)&gt;0,ROUND(MAX(B16:B39),2),"")</f>
        <v/>
      </c>
      <c r="C42" s="454" t="str">
        <f>IF(COUNT(C16:C39)&gt;0,ROUND(MAX(C16:C39),2),"")</f>
        <v/>
      </c>
      <c r="D42" s="454">
        <f>IF(COUNT(D16:D39)&gt;0,ROUND(MAX(D16:D39),2),"")</f>
        <v>8</v>
      </c>
      <c r="E42" s="454">
        <f>IF(COUNT(E16:E39)&gt;0,ROUND(MAX(E16:E39),2),"")</f>
        <v>63.4</v>
      </c>
      <c r="F42" s="43">
        <f>IF(COUNT(F16:F39)&gt;0,ROUND(MAX(F16:F39),0),"")</f>
        <v>1980</v>
      </c>
      <c r="G42" s="39">
        <f>IF(COUNT(G16:G39)&gt;0,MAX(G16:G39),"")</f>
        <v>-5.5</v>
      </c>
      <c r="H42" s="39">
        <f>IF(COUNT(H16:H39)&gt;0,MAX(H16:H39),"")</f>
        <v>71.900000000000006</v>
      </c>
      <c r="I42" s="39">
        <f>IF(COUNT(I16:I39)&gt;0,MAX(I16:I39),"")</f>
        <v>21.9</v>
      </c>
      <c r="J42" s="43">
        <f>IF(COUNT(J16:J39)&gt;0,MAX(J16:J39),"")</f>
        <v>127</v>
      </c>
      <c r="K42" s="39">
        <f>IF(COUNT(K16:K39)&gt;0,MAX(K16:K39),"")</f>
        <v>13</v>
      </c>
      <c r="L42" s="454">
        <f>IF(COUNT(L16:L39)&gt;0,ROUND(MAX(L16:L39),1),"")</f>
        <v>131</v>
      </c>
      <c r="M42" s="454">
        <f>IF(COUNT(M16:M39)&gt;0,ROUND(MAX(M16:M39),1),"")</f>
        <v>226</v>
      </c>
      <c r="N42" s="454">
        <f>IF(COUNT(N16:N39)&gt;0,ROUND(MAX(N16:N39),1),"")</f>
        <v>90</v>
      </c>
      <c r="O42" s="441">
        <f>IF(COUNT(O16:O39)&gt;0,ROUND(MAX(O16:O39),1),"")</f>
        <v>65</v>
      </c>
      <c r="P42" s="441">
        <f>IF(COUNT(P16:P39)&gt;0,ROUND(MAX(P16:P39),1),"")</f>
        <v>12</v>
      </c>
      <c r="Q42" s="441">
        <f>IF(COUNT(Q16:Q39)&gt;0,ROUND(MAX(Q16:Q39),4),"")</f>
        <v>248.54</v>
      </c>
      <c r="R42" s="39" t="str">
        <f>IF(COUNT(R16:R39)&gt;0,ROUND(MAX(R16:R39),1),"")</f>
        <v/>
      </c>
      <c r="S42" s="509"/>
      <c r="T42" s="510"/>
      <c r="U42" s="510"/>
      <c r="V42" s="511"/>
      <c r="X42" s="99"/>
      <c r="Y42" s="99"/>
      <c r="Z42" s="99"/>
      <c r="AA42" s="99"/>
      <c r="AB42" s="99"/>
      <c r="AC42" s="99"/>
      <c r="AH42" s="204" t="s">
        <v>312</v>
      </c>
    </row>
    <row r="43" spans="1:55" ht="20.100000000000001" hidden="1" customHeight="1" x14ac:dyDescent="0.25">
      <c r="A43" s="109"/>
      <c r="B43" s="110">
        <f>COUNT(B16:B39)</f>
        <v>0</v>
      </c>
      <c r="C43" s="110">
        <f>COUNT(C16:C39)</f>
        <v>0</v>
      </c>
      <c r="D43" s="110">
        <f>COUNT(D16:D39)</f>
        <v>24</v>
      </c>
      <c r="E43" s="110">
        <f t="shared" ref="E43:H43" si="24">COUNT(E16:E39)</f>
        <v>24</v>
      </c>
      <c r="F43" s="110">
        <f t="shared" si="24"/>
        <v>24</v>
      </c>
      <c r="G43" s="110">
        <f t="shared" si="24"/>
        <v>24</v>
      </c>
      <c r="H43" s="110">
        <f t="shared" si="24"/>
        <v>24</v>
      </c>
      <c r="I43" s="110"/>
      <c r="J43" s="110"/>
      <c r="K43" s="110"/>
      <c r="L43" s="110">
        <f t="shared" ref="L43:Q43" si="25">COUNT(L16:L39)</f>
        <v>24</v>
      </c>
      <c r="M43" s="110">
        <f t="shared" si="25"/>
        <v>24</v>
      </c>
      <c r="N43" s="110">
        <f t="shared" si="25"/>
        <v>24</v>
      </c>
      <c r="O43" s="110">
        <f t="shared" si="25"/>
        <v>24</v>
      </c>
      <c r="P43" s="110">
        <f t="shared" si="25"/>
        <v>24</v>
      </c>
      <c r="Q43" s="110">
        <f t="shared" si="25"/>
        <v>24</v>
      </c>
      <c r="R43" s="110"/>
      <c r="S43" s="99"/>
      <c r="T43" s="99"/>
      <c r="U43" s="99"/>
      <c r="V43" s="99"/>
      <c r="X43" s="99"/>
      <c r="Y43" s="99"/>
      <c r="Z43" s="99"/>
      <c r="AA43" s="99"/>
      <c r="AB43" s="99"/>
      <c r="AC43" s="99"/>
      <c r="AD43" s="92" t="str">
        <f>IF(AND(D43=E43,D43=F43,D43=G43,D43=H43,D43=L43,D43=M43,D43=N43,D43=O43,D43=P43,D43=Q43),"","CEK : Data Content")</f>
        <v/>
      </c>
      <c r="AH43" s="204" t="s">
        <v>221</v>
      </c>
    </row>
    <row r="44" spans="1:55" s="6" customFormat="1" ht="15" customHeight="1" x14ac:dyDescent="0.25">
      <c r="J44" s="91" t="str">
        <f>IF(J1="PRINT","",IF(J42="","RH please ! !",""))</f>
        <v/>
      </c>
      <c r="L44" s="24"/>
      <c r="Q44" s="445">
        <f>IFERROR(ROUND(AVERAGE(Q16:Q39),4),"")</f>
        <v>220.6183</v>
      </c>
      <c r="AH44" s="204" t="s">
        <v>323</v>
      </c>
      <c r="AI44" s="7"/>
    </row>
    <row r="45" spans="1:55" s="6" customFormat="1" ht="15" customHeight="1" x14ac:dyDescent="0.25">
      <c r="L45" s="26" t="s">
        <v>290</v>
      </c>
      <c r="Q45" s="445"/>
      <c r="AH45" s="204" t="s">
        <v>288</v>
      </c>
      <c r="AI45" s="7"/>
    </row>
    <row r="46" spans="1:55" s="6" customFormat="1" ht="15" customHeight="1" x14ac:dyDescent="0.25">
      <c r="D46" s="443" t="s">
        <v>90</v>
      </c>
      <c r="E46" s="448" t="str">
        <f>IF(Schedule!C$6="","",Schedule!C$6)</f>
        <v/>
      </c>
      <c r="G46" s="61"/>
      <c r="H46" s="25" t="str">
        <f>IFERROR(IF(OR(I47="",I48="",I49=""),"WAKTU BELUM DI-ISI LENGKAP",IF(SUM(I48:I49)&lt;=1,"","CEK KEMBALI PENULISAN WAKTU SALAH")),"CEK KEMBALI PENULISAN WAKTU SALAH")</f>
        <v/>
      </c>
      <c r="L46" s="26" t="s">
        <v>22</v>
      </c>
      <c r="M46" s="460">
        <f>IF(Volume!$W5="",$O46,Volume!$W5)</f>
        <v>49.836399999999998</v>
      </c>
      <c r="N46" s="27" t="s">
        <v>1</v>
      </c>
      <c r="O46" s="447">
        <f>IF(O40="","",O40)</f>
        <v>55</v>
      </c>
      <c r="P46" s="361" t="s">
        <v>29</v>
      </c>
      <c r="Q46" s="362"/>
      <c r="R46" s="362"/>
      <c r="S46" s="362"/>
      <c r="T46" s="361" t="s">
        <v>30</v>
      </c>
      <c r="U46" s="362"/>
      <c r="V46" s="362"/>
      <c r="AH46" s="204" t="s">
        <v>222</v>
      </c>
    </row>
    <row r="47" spans="1:55" s="6" customFormat="1" ht="15" customHeight="1" x14ac:dyDescent="0.25">
      <c r="D47" s="448"/>
      <c r="E47" s="448"/>
      <c r="H47" s="26" t="s">
        <v>26</v>
      </c>
      <c r="I47" s="56">
        <f>IF(OR(I48="",I49=""),"",1-I48-I49)</f>
        <v>1</v>
      </c>
      <c r="J47" s="27" t="s">
        <v>19</v>
      </c>
      <c r="L47" s="26" t="s">
        <v>23</v>
      </c>
      <c r="M47" s="442">
        <f>IF(Volume!$Y5="",$O47,Volume!$Y5)</f>
        <v>8.7155000000000005</v>
      </c>
      <c r="N47" s="27" t="s">
        <v>14</v>
      </c>
      <c r="O47" s="447">
        <f>IF(P40="","",P40)</f>
        <v>9</v>
      </c>
      <c r="P47" s="361" t="s">
        <v>211</v>
      </c>
      <c r="Q47" s="362"/>
      <c r="R47" s="362"/>
      <c r="S47" s="362"/>
      <c r="T47" s="361" t="s">
        <v>271</v>
      </c>
      <c r="U47" s="362"/>
      <c r="V47" s="362"/>
      <c r="AH47" s="204" t="s">
        <v>223</v>
      </c>
    </row>
    <row r="48" spans="1:55" s="6" customFormat="1" ht="15" customHeight="1" x14ac:dyDescent="0.25">
      <c r="D48" s="443" t="s">
        <v>91</v>
      </c>
      <c r="E48" s="448" t="str">
        <f>IF(Schedule!D$6="","",Schedule!D$6)</f>
        <v/>
      </c>
      <c r="H48" s="26" t="s">
        <v>37</v>
      </c>
      <c r="I48" s="108">
        <f>IF(OR(COUNT($Q$16:$Q$39)&lt;&gt;0,COUNTA($AD$16:$AD$39)&lt;&gt;0),AB40,"")</f>
        <v>0</v>
      </c>
      <c r="J48" s="27" t="s">
        <v>19</v>
      </c>
      <c r="L48" s="26" t="s">
        <v>24</v>
      </c>
      <c r="M48" s="449">
        <f>IF(N40="","",N40)</f>
        <v>90</v>
      </c>
      <c r="N48" s="27" t="s">
        <v>5</v>
      </c>
      <c r="P48" s="362"/>
      <c r="Q48" s="362"/>
      <c r="R48" s="362"/>
      <c r="S48" s="362"/>
      <c r="T48" s="361" t="s">
        <v>291</v>
      </c>
      <c r="U48" s="362"/>
      <c r="V48" s="362"/>
      <c r="AH48" s="204" t="s">
        <v>324</v>
      </c>
    </row>
    <row r="49" spans="1:34" s="6" customFormat="1" ht="15" customHeight="1" x14ac:dyDescent="0.25">
      <c r="D49" s="448"/>
      <c r="E49" s="448"/>
      <c r="H49" s="26" t="s">
        <v>27</v>
      </c>
      <c r="I49" s="108">
        <f>IF(OR(COUNT($Q$16:$Q$39)&lt;&gt;0,COUNTA($AD$16:$AD$39)&lt;&gt;0),AC40,"")</f>
        <v>0</v>
      </c>
      <c r="J49" s="27" t="s">
        <v>19</v>
      </c>
      <c r="L49" s="26" t="s">
        <v>128</v>
      </c>
      <c r="M49" s="442">
        <f>IF(Volume!$L5="",M51,Volume!$L5)</f>
        <v>206.6</v>
      </c>
      <c r="N49" s="27" t="str">
        <f>IF(Q15="MSCFD","MSCF","MMSCF")</f>
        <v>MSCF</v>
      </c>
      <c r="P49" s="362"/>
      <c r="Q49" s="362"/>
      <c r="R49" s="362"/>
      <c r="S49" s="362"/>
      <c r="T49" s="362"/>
      <c r="U49" s="362"/>
      <c r="V49" s="362"/>
      <c r="AH49" s="204" t="s">
        <v>317</v>
      </c>
    </row>
    <row r="50" spans="1:34" s="6" customFormat="1" ht="15" customHeight="1" x14ac:dyDescent="0.25">
      <c r="D50" s="443" t="s">
        <v>92</v>
      </c>
      <c r="E50" s="448" t="str">
        <f>IF(Schedule!E$6="","",Schedule!E$6)</f>
        <v>Marihot Gustafa S.</v>
      </c>
      <c r="L50" s="443" t="str">
        <f>CONCATENATE(MR!L16," ",":")</f>
        <v>Liquid Gain :</v>
      </c>
      <c r="M50" s="446" t="str">
        <f>IF(R40="","",ROUND(SUM(R16:R39),2))</f>
        <v/>
      </c>
      <c r="N50" s="444" t="str">
        <f>R15</f>
        <v>BPD</v>
      </c>
      <c r="P50" s="362"/>
      <c r="Q50" s="362"/>
      <c r="R50" s="362"/>
      <c r="S50" s="362"/>
      <c r="T50" s="362"/>
      <c r="U50" s="362"/>
      <c r="V50" s="362"/>
      <c r="AH50" s="204" t="s">
        <v>282</v>
      </c>
    </row>
    <row r="51" spans="1:34" s="6" customFormat="1" ht="15" customHeight="1" x14ac:dyDescent="0.25">
      <c r="A51" s="4"/>
      <c r="L51" s="443" t="s">
        <v>286</v>
      </c>
      <c r="M51" s="447">
        <f>IF(Q44="","",IF(SUM(I48:I49)=1,IF(Q44&lt;&gt;0,"Cek Tabel",""),ROUND(Q44*I47,4)))</f>
        <v>220.6183</v>
      </c>
      <c r="N51" s="444" t="str">
        <f>IF(Q15="MSCFD","MSCF","MMSCF")</f>
        <v>MSCF</v>
      </c>
      <c r="P51" s="362"/>
      <c r="Q51" s="362"/>
      <c r="R51" s="362"/>
      <c r="S51" s="362"/>
      <c r="T51" s="362"/>
      <c r="U51" s="362"/>
      <c r="V51" s="362"/>
      <c r="AH51" s="204" t="s">
        <v>325</v>
      </c>
    </row>
    <row r="52" spans="1:34" s="6" customFormat="1" ht="15" customHeight="1" x14ac:dyDescent="0.25">
      <c r="D52" s="26" t="s">
        <v>28</v>
      </c>
      <c r="E52" s="47"/>
      <c r="F52" s="47"/>
      <c r="G52" s="47"/>
      <c r="H52" s="47"/>
      <c r="I52" s="47"/>
      <c r="J52" s="47"/>
      <c r="K52" s="47"/>
      <c r="L52" s="5"/>
      <c r="P52" s="362"/>
      <c r="Q52" s="362"/>
      <c r="R52" s="362"/>
      <c r="S52" s="362"/>
      <c r="T52" s="362"/>
      <c r="U52" s="362"/>
      <c r="V52" s="362"/>
      <c r="AH52" s="204" t="s">
        <v>280</v>
      </c>
    </row>
    <row r="53" spans="1:34" s="6" customFormat="1" ht="15" customHeight="1" x14ac:dyDescent="0.25">
      <c r="D53" s="5"/>
      <c r="E53" s="48"/>
      <c r="F53" s="48"/>
      <c r="G53" s="48"/>
      <c r="H53" s="48"/>
      <c r="I53" s="48"/>
      <c r="J53" s="48"/>
      <c r="K53" s="48"/>
      <c r="L53" s="5"/>
      <c r="P53" s="363" t="str">
        <f>UPPER(E50)</f>
        <v>MARIHOT GUSTAFA S.</v>
      </c>
      <c r="Q53" s="362"/>
      <c r="R53" s="362"/>
      <c r="S53" s="362"/>
      <c r="T53" s="363" t="str">
        <f>IF(Schedule!F$6="","",UPPER(Schedule!F$6))</f>
        <v>BUDI WIDHARTONO</v>
      </c>
      <c r="U53" s="362"/>
      <c r="V53" s="362"/>
      <c r="AH53" s="204" t="s">
        <v>316</v>
      </c>
    </row>
    <row r="54" spans="1:34" s="6" customFormat="1" ht="15" customHeight="1" x14ac:dyDescent="0.25">
      <c r="E54" s="48"/>
      <c r="F54" s="48"/>
      <c r="G54" s="48"/>
      <c r="H54" s="48"/>
      <c r="I54" s="48"/>
      <c r="J54" s="48"/>
      <c r="K54" s="48"/>
      <c r="P54" s="361" t="s">
        <v>107</v>
      </c>
      <c r="Q54" s="362"/>
      <c r="R54" s="362"/>
      <c r="S54" s="362"/>
      <c r="T54" s="361" t="s">
        <v>294</v>
      </c>
      <c r="U54" s="362"/>
      <c r="V54" s="362"/>
      <c r="AH54" s="204" t="s">
        <v>326</v>
      </c>
    </row>
    <row r="55" spans="1:34" s="6" customFormat="1" ht="15" customHeight="1" x14ac:dyDescent="0.25">
      <c r="P55" s="364" t="str">
        <f>CONCATENATE("Date : ",TEXT(K12,"[$-409]d mmm yyyy;@"))</f>
        <v>Date : 2 Jun 2025</v>
      </c>
      <c r="Q55" s="362"/>
      <c r="R55" s="364"/>
      <c r="S55" s="362"/>
      <c r="T55" s="364" t="str">
        <f>CONCATENATE("Date : ",TEXT(K12,"[$-409]d mmm yyyy;@"))</f>
        <v>Date : 2 Jun 2025</v>
      </c>
      <c r="U55" s="362"/>
      <c r="V55" s="362"/>
      <c r="AH55" s="204" t="s">
        <v>327</v>
      </c>
    </row>
    <row r="56" spans="1:34" ht="15" customHeight="1" x14ac:dyDescent="0.25">
      <c r="AH56" s="204" t="s">
        <v>281</v>
      </c>
    </row>
    <row r="57" spans="1:34" ht="15" customHeight="1" x14ac:dyDescent="0.25">
      <c r="AH57" s="204" t="s">
        <v>277</v>
      </c>
    </row>
    <row r="58" spans="1:34" ht="15" customHeight="1" x14ac:dyDescent="0.25">
      <c r="AH58" s="204" t="s">
        <v>328</v>
      </c>
    </row>
    <row r="59" spans="1:34" ht="15" customHeight="1" x14ac:dyDescent="0.25">
      <c r="AH59" s="204" t="s">
        <v>329</v>
      </c>
    </row>
    <row r="60" spans="1:34" ht="15" customHeight="1" x14ac:dyDescent="0.25">
      <c r="AH60" s="204" t="s">
        <v>330</v>
      </c>
    </row>
    <row r="61" spans="1:34" ht="15" customHeight="1" x14ac:dyDescent="0.25">
      <c r="AH61" s="204" t="s">
        <v>331</v>
      </c>
    </row>
    <row r="62" spans="1:34" ht="15" customHeight="1" x14ac:dyDescent="0.25">
      <c r="AH62" s="204" t="s">
        <v>332</v>
      </c>
    </row>
    <row r="63" spans="1:34" ht="15" customHeight="1" x14ac:dyDescent="0.25">
      <c r="AH63" s="204" t="s">
        <v>315</v>
      </c>
    </row>
    <row r="64" spans="1:34" ht="15" customHeight="1" x14ac:dyDescent="0.25">
      <c r="AH64" s="204" t="s">
        <v>333</v>
      </c>
    </row>
    <row r="65" spans="34:34" ht="15" customHeight="1" x14ac:dyDescent="0.25">
      <c r="AH65" s="204" t="s">
        <v>310</v>
      </c>
    </row>
    <row r="66" spans="34:34" ht="15" customHeight="1" x14ac:dyDescent="0.25">
      <c r="AH66" s="204" t="s">
        <v>334</v>
      </c>
    </row>
    <row r="67" spans="34:34" ht="15" customHeight="1" x14ac:dyDescent="0.25">
      <c r="AH67" s="204" t="s">
        <v>335</v>
      </c>
    </row>
    <row r="68" spans="34:34" ht="15" customHeight="1" x14ac:dyDescent="0.25">
      <c r="AH68" s="204" t="s">
        <v>336</v>
      </c>
    </row>
    <row r="69" spans="34:34" ht="15" customHeight="1" x14ac:dyDescent="0.25">
      <c r="AH69" s="204" t="s">
        <v>337</v>
      </c>
    </row>
    <row r="70" spans="34:34" ht="15" customHeight="1" x14ac:dyDescent="0.25">
      <c r="AH70" s="204" t="s">
        <v>338</v>
      </c>
    </row>
    <row r="71" spans="34:34" ht="15" customHeight="1" x14ac:dyDescent="0.25">
      <c r="AH71" s="204" t="s">
        <v>339</v>
      </c>
    </row>
    <row r="72" spans="34:34" ht="15" customHeight="1" x14ac:dyDescent="0.25">
      <c r="AH72" s="204" t="s">
        <v>340</v>
      </c>
    </row>
    <row r="85" spans="34:34" ht="0" hidden="1" customHeight="1" x14ac:dyDescent="0.25">
      <c r="AH85" s="6"/>
    </row>
    <row r="86" spans="34:34" ht="0" hidden="1" customHeight="1" x14ac:dyDescent="0.25">
      <c r="AH86" s="6"/>
    </row>
    <row r="87" spans="34:34" ht="0" hidden="1" customHeight="1" x14ac:dyDescent="0.25">
      <c r="AH87" s="6"/>
    </row>
    <row r="88" spans="34:34" ht="0" hidden="1" customHeight="1" x14ac:dyDescent="0.25">
      <c r="AH88" s="6"/>
    </row>
    <row r="89" spans="34:34" ht="0" hidden="1" customHeight="1" x14ac:dyDescent="0.25">
      <c r="AH89" s="6"/>
    </row>
    <row r="90" spans="34:34" ht="0" hidden="1" customHeight="1" x14ac:dyDescent="0.25">
      <c r="AH90" s="6"/>
    </row>
    <row r="91" spans="34:34" ht="0" hidden="1" customHeight="1" x14ac:dyDescent="0.25">
      <c r="AH91" s="6"/>
    </row>
    <row r="92" spans="34:34" ht="0" hidden="1" customHeight="1" x14ac:dyDescent="0.25">
      <c r="AH92" s="6"/>
    </row>
    <row r="93" spans="34:34" ht="0" hidden="1" customHeight="1" x14ac:dyDescent="0.25">
      <c r="AH93" s="6"/>
    </row>
    <row r="94" spans="34:34" ht="0" hidden="1" customHeight="1" x14ac:dyDescent="0.25">
      <c r="AH94" s="6"/>
    </row>
  </sheetData>
  <sheetProtection algorithmName="SHA-512" hashValue="SP5tidoqJUncDyHrAM6DYsl7fw3ah3na8NWeOdOgdY1RoIKV/E+rpC4Vflin4y9YklzKO5wWaksZdMr8h2uiEw==" saltValue="dzgK7BrY7MzO636Uedre2g==" spinCount="100000" sheet="1" objects="1" scenarios="1" formatColumns="0" formatRows="0" insertColumns="0" insertRows="0" sort="0" autoFilter="0" pivotTables="0"/>
  <mergeCells count="69">
    <mergeCell ref="S37:V37"/>
    <mergeCell ref="S38:V38"/>
    <mergeCell ref="S39:V39"/>
    <mergeCell ref="S40:V40"/>
    <mergeCell ref="S41:V42"/>
    <mergeCell ref="S36:V36"/>
    <mergeCell ref="S25:V25"/>
    <mergeCell ref="S26:V26"/>
    <mergeCell ref="S27:V27"/>
    <mergeCell ref="S28:V28"/>
    <mergeCell ref="S29:V29"/>
    <mergeCell ref="S30:V30"/>
    <mergeCell ref="S31:V31"/>
    <mergeCell ref="S32:V32"/>
    <mergeCell ref="S33:V33"/>
    <mergeCell ref="S34:V34"/>
    <mergeCell ref="S35:V35"/>
    <mergeCell ref="S19:V19"/>
    <mergeCell ref="S20:V20"/>
    <mergeCell ref="S21:V21"/>
    <mergeCell ref="S22:V22"/>
    <mergeCell ref="S23:V23"/>
    <mergeCell ref="S24:V24"/>
    <mergeCell ref="BA14:BA15"/>
    <mergeCell ref="BB14:BB15"/>
    <mergeCell ref="BC14:BC15"/>
    <mergeCell ref="S16:V16"/>
    <mergeCell ref="S17:V17"/>
    <mergeCell ref="S18:V18"/>
    <mergeCell ref="AU14:AU15"/>
    <mergeCell ref="AV14:AV15"/>
    <mergeCell ref="AW14:AW15"/>
    <mergeCell ref="AX14:AX15"/>
    <mergeCell ref="AY14:AY15"/>
    <mergeCell ref="AZ14:AZ15"/>
    <mergeCell ref="AO14:AO15"/>
    <mergeCell ref="AP14:AP15"/>
    <mergeCell ref="AQ14:AQ15"/>
    <mergeCell ref="AR14:AR15"/>
    <mergeCell ref="AS14:AS15"/>
    <mergeCell ref="AT14:AT15"/>
    <mergeCell ref="AD14:AD15"/>
    <mergeCell ref="AJ14:AJ15"/>
    <mergeCell ref="AK14:AK15"/>
    <mergeCell ref="AL14:AL15"/>
    <mergeCell ref="AM14:AM15"/>
    <mergeCell ref="AN14:AN15"/>
    <mergeCell ref="Y14:AC14"/>
    <mergeCell ref="H13:H14"/>
    <mergeCell ref="I13:I14"/>
    <mergeCell ref="J13:J14"/>
    <mergeCell ref="K13:K14"/>
    <mergeCell ref="L13:L14"/>
    <mergeCell ref="M13:N13"/>
    <mergeCell ref="Q13:Q14"/>
    <mergeCell ref="R13:R14"/>
    <mergeCell ref="S13:V15"/>
    <mergeCell ref="O13:O14"/>
    <mergeCell ref="P13:P14"/>
    <mergeCell ref="A10:V10"/>
    <mergeCell ref="A11:V11"/>
    <mergeCell ref="K12:L12"/>
    <mergeCell ref="A13:A15"/>
    <mergeCell ref="B13:B14"/>
    <mergeCell ref="C13:C14"/>
    <mergeCell ref="D13:D14"/>
    <mergeCell ref="E13:E14"/>
    <mergeCell ref="F13:F14"/>
    <mergeCell ref="G13:G14"/>
  </mergeCells>
  <conditionalFormatting sqref="I47">
    <cfRule type="cellIs" dxfId="147" priority="5" operator="lessThan">
      <formula>0</formula>
    </cfRule>
  </conditionalFormatting>
  <conditionalFormatting sqref="Y16:Y39">
    <cfRule type="containsText" dxfId="146" priority="3" operator="containsText" text="STBY">
      <formula>NOT(ISERROR(SEARCH("STBY",Y16)))</formula>
    </cfRule>
    <cfRule type="containsText" dxfId="145" priority="4" operator="containsText" text="SD">
      <formula>NOT(ISERROR(SEARCH("SD",Y16)))</formula>
    </cfRule>
  </conditionalFormatting>
  <conditionalFormatting sqref="B16:B39 D16:R39">
    <cfRule type="expression" dxfId="144" priority="2">
      <formula>ISTEXT(B16)</formula>
    </cfRule>
  </conditionalFormatting>
  <conditionalFormatting sqref="C16:C39">
    <cfRule type="expression" dxfId="143" priority="1">
      <formula>ISTEXT(C16)</formula>
    </cfRule>
  </conditionalFormatting>
  <dataValidations count="2">
    <dataValidation type="list" allowBlank="1" showInputMessage="1" showErrorMessage="1" sqref="Y16:Y39" xr:uid="{7BA3F822-9650-4EEB-88C7-6E573F24F0D2}">
      <formula1>"SD,STBY"</formula1>
    </dataValidation>
    <dataValidation type="list" allowBlank="1" showInputMessage="1" sqref="AD16:AD39" xr:uid="{3E41312F-E57B-45E7-AD59-F61BF6ACC681}">
      <formula1>$AH$15:$AH$72</formula1>
    </dataValidation>
  </dataValidations>
  <printOptions horizontalCentered="1"/>
  <pageMargins left="0.39370078740157483" right="0.39370078740157483" top="0.59055118110236227" bottom="0.39370078740157483" header="0.31496062992125984" footer="0.31496062992125984"/>
  <pageSetup paperSize="9" scale="57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0915D-F7FA-4F05-BADA-20331BEDBED8}">
  <sheetPr codeName="N03">
    <pageSetUpPr fitToPage="1"/>
  </sheetPr>
  <dimension ref="A1:BC94"/>
  <sheetViews>
    <sheetView topLeftCell="A16" zoomScale="85" zoomScaleNormal="85" workbookViewId="0">
      <selection activeCell="N22" sqref="N22"/>
    </sheetView>
  </sheetViews>
  <sheetFormatPr defaultColWidth="0" defaultRowHeight="0" customHeight="1" zeroHeight="1" x14ac:dyDescent="0.25"/>
  <cols>
    <col min="1" max="1" width="10.7109375" style="7" customWidth="1"/>
    <col min="2" max="3" width="10.7109375" style="7" hidden="1" customWidth="1"/>
    <col min="4" max="14" width="10.7109375" style="7" customWidth="1"/>
    <col min="15" max="17" width="11.7109375" style="7" customWidth="1"/>
    <col min="18" max="18" width="10.7109375" style="7" hidden="1" customWidth="1"/>
    <col min="19" max="22" width="10.7109375" style="7" customWidth="1"/>
    <col min="23" max="23" width="2.7109375" style="7" customWidth="1"/>
    <col min="24" max="29" width="10.7109375" style="7" customWidth="1"/>
    <col min="30" max="30" width="30.7109375" style="7" customWidth="1"/>
    <col min="31" max="33" width="11.7109375" style="7" customWidth="1"/>
    <col min="34" max="34" width="30.7109375" style="7" customWidth="1"/>
    <col min="35" max="35" width="2.7109375" style="7" hidden="1" customWidth="1"/>
    <col min="36" max="55" width="11.7109375" style="7" hidden="1" customWidth="1"/>
    <col min="56" max="16384" width="9.140625" style="7" hidden="1"/>
  </cols>
  <sheetData>
    <row r="1" spans="1:55" ht="15" customHeight="1" x14ac:dyDescent="0.25">
      <c r="A1" s="7" t="s">
        <v>16</v>
      </c>
      <c r="D1" s="11" t="s">
        <v>85</v>
      </c>
      <c r="J1" s="7" t="str">
        <f>IF(MR!U13="Yes","PRINT","No")</f>
        <v>PRINT</v>
      </c>
      <c r="M1" s="191"/>
      <c r="N1" s="191"/>
    </row>
    <row r="2" spans="1:55" ht="15" customHeight="1" thickBot="1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192"/>
      <c r="M2" s="4"/>
      <c r="N2" s="4"/>
      <c r="O2" s="4"/>
      <c r="P2" s="4"/>
      <c r="Q2" s="4"/>
      <c r="R2" s="4"/>
      <c r="S2" s="8"/>
      <c r="T2" s="8"/>
      <c r="U2" s="8"/>
      <c r="V2" s="8"/>
      <c r="X2" s="8"/>
      <c r="Y2" s="8"/>
      <c r="Z2" s="8"/>
      <c r="AA2" s="8"/>
      <c r="AB2" s="8"/>
      <c r="AC2" s="8"/>
      <c r="AD2" s="8"/>
      <c r="AE2" s="8"/>
    </row>
    <row r="3" spans="1:55" ht="15" customHeight="1" x14ac:dyDescent="0.2">
      <c r="A3" s="31"/>
      <c r="B3" s="28"/>
      <c r="C3" s="28"/>
      <c r="D3" s="28"/>
      <c r="E3" s="28"/>
      <c r="F3" s="13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2"/>
      <c r="T3" s="22"/>
      <c r="U3" s="22"/>
      <c r="V3" s="23"/>
      <c r="X3" s="8"/>
      <c r="Y3" s="8"/>
      <c r="Z3" s="8"/>
      <c r="AA3" s="8"/>
      <c r="AB3" s="8"/>
      <c r="AC3" s="8"/>
      <c r="AD3" s="8"/>
      <c r="AE3" s="8"/>
    </row>
    <row r="4" spans="1:55" ht="30" customHeight="1" x14ac:dyDescent="0.25">
      <c r="A4" s="30"/>
      <c r="B4" s="1"/>
      <c r="C4" s="1"/>
      <c r="D4" s="1"/>
      <c r="E4" s="3"/>
      <c r="F4" s="63" t="s">
        <v>210</v>
      </c>
      <c r="G4" s="1"/>
      <c r="H4" s="1"/>
      <c r="I4" s="3"/>
      <c r="J4" s="3"/>
      <c r="K4" s="3"/>
      <c r="L4" s="3"/>
      <c r="M4" s="3"/>
      <c r="N4" s="3"/>
      <c r="O4" s="3"/>
      <c r="P4" s="3"/>
      <c r="Q4" s="3"/>
      <c r="R4" s="3"/>
      <c r="S4" s="1"/>
      <c r="T4" s="1"/>
      <c r="U4" s="1"/>
      <c r="V4" s="2"/>
      <c r="X4" s="5"/>
      <c r="Y4" s="5"/>
      <c r="Z4" s="5"/>
      <c r="AA4" s="5"/>
      <c r="AB4" s="5"/>
      <c r="AC4" s="5"/>
      <c r="AD4" s="5"/>
      <c r="AE4" s="5"/>
    </row>
    <row r="5" spans="1:55" ht="15" customHeight="1" x14ac:dyDescent="0.2">
      <c r="A5" s="32"/>
      <c r="B5" s="33"/>
      <c r="C5" s="33"/>
      <c r="D5" s="12"/>
      <c r="E5" s="3"/>
      <c r="F5" s="10" t="s">
        <v>129</v>
      </c>
      <c r="G5" s="1"/>
      <c r="H5" s="1"/>
      <c r="I5" s="3"/>
      <c r="J5" s="3"/>
      <c r="K5" s="3"/>
      <c r="L5" s="3"/>
      <c r="M5" s="3"/>
      <c r="N5" s="3"/>
      <c r="O5" s="3"/>
      <c r="P5" s="3"/>
      <c r="Q5" s="3"/>
      <c r="R5" s="3"/>
      <c r="S5" s="12"/>
      <c r="T5" s="12"/>
      <c r="U5" s="12"/>
      <c r="V5" s="14"/>
      <c r="X5" s="8"/>
      <c r="Y5" s="8"/>
      <c r="Z5" s="8"/>
      <c r="AA5" s="8"/>
      <c r="AB5" s="8"/>
      <c r="AC5" s="8"/>
      <c r="AD5" s="8"/>
      <c r="AE5" s="8"/>
      <c r="AJ5" s="193" t="s">
        <v>184</v>
      </c>
      <c r="AK5" s="194">
        <f>'V Calc'!B1</f>
        <v>500</v>
      </c>
      <c r="AL5" s="124"/>
    </row>
    <row r="6" spans="1:55" ht="15" customHeight="1" x14ac:dyDescent="0.2">
      <c r="A6" s="32"/>
      <c r="B6" s="33"/>
      <c r="C6" s="33"/>
      <c r="D6" s="12"/>
      <c r="E6" s="3"/>
      <c r="F6" s="10" t="s">
        <v>132</v>
      </c>
      <c r="G6" s="1"/>
      <c r="H6" s="1"/>
      <c r="I6" s="3"/>
      <c r="J6" s="3"/>
      <c r="K6" s="3"/>
      <c r="L6" s="3"/>
      <c r="M6" s="3"/>
      <c r="N6" s="3"/>
      <c r="O6" s="3"/>
      <c r="P6" s="3"/>
      <c r="Q6" s="3"/>
      <c r="R6" s="3"/>
      <c r="S6" s="12"/>
      <c r="T6" s="12"/>
      <c r="U6" s="12"/>
      <c r="V6" s="14"/>
      <c r="X6" s="8"/>
      <c r="Y6" s="8"/>
      <c r="Z6" s="8"/>
      <c r="AA6" s="8"/>
      <c r="AB6" s="8"/>
      <c r="AC6" s="8"/>
      <c r="AD6" s="8"/>
      <c r="AE6" s="8"/>
      <c r="AJ6" s="193" t="s">
        <v>185</v>
      </c>
      <c r="AK6" s="194">
        <f>'V Calc'!B2</f>
        <v>100</v>
      </c>
      <c r="AL6" s="124"/>
    </row>
    <row r="7" spans="1:55" ht="15" customHeight="1" x14ac:dyDescent="0.2">
      <c r="A7" s="32"/>
      <c r="B7" s="33"/>
      <c r="C7" s="33"/>
      <c r="D7" s="12"/>
      <c r="E7" s="3"/>
      <c r="F7" s="10" t="s">
        <v>130</v>
      </c>
      <c r="G7" s="1"/>
      <c r="H7" s="1"/>
      <c r="I7" s="3"/>
      <c r="J7" s="3"/>
      <c r="K7" s="3"/>
      <c r="L7" s="3"/>
      <c r="M7" s="3"/>
      <c r="N7" s="3"/>
      <c r="O7" s="3"/>
      <c r="P7" s="3"/>
      <c r="Q7" s="3"/>
      <c r="R7" s="3"/>
      <c r="S7" s="12"/>
      <c r="T7" s="12"/>
      <c r="U7" s="12"/>
      <c r="V7" s="14"/>
      <c r="X7" s="8"/>
      <c r="Y7" s="8"/>
      <c r="Z7" s="8"/>
      <c r="AA7" s="8"/>
      <c r="AB7" s="8"/>
      <c r="AC7" s="8"/>
      <c r="AD7" s="8"/>
      <c r="AE7" s="8"/>
      <c r="AJ7" s="193" t="s">
        <v>186</v>
      </c>
      <c r="AK7" s="195">
        <f>'V Calc'!B3</f>
        <v>2</v>
      </c>
      <c r="AL7" s="124"/>
    </row>
    <row r="8" spans="1:55" ht="15" customHeight="1" x14ac:dyDescent="0.2">
      <c r="A8" s="32"/>
      <c r="B8" s="33"/>
      <c r="C8" s="33"/>
      <c r="D8" s="12"/>
      <c r="E8" s="3"/>
      <c r="F8" s="10" t="s">
        <v>131</v>
      </c>
      <c r="G8" s="62"/>
      <c r="H8" s="62"/>
      <c r="I8" s="3"/>
      <c r="J8" s="3"/>
      <c r="K8" s="3"/>
      <c r="L8" s="3"/>
      <c r="M8" s="3"/>
      <c r="N8" s="3"/>
      <c r="O8" s="3"/>
      <c r="P8" s="3"/>
      <c r="Q8" s="3"/>
      <c r="R8" s="3"/>
      <c r="S8" s="12"/>
      <c r="T8" s="12"/>
      <c r="U8" s="12"/>
      <c r="V8" s="14"/>
      <c r="X8" s="8"/>
      <c r="Y8" s="8"/>
      <c r="Z8" s="8"/>
      <c r="AA8" s="8"/>
      <c r="AB8" s="8"/>
      <c r="AC8" s="8"/>
      <c r="AD8" s="8"/>
      <c r="AE8" s="8"/>
      <c r="AJ8" s="193" t="s">
        <v>187</v>
      </c>
      <c r="AK8" s="195">
        <f>'V Calc'!B4</f>
        <v>0.875</v>
      </c>
      <c r="AL8" s="124"/>
    </row>
    <row r="9" spans="1:55" ht="15" customHeight="1" thickBot="1" x14ac:dyDescent="0.25">
      <c r="A9" s="34"/>
      <c r="B9" s="29"/>
      <c r="C9" s="29"/>
      <c r="D9" s="29"/>
      <c r="E9" s="29"/>
      <c r="F9" s="15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16"/>
      <c r="T9" s="16"/>
      <c r="U9" s="16"/>
      <c r="V9" s="17"/>
      <c r="X9" s="8"/>
      <c r="Y9" s="8"/>
      <c r="Z9" s="8"/>
      <c r="AA9" s="8"/>
      <c r="AB9" s="8"/>
      <c r="AC9" s="8"/>
      <c r="AD9" s="8"/>
      <c r="AE9" s="8"/>
      <c r="AJ9" s="196" t="s">
        <v>188</v>
      </c>
      <c r="AK9" s="197">
        <f>'V Calc'!B5</f>
        <v>158.47</v>
      </c>
      <c r="AL9" s="198"/>
    </row>
    <row r="10" spans="1:55" s="9" customFormat="1" ht="30" customHeight="1" x14ac:dyDescent="0.2">
      <c r="A10" s="513" t="s">
        <v>20</v>
      </c>
      <c r="B10" s="514"/>
      <c r="C10" s="514"/>
      <c r="D10" s="514"/>
      <c r="E10" s="514"/>
      <c r="F10" s="514"/>
      <c r="G10" s="514"/>
      <c r="H10" s="514"/>
      <c r="I10" s="514"/>
      <c r="J10" s="514"/>
      <c r="K10" s="514"/>
      <c r="L10" s="514"/>
      <c r="M10" s="514"/>
      <c r="N10" s="514"/>
      <c r="O10" s="514"/>
      <c r="P10" s="514"/>
      <c r="Q10" s="514"/>
      <c r="R10" s="514"/>
      <c r="S10" s="514"/>
      <c r="T10" s="514"/>
      <c r="U10" s="514"/>
      <c r="V10" s="515"/>
      <c r="X10" s="96"/>
      <c r="Y10" s="96"/>
      <c r="Z10" s="96"/>
      <c r="AA10" s="96"/>
      <c r="AB10" s="96"/>
      <c r="AC10" s="96"/>
      <c r="AJ10" s="193" t="s">
        <v>189</v>
      </c>
      <c r="AK10" s="199">
        <f>'V Calc'!B6</f>
        <v>0.63607464142166403</v>
      </c>
      <c r="AL10" s="198" t="s">
        <v>190</v>
      </c>
    </row>
    <row r="11" spans="1:55" s="9" customFormat="1" ht="20.100000000000001" customHeight="1" thickBot="1" x14ac:dyDescent="0.25">
      <c r="A11" s="516" t="s">
        <v>21</v>
      </c>
      <c r="B11" s="517"/>
      <c r="C11" s="517"/>
      <c r="D11" s="517"/>
      <c r="E11" s="517"/>
      <c r="F11" s="517"/>
      <c r="G11" s="517"/>
      <c r="H11" s="517"/>
      <c r="I11" s="517"/>
      <c r="J11" s="517"/>
      <c r="K11" s="517"/>
      <c r="L11" s="517"/>
      <c r="M11" s="517"/>
      <c r="N11" s="517"/>
      <c r="O11" s="517"/>
      <c r="P11" s="517"/>
      <c r="Q11" s="517"/>
      <c r="R11" s="517"/>
      <c r="S11" s="517"/>
      <c r="T11" s="517"/>
      <c r="U11" s="517"/>
      <c r="V11" s="518"/>
      <c r="X11" s="97"/>
      <c r="Y11" s="97"/>
      <c r="Z11" s="97"/>
      <c r="AA11" s="97"/>
      <c r="AB11" s="97"/>
      <c r="AC11" s="97"/>
    </row>
    <row r="12" spans="1:55" s="6" customFormat="1" ht="30" customHeight="1" thickBot="1" x14ac:dyDescent="0.3">
      <c r="A12" s="18"/>
      <c r="B12" s="20"/>
      <c r="C12" s="20"/>
      <c r="D12" s="19" t="s">
        <v>121</v>
      </c>
      <c r="E12" s="200" t="str">
        <f>'Day 2'!E12</f>
        <v>MPR 632  RFD</v>
      </c>
      <c r="F12" s="35"/>
      <c r="G12" s="19" t="s">
        <v>120</v>
      </c>
      <c r="H12" s="200" t="str">
        <f>IF(Volume!C$6="","",Volume!C$6)</f>
        <v>FP 65354</v>
      </c>
      <c r="I12" s="20"/>
      <c r="J12" s="19" t="s">
        <v>17</v>
      </c>
      <c r="K12" s="505">
        <f>'Day 2'!K12+1</f>
        <v>45811</v>
      </c>
      <c r="L12" s="505"/>
      <c r="M12" s="100"/>
      <c r="N12" s="19" t="s">
        <v>119</v>
      </c>
      <c r="O12" s="200" t="str">
        <f>IF(Volume!D$6="","",Volume!D$6)</f>
        <v>SP. Tambun - Cluster F</v>
      </c>
      <c r="P12" s="20"/>
      <c r="Q12" s="19" t="s">
        <v>122</v>
      </c>
      <c r="S12" s="201">
        <f>IF(Volume!E$6="","",Volume!E$6)</f>
        <v>1.25</v>
      </c>
      <c r="T12" s="20"/>
      <c r="U12" s="19" t="s">
        <v>126</v>
      </c>
      <c r="V12" s="202" t="str">
        <f>IF(Volume!F$6="","",Volume!F$6)</f>
        <v>4/0</v>
      </c>
    </row>
    <row r="13" spans="1:55" ht="30" customHeight="1" thickBot="1" x14ac:dyDescent="0.3">
      <c r="A13" s="502" t="s">
        <v>0</v>
      </c>
      <c r="B13" s="502" t="s">
        <v>213</v>
      </c>
      <c r="C13" s="502" t="s">
        <v>212</v>
      </c>
      <c r="D13" s="502" t="s">
        <v>31</v>
      </c>
      <c r="E13" s="502" t="s">
        <v>32</v>
      </c>
      <c r="F13" s="502" t="s">
        <v>2</v>
      </c>
      <c r="G13" s="502" t="s">
        <v>33</v>
      </c>
      <c r="H13" s="502" t="s">
        <v>35</v>
      </c>
      <c r="I13" s="502" t="s">
        <v>36</v>
      </c>
      <c r="J13" s="502" t="s">
        <v>110</v>
      </c>
      <c r="K13" s="502" t="s">
        <v>15</v>
      </c>
      <c r="L13" s="502" t="s">
        <v>34</v>
      </c>
      <c r="M13" s="502" t="s">
        <v>10</v>
      </c>
      <c r="N13" s="502"/>
      <c r="O13" s="506" t="s">
        <v>300</v>
      </c>
      <c r="P13" s="506" t="s">
        <v>299</v>
      </c>
      <c r="Q13" s="502" t="s">
        <v>7</v>
      </c>
      <c r="R13" s="502" t="s">
        <v>88</v>
      </c>
      <c r="S13" s="502" t="s">
        <v>8</v>
      </c>
      <c r="T13" s="502"/>
      <c r="U13" s="502"/>
      <c r="V13" s="502"/>
      <c r="X13" s="98"/>
      <c r="Y13" s="98"/>
      <c r="Z13" s="98"/>
      <c r="AA13" s="98"/>
      <c r="AB13" s="98"/>
      <c r="AC13" s="98"/>
    </row>
    <row r="14" spans="1:55" ht="30" customHeight="1" x14ac:dyDescent="0.25">
      <c r="A14" s="504"/>
      <c r="B14" s="504"/>
      <c r="C14" s="504"/>
      <c r="D14" s="504"/>
      <c r="E14" s="504"/>
      <c r="F14" s="504"/>
      <c r="G14" s="504"/>
      <c r="H14" s="504"/>
      <c r="I14" s="504"/>
      <c r="J14" s="504"/>
      <c r="K14" s="504"/>
      <c r="L14" s="504"/>
      <c r="M14" s="94" t="s">
        <v>3</v>
      </c>
      <c r="N14" s="94" t="s">
        <v>4</v>
      </c>
      <c r="O14" s="507"/>
      <c r="P14" s="507"/>
      <c r="Q14" s="504"/>
      <c r="R14" s="504"/>
      <c r="S14" s="504"/>
      <c r="T14" s="504"/>
      <c r="U14" s="504"/>
      <c r="V14" s="504"/>
      <c r="Y14" s="502" t="s">
        <v>230</v>
      </c>
      <c r="Z14" s="502"/>
      <c r="AA14" s="502"/>
      <c r="AB14" s="502"/>
      <c r="AC14" s="502"/>
      <c r="AD14" s="502" t="s">
        <v>231</v>
      </c>
      <c r="AH14" s="203" t="s">
        <v>232</v>
      </c>
      <c r="AJ14" s="520" t="s">
        <v>191</v>
      </c>
      <c r="AK14" s="520" t="s">
        <v>192</v>
      </c>
      <c r="AL14" s="520" t="s">
        <v>193</v>
      </c>
      <c r="AM14" s="520" t="s">
        <v>194</v>
      </c>
      <c r="AN14" s="520" t="s">
        <v>195</v>
      </c>
      <c r="AO14" s="506" t="s">
        <v>196</v>
      </c>
      <c r="AP14" s="506" t="s">
        <v>197</v>
      </c>
      <c r="AQ14" s="506" t="s">
        <v>198</v>
      </c>
      <c r="AR14" s="506" t="s">
        <v>188</v>
      </c>
      <c r="AS14" s="506" t="s">
        <v>199</v>
      </c>
      <c r="AT14" s="506" t="s">
        <v>200</v>
      </c>
      <c r="AU14" s="506" t="s">
        <v>201</v>
      </c>
      <c r="AV14" s="506" t="s">
        <v>202</v>
      </c>
      <c r="AW14" s="506" t="s">
        <v>203</v>
      </c>
      <c r="AX14" s="506" t="s">
        <v>204</v>
      </c>
      <c r="AY14" s="523" t="s">
        <v>205</v>
      </c>
      <c r="AZ14" s="523" t="s">
        <v>206</v>
      </c>
      <c r="BA14" s="523" t="s">
        <v>207</v>
      </c>
      <c r="BB14" s="523" t="s">
        <v>208</v>
      </c>
      <c r="BC14" s="506" t="s">
        <v>197</v>
      </c>
    </row>
    <row r="15" spans="1:55" ht="20.100000000000001" customHeight="1" thickBot="1" x14ac:dyDescent="0.3">
      <c r="A15" s="503"/>
      <c r="B15" s="95" t="s">
        <v>1</v>
      </c>
      <c r="C15" s="95" t="s">
        <v>1</v>
      </c>
      <c r="D15" s="95" t="s">
        <v>1</v>
      </c>
      <c r="E15" s="95" t="s">
        <v>1</v>
      </c>
      <c r="F15" s="95" t="s">
        <v>140</v>
      </c>
      <c r="G15" s="95" t="s">
        <v>1</v>
      </c>
      <c r="H15" s="95" t="s">
        <v>1</v>
      </c>
      <c r="I15" s="95" t="s">
        <v>1</v>
      </c>
      <c r="J15" s="95" t="s">
        <v>18</v>
      </c>
      <c r="K15" s="95" t="s">
        <v>9</v>
      </c>
      <c r="L15" s="95" t="s">
        <v>5</v>
      </c>
      <c r="M15" s="95" t="s">
        <v>5</v>
      </c>
      <c r="N15" s="95" t="s">
        <v>5</v>
      </c>
      <c r="O15" s="95" t="s">
        <v>1</v>
      </c>
      <c r="P15" s="95" t="s">
        <v>14</v>
      </c>
      <c r="Q15" s="95" t="str">
        <f>IF(MR!G17="MSCF","MSCFD","MMSCFD")</f>
        <v>MSCFD</v>
      </c>
      <c r="R15" s="95" t="str">
        <f>MR!L17</f>
        <v>BPD</v>
      </c>
      <c r="S15" s="503"/>
      <c r="T15" s="503"/>
      <c r="U15" s="503"/>
      <c r="V15" s="503"/>
      <c r="X15" s="365"/>
      <c r="Y15" s="95" t="s">
        <v>123</v>
      </c>
      <c r="Z15" s="95" t="s">
        <v>124</v>
      </c>
      <c r="AA15" s="95" t="s">
        <v>125</v>
      </c>
      <c r="AB15" s="95" t="s">
        <v>51</v>
      </c>
      <c r="AC15" s="95" t="s">
        <v>48</v>
      </c>
      <c r="AD15" s="503"/>
      <c r="AH15" s="204" t="s">
        <v>228</v>
      </c>
      <c r="AJ15" s="521"/>
      <c r="AK15" s="521"/>
      <c r="AL15" s="521"/>
      <c r="AM15" s="521"/>
      <c r="AN15" s="521"/>
      <c r="AO15" s="522"/>
      <c r="AP15" s="522"/>
      <c r="AQ15" s="522"/>
      <c r="AR15" s="522"/>
      <c r="AS15" s="522"/>
      <c r="AT15" s="522"/>
      <c r="AU15" s="522"/>
      <c r="AV15" s="522"/>
      <c r="AW15" s="522"/>
      <c r="AX15" s="522"/>
      <c r="AY15" s="524"/>
      <c r="AZ15" s="524"/>
      <c r="BA15" s="524"/>
      <c r="BB15" s="524"/>
      <c r="BC15" s="522"/>
    </row>
    <row r="16" spans="1:55" ht="20.100000000000001" customHeight="1" x14ac:dyDescent="0.2">
      <c r="A16" s="44">
        <v>4.1666666666666664E-2</v>
      </c>
      <c r="B16" s="450"/>
      <c r="C16" s="450"/>
      <c r="D16" s="450">
        <v>6.2</v>
      </c>
      <c r="E16" s="450">
        <v>58.4</v>
      </c>
      <c r="F16" s="40">
        <v>1915</v>
      </c>
      <c r="G16" s="37">
        <v>-5.5</v>
      </c>
      <c r="H16" s="36">
        <v>71.599999999999994</v>
      </c>
      <c r="I16" s="36">
        <v>21.6</v>
      </c>
      <c r="J16" s="40">
        <v>128</v>
      </c>
      <c r="K16" s="37">
        <v>13</v>
      </c>
      <c r="L16" s="450">
        <v>125</v>
      </c>
      <c r="M16" s="450">
        <v>222</v>
      </c>
      <c r="N16" s="451">
        <v>90</v>
      </c>
      <c r="O16" s="353">
        <v>50</v>
      </c>
      <c r="P16" s="352">
        <v>11</v>
      </c>
      <c r="Q16" s="352">
        <v>238.04</v>
      </c>
      <c r="R16" s="36"/>
      <c r="S16" s="519" t="str">
        <f t="shared" ref="S16:S32" si="0">IF(Z16="",IF(AD16="","",AD16),CONCATENATE(TEXT(Z16,"[hh]:mm"),IF(AA16="",""," - "&amp;TEXT(AA16,"[hh]:mm")),IF(Y16="",""," "&amp;Y16&amp;"/")," "&amp;AD16))</f>
        <v/>
      </c>
      <c r="T16" s="519"/>
      <c r="U16" s="519"/>
      <c r="V16" s="519"/>
      <c r="X16" s="44">
        <v>4.1666666666666664E-2</v>
      </c>
      <c r="Y16" s="105"/>
      <c r="Z16" s="101"/>
      <c r="AA16" s="101"/>
      <c r="AB16" s="44" t="str">
        <f>IF(Y16="STBY",AA16-Z16,"")</f>
        <v/>
      </c>
      <c r="AC16" s="44" t="str">
        <f t="shared" ref="AC16:AC39" si="1">IF(Y16="SD",AA16-Z16,"")</f>
        <v/>
      </c>
      <c r="AD16" s="355"/>
      <c r="AE16" s="9" t="str">
        <f>IF(S16="","",IF(COUNTA(Z16:$Z$39)=1,IF(COUNTA(AD16:$AD$39)=1,""," ; "),IF(COUNTA(AD16:$AD$39)=1,IF(Z16="",""," ; ")," ; ")))</f>
        <v/>
      </c>
      <c r="AF16" s="9" t="str">
        <f t="shared" ref="AF16:AF39" si="2">CONCATENATE(S16,AE16)</f>
        <v/>
      </c>
      <c r="AG16" s="90" t="str">
        <f t="shared" ref="AG16:AG39" si="3">IF(AND(COUNTBLANK(N16:P16)&lt;3,Q16=""),"CEK : Data Flowrate","")</f>
        <v/>
      </c>
      <c r="AH16" s="204" t="s">
        <v>229</v>
      </c>
      <c r="AJ16" s="205">
        <f>AK5</f>
        <v>500</v>
      </c>
      <c r="AK16" s="205">
        <f>AK6</f>
        <v>100</v>
      </c>
      <c r="AL16" s="206">
        <f>AK7</f>
        <v>2</v>
      </c>
      <c r="AM16" s="207">
        <f>AK8</f>
        <v>0.875</v>
      </c>
      <c r="AN16" s="208">
        <f>AK10</f>
        <v>0.63607464142166403</v>
      </c>
      <c r="AO16" s="209">
        <f t="shared" ref="AO16:AO39" si="4">T16^2*AJ16/100-14.7</f>
        <v>-14.7</v>
      </c>
      <c r="AP16" s="210">
        <f t="shared" ref="AP16:AP39" si="5">IF(AO16&lt;100,1,BC16)</f>
        <v>1</v>
      </c>
      <c r="AQ16" s="210">
        <f t="shared" ref="AQ16:AQ39" si="6">(1/AP16)^0.5</f>
        <v>1</v>
      </c>
      <c r="AR16" s="52">
        <f>AK9</f>
        <v>158.47</v>
      </c>
      <c r="AS16" s="210">
        <f t="shared" ref="AS16:AS39" si="7">(520/(460+N16))^0.5</f>
        <v>0.9723448696087954</v>
      </c>
      <c r="AT16" s="210">
        <f t="shared" ref="AT16:AT39" si="8">(1/AN16)^0.5</f>
        <v>1.2538510821608391</v>
      </c>
      <c r="AU16" s="210">
        <f t="shared" ref="AU16:AU39" si="9">0.01*(AJ16*AK16)^0.5</f>
        <v>2.2360679774997898</v>
      </c>
      <c r="AV16" s="211">
        <f t="shared" ref="AV16:AV39" si="10">0.024*AQ16*AR16*AS16*AT16*AU16</f>
        <v>10.368348541764712</v>
      </c>
      <c r="AW16" s="210">
        <f t="shared" ref="AW16:AW39" si="11">(AO16+14.7)/(697.2-43*AN16)</f>
        <v>0</v>
      </c>
      <c r="AX16" s="212">
        <f t="shared" ref="AX16:AX39" si="12">(N16+460)/(315.1*AN16+170.4)</f>
        <v>1.4831709199797398</v>
      </c>
      <c r="AY16" s="210">
        <f t="shared" ref="AY16:AY39" si="13">0.3379*LN(LN(AX16))+1.091</f>
        <v>0.77643477842613629</v>
      </c>
      <c r="AZ16" s="211">
        <f t="shared" ref="AZ16:AZ39" si="14">21.46*AY16-11.9*AY16^2-5.9</f>
        <v>3.5883638597441294</v>
      </c>
      <c r="BA16" s="210">
        <f t="shared" ref="BA16:BA39" si="15">AW16/AZ16</f>
        <v>0</v>
      </c>
      <c r="BB16" s="210">
        <f t="shared" ref="BB16:BB39" si="16">(1.1+0.26*AX16+(1.04-1.42*AX16)*BA16)*2.718^BA16/AX16</f>
        <v>1.0016542390239327</v>
      </c>
      <c r="BC16" s="210">
        <f t="shared" ref="BC16:BC39" si="17">1+(AY16-1)*SIN((90*BA16)/57.29578)^BB16</f>
        <v>1</v>
      </c>
    </row>
    <row r="17" spans="1:55" ht="20.100000000000001" customHeight="1" x14ac:dyDescent="0.2">
      <c r="A17" s="45">
        <v>8.3333333333333301E-2</v>
      </c>
      <c r="B17" s="451"/>
      <c r="C17" s="451"/>
      <c r="D17" s="451">
        <v>7.5</v>
      </c>
      <c r="E17" s="451">
        <v>56.7</v>
      </c>
      <c r="F17" s="41">
        <v>1930</v>
      </c>
      <c r="G17" s="37">
        <v>-5.5</v>
      </c>
      <c r="H17" s="37">
        <v>71.400000000000006</v>
      </c>
      <c r="I17" s="37">
        <v>21.4</v>
      </c>
      <c r="J17" s="41">
        <v>129</v>
      </c>
      <c r="K17" s="37">
        <v>13</v>
      </c>
      <c r="L17" s="451">
        <v>125</v>
      </c>
      <c r="M17" s="451">
        <v>222</v>
      </c>
      <c r="N17" s="451">
        <v>90</v>
      </c>
      <c r="O17" s="353">
        <v>50</v>
      </c>
      <c r="P17" s="353">
        <v>11</v>
      </c>
      <c r="Q17" s="353">
        <v>238.04</v>
      </c>
      <c r="R17" s="37"/>
      <c r="S17" s="508" t="str">
        <f t="shared" si="0"/>
        <v/>
      </c>
      <c r="T17" s="508"/>
      <c r="U17" s="508"/>
      <c r="V17" s="508"/>
      <c r="X17" s="45">
        <v>8.3333333333333301E-2</v>
      </c>
      <c r="Y17" s="106"/>
      <c r="Z17" s="102"/>
      <c r="AA17" s="102"/>
      <c r="AB17" s="45" t="str">
        <f t="shared" ref="AB17:AB39" si="18">IF(Y17="STBY",AA17-Z17,"")</f>
        <v/>
      </c>
      <c r="AC17" s="45" t="str">
        <f t="shared" si="1"/>
        <v/>
      </c>
      <c r="AD17" s="81"/>
      <c r="AE17" s="9" t="str">
        <f>IF(S17="","",IF(COUNTA(Z17:$Z$39)=1,IF(COUNTA(AD17:$AD$39)=1,""," ; "),IF(COUNTA(AD17:$AD$39)=1,IF(Z17="",""," ; ")," ; ")))</f>
        <v/>
      </c>
      <c r="AF17" s="9" t="str">
        <f t="shared" si="2"/>
        <v/>
      </c>
      <c r="AG17" s="90" t="str">
        <f t="shared" si="3"/>
        <v/>
      </c>
      <c r="AH17" s="204" t="s">
        <v>289</v>
      </c>
      <c r="AJ17" s="206">
        <f t="shared" ref="AJ17:AN32" si="19">AJ16</f>
        <v>500</v>
      </c>
      <c r="AK17" s="206">
        <f t="shared" si="19"/>
        <v>100</v>
      </c>
      <c r="AL17" s="206">
        <f>AL16</f>
        <v>2</v>
      </c>
      <c r="AM17" s="213">
        <f>AM16</f>
        <v>0.875</v>
      </c>
      <c r="AN17" s="214">
        <f>AN16</f>
        <v>0.63607464142166403</v>
      </c>
      <c r="AO17" s="215">
        <f t="shared" si="4"/>
        <v>-14.7</v>
      </c>
      <c r="AP17" s="216">
        <f t="shared" si="5"/>
        <v>1</v>
      </c>
      <c r="AQ17" s="216">
        <f t="shared" si="6"/>
        <v>1</v>
      </c>
      <c r="AR17" s="215">
        <f>AR16</f>
        <v>158.47</v>
      </c>
      <c r="AS17" s="216">
        <f t="shared" si="7"/>
        <v>0.9723448696087954</v>
      </c>
      <c r="AT17" s="216">
        <f t="shared" si="8"/>
        <v>1.2538510821608391</v>
      </c>
      <c r="AU17" s="216">
        <f t="shared" si="9"/>
        <v>2.2360679774997898</v>
      </c>
      <c r="AV17" s="217">
        <f t="shared" si="10"/>
        <v>10.368348541764712</v>
      </c>
      <c r="AW17" s="216">
        <f t="shared" si="11"/>
        <v>0</v>
      </c>
      <c r="AX17" s="218">
        <f t="shared" si="12"/>
        <v>1.4831709199797398</v>
      </c>
      <c r="AY17" s="216">
        <f t="shared" si="13"/>
        <v>0.77643477842613629</v>
      </c>
      <c r="AZ17" s="217">
        <f t="shared" si="14"/>
        <v>3.5883638597441294</v>
      </c>
      <c r="BA17" s="216">
        <f t="shared" si="15"/>
        <v>0</v>
      </c>
      <c r="BB17" s="216">
        <f t="shared" si="16"/>
        <v>1.0016542390239327</v>
      </c>
      <c r="BC17" s="216">
        <f t="shared" si="17"/>
        <v>1</v>
      </c>
    </row>
    <row r="18" spans="1:55" ht="20.100000000000001" customHeight="1" x14ac:dyDescent="0.2">
      <c r="A18" s="45">
        <v>0.125</v>
      </c>
      <c r="B18" s="451"/>
      <c r="C18" s="451"/>
      <c r="D18" s="451">
        <v>7.7</v>
      </c>
      <c r="E18" s="451">
        <v>54.8</v>
      </c>
      <c r="F18" s="41">
        <v>1946</v>
      </c>
      <c r="G18" s="37">
        <v>-5.5</v>
      </c>
      <c r="H18" s="37">
        <v>71.2</v>
      </c>
      <c r="I18" s="37">
        <v>21.7</v>
      </c>
      <c r="J18" s="41">
        <v>130</v>
      </c>
      <c r="K18" s="37">
        <v>13</v>
      </c>
      <c r="L18" s="451">
        <v>127</v>
      </c>
      <c r="M18" s="451">
        <v>221</v>
      </c>
      <c r="N18" s="451">
        <v>90</v>
      </c>
      <c r="O18" s="353">
        <v>50</v>
      </c>
      <c r="P18" s="353">
        <v>8</v>
      </c>
      <c r="Q18" s="353">
        <v>203.27</v>
      </c>
      <c r="R18" s="37"/>
      <c r="S18" s="508" t="str">
        <f t="shared" si="0"/>
        <v/>
      </c>
      <c r="T18" s="508"/>
      <c r="U18" s="508"/>
      <c r="V18" s="508"/>
      <c r="X18" s="45">
        <v>0.125</v>
      </c>
      <c r="Y18" s="106"/>
      <c r="Z18" s="102"/>
      <c r="AA18" s="102"/>
      <c r="AB18" s="45" t="str">
        <f t="shared" si="18"/>
        <v/>
      </c>
      <c r="AC18" s="45" t="str">
        <f t="shared" si="1"/>
        <v/>
      </c>
      <c r="AD18" s="81"/>
      <c r="AE18" s="9" t="str">
        <f>IF(S18="","",IF(COUNTA(Z18:$Z$39)=1,IF(COUNTA(AD18:$AD$39)=1,""," ; "),IF(COUNTA(AD18:$AD$39)=1,IF(Z18="",""," ; ")," ; ")))</f>
        <v/>
      </c>
      <c r="AF18" s="9" t="str">
        <f t="shared" si="2"/>
        <v/>
      </c>
      <c r="AG18" s="90" t="str">
        <f t="shared" si="3"/>
        <v/>
      </c>
      <c r="AH18" s="204" t="s">
        <v>321</v>
      </c>
      <c r="AJ18" s="206">
        <f t="shared" si="19"/>
        <v>500</v>
      </c>
      <c r="AK18" s="206">
        <f t="shared" si="19"/>
        <v>100</v>
      </c>
      <c r="AL18" s="206">
        <f t="shared" si="19"/>
        <v>2</v>
      </c>
      <c r="AM18" s="213">
        <f t="shared" si="19"/>
        <v>0.875</v>
      </c>
      <c r="AN18" s="214">
        <f t="shared" si="19"/>
        <v>0.63607464142166403</v>
      </c>
      <c r="AO18" s="215">
        <f t="shared" si="4"/>
        <v>-14.7</v>
      </c>
      <c r="AP18" s="216">
        <f t="shared" si="5"/>
        <v>1</v>
      </c>
      <c r="AQ18" s="216">
        <f t="shared" si="6"/>
        <v>1</v>
      </c>
      <c r="AR18" s="215">
        <f t="shared" ref="AR18:AR39" si="20">AR17</f>
        <v>158.47</v>
      </c>
      <c r="AS18" s="216">
        <f t="shared" si="7"/>
        <v>0.9723448696087954</v>
      </c>
      <c r="AT18" s="216">
        <f t="shared" si="8"/>
        <v>1.2538510821608391</v>
      </c>
      <c r="AU18" s="216">
        <f t="shared" si="9"/>
        <v>2.2360679774997898</v>
      </c>
      <c r="AV18" s="217">
        <f t="shared" si="10"/>
        <v>10.368348541764712</v>
      </c>
      <c r="AW18" s="216">
        <f t="shared" si="11"/>
        <v>0</v>
      </c>
      <c r="AX18" s="218">
        <f t="shared" si="12"/>
        <v>1.4831709199797398</v>
      </c>
      <c r="AY18" s="216">
        <f t="shared" si="13"/>
        <v>0.77643477842613629</v>
      </c>
      <c r="AZ18" s="217">
        <f t="shared" si="14"/>
        <v>3.5883638597441294</v>
      </c>
      <c r="BA18" s="216">
        <f t="shared" si="15"/>
        <v>0</v>
      </c>
      <c r="BB18" s="216">
        <f t="shared" si="16"/>
        <v>1.0016542390239327</v>
      </c>
      <c r="BC18" s="216">
        <f t="shared" si="17"/>
        <v>1</v>
      </c>
    </row>
    <row r="19" spans="1:55" ht="20.100000000000001" customHeight="1" x14ac:dyDescent="0.2">
      <c r="A19" s="45">
        <v>0.16666666666666699</v>
      </c>
      <c r="B19" s="451"/>
      <c r="C19" s="451"/>
      <c r="D19" s="451">
        <v>5.8</v>
      </c>
      <c r="E19" s="451">
        <v>56.4</v>
      </c>
      <c r="F19" s="41">
        <v>1922</v>
      </c>
      <c r="G19" s="37">
        <v>-5.5</v>
      </c>
      <c r="H19" s="37">
        <v>71.599999999999994</v>
      </c>
      <c r="I19" s="37">
        <v>21.3</v>
      </c>
      <c r="J19" s="41">
        <v>131</v>
      </c>
      <c r="K19" s="37">
        <v>13</v>
      </c>
      <c r="L19" s="451">
        <v>127</v>
      </c>
      <c r="M19" s="451">
        <v>221</v>
      </c>
      <c r="N19" s="451">
        <v>90</v>
      </c>
      <c r="O19" s="353">
        <v>50</v>
      </c>
      <c r="P19" s="353">
        <v>8</v>
      </c>
      <c r="Q19" s="353">
        <v>203.27</v>
      </c>
      <c r="R19" s="37"/>
      <c r="S19" s="508" t="str">
        <f t="shared" si="0"/>
        <v/>
      </c>
      <c r="T19" s="508"/>
      <c r="U19" s="508"/>
      <c r="V19" s="508"/>
      <c r="X19" s="45">
        <v>0.16666666666666699</v>
      </c>
      <c r="Y19" s="106"/>
      <c r="Z19" s="102"/>
      <c r="AA19" s="102"/>
      <c r="AB19" s="45" t="str">
        <f t="shared" si="18"/>
        <v/>
      </c>
      <c r="AC19" s="45" t="str">
        <f t="shared" si="1"/>
        <v/>
      </c>
      <c r="AD19" s="81"/>
      <c r="AE19" s="9" t="str">
        <f>IF(S19="","",IF(COUNTA(Z19:$Z$39)=1,IF(COUNTA(AD19:$AD$39)=1,""," ; "),IF(COUNTA(AD19:$AD$39)=1,IF(Z19="",""," ; ")," ; ")))</f>
        <v/>
      </c>
      <c r="AF19" s="9" t="str">
        <f t="shared" si="2"/>
        <v/>
      </c>
      <c r="AG19" s="90" t="str">
        <f t="shared" si="3"/>
        <v/>
      </c>
      <c r="AH19" s="204" t="s">
        <v>272</v>
      </c>
      <c r="AJ19" s="206">
        <f t="shared" si="19"/>
        <v>500</v>
      </c>
      <c r="AK19" s="206">
        <f t="shared" si="19"/>
        <v>100</v>
      </c>
      <c r="AL19" s="206">
        <f t="shared" si="19"/>
        <v>2</v>
      </c>
      <c r="AM19" s="213">
        <f t="shared" si="19"/>
        <v>0.875</v>
      </c>
      <c r="AN19" s="214">
        <f t="shared" si="19"/>
        <v>0.63607464142166403</v>
      </c>
      <c r="AO19" s="215">
        <f t="shared" si="4"/>
        <v>-14.7</v>
      </c>
      <c r="AP19" s="216">
        <f t="shared" si="5"/>
        <v>1</v>
      </c>
      <c r="AQ19" s="216">
        <f t="shared" si="6"/>
        <v>1</v>
      </c>
      <c r="AR19" s="215">
        <f t="shared" si="20"/>
        <v>158.47</v>
      </c>
      <c r="AS19" s="216">
        <f t="shared" si="7"/>
        <v>0.9723448696087954</v>
      </c>
      <c r="AT19" s="216">
        <f t="shared" si="8"/>
        <v>1.2538510821608391</v>
      </c>
      <c r="AU19" s="216">
        <f t="shared" si="9"/>
        <v>2.2360679774997898</v>
      </c>
      <c r="AV19" s="217">
        <f t="shared" si="10"/>
        <v>10.368348541764712</v>
      </c>
      <c r="AW19" s="216">
        <f t="shared" si="11"/>
        <v>0</v>
      </c>
      <c r="AX19" s="218">
        <f t="shared" si="12"/>
        <v>1.4831709199797398</v>
      </c>
      <c r="AY19" s="216">
        <f t="shared" si="13"/>
        <v>0.77643477842613629</v>
      </c>
      <c r="AZ19" s="217">
        <f t="shared" si="14"/>
        <v>3.5883638597441294</v>
      </c>
      <c r="BA19" s="216">
        <f t="shared" si="15"/>
        <v>0</v>
      </c>
      <c r="BB19" s="216">
        <f t="shared" si="16"/>
        <v>1.0016542390239327</v>
      </c>
      <c r="BC19" s="216">
        <f t="shared" si="17"/>
        <v>1</v>
      </c>
    </row>
    <row r="20" spans="1:55" ht="20.100000000000001" customHeight="1" x14ac:dyDescent="0.2">
      <c r="A20" s="45">
        <v>0.20833333333333301</v>
      </c>
      <c r="B20" s="451"/>
      <c r="C20" s="451"/>
      <c r="D20" s="451">
        <v>7.1</v>
      </c>
      <c r="E20" s="451">
        <v>54.9</v>
      </c>
      <c r="F20" s="41">
        <v>1921</v>
      </c>
      <c r="G20" s="37">
        <v>-5.5</v>
      </c>
      <c r="H20" s="37">
        <v>71.900000000000006</v>
      </c>
      <c r="I20" s="37">
        <v>21.5</v>
      </c>
      <c r="J20" s="41">
        <v>132</v>
      </c>
      <c r="K20" s="37">
        <v>13</v>
      </c>
      <c r="L20" s="451">
        <v>120</v>
      </c>
      <c r="M20" s="451">
        <v>220</v>
      </c>
      <c r="N20" s="451">
        <v>90</v>
      </c>
      <c r="O20" s="353">
        <v>50</v>
      </c>
      <c r="P20" s="353">
        <v>10</v>
      </c>
      <c r="Q20" s="353">
        <v>227.05</v>
      </c>
      <c r="R20" s="37"/>
      <c r="S20" s="508" t="str">
        <f t="shared" si="0"/>
        <v/>
      </c>
      <c r="T20" s="508"/>
      <c r="U20" s="508"/>
      <c r="V20" s="508"/>
      <c r="X20" s="45">
        <v>0.20833333333333301</v>
      </c>
      <c r="Y20" s="106"/>
      <c r="Z20" s="102"/>
      <c r="AA20" s="102"/>
      <c r="AB20" s="45" t="str">
        <f t="shared" si="18"/>
        <v/>
      </c>
      <c r="AC20" s="45" t="str">
        <f t="shared" si="1"/>
        <v/>
      </c>
      <c r="AD20" s="81"/>
      <c r="AE20" s="9" t="str">
        <f>IF(S20="","",IF(COUNTA(Z20:$Z$39)=1,IF(COUNTA(AD20:$AD$39)=1,""," ; "),IF(COUNTA(AD20:$AD$39)=1,IF(Z20="",""," ; ")," ; ")))</f>
        <v/>
      </c>
      <c r="AF20" s="9" t="str">
        <f t="shared" si="2"/>
        <v/>
      </c>
      <c r="AG20" s="90" t="str">
        <f t="shared" si="3"/>
        <v/>
      </c>
      <c r="AH20" s="204" t="s">
        <v>275</v>
      </c>
      <c r="AJ20" s="206">
        <f t="shared" si="19"/>
        <v>500</v>
      </c>
      <c r="AK20" s="206">
        <f t="shared" si="19"/>
        <v>100</v>
      </c>
      <c r="AL20" s="206">
        <f t="shared" si="19"/>
        <v>2</v>
      </c>
      <c r="AM20" s="213">
        <f t="shared" si="19"/>
        <v>0.875</v>
      </c>
      <c r="AN20" s="214">
        <f t="shared" si="19"/>
        <v>0.63607464142166403</v>
      </c>
      <c r="AO20" s="215">
        <f t="shared" si="4"/>
        <v>-14.7</v>
      </c>
      <c r="AP20" s="216">
        <f t="shared" si="5"/>
        <v>1</v>
      </c>
      <c r="AQ20" s="216">
        <f t="shared" si="6"/>
        <v>1</v>
      </c>
      <c r="AR20" s="215">
        <f t="shared" si="20"/>
        <v>158.47</v>
      </c>
      <c r="AS20" s="216">
        <f t="shared" si="7"/>
        <v>0.9723448696087954</v>
      </c>
      <c r="AT20" s="216">
        <f t="shared" si="8"/>
        <v>1.2538510821608391</v>
      </c>
      <c r="AU20" s="216">
        <f t="shared" si="9"/>
        <v>2.2360679774997898</v>
      </c>
      <c r="AV20" s="217">
        <f t="shared" si="10"/>
        <v>10.368348541764712</v>
      </c>
      <c r="AW20" s="216">
        <f t="shared" si="11"/>
        <v>0</v>
      </c>
      <c r="AX20" s="218">
        <f t="shared" si="12"/>
        <v>1.4831709199797398</v>
      </c>
      <c r="AY20" s="216">
        <f t="shared" si="13"/>
        <v>0.77643477842613629</v>
      </c>
      <c r="AZ20" s="217">
        <f t="shared" si="14"/>
        <v>3.5883638597441294</v>
      </c>
      <c r="BA20" s="216">
        <f t="shared" si="15"/>
        <v>0</v>
      </c>
      <c r="BB20" s="216">
        <f t="shared" si="16"/>
        <v>1.0016542390239327</v>
      </c>
      <c r="BC20" s="216">
        <f t="shared" si="17"/>
        <v>1</v>
      </c>
    </row>
    <row r="21" spans="1:55" ht="20.100000000000001" customHeight="1" x14ac:dyDescent="0.2">
      <c r="A21" s="45">
        <v>0.25</v>
      </c>
      <c r="B21" s="451"/>
      <c r="C21" s="451"/>
      <c r="D21" s="451">
        <v>5.8</v>
      </c>
      <c r="E21" s="451">
        <v>60</v>
      </c>
      <c r="F21" s="41">
        <v>1918</v>
      </c>
      <c r="G21" s="37">
        <v>-5.5</v>
      </c>
      <c r="H21" s="37">
        <v>71.400000000000006</v>
      </c>
      <c r="I21" s="37">
        <v>21.6</v>
      </c>
      <c r="J21" s="41">
        <v>133</v>
      </c>
      <c r="K21" s="37">
        <v>13</v>
      </c>
      <c r="L21" s="451">
        <v>122</v>
      </c>
      <c r="M21" s="451">
        <v>222</v>
      </c>
      <c r="N21" s="451">
        <v>90</v>
      </c>
      <c r="O21" s="353">
        <v>50</v>
      </c>
      <c r="P21" s="353">
        <v>10</v>
      </c>
      <c r="Q21" s="353">
        <v>227.05</v>
      </c>
      <c r="R21" s="37"/>
      <c r="S21" s="508" t="str">
        <f t="shared" si="0"/>
        <v/>
      </c>
      <c r="T21" s="508"/>
      <c r="U21" s="508"/>
      <c r="V21" s="508"/>
      <c r="X21" s="45">
        <v>0.25</v>
      </c>
      <c r="Y21" s="106"/>
      <c r="Z21" s="102"/>
      <c r="AA21" s="102"/>
      <c r="AB21" s="45" t="str">
        <f t="shared" si="18"/>
        <v/>
      </c>
      <c r="AC21" s="45" t="str">
        <f t="shared" si="1"/>
        <v/>
      </c>
      <c r="AD21" s="81"/>
      <c r="AE21" s="9" t="str">
        <f>IF(S21="","",IF(COUNTA(Z21:$Z$39)=1,IF(COUNTA(AD21:$AD$39)=1,""," ; "),IF(COUNTA(AD21:$AD$39)=1,IF(Z21="",""," ; ")," ; ")))</f>
        <v/>
      </c>
      <c r="AF21" s="9" t="str">
        <f t="shared" si="2"/>
        <v/>
      </c>
      <c r="AG21" s="90" t="str">
        <f t="shared" si="3"/>
        <v/>
      </c>
      <c r="AH21" s="204" t="s">
        <v>322</v>
      </c>
      <c r="AJ21" s="206">
        <f t="shared" si="19"/>
        <v>500</v>
      </c>
      <c r="AK21" s="206">
        <f t="shared" si="19"/>
        <v>100</v>
      </c>
      <c r="AL21" s="206">
        <f t="shared" si="19"/>
        <v>2</v>
      </c>
      <c r="AM21" s="213">
        <f t="shared" si="19"/>
        <v>0.875</v>
      </c>
      <c r="AN21" s="214">
        <f t="shared" si="19"/>
        <v>0.63607464142166403</v>
      </c>
      <c r="AO21" s="215">
        <f t="shared" si="4"/>
        <v>-14.7</v>
      </c>
      <c r="AP21" s="216">
        <f t="shared" si="5"/>
        <v>1</v>
      </c>
      <c r="AQ21" s="216">
        <f t="shared" si="6"/>
        <v>1</v>
      </c>
      <c r="AR21" s="215">
        <f t="shared" si="20"/>
        <v>158.47</v>
      </c>
      <c r="AS21" s="216">
        <f t="shared" si="7"/>
        <v>0.9723448696087954</v>
      </c>
      <c r="AT21" s="216">
        <f t="shared" si="8"/>
        <v>1.2538510821608391</v>
      </c>
      <c r="AU21" s="216">
        <f t="shared" si="9"/>
        <v>2.2360679774997898</v>
      </c>
      <c r="AV21" s="217">
        <f t="shared" si="10"/>
        <v>10.368348541764712</v>
      </c>
      <c r="AW21" s="216">
        <f t="shared" si="11"/>
        <v>0</v>
      </c>
      <c r="AX21" s="218">
        <f t="shared" si="12"/>
        <v>1.4831709199797398</v>
      </c>
      <c r="AY21" s="216">
        <f t="shared" si="13"/>
        <v>0.77643477842613629</v>
      </c>
      <c r="AZ21" s="217">
        <f t="shared" si="14"/>
        <v>3.5883638597441294</v>
      </c>
      <c r="BA21" s="216">
        <f t="shared" si="15"/>
        <v>0</v>
      </c>
      <c r="BB21" s="216">
        <f t="shared" si="16"/>
        <v>1.0016542390239327</v>
      </c>
      <c r="BC21" s="216">
        <f t="shared" si="17"/>
        <v>1</v>
      </c>
    </row>
    <row r="22" spans="1:55" ht="20.100000000000001" customHeight="1" x14ac:dyDescent="0.2">
      <c r="A22" s="45">
        <v>0.29166666666666702</v>
      </c>
      <c r="B22" s="451"/>
      <c r="C22" s="451"/>
      <c r="D22" s="451">
        <v>5.6</v>
      </c>
      <c r="E22" s="451">
        <v>63.4</v>
      </c>
      <c r="F22" s="41">
        <v>1925</v>
      </c>
      <c r="G22" s="37">
        <v>-5.5</v>
      </c>
      <c r="H22" s="37">
        <v>71.3</v>
      </c>
      <c r="I22" s="37">
        <v>21.7</v>
      </c>
      <c r="J22" s="41">
        <v>134</v>
      </c>
      <c r="K22" s="37">
        <v>13</v>
      </c>
      <c r="L22" s="451">
        <v>124</v>
      </c>
      <c r="M22" s="451">
        <v>227</v>
      </c>
      <c r="N22" s="451">
        <v>90</v>
      </c>
      <c r="O22" s="353">
        <v>50</v>
      </c>
      <c r="P22" s="353">
        <v>11</v>
      </c>
      <c r="Q22" s="353">
        <v>238.04</v>
      </c>
      <c r="R22" s="37"/>
      <c r="S22" s="508" t="str">
        <f t="shared" si="0"/>
        <v/>
      </c>
      <c r="T22" s="508"/>
      <c r="U22" s="508"/>
      <c r="V22" s="508"/>
      <c r="X22" s="45">
        <v>0.29166666666666702</v>
      </c>
      <c r="Y22" s="106"/>
      <c r="Z22" s="102"/>
      <c r="AA22" s="102"/>
      <c r="AB22" s="45" t="str">
        <f t="shared" si="18"/>
        <v/>
      </c>
      <c r="AC22" s="45" t="str">
        <f t="shared" si="1"/>
        <v/>
      </c>
      <c r="AD22" s="81"/>
      <c r="AE22" s="9" t="str">
        <f>IF(S22="","",IF(COUNTA(Z22:$Z$39)=1,IF(COUNTA(AD22:$AD$39)=1,""," ; "),IF(COUNTA(AD22:$AD$39)=1,IF(Z22="",""," ; ")," ; ")))</f>
        <v/>
      </c>
      <c r="AF22" s="9" t="str">
        <f t="shared" si="2"/>
        <v/>
      </c>
      <c r="AG22" s="90" t="str">
        <f t="shared" si="3"/>
        <v/>
      </c>
      <c r="AH22" s="204" t="s">
        <v>279</v>
      </c>
      <c r="AJ22" s="206">
        <f t="shared" si="19"/>
        <v>500</v>
      </c>
      <c r="AK22" s="206">
        <f t="shared" si="19"/>
        <v>100</v>
      </c>
      <c r="AL22" s="206">
        <f t="shared" si="19"/>
        <v>2</v>
      </c>
      <c r="AM22" s="213">
        <f t="shared" si="19"/>
        <v>0.875</v>
      </c>
      <c r="AN22" s="214">
        <f t="shared" si="19"/>
        <v>0.63607464142166403</v>
      </c>
      <c r="AO22" s="215">
        <f t="shared" si="4"/>
        <v>-14.7</v>
      </c>
      <c r="AP22" s="216">
        <f t="shared" si="5"/>
        <v>1</v>
      </c>
      <c r="AQ22" s="216">
        <f t="shared" si="6"/>
        <v>1</v>
      </c>
      <c r="AR22" s="215">
        <f t="shared" si="20"/>
        <v>158.47</v>
      </c>
      <c r="AS22" s="216">
        <f t="shared" si="7"/>
        <v>0.9723448696087954</v>
      </c>
      <c r="AT22" s="216">
        <f t="shared" si="8"/>
        <v>1.2538510821608391</v>
      </c>
      <c r="AU22" s="216">
        <f t="shared" si="9"/>
        <v>2.2360679774997898</v>
      </c>
      <c r="AV22" s="217">
        <f t="shared" si="10"/>
        <v>10.368348541764712</v>
      </c>
      <c r="AW22" s="216">
        <f t="shared" si="11"/>
        <v>0</v>
      </c>
      <c r="AX22" s="218">
        <f t="shared" si="12"/>
        <v>1.4831709199797398</v>
      </c>
      <c r="AY22" s="216">
        <f t="shared" si="13"/>
        <v>0.77643477842613629</v>
      </c>
      <c r="AZ22" s="217">
        <f t="shared" si="14"/>
        <v>3.5883638597441294</v>
      </c>
      <c r="BA22" s="216">
        <f t="shared" si="15"/>
        <v>0</v>
      </c>
      <c r="BB22" s="216">
        <f t="shared" si="16"/>
        <v>1.0016542390239327</v>
      </c>
      <c r="BC22" s="216">
        <f t="shared" si="17"/>
        <v>1</v>
      </c>
    </row>
    <row r="23" spans="1:55" ht="20.100000000000001" customHeight="1" x14ac:dyDescent="0.2">
      <c r="A23" s="45">
        <v>0.33333333333333298</v>
      </c>
      <c r="B23" s="451"/>
      <c r="C23" s="451"/>
      <c r="D23" s="451">
        <v>5.8</v>
      </c>
      <c r="E23" s="451">
        <v>63.1</v>
      </c>
      <c r="F23" s="41">
        <v>1991</v>
      </c>
      <c r="G23" s="37">
        <v>-5.5</v>
      </c>
      <c r="H23" s="37">
        <v>71.900000000000006</v>
      </c>
      <c r="I23" s="37">
        <v>21</v>
      </c>
      <c r="J23" s="41">
        <v>135</v>
      </c>
      <c r="K23" s="37">
        <v>13</v>
      </c>
      <c r="L23" s="451">
        <v>125</v>
      </c>
      <c r="M23" s="451">
        <v>227</v>
      </c>
      <c r="N23" s="451">
        <v>90</v>
      </c>
      <c r="O23" s="353">
        <v>50</v>
      </c>
      <c r="P23" s="353">
        <v>10</v>
      </c>
      <c r="Q23" s="353">
        <v>227.05</v>
      </c>
      <c r="R23" s="37"/>
      <c r="S23" s="508" t="str">
        <f t="shared" si="0"/>
        <v/>
      </c>
      <c r="T23" s="508"/>
      <c r="U23" s="508"/>
      <c r="V23" s="508"/>
      <c r="X23" s="45">
        <v>0.33333333333333298</v>
      </c>
      <c r="Y23" s="106"/>
      <c r="Z23" s="102"/>
      <c r="AA23" s="102"/>
      <c r="AB23" s="45" t="str">
        <f t="shared" si="18"/>
        <v/>
      </c>
      <c r="AC23" s="45" t="str">
        <f t="shared" si="1"/>
        <v/>
      </c>
      <c r="AD23" s="81"/>
      <c r="AE23" s="9" t="str">
        <f>IF(S23="","",IF(COUNTA(Z23:$Z$39)=1,IF(COUNTA(AD23:$AD$39)=1,""," ; "),IF(COUNTA(AD23:$AD$39)=1,IF(Z23="",""," ; ")," ; ")))</f>
        <v/>
      </c>
      <c r="AF23" s="9" t="str">
        <f t="shared" si="2"/>
        <v/>
      </c>
      <c r="AG23" s="90" t="str">
        <f t="shared" si="3"/>
        <v/>
      </c>
      <c r="AH23" s="204" t="s">
        <v>274</v>
      </c>
      <c r="AJ23" s="206">
        <f t="shared" si="19"/>
        <v>500</v>
      </c>
      <c r="AK23" s="206">
        <f t="shared" si="19"/>
        <v>100</v>
      </c>
      <c r="AL23" s="206">
        <f t="shared" si="19"/>
        <v>2</v>
      </c>
      <c r="AM23" s="213">
        <f t="shared" si="19"/>
        <v>0.875</v>
      </c>
      <c r="AN23" s="214">
        <f t="shared" si="19"/>
        <v>0.63607464142166403</v>
      </c>
      <c r="AO23" s="215">
        <f t="shared" si="4"/>
        <v>-14.7</v>
      </c>
      <c r="AP23" s="216">
        <f t="shared" si="5"/>
        <v>1</v>
      </c>
      <c r="AQ23" s="216">
        <f t="shared" si="6"/>
        <v>1</v>
      </c>
      <c r="AR23" s="215">
        <f t="shared" si="20"/>
        <v>158.47</v>
      </c>
      <c r="AS23" s="216">
        <f t="shared" si="7"/>
        <v>0.9723448696087954</v>
      </c>
      <c r="AT23" s="216">
        <f t="shared" si="8"/>
        <v>1.2538510821608391</v>
      </c>
      <c r="AU23" s="216">
        <f t="shared" si="9"/>
        <v>2.2360679774997898</v>
      </c>
      <c r="AV23" s="217">
        <f t="shared" si="10"/>
        <v>10.368348541764712</v>
      </c>
      <c r="AW23" s="216">
        <f t="shared" si="11"/>
        <v>0</v>
      </c>
      <c r="AX23" s="218">
        <f t="shared" si="12"/>
        <v>1.4831709199797398</v>
      </c>
      <c r="AY23" s="216">
        <f t="shared" si="13"/>
        <v>0.77643477842613629</v>
      </c>
      <c r="AZ23" s="217">
        <f t="shared" si="14"/>
        <v>3.5883638597441294</v>
      </c>
      <c r="BA23" s="216">
        <f t="shared" si="15"/>
        <v>0</v>
      </c>
      <c r="BB23" s="216">
        <f t="shared" si="16"/>
        <v>1.0016542390239327</v>
      </c>
      <c r="BC23" s="216">
        <f t="shared" si="17"/>
        <v>1</v>
      </c>
    </row>
    <row r="24" spans="1:55" ht="20.100000000000001" customHeight="1" x14ac:dyDescent="0.2">
      <c r="A24" s="45">
        <v>0.375</v>
      </c>
      <c r="B24" s="451"/>
      <c r="C24" s="451"/>
      <c r="D24" s="451">
        <v>6.5</v>
      </c>
      <c r="E24" s="451">
        <v>61.8</v>
      </c>
      <c r="F24" s="41">
        <v>1985</v>
      </c>
      <c r="G24" s="37">
        <v>-5.5</v>
      </c>
      <c r="H24" s="37">
        <v>71.5</v>
      </c>
      <c r="I24" s="37">
        <v>21.3</v>
      </c>
      <c r="J24" s="41">
        <v>136</v>
      </c>
      <c r="K24" s="37">
        <v>13</v>
      </c>
      <c r="L24" s="451">
        <v>126</v>
      </c>
      <c r="M24" s="451">
        <v>226</v>
      </c>
      <c r="N24" s="451">
        <v>90</v>
      </c>
      <c r="O24" s="353">
        <v>50</v>
      </c>
      <c r="P24" s="353">
        <v>13</v>
      </c>
      <c r="Q24" s="353">
        <v>258.61</v>
      </c>
      <c r="R24" s="37"/>
      <c r="S24" s="508" t="str">
        <f t="shared" si="0"/>
        <v/>
      </c>
      <c r="T24" s="508"/>
      <c r="U24" s="508"/>
      <c r="V24" s="508"/>
      <c r="X24" s="45">
        <v>0.375</v>
      </c>
      <c r="Y24" s="106"/>
      <c r="Z24" s="102"/>
      <c r="AA24" s="102"/>
      <c r="AB24" s="45" t="str">
        <f t="shared" si="18"/>
        <v/>
      </c>
      <c r="AC24" s="45" t="str">
        <f t="shared" si="1"/>
        <v/>
      </c>
      <c r="AD24" s="81"/>
      <c r="AE24" s="9" t="str">
        <f>IF(S24="","",IF(COUNTA(Z24:$Z$39)=1,IF(COUNTA(AD24:$AD$39)=1,""," ; "),IF(COUNTA(AD24:$AD$39)=1,IF(Z24="",""," ; ")," ; ")))</f>
        <v/>
      </c>
      <c r="AF24" s="9" t="str">
        <f t="shared" si="2"/>
        <v/>
      </c>
      <c r="AG24" s="90" t="str">
        <f t="shared" si="3"/>
        <v/>
      </c>
      <c r="AH24" s="204" t="s">
        <v>307</v>
      </c>
      <c r="AJ24" s="206">
        <f t="shared" si="19"/>
        <v>500</v>
      </c>
      <c r="AK24" s="206">
        <f t="shared" si="19"/>
        <v>100</v>
      </c>
      <c r="AL24" s="206">
        <f t="shared" si="19"/>
        <v>2</v>
      </c>
      <c r="AM24" s="213">
        <f t="shared" si="19"/>
        <v>0.875</v>
      </c>
      <c r="AN24" s="214">
        <f t="shared" si="19"/>
        <v>0.63607464142166403</v>
      </c>
      <c r="AO24" s="215">
        <f t="shared" si="4"/>
        <v>-14.7</v>
      </c>
      <c r="AP24" s="216">
        <f t="shared" si="5"/>
        <v>1</v>
      </c>
      <c r="AQ24" s="216">
        <f t="shared" si="6"/>
        <v>1</v>
      </c>
      <c r="AR24" s="215">
        <f t="shared" si="20"/>
        <v>158.47</v>
      </c>
      <c r="AS24" s="216">
        <f t="shared" si="7"/>
        <v>0.9723448696087954</v>
      </c>
      <c r="AT24" s="216">
        <f t="shared" si="8"/>
        <v>1.2538510821608391</v>
      </c>
      <c r="AU24" s="216">
        <f t="shared" si="9"/>
        <v>2.2360679774997898</v>
      </c>
      <c r="AV24" s="217">
        <f t="shared" si="10"/>
        <v>10.368348541764712</v>
      </c>
      <c r="AW24" s="216">
        <f t="shared" si="11"/>
        <v>0</v>
      </c>
      <c r="AX24" s="218">
        <f t="shared" si="12"/>
        <v>1.4831709199797398</v>
      </c>
      <c r="AY24" s="216">
        <f t="shared" si="13"/>
        <v>0.77643477842613629</v>
      </c>
      <c r="AZ24" s="217">
        <f t="shared" si="14"/>
        <v>3.5883638597441294</v>
      </c>
      <c r="BA24" s="216">
        <f t="shared" si="15"/>
        <v>0</v>
      </c>
      <c r="BB24" s="216">
        <f t="shared" si="16"/>
        <v>1.0016542390239327</v>
      </c>
      <c r="BC24" s="216">
        <f t="shared" si="17"/>
        <v>1</v>
      </c>
    </row>
    <row r="25" spans="1:55" ht="20.100000000000001" customHeight="1" x14ac:dyDescent="0.2">
      <c r="A25" s="45">
        <v>0.41666666666666702</v>
      </c>
      <c r="B25" s="451"/>
      <c r="C25" s="451"/>
      <c r="D25" s="451">
        <v>6.8</v>
      </c>
      <c r="E25" s="451">
        <v>63.4</v>
      </c>
      <c r="F25" s="41">
        <v>1971</v>
      </c>
      <c r="G25" s="37">
        <v>-5.5</v>
      </c>
      <c r="H25" s="37">
        <v>71.2</v>
      </c>
      <c r="I25" s="37">
        <v>21.6</v>
      </c>
      <c r="J25" s="41">
        <v>137</v>
      </c>
      <c r="K25" s="37">
        <v>13</v>
      </c>
      <c r="L25" s="451">
        <v>126</v>
      </c>
      <c r="M25" s="451">
        <v>226</v>
      </c>
      <c r="N25" s="451">
        <v>90</v>
      </c>
      <c r="O25" s="353">
        <v>50</v>
      </c>
      <c r="P25" s="353">
        <v>8</v>
      </c>
      <c r="Q25" s="353">
        <v>203.27</v>
      </c>
      <c r="R25" s="37"/>
      <c r="S25" s="508" t="str">
        <f t="shared" si="0"/>
        <v/>
      </c>
      <c r="T25" s="508"/>
      <c r="U25" s="508"/>
      <c r="V25" s="508"/>
      <c r="X25" s="45">
        <v>0.41666666666666702</v>
      </c>
      <c r="Y25" s="106"/>
      <c r="Z25" s="102"/>
      <c r="AA25" s="102"/>
      <c r="AB25" s="45" t="str">
        <f t="shared" si="18"/>
        <v/>
      </c>
      <c r="AC25" s="45" t="str">
        <f t="shared" si="1"/>
        <v/>
      </c>
      <c r="AD25" s="81"/>
      <c r="AE25" s="9" t="str">
        <f>IF(S25="","",IF(COUNTA(Z25:$Z$39)=1,IF(COUNTA(AD25:$AD$39)=1,""," ; "),IF(COUNTA(AD25:$AD$39)=1,IF(Z25="",""," ; ")," ; ")))</f>
        <v/>
      </c>
      <c r="AF25" s="9" t="str">
        <f t="shared" si="2"/>
        <v/>
      </c>
      <c r="AG25" s="90" t="str">
        <f t="shared" si="3"/>
        <v/>
      </c>
      <c r="AH25" s="204" t="s">
        <v>225</v>
      </c>
      <c r="AJ25" s="206">
        <f t="shared" si="19"/>
        <v>500</v>
      </c>
      <c r="AK25" s="206">
        <f t="shared" si="19"/>
        <v>100</v>
      </c>
      <c r="AL25" s="206">
        <f t="shared" si="19"/>
        <v>2</v>
      </c>
      <c r="AM25" s="213">
        <f t="shared" si="19"/>
        <v>0.875</v>
      </c>
      <c r="AN25" s="214">
        <f t="shared" si="19"/>
        <v>0.63607464142166403</v>
      </c>
      <c r="AO25" s="215">
        <f t="shared" si="4"/>
        <v>-14.7</v>
      </c>
      <c r="AP25" s="216">
        <f t="shared" si="5"/>
        <v>1</v>
      </c>
      <c r="AQ25" s="216">
        <f t="shared" si="6"/>
        <v>1</v>
      </c>
      <c r="AR25" s="215">
        <f t="shared" si="20"/>
        <v>158.47</v>
      </c>
      <c r="AS25" s="216">
        <f t="shared" si="7"/>
        <v>0.9723448696087954</v>
      </c>
      <c r="AT25" s="216">
        <f t="shared" si="8"/>
        <v>1.2538510821608391</v>
      </c>
      <c r="AU25" s="216">
        <f t="shared" si="9"/>
        <v>2.2360679774997898</v>
      </c>
      <c r="AV25" s="217">
        <f t="shared" si="10"/>
        <v>10.368348541764712</v>
      </c>
      <c r="AW25" s="216">
        <f t="shared" si="11"/>
        <v>0</v>
      </c>
      <c r="AX25" s="218">
        <f t="shared" si="12"/>
        <v>1.4831709199797398</v>
      </c>
      <c r="AY25" s="216">
        <f t="shared" si="13"/>
        <v>0.77643477842613629</v>
      </c>
      <c r="AZ25" s="217">
        <f t="shared" si="14"/>
        <v>3.5883638597441294</v>
      </c>
      <c r="BA25" s="216">
        <f t="shared" si="15"/>
        <v>0</v>
      </c>
      <c r="BB25" s="216">
        <f t="shared" si="16"/>
        <v>1.0016542390239327</v>
      </c>
      <c r="BC25" s="216">
        <f t="shared" si="17"/>
        <v>1</v>
      </c>
    </row>
    <row r="26" spans="1:55" ht="20.100000000000001" customHeight="1" x14ac:dyDescent="0.2">
      <c r="A26" s="45">
        <v>0.45833333333333298</v>
      </c>
      <c r="B26" s="451"/>
      <c r="C26" s="451"/>
      <c r="D26" s="451">
        <v>6.1</v>
      </c>
      <c r="E26" s="451">
        <v>62.8</v>
      </c>
      <c r="F26" s="41">
        <v>1963</v>
      </c>
      <c r="G26" s="37">
        <v>-5.5</v>
      </c>
      <c r="H26" s="37">
        <v>71.599999999999994</v>
      </c>
      <c r="I26" s="37">
        <v>21.4</v>
      </c>
      <c r="J26" s="41">
        <v>138</v>
      </c>
      <c r="K26" s="37">
        <v>13</v>
      </c>
      <c r="L26" s="451">
        <v>126</v>
      </c>
      <c r="M26" s="451">
        <v>227</v>
      </c>
      <c r="N26" s="451">
        <v>90</v>
      </c>
      <c r="O26" s="353">
        <v>50</v>
      </c>
      <c r="P26" s="353">
        <v>9</v>
      </c>
      <c r="Q26" s="353">
        <v>215.49</v>
      </c>
      <c r="R26" s="37"/>
      <c r="S26" s="508" t="str">
        <f t="shared" si="0"/>
        <v/>
      </c>
      <c r="T26" s="508"/>
      <c r="U26" s="508"/>
      <c r="V26" s="508"/>
      <c r="X26" s="45">
        <v>0.45833333333333298</v>
      </c>
      <c r="Y26" s="106"/>
      <c r="Z26" s="102"/>
      <c r="AA26" s="102"/>
      <c r="AB26" s="45" t="str">
        <f t="shared" si="18"/>
        <v/>
      </c>
      <c r="AC26" s="45" t="str">
        <f t="shared" si="1"/>
        <v/>
      </c>
      <c r="AD26" s="81"/>
      <c r="AE26" s="9" t="str">
        <f>IF(S26="","",IF(COUNTA(Z26:$Z$39)=1,IF(COUNTA(AD26:$AD$39)=1,""," ; "),IF(COUNTA(AD26:$AD$39)=1,IF(Z26="",""," ; ")," ; ")))</f>
        <v/>
      </c>
      <c r="AF26" s="9" t="str">
        <f t="shared" si="2"/>
        <v/>
      </c>
      <c r="AG26" s="90" t="str">
        <f t="shared" si="3"/>
        <v/>
      </c>
      <c r="AH26" s="204" t="s">
        <v>287</v>
      </c>
      <c r="AJ26" s="206">
        <f t="shared" si="19"/>
        <v>500</v>
      </c>
      <c r="AK26" s="206">
        <f t="shared" si="19"/>
        <v>100</v>
      </c>
      <c r="AL26" s="206">
        <f t="shared" si="19"/>
        <v>2</v>
      </c>
      <c r="AM26" s="213">
        <f t="shared" si="19"/>
        <v>0.875</v>
      </c>
      <c r="AN26" s="214">
        <f t="shared" si="19"/>
        <v>0.63607464142166403</v>
      </c>
      <c r="AO26" s="215">
        <f t="shared" si="4"/>
        <v>-14.7</v>
      </c>
      <c r="AP26" s="216">
        <f t="shared" si="5"/>
        <v>1</v>
      </c>
      <c r="AQ26" s="216">
        <f t="shared" si="6"/>
        <v>1</v>
      </c>
      <c r="AR26" s="215">
        <f t="shared" si="20"/>
        <v>158.47</v>
      </c>
      <c r="AS26" s="216">
        <f t="shared" si="7"/>
        <v>0.9723448696087954</v>
      </c>
      <c r="AT26" s="216">
        <f t="shared" si="8"/>
        <v>1.2538510821608391</v>
      </c>
      <c r="AU26" s="216">
        <f t="shared" si="9"/>
        <v>2.2360679774997898</v>
      </c>
      <c r="AV26" s="217">
        <f t="shared" si="10"/>
        <v>10.368348541764712</v>
      </c>
      <c r="AW26" s="216">
        <f t="shared" si="11"/>
        <v>0</v>
      </c>
      <c r="AX26" s="218">
        <f t="shared" si="12"/>
        <v>1.4831709199797398</v>
      </c>
      <c r="AY26" s="216">
        <f t="shared" si="13"/>
        <v>0.77643477842613629</v>
      </c>
      <c r="AZ26" s="217">
        <f t="shared" si="14"/>
        <v>3.5883638597441294</v>
      </c>
      <c r="BA26" s="216">
        <f t="shared" si="15"/>
        <v>0</v>
      </c>
      <c r="BB26" s="216">
        <f t="shared" si="16"/>
        <v>1.0016542390239327</v>
      </c>
      <c r="BC26" s="216">
        <f t="shared" si="17"/>
        <v>1</v>
      </c>
    </row>
    <row r="27" spans="1:55" ht="20.100000000000001" customHeight="1" x14ac:dyDescent="0.2">
      <c r="A27" s="45">
        <v>0.5</v>
      </c>
      <c r="B27" s="451"/>
      <c r="C27" s="451"/>
      <c r="D27" s="451">
        <v>6.3</v>
      </c>
      <c r="E27" s="451">
        <v>61.7</v>
      </c>
      <c r="F27" s="41">
        <v>1951</v>
      </c>
      <c r="G27" s="37">
        <v>-5.5</v>
      </c>
      <c r="H27" s="37">
        <v>71.2</v>
      </c>
      <c r="I27" s="37">
        <v>21.7</v>
      </c>
      <c r="J27" s="41">
        <v>139</v>
      </c>
      <c r="K27" s="37">
        <v>13</v>
      </c>
      <c r="L27" s="451">
        <v>127</v>
      </c>
      <c r="M27" s="451">
        <v>227</v>
      </c>
      <c r="N27" s="451">
        <v>90</v>
      </c>
      <c r="O27" s="353">
        <v>50</v>
      </c>
      <c r="P27" s="353">
        <v>10</v>
      </c>
      <c r="Q27" s="353">
        <v>227.05</v>
      </c>
      <c r="R27" s="37"/>
      <c r="S27" s="508" t="str">
        <f t="shared" si="0"/>
        <v/>
      </c>
      <c r="T27" s="508"/>
      <c r="U27" s="508"/>
      <c r="V27" s="508"/>
      <c r="X27" s="45">
        <v>0.5</v>
      </c>
      <c r="Y27" s="106"/>
      <c r="Z27" s="102"/>
      <c r="AA27" s="102"/>
      <c r="AB27" s="45" t="str">
        <f t="shared" si="18"/>
        <v/>
      </c>
      <c r="AC27" s="45" t="str">
        <f t="shared" si="1"/>
        <v/>
      </c>
      <c r="AD27" s="81"/>
      <c r="AE27" s="9" t="str">
        <f>IF(S27="","",IF(COUNTA(Z27:$Z$39)=1,IF(COUNTA(AD27:$AD$39)=1,""," ; "),IF(COUNTA(AD27:$AD$39)=1,IF(Z27="",""," ; ")," ; ")))</f>
        <v/>
      </c>
      <c r="AF27" s="9" t="str">
        <f t="shared" si="2"/>
        <v/>
      </c>
      <c r="AG27" s="90" t="str">
        <f t="shared" si="3"/>
        <v/>
      </c>
      <c r="AH27" s="204" t="s">
        <v>276</v>
      </c>
      <c r="AJ27" s="206">
        <f t="shared" si="19"/>
        <v>500</v>
      </c>
      <c r="AK27" s="206">
        <f t="shared" si="19"/>
        <v>100</v>
      </c>
      <c r="AL27" s="206">
        <f t="shared" si="19"/>
        <v>2</v>
      </c>
      <c r="AM27" s="213">
        <f t="shared" si="19"/>
        <v>0.875</v>
      </c>
      <c r="AN27" s="214">
        <f t="shared" si="19"/>
        <v>0.63607464142166403</v>
      </c>
      <c r="AO27" s="215">
        <f t="shared" si="4"/>
        <v>-14.7</v>
      </c>
      <c r="AP27" s="216">
        <f t="shared" si="5"/>
        <v>1</v>
      </c>
      <c r="AQ27" s="216">
        <f t="shared" si="6"/>
        <v>1</v>
      </c>
      <c r="AR27" s="215">
        <f t="shared" si="20"/>
        <v>158.47</v>
      </c>
      <c r="AS27" s="216">
        <f t="shared" si="7"/>
        <v>0.9723448696087954</v>
      </c>
      <c r="AT27" s="216">
        <f t="shared" si="8"/>
        <v>1.2538510821608391</v>
      </c>
      <c r="AU27" s="216">
        <f t="shared" si="9"/>
        <v>2.2360679774997898</v>
      </c>
      <c r="AV27" s="217">
        <f t="shared" si="10"/>
        <v>10.368348541764712</v>
      </c>
      <c r="AW27" s="216">
        <f t="shared" si="11"/>
        <v>0</v>
      </c>
      <c r="AX27" s="218">
        <f t="shared" si="12"/>
        <v>1.4831709199797398</v>
      </c>
      <c r="AY27" s="216">
        <f t="shared" si="13"/>
        <v>0.77643477842613629</v>
      </c>
      <c r="AZ27" s="217">
        <f t="shared" si="14"/>
        <v>3.5883638597441294</v>
      </c>
      <c r="BA27" s="216">
        <f t="shared" si="15"/>
        <v>0</v>
      </c>
      <c r="BB27" s="216">
        <f t="shared" si="16"/>
        <v>1.0016542390239327</v>
      </c>
      <c r="BC27" s="216">
        <f t="shared" si="17"/>
        <v>1</v>
      </c>
    </row>
    <row r="28" spans="1:55" ht="20.100000000000001" customHeight="1" x14ac:dyDescent="0.2">
      <c r="A28" s="45">
        <v>0.54166666666666696</v>
      </c>
      <c r="B28" s="451"/>
      <c r="C28" s="451"/>
      <c r="D28" s="451">
        <v>6.6</v>
      </c>
      <c r="E28" s="451">
        <v>58.8</v>
      </c>
      <c r="F28" s="41">
        <v>1966</v>
      </c>
      <c r="G28" s="37">
        <v>-5.5</v>
      </c>
      <c r="H28" s="37">
        <v>71.5</v>
      </c>
      <c r="I28" s="37">
        <v>21.5</v>
      </c>
      <c r="J28" s="41">
        <v>140</v>
      </c>
      <c r="K28" s="37">
        <v>13</v>
      </c>
      <c r="L28" s="451">
        <v>127</v>
      </c>
      <c r="M28" s="451">
        <v>227</v>
      </c>
      <c r="N28" s="451">
        <v>90</v>
      </c>
      <c r="O28" s="353">
        <v>50</v>
      </c>
      <c r="P28" s="353">
        <v>10</v>
      </c>
      <c r="Q28" s="353">
        <v>227.05</v>
      </c>
      <c r="R28" s="37"/>
      <c r="S28" s="508" t="str">
        <f t="shared" si="0"/>
        <v/>
      </c>
      <c r="T28" s="508"/>
      <c r="U28" s="508"/>
      <c r="V28" s="508"/>
      <c r="X28" s="45">
        <v>0.54166666666666696</v>
      </c>
      <c r="Y28" s="106"/>
      <c r="Z28" s="102"/>
      <c r="AA28" s="102"/>
      <c r="AB28" s="45" t="str">
        <f t="shared" si="18"/>
        <v/>
      </c>
      <c r="AC28" s="45" t="str">
        <f t="shared" si="1"/>
        <v/>
      </c>
      <c r="AD28" s="81"/>
      <c r="AE28" s="9" t="str">
        <f>IF(S28="","",IF(COUNTA(Z28:$Z$39)=1,IF(COUNTA(AD28:$AD$39)=1,""," ; "),IF(COUNTA(AD28:$AD$39)=1,IF(Z28="",""," ; ")," ; ")))</f>
        <v/>
      </c>
      <c r="AF28" s="9" t="str">
        <f t="shared" si="2"/>
        <v/>
      </c>
      <c r="AG28" s="90" t="str">
        <f t="shared" si="3"/>
        <v/>
      </c>
      <c r="AH28" s="204" t="s">
        <v>278</v>
      </c>
      <c r="AJ28" s="206">
        <f t="shared" si="19"/>
        <v>500</v>
      </c>
      <c r="AK28" s="206">
        <f t="shared" si="19"/>
        <v>100</v>
      </c>
      <c r="AL28" s="206">
        <f t="shared" si="19"/>
        <v>2</v>
      </c>
      <c r="AM28" s="213">
        <f t="shared" si="19"/>
        <v>0.875</v>
      </c>
      <c r="AN28" s="214">
        <f t="shared" si="19"/>
        <v>0.63607464142166403</v>
      </c>
      <c r="AO28" s="215">
        <f t="shared" si="4"/>
        <v>-14.7</v>
      </c>
      <c r="AP28" s="216">
        <f t="shared" si="5"/>
        <v>1</v>
      </c>
      <c r="AQ28" s="216">
        <f t="shared" si="6"/>
        <v>1</v>
      </c>
      <c r="AR28" s="215">
        <f t="shared" si="20"/>
        <v>158.47</v>
      </c>
      <c r="AS28" s="216">
        <f t="shared" si="7"/>
        <v>0.9723448696087954</v>
      </c>
      <c r="AT28" s="216">
        <f t="shared" si="8"/>
        <v>1.2538510821608391</v>
      </c>
      <c r="AU28" s="216">
        <f t="shared" si="9"/>
        <v>2.2360679774997898</v>
      </c>
      <c r="AV28" s="217">
        <f t="shared" si="10"/>
        <v>10.368348541764712</v>
      </c>
      <c r="AW28" s="216">
        <f t="shared" si="11"/>
        <v>0</v>
      </c>
      <c r="AX28" s="218">
        <f t="shared" si="12"/>
        <v>1.4831709199797398</v>
      </c>
      <c r="AY28" s="216">
        <f t="shared" si="13"/>
        <v>0.77643477842613629</v>
      </c>
      <c r="AZ28" s="217">
        <f t="shared" si="14"/>
        <v>3.5883638597441294</v>
      </c>
      <c r="BA28" s="216">
        <f t="shared" si="15"/>
        <v>0</v>
      </c>
      <c r="BB28" s="216">
        <f t="shared" si="16"/>
        <v>1.0016542390239327</v>
      </c>
      <c r="BC28" s="216">
        <f t="shared" si="17"/>
        <v>1</v>
      </c>
    </row>
    <row r="29" spans="1:55" ht="20.100000000000001" customHeight="1" x14ac:dyDescent="0.2">
      <c r="A29" s="45">
        <v>0.58333333333333304</v>
      </c>
      <c r="B29" s="451"/>
      <c r="C29" s="451"/>
      <c r="D29" s="451">
        <v>6.9</v>
      </c>
      <c r="E29" s="451">
        <v>58.1</v>
      </c>
      <c r="F29" s="41">
        <v>1944</v>
      </c>
      <c r="G29" s="37">
        <v>-5.6</v>
      </c>
      <c r="H29" s="37">
        <v>71.8</v>
      </c>
      <c r="I29" s="37">
        <v>21</v>
      </c>
      <c r="J29" s="41">
        <v>141</v>
      </c>
      <c r="K29" s="37">
        <v>13</v>
      </c>
      <c r="L29" s="451">
        <v>127</v>
      </c>
      <c r="M29" s="451">
        <v>228</v>
      </c>
      <c r="N29" s="451">
        <v>90</v>
      </c>
      <c r="O29" s="353">
        <v>35</v>
      </c>
      <c r="P29" s="353">
        <v>10</v>
      </c>
      <c r="Q29" s="353">
        <v>198.7</v>
      </c>
      <c r="R29" s="37"/>
      <c r="S29" s="508" t="str">
        <f t="shared" si="0"/>
        <v/>
      </c>
      <c r="T29" s="508"/>
      <c r="U29" s="508"/>
      <c r="V29" s="508"/>
      <c r="X29" s="45">
        <v>0.58333333333333304</v>
      </c>
      <c r="Y29" s="106"/>
      <c r="Z29" s="102"/>
      <c r="AA29" s="102"/>
      <c r="AB29" s="45" t="str">
        <f t="shared" si="18"/>
        <v/>
      </c>
      <c r="AC29" s="45" t="str">
        <f t="shared" si="1"/>
        <v/>
      </c>
      <c r="AD29" s="81"/>
      <c r="AE29" s="9" t="str">
        <f>IF(S29="","",IF(COUNTA(Z29:$Z$39)=1,IF(COUNTA(AD29:$AD$39)=1,""," ; "),IF(COUNTA(AD29:$AD$39)=1,IF(Z29="",""," ; ")," ; ")))</f>
        <v/>
      </c>
      <c r="AF29" s="9" t="str">
        <f t="shared" si="2"/>
        <v/>
      </c>
      <c r="AG29" s="90" t="str">
        <f t="shared" si="3"/>
        <v/>
      </c>
      <c r="AH29" s="204" t="s">
        <v>224</v>
      </c>
      <c r="AJ29" s="206">
        <f t="shared" si="19"/>
        <v>500</v>
      </c>
      <c r="AK29" s="206">
        <f t="shared" si="19"/>
        <v>100</v>
      </c>
      <c r="AL29" s="206">
        <f t="shared" si="19"/>
        <v>2</v>
      </c>
      <c r="AM29" s="213">
        <f t="shared" si="19"/>
        <v>0.875</v>
      </c>
      <c r="AN29" s="214">
        <f t="shared" si="19"/>
        <v>0.63607464142166403</v>
      </c>
      <c r="AO29" s="215">
        <f t="shared" si="4"/>
        <v>-14.7</v>
      </c>
      <c r="AP29" s="216">
        <f t="shared" si="5"/>
        <v>1</v>
      </c>
      <c r="AQ29" s="216">
        <f t="shared" si="6"/>
        <v>1</v>
      </c>
      <c r="AR29" s="215">
        <f t="shared" si="20"/>
        <v>158.47</v>
      </c>
      <c r="AS29" s="216">
        <f t="shared" si="7"/>
        <v>0.9723448696087954</v>
      </c>
      <c r="AT29" s="216">
        <f t="shared" si="8"/>
        <v>1.2538510821608391</v>
      </c>
      <c r="AU29" s="216">
        <f t="shared" si="9"/>
        <v>2.2360679774997898</v>
      </c>
      <c r="AV29" s="217">
        <f t="shared" si="10"/>
        <v>10.368348541764712</v>
      </c>
      <c r="AW29" s="216">
        <f t="shared" si="11"/>
        <v>0</v>
      </c>
      <c r="AX29" s="218">
        <f t="shared" si="12"/>
        <v>1.4831709199797398</v>
      </c>
      <c r="AY29" s="216">
        <f t="shared" si="13"/>
        <v>0.77643477842613629</v>
      </c>
      <c r="AZ29" s="217">
        <f t="shared" si="14"/>
        <v>3.5883638597441294</v>
      </c>
      <c r="BA29" s="216">
        <f t="shared" si="15"/>
        <v>0</v>
      </c>
      <c r="BB29" s="216">
        <f t="shared" si="16"/>
        <v>1.0016542390239327</v>
      </c>
      <c r="BC29" s="216">
        <f t="shared" si="17"/>
        <v>1</v>
      </c>
    </row>
    <row r="30" spans="1:55" ht="20.100000000000001" customHeight="1" x14ac:dyDescent="0.2">
      <c r="A30" s="45">
        <v>0.625</v>
      </c>
      <c r="B30" s="451"/>
      <c r="C30" s="451"/>
      <c r="D30" s="451">
        <v>6.5</v>
      </c>
      <c r="E30" s="451">
        <v>58.2</v>
      </c>
      <c r="F30" s="41">
        <v>1920</v>
      </c>
      <c r="G30" s="37">
        <v>-5.6</v>
      </c>
      <c r="H30" s="37">
        <v>71.3</v>
      </c>
      <c r="I30" s="37">
        <v>21.1</v>
      </c>
      <c r="J30" s="41">
        <v>142</v>
      </c>
      <c r="K30" s="37">
        <v>13</v>
      </c>
      <c r="L30" s="451">
        <v>124</v>
      </c>
      <c r="M30" s="451">
        <v>228</v>
      </c>
      <c r="N30" s="451">
        <v>90</v>
      </c>
      <c r="O30" s="353">
        <v>35</v>
      </c>
      <c r="P30" s="353">
        <v>12</v>
      </c>
      <c r="Q30" s="353">
        <v>217.49</v>
      </c>
      <c r="R30" s="37"/>
      <c r="S30" s="508" t="str">
        <f t="shared" si="0"/>
        <v/>
      </c>
      <c r="T30" s="508"/>
      <c r="U30" s="508"/>
      <c r="V30" s="508"/>
      <c r="X30" s="45">
        <v>0.625</v>
      </c>
      <c r="Y30" s="106"/>
      <c r="Z30" s="102"/>
      <c r="AA30" s="102"/>
      <c r="AB30" s="45" t="str">
        <f t="shared" si="18"/>
        <v/>
      </c>
      <c r="AC30" s="45" t="str">
        <f t="shared" si="1"/>
        <v/>
      </c>
      <c r="AD30" s="81"/>
      <c r="AE30" s="9" t="str">
        <f>IF(S30="","",IF(COUNTA(Z30:$Z$39)=1,IF(COUNTA(AD30:$AD$39)=1,""," ; "),IF(COUNTA(AD30:$AD$39)=1,IF(Z30="",""," ; ")," ; ")))</f>
        <v/>
      </c>
      <c r="AF30" s="9" t="str">
        <f t="shared" si="2"/>
        <v/>
      </c>
      <c r="AG30" s="90" t="str">
        <f t="shared" si="3"/>
        <v/>
      </c>
      <c r="AH30" s="204" t="s">
        <v>260</v>
      </c>
      <c r="AJ30" s="206">
        <f t="shared" si="19"/>
        <v>500</v>
      </c>
      <c r="AK30" s="206">
        <f t="shared" si="19"/>
        <v>100</v>
      </c>
      <c r="AL30" s="206">
        <f t="shared" si="19"/>
        <v>2</v>
      </c>
      <c r="AM30" s="213">
        <f t="shared" si="19"/>
        <v>0.875</v>
      </c>
      <c r="AN30" s="214">
        <f t="shared" si="19"/>
        <v>0.63607464142166403</v>
      </c>
      <c r="AO30" s="215">
        <f t="shared" si="4"/>
        <v>-14.7</v>
      </c>
      <c r="AP30" s="216">
        <f t="shared" si="5"/>
        <v>1</v>
      </c>
      <c r="AQ30" s="216">
        <f t="shared" si="6"/>
        <v>1</v>
      </c>
      <c r="AR30" s="215">
        <f t="shared" si="20"/>
        <v>158.47</v>
      </c>
      <c r="AS30" s="216">
        <f t="shared" si="7"/>
        <v>0.9723448696087954</v>
      </c>
      <c r="AT30" s="216">
        <f t="shared" si="8"/>
        <v>1.2538510821608391</v>
      </c>
      <c r="AU30" s="216">
        <f t="shared" si="9"/>
        <v>2.2360679774997898</v>
      </c>
      <c r="AV30" s="217">
        <f t="shared" si="10"/>
        <v>10.368348541764712</v>
      </c>
      <c r="AW30" s="216">
        <f t="shared" si="11"/>
        <v>0</v>
      </c>
      <c r="AX30" s="218">
        <f t="shared" si="12"/>
        <v>1.4831709199797398</v>
      </c>
      <c r="AY30" s="216">
        <f t="shared" si="13"/>
        <v>0.77643477842613629</v>
      </c>
      <c r="AZ30" s="217">
        <f t="shared" si="14"/>
        <v>3.5883638597441294</v>
      </c>
      <c r="BA30" s="216">
        <f t="shared" si="15"/>
        <v>0</v>
      </c>
      <c r="BB30" s="216">
        <f t="shared" si="16"/>
        <v>1.0016542390239327</v>
      </c>
      <c r="BC30" s="216">
        <f t="shared" si="17"/>
        <v>1</v>
      </c>
    </row>
    <row r="31" spans="1:55" ht="20.100000000000001" customHeight="1" x14ac:dyDescent="0.2">
      <c r="A31" s="45">
        <v>0.66666666666666696</v>
      </c>
      <c r="B31" s="451"/>
      <c r="C31" s="451"/>
      <c r="D31" s="451">
        <v>6.9</v>
      </c>
      <c r="E31" s="451">
        <v>56.9</v>
      </c>
      <c r="F31" s="41">
        <v>1966</v>
      </c>
      <c r="G31" s="37">
        <v>-5.6</v>
      </c>
      <c r="H31" s="37">
        <v>71.599999999999994</v>
      </c>
      <c r="I31" s="37">
        <v>21.2</v>
      </c>
      <c r="J31" s="41">
        <v>143</v>
      </c>
      <c r="K31" s="37">
        <v>13</v>
      </c>
      <c r="L31" s="451">
        <v>127</v>
      </c>
      <c r="M31" s="451">
        <v>228</v>
      </c>
      <c r="N31" s="451">
        <v>90</v>
      </c>
      <c r="O31" s="353">
        <v>35</v>
      </c>
      <c r="P31" s="353">
        <v>13</v>
      </c>
      <c r="Q31" s="353">
        <v>226.3</v>
      </c>
      <c r="R31" s="37"/>
      <c r="S31" s="508" t="str">
        <f t="shared" si="0"/>
        <v/>
      </c>
      <c r="T31" s="508"/>
      <c r="U31" s="508"/>
      <c r="V31" s="508"/>
      <c r="X31" s="45">
        <v>0.66666666666666696</v>
      </c>
      <c r="Y31" s="106"/>
      <c r="Z31" s="102"/>
      <c r="AA31" s="102"/>
      <c r="AB31" s="45" t="str">
        <f t="shared" si="18"/>
        <v/>
      </c>
      <c r="AC31" s="45" t="str">
        <f t="shared" si="1"/>
        <v/>
      </c>
      <c r="AD31" s="81"/>
      <c r="AE31" s="9" t="str">
        <f>IF(S31="","",IF(COUNTA(Z31:$Z$39)=1,IF(COUNTA(AD31:$AD$39)=1,""," ; "),IF(COUNTA(AD31:$AD$39)=1,IF(Z31="",""," ; ")," ; ")))</f>
        <v/>
      </c>
      <c r="AF31" s="9" t="str">
        <f t="shared" si="2"/>
        <v/>
      </c>
      <c r="AG31" s="90" t="str">
        <f t="shared" si="3"/>
        <v/>
      </c>
      <c r="AH31" s="204" t="s">
        <v>226</v>
      </c>
      <c r="AJ31" s="206">
        <f t="shared" si="19"/>
        <v>500</v>
      </c>
      <c r="AK31" s="206">
        <f t="shared" si="19"/>
        <v>100</v>
      </c>
      <c r="AL31" s="206">
        <f t="shared" si="19"/>
        <v>2</v>
      </c>
      <c r="AM31" s="213">
        <f t="shared" si="19"/>
        <v>0.875</v>
      </c>
      <c r="AN31" s="214">
        <f t="shared" si="19"/>
        <v>0.63607464142166403</v>
      </c>
      <c r="AO31" s="215">
        <f t="shared" si="4"/>
        <v>-14.7</v>
      </c>
      <c r="AP31" s="216">
        <f t="shared" si="5"/>
        <v>1</v>
      </c>
      <c r="AQ31" s="216">
        <f t="shared" si="6"/>
        <v>1</v>
      </c>
      <c r="AR31" s="215">
        <f t="shared" si="20"/>
        <v>158.47</v>
      </c>
      <c r="AS31" s="216">
        <f t="shared" si="7"/>
        <v>0.9723448696087954</v>
      </c>
      <c r="AT31" s="216">
        <f t="shared" si="8"/>
        <v>1.2538510821608391</v>
      </c>
      <c r="AU31" s="216">
        <f t="shared" si="9"/>
        <v>2.2360679774997898</v>
      </c>
      <c r="AV31" s="217">
        <f t="shared" si="10"/>
        <v>10.368348541764712</v>
      </c>
      <c r="AW31" s="216">
        <f t="shared" si="11"/>
        <v>0</v>
      </c>
      <c r="AX31" s="218">
        <f t="shared" si="12"/>
        <v>1.4831709199797398</v>
      </c>
      <c r="AY31" s="216">
        <f t="shared" si="13"/>
        <v>0.77643477842613629</v>
      </c>
      <c r="AZ31" s="217">
        <f t="shared" si="14"/>
        <v>3.5883638597441294</v>
      </c>
      <c r="BA31" s="216">
        <f t="shared" si="15"/>
        <v>0</v>
      </c>
      <c r="BB31" s="216">
        <f t="shared" si="16"/>
        <v>1.0016542390239327</v>
      </c>
      <c r="BC31" s="216">
        <f t="shared" si="17"/>
        <v>1</v>
      </c>
    </row>
    <row r="32" spans="1:55" ht="20.100000000000001" customHeight="1" x14ac:dyDescent="0.2">
      <c r="A32" s="45">
        <v>0.70833333333333304</v>
      </c>
      <c r="B32" s="451"/>
      <c r="C32" s="451"/>
      <c r="D32" s="451">
        <v>6.2</v>
      </c>
      <c r="E32" s="451">
        <v>57.4</v>
      </c>
      <c r="F32" s="41">
        <v>1943</v>
      </c>
      <c r="G32" s="37">
        <v>-5.6</v>
      </c>
      <c r="H32" s="37">
        <v>71.2</v>
      </c>
      <c r="I32" s="37">
        <v>21.6</v>
      </c>
      <c r="J32" s="41">
        <v>144</v>
      </c>
      <c r="K32" s="37">
        <v>13</v>
      </c>
      <c r="L32" s="451">
        <v>126</v>
      </c>
      <c r="M32" s="451">
        <v>227</v>
      </c>
      <c r="N32" s="451">
        <v>90</v>
      </c>
      <c r="O32" s="353">
        <v>35</v>
      </c>
      <c r="P32" s="353">
        <v>13</v>
      </c>
      <c r="Q32" s="353">
        <v>226.3</v>
      </c>
      <c r="R32" s="37"/>
      <c r="S32" s="508" t="str">
        <f t="shared" si="0"/>
        <v/>
      </c>
      <c r="T32" s="508"/>
      <c r="U32" s="508"/>
      <c r="V32" s="508"/>
      <c r="X32" s="45">
        <v>0.70833333333333304</v>
      </c>
      <c r="Y32" s="106"/>
      <c r="Z32" s="102"/>
      <c r="AA32" s="102"/>
      <c r="AB32" s="45" t="str">
        <f t="shared" si="18"/>
        <v/>
      </c>
      <c r="AC32" s="45" t="str">
        <f t="shared" si="1"/>
        <v/>
      </c>
      <c r="AD32" s="81"/>
      <c r="AE32" s="9" t="str">
        <f>IF(S32="","",IF(COUNTA(Z32:$Z$39)=1,IF(COUNTA(AD32:$AD$39)=1,""," ; "),IF(COUNTA(AD32:$AD$39)=1,IF(Z32="",""," ; ")," ; ")))</f>
        <v/>
      </c>
      <c r="AF32" s="9" t="str">
        <f t="shared" si="2"/>
        <v/>
      </c>
      <c r="AG32" s="90" t="str">
        <f t="shared" si="3"/>
        <v/>
      </c>
      <c r="AH32" s="204" t="s">
        <v>313</v>
      </c>
      <c r="AJ32" s="206">
        <f t="shared" si="19"/>
        <v>500</v>
      </c>
      <c r="AK32" s="206">
        <f t="shared" si="19"/>
        <v>100</v>
      </c>
      <c r="AL32" s="206">
        <f t="shared" si="19"/>
        <v>2</v>
      </c>
      <c r="AM32" s="213">
        <f t="shared" si="19"/>
        <v>0.875</v>
      </c>
      <c r="AN32" s="214">
        <f t="shared" si="19"/>
        <v>0.63607464142166403</v>
      </c>
      <c r="AO32" s="215">
        <f t="shared" si="4"/>
        <v>-14.7</v>
      </c>
      <c r="AP32" s="216">
        <f t="shared" si="5"/>
        <v>1</v>
      </c>
      <c r="AQ32" s="216">
        <f t="shared" si="6"/>
        <v>1</v>
      </c>
      <c r="AR32" s="215">
        <f t="shared" si="20"/>
        <v>158.47</v>
      </c>
      <c r="AS32" s="216">
        <f t="shared" si="7"/>
        <v>0.9723448696087954</v>
      </c>
      <c r="AT32" s="216">
        <f t="shared" si="8"/>
        <v>1.2538510821608391</v>
      </c>
      <c r="AU32" s="216">
        <f t="shared" si="9"/>
        <v>2.2360679774997898</v>
      </c>
      <c r="AV32" s="217">
        <f t="shared" si="10"/>
        <v>10.368348541764712</v>
      </c>
      <c r="AW32" s="216">
        <f t="shared" si="11"/>
        <v>0</v>
      </c>
      <c r="AX32" s="218">
        <f t="shared" si="12"/>
        <v>1.4831709199797398</v>
      </c>
      <c r="AY32" s="216">
        <f t="shared" si="13"/>
        <v>0.77643477842613629</v>
      </c>
      <c r="AZ32" s="217">
        <f t="shared" si="14"/>
        <v>3.5883638597441294</v>
      </c>
      <c r="BA32" s="216">
        <f t="shared" si="15"/>
        <v>0</v>
      </c>
      <c r="BB32" s="216">
        <f t="shared" si="16"/>
        <v>1.0016542390239327</v>
      </c>
      <c r="BC32" s="216">
        <f t="shared" si="17"/>
        <v>1</v>
      </c>
    </row>
    <row r="33" spans="1:55" ht="20.100000000000001" customHeight="1" x14ac:dyDescent="0.2">
      <c r="A33" s="45">
        <v>0.75</v>
      </c>
      <c r="B33" s="451"/>
      <c r="C33" s="451"/>
      <c r="D33" s="451">
        <v>6.7</v>
      </c>
      <c r="E33" s="451">
        <v>57.2</v>
      </c>
      <c r="F33" s="41">
        <v>1972</v>
      </c>
      <c r="G33" s="37">
        <v>-5.6</v>
      </c>
      <c r="H33" s="37">
        <v>71.599999999999994</v>
      </c>
      <c r="I33" s="37">
        <v>21.3</v>
      </c>
      <c r="J33" s="41">
        <v>145</v>
      </c>
      <c r="K33" s="37">
        <v>13</v>
      </c>
      <c r="L33" s="451">
        <v>126</v>
      </c>
      <c r="M33" s="451">
        <v>225</v>
      </c>
      <c r="N33" s="451">
        <v>90</v>
      </c>
      <c r="O33" s="353">
        <v>35</v>
      </c>
      <c r="P33" s="353">
        <v>14</v>
      </c>
      <c r="Q33" s="353">
        <v>234.77</v>
      </c>
      <c r="R33" s="37"/>
      <c r="S33" s="508" t="str">
        <f>IF(Z33="",IF(AD33="","",AD33),CONCATENATE(TEXT(Z33,"[hh]:mm"),IF(AA33="",""," - "&amp;TEXT(AA33,"[hh]:mm")),IF(Y33="",""," "&amp;Y33&amp;"/")," "&amp;AD33))</f>
        <v/>
      </c>
      <c r="T33" s="508"/>
      <c r="U33" s="508"/>
      <c r="V33" s="508"/>
      <c r="X33" s="45">
        <v>0.75</v>
      </c>
      <c r="Y33" s="106"/>
      <c r="Z33" s="102"/>
      <c r="AA33" s="102"/>
      <c r="AB33" s="45" t="str">
        <f t="shared" si="18"/>
        <v/>
      </c>
      <c r="AC33" s="45" t="str">
        <f t="shared" si="1"/>
        <v/>
      </c>
      <c r="AD33" s="81"/>
      <c r="AE33" s="9" t="str">
        <f>IF(S33="","",IF(COUNTA(Z33:$Z$39)=1,IF(COUNTA(AD33:$AD$39)=1,""," ; "),IF(COUNTA(AD33:$AD$39)=1,IF(Z33="",""," ; ")," ; ")))</f>
        <v/>
      </c>
      <c r="AF33" s="9" t="str">
        <f t="shared" si="2"/>
        <v/>
      </c>
      <c r="AG33" s="90" t="str">
        <f t="shared" si="3"/>
        <v/>
      </c>
      <c r="AH33" s="204" t="s">
        <v>308</v>
      </c>
      <c r="AJ33" s="206">
        <f t="shared" ref="AJ33:AN39" si="21">AJ32</f>
        <v>500</v>
      </c>
      <c r="AK33" s="206">
        <f t="shared" si="21"/>
        <v>100</v>
      </c>
      <c r="AL33" s="206">
        <f t="shared" si="21"/>
        <v>2</v>
      </c>
      <c r="AM33" s="213">
        <f t="shared" si="21"/>
        <v>0.875</v>
      </c>
      <c r="AN33" s="214">
        <f t="shared" si="21"/>
        <v>0.63607464142166403</v>
      </c>
      <c r="AO33" s="215">
        <f t="shared" si="4"/>
        <v>-14.7</v>
      </c>
      <c r="AP33" s="216">
        <f t="shared" si="5"/>
        <v>1</v>
      </c>
      <c r="AQ33" s="216">
        <f t="shared" si="6"/>
        <v>1</v>
      </c>
      <c r="AR33" s="215">
        <f t="shared" si="20"/>
        <v>158.47</v>
      </c>
      <c r="AS33" s="216">
        <f t="shared" si="7"/>
        <v>0.9723448696087954</v>
      </c>
      <c r="AT33" s="216">
        <f t="shared" si="8"/>
        <v>1.2538510821608391</v>
      </c>
      <c r="AU33" s="216">
        <f t="shared" si="9"/>
        <v>2.2360679774997898</v>
      </c>
      <c r="AV33" s="217">
        <f t="shared" si="10"/>
        <v>10.368348541764712</v>
      </c>
      <c r="AW33" s="216">
        <f t="shared" si="11"/>
        <v>0</v>
      </c>
      <c r="AX33" s="218">
        <f t="shared" si="12"/>
        <v>1.4831709199797398</v>
      </c>
      <c r="AY33" s="216">
        <f t="shared" si="13"/>
        <v>0.77643477842613629</v>
      </c>
      <c r="AZ33" s="217">
        <f t="shared" si="14"/>
        <v>3.5883638597441294</v>
      </c>
      <c r="BA33" s="216">
        <f t="shared" si="15"/>
        <v>0</v>
      </c>
      <c r="BB33" s="216">
        <f t="shared" si="16"/>
        <v>1.0016542390239327</v>
      </c>
      <c r="BC33" s="216">
        <f t="shared" si="17"/>
        <v>1</v>
      </c>
    </row>
    <row r="34" spans="1:55" ht="20.100000000000001" customHeight="1" x14ac:dyDescent="0.2">
      <c r="A34" s="45">
        <v>0.79166666666666696</v>
      </c>
      <c r="B34" s="451"/>
      <c r="C34" s="451"/>
      <c r="D34" s="451">
        <v>6.2</v>
      </c>
      <c r="E34" s="451">
        <v>57.3</v>
      </c>
      <c r="F34" s="41">
        <v>1940</v>
      </c>
      <c r="G34" s="37">
        <v>-5.5</v>
      </c>
      <c r="H34" s="37">
        <v>71.2</v>
      </c>
      <c r="I34" s="37">
        <v>21</v>
      </c>
      <c r="J34" s="41">
        <v>146</v>
      </c>
      <c r="K34" s="37">
        <v>13</v>
      </c>
      <c r="L34" s="451">
        <v>126</v>
      </c>
      <c r="M34" s="451">
        <v>223</v>
      </c>
      <c r="N34" s="451">
        <v>90</v>
      </c>
      <c r="O34" s="353">
        <v>35</v>
      </c>
      <c r="P34" s="353">
        <v>14</v>
      </c>
      <c r="Q34" s="353">
        <v>234.77</v>
      </c>
      <c r="R34" s="37"/>
      <c r="S34" s="508" t="str">
        <f t="shared" ref="S34:S39" si="22">IF(Z34="",IF(AD34="","",AD34),CONCATENATE(TEXT(Z34,"[hh]:mm"),IF(AA34="",""," - "&amp;TEXT(AA34,"[hh]:mm")),IF(Y34="",""," "&amp;Y34&amp;"/")," "&amp;AD34))</f>
        <v/>
      </c>
      <c r="T34" s="508"/>
      <c r="U34" s="508"/>
      <c r="V34" s="508"/>
      <c r="X34" s="45">
        <v>0.79166666666666696</v>
      </c>
      <c r="Y34" s="106"/>
      <c r="Z34" s="102"/>
      <c r="AA34" s="102"/>
      <c r="AB34" s="45" t="str">
        <f t="shared" si="18"/>
        <v/>
      </c>
      <c r="AC34" s="45" t="str">
        <f t="shared" si="1"/>
        <v/>
      </c>
      <c r="AD34" s="81"/>
      <c r="AE34" s="9" t="str">
        <f>IF(S34="","",IF(COUNTA(Z34:$Z$39)=1,IF(COUNTA(AD34:$AD$39)=1,""," ; "),IF(COUNTA(AD34:$AD$39)=1,IF(Z34="",""," ; ")," ; ")))</f>
        <v/>
      </c>
      <c r="AF34" s="9" t="str">
        <f t="shared" si="2"/>
        <v/>
      </c>
      <c r="AG34" s="90" t="str">
        <f t="shared" si="3"/>
        <v/>
      </c>
      <c r="AH34" s="204" t="s">
        <v>314</v>
      </c>
      <c r="AJ34" s="206">
        <f t="shared" si="21"/>
        <v>500</v>
      </c>
      <c r="AK34" s="206">
        <f t="shared" si="21"/>
        <v>100</v>
      </c>
      <c r="AL34" s="206">
        <f t="shared" si="21"/>
        <v>2</v>
      </c>
      <c r="AM34" s="213">
        <f t="shared" si="21"/>
        <v>0.875</v>
      </c>
      <c r="AN34" s="214">
        <f t="shared" si="21"/>
        <v>0.63607464142166403</v>
      </c>
      <c r="AO34" s="215">
        <f t="shared" si="4"/>
        <v>-14.7</v>
      </c>
      <c r="AP34" s="216">
        <f t="shared" si="5"/>
        <v>1</v>
      </c>
      <c r="AQ34" s="216">
        <f t="shared" si="6"/>
        <v>1</v>
      </c>
      <c r="AR34" s="215">
        <f t="shared" si="20"/>
        <v>158.47</v>
      </c>
      <c r="AS34" s="216">
        <f t="shared" si="7"/>
        <v>0.9723448696087954</v>
      </c>
      <c r="AT34" s="216">
        <f t="shared" si="8"/>
        <v>1.2538510821608391</v>
      </c>
      <c r="AU34" s="216">
        <f t="shared" si="9"/>
        <v>2.2360679774997898</v>
      </c>
      <c r="AV34" s="217">
        <f t="shared" si="10"/>
        <v>10.368348541764712</v>
      </c>
      <c r="AW34" s="216">
        <f t="shared" si="11"/>
        <v>0</v>
      </c>
      <c r="AX34" s="218">
        <f t="shared" si="12"/>
        <v>1.4831709199797398</v>
      </c>
      <c r="AY34" s="216">
        <f t="shared" si="13"/>
        <v>0.77643477842613629</v>
      </c>
      <c r="AZ34" s="217">
        <f t="shared" si="14"/>
        <v>3.5883638597441294</v>
      </c>
      <c r="BA34" s="216">
        <f t="shared" si="15"/>
        <v>0</v>
      </c>
      <c r="BB34" s="216">
        <f t="shared" si="16"/>
        <v>1.0016542390239327</v>
      </c>
      <c r="BC34" s="216">
        <f t="shared" si="17"/>
        <v>1</v>
      </c>
    </row>
    <row r="35" spans="1:55" ht="20.100000000000001" customHeight="1" x14ac:dyDescent="0.2">
      <c r="A35" s="45">
        <v>0.83333333333333304</v>
      </c>
      <c r="B35" s="451"/>
      <c r="C35" s="451"/>
      <c r="D35" s="451">
        <v>6.9</v>
      </c>
      <c r="E35" s="451">
        <v>57.8</v>
      </c>
      <c r="F35" s="41">
        <v>1902</v>
      </c>
      <c r="G35" s="37">
        <v>-5.5</v>
      </c>
      <c r="H35" s="37">
        <v>71.400000000000006</v>
      </c>
      <c r="I35" s="37">
        <v>21.6</v>
      </c>
      <c r="J35" s="41">
        <v>147</v>
      </c>
      <c r="K35" s="37">
        <v>13</v>
      </c>
      <c r="L35" s="451">
        <v>122</v>
      </c>
      <c r="M35" s="451">
        <v>221</v>
      </c>
      <c r="N35" s="451">
        <v>90</v>
      </c>
      <c r="O35" s="353">
        <v>35</v>
      </c>
      <c r="P35" s="353">
        <v>12</v>
      </c>
      <c r="Q35" s="353">
        <v>217.49</v>
      </c>
      <c r="R35" s="37"/>
      <c r="S35" s="508" t="str">
        <f t="shared" si="22"/>
        <v/>
      </c>
      <c r="T35" s="508"/>
      <c r="U35" s="508"/>
      <c r="V35" s="508"/>
      <c r="X35" s="45">
        <v>0.83333333333333304</v>
      </c>
      <c r="Y35" s="106"/>
      <c r="Z35" s="102"/>
      <c r="AA35" s="102"/>
      <c r="AB35" s="45" t="str">
        <f t="shared" si="18"/>
        <v/>
      </c>
      <c r="AC35" s="45" t="str">
        <f t="shared" si="1"/>
        <v/>
      </c>
      <c r="AD35" s="81"/>
      <c r="AE35" s="9" t="str">
        <f>IF(S35="","",IF(COUNTA(Z35:$Z$39)=1,IF(COUNTA(AD35:$AD$39)=1,""," ; "),IF(COUNTA(AD35:$AD$39)=1,IF(Z35="",""," ; ")," ; ")))</f>
        <v/>
      </c>
      <c r="AF35" s="9" t="str">
        <f t="shared" si="2"/>
        <v/>
      </c>
      <c r="AG35" s="90" t="str">
        <f t="shared" si="3"/>
        <v/>
      </c>
      <c r="AH35" s="204" t="s">
        <v>227</v>
      </c>
      <c r="AJ35" s="206">
        <f t="shared" si="21"/>
        <v>500</v>
      </c>
      <c r="AK35" s="206">
        <f t="shared" si="21"/>
        <v>100</v>
      </c>
      <c r="AL35" s="206">
        <f t="shared" si="21"/>
        <v>2</v>
      </c>
      <c r="AM35" s="213">
        <f t="shared" si="21"/>
        <v>0.875</v>
      </c>
      <c r="AN35" s="214">
        <f t="shared" si="21"/>
        <v>0.63607464142166403</v>
      </c>
      <c r="AO35" s="215">
        <f t="shared" si="4"/>
        <v>-14.7</v>
      </c>
      <c r="AP35" s="216">
        <f t="shared" si="5"/>
        <v>1</v>
      </c>
      <c r="AQ35" s="216">
        <f t="shared" si="6"/>
        <v>1</v>
      </c>
      <c r="AR35" s="215">
        <f t="shared" si="20"/>
        <v>158.47</v>
      </c>
      <c r="AS35" s="216">
        <f t="shared" si="7"/>
        <v>0.9723448696087954</v>
      </c>
      <c r="AT35" s="216">
        <f t="shared" si="8"/>
        <v>1.2538510821608391</v>
      </c>
      <c r="AU35" s="216">
        <f t="shared" si="9"/>
        <v>2.2360679774997898</v>
      </c>
      <c r="AV35" s="217">
        <f t="shared" si="10"/>
        <v>10.368348541764712</v>
      </c>
      <c r="AW35" s="216">
        <f t="shared" si="11"/>
        <v>0</v>
      </c>
      <c r="AX35" s="218">
        <f t="shared" si="12"/>
        <v>1.4831709199797398</v>
      </c>
      <c r="AY35" s="216">
        <f t="shared" si="13"/>
        <v>0.77643477842613629</v>
      </c>
      <c r="AZ35" s="217">
        <f t="shared" si="14"/>
        <v>3.5883638597441294</v>
      </c>
      <c r="BA35" s="216">
        <f t="shared" si="15"/>
        <v>0</v>
      </c>
      <c r="BB35" s="216">
        <f t="shared" si="16"/>
        <v>1.0016542390239327</v>
      </c>
      <c r="BC35" s="216">
        <f t="shared" si="17"/>
        <v>1</v>
      </c>
    </row>
    <row r="36" spans="1:55" ht="20.100000000000001" customHeight="1" x14ac:dyDescent="0.2">
      <c r="A36" s="45">
        <v>0.875</v>
      </c>
      <c r="B36" s="451"/>
      <c r="C36" s="451"/>
      <c r="D36" s="451">
        <v>6.4</v>
      </c>
      <c r="E36" s="451">
        <v>56.4</v>
      </c>
      <c r="F36" s="41">
        <v>1946</v>
      </c>
      <c r="G36" s="37">
        <v>-5.5</v>
      </c>
      <c r="H36" s="37">
        <v>71.599999999999994</v>
      </c>
      <c r="I36" s="37">
        <v>21.4</v>
      </c>
      <c r="J36" s="41">
        <v>148</v>
      </c>
      <c r="K36" s="37">
        <v>13</v>
      </c>
      <c r="L36" s="451">
        <v>126</v>
      </c>
      <c r="M36" s="451">
        <v>221</v>
      </c>
      <c r="N36" s="451">
        <v>90</v>
      </c>
      <c r="O36" s="353">
        <v>35</v>
      </c>
      <c r="P36" s="353">
        <v>12</v>
      </c>
      <c r="Q36" s="353">
        <v>217.49</v>
      </c>
      <c r="R36" s="37"/>
      <c r="S36" s="508" t="str">
        <f t="shared" si="22"/>
        <v/>
      </c>
      <c r="T36" s="508"/>
      <c r="U36" s="508"/>
      <c r="V36" s="508"/>
      <c r="X36" s="45">
        <v>0.875</v>
      </c>
      <c r="Y36" s="106"/>
      <c r="Z36" s="102"/>
      <c r="AA36" s="102"/>
      <c r="AB36" s="45" t="str">
        <f t="shared" si="18"/>
        <v/>
      </c>
      <c r="AC36" s="45" t="str">
        <f t="shared" si="1"/>
        <v/>
      </c>
      <c r="AD36" s="81"/>
      <c r="AE36" s="9" t="str">
        <f>IF(S36="","",IF(COUNTA(Z36:$Z$39)=1,IF(COUNTA(AD36:$AD$39)=1,""," ; "),IF(COUNTA(AD36:$AD$39)=1,IF(Z36="",""," ; ")," ; ")))</f>
        <v/>
      </c>
      <c r="AF36" s="9" t="str">
        <f t="shared" si="2"/>
        <v/>
      </c>
      <c r="AG36" s="90" t="str">
        <f t="shared" si="3"/>
        <v/>
      </c>
      <c r="AH36" s="204" t="s">
        <v>309</v>
      </c>
      <c r="AJ36" s="206">
        <f t="shared" si="21"/>
        <v>500</v>
      </c>
      <c r="AK36" s="206">
        <f t="shared" si="21"/>
        <v>100</v>
      </c>
      <c r="AL36" s="206">
        <f t="shared" si="21"/>
        <v>2</v>
      </c>
      <c r="AM36" s="213">
        <f t="shared" si="21"/>
        <v>0.875</v>
      </c>
      <c r="AN36" s="214">
        <f t="shared" si="21"/>
        <v>0.63607464142166403</v>
      </c>
      <c r="AO36" s="215">
        <f t="shared" si="4"/>
        <v>-14.7</v>
      </c>
      <c r="AP36" s="216">
        <f t="shared" si="5"/>
        <v>1</v>
      </c>
      <c r="AQ36" s="216">
        <f t="shared" si="6"/>
        <v>1</v>
      </c>
      <c r="AR36" s="215">
        <f t="shared" si="20"/>
        <v>158.47</v>
      </c>
      <c r="AS36" s="216">
        <f t="shared" si="7"/>
        <v>0.9723448696087954</v>
      </c>
      <c r="AT36" s="216">
        <f t="shared" si="8"/>
        <v>1.2538510821608391</v>
      </c>
      <c r="AU36" s="216">
        <f t="shared" si="9"/>
        <v>2.2360679774997898</v>
      </c>
      <c r="AV36" s="217">
        <f t="shared" si="10"/>
        <v>10.368348541764712</v>
      </c>
      <c r="AW36" s="216">
        <f t="shared" si="11"/>
        <v>0</v>
      </c>
      <c r="AX36" s="218">
        <f t="shared" si="12"/>
        <v>1.4831709199797398</v>
      </c>
      <c r="AY36" s="216">
        <f t="shared" si="13"/>
        <v>0.77643477842613629</v>
      </c>
      <c r="AZ36" s="217">
        <f t="shared" si="14"/>
        <v>3.5883638597441294</v>
      </c>
      <c r="BA36" s="216">
        <f t="shared" si="15"/>
        <v>0</v>
      </c>
      <c r="BB36" s="216">
        <f t="shared" si="16"/>
        <v>1.0016542390239327</v>
      </c>
      <c r="BC36" s="216">
        <f t="shared" si="17"/>
        <v>1</v>
      </c>
    </row>
    <row r="37" spans="1:55" ht="20.100000000000001" customHeight="1" x14ac:dyDescent="0.2">
      <c r="A37" s="45">
        <v>0.91666666666666696</v>
      </c>
      <c r="B37" s="451"/>
      <c r="C37" s="451"/>
      <c r="D37" s="451">
        <v>7.2</v>
      </c>
      <c r="E37" s="451">
        <v>54.9</v>
      </c>
      <c r="F37" s="41">
        <v>1632</v>
      </c>
      <c r="G37" s="37">
        <v>-5.5</v>
      </c>
      <c r="H37" s="37">
        <v>71.2</v>
      </c>
      <c r="I37" s="37">
        <v>21.6</v>
      </c>
      <c r="J37" s="41">
        <v>149</v>
      </c>
      <c r="K37" s="37">
        <v>13</v>
      </c>
      <c r="L37" s="451">
        <v>125</v>
      </c>
      <c r="M37" s="451">
        <v>221</v>
      </c>
      <c r="N37" s="451">
        <v>90</v>
      </c>
      <c r="O37" s="353">
        <v>50</v>
      </c>
      <c r="P37" s="353">
        <v>14</v>
      </c>
      <c r="Q37" s="353">
        <v>268.3</v>
      </c>
      <c r="R37" s="37"/>
      <c r="S37" s="508" t="str">
        <f t="shared" si="22"/>
        <v/>
      </c>
      <c r="T37" s="508"/>
      <c r="U37" s="508"/>
      <c r="V37" s="508"/>
      <c r="X37" s="45">
        <v>0.91666666666666696</v>
      </c>
      <c r="Y37" s="106"/>
      <c r="Z37" s="102"/>
      <c r="AA37" s="102"/>
      <c r="AB37" s="45" t="str">
        <f t="shared" si="18"/>
        <v/>
      </c>
      <c r="AC37" s="45" t="str">
        <f t="shared" si="1"/>
        <v/>
      </c>
      <c r="AD37" s="81"/>
      <c r="AE37" s="9" t="str">
        <f>IF(S37="","",IF(COUNTA(Z37:$Z$39)=1,IF(COUNTA(AD37:$AD$39)=1,""," ; "),IF(COUNTA(AD37:$AD$39)=1,IF(Z37="",""," ; ")," ; ")))</f>
        <v/>
      </c>
      <c r="AF37" s="9" t="str">
        <f t="shared" si="2"/>
        <v/>
      </c>
      <c r="AG37" s="90" t="str">
        <f t="shared" si="3"/>
        <v/>
      </c>
      <c r="AH37" s="204" t="s">
        <v>319</v>
      </c>
      <c r="AJ37" s="206">
        <f t="shared" si="21"/>
        <v>500</v>
      </c>
      <c r="AK37" s="206">
        <f t="shared" si="21"/>
        <v>100</v>
      </c>
      <c r="AL37" s="206">
        <f t="shared" si="21"/>
        <v>2</v>
      </c>
      <c r="AM37" s="213">
        <f t="shared" si="21"/>
        <v>0.875</v>
      </c>
      <c r="AN37" s="214">
        <f t="shared" si="21"/>
        <v>0.63607464142166403</v>
      </c>
      <c r="AO37" s="215">
        <f t="shared" si="4"/>
        <v>-14.7</v>
      </c>
      <c r="AP37" s="216">
        <f t="shared" si="5"/>
        <v>1</v>
      </c>
      <c r="AQ37" s="216">
        <f t="shared" si="6"/>
        <v>1</v>
      </c>
      <c r="AR37" s="215">
        <f t="shared" si="20"/>
        <v>158.47</v>
      </c>
      <c r="AS37" s="216">
        <f t="shared" si="7"/>
        <v>0.9723448696087954</v>
      </c>
      <c r="AT37" s="216">
        <f t="shared" si="8"/>
        <v>1.2538510821608391</v>
      </c>
      <c r="AU37" s="216">
        <f t="shared" si="9"/>
        <v>2.2360679774997898</v>
      </c>
      <c r="AV37" s="217">
        <f t="shared" si="10"/>
        <v>10.368348541764712</v>
      </c>
      <c r="AW37" s="216">
        <f t="shared" si="11"/>
        <v>0</v>
      </c>
      <c r="AX37" s="218">
        <f t="shared" si="12"/>
        <v>1.4831709199797398</v>
      </c>
      <c r="AY37" s="216">
        <f t="shared" si="13"/>
        <v>0.77643477842613629</v>
      </c>
      <c r="AZ37" s="217">
        <f t="shared" si="14"/>
        <v>3.5883638597441294</v>
      </c>
      <c r="BA37" s="216">
        <f t="shared" si="15"/>
        <v>0</v>
      </c>
      <c r="BB37" s="216">
        <f t="shared" si="16"/>
        <v>1.0016542390239327</v>
      </c>
      <c r="BC37" s="216">
        <f t="shared" si="17"/>
        <v>1</v>
      </c>
    </row>
    <row r="38" spans="1:55" ht="20.100000000000001" customHeight="1" x14ac:dyDescent="0.2">
      <c r="A38" s="45">
        <v>0.95833333333333304</v>
      </c>
      <c r="B38" s="451"/>
      <c r="C38" s="451"/>
      <c r="D38" s="451">
        <v>5.9</v>
      </c>
      <c r="E38" s="451">
        <v>58.6</v>
      </c>
      <c r="F38" s="41">
        <v>1934</v>
      </c>
      <c r="G38" s="37">
        <v>-5.5</v>
      </c>
      <c r="H38" s="37">
        <v>71.900000000000006</v>
      </c>
      <c r="I38" s="37">
        <v>21.5</v>
      </c>
      <c r="J38" s="41">
        <v>150</v>
      </c>
      <c r="K38" s="37">
        <v>13</v>
      </c>
      <c r="L38" s="451">
        <v>125</v>
      </c>
      <c r="M38" s="451">
        <v>220</v>
      </c>
      <c r="N38" s="451">
        <v>90</v>
      </c>
      <c r="O38" s="353">
        <v>50</v>
      </c>
      <c r="P38" s="353">
        <v>14</v>
      </c>
      <c r="Q38" s="353">
        <v>268.3</v>
      </c>
      <c r="R38" s="37"/>
      <c r="S38" s="508" t="str">
        <f t="shared" si="22"/>
        <v/>
      </c>
      <c r="T38" s="508"/>
      <c r="U38" s="508"/>
      <c r="V38" s="508"/>
      <c r="X38" s="45">
        <v>0.95833333333333304</v>
      </c>
      <c r="Y38" s="106"/>
      <c r="Z38" s="102"/>
      <c r="AA38" s="102"/>
      <c r="AB38" s="45" t="str">
        <f t="shared" si="18"/>
        <v/>
      </c>
      <c r="AC38" s="45" t="str">
        <f t="shared" si="1"/>
        <v/>
      </c>
      <c r="AD38" s="81"/>
      <c r="AE38" s="9" t="str">
        <f>IF(S38="","",IF(COUNTA(Z38:$Z$39)=1,IF(COUNTA(AD38:$AD$39)=1,""," ; "),IF(COUNTA(AD38:$AD$39)=1,IF(Z38="",""," ; ")," ; ")))</f>
        <v/>
      </c>
      <c r="AF38" s="9" t="str">
        <f t="shared" si="2"/>
        <v/>
      </c>
      <c r="AG38" s="90" t="str">
        <f t="shared" si="3"/>
        <v/>
      </c>
      <c r="AH38" s="204" t="s">
        <v>219</v>
      </c>
      <c r="AJ38" s="206">
        <f t="shared" si="21"/>
        <v>500</v>
      </c>
      <c r="AK38" s="206">
        <f t="shared" si="21"/>
        <v>100</v>
      </c>
      <c r="AL38" s="206">
        <f t="shared" si="21"/>
        <v>2</v>
      </c>
      <c r="AM38" s="213">
        <f t="shared" si="21"/>
        <v>0.875</v>
      </c>
      <c r="AN38" s="214">
        <f t="shared" si="21"/>
        <v>0.63607464142166403</v>
      </c>
      <c r="AO38" s="215">
        <f t="shared" si="4"/>
        <v>-14.7</v>
      </c>
      <c r="AP38" s="216">
        <f t="shared" si="5"/>
        <v>1</v>
      </c>
      <c r="AQ38" s="216">
        <f t="shared" si="6"/>
        <v>1</v>
      </c>
      <c r="AR38" s="215">
        <f t="shared" si="20"/>
        <v>158.47</v>
      </c>
      <c r="AS38" s="216">
        <f t="shared" si="7"/>
        <v>0.9723448696087954</v>
      </c>
      <c r="AT38" s="216">
        <f t="shared" si="8"/>
        <v>1.2538510821608391</v>
      </c>
      <c r="AU38" s="216">
        <f t="shared" si="9"/>
        <v>2.2360679774997898</v>
      </c>
      <c r="AV38" s="217">
        <f t="shared" si="10"/>
        <v>10.368348541764712</v>
      </c>
      <c r="AW38" s="216">
        <f t="shared" si="11"/>
        <v>0</v>
      </c>
      <c r="AX38" s="218">
        <f t="shared" si="12"/>
        <v>1.4831709199797398</v>
      </c>
      <c r="AY38" s="216">
        <f t="shared" si="13"/>
        <v>0.77643477842613629</v>
      </c>
      <c r="AZ38" s="217">
        <f t="shared" si="14"/>
        <v>3.5883638597441294</v>
      </c>
      <c r="BA38" s="216">
        <f t="shared" si="15"/>
        <v>0</v>
      </c>
      <c r="BB38" s="216">
        <f t="shared" si="16"/>
        <v>1.0016542390239327</v>
      </c>
      <c r="BC38" s="216">
        <f t="shared" si="17"/>
        <v>1</v>
      </c>
    </row>
    <row r="39" spans="1:55" ht="20.100000000000001" customHeight="1" thickBot="1" x14ac:dyDescent="0.25">
      <c r="A39" s="46">
        <v>1</v>
      </c>
      <c r="B39" s="451"/>
      <c r="C39" s="451"/>
      <c r="D39" s="452">
        <v>6.3</v>
      </c>
      <c r="E39" s="451">
        <v>57.3</v>
      </c>
      <c r="F39" s="42">
        <v>1935</v>
      </c>
      <c r="G39" s="37">
        <v>-5.5</v>
      </c>
      <c r="H39" s="37">
        <v>71.5</v>
      </c>
      <c r="I39" s="37">
        <v>21.9</v>
      </c>
      <c r="J39" s="41">
        <v>151</v>
      </c>
      <c r="K39" s="37">
        <v>13</v>
      </c>
      <c r="L39" s="452">
        <v>127</v>
      </c>
      <c r="M39" s="452">
        <v>220</v>
      </c>
      <c r="N39" s="451">
        <v>90</v>
      </c>
      <c r="O39" s="353">
        <v>35</v>
      </c>
      <c r="P39" s="353">
        <v>14</v>
      </c>
      <c r="Q39" s="354">
        <v>234.77</v>
      </c>
      <c r="R39" s="38"/>
      <c r="S39" s="512" t="str">
        <f t="shared" si="22"/>
        <v/>
      </c>
      <c r="T39" s="512"/>
      <c r="U39" s="512"/>
      <c r="V39" s="512"/>
      <c r="X39" s="46">
        <v>1</v>
      </c>
      <c r="Y39" s="107"/>
      <c r="Z39" s="103"/>
      <c r="AA39" s="103"/>
      <c r="AB39" s="46" t="str">
        <f t="shared" si="18"/>
        <v/>
      </c>
      <c r="AC39" s="46" t="str">
        <f t="shared" si="1"/>
        <v/>
      </c>
      <c r="AD39" s="82"/>
      <c r="AE39" s="9" t="str">
        <f>IF(S39="","",IF(COUNTA(Z39:$Z$39)=1,IF(COUNTA(AD39:$AD$39)=1,""," ; "),IF(COUNTA(AD39:$AD$39)=1,IF(Z39="",""," ; ")," ; ")))</f>
        <v/>
      </c>
      <c r="AF39" s="9" t="str">
        <f t="shared" si="2"/>
        <v/>
      </c>
      <c r="AG39" s="90" t="str">
        <f t="shared" si="3"/>
        <v/>
      </c>
      <c r="AH39" s="204" t="s">
        <v>220</v>
      </c>
      <c r="AJ39" s="219">
        <f t="shared" si="21"/>
        <v>500</v>
      </c>
      <c r="AK39" s="219">
        <f t="shared" si="21"/>
        <v>100</v>
      </c>
      <c r="AL39" s="219">
        <f t="shared" si="21"/>
        <v>2</v>
      </c>
      <c r="AM39" s="220">
        <f t="shared" si="21"/>
        <v>0.875</v>
      </c>
      <c r="AN39" s="221">
        <f t="shared" si="21"/>
        <v>0.63607464142166403</v>
      </c>
      <c r="AO39" s="222">
        <f t="shared" si="4"/>
        <v>-14.7</v>
      </c>
      <c r="AP39" s="223">
        <f t="shared" si="5"/>
        <v>1</v>
      </c>
      <c r="AQ39" s="223">
        <f t="shared" si="6"/>
        <v>1</v>
      </c>
      <c r="AR39" s="222">
        <f t="shared" si="20"/>
        <v>158.47</v>
      </c>
      <c r="AS39" s="223">
        <f t="shared" si="7"/>
        <v>0.9723448696087954</v>
      </c>
      <c r="AT39" s="223">
        <f t="shared" si="8"/>
        <v>1.2538510821608391</v>
      </c>
      <c r="AU39" s="223">
        <f t="shared" si="9"/>
        <v>2.2360679774997898</v>
      </c>
      <c r="AV39" s="224">
        <f t="shared" si="10"/>
        <v>10.368348541764712</v>
      </c>
      <c r="AW39" s="223">
        <f t="shared" si="11"/>
        <v>0</v>
      </c>
      <c r="AX39" s="225">
        <f t="shared" si="12"/>
        <v>1.4831709199797398</v>
      </c>
      <c r="AY39" s="223">
        <f t="shared" si="13"/>
        <v>0.77643477842613629</v>
      </c>
      <c r="AZ39" s="224">
        <f t="shared" si="14"/>
        <v>3.5883638597441294</v>
      </c>
      <c r="BA39" s="223">
        <f t="shared" si="15"/>
        <v>0</v>
      </c>
      <c r="BB39" s="223">
        <f t="shared" si="16"/>
        <v>1.0016542390239327</v>
      </c>
      <c r="BC39" s="223">
        <f t="shared" si="17"/>
        <v>1</v>
      </c>
    </row>
    <row r="40" spans="1:55" ht="20.100000000000001" customHeight="1" thickBot="1" x14ac:dyDescent="0.3">
      <c r="A40" s="53" t="s">
        <v>11</v>
      </c>
      <c r="B40" s="453" t="str">
        <f>IFERROR(ROUND(AVERAGE(B16:B39),2),"")</f>
        <v/>
      </c>
      <c r="C40" s="453" t="str">
        <f>IFERROR(ROUND(AVERAGE(C16:C39),2),"")</f>
        <v/>
      </c>
      <c r="D40" s="453">
        <f>IFERROR(ROUND(AVERAGE(D16:D39),2),"")</f>
        <v>6.5</v>
      </c>
      <c r="E40" s="453">
        <f>IFERROR(ROUND(AVERAGE(E16:E39),2),"")</f>
        <v>58.6</v>
      </c>
      <c r="F40" s="55">
        <f>IFERROR(ROUND(AVERAGE(F16:F39),0),"")</f>
        <v>1931</v>
      </c>
      <c r="G40" s="54">
        <f>IFERROR(AVERAGE(G16:G39),"")</f>
        <v>-5.5208333333333321</v>
      </c>
      <c r="H40" s="54">
        <f>IFERROR(AVERAGE(H16:H39),"")</f>
        <v>71.483333333333334</v>
      </c>
      <c r="I40" s="54">
        <f>IFERROR(AVERAGE(I16:I39),"")</f>
        <v>21.437500000000004</v>
      </c>
      <c r="J40" s="71"/>
      <c r="K40" s="111">
        <f>IFERROR(AVERAGE(K16:K39),"")</f>
        <v>13</v>
      </c>
      <c r="L40" s="453">
        <f t="shared" ref="L40:P40" si="23">IFERROR(ROUND(AVERAGE(L16:L39),1),"")</f>
        <v>125.3</v>
      </c>
      <c r="M40" s="453">
        <f t="shared" si="23"/>
        <v>224</v>
      </c>
      <c r="N40" s="453">
        <f t="shared" si="23"/>
        <v>90</v>
      </c>
      <c r="O40" s="456">
        <f t="shared" si="23"/>
        <v>44.4</v>
      </c>
      <c r="P40" s="456">
        <f t="shared" si="23"/>
        <v>11.3</v>
      </c>
      <c r="Q40" s="456">
        <f>IF($I$47=1,$M$49,$Q$44)</f>
        <v>210.3</v>
      </c>
      <c r="R40" s="54" t="str">
        <f>IFERROR(ROUND(AVERAGE(R16:R39),1),"")</f>
        <v/>
      </c>
      <c r="S40" s="509"/>
      <c r="T40" s="510"/>
      <c r="U40" s="510"/>
      <c r="V40" s="511"/>
      <c r="X40" s="99"/>
      <c r="Y40" s="99"/>
      <c r="Z40" s="99"/>
      <c r="AA40" s="99"/>
      <c r="AB40" s="104">
        <f>SUM(AB16:AB39)</f>
        <v>0</v>
      </c>
      <c r="AC40" s="104">
        <f>SUM(AC16:AC39)</f>
        <v>0</v>
      </c>
      <c r="AD40" s="92" t="str">
        <f>IF(OR(COUNTBLANK(D16:E39)+COUNTBLANK(O16:P39)=0,COUNTA(S16:V39)&lt;&gt;0),"","CEK : Blank Data - Remarks")</f>
        <v/>
      </c>
      <c r="AG40" s="90" t="str">
        <f>IF(COUNTIF(AG16:AG39,"")=COUNTA(AG16:AG39),"","CEK : Data Flowrate")</f>
        <v/>
      </c>
      <c r="AH40" s="204" t="s">
        <v>311</v>
      </c>
    </row>
    <row r="41" spans="1:55" ht="20.100000000000001" hidden="1" customHeight="1" thickBot="1" x14ac:dyDescent="0.3">
      <c r="A41" s="49" t="s">
        <v>12</v>
      </c>
      <c r="B41" s="52" t="str">
        <f>IF(COUNT(B16:B39)&gt;0,ROUND(MIN(B16:B39),2),"")</f>
        <v/>
      </c>
      <c r="C41" s="52" t="str">
        <f>IF(COUNT(C16:C39)&gt;0,ROUND(MIN(C16:C39),2),"")</f>
        <v/>
      </c>
      <c r="D41" s="52">
        <f>IF(COUNT(D16:D39)&gt;0,ROUND(MIN(D16:D39),2),"")</f>
        <v>5.6</v>
      </c>
      <c r="E41" s="52">
        <f>IF(COUNT(E16:E39)&gt;0,ROUND(MIN(E16:E39),2),"")</f>
        <v>54.8</v>
      </c>
      <c r="F41" s="51">
        <f>IF(COUNT(F16:F39)&gt;0,ROUND(MIN(F16:F39),0),"")</f>
        <v>1632</v>
      </c>
      <c r="G41" s="50">
        <f>IF(COUNT(G16:G39)&gt;0,MIN(G16:G39),"")</f>
        <v>-5.6</v>
      </c>
      <c r="H41" s="50">
        <f>IF(COUNT(H16:H39)&gt;0,MIN(H16:H39),"")</f>
        <v>71.2</v>
      </c>
      <c r="I41" s="50">
        <f>IF(COUNT(I16:I39)&gt;0,MIN(I16:I39),"")</f>
        <v>21</v>
      </c>
      <c r="J41" s="72"/>
      <c r="K41" s="50">
        <f>IF(COUNT(K16:K39)&gt;0,MIN(K16:K39),"")</f>
        <v>13</v>
      </c>
      <c r="L41" s="52">
        <f>IF(COUNT(L16:L39)&gt;0,ROUND(MIN(L16:L39),1),"")</f>
        <v>120</v>
      </c>
      <c r="M41" s="52">
        <f>IF(COUNT(M16:M39)&gt;0,ROUND(MIN(M16:M39),1),"")</f>
        <v>220</v>
      </c>
      <c r="N41" s="52">
        <f>IF(COUNT(N16:N39)&gt;0,ROUND(MIN(N16:N39),1),"")</f>
        <v>90</v>
      </c>
      <c r="O41" s="440">
        <f>IF(COUNT(O16:O39)&gt;0,ROUND(MIN(O16:O39),1),"")</f>
        <v>35</v>
      </c>
      <c r="P41" s="440">
        <f>IF(COUNT(P16:P39)&gt;0,ROUND(MIN(P16:P39),1),"")</f>
        <v>8</v>
      </c>
      <c r="Q41" s="440">
        <f>IF(COUNT(Q16:Q39)&gt;0,ROUND(MIN(Q16:Q39),4),"")</f>
        <v>198.7</v>
      </c>
      <c r="R41" s="121" t="str">
        <f>IF(COUNT(R16:R39)&gt;0,ROUND(MIN(R16:R39),1),"")</f>
        <v/>
      </c>
      <c r="S41" s="509"/>
      <c r="T41" s="510"/>
      <c r="U41" s="510"/>
      <c r="V41" s="511"/>
      <c r="X41" s="99"/>
      <c r="Y41" s="99"/>
      <c r="Z41" s="99"/>
      <c r="AA41" s="99"/>
      <c r="AB41" s="99"/>
      <c r="AC41" s="99"/>
      <c r="AH41" s="204" t="s">
        <v>318</v>
      </c>
    </row>
    <row r="42" spans="1:55" ht="20.100000000000001" hidden="1" customHeight="1" thickBot="1" x14ac:dyDescent="0.3">
      <c r="A42" s="21" t="s">
        <v>13</v>
      </c>
      <c r="B42" s="454" t="str">
        <f>IF(COUNT(B16:B39)&gt;0,ROUND(MAX(B16:B39),2),"")</f>
        <v/>
      </c>
      <c r="C42" s="454" t="str">
        <f>IF(COUNT(C16:C39)&gt;0,ROUND(MAX(C16:C39),2),"")</f>
        <v/>
      </c>
      <c r="D42" s="454">
        <f>IF(COUNT(D16:D39)&gt;0,ROUND(MAX(D16:D39),2),"")</f>
        <v>7.7</v>
      </c>
      <c r="E42" s="454">
        <f>IF(COUNT(E16:E39)&gt;0,ROUND(MAX(E16:E39),2),"")</f>
        <v>63.4</v>
      </c>
      <c r="F42" s="43">
        <f>IF(COUNT(F16:F39)&gt;0,ROUND(MAX(F16:F39),0),"")</f>
        <v>1991</v>
      </c>
      <c r="G42" s="39">
        <f>IF(COUNT(G16:G39)&gt;0,MAX(G16:G39),"")</f>
        <v>-5.5</v>
      </c>
      <c r="H42" s="39">
        <f>IF(COUNT(H16:H39)&gt;0,MAX(H16:H39),"")</f>
        <v>71.900000000000006</v>
      </c>
      <c r="I42" s="39">
        <f>IF(COUNT(I16:I39)&gt;0,MAX(I16:I39),"")</f>
        <v>21.9</v>
      </c>
      <c r="J42" s="43">
        <f>IF(COUNT(J16:J39)&gt;0,MAX(J16:J39),"")</f>
        <v>151</v>
      </c>
      <c r="K42" s="39">
        <f>IF(COUNT(K16:K39)&gt;0,MAX(K16:K39),"")</f>
        <v>13</v>
      </c>
      <c r="L42" s="454">
        <f>IF(COUNT(L16:L39)&gt;0,ROUND(MAX(L16:L39),1),"")</f>
        <v>127</v>
      </c>
      <c r="M42" s="454">
        <f>IF(COUNT(M16:M39)&gt;0,ROUND(MAX(M16:M39),1),"")</f>
        <v>228</v>
      </c>
      <c r="N42" s="454">
        <f>IF(COUNT(N16:N39)&gt;0,ROUND(MAX(N16:N39),1),"")</f>
        <v>90</v>
      </c>
      <c r="O42" s="441">
        <f>IF(COUNT(O16:O39)&gt;0,ROUND(MAX(O16:O39),1),"")</f>
        <v>50</v>
      </c>
      <c r="P42" s="441">
        <f>IF(COUNT(P16:P39)&gt;0,ROUND(MAX(P16:P39),1),"")</f>
        <v>14</v>
      </c>
      <c r="Q42" s="441">
        <f>IF(COUNT(Q16:Q39)&gt;0,ROUND(MAX(Q16:Q39),4),"")</f>
        <v>268.3</v>
      </c>
      <c r="R42" s="39" t="str">
        <f>IF(COUNT(R16:R39)&gt;0,ROUND(MAX(R16:R39),1),"")</f>
        <v/>
      </c>
      <c r="S42" s="509"/>
      <c r="T42" s="510"/>
      <c r="U42" s="510"/>
      <c r="V42" s="511"/>
      <c r="X42" s="99"/>
      <c r="Y42" s="99"/>
      <c r="Z42" s="99"/>
      <c r="AA42" s="99"/>
      <c r="AB42" s="99"/>
      <c r="AC42" s="99"/>
      <c r="AH42" s="204" t="s">
        <v>312</v>
      </c>
    </row>
    <row r="43" spans="1:55" ht="20.100000000000001" hidden="1" customHeight="1" x14ac:dyDescent="0.25">
      <c r="A43" s="109"/>
      <c r="B43" s="110">
        <f>COUNT(B16:B39)</f>
        <v>0</v>
      </c>
      <c r="C43" s="110">
        <f>COUNT(C16:C39)</f>
        <v>0</v>
      </c>
      <c r="D43" s="110">
        <f>COUNT(D16:D39)</f>
        <v>24</v>
      </c>
      <c r="E43" s="110">
        <f t="shared" ref="E43:H43" si="24">COUNT(E16:E39)</f>
        <v>24</v>
      </c>
      <c r="F43" s="110">
        <f t="shared" si="24"/>
        <v>24</v>
      </c>
      <c r="G43" s="110">
        <f t="shared" si="24"/>
        <v>24</v>
      </c>
      <c r="H43" s="110">
        <f t="shared" si="24"/>
        <v>24</v>
      </c>
      <c r="I43" s="110"/>
      <c r="J43" s="110"/>
      <c r="K43" s="110"/>
      <c r="L43" s="110">
        <f t="shared" ref="L43:Q43" si="25">COUNT(L16:L39)</f>
        <v>24</v>
      </c>
      <c r="M43" s="110">
        <f t="shared" si="25"/>
        <v>24</v>
      </c>
      <c r="N43" s="110">
        <f t="shared" si="25"/>
        <v>24</v>
      </c>
      <c r="O43" s="110">
        <f t="shared" si="25"/>
        <v>24</v>
      </c>
      <c r="P43" s="110">
        <f t="shared" si="25"/>
        <v>24</v>
      </c>
      <c r="Q43" s="110">
        <f t="shared" si="25"/>
        <v>24</v>
      </c>
      <c r="R43" s="110"/>
      <c r="S43" s="99"/>
      <c r="T43" s="99"/>
      <c r="U43" s="99"/>
      <c r="V43" s="99"/>
      <c r="X43" s="99"/>
      <c r="Y43" s="99"/>
      <c r="Z43" s="99"/>
      <c r="AA43" s="99"/>
      <c r="AB43" s="99"/>
      <c r="AC43" s="99"/>
      <c r="AD43" s="92" t="str">
        <f>IF(AND(D43=E43,D43=F43,D43=G43,D43=H43,D43=L43,D43=M43,D43=N43,D43=O43,D43=P43,D43=Q43),"","CEK : Data Content")</f>
        <v/>
      </c>
      <c r="AH43" s="204" t="s">
        <v>221</v>
      </c>
    </row>
    <row r="44" spans="1:55" s="6" customFormat="1" ht="15" customHeight="1" x14ac:dyDescent="0.25">
      <c r="J44" s="91" t="str">
        <f>IF(J1="PRINT","",IF(J42="","RH please ! !",""))</f>
        <v/>
      </c>
      <c r="L44" s="24"/>
      <c r="Q44" s="445">
        <f>IFERROR(ROUND(AVERAGE(Q16:Q39),4),"")</f>
        <v>228.2483</v>
      </c>
      <c r="AH44" s="204" t="s">
        <v>323</v>
      </c>
      <c r="AI44" s="7"/>
    </row>
    <row r="45" spans="1:55" s="6" customFormat="1" ht="15" customHeight="1" x14ac:dyDescent="0.25">
      <c r="L45" s="26" t="s">
        <v>290</v>
      </c>
      <c r="Q45" s="445"/>
      <c r="AH45" s="204" t="s">
        <v>288</v>
      </c>
      <c r="AI45" s="7"/>
    </row>
    <row r="46" spans="1:55" s="6" customFormat="1" ht="15" customHeight="1" x14ac:dyDescent="0.25">
      <c r="D46" s="443" t="s">
        <v>90</v>
      </c>
      <c r="E46" s="448" t="str">
        <f>IF(Schedule!C$7="","",Schedule!C$7)</f>
        <v/>
      </c>
      <c r="G46" s="61"/>
      <c r="H46" s="25" t="str">
        <f>IFERROR(IF(OR(I47="",I48="",I49=""),"WAKTU BELUM DI-ISI LENGKAP",IF(SUM(I48:I49)&lt;=1,"","CEK KEMBALI PENULISAN WAKTU SALAH")),"CEK KEMBALI PENULISAN WAKTU SALAH")</f>
        <v/>
      </c>
      <c r="L46" s="26" t="s">
        <v>22</v>
      </c>
      <c r="M46" s="460">
        <f>IF(Volume!$W6="",$O46,Volume!$W6)</f>
        <v>37.634</v>
      </c>
      <c r="N46" s="27" t="s">
        <v>1</v>
      </c>
      <c r="O46" s="447">
        <f>IF(O40="","",O40)</f>
        <v>44.4</v>
      </c>
      <c r="P46" s="361" t="s">
        <v>29</v>
      </c>
      <c r="Q46" s="362"/>
      <c r="R46" s="362"/>
      <c r="S46" s="362"/>
      <c r="T46" s="361" t="s">
        <v>30</v>
      </c>
      <c r="U46" s="362"/>
      <c r="V46" s="362"/>
      <c r="AH46" s="204" t="s">
        <v>222</v>
      </c>
    </row>
    <row r="47" spans="1:55" s="6" customFormat="1" ht="15" customHeight="1" x14ac:dyDescent="0.25">
      <c r="D47" s="448"/>
      <c r="E47" s="448"/>
      <c r="H47" s="26" t="s">
        <v>26</v>
      </c>
      <c r="I47" s="56">
        <f>IF(OR(I48="",I49=""),"",1-I48-I49)</f>
        <v>1</v>
      </c>
      <c r="J47" s="27" t="s">
        <v>19</v>
      </c>
      <c r="L47" s="26" t="s">
        <v>23</v>
      </c>
      <c r="M47" s="442">
        <f>IF(Volume!$Y6="",$O47,Volume!$Y6)</f>
        <v>11.203099999999999</v>
      </c>
      <c r="N47" s="27" t="s">
        <v>14</v>
      </c>
      <c r="O47" s="447">
        <f>IF(P40="","",P40)</f>
        <v>11.3</v>
      </c>
      <c r="P47" s="361" t="s">
        <v>211</v>
      </c>
      <c r="Q47" s="362"/>
      <c r="R47" s="362"/>
      <c r="S47" s="362"/>
      <c r="T47" s="361" t="s">
        <v>271</v>
      </c>
      <c r="U47" s="362"/>
      <c r="V47" s="362"/>
      <c r="AH47" s="204" t="s">
        <v>223</v>
      </c>
    </row>
    <row r="48" spans="1:55" s="6" customFormat="1" ht="15" customHeight="1" x14ac:dyDescent="0.25">
      <c r="D48" s="443" t="s">
        <v>91</v>
      </c>
      <c r="E48" s="448" t="str">
        <f>IF(Schedule!D$7="","",Schedule!D$7)</f>
        <v/>
      </c>
      <c r="H48" s="26" t="s">
        <v>37</v>
      </c>
      <c r="I48" s="108">
        <f>IF(OR(COUNT($Q$16:$Q$39)&lt;&gt;0,COUNTA($AD$16:$AD$39)&lt;&gt;0),AB40,"")</f>
        <v>0</v>
      </c>
      <c r="J48" s="27" t="s">
        <v>19</v>
      </c>
      <c r="L48" s="26" t="s">
        <v>24</v>
      </c>
      <c r="M48" s="449">
        <f>IF(N40="","",N40)</f>
        <v>90</v>
      </c>
      <c r="N48" s="27" t="s">
        <v>5</v>
      </c>
      <c r="P48" s="362"/>
      <c r="Q48" s="362"/>
      <c r="R48" s="362"/>
      <c r="S48" s="362"/>
      <c r="T48" s="361" t="s">
        <v>291</v>
      </c>
      <c r="U48" s="362"/>
      <c r="V48" s="362"/>
      <c r="AH48" s="204" t="s">
        <v>324</v>
      </c>
    </row>
    <row r="49" spans="1:34" s="6" customFormat="1" ht="15" customHeight="1" x14ac:dyDescent="0.25">
      <c r="D49" s="448"/>
      <c r="E49" s="448"/>
      <c r="H49" s="26" t="s">
        <v>27</v>
      </c>
      <c r="I49" s="108">
        <f>IF(OR(COUNT($Q$16:$Q$39)&lt;&gt;0,COUNTA($AD$16:$AD$39)&lt;&gt;0),AC40,"")</f>
        <v>0</v>
      </c>
      <c r="J49" s="27" t="s">
        <v>19</v>
      </c>
      <c r="L49" s="26" t="s">
        <v>128</v>
      </c>
      <c r="M49" s="442">
        <f>IF(Volume!$L6="",M51,Volume!$L6)</f>
        <v>210.3</v>
      </c>
      <c r="N49" s="27" t="str">
        <f>IF(Q15="MSCFD","MSCF","MMSCF")</f>
        <v>MSCF</v>
      </c>
      <c r="P49" s="362"/>
      <c r="Q49" s="362"/>
      <c r="R49" s="362"/>
      <c r="S49" s="362"/>
      <c r="T49" s="362"/>
      <c r="U49" s="362"/>
      <c r="V49" s="362"/>
      <c r="AH49" s="204" t="s">
        <v>317</v>
      </c>
    </row>
    <row r="50" spans="1:34" s="6" customFormat="1" ht="15" customHeight="1" x14ac:dyDescent="0.25">
      <c r="D50" s="443" t="s">
        <v>92</v>
      </c>
      <c r="E50" s="448" t="str">
        <f>IF(Schedule!E$7="","",Schedule!E$7)</f>
        <v>Marihot Gustafa S.</v>
      </c>
      <c r="L50" s="443" t="str">
        <f>CONCATENATE(MR!L16," ",":")</f>
        <v>Liquid Gain :</v>
      </c>
      <c r="M50" s="446" t="str">
        <f>IF(R40="","",ROUND(SUM(R16:R39),2))</f>
        <v/>
      </c>
      <c r="N50" s="444" t="str">
        <f>R15</f>
        <v>BPD</v>
      </c>
      <c r="P50" s="362"/>
      <c r="Q50" s="362"/>
      <c r="R50" s="362"/>
      <c r="S50" s="362"/>
      <c r="T50" s="362"/>
      <c r="U50" s="362"/>
      <c r="V50" s="362"/>
      <c r="AH50" s="204" t="s">
        <v>282</v>
      </c>
    </row>
    <row r="51" spans="1:34" s="6" customFormat="1" ht="15" customHeight="1" x14ac:dyDescent="0.25">
      <c r="A51" s="4"/>
      <c r="L51" s="443" t="s">
        <v>286</v>
      </c>
      <c r="M51" s="447">
        <f>IF(Q44="","",IF(SUM(I48:I49)=1,IF(Q44&lt;&gt;0,"Cek Tabel",""),ROUND(Q44*I47,4)))</f>
        <v>228.2483</v>
      </c>
      <c r="N51" s="444" t="str">
        <f>IF(Q15="MSCFD","MSCF","MMSCF")</f>
        <v>MSCF</v>
      </c>
      <c r="P51" s="362"/>
      <c r="Q51" s="362"/>
      <c r="R51" s="362"/>
      <c r="S51" s="362"/>
      <c r="T51" s="362"/>
      <c r="U51" s="362"/>
      <c r="V51" s="362"/>
      <c r="AH51" s="204" t="s">
        <v>325</v>
      </c>
    </row>
    <row r="52" spans="1:34" s="6" customFormat="1" ht="15" customHeight="1" x14ac:dyDescent="0.25">
      <c r="D52" s="26" t="s">
        <v>28</v>
      </c>
      <c r="E52" s="47"/>
      <c r="F52" s="47"/>
      <c r="G52" s="47"/>
      <c r="H52" s="47"/>
      <c r="I52" s="47"/>
      <c r="J52" s="47"/>
      <c r="K52" s="47"/>
      <c r="L52" s="5"/>
      <c r="P52" s="362"/>
      <c r="Q52" s="362"/>
      <c r="R52" s="362"/>
      <c r="S52" s="362"/>
      <c r="T52" s="362"/>
      <c r="U52" s="362"/>
      <c r="V52" s="362"/>
      <c r="AH52" s="204" t="s">
        <v>280</v>
      </c>
    </row>
    <row r="53" spans="1:34" s="6" customFormat="1" ht="15" customHeight="1" x14ac:dyDescent="0.25">
      <c r="D53" s="5"/>
      <c r="E53" s="48"/>
      <c r="F53" s="48"/>
      <c r="G53" s="48"/>
      <c r="H53" s="48"/>
      <c r="I53" s="48"/>
      <c r="J53" s="48"/>
      <c r="K53" s="48"/>
      <c r="L53" s="5"/>
      <c r="P53" s="363" t="str">
        <f>UPPER(E50)</f>
        <v>MARIHOT GUSTAFA S.</v>
      </c>
      <c r="Q53" s="362"/>
      <c r="R53" s="362"/>
      <c r="S53" s="362"/>
      <c r="T53" s="363" t="str">
        <f>IF(Schedule!F$7="","",UPPER(Schedule!F$7))</f>
        <v>BUDI WIDHARTONO</v>
      </c>
      <c r="U53" s="362"/>
      <c r="V53" s="362"/>
      <c r="AH53" s="204" t="s">
        <v>316</v>
      </c>
    </row>
    <row r="54" spans="1:34" s="6" customFormat="1" ht="15" customHeight="1" x14ac:dyDescent="0.25">
      <c r="E54" s="48"/>
      <c r="F54" s="48"/>
      <c r="G54" s="48"/>
      <c r="H54" s="48"/>
      <c r="I54" s="48"/>
      <c r="J54" s="48"/>
      <c r="K54" s="48"/>
      <c r="P54" s="361" t="s">
        <v>107</v>
      </c>
      <c r="Q54" s="362"/>
      <c r="R54" s="362"/>
      <c r="S54" s="362"/>
      <c r="T54" s="361" t="s">
        <v>294</v>
      </c>
      <c r="U54" s="362"/>
      <c r="V54" s="362"/>
      <c r="AH54" s="204" t="s">
        <v>326</v>
      </c>
    </row>
    <row r="55" spans="1:34" s="6" customFormat="1" ht="15" customHeight="1" x14ac:dyDescent="0.25">
      <c r="P55" s="364" t="str">
        <f>CONCATENATE("Date : ",TEXT(K12,"[$-409]d mmm yyyy;@"))</f>
        <v>Date : 3 Jun 2025</v>
      </c>
      <c r="Q55" s="362"/>
      <c r="R55" s="364"/>
      <c r="S55" s="362"/>
      <c r="T55" s="364" t="str">
        <f>CONCATENATE("Date : ",TEXT(K12,"[$-409]d mmm yyyy;@"))</f>
        <v>Date : 3 Jun 2025</v>
      </c>
      <c r="U55" s="362"/>
      <c r="V55" s="362"/>
      <c r="AH55" s="204" t="s">
        <v>327</v>
      </c>
    </row>
    <row r="56" spans="1:34" ht="15" customHeight="1" x14ac:dyDescent="0.25">
      <c r="AH56" s="204" t="s">
        <v>281</v>
      </c>
    </row>
    <row r="57" spans="1:34" ht="15" customHeight="1" x14ac:dyDescent="0.25">
      <c r="AH57" s="204" t="s">
        <v>277</v>
      </c>
    </row>
    <row r="58" spans="1:34" ht="15" customHeight="1" x14ac:dyDescent="0.25">
      <c r="AH58" s="204" t="s">
        <v>328</v>
      </c>
    </row>
    <row r="59" spans="1:34" ht="15" customHeight="1" x14ac:dyDescent="0.25">
      <c r="AH59" s="204" t="s">
        <v>329</v>
      </c>
    </row>
    <row r="60" spans="1:34" ht="15" customHeight="1" x14ac:dyDescent="0.25">
      <c r="AH60" s="204" t="s">
        <v>330</v>
      </c>
    </row>
    <row r="61" spans="1:34" ht="15" customHeight="1" x14ac:dyDescent="0.25">
      <c r="AH61" s="204" t="s">
        <v>331</v>
      </c>
    </row>
    <row r="62" spans="1:34" ht="15" customHeight="1" x14ac:dyDescent="0.25">
      <c r="AH62" s="204" t="s">
        <v>332</v>
      </c>
    </row>
    <row r="63" spans="1:34" ht="15" customHeight="1" x14ac:dyDescent="0.25">
      <c r="AH63" s="204" t="s">
        <v>315</v>
      </c>
    </row>
    <row r="64" spans="1:34" ht="15" customHeight="1" x14ac:dyDescent="0.25">
      <c r="AH64" s="204" t="s">
        <v>333</v>
      </c>
    </row>
    <row r="65" spans="34:34" ht="15" customHeight="1" x14ac:dyDescent="0.25">
      <c r="AH65" s="204" t="s">
        <v>310</v>
      </c>
    </row>
    <row r="66" spans="34:34" ht="15" customHeight="1" x14ac:dyDescent="0.25">
      <c r="AH66" s="204" t="s">
        <v>334</v>
      </c>
    </row>
    <row r="67" spans="34:34" ht="15" customHeight="1" x14ac:dyDescent="0.25">
      <c r="AH67" s="204" t="s">
        <v>335</v>
      </c>
    </row>
    <row r="68" spans="34:34" ht="15" customHeight="1" x14ac:dyDescent="0.25">
      <c r="AH68" s="204" t="s">
        <v>336</v>
      </c>
    </row>
    <row r="69" spans="34:34" ht="15" customHeight="1" x14ac:dyDescent="0.25">
      <c r="AH69" s="204" t="s">
        <v>337</v>
      </c>
    </row>
    <row r="70" spans="34:34" ht="15" customHeight="1" x14ac:dyDescent="0.25">
      <c r="AH70" s="204" t="s">
        <v>338</v>
      </c>
    </row>
    <row r="71" spans="34:34" ht="15" customHeight="1" x14ac:dyDescent="0.25">
      <c r="AH71" s="204" t="s">
        <v>339</v>
      </c>
    </row>
    <row r="72" spans="34:34" ht="15" customHeight="1" x14ac:dyDescent="0.25">
      <c r="AH72" s="204" t="s">
        <v>340</v>
      </c>
    </row>
    <row r="85" spans="34:34" ht="0" hidden="1" customHeight="1" x14ac:dyDescent="0.25">
      <c r="AH85" s="6"/>
    </row>
    <row r="86" spans="34:34" ht="0" hidden="1" customHeight="1" x14ac:dyDescent="0.25">
      <c r="AH86" s="6"/>
    </row>
    <row r="87" spans="34:34" ht="0" hidden="1" customHeight="1" x14ac:dyDescent="0.25">
      <c r="AH87" s="6"/>
    </row>
    <row r="88" spans="34:34" ht="0" hidden="1" customHeight="1" x14ac:dyDescent="0.25">
      <c r="AH88" s="6"/>
    </row>
    <row r="89" spans="34:34" ht="0" hidden="1" customHeight="1" x14ac:dyDescent="0.25">
      <c r="AH89" s="6"/>
    </row>
    <row r="90" spans="34:34" ht="0" hidden="1" customHeight="1" x14ac:dyDescent="0.25">
      <c r="AH90" s="6"/>
    </row>
    <row r="91" spans="34:34" ht="0" hidden="1" customHeight="1" x14ac:dyDescent="0.25">
      <c r="AH91" s="6"/>
    </row>
    <row r="92" spans="34:34" ht="0" hidden="1" customHeight="1" x14ac:dyDescent="0.25">
      <c r="AH92" s="6"/>
    </row>
    <row r="93" spans="34:34" ht="0" hidden="1" customHeight="1" x14ac:dyDescent="0.25">
      <c r="AH93" s="6"/>
    </row>
    <row r="94" spans="34:34" ht="0" hidden="1" customHeight="1" x14ac:dyDescent="0.25">
      <c r="AH94" s="6"/>
    </row>
  </sheetData>
  <sheetProtection algorithmName="SHA-512" hashValue="WzMRSE1X91hxbgZ8+zfvQw2DiW2JW/IcLdKMgnUpILSyfj6LuHJmWCpJTzA0ytM7yOy0+VeTJ+OfJQoSWofiUQ==" saltValue="EllZ5tgdWqrCXuzPLTrWyg==" spinCount="100000" sheet="1" objects="1" scenarios="1" formatColumns="0" formatRows="0" insertColumns="0" insertRows="0" sort="0" autoFilter="0" pivotTables="0"/>
  <mergeCells count="69">
    <mergeCell ref="S37:V37"/>
    <mergeCell ref="S38:V38"/>
    <mergeCell ref="S39:V39"/>
    <mergeCell ref="S40:V40"/>
    <mergeCell ref="S41:V42"/>
    <mergeCell ref="S36:V36"/>
    <mergeCell ref="S25:V25"/>
    <mergeCell ref="S26:V26"/>
    <mergeCell ref="S27:V27"/>
    <mergeCell ref="S28:V28"/>
    <mergeCell ref="S29:V29"/>
    <mergeCell ref="S30:V30"/>
    <mergeCell ref="S31:V31"/>
    <mergeCell ref="S32:V32"/>
    <mergeCell ref="S33:V33"/>
    <mergeCell ref="S34:V34"/>
    <mergeCell ref="S35:V35"/>
    <mergeCell ref="S19:V19"/>
    <mergeCell ref="S20:V20"/>
    <mergeCell ref="S21:V21"/>
    <mergeCell ref="S22:V22"/>
    <mergeCell ref="S23:V23"/>
    <mergeCell ref="S24:V24"/>
    <mergeCell ref="BA14:BA15"/>
    <mergeCell ref="BB14:BB15"/>
    <mergeCell ref="BC14:BC15"/>
    <mergeCell ref="S16:V16"/>
    <mergeCell ref="S17:V17"/>
    <mergeCell ref="S18:V18"/>
    <mergeCell ref="AU14:AU15"/>
    <mergeCell ref="AV14:AV15"/>
    <mergeCell ref="AW14:AW15"/>
    <mergeCell ref="AX14:AX15"/>
    <mergeCell ref="AY14:AY15"/>
    <mergeCell ref="AZ14:AZ15"/>
    <mergeCell ref="AO14:AO15"/>
    <mergeCell ref="AP14:AP15"/>
    <mergeCell ref="AQ14:AQ15"/>
    <mergeCell ref="AR14:AR15"/>
    <mergeCell ref="AS14:AS15"/>
    <mergeCell ref="AT14:AT15"/>
    <mergeCell ref="AD14:AD15"/>
    <mergeCell ref="AJ14:AJ15"/>
    <mergeCell ref="AK14:AK15"/>
    <mergeCell ref="AL14:AL15"/>
    <mergeCell ref="AM14:AM15"/>
    <mergeCell ref="AN14:AN15"/>
    <mergeCell ref="Y14:AC14"/>
    <mergeCell ref="H13:H14"/>
    <mergeCell ref="I13:I14"/>
    <mergeCell ref="J13:J14"/>
    <mergeCell ref="K13:K14"/>
    <mergeCell ref="L13:L14"/>
    <mergeCell ref="M13:N13"/>
    <mergeCell ref="Q13:Q14"/>
    <mergeCell ref="R13:R14"/>
    <mergeCell ref="S13:V15"/>
    <mergeCell ref="O13:O14"/>
    <mergeCell ref="P13:P14"/>
    <mergeCell ref="A10:V10"/>
    <mergeCell ref="A11:V11"/>
    <mergeCell ref="K12:L12"/>
    <mergeCell ref="A13:A15"/>
    <mergeCell ref="B13:B14"/>
    <mergeCell ref="C13:C14"/>
    <mergeCell ref="D13:D14"/>
    <mergeCell ref="E13:E14"/>
    <mergeCell ref="F13:F14"/>
    <mergeCell ref="G13:G14"/>
  </mergeCells>
  <conditionalFormatting sqref="I47">
    <cfRule type="cellIs" dxfId="142" priority="5" operator="lessThan">
      <formula>0</formula>
    </cfRule>
  </conditionalFormatting>
  <conditionalFormatting sqref="Y16:Y39">
    <cfRule type="containsText" dxfId="141" priority="3" operator="containsText" text="STBY">
      <formula>NOT(ISERROR(SEARCH("STBY",Y16)))</formula>
    </cfRule>
    <cfRule type="containsText" dxfId="140" priority="4" operator="containsText" text="SD">
      <formula>NOT(ISERROR(SEARCH("SD",Y16)))</formula>
    </cfRule>
  </conditionalFormatting>
  <conditionalFormatting sqref="B16:B39 D16:R39">
    <cfRule type="expression" dxfId="139" priority="2">
      <formula>ISTEXT(B16)</formula>
    </cfRule>
  </conditionalFormatting>
  <conditionalFormatting sqref="C16:C39">
    <cfRule type="expression" dxfId="138" priority="1">
      <formula>ISTEXT(C16)</formula>
    </cfRule>
  </conditionalFormatting>
  <dataValidations count="2">
    <dataValidation type="list" allowBlank="1" showInputMessage="1" showErrorMessage="1" sqref="Y16:Y39" xr:uid="{B006E67D-5E48-47B5-8527-51903B7C0E15}">
      <formula1>"SD,STBY"</formula1>
    </dataValidation>
    <dataValidation type="list" allowBlank="1" showInputMessage="1" sqref="AD16:AD39" xr:uid="{248FF434-5696-46C8-A4AE-D033BC2AB242}">
      <formula1>$AH$15:$AH$72</formula1>
    </dataValidation>
  </dataValidations>
  <printOptions horizontalCentered="1"/>
  <pageMargins left="0.39370078740157483" right="0.39370078740157483" top="0.59055118110236227" bottom="0.39370078740157483" header="0.31496062992125984" footer="0.31496062992125984"/>
  <pageSetup paperSize="9" scale="57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B5FBD-2AAE-46A6-84BB-861465A41CB7}">
  <sheetPr codeName="N04">
    <pageSetUpPr fitToPage="1"/>
  </sheetPr>
  <dimension ref="A1:BC94"/>
  <sheetViews>
    <sheetView topLeftCell="A16" zoomScale="85" zoomScaleNormal="85" workbookViewId="0">
      <selection activeCell="M21" sqref="M21"/>
    </sheetView>
  </sheetViews>
  <sheetFormatPr defaultColWidth="0" defaultRowHeight="0" customHeight="1" zeroHeight="1" x14ac:dyDescent="0.25"/>
  <cols>
    <col min="1" max="1" width="10.7109375" style="7" customWidth="1"/>
    <col min="2" max="3" width="10.7109375" style="7" hidden="1" customWidth="1"/>
    <col min="4" max="14" width="10.7109375" style="7" customWidth="1"/>
    <col min="15" max="17" width="11.7109375" style="7" customWidth="1"/>
    <col min="18" max="18" width="10.7109375" style="7" hidden="1" customWidth="1"/>
    <col min="19" max="22" width="10.7109375" style="7" customWidth="1"/>
    <col min="23" max="23" width="2.7109375" style="7" customWidth="1"/>
    <col min="24" max="29" width="10.7109375" style="7" customWidth="1"/>
    <col min="30" max="30" width="30.7109375" style="7" customWidth="1"/>
    <col min="31" max="33" width="11.7109375" style="7" customWidth="1"/>
    <col min="34" max="34" width="30.7109375" style="7" customWidth="1"/>
    <col min="35" max="35" width="2.7109375" style="7" hidden="1" customWidth="1"/>
    <col min="36" max="55" width="11.7109375" style="7" hidden="1" customWidth="1"/>
    <col min="56" max="16384" width="9.140625" style="7" hidden="1"/>
  </cols>
  <sheetData>
    <row r="1" spans="1:55" ht="15" customHeight="1" x14ac:dyDescent="0.25">
      <c r="A1" s="7" t="s">
        <v>16</v>
      </c>
      <c r="D1" s="11" t="s">
        <v>85</v>
      </c>
      <c r="J1" s="7" t="str">
        <f>IF(MR!U13="Yes","PRINT","No")</f>
        <v>PRINT</v>
      </c>
      <c r="M1" s="191"/>
      <c r="N1" s="191"/>
    </row>
    <row r="2" spans="1:55" ht="15" customHeight="1" thickBot="1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192"/>
      <c r="M2" s="4"/>
      <c r="N2" s="4"/>
      <c r="O2" s="4"/>
      <c r="P2" s="4"/>
      <c r="Q2" s="4"/>
      <c r="R2" s="4"/>
      <c r="S2" s="8"/>
      <c r="T2" s="8"/>
      <c r="U2" s="8"/>
      <c r="V2" s="8"/>
      <c r="X2" s="8"/>
      <c r="Y2" s="8"/>
      <c r="Z2" s="8"/>
      <c r="AA2" s="8"/>
      <c r="AB2" s="8"/>
      <c r="AC2" s="8"/>
      <c r="AD2" s="8"/>
      <c r="AE2" s="8"/>
    </row>
    <row r="3" spans="1:55" ht="15" customHeight="1" x14ac:dyDescent="0.2">
      <c r="A3" s="31"/>
      <c r="B3" s="28"/>
      <c r="C3" s="28"/>
      <c r="D3" s="28"/>
      <c r="E3" s="28"/>
      <c r="F3" s="13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2"/>
      <c r="T3" s="22"/>
      <c r="U3" s="22"/>
      <c r="V3" s="23"/>
      <c r="X3" s="8"/>
      <c r="Y3" s="8"/>
      <c r="Z3" s="8"/>
      <c r="AA3" s="8"/>
      <c r="AB3" s="8"/>
      <c r="AC3" s="8"/>
      <c r="AD3" s="8"/>
      <c r="AE3" s="8"/>
    </row>
    <row r="4" spans="1:55" ht="30" customHeight="1" x14ac:dyDescent="0.25">
      <c r="A4" s="30"/>
      <c r="B4" s="1"/>
      <c r="C4" s="1"/>
      <c r="D4" s="1"/>
      <c r="E4" s="3"/>
      <c r="F4" s="63" t="s">
        <v>210</v>
      </c>
      <c r="G4" s="1"/>
      <c r="H4" s="1"/>
      <c r="I4" s="3"/>
      <c r="J4" s="3"/>
      <c r="K4" s="3"/>
      <c r="L4" s="3"/>
      <c r="M4" s="3"/>
      <c r="N4" s="3"/>
      <c r="O4" s="3"/>
      <c r="P4" s="3"/>
      <c r="Q4" s="3"/>
      <c r="R4" s="3"/>
      <c r="S4" s="1"/>
      <c r="T4" s="1"/>
      <c r="U4" s="1"/>
      <c r="V4" s="2"/>
      <c r="X4" s="5"/>
      <c r="Y4" s="5"/>
      <c r="Z4" s="5"/>
      <c r="AA4" s="5"/>
      <c r="AB4" s="5"/>
      <c r="AC4" s="5"/>
      <c r="AD4" s="5"/>
      <c r="AE4" s="5"/>
    </row>
    <row r="5" spans="1:55" ht="15" customHeight="1" x14ac:dyDescent="0.2">
      <c r="A5" s="32"/>
      <c r="B5" s="33"/>
      <c r="C5" s="33"/>
      <c r="D5" s="12"/>
      <c r="E5" s="3"/>
      <c r="F5" s="10" t="s">
        <v>129</v>
      </c>
      <c r="G5" s="1"/>
      <c r="H5" s="1"/>
      <c r="I5" s="3"/>
      <c r="J5" s="3"/>
      <c r="K5" s="3"/>
      <c r="L5" s="3"/>
      <c r="M5" s="3"/>
      <c r="N5" s="3"/>
      <c r="O5" s="3"/>
      <c r="P5" s="3"/>
      <c r="Q5" s="3"/>
      <c r="R5" s="3"/>
      <c r="S5" s="12"/>
      <c r="T5" s="12"/>
      <c r="U5" s="12"/>
      <c r="V5" s="14"/>
      <c r="X5" s="8"/>
      <c r="Y5" s="8"/>
      <c r="Z5" s="8"/>
      <c r="AA5" s="8"/>
      <c r="AB5" s="8"/>
      <c r="AC5" s="8"/>
      <c r="AD5" s="8"/>
      <c r="AE5" s="8"/>
      <c r="AJ5" s="193" t="s">
        <v>184</v>
      </c>
      <c r="AK5" s="194">
        <f>'V Calc'!B1</f>
        <v>500</v>
      </c>
      <c r="AL5" s="124"/>
    </row>
    <row r="6" spans="1:55" ht="15" customHeight="1" x14ac:dyDescent="0.2">
      <c r="A6" s="32"/>
      <c r="B6" s="33"/>
      <c r="C6" s="33"/>
      <c r="D6" s="12"/>
      <c r="E6" s="3"/>
      <c r="F6" s="10" t="s">
        <v>132</v>
      </c>
      <c r="G6" s="1"/>
      <c r="H6" s="1"/>
      <c r="I6" s="3"/>
      <c r="J6" s="3"/>
      <c r="K6" s="3"/>
      <c r="L6" s="3"/>
      <c r="M6" s="3"/>
      <c r="N6" s="3"/>
      <c r="O6" s="3"/>
      <c r="P6" s="3"/>
      <c r="Q6" s="3"/>
      <c r="R6" s="3"/>
      <c r="S6" s="12"/>
      <c r="T6" s="12"/>
      <c r="U6" s="12"/>
      <c r="V6" s="14"/>
      <c r="X6" s="8"/>
      <c r="Y6" s="8"/>
      <c r="Z6" s="8"/>
      <c r="AA6" s="8"/>
      <c r="AB6" s="8"/>
      <c r="AC6" s="8"/>
      <c r="AD6" s="8"/>
      <c r="AE6" s="8"/>
      <c r="AJ6" s="193" t="s">
        <v>185</v>
      </c>
      <c r="AK6" s="194">
        <f>'V Calc'!B2</f>
        <v>100</v>
      </c>
      <c r="AL6" s="124"/>
    </row>
    <row r="7" spans="1:55" ht="15" customHeight="1" x14ac:dyDescent="0.2">
      <c r="A7" s="32"/>
      <c r="B7" s="33"/>
      <c r="C7" s="33"/>
      <c r="D7" s="12"/>
      <c r="E7" s="3"/>
      <c r="F7" s="10" t="s">
        <v>130</v>
      </c>
      <c r="G7" s="1"/>
      <c r="H7" s="1"/>
      <c r="I7" s="3"/>
      <c r="J7" s="3"/>
      <c r="K7" s="3"/>
      <c r="L7" s="3"/>
      <c r="M7" s="3"/>
      <c r="N7" s="3"/>
      <c r="O7" s="3"/>
      <c r="P7" s="3"/>
      <c r="Q7" s="3"/>
      <c r="R7" s="3"/>
      <c r="S7" s="12"/>
      <c r="T7" s="12"/>
      <c r="U7" s="12"/>
      <c r="V7" s="14"/>
      <c r="X7" s="8"/>
      <c r="Y7" s="8"/>
      <c r="Z7" s="8"/>
      <c r="AA7" s="8"/>
      <c r="AB7" s="8"/>
      <c r="AC7" s="8"/>
      <c r="AD7" s="8"/>
      <c r="AE7" s="8"/>
      <c r="AJ7" s="193" t="s">
        <v>186</v>
      </c>
      <c r="AK7" s="195">
        <f>'V Calc'!B3</f>
        <v>2</v>
      </c>
      <c r="AL7" s="124"/>
    </row>
    <row r="8" spans="1:55" ht="15" customHeight="1" x14ac:dyDescent="0.2">
      <c r="A8" s="32"/>
      <c r="B8" s="33"/>
      <c r="C8" s="33"/>
      <c r="D8" s="12"/>
      <c r="E8" s="3"/>
      <c r="F8" s="10" t="s">
        <v>131</v>
      </c>
      <c r="G8" s="62"/>
      <c r="H8" s="62"/>
      <c r="I8" s="3"/>
      <c r="J8" s="3"/>
      <c r="K8" s="3"/>
      <c r="L8" s="3"/>
      <c r="M8" s="3"/>
      <c r="N8" s="3"/>
      <c r="O8" s="3"/>
      <c r="P8" s="3"/>
      <c r="Q8" s="3"/>
      <c r="R8" s="3"/>
      <c r="S8" s="12"/>
      <c r="T8" s="12"/>
      <c r="U8" s="12"/>
      <c r="V8" s="14"/>
      <c r="X8" s="8"/>
      <c r="Y8" s="8"/>
      <c r="Z8" s="8"/>
      <c r="AA8" s="8"/>
      <c r="AB8" s="8"/>
      <c r="AC8" s="8"/>
      <c r="AD8" s="8"/>
      <c r="AE8" s="8"/>
      <c r="AJ8" s="193" t="s">
        <v>187</v>
      </c>
      <c r="AK8" s="195">
        <f>'V Calc'!B4</f>
        <v>0.875</v>
      </c>
      <c r="AL8" s="124"/>
    </row>
    <row r="9" spans="1:55" ht="15" customHeight="1" thickBot="1" x14ac:dyDescent="0.25">
      <c r="A9" s="34"/>
      <c r="B9" s="29"/>
      <c r="C9" s="29"/>
      <c r="D9" s="29"/>
      <c r="E9" s="29"/>
      <c r="F9" s="15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16"/>
      <c r="T9" s="16"/>
      <c r="U9" s="16"/>
      <c r="V9" s="17"/>
      <c r="X9" s="8"/>
      <c r="Y9" s="8"/>
      <c r="Z9" s="8"/>
      <c r="AA9" s="8"/>
      <c r="AB9" s="8"/>
      <c r="AC9" s="8"/>
      <c r="AD9" s="8"/>
      <c r="AE9" s="8"/>
      <c r="AJ9" s="196" t="s">
        <v>188</v>
      </c>
      <c r="AK9" s="197">
        <f>'V Calc'!B5</f>
        <v>158.47</v>
      </c>
      <c r="AL9" s="198"/>
    </row>
    <row r="10" spans="1:55" s="9" customFormat="1" ht="30" customHeight="1" x14ac:dyDescent="0.2">
      <c r="A10" s="513" t="s">
        <v>20</v>
      </c>
      <c r="B10" s="514"/>
      <c r="C10" s="514"/>
      <c r="D10" s="514"/>
      <c r="E10" s="514"/>
      <c r="F10" s="514"/>
      <c r="G10" s="514"/>
      <c r="H10" s="514"/>
      <c r="I10" s="514"/>
      <c r="J10" s="514"/>
      <c r="K10" s="514"/>
      <c r="L10" s="514"/>
      <c r="M10" s="514"/>
      <c r="N10" s="514"/>
      <c r="O10" s="514"/>
      <c r="P10" s="514"/>
      <c r="Q10" s="514"/>
      <c r="R10" s="514"/>
      <c r="S10" s="514"/>
      <c r="T10" s="514"/>
      <c r="U10" s="514"/>
      <c r="V10" s="515"/>
      <c r="X10" s="96"/>
      <c r="Y10" s="96"/>
      <c r="Z10" s="96"/>
      <c r="AA10" s="96"/>
      <c r="AB10" s="96"/>
      <c r="AC10" s="96"/>
      <c r="AJ10" s="193" t="s">
        <v>189</v>
      </c>
      <c r="AK10" s="199">
        <f>'V Calc'!B6</f>
        <v>0.63607464142166403</v>
      </c>
      <c r="AL10" s="198" t="s">
        <v>190</v>
      </c>
    </row>
    <row r="11" spans="1:55" s="9" customFormat="1" ht="20.100000000000001" customHeight="1" thickBot="1" x14ac:dyDescent="0.25">
      <c r="A11" s="516" t="s">
        <v>21</v>
      </c>
      <c r="B11" s="517"/>
      <c r="C11" s="517"/>
      <c r="D11" s="517"/>
      <c r="E11" s="517"/>
      <c r="F11" s="517"/>
      <c r="G11" s="517"/>
      <c r="H11" s="517"/>
      <c r="I11" s="517"/>
      <c r="J11" s="517"/>
      <c r="K11" s="517"/>
      <c r="L11" s="517"/>
      <c r="M11" s="517"/>
      <c r="N11" s="517"/>
      <c r="O11" s="517"/>
      <c r="P11" s="517"/>
      <c r="Q11" s="517"/>
      <c r="R11" s="517"/>
      <c r="S11" s="517"/>
      <c r="T11" s="517"/>
      <c r="U11" s="517"/>
      <c r="V11" s="518"/>
      <c r="X11" s="97"/>
      <c r="Y11" s="97"/>
      <c r="Z11" s="97"/>
      <c r="AA11" s="97"/>
      <c r="AB11" s="97"/>
      <c r="AC11" s="97"/>
    </row>
    <row r="12" spans="1:55" s="6" customFormat="1" ht="30" customHeight="1" thickBot="1" x14ac:dyDescent="0.3">
      <c r="A12" s="18"/>
      <c r="B12" s="20"/>
      <c r="C12" s="20"/>
      <c r="D12" s="19" t="s">
        <v>121</v>
      </c>
      <c r="E12" s="200" t="str">
        <f>'Day 3'!E12</f>
        <v>MPR 632  RFD</v>
      </c>
      <c r="F12" s="35"/>
      <c r="G12" s="19" t="s">
        <v>120</v>
      </c>
      <c r="H12" s="200" t="str">
        <f>IF(Volume!C$7="","",Volume!C$7)</f>
        <v>FP 65354</v>
      </c>
      <c r="I12" s="20"/>
      <c r="J12" s="19" t="s">
        <v>17</v>
      </c>
      <c r="K12" s="505">
        <f>'Day 3'!K12+1</f>
        <v>45812</v>
      </c>
      <c r="L12" s="505"/>
      <c r="M12" s="100"/>
      <c r="N12" s="19" t="s">
        <v>119</v>
      </c>
      <c r="O12" s="200" t="str">
        <f>IF(Volume!D$7="","",Volume!D$7)</f>
        <v>SP. Tambun - Cluster F</v>
      </c>
      <c r="P12" s="20"/>
      <c r="Q12" s="19" t="s">
        <v>122</v>
      </c>
      <c r="S12" s="201">
        <f>IF(Volume!E$7="","",Volume!E$7)</f>
        <v>1.25</v>
      </c>
      <c r="T12" s="20"/>
      <c r="U12" s="19" t="s">
        <v>126</v>
      </c>
      <c r="V12" s="202" t="str">
        <f>IF(Volume!F$7="","",Volume!F$7)</f>
        <v>4/0</v>
      </c>
    </row>
    <row r="13" spans="1:55" ht="30" customHeight="1" thickBot="1" x14ac:dyDescent="0.3">
      <c r="A13" s="502" t="s">
        <v>0</v>
      </c>
      <c r="B13" s="502" t="s">
        <v>213</v>
      </c>
      <c r="C13" s="502" t="s">
        <v>212</v>
      </c>
      <c r="D13" s="502" t="s">
        <v>31</v>
      </c>
      <c r="E13" s="502" t="s">
        <v>32</v>
      </c>
      <c r="F13" s="502" t="s">
        <v>2</v>
      </c>
      <c r="G13" s="502" t="s">
        <v>33</v>
      </c>
      <c r="H13" s="502" t="s">
        <v>35</v>
      </c>
      <c r="I13" s="502" t="s">
        <v>36</v>
      </c>
      <c r="J13" s="502" t="s">
        <v>110</v>
      </c>
      <c r="K13" s="502" t="s">
        <v>15</v>
      </c>
      <c r="L13" s="502" t="s">
        <v>34</v>
      </c>
      <c r="M13" s="502" t="s">
        <v>10</v>
      </c>
      <c r="N13" s="502"/>
      <c r="O13" s="506" t="s">
        <v>300</v>
      </c>
      <c r="P13" s="506" t="s">
        <v>299</v>
      </c>
      <c r="Q13" s="502" t="s">
        <v>7</v>
      </c>
      <c r="R13" s="502" t="s">
        <v>88</v>
      </c>
      <c r="S13" s="502" t="s">
        <v>8</v>
      </c>
      <c r="T13" s="502"/>
      <c r="U13" s="502"/>
      <c r="V13" s="502"/>
      <c r="X13" s="98"/>
      <c r="Y13" s="98"/>
      <c r="Z13" s="98"/>
      <c r="AA13" s="98"/>
      <c r="AB13" s="98"/>
      <c r="AC13" s="98"/>
    </row>
    <row r="14" spans="1:55" ht="30" customHeight="1" x14ac:dyDescent="0.25">
      <c r="A14" s="504"/>
      <c r="B14" s="504"/>
      <c r="C14" s="504"/>
      <c r="D14" s="504"/>
      <c r="E14" s="504"/>
      <c r="F14" s="504"/>
      <c r="G14" s="504"/>
      <c r="H14" s="504"/>
      <c r="I14" s="504"/>
      <c r="J14" s="504"/>
      <c r="K14" s="504"/>
      <c r="L14" s="504"/>
      <c r="M14" s="94" t="s">
        <v>3</v>
      </c>
      <c r="N14" s="94" t="s">
        <v>4</v>
      </c>
      <c r="O14" s="507"/>
      <c r="P14" s="507"/>
      <c r="Q14" s="504"/>
      <c r="R14" s="504"/>
      <c r="S14" s="504"/>
      <c r="T14" s="504"/>
      <c r="U14" s="504"/>
      <c r="V14" s="504"/>
      <c r="Y14" s="502" t="s">
        <v>230</v>
      </c>
      <c r="Z14" s="502"/>
      <c r="AA14" s="502"/>
      <c r="AB14" s="502"/>
      <c r="AC14" s="502"/>
      <c r="AD14" s="502" t="s">
        <v>231</v>
      </c>
      <c r="AH14" s="203" t="s">
        <v>232</v>
      </c>
      <c r="AJ14" s="520" t="s">
        <v>191</v>
      </c>
      <c r="AK14" s="520" t="s">
        <v>192</v>
      </c>
      <c r="AL14" s="520" t="s">
        <v>193</v>
      </c>
      <c r="AM14" s="520" t="s">
        <v>194</v>
      </c>
      <c r="AN14" s="520" t="s">
        <v>195</v>
      </c>
      <c r="AO14" s="506" t="s">
        <v>196</v>
      </c>
      <c r="AP14" s="506" t="s">
        <v>197</v>
      </c>
      <c r="AQ14" s="506" t="s">
        <v>198</v>
      </c>
      <c r="AR14" s="506" t="s">
        <v>188</v>
      </c>
      <c r="AS14" s="506" t="s">
        <v>199</v>
      </c>
      <c r="AT14" s="506" t="s">
        <v>200</v>
      </c>
      <c r="AU14" s="506" t="s">
        <v>201</v>
      </c>
      <c r="AV14" s="506" t="s">
        <v>202</v>
      </c>
      <c r="AW14" s="506" t="s">
        <v>203</v>
      </c>
      <c r="AX14" s="506" t="s">
        <v>204</v>
      </c>
      <c r="AY14" s="523" t="s">
        <v>205</v>
      </c>
      <c r="AZ14" s="523" t="s">
        <v>206</v>
      </c>
      <c r="BA14" s="523" t="s">
        <v>207</v>
      </c>
      <c r="BB14" s="523" t="s">
        <v>208</v>
      </c>
      <c r="BC14" s="506" t="s">
        <v>197</v>
      </c>
    </row>
    <row r="15" spans="1:55" ht="20.100000000000001" customHeight="1" thickBot="1" x14ac:dyDescent="0.3">
      <c r="A15" s="503"/>
      <c r="B15" s="95" t="s">
        <v>1</v>
      </c>
      <c r="C15" s="95" t="s">
        <v>1</v>
      </c>
      <c r="D15" s="95" t="s">
        <v>1</v>
      </c>
      <c r="E15" s="95" t="s">
        <v>1</v>
      </c>
      <c r="F15" s="95" t="s">
        <v>140</v>
      </c>
      <c r="G15" s="95" t="s">
        <v>1</v>
      </c>
      <c r="H15" s="95" t="s">
        <v>1</v>
      </c>
      <c r="I15" s="95" t="s">
        <v>1</v>
      </c>
      <c r="J15" s="95" t="s">
        <v>18</v>
      </c>
      <c r="K15" s="95" t="s">
        <v>9</v>
      </c>
      <c r="L15" s="95" t="s">
        <v>5</v>
      </c>
      <c r="M15" s="95" t="s">
        <v>5</v>
      </c>
      <c r="N15" s="95" t="s">
        <v>5</v>
      </c>
      <c r="O15" s="95" t="s">
        <v>1</v>
      </c>
      <c r="P15" s="95" t="s">
        <v>14</v>
      </c>
      <c r="Q15" s="95" t="str">
        <f>IF(MR!G17="MSCF","MSCFD","MMSCFD")</f>
        <v>MSCFD</v>
      </c>
      <c r="R15" s="95" t="str">
        <f>MR!L17</f>
        <v>BPD</v>
      </c>
      <c r="S15" s="503"/>
      <c r="T15" s="503"/>
      <c r="U15" s="503"/>
      <c r="V15" s="503"/>
      <c r="X15" s="365"/>
      <c r="Y15" s="95" t="s">
        <v>123</v>
      </c>
      <c r="Z15" s="95" t="s">
        <v>124</v>
      </c>
      <c r="AA15" s="95" t="s">
        <v>125</v>
      </c>
      <c r="AB15" s="95" t="s">
        <v>51</v>
      </c>
      <c r="AC15" s="95" t="s">
        <v>48</v>
      </c>
      <c r="AD15" s="503"/>
      <c r="AH15" s="204" t="s">
        <v>228</v>
      </c>
      <c r="AJ15" s="521"/>
      <c r="AK15" s="521"/>
      <c r="AL15" s="521"/>
      <c r="AM15" s="521"/>
      <c r="AN15" s="521"/>
      <c r="AO15" s="522"/>
      <c r="AP15" s="522"/>
      <c r="AQ15" s="522"/>
      <c r="AR15" s="522"/>
      <c r="AS15" s="522"/>
      <c r="AT15" s="522"/>
      <c r="AU15" s="522"/>
      <c r="AV15" s="522"/>
      <c r="AW15" s="522"/>
      <c r="AX15" s="522"/>
      <c r="AY15" s="524"/>
      <c r="AZ15" s="524"/>
      <c r="BA15" s="524"/>
      <c r="BB15" s="524"/>
      <c r="BC15" s="522"/>
    </row>
    <row r="16" spans="1:55" ht="20.100000000000001" customHeight="1" x14ac:dyDescent="0.2">
      <c r="A16" s="44">
        <v>4.1666666666666664E-2</v>
      </c>
      <c r="B16" s="450"/>
      <c r="C16" s="450"/>
      <c r="D16" s="450">
        <v>7.2</v>
      </c>
      <c r="E16" s="450">
        <v>58.4</v>
      </c>
      <c r="F16" s="40">
        <v>1915</v>
      </c>
      <c r="G16" s="37">
        <v>-5.5</v>
      </c>
      <c r="H16" s="36">
        <v>71.599999999999994</v>
      </c>
      <c r="I16" s="36">
        <v>21.4</v>
      </c>
      <c r="J16" s="40">
        <v>152</v>
      </c>
      <c r="K16" s="37">
        <v>13</v>
      </c>
      <c r="L16" s="450">
        <v>126</v>
      </c>
      <c r="M16" s="450">
        <v>222</v>
      </c>
      <c r="N16" s="451">
        <v>90</v>
      </c>
      <c r="O16" s="353">
        <v>50</v>
      </c>
      <c r="P16" s="352">
        <v>12</v>
      </c>
      <c r="Q16" s="352">
        <v>248.54</v>
      </c>
      <c r="R16" s="36"/>
      <c r="S16" s="519" t="str">
        <f t="shared" ref="S16:S32" si="0">IF(Z16="",IF(AD16="","",AD16),CONCATENATE(TEXT(Z16,"[hh]:mm"),IF(AA16="",""," - "&amp;TEXT(AA16,"[hh]:mm")),IF(Y16="",""," "&amp;Y16&amp;"/")," "&amp;AD16))</f>
        <v/>
      </c>
      <c r="T16" s="519"/>
      <c r="U16" s="519"/>
      <c r="V16" s="519"/>
      <c r="X16" s="44">
        <v>4.1666666666666664E-2</v>
      </c>
      <c r="Y16" s="105"/>
      <c r="Z16" s="101"/>
      <c r="AA16" s="101"/>
      <c r="AB16" s="44" t="str">
        <f>IF(Y16="STBY",AA16-Z16,"")</f>
        <v/>
      </c>
      <c r="AC16" s="44" t="str">
        <f t="shared" ref="AC16:AC39" si="1">IF(Y16="SD",AA16-Z16,"")</f>
        <v/>
      </c>
      <c r="AD16" s="355"/>
      <c r="AE16" s="9" t="str">
        <f>IF(S16="","",IF(COUNTA(Z16:$Z$39)=1,IF(COUNTA(AD16:$AD$39)=1,""," ; "),IF(COUNTA(AD16:$AD$39)=1,IF(Z16="",""," ; ")," ; ")))</f>
        <v/>
      </c>
      <c r="AF16" s="9" t="str">
        <f t="shared" ref="AF16:AF39" si="2">CONCATENATE(S16,AE16)</f>
        <v/>
      </c>
      <c r="AG16" s="90" t="str">
        <f t="shared" ref="AG16:AG39" si="3">IF(AND(COUNTBLANK(N16:P16)&lt;3,Q16=""),"CEK : Data Flowrate","")</f>
        <v/>
      </c>
      <c r="AH16" s="204" t="s">
        <v>229</v>
      </c>
      <c r="AJ16" s="205">
        <f>AK5</f>
        <v>500</v>
      </c>
      <c r="AK16" s="205">
        <f>AK6</f>
        <v>100</v>
      </c>
      <c r="AL16" s="206">
        <f>AK7</f>
        <v>2</v>
      </c>
      <c r="AM16" s="207">
        <f>AK8</f>
        <v>0.875</v>
      </c>
      <c r="AN16" s="208">
        <f>AK10</f>
        <v>0.63607464142166403</v>
      </c>
      <c r="AO16" s="209">
        <f t="shared" ref="AO16:AO39" si="4">T16^2*AJ16/100-14.7</f>
        <v>-14.7</v>
      </c>
      <c r="AP16" s="210">
        <f t="shared" ref="AP16:AP39" si="5">IF(AO16&lt;100,1,BC16)</f>
        <v>1</v>
      </c>
      <c r="AQ16" s="210">
        <f t="shared" ref="AQ16:AQ39" si="6">(1/AP16)^0.5</f>
        <v>1</v>
      </c>
      <c r="AR16" s="52">
        <f>AK9</f>
        <v>158.47</v>
      </c>
      <c r="AS16" s="210">
        <f t="shared" ref="AS16:AS39" si="7">(520/(460+N16))^0.5</f>
        <v>0.9723448696087954</v>
      </c>
      <c r="AT16" s="210">
        <f t="shared" ref="AT16:AT39" si="8">(1/AN16)^0.5</f>
        <v>1.2538510821608391</v>
      </c>
      <c r="AU16" s="210">
        <f t="shared" ref="AU16:AU39" si="9">0.01*(AJ16*AK16)^0.5</f>
        <v>2.2360679774997898</v>
      </c>
      <c r="AV16" s="211">
        <f t="shared" ref="AV16:AV39" si="10">0.024*AQ16*AR16*AS16*AT16*AU16</f>
        <v>10.368348541764712</v>
      </c>
      <c r="AW16" s="210">
        <f t="shared" ref="AW16:AW39" si="11">(AO16+14.7)/(697.2-43*AN16)</f>
        <v>0</v>
      </c>
      <c r="AX16" s="212">
        <f t="shared" ref="AX16:AX39" si="12">(N16+460)/(315.1*AN16+170.4)</f>
        <v>1.4831709199797398</v>
      </c>
      <c r="AY16" s="210">
        <f t="shared" ref="AY16:AY39" si="13">0.3379*LN(LN(AX16))+1.091</f>
        <v>0.77643477842613629</v>
      </c>
      <c r="AZ16" s="211">
        <f t="shared" ref="AZ16:AZ39" si="14">21.46*AY16-11.9*AY16^2-5.9</f>
        <v>3.5883638597441294</v>
      </c>
      <c r="BA16" s="210">
        <f t="shared" ref="BA16:BA39" si="15">AW16/AZ16</f>
        <v>0</v>
      </c>
      <c r="BB16" s="210">
        <f t="shared" ref="BB16:BB39" si="16">(1.1+0.26*AX16+(1.04-1.42*AX16)*BA16)*2.718^BA16/AX16</f>
        <v>1.0016542390239327</v>
      </c>
      <c r="BC16" s="210">
        <f t="shared" ref="BC16:BC39" si="17">1+(AY16-1)*SIN((90*BA16)/57.29578)^BB16</f>
        <v>1</v>
      </c>
    </row>
    <row r="17" spans="1:55" ht="20.100000000000001" customHeight="1" x14ac:dyDescent="0.2">
      <c r="A17" s="45">
        <v>8.3333333333333301E-2</v>
      </c>
      <c r="B17" s="451"/>
      <c r="C17" s="451"/>
      <c r="D17" s="451">
        <v>7.6</v>
      </c>
      <c r="E17" s="451">
        <v>56.9</v>
      </c>
      <c r="F17" s="41">
        <v>1920</v>
      </c>
      <c r="G17" s="37">
        <v>-5.5</v>
      </c>
      <c r="H17" s="37">
        <v>71.2</v>
      </c>
      <c r="I17" s="37">
        <v>21.5</v>
      </c>
      <c r="J17" s="41">
        <v>153</v>
      </c>
      <c r="K17" s="37">
        <v>13</v>
      </c>
      <c r="L17" s="451">
        <v>124</v>
      </c>
      <c r="M17" s="451">
        <v>226</v>
      </c>
      <c r="N17" s="451">
        <v>90</v>
      </c>
      <c r="O17" s="353">
        <v>50</v>
      </c>
      <c r="P17" s="353">
        <v>12</v>
      </c>
      <c r="Q17" s="353">
        <v>248.54</v>
      </c>
      <c r="R17" s="37"/>
      <c r="S17" s="508" t="str">
        <f t="shared" si="0"/>
        <v/>
      </c>
      <c r="T17" s="508"/>
      <c r="U17" s="508"/>
      <c r="V17" s="508"/>
      <c r="X17" s="45">
        <v>8.3333333333333301E-2</v>
      </c>
      <c r="Y17" s="106"/>
      <c r="Z17" s="102"/>
      <c r="AA17" s="102"/>
      <c r="AB17" s="45" t="str">
        <f t="shared" ref="AB17:AB39" si="18">IF(Y17="STBY",AA17-Z17,"")</f>
        <v/>
      </c>
      <c r="AC17" s="45" t="str">
        <f t="shared" si="1"/>
        <v/>
      </c>
      <c r="AD17" s="81"/>
      <c r="AE17" s="9" t="str">
        <f>IF(S17="","",IF(COUNTA(Z17:$Z$39)=1,IF(COUNTA(AD17:$AD$39)=1,""," ; "),IF(COUNTA(AD17:$AD$39)=1,IF(Z17="",""," ; ")," ; ")))</f>
        <v/>
      </c>
      <c r="AF17" s="9" t="str">
        <f t="shared" si="2"/>
        <v/>
      </c>
      <c r="AG17" s="90" t="str">
        <f t="shared" si="3"/>
        <v/>
      </c>
      <c r="AH17" s="204" t="s">
        <v>289</v>
      </c>
      <c r="AJ17" s="206">
        <f t="shared" ref="AJ17:AN32" si="19">AJ16</f>
        <v>500</v>
      </c>
      <c r="AK17" s="206">
        <f t="shared" si="19"/>
        <v>100</v>
      </c>
      <c r="AL17" s="206">
        <f>AL16</f>
        <v>2</v>
      </c>
      <c r="AM17" s="213">
        <f>AM16</f>
        <v>0.875</v>
      </c>
      <c r="AN17" s="214">
        <f>AN16</f>
        <v>0.63607464142166403</v>
      </c>
      <c r="AO17" s="215">
        <f t="shared" si="4"/>
        <v>-14.7</v>
      </c>
      <c r="AP17" s="216">
        <f t="shared" si="5"/>
        <v>1</v>
      </c>
      <c r="AQ17" s="216">
        <f t="shared" si="6"/>
        <v>1</v>
      </c>
      <c r="AR17" s="215">
        <f>AR16</f>
        <v>158.47</v>
      </c>
      <c r="AS17" s="216">
        <f t="shared" si="7"/>
        <v>0.9723448696087954</v>
      </c>
      <c r="AT17" s="216">
        <f t="shared" si="8"/>
        <v>1.2538510821608391</v>
      </c>
      <c r="AU17" s="216">
        <f t="shared" si="9"/>
        <v>2.2360679774997898</v>
      </c>
      <c r="AV17" s="217">
        <f t="shared" si="10"/>
        <v>10.368348541764712</v>
      </c>
      <c r="AW17" s="216">
        <f t="shared" si="11"/>
        <v>0</v>
      </c>
      <c r="AX17" s="218">
        <f t="shared" si="12"/>
        <v>1.4831709199797398</v>
      </c>
      <c r="AY17" s="216">
        <f t="shared" si="13"/>
        <v>0.77643477842613629</v>
      </c>
      <c r="AZ17" s="217">
        <f t="shared" si="14"/>
        <v>3.5883638597441294</v>
      </c>
      <c r="BA17" s="216">
        <f t="shared" si="15"/>
        <v>0</v>
      </c>
      <c r="BB17" s="216">
        <f t="shared" si="16"/>
        <v>1.0016542390239327</v>
      </c>
      <c r="BC17" s="216">
        <f t="shared" si="17"/>
        <v>1</v>
      </c>
    </row>
    <row r="18" spans="1:55" ht="20.100000000000001" customHeight="1" x14ac:dyDescent="0.2">
      <c r="A18" s="45">
        <v>0.125</v>
      </c>
      <c r="B18" s="451"/>
      <c r="C18" s="451"/>
      <c r="D18" s="451">
        <v>6.4</v>
      </c>
      <c r="E18" s="451">
        <v>59.2</v>
      </c>
      <c r="F18" s="41">
        <v>1933</v>
      </c>
      <c r="G18" s="37">
        <v>-5.5</v>
      </c>
      <c r="H18" s="37">
        <v>71</v>
      </c>
      <c r="I18" s="37">
        <v>21</v>
      </c>
      <c r="J18" s="41">
        <v>154</v>
      </c>
      <c r="K18" s="37">
        <v>13</v>
      </c>
      <c r="L18" s="451">
        <v>124</v>
      </c>
      <c r="M18" s="451">
        <v>225</v>
      </c>
      <c r="N18" s="451">
        <v>90</v>
      </c>
      <c r="O18" s="353">
        <v>50</v>
      </c>
      <c r="P18" s="353">
        <v>9</v>
      </c>
      <c r="Q18" s="353">
        <v>215.49</v>
      </c>
      <c r="R18" s="37"/>
      <c r="S18" s="508" t="str">
        <f t="shared" si="0"/>
        <v/>
      </c>
      <c r="T18" s="508"/>
      <c r="U18" s="508"/>
      <c r="V18" s="508"/>
      <c r="X18" s="45">
        <v>0.125</v>
      </c>
      <c r="Y18" s="106"/>
      <c r="Z18" s="102"/>
      <c r="AA18" s="102"/>
      <c r="AB18" s="45" t="str">
        <f t="shared" si="18"/>
        <v/>
      </c>
      <c r="AC18" s="45" t="str">
        <f t="shared" si="1"/>
        <v/>
      </c>
      <c r="AD18" s="81"/>
      <c r="AE18" s="9" t="str">
        <f>IF(S18="","",IF(COUNTA(Z18:$Z$39)=1,IF(COUNTA(AD18:$AD$39)=1,""," ; "),IF(COUNTA(AD18:$AD$39)=1,IF(Z18="",""," ; ")," ; ")))</f>
        <v/>
      </c>
      <c r="AF18" s="9" t="str">
        <f t="shared" si="2"/>
        <v/>
      </c>
      <c r="AG18" s="90" t="str">
        <f t="shared" si="3"/>
        <v/>
      </c>
      <c r="AH18" s="204" t="s">
        <v>321</v>
      </c>
      <c r="AJ18" s="206">
        <f t="shared" si="19"/>
        <v>500</v>
      </c>
      <c r="AK18" s="206">
        <f t="shared" si="19"/>
        <v>100</v>
      </c>
      <c r="AL18" s="206">
        <f t="shared" si="19"/>
        <v>2</v>
      </c>
      <c r="AM18" s="213">
        <f t="shared" si="19"/>
        <v>0.875</v>
      </c>
      <c r="AN18" s="214">
        <f t="shared" si="19"/>
        <v>0.63607464142166403</v>
      </c>
      <c r="AO18" s="215">
        <f t="shared" si="4"/>
        <v>-14.7</v>
      </c>
      <c r="AP18" s="216">
        <f t="shared" si="5"/>
        <v>1</v>
      </c>
      <c r="AQ18" s="216">
        <f t="shared" si="6"/>
        <v>1</v>
      </c>
      <c r="AR18" s="215">
        <f t="shared" ref="AR18:AR39" si="20">AR17</f>
        <v>158.47</v>
      </c>
      <c r="AS18" s="216">
        <f t="shared" si="7"/>
        <v>0.9723448696087954</v>
      </c>
      <c r="AT18" s="216">
        <f t="shared" si="8"/>
        <v>1.2538510821608391</v>
      </c>
      <c r="AU18" s="216">
        <f t="shared" si="9"/>
        <v>2.2360679774997898</v>
      </c>
      <c r="AV18" s="217">
        <f t="shared" si="10"/>
        <v>10.368348541764712</v>
      </c>
      <c r="AW18" s="216">
        <f t="shared" si="11"/>
        <v>0</v>
      </c>
      <c r="AX18" s="218">
        <f t="shared" si="12"/>
        <v>1.4831709199797398</v>
      </c>
      <c r="AY18" s="216">
        <f t="shared" si="13"/>
        <v>0.77643477842613629</v>
      </c>
      <c r="AZ18" s="217">
        <f t="shared" si="14"/>
        <v>3.5883638597441294</v>
      </c>
      <c r="BA18" s="216">
        <f t="shared" si="15"/>
        <v>0</v>
      </c>
      <c r="BB18" s="216">
        <f t="shared" si="16"/>
        <v>1.0016542390239327</v>
      </c>
      <c r="BC18" s="216">
        <f t="shared" si="17"/>
        <v>1</v>
      </c>
    </row>
    <row r="19" spans="1:55" ht="20.100000000000001" customHeight="1" x14ac:dyDescent="0.2">
      <c r="A19" s="45">
        <v>0.16666666666666699</v>
      </c>
      <c r="B19" s="451"/>
      <c r="C19" s="451"/>
      <c r="D19" s="451">
        <v>7.2</v>
      </c>
      <c r="E19" s="451">
        <v>56.7</v>
      </c>
      <c r="F19" s="41">
        <v>1946</v>
      </c>
      <c r="G19" s="37">
        <v>-5.5</v>
      </c>
      <c r="H19" s="37">
        <v>71.400000000000006</v>
      </c>
      <c r="I19" s="37">
        <v>21.9</v>
      </c>
      <c r="J19" s="41">
        <v>155</v>
      </c>
      <c r="K19" s="37">
        <v>13</v>
      </c>
      <c r="L19" s="451">
        <v>122</v>
      </c>
      <c r="M19" s="451">
        <v>222</v>
      </c>
      <c r="N19" s="451">
        <v>90</v>
      </c>
      <c r="O19" s="353">
        <v>50</v>
      </c>
      <c r="P19" s="353">
        <v>9</v>
      </c>
      <c r="Q19" s="353">
        <v>215.49</v>
      </c>
      <c r="R19" s="37"/>
      <c r="S19" s="508" t="str">
        <f t="shared" si="0"/>
        <v/>
      </c>
      <c r="T19" s="508"/>
      <c r="U19" s="508"/>
      <c r="V19" s="508"/>
      <c r="X19" s="45">
        <v>0.16666666666666699</v>
      </c>
      <c r="Y19" s="106"/>
      <c r="Z19" s="102"/>
      <c r="AA19" s="102"/>
      <c r="AB19" s="45" t="str">
        <f t="shared" si="18"/>
        <v/>
      </c>
      <c r="AC19" s="45" t="str">
        <f t="shared" si="1"/>
        <v/>
      </c>
      <c r="AD19" s="81"/>
      <c r="AE19" s="9" t="str">
        <f>IF(S19="","",IF(COUNTA(Z19:$Z$39)=1,IF(COUNTA(AD19:$AD$39)=1,""," ; "),IF(COUNTA(AD19:$AD$39)=1,IF(Z19="",""," ; ")," ; ")))</f>
        <v/>
      </c>
      <c r="AF19" s="9" t="str">
        <f t="shared" si="2"/>
        <v/>
      </c>
      <c r="AG19" s="90" t="str">
        <f t="shared" si="3"/>
        <v/>
      </c>
      <c r="AH19" s="204" t="s">
        <v>272</v>
      </c>
      <c r="AJ19" s="206">
        <f t="shared" si="19"/>
        <v>500</v>
      </c>
      <c r="AK19" s="206">
        <f t="shared" si="19"/>
        <v>100</v>
      </c>
      <c r="AL19" s="206">
        <f t="shared" si="19"/>
        <v>2</v>
      </c>
      <c r="AM19" s="213">
        <f t="shared" si="19"/>
        <v>0.875</v>
      </c>
      <c r="AN19" s="214">
        <f t="shared" si="19"/>
        <v>0.63607464142166403</v>
      </c>
      <c r="AO19" s="215">
        <f t="shared" si="4"/>
        <v>-14.7</v>
      </c>
      <c r="AP19" s="216">
        <f t="shared" si="5"/>
        <v>1</v>
      </c>
      <c r="AQ19" s="216">
        <f t="shared" si="6"/>
        <v>1</v>
      </c>
      <c r="AR19" s="215">
        <f t="shared" si="20"/>
        <v>158.47</v>
      </c>
      <c r="AS19" s="216">
        <f t="shared" si="7"/>
        <v>0.9723448696087954</v>
      </c>
      <c r="AT19" s="216">
        <f t="shared" si="8"/>
        <v>1.2538510821608391</v>
      </c>
      <c r="AU19" s="216">
        <f t="shared" si="9"/>
        <v>2.2360679774997898</v>
      </c>
      <c r="AV19" s="217">
        <f t="shared" si="10"/>
        <v>10.368348541764712</v>
      </c>
      <c r="AW19" s="216">
        <f t="shared" si="11"/>
        <v>0</v>
      </c>
      <c r="AX19" s="218">
        <f t="shared" si="12"/>
        <v>1.4831709199797398</v>
      </c>
      <c r="AY19" s="216">
        <f t="shared" si="13"/>
        <v>0.77643477842613629</v>
      </c>
      <c r="AZ19" s="217">
        <f t="shared" si="14"/>
        <v>3.5883638597441294</v>
      </c>
      <c r="BA19" s="216">
        <f t="shared" si="15"/>
        <v>0</v>
      </c>
      <c r="BB19" s="216">
        <f t="shared" si="16"/>
        <v>1.0016542390239327</v>
      </c>
      <c r="BC19" s="216">
        <f t="shared" si="17"/>
        <v>1</v>
      </c>
    </row>
    <row r="20" spans="1:55" ht="20.100000000000001" customHeight="1" x14ac:dyDescent="0.2">
      <c r="A20" s="45">
        <v>0.20833333333333301</v>
      </c>
      <c r="B20" s="451"/>
      <c r="C20" s="451"/>
      <c r="D20" s="451">
        <v>7</v>
      </c>
      <c r="E20" s="451">
        <v>54.6</v>
      </c>
      <c r="F20" s="41">
        <v>1931</v>
      </c>
      <c r="G20" s="37">
        <v>-5.5</v>
      </c>
      <c r="H20" s="37">
        <v>71.2</v>
      </c>
      <c r="I20" s="37">
        <v>21.2</v>
      </c>
      <c r="J20" s="41">
        <v>156</v>
      </c>
      <c r="K20" s="37">
        <v>13</v>
      </c>
      <c r="L20" s="451">
        <v>122</v>
      </c>
      <c r="M20" s="451">
        <v>221</v>
      </c>
      <c r="N20" s="451">
        <v>90</v>
      </c>
      <c r="O20" s="353">
        <v>50</v>
      </c>
      <c r="P20" s="353">
        <v>10</v>
      </c>
      <c r="Q20" s="353">
        <v>227.05</v>
      </c>
      <c r="R20" s="37"/>
      <c r="S20" s="508" t="str">
        <f t="shared" si="0"/>
        <v/>
      </c>
      <c r="T20" s="508"/>
      <c r="U20" s="508"/>
      <c r="V20" s="508"/>
      <c r="X20" s="45">
        <v>0.20833333333333301</v>
      </c>
      <c r="Y20" s="106"/>
      <c r="Z20" s="102"/>
      <c r="AA20" s="102"/>
      <c r="AB20" s="45" t="str">
        <f t="shared" si="18"/>
        <v/>
      </c>
      <c r="AC20" s="45" t="str">
        <f t="shared" si="1"/>
        <v/>
      </c>
      <c r="AD20" s="81"/>
      <c r="AE20" s="9" t="str">
        <f>IF(S20="","",IF(COUNTA(Z20:$Z$39)=1,IF(COUNTA(AD20:$AD$39)=1,""," ; "),IF(COUNTA(AD20:$AD$39)=1,IF(Z20="",""," ; ")," ; ")))</f>
        <v/>
      </c>
      <c r="AF20" s="9" t="str">
        <f t="shared" si="2"/>
        <v/>
      </c>
      <c r="AG20" s="90" t="str">
        <f t="shared" si="3"/>
        <v/>
      </c>
      <c r="AH20" s="204" t="s">
        <v>275</v>
      </c>
      <c r="AJ20" s="206">
        <f t="shared" si="19"/>
        <v>500</v>
      </c>
      <c r="AK20" s="206">
        <f t="shared" si="19"/>
        <v>100</v>
      </c>
      <c r="AL20" s="206">
        <f t="shared" si="19"/>
        <v>2</v>
      </c>
      <c r="AM20" s="213">
        <f t="shared" si="19"/>
        <v>0.875</v>
      </c>
      <c r="AN20" s="214">
        <f t="shared" si="19"/>
        <v>0.63607464142166403</v>
      </c>
      <c r="AO20" s="215">
        <f t="shared" si="4"/>
        <v>-14.7</v>
      </c>
      <c r="AP20" s="216">
        <f t="shared" si="5"/>
        <v>1</v>
      </c>
      <c r="AQ20" s="216">
        <f t="shared" si="6"/>
        <v>1</v>
      </c>
      <c r="AR20" s="215">
        <f t="shared" si="20"/>
        <v>158.47</v>
      </c>
      <c r="AS20" s="216">
        <f t="shared" si="7"/>
        <v>0.9723448696087954</v>
      </c>
      <c r="AT20" s="216">
        <f t="shared" si="8"/>
        <v>1.2538510821608391</v>
      </c>
      <c r="AU20" s="216">
        <f t="shared" si="9"/>
        <v>2.2360679774997898</v>
      </c>
      <c r="AV20" s="217">
        <f t="shared" si="10"/>
        <v>10.368348541764712</v>
      </c>
      <c r="AW20" s="216">
        <f t="shared" si="11"/>
        <v>0</v>
      </c>
      <c r="AX20" s="218">
        <f t="shared" si="12"/>
        <v>1.4831709199797398</v>
      </c>
      <c r="AY20" s="216">
        <f t="shared" si="13"/>
        <v>0.77643477842613629</v>
      </c>
      <c r="AZ20" s="217">
        <f t="shared" si="14"/>
        <v>3.5883638597441294</v>
      </c>
      <c r="BA20" s="216">
        <f t="shared" si="15"/>
        <v>0</v>
      </c>
      <c r="BB20" s="216">
        <f t="shared" si="16"/>
        <v>1.0016542390239327</v>
      </c>
      <c r="BC20" s="216">
        <f t="shared" si="17"/>
        <v>1</v>
      </c>
    </row>
    <row r="21" spans="1:55" ht="20.100000000000001" customHeight="1" x14ac:dyDescent="0.2">
      <c r="A21" s="45">
        <v>0.25</v>
      </c>
      <c r="B21" s="451"/>
      <c r="C21" s="451"/>
      <c r="D21" s="451">
        <v>7.2</v>
      </c>
      <c r="E21" s="451">
        <v>62.8</v>
      </c>
      <c r="F21" s="41">
        <v>1960</v>
      </c>
      <c r="G21" s="37">
        <v>-5.5</v>
      </c>
      <c r="H21" s="37">
        <v>71.900000000000006</v>
      </c>
      <c r="I21" s="37">
        <v>21.4</v>
      </c>
      <c r="J21" s="41">
        <v>157</v>
      </c>
      <c r="K21" s="37">
        <v>13</v>
      </c>
      <c r="L21" s="451">
        <v>125</v>
      </c>
      <c r="M21" s="451">
        <v>221</v>
      </c>
      <c r="N21" s="451">
        <v>90</v>
      </c>
      <c r="O21" s="353">
        <v>50</v>
      </c>
      <c r="P21" s="353">
        <v>10</v>
      </c>
      <c r="Q21" s="353">
        <v>227.05</v>
      </c>
      <c r="R21" s="37"/>
      <c r="S21" s="508" t="str">
        <f t="shared" si="0"/>
        <v/>
      </c>
      <c r="T21" s="508"/>
      <c r="U21" s="508"/>
      <c r="V21" s="508"/>
      <c r="X21" s="45">
        <v>0.25</v>
      </c>
      <c r="Y21" s="106"/>
      <c r="Z21" s="102"/>
      <c r="AA21" s="102"/>
      <c r="AB21" s="45" t="str">
        <f t="shared" si="18"/>
        <v/>
      </c>
      <c r="AC21" s="45" t="str">
        <f t="shared" si="1"/>
        <v/>
      </c>
      <c r="AD21" s="81"/>
      <c r="AE21" s="9" t="str">
        <f>IF(S21="","",IF(COUNTA(Z21:$Z$39)=1,IF(COUNTA(AD21:$AD$39)=1,""," ; "),IF(COUNTA(AD21:$AD$39)=1,IF(Z21="",""," ; ")," ; ")))</f>
        <v/>
      </c>
      <c r="AF21" s="9" t="str">
        <f t="shared" si="2"/>
        <v/>
      </c>
      <c r="AG21" s="90" t="str">
        <f t="shared" si="3"/>
        <v/>
      </c>
      <c r="AH21" s="204" t="s">
        <v>322</v>
      </c>
      <c r="AJ21" s="206">
        <f t="shared" si="19"/>
        <v>500</v>
      </c>
      <c r="AK21" s="206">
        <f t="shared" si="19"/>
        <v>100</v>
      </c>
      <c r="AL21" s="206">
        <f t="shared" si="19"/>
        <v>2</v>
      </c>
      <c r="AM21" s="213">
        <f t="shared" si="19"/>
        <v>0.875</v>
      </c>
      <c r="AN21" s="214">
        <f t="shared" si="19"/>
        <v>0.63607464142166403</v>
      </c>
      <c r="AO21" s="215">
        <f t="shared" si="4"/>
        <v>-14.7</v>
      </c>
      <c r="AP21" s="216">
        <f t="shared" si="5"/>
        <v>1</v>
      </c>
      <c r="AQ21" s="216">
        <f t="shared" si="6"/>
        <v>1</v>
      </c>
      <c r="AR21" s="215">
        <f t="shared" si="20"/>
        <v>158.47</v>
      </c>
      <c r="AS21" s="216">
        <f t="shared" si="7"/>
        <v>0.9723448696087954</v>
      </c>
      <c r="AT21" s="216">
        <f t="shared" si="8"/>
        <v>1.2538510821608391</v>
      </c>
      <c r="AU21" s="216">
        <f t="shared" si="9"/>
        <v>2.2360679774997898</v>
      </c>
      <c r="AV21" s="217">
        <f t="shared" si="10"/>
        <v>10.368348541764712</v>
      </c>
      <c r="AW21" s="216">
        <f t="shared" si="11"/>
        <v>0</v>
      </c>
      <c r="AX21" s="218">
        <f t="shared" si="12"/>
        <v>1.4831709199797398</v>
      </c>
      <c r="AY21" s="216">
        <f t="shared" si="13"/>
        <v>0.77643477842613629</v>
      </c>
      <c r="AZ21" s="217">
        <f t="shared" si="14"/>
        <v>3.5883638597441294</v>
      </c>
      <c r="BA21" s="216">
        <f t="shared" si="15"/>
        <v>0</v>
      </c>
      <c r="BB21" s="216">
        <f t="shared" si="16"/>
        <v>1.0016542390239327</v>
      </c>
      <c r="BC21" s="216">
        <f t="shared" si="17"/>
        <v>1</v>
      </c>
    </row>
    <row r="22" spans="1:55" ht="20.100000000000001" customHeight="1" x14ac:dyDescent="0.2">
      <c r="A22" s="45">
        <v>0.29166666666666702</v>
      </c>
      <c r="B22" s="451"/>
      <c r="C22" s="451"/>
      <c r="D22" s="451">
        <v>7.5</v>
      </c>
      <c r="E22" s="451">
        <v>63.5</v>
      </c>
      <c r="F22" s="41">
        <v>1925</v>
      </c>
      <c r="G22" s="37">
        <v>-5.5</v>
      </c>
      <c r="H22" s="37">
        <v>71.3</v>
      </c>
      <c r="I22" s="37">
        <v>21.6</v>
      </c>
      <c r="J22" s="41">
        <v>158</v>
      </c>
      <c r="K22" s="37">
        <v>13</v>
      </c>
      <c r="L22" s="451">
        <v>127</v>
      </c>
      <c r="M22" s="451">
        <v>220</v>
      </c>
      <c r="N22" s="451">
        <v>90</v>
      </c>
      <c r="O22" s="353">
        <v>50</v>
      </c>
      <c r="P22" s="353">
        <v>12</v>
      </c>
      <c r="Q22" s="353">
        <v>248.54</v>
      </c>
      <c r="R22" s="37"/>
      <c r="S22" s="508" t="str">
        <f t="shared" si="0"/>
        <v/>
      </c>
      <c r="T22" s="508"/>
      <c r="U22" s="508"/>
      <c r="V22" s="508"/>
      <c r="X22" s="45">
        <v>0.29166666666666702</v>
      </c>
      <c r="Y22" s="106"/>
      <c r="Z22" s="102"/>
      <c r="AA22" s="102"/>
      <c r="AB22" s="45" t="str">
        <f t="shared" si="18"/>
        <v/>
      </c>
      <c r="AC22" s="45" t="str">
        <f t="shared" si="1"/>
        <v/>
      </c>
      <c r="AD22" s="81"/>
      <c r="AE22" s="9" t="str">
        <f>IF(S22="","",IF(COUNTA(Z22:$Z$39)=1,IF(COUNTA(AD22:$AD$39)=1,""," ; "),IF(COUNTA(AD22:$AD$39)=1,IF(Z22="",""," ; ")," ; ")))</f>
        <v/>
      </c>
      <c r="AF22" s="9" t="str">
        <f t="shared" si="2"/>
        <v/>
      </c>
      <c r="AG22" s="90" t="str">
        <f t="shared" si="3"/>
        <v/>
      </c>
      <c r="AH22" s="204" t="s">
        <v>279</v>
      </c>
      <c r="AJ22" s="206">
        <f t="shared" si="19"/>
        <v>500</v>
      </c>
      <c r="AK22" s="206">
        <f t="shared" si="19"/>
        <v>100</v>
      </c>
      <c r="AL22" s="206">
        <f t="shared" si="19"/>
        <v>2</v>
      </c>
      <c r="AM22" s="213">
        <f t="shared" si="19"/>
        <v>0.875</v>
      </c>
      <c r="AN22" s="214">
        <f t="shared" si="19"/>
        <v>0.63607464142166403</v>
      </c>
      <c r="AO22" s="215">
        <f t="shared" si="4"/>
        <v>-14.7</v>
      </c>
      <c r="AP22" s="216">
        <f t="shared" si="5"/>
        <v>1</v>
      </c>
      <c r="AQ22" s="216">
        <f t="shared" si="6"/>
        <v>1</v>
      </c>
      <c r="AR22" s="215">
        <f t="shared" si="20"/>
        <v>158.47</v>
      </c>
      <c r="AS22" s="216">
        <f t="shared" si="7"/>
        <v>0.9723448696087954</v>
      </c>
      <c r="AT22" s="216">
        <f t="shared" si="8"/>
        <v>1.2538510821608391</v>
      </c>
      <c r="AU22" s="216">
        <f t="shared" si="9"/>
        <v>2.2360679774997898</v>
      </c>
      <c r="AV22" s="217">
        <f t="shared" si="10"/>
        <v>10.368348541764712</v>
      </c>
      <c r="AW22" s="216">
        <f t="shared" si="11"/>
        <v>0</v>
      </c>
      <c r="AX22" s="218">
        <f t="shared" si="12"/>
        <v>1.4831709199797398</v>
      </c>
      <c r="AY22" s="216">
        <f t="shared" si="13"/>
        <v>0.77643477842613629</v>
      </c>
      <c r="AZ22" s="217">
        <f t="shared" si="14"/>
        <v>3.5883638597441294</v>
      </c>
      <c r="BA22" s="216">
        <f t="shared" si="15"/>
        <v>0</v>
      </c>
      <c r="BB22" s="216">
        <f t="shared" si="16"/>
        <v>1.0016542390239327</v>
      </c>
      <c r="BC22" s="216">
        <f t="shared" si="17"/>
        <v>1</v>
      </c>
    </row>
    <row r="23" spans="1:55" ht="20.100000000000001" customHeight="1" x14ac:dyDescent="0.2">
      <c r="A23" s="45">
        <v>0.33333333333333298</v>
      </c>
      <c r="B23" s="451"/>
      <c r="C23" s="451"/>
      <c r="D23" s="451">
        <v>7.9</v>
      </c>
      <c r="E23" s="451">
        <v>62.1</v>
      </c>
      <c r="F23" s="41">
        <v>1941</v>
      </c>
      <c r="G23" s="37">
        <v>-5.5</v>
      </c>
      <c r="H23" s="37">
        <v>71.2</v>
      </c>
      <c r="I23" s="37">
        <v>21</v>
      </c>
      <c r="J23" s="41">
        <v>159</v>
      </c>
      <c r="K23" s="37">
        <v>13</v>
      </c>
      <c r="L23" s="451">
        <v>128</v>
      </c>
      <c r="M23" s="451">
        <v>221</v>
      </c>
      <c r="N23" s="451">
        <v>90</v>
      </c>
      <c r="O23" s="353">
        <v>50</v>
      </c>
      <c r="P23" s="353">
        <v>10</v>
      </c>
      <c r="Q23" s="353">
        <v>227.05</v>
      </c>
      <c r="R23" s="37"/>
      <c r="S23" s="508" t="str">
        <f t="shared" si="0"/>
        <v/>
      </c>
      <c r="T23" s="508"/>
      <c r="U23" s="508"/>
      <c r="V23" s="508"/>
      <c r="X23" s="45">
        <v>0.33333333333333298</v>
      </c>
      <c r="Y23" s="106"/>
      <c r="Z23" s="102"/>
      <c r="AA23" s="102"/>
      <c r="AB23" s="45" t="str">
        <f t="shared" si="18"/>
        <v/>
      </c>
      <c r="AC23" s="45" t="str">
        <f t="shared" si="1"/>
        <v/>
      </c>
      <c r="AD23" s="81"/>
      <c r="AE23" s="9" t="str">
        <f>IF(S23="","",IF(COUNTA(Z23:$Z$39)=1,IF(COUNTA(AD23:$AD$39)=1,""," ; "),IF(COUNTA(AD23:$AD$39)=1,IF(Z23="",""," ; ")," ; ")))</f>
        <v/>
      </c>
      <c r="AF23" s="9" t="str">
        <f t="shared" si="2"/>
        <v/>
      </c>
      <c r="AG23" s="90" t="str">
        <f t="shared" si="3"/>
        <v/>
      </c>
      <c r="AH23" s="204" t="s">
        <v>274</v>
      </c>
      <c r="AJ23" s="206">
        <f t="shared" si="19"/>
        <v>500</v>
      </c>
      <c r="AK23" s="206">
        <f t="shared" si="19"/>
        <v>100</v>
      </c>
      <c r="AL23" s="206">
        <f t="shared" si="19"/>
        <v>2</v>
      </c>
      <c r="AM23" s="213">
        <f t="shared" si="19"/>
        <v>0.875</v>
      </c>
      <c r="AN23" s="214">
        <f t="shared" si="19"/>
        <v>0.63607464142166403</v>
      </c>
      <c r="AO23" s="215">
        <f t="shared" si="4"/>
        <v>-14.7</v>
      </c>
      <c r="AP23" s="216">
        <f t="shared" si="5"/>
        <v>1</v>
      </c>
      <c r="AQ23" s="216">
        <f t="shared" si="6"/>
        <v>1</v>
      </c>
      <c r="AR23" s="215">
        <f t="shared" si="20"/>
        <v>158.47</v>
      </c>
      <c r="AS23" s="216">
        <f t="shared" si="7"/>
        <v>0.9723448696087954</v>
      </c>
      <c r="AT23" s="216">
        <f t="shared" si="8"/>
        <v>1.2538510821608391</v>
      </c>
      <c r="AU23" s="216">
        <f t="shared" si="9"/>
        <v>2.2360679774997898</v>
      </c>
      <c r="AV23" s="217">
        <f t="shared" si="10"/>
        <v>10.368348541764712</v>
      </c>
      <c r="AW23" s="216">
        <f t="shared" si="11"/>
        <v>0</v>
      </c>
      <c r="AX23" s="218">
        <f t="shared" si="12"/>
        <v>1.4831709199797398</v>
      </c>
      <c r="AY23" s="216">
        <f t="shared" si="13"/>
        <v>0.77643477842613629</v>
      </c>
      <c r="AZ23" s="217">
        <f t="shared" si="14"/>
        <v>3.5883638597441294</v>
      </c>
      <c r="BA23" s="216">
        <f t="shared" si="15"/>
        <v>0</v>
      </c>
      <c r="BB23" s="216">
        <f t="shared" si="16"/>
        <v>1.0016542390239327</v>
      </c>
      <c r="BC23" s="216">
        <f t="shared" si="17"/>
        <v>1</v>
      </c>
    </row>
    <row r="24" spans="1:55" ht="20.100000000000001" customHeight="1" x14ac:dyDescent="0.2">
      <c r="A24" s="45">
        <v>0.375</v>
      </c>
      <c r="B24" s="451"/>
      <c r="C24" s="451"/>
      <c r="D24" s="451">
        <v>7.2</v>
      </c>
      <c r="E24" s="451">
        <v>60.8</v>
      </c>
      <c r="F24" s="41">
        <v>1956</v>
      </c>
      <c r="G24" s="37">
        <v>-5.5</v>
      </c>
      <c r="H24" s="37">
        <v>71</v>
      </c>
      <c r="I24" s="37">
        <v>21.8</v>
      </c>
      <c r="J24" s="41">
        <v>160</v>
      </c>
      <c r="K24" s="37">
        <v>13</v>
      </c>
      <c r="L24" s="451">
        <v>128</v>
      </c>
      <c r="M24" s="451">
        <v>227</v>
      </c>
      <c r="N24" s="451">
        <v>90</v>
      </c>
      <c r="O24" s="353">
        <v>50</v>
      </c>
      <c r="P24" s="353">
        <v>11</v>
      </c>
      <c r="Q24" s="353">
        <v>238.04</v>
      </c>
      <c r="R24" s="37"/>
      <c r="S24" s="508" t="str">
        <f t="shared" si="0"/>
        <v/>
      </c>
      <c r="T24" s="508"/>
      <c r="U24" s="508"/>
      <c r="V24" s="508"/>
      <c r="X24" s="45">
        <v>0.375</v>
      </c>
      <c r="Y24" s="106"/>
      <c r="Z24" s="102"/>
      <c r="AA24" s="102"/>
      <c r="AB24" s="45" t="str">
        <f t="shared" si="18"/>
        <v/>
      </c>
      <c r="AC24" s="45" t="str">
        <f t="shared" si="1"/>
        <v/>
      </c>
      <c r="AD24" s="81"/>
      <c r="AE24" s="9" t="str">
        <f>IF(S24="","",IF(COUNTA(Z24:$Z$39)=1,IF(COUNTA(AD24:$AD$39)=1,""," ; "),IF(COUNTA(AD24:$AD$39)=1,IF(Z24="",""," ; ")," ; ")))</f>
        <v/>
      </c>
      <c r="AF24" s="9" t="str">
        <f t="shared" si="2"/>
        <v/>
      </c>
      <c r="AG24" s="90" t="str">
        <f t="shared" si="3"/>
        <v/>
      </c>
      <c r="AH24" s="204" t="s">
        <v>307</v>
      </c>
      <c r="AJ24" s="206">
        <f t="shared" si="19"/>
        <v>500</v>
      </c>
      <c r="AK24" s="206">
        <f t="shared" si="19"/>
        <v>100</v>
      </c>
      <c r="AL24" s="206">
        <f t="shared" si="19"/>
        <v>2</v>
      </c>
      <c r="AM24" s="213">
        <f t="shared" si="19"/>
        <v>0.875</v>
      </c>
      <c r="AN24" s="214">
        <f t="shared" si="19"/>
        <v>0.63607464142166403</v>
      </c>
      <c r="AO24" s="215">
        <f t="shared" si="4"/>
        <v>-14.7</v>
      </c>
      <c r="AP24" s="216">
        <f t="shared" si="5"/>
        <v>1</v>
      </c>
      <c r="AQ24" s="216">
        <f t="shared" si="6"/>
        <v>1</v>
      </c>
      <c r="AR24" s="215">
        <f t="shared" si="20"/>
        <v>158.47</v>
      </c>
      <c r="AS24" s="216">
        <f t="shared" si="7"/>
        <v>0.9723448696087954</v>
      </c>
      <c r="AT24" s="216">
        <f t="shared" si="8"/>
        <v>1.2538510821608391</v>
      </c>
      <c r="AU24" s="216">
        <f t="shared" si="9"/>
        <v>2.2360679774997898</v>
      </c>
      <c r="AV24" s="217">
        <f t="shared" si="10"/>
        <v>10.368348541764712</v>
      </c>
      <c r="AW24" s="216">
        <f t="shared" si="11"/>
        <v>0</v>
      </c>
      <c r="AX24" s="218">
        <f t="shared" si="12"/>
        <v>1.4831709199797398</v>
      </c>
      <c r="AY24" s="216">
        <f t="shared" si="13"/>
        <v>0.77643477842613629</v>
      </c>
      <c r="AZ24" s="217">
        <f t="shared" si="14"/>
        <v>3.5883638597441294</v>
      </c>
      <c r="BA24" s="216">
        <f t="shared" si="15"/>
        <v>0</v>
      </c>
      <c r="BB24" s="216">
        <f t="shared" si="16"/>
        <v>1.0016542390239327</v>
      </c>
      <c r="BC24" s="216">
        <f t="shared" si="17"/>
        <v>1</v>
      </c>
    </row>
    <row r="25" spans="1:55" ht="20.100000000000001" customHeight="1" x14ac:dyDescent="0.2">
      <c r="A25" s="45">
        <v>0.41666666666666702</v>
      </c>
      <c r="B25" s="451"/>
      <c r="C25" s="451"/>
      <c r="D25" s="451">
        <v>7</v>
      </c>
      <c r="E25" s="451">
        <v>60.2</v>
      </c>
      <c r="F25" s="41">
        <v>1963</v>
      </c>
      <c r="G25" s="37">
        <v>-5.5</v>
      </c>
      <c r="H25" s="37">
        <v>71.599999999999994</v>
      </c>
      <c r="I25" s="37">
        <v>21.2</v>
      </c>
      <c r="J25" s="41">
        <v>161</v>
      </c>
      <c r="K25" s="37">
        <v>13</v>
      </c>
      <c r="L25" s="451">
        <v>128</v>
      </c>
      <c r="M25" s="451">
        <v>223</v>
      </c>
      <c r="N25" s="451">
        <v>90</v>
      </c>
      <c r="O25" s="353">
        <v>50</v>
      </c>
      <c r="P25" s="353">
        <v>13</v>
      </c>
      <c r="Q25" s="353">
        <v>258.61</v>
      </c>
      <c r="R25" s="37"/>
      <c r="S25" s="508" t="str">
        <f t="shared" si="0"/>
        <v/>
      </c>
      <c r="T25" s="508"/>
      <c r="U25" s="508"/>
      <c r="V25" s="508"/>
      <c r="X25" s="45">
        <v>0.41666666666666702</v>
      </c>
      <c r="Y25" s="106"/>
      <c r="Z25" s="102"/>
      <c r="AA25" s="102"/>
      <c r="AB25" s="45" t="str">
        <f t="shared" si="18"/>
        <v/>
      </c>
      <c r="AC25" s="45" t="str">
        <f t="shared" si="1"/>
        <v/>
      </c>
      <c r="AD25" s="81"/>
      <c r="AE25" s="9" t="str">
        <f>IF(S25="","",IF(COUNTA(Z25:$Z$39)=1,IF(COUNTA(AD25:$AD$39)=1,""," ; "),IF(COUNTA(AD25:$AD$39)=1,IF(Z25="",""," ; ")," ; ")))</f>
        <v/>
      </c>
      <c r="AF25" s="9" t="str">
        <f t="shared" si="2"/>
        <v/>
      </c>
      <c r="AG25" s="90" t="str">
        <f t="shared" si="3"/>
        <v/>
      </c>
      <c r="AH25" s="204" t="s">
        <v>225</v>
      </c>
      <c r="AJ25" s="206">
        <f t="shared" si="19"/>
        <v>500</v>
      </c>
      <c r="AK25" s="206">
        <f t="shared" si="19"/>
        <v>100</v>
      </c>
      <c r="AL25" s="206">
        <f t="shared" si="19"/>
        <v>2</v>
      </c>
      <c r="AM25" s="213">
        <f t="shared" si="19"/>
        <v>0.875</v>
      </c>
      <c r="AN25" s="214">
        <f t="shared" si="19"/>
        <v>0.63607464142166403</v>
      </c>
      <c r="AO25" s="215">
        <f t="shared" si="4"/>
        <v>-14.7</v>
      </c>
      <c r="AP25" s="216">
        <f t="shared" si="5"/>
        <v>1</v>
      </c>
      <c r="AQ25" s="216">
        <f t="shared" si="6"/>
        <v>1</v>
      </c>
      <c r="AR25" s="215">
        <f t="shared" si="20"/>
        <v>158.47</v>
      </c>
      <c r="AS25" s="216">
        <f t="shared" si="7"/>
        <v>0.9723448696087954</v>
      </c>
      <c r="AT25" s="216">
        <f t="shared" si="8"/>
        <v>1.2538510821608391</v>
      </c>
      <c r="AU25" s="216">
        <f t="shared" si="9"/>
        <v>2.2360679774997898</v>
      </c>
      <c r="AV25" s="217">
        <f t="shared" si="10"/>
        <v>10.368348541764712</v>
      </c>
      <c r="AW25" s="216">
        <f t="shared" si="11"/>
        <v>0</v>
      </c>
      <c r="AX25" s="218">
        <f t="shared" si="12"/>
        <v>1.4831709199797398</v>
      </c>
      <c r="AY25" s="216">
        <f t="shared" si="13"/>
        <v>0.77643477842613629</v>
      </c>
      <c r="AZ25" s="217">
        <f t="shared" si="14"/>
        <v>3.5883638597441294</v>
      </c>
      <c r="BA25" s="216">
        <f t="shared" si="15"/>
        <v>0</v>
      </c>
      <c r="BB25" s="216">
        <f t="shared" si="16"/>
        <v>1.0016542390239327</v>
      </c>
      <c r="BC25" s="216">
        <f t="shared" si="17"/>
        <v>1</v>
      </c>
    </row>
    <row r="26" spans="1:55" ht="20.100000000000001" customHeight="1" x14ac:dyDescent="0.2">
      <c r="A26" s="45">
        <v>0.45833333333333298</v>
      </c>
      <c r="B26" s="451"/>
      <c r="C26" s="451"/>
      <c r="D26" s="451">
        <v>7.3</v>
      </c>
      <c r="E26" s="451">
        <v>60.8</v>
      </c>
      <c r="F26" s="41">
        <v>1950</v>
      </c>
      <c r="G26" s="37">
        <v>-5.5</v>
      </c>
      <c r="H26" s="37">
        <v>71.3</v>
      </c>
      <c r="I26" s="37">
        <v>21.8</v>
      </c>
      <c r="J26" s="41">
        <v>162</v>
      </c>
      <c r="K26" s="37">
        <v>13</v>
      </c>
      <c r="L26" s="451">
        <v>128</v>
      </c>
      <c r="M26" s="451">
        <v>223</v>
      </c>
      <c r="N26" s="451">
        <v>90</v>
      </c>
      <c r="O26" s="353">
        <v>50</v>
      </c>
      <c r="P26" s="353">
        <v>9</v>
      </c>
      <c r="Q26" s="353">
        <v>215.49</v>
      </c>
      <c r="R26" s="37"/>
      <c r="S26" s="508" t="str">
        <f t="shared" si="0"/>
        <v/>
      </c>
      <c r="T26" s="508"/>
      <c r="U26" s="508"/>
      <c r="V26" s="508"/>
      <c r="X26" s="45">
        <v>0.45833333333333298</v>
      </c>
      <c r="Y26" s="106"/>
      <c r="Z26" s="102"/>
      <c r="AA26" s="102"/>
      <c r="AB26" s="45" t="str">
        <f t="shared" si="18"/>
        <v/>
      </c>
      <c r="AC26" s="45" t="str">
        <f t="shared" si="1"/>
        <v/>
      </c>
      <c r="AD26" s="81"/>
      <c r="AE26" s="9" t="str">
        <f>IF(S26="","",IF(COUNTA(Z26:$Z$39)=1,IF(COUNTA(AD26:$AD$39)=1,""," ; "),IF(COUNTA(AD26:$AD$39)=1,IF(Z26="",""," ; ")," ; ")))</f>
        <v/>
      </c>
      <c r="AF26" s="9" t="str">
        <f t="shared" si="2"/>
        <v/>
      </c>
      <c r="AG26" s="90" t="str">
        <f t="shared" si="3"/>
        <v/>
      </c>
      <c r="AH26" s="204" t="s">
        <v>287</v>
      </c>
      <c r="AJ26" s="206">
        <f t="shared" si="19"/>
        <v>500</v>
      </c>
      <c r="AK26" s="206">
        <f t="shared" si="19"/>
        <v>100</v>
      </c>
      <c r="AL26" s="206">
        <f t="shared" si="19"/>
        <v>2</v>
      </c>
      <c r="AM26" s="213">
        <f t="shared" si="19"/>
        <v>0.875</v>
      </c>
      <c r="AN26" s="214">
        <f t="shared" si="19"/>
        <v>0.63607464142166403</v>
      </c>
      <c r="AO26" s="215">
        <f t="shared" si="4"/>
        <v>-14.7</v>
      </c>
      <c r="AP26" s="216">
        <f t="shared" si="5"/>
        <v>1</v>
      </c>
      <c r="AQ26" s="216">
        <f t="shared" si="6"/>
        <v>1</v>
      </c>
      <c r="AR26" s="215">
        <f t="shared" si="20"/>
        <v>158.47</v>
      </c>
      <c r="AS26" s="216">
        <f t="shared" si="7"/>
        <v>0.9723448696087954</v>
      </c>
      <c r="AT26" s="216">
        <f t="shared" si="8"/>
        <v>1.2538510821608391</v>
      </c>
      <c r="AU26" s="216">
        <f t="shared" si="9"/>
        <v>2.2360679774997898</v>
      </c>
      <c r="AV26" s="217">
        <f t="shared" si="10"/>
        <v>10.368348541764712</v>
      </c>
      <c r="AW26" s="216">
        <f t="shared" si="11"/>
        <v>0</v>
      </c>
      <c r="AX26" s="218">
        <f t="shared" si="12"/>
        <v>1.4831709199797398</v>
      </c>
      <c r="AY26" s="216">
        <f t="shared" si="13"/>
        <v>0.77643477842613629</v>
      </c>
      <c r="AZ26" s="217">
        <f t="shared" si="14"/>
        <v>3.5883638597441294</v>
      </c>
      <c r="BA26" s="216">
        <f t="shared" si="15"/>
        <v>0</v>
      </c>
      <c r="BB26" s="216">
        <f t="shared" si="16"/>
        <v>1.0016542390239327</v>
      </c>
      <c r="BC26" s="216">
        <f t="shared" si="17"/>
        <v>1</v>
      </c>
    </row>
    <row r="27" spans="1:55" ht="20.100000000000001" customHeight="1" x14ac:dyDescent="0.2">
      <c r="A27" s="45">
        <v>0.5</v>
      </c>
      <c r="B27" s="451"/>
      <c r="C27" s="451"/>
      <c r="D27" s="451">
        <v>7.5</v>
      </c>
      <c r="E27" s="451">
        <v>60.2</v>
      </c>
      <c r="F27" s="41">
        <v>1966</v>
      </c>
      <c r="G27" s="37">
        <v>-5.5</v>
      </c>
      <c r="H27" s="37">
        <v>71.099999999999994</v>
      </c>
      <c r="I27" s="37">
        <v>21</v>
      </c>
      <c r="J27" s="41">
        <v>163</v>
      </c>
      <c r="K27" s="37">
        <v>13</v>
      </c>
      <c r="L27" s="451">
        <v>128</v>
      </c>
      <c r="M27" s="451">
        <v>225</v>
      </c>
      <c r="N27" s="451">
        <v>90</v>
      </c>
      <c r="O27" s="353">
        <v>50</v>
      </c>
      <c r="P27" s="353">
        <v>10</v>
      </c>
      <c r="Q27" s="353">
        <v>227.05</v>
      </c>
      <c r="R27" s="37"/>
      <c r="S27" s="508" t="str">
        <f t="shared" si="0"/>
        <v/>
      </c>
      <c r="T27" s="508"/>
      <c r="U27" s="508"/>
      <c r="V27" s="508"/>
      <c r="X27" s="45">
        <v>0.5</v>
      </c>
      <c r="Y27" s="106"/>
      <c r="Z27" s="102"/>
      <c r="AA27" s="102"/>
      <c r="AB27" s="45" t="str">
        <f t="shared" si="18"/>
        <v/>
      </c>
      <c r="AC27" s="45" t="str">
        <f t="shared" si="1"/>
        <v/>
      </c>
      <c r="AD27" s="81"/>
      <c r="AE27" s="9" t="str">
        <f>IF(S27="","",IF(COUNTA(Z27:$Z$39)=1,IF(COUNTA(AD27:$AD$39)=1,""," ; "),IF(COUNTA(AD27:$AD$39)=1,IF(Z27="",""," ; ")," ; ")))</f>
        <v/>
      </c>
      <c r="AF27" s="9" t="str">
        <f t="shared" si="2"/>
        <v/>
      </c>
      <c r="AG27" s="90" t="str">
        <f t="shared" si="3"/>
        <v/>
      </c>
      <c r="AH27" s="204" t="s">
        <v>276</v>
      </c>
      <c r="AJ27" s="206">
        <f t="shared" si="19"/>
        <v>500</v>
      </c>
      <c r="AK27" s="206">
        <f t="shared" si="19"/>
        <v>100</v>
      </c>
      <c r="AL27" s="206">
        <f t="shared" si="19"/>
        <v>2</v>
      </c>
      <c r="AM27" s="213">
        <f t="shared" si="19"/>
        <v>0.875</v>
      </c>
      <c r="AN27" s="214">
        <f t="shared" si="19"/>
        <v>0.63607464142166403</v>
      </c>
      <c r="AO27" s="215">
        <f t="shared" si="4"/>
        <v>-14.7</v>
      </c>
      <c r="AP27" s="216">
        <f t="shared" si="5"/>
        <v>1</v>
      </c>
      <c r="AQ27" s="216">
        <f t="shared" si="6"/>
        <v>1</v>
      </c>
      <c r="AR27" s="215">
        <f t="shared" si="20"/>
        <v>158.47</v>
      </c>
      <c r="AS27" s="216">
        <f t="shared" si="7"/>
        <v>0.9723448696087954</v>
      </c>
      <c r="AT27" s="216">
        <f t="shared" si="8"/>
        <v>1.2538510821608391</v>
      </c>
      <c r="AU27" s="216">
        <f t="shared" si="9"/>
        <v>2.2360679774997898</v>
      </c>
      <c r="AV27" s="217">
        <f t="shared" si="10"/>
        <v>10.368348541764712</v>
      </c>
      <c r="AW27" s="216">
        <f t="shared" si="11"/>
        <v>0</v>
      </c>
      <c r="AX27" s="218">
        <f t="shared" si="12"/>
        <v>1.4831709199797398</v>
      </c>
      <c r="AY27" s="216">
        <f t="shared" si="13"/>
        <v>0.77643477842613629</v>
      </c>
      <c r="AZ27" s="217">
        <f t="shared" si="14"/>
        <v>3.5883638597441294</v>
      </c>
      <c r="BA27" s="216">
        <f t="shared" si="15"/>
        <v>0</v>
      </c>
      <c r="BB27" s="216">
        <f t="shared" si="16"/>
        <v>1.0016542390239327</v>
      </c>
      <c r="BC27" s="216">
        <f t="shared" si="17"/>
        <v>1</v>
      </c>
    </row>
    <row r="28" spans="1:55" ht="20.100000000000001" customHeight="1" x14ac:dyDescent="0.2">
      <c r="A28" s="45">
        <v>0.54166666666666696</v>
      </c>
      <c r="B28" s="451"/>
      <c r="C28" s="451"/>
      <c r="D28" s="451">
        <v>7.2</v>
      </c>
      <c r="E28" s="451">
        <v>60</v>
      </c>
      <c r="F28" s="41">
        <v>1948</v>
      </c>
      <c r="G28" s="37">
        <v>-5.5</v>
      </c>
      <c r="H28" s="37">
        <v>71.2</v>
      </c>
      <c r="I28" s="37">
        <v>21.3</v>
      </c>
      <c r="J28" s="41">
        <v>164</v>
      </c>
      <c r="K28" s="37">
        <v>13</v>
      </c>
      <c r="L28" s="451">
        <v>128</v>
      </c>
      <c r="M28" s="451">
        <v>226</v>
      </c>
      <c r="N28" s="451">
        <v>90</v>
      </c>
      <c r="O28" s="353">
        <v>50</v>
      </c>
      <c r="P28" s="353">
        <v>10</v>
      </c>
      <c r="Q28" s="353">
        <v>227.05</v>
      </c>
      <c r="R28" s="37"/>
      <c r="S28" s="508" t="str">
        <f t="shared" si="0"/>
        <v/>
      </c>
      <c r="T28" s="508"/>
      <c r="U28" s="508"/>
      <c r="V28" s="508"/>
      <c r="X28" s="45">
        <v>0.54166666666666696</v>
      </c>
      <c r="Y28" s="106"/>
      <c r="Z28" s="102"/>
      <c r="AA28" s="102"/>
      <c r="AB28" s="45" t="str">
        <f t="shared" si="18"/>
        <v/>
      </c>
      <c r="AC28" s="45" t="str">
        <f t="shared" si="1"/>
        <v/>
      </c>
      <c r="AD28" s="81"/>
      <c r="AE28" s="9" t="str">
        <f>IF(S28="","",IF(COUNTA(Z28:$Z$39)=1,IF(COUNTA(AD28:$AD$39)=1,""," ; "),IF(COUNTA(AD28:$AD$39)=1,IF(Z28="",""," ; ")," ; ")))</f>
        <v/>
      </c>
      <c r="AF28" s="9" t="str">
        <f t="shared" si="2"/>
        <v/>
      </c>
      <c r="AG28" s="90" t="str">
        <f t="shared" si="3"/>
        <v/>
      </c>
      <c r="AH28" s="204" t="s">
        <v>278</v>
      </c>
      <c r="AJ28" s="206">
        <f t="shared" si="19"/>
        <v>500</v>
      </c>
      <c r="AK28" s="206">
        <f t="shared" si="19"/>
        <v>100</v>
      </c>
      <c r="AL28" s="206">
        <f t="shared" si="19"/>
        <v>2</v>
      </c>
      <c r="AM28" s="213">
        <f t="shared" si="19"/>
        <v>0.875</v>
      </c>
      <c r="AN28" s="214">
        <f t="shared" si="19"/>
        <v>0.63607464142166403</v>
      </c>
      <c r="AO28" s="215">
        <f t="shared" si="4"/>
        <v>-14.7</v>
      </c>
      <c r="AP28" s="216">
        <f t="shared" si="5"/>
        <v>1</v>
      </c>
      <c r="AQ28" s="216">
        <f t="shared" si="6"/>
        <v>1</v>
      </c>
      <c r="AR28" s="215">
        <f t="shared" si="20"/>
        <v>158.47</v>
      </c>
      <c r="AS28" s="216">
        <f t="shared" si="7"/>
        <v>0.9723448696087954</v>
      </c>
      <c r="AT28" s="216">
        <f t="shared" si="8"/>
        <v>1.2538510821608391</v>
      </c>
      <c r="AU28" s="216">
        <f t="shared" si="9"/>
        <v>2.2360679774997898</v>
      </c>
      <c r="AV28" s="217">
        <f t="shared" si="10"/>
        <v>10.368348541764712</v>
      </c>
      <c r="AW28" s="216">
        <f t="shared" si="11"/>
        <v>0</v>
      </c>
      <c r="AX28" s="218">
        <f t="shared" si="12"/>
        <v>1.4831709199797398</v>
      </c>
      <c r="AY28" s="216">
        <f t="shared" si="13"/>
        <v>0.77643477842613629</v>
      </c>
      <c r="AZ28" s="217">
        <f t="shared" si="14"/>
        <v>3.5883638597441294</v>
      </c>
      <c r="BA28" s="216">
        <f t="shared" si="15"/>
        <v>0</v>
      </c>
      <c r="BB28" s="216">
        <f t="shared" si="16"/>
        <v>1.0016542390239327</v>
      </c>
      <c r="BC28" s="216">
        <f t="shared" si="17"/>
        <v>1</v>
      </c>
    </row>
    <row r="29" spans="1:55" ht="20.100000000000001" customHeight="1" x14ac:dyDescent="0.2">
      <c r="A29" s="45">
        <v>0.58333333333333304</v>
      </c>
      <c r="B29" s="451"/>
      <c r="C29" s="451"/>
      <c r="D29" s="451">
        <v>7</v>
      </c>
      <c r="E29" s="451">
        <v>58.1</v>
      </c>
      <c r="F29" s="41">
        <v>1922</v>
      </c>
      <c r="G29" s="37">
        <v>-5.5</v>
      </c>
      <c r="H29" s="37">
        <v>71</v>
      </c>
      <c r="I29" s="37">
        <v>21.7</v>
      </c>
      <c r="J29" s="41">
        <v>165</v>
      </c>
      <c r="K29" s="37">
        <v>13</v>
      </c>
      <c r="L29" s="451">
        <v>129</v>
      </c>
      <c r="M29" s="451">
        <v>226</v>
      </c>
      <c r="N29" s="451">
        <v>90</v>
      </c>
      <c r="O29" s="353">
        <v>50</v>
      </c>
      <c r="P29" s="353">
        <v>9</v>
      </c>
      <c r="Q29" s="353">
        <v>215.49</v>
      </c>
      <c r="R29" s="37"/>
      <c r="S29" s="508" t="str">
        <f t="shared" si="0"/>
        <v/>
      </c>
      <c r="T29" s="508"/>
      <c r="U29" s="508"/>
      <c r="V29" s="508"/>
      <c r="X29" s="45">
        <v>0.58333333333333304</v>
      </c>
      <c r="Y29" s="106"/>
      <c r="Z29" s="102"/>
      <c r="AA29" s="102"/>
      <c r="AB29" s="45" t="str">
        <f t="shared" si="18"/>
        <v/>
      </c>
      <c r="AC29" s="45" t="str">
        <f t="shared" si="1"/>
        <v/>
      </c>
      <c r="AD29" s="81"/>
      <c r="AE29" s="9" t="str">
        <f>IF(S29="","",IF(COUNTA(Z29:$Z$39)=1,IF(COUNTA(AD29:$AD$39)=1,""," ; "),IF(COUNTA(AD29:$AD$39)=1,IF(Z29="",""," ; ")," ; ")))</f>
        <v/>
      </c>
      <c r="AF29" s="9" t="str">
        <f t="shared" si="2"/>
        <v/>
      </c>
      <c r="AG29" s="90" t="str">
        <f t="shared" si="3"/>
        <v/>
      </c>
      <c r="AH29" s="204" t="s">
        <v>224</v>
      </c>
      <c r="AJ29" s="206">
        <f t="shared" si="19"/>
        <v>500</v>
      </c>
      <c r="AK29" s="206">
        <f t="shared" si="19"/>
        <v>100</v>
      </c>
      <c r="AL29" s="206">
        <f t="shared" si="19"/>
        <v>2</v>
      </c>
      <c r="AM29" s="213">
        <f t="shared" si="19"/>
        <v>0.875</v>
      </c>
      <c r="AN29" s="214">
        <f t="shared" si="19"/>
        <v>0.63607464142166403</v>
      </c>
      <c r="AO29" s="215">
        <f t="shared" si="4"/>
        <v>-14.7</v>
      </c>
      <c r="AP29" s="216">
        <f t="shared" si="5"/>
        <v>1</v>
      </c>
      <c r="AQ29" s="216">
        <f t="shared" si="6"/>
        <v>1</v>
      </c>
      <c r="AR29" s="215">
        <f t="shared" si="20"/>
        <v>158.47</v>
      </c>
      <c r="AS29" s="216">
        <f t="shared" si="7"/>
        <v>0.9723448696087954</v>
      </c>
      <c r="AT29" s="216">
        <f t="shared" si="8"/>
        <v>1.2538510821608391</v>
      </c>
      <c r="AU29" s="216">
        <f t="shared" si="9"/>
        <v>2.2360679774997898</v>
      </c>
      <c r="AV29" s="217">
        <f t="shared" si="10"/>
        <v>10.368348541764712</v>
      </c>
      <c r="AW29" s="216">
        <f t="shared" si="11"/>
        <v>0</v>
      </c>
      <c r="AX29" s="218">
        <f t="shared" si="12"/>
        <v>1.4831709199797398</v>
      </c>
      <c r="AY29" s="216">
        <f t="shared" si="13"/>
        <v>0.77643477842613629</v>
      </c>
      <c r="AZ29" s="217">
        <f t="shared" si="14"/>
        <v>3.5883638597441294</v>
      </c>
      <c r="BA29" s="216">
        <f t="shared" si="15"/>
        <v>0</v>
      </c>
      <c r="BB29" s="216">
        <f t="shared" si="16"/>
        <v>1.0016542390239327</v>
      </c>
      <c r="BC29" s="216">
        <f t="shared" si="17"/>
        <v>1</v>
      </c>
    </row>
    <row r="30" spans="1:55" ht="20.100000000000001" customHeight="1" x14ac:dyDescent="0.2">
      <c r="A30" s="45">
        <v>0.625</v>
      </c>
      <c r="B30" s="451"/>
      <c r="C30" s="451"/>
      <c r="D30" s="451">
        <v>6.8</v>
      </c>
      <c r="E30" s="451">
        <v>57.6</v>
      </c>
      <c r="F30" s="41">
        <v>1948</v>
      </c>
      <c r="G30" s="37">
        <v>-5.5</v>
      </c>
      <c r="H30" s="37">
        <v>71.8</v>
      </c>
      <c r="I30" s="37">
        <v>21.9</v>
      </c>
      <c r="J30" s="41">
        <v>166</v>
      </c>
      <c r="K30" s="37">
        <v>13</v>
      </c>
      <c r="L30" s="451">
        <v>131</v>
      </c>
      <c r="M30" s="451">
        <v>227</v>
      </c>
      <c r="N30" s="451">
        <v>90</v>
      </c>
      <c r="O30" s="353">
        <v>50</v>
      </c>
      <c r="P30" s="353">
        <v>10</v>
      </c>
      <c r="Q30" s="353">
        <v>227.05</v>
      </c>
      <c r="R30" s="37"/>
      <c r="S30" s="508" t="str">
        <f t="shared" si="0"/>
        <v/>
      </c>
      <c r="T30" s="508"/>
      <c r="U30" s="508"/>
      <c r="V30" s="508"/>
      <c r="X30" s="45">
        <v>0.625</v>
      </c>
      <c r="Y30" s="106"/>
      <c r="Z30" s="102"/>
      <c r="AA30" s="102"/>
      <c r="AB30" s="45" t="str">
        <f t="shared" si="18"/>
        <v/>
      </c>
      <c r="AC30" s="45" t="str">
        <f t="shared" si="1"/>
        <v/>
      </c>
      <c r="AD30" s="81"/>
      <c r="AE30" s="9" t="str">
        <f>IF(S30="","",IF(COUNTA(Z30:$Z$39)=1,IF(COUNTA(AD30:$AD$39)=1,""," ; "),IF(COUNTA(AD30:$AD$39)=1,IF(Z30="",""," ; ")," ; ")))</f>
        <v/>
      </c>
      <c r="AF30" s="9" t="str">
        <f t="shared" si="2"/>
        <v/>
      </c>
      <c r="AG30" s="90" t="str">
        <f t="shared" si="3"/>
        <v/>
      </c>
      <c r="AH30" s="204" t="s">
        <v>260</v>
      </c>
      <c r="AJ30" s="206">
        <f t="shared" si="19"/>
        <v>500</v>
      </c>
      <c r="AK30" s="206">
        <f t="shared" si="19"/>
        <v>100</v>
      </c>
      <c r="AL30" s="206">
        <f t="shared" si="19"/>
        <v>2</v>
      </c>
      <c r="AM30" s="213">
        <f t="shared" si="19"/>
        <v>0.875</v>
      </c>
      <c r="AN30" s="214">
        <f t="shared" si="19"/>
        <v>0.63607464142166403</v>
      </c>
      <c r="AO30" s="215">
        <f t="shared" si="4"/>
        <v>-14.7</v>
      </c>
      <c r="AP30" s="216">
        <f t="shared" si="5"/>
        <v>1</v>
      </c>
      <c r="AQ30" s="216">
        <f t="shared" si="6"/>
        <v>1</v>
      </c>
      <c r="AR30" s="215">
        <f t="shared" si="20"/>
        <v>158.47</v>
      </c>
      <c r="AS30" s="216">
        <f t="shared" si="7"/>
        <v>0.9723448696087954</v>
      </c>
      <c r="AT30" s="216">
        <f t="shared" si="8"/>
        <v>1.2538510821608391</v>
      </c>
      <c r="AU30" s="216">
        <f t="shared" si="9"/>
        <v>2.2360679774997898</v>
      </c>
      <c r="AV30" s="217">
        <f t="shared" si="10"/>
        <v>10.368348541764712</v>
      </c>
      <c r="AW30" s="216">
        <f t="shared" si="11"/>
        <v>0</v>
      </c>
      <c r="AX30" s="218">
        <f t="shared" si="12"/>
        <v>1.4831709199797398</v>
      </c>
      <c r="AY30" s="216">
        <f t="shared" si="13"/>
        <v>0.77643477842613629</v>
      </c>
      <c r="AZ30" s="217">
        <f t="shared" si="14"/>
        <v>3.5883638597441294</v>
      </c>
      <c r="BA30" s="216">
        <f t="shared" si="15"/>
        <v>0</v>
      </c>
      <c r="BB30" s="216">
        <f t="shared" si="16"/>
        <v>1.0016542390239327</v>
      </c>
      <c r="BC30" s="216">
        <f t="shared" si="17"/>
        <v>1</v>
      </c>
    </row>
    <row r="31" spans="1:55" ht="20.100000000000001" customHeight="1" x14ac:dyDescent="0.2">
      <c r="A31" s="45">
        <v>0.66666666666666696</v>
      </c>
      <c r="B31" s="451"/>
      <c r="C31" s="451"/>
      <c r="D31" s="451">
        <v>6.6</v>
      </c>
      <c r="E31" s="451">
        <v>58.1</v>
      </c>
      <c r="F31" s="41">
        <v>1960</v>
      </c>
      <c r="G31" s="37">
        <v>-5.5</v>
      </c>
      <c r="H31" s="37">
        <v>71</v>
      </c>
      <c r="I31" s="37">
        <v>21.2</v>
      </c>
      <c r="J31" s="41">
        <v>167</v>
      </c>
      <c r="K31" s="37">
        <v>13</v>
      </c>
      <c r="L31" s="451">
        <v>130</v>
      </c>
      <c r="M31" s="451">
        <v>227</v>
      </c>
      <c r="N31" s="451">
        <v>90</v>
      </c>
      <c r="O31" s="353">
        <v>50</v>
      </c>
      <c r="P31" s="353">
        <v>10</v>
      </c>
      <c r="Q31" s="353">
        <v>227.05</v>
      </c>
      <c r="R31" s="37"/>
      <c r="S31" s="508" t="str">
        <f t="shared" si="0"/>
        <v/>
      </c>
      <c r="T31" s="508"/>
      <c r="U31" s="508"/>
      <c r="V31" s="508"/>
      <c r="X31" s="45">
        <v>0.66666666666666696</v>
      </c>
      <c r="Y31" s="106"/>
      <c r="Z31" s="102"/>
      <c r="AA31" s="102"/>
      <c r="AB31" s="45" t="str">
        <f t="shared" si="18"/>
        <v/>
      </c>
      <c r="AC31" s="45" t="str">
        <f t="shared" si="1"/>
        <v/>
      </c>
      <c r="AD31" s="81"/>
      <c r="AE31" s="9" t="str">
        <f>IF(S31="","",IF(COUNTA(Z31:$Z$39)=1,IF(COUNTA(AD31:$AD$39)=1,""," ; "),IF(COUNTA(AD31:$AD$39)=1,IF(Z31="",""," ; ")," ; ")))</f>
        <v/>
      </c>
      <c r="AF31" s="9" t="str">
        <f t="shared" si="2"/>
        <v/>
      </c>
      <c r="AG31" s="90" t="str">
        <f t="shared" si="3"/>
        <v/>
      </c>
      <c r="AH31" s="204" t="s">
        <v>226</v>
      </c>
      <c r="AJ31" s="206">
        <f t="shared" si="19"/>
        <v>500</v>
      </c>
      <c r="AK31" s="206">
        <f t="shared" si="19"/>
        <v>100</v>
      </c>
      <c r="AL31" s="206">
        <f t="shared" si="19"/>
        <v>2</v>
      </c>
      <c r="AM31" s="213">
        <f t="shared" si="19"/>
        <v>0.875</v>
      </c>
      <c r="AN31" s="214">
        <f t="shared" si="19"/>
        <v>0.63607464142166403</v>
      </c>
      <c r="AO31" s="215">
        <f t="shared" si="4"/>
        <v>-14.7</v>
      </c>
      <c r="AP31" s="216">
        <f t="shared" si="5"/>
        <v>1</v>
      </c>
      <c r="AQ31" s="216">
        <f t="shared" si="6"/>
        <v>1</v>
      </c>
      <c r="AR31" s="215">
        <f t="shared" si="20"/>
        <v>158.47</v>
      </c>
      <c r="AS31" s="216">
        <f t="shared" si="7"/>
        <v>0.9723448696087954</v>
      </c>
      <c r="AT31" s="216">
        <f t="shared" si="8"/>
        <v>1.2538510821608391</v>
      </c>
      <c r="AU31" s="216">
        <f t="shared" si="9"/>
        <v>2.2360679774997898</v>
      </c>
      <c r="AV31" s="217">
        <f t="shared" si="10"/>
        <v>10.368348541764712</v>
      </c>
      <c r="AW31" s="216">
        <f t="shared" si="11"/>
        <v>0</v>
      </c>
      <c r="AX31" s="218">
        <f t="shared" si="12"/>
        <v>1.4831709199797398</v>
      </c>
      <c r="AY31" s="216">
        <f t="shared" si="13"/>
        <v>0.77643477842613629</v>
      </c>
      <c r="AZ31" s="217">
        <f t="shared" si="14"/>
        <v>3.5883638597441294</v>
      </c>
      <c r="BA31" s="216">
        <f t="shared" si="15"/>
        <v>0</v>
      </c>
      <c r="BB31" s="216">
        <f t="shared" si="16"/>
        <v>1.0016542390239327</v>
      </c>
      <c r="BC31" s="216">
        <f t="shared" si="17"/>
        <v>1</v>
      </c>
    </row>
    <row r="32" spans="1:55" ht="20.100000000000001" customHeight="1" x14ac:dyDescent="0.2">
      <c r="A32" s="45">
        <v>0.70833333333333304</v>
      </c>
      <c r="B32" s="451"/>
      <c r="C32" s="451"/>
      <c r="D32" s="451">
        <v>6.4</v>
      </c>
      <c r="E32" s="451">
        <v>57.7</v>
      </c>
      <c r="F32" s="41">
        <v>1971</v>
      </c>
      <c r="G32" s="37">
        <v>-5.5</v>
      </c>
      <c r="H32" s="37">
        <v>71.3</v>
      </c>
      <c r="I32" s="37">
        <v>21.3</v>
      </c>
      <c r="J32" s="41">
        <v>168</v>
      </c>
      <c r="K32" s="37">
        <v>13</v>
      </c>
      <c r="L32" s="451">
        <v>128</v>
      </c>
      <c r="M32" s="451">
        <v>227</v>
      </c>
      <c r="N32" s="451">
        <v>90</v>
      </c>
      <c r="O32" s="353">
        <v>50</v>
      </c>
      <c r="P32" s="353">
        <v>11</v>
      </c>
      <c r="Q32" s="353">
        <v>238.04</v>
      </c>
      <c r="R32" s="37"/>
      <c r="S32" s="508" t="str">
        <f t="shared" si="0"/>
        <v/>
      </c>
      <c r="T32" s="508"/>
      <c r="U32" s="508"/>
      <c r="V32" s="508"/>
      <c r="X32" s="45">
        <v>0.70833333333333304</v>
      </c>
      <c r="Y32" s="106"/>
      <c r="Z32" s="102"/>
      <c r="AA32" s="102"/>
      <c r="AB32" s="45" t="str">
        <f t="shared" si="18"/>
        <v/>
      </c>
      <c r="AC32" s="45" t="str">
        <f t="shared" si="1"/>
        <v/>
      </c>
      <c r="AD32" s="81"/>
      <c r="AE32" s="9" t="str">
        <f>IF(S32="","",IF(COUNTA(Z32:$Z$39)=1,IF(COUNTA(AD32:$AD$39)=1,""," ; "),IF(COUNTA(AD32:$AD$39)=1,IF(Z32="",""," ; ")," ; ")))</f>
        <v/>
      </c>
      <c r="AF32" s="9" t="str">
        <f t="shared" si="2"/>
        <v/>
      </c>
      <c r="AG32" s="90" t="str">
        <f t="shared" si="3"/>
        <v/>
      </c>
      <c r="AH32" s="204" t="s">
        <v>313</v>
      </c>
      <c r="AJ32" s="206">
        <f t="shared" si="19"/>
        <v>500</v>
      </c>
      <c r="AK32" s="206">
        <f t="shared" si="19"/>
        <v>100</v>
      </c>
      <c r="AL32" s="206">
        <f t="shared" si="19"/>
        <v>2</v>
      </c>
      <c r="AM32" s="213">
        <f t="shared" si="19"/>
        <v>0.875</v>
      </c>
      <c r="AN32" s="214">
        <f t="shared" si="19"/>
        <v>0.63607464142166403</v>
      </c>
      <c r="AO32" s="215">
        <f t="shared" si="4"/>
        <v>-14.7</v>
      </c>
      <c r="AP32" s="216">
        <f t="shared" si="5"/>
        <v>1</v>
      </c>
      <c r="AQ32" s="216">
        <f t="shared" si="6"/>
        <v>1</v>
      </c>
      <c r="AR32" s="215">
        <f t="shared" si="20"/>
        <v>158.47</v>
      </c>
      <c r="AS32" s="216">
        <f t="shared" si="7"/>
        <v>0.9723448696087954</v>
      </c>
      <c r="AT32" s="216">
        <f t="shared" si="8"/>
        <v>1.2538510821608391</v>
      </c>
      <c r="AU32" s="216">
        <f t="shared" si="9"/>
        <v>2.2360679774997898</v>
      </c>
      <c r="AV32" s="217">
        <f t="shared" si="10"/>
        <v>10.368348541764712</v>
      </c>
      <c r="AW32" s="216">
        <f t="shared" si="11"/>
        <v>0</v>
      </c>
      <c r="AX32" s="218">
        <f t="shared" si="12"/>
        <v>1.4831709199797398</v>
      </c>
      <c r="AY32" s="216">
        <f t="shared" si="13"/>
        <v>0.77643477842613629</v>
      </c>
      <c r="AZ32" s="217">
        <f t="shared" si="14"/>
        <v>3.5883638597441294</v>
      </c>
      <c r="BA32" s="216">
        <f t="shared" si="15"/>
        <v>0</v>
      </c>
      <c r="BB32" s="216">
        <f t="shared" si="16"/>
        <v>1.0016542390239327</v>
      </c>
      <c r="BC32" s="216">
        <f t="shared" si="17"/>
        <v>1</v>
      </c>
    </row>
    <row r="33" spans="1:55" ht="20.100000000000001" customHeight="1" x14ac:dyDescent="0.2">
      <c r="A33" s="45">
        <v>0.75</v>
      </c>
      <c r="B33" s="451"/>
      <c r="C33" s="451"/>
      <c r="D33" s="451">
        <v>6.7</v>
      </c>
      <c r="E33" s="451">
        <v>57.2</v>
      </c>
      <c r="F33" s="41">
        <v>1944</v>
      </c>
      <c r="G33" s="37">
        <v>-5.5</v>
      </c>
      <c r="H33" s="37">
        <v>71.099999999999994</v>
      </c>
      <c r="I33" s="37">
        <v>21.7</v>
      </c>
      <c r="J33" s="41">
        <v>169</v>
      </c>
      <c r="K33" s="37">
        <v>13</v>
      </c>
      <c r="L33" s="451">
        <v>127</v>
      </c>
      <c r="M33" s="451">
        <v>226</v>
      </c>
      <c r="N33" s="451">
        <v>90</v>
      </c>
      <c r="O33" s="353">
        <v>50</v>
      </c>
      <c r="P33" s="353">
        <v>10</v>
      </c>
      <c r="Q33" s="353">
        <v>227.05</v>
      </c>
      <c r="R33" s="37"/>
      <c r="S33" s="508" t="str">
        <f>IF(Z33="",IF(AD33="","",AD33),CONCATENATE(TEXT(Z33,"[hh]:mm"),IF(AA33="",""," - "&amp;TEXT(AA33,"[hh]:mm")),IF(Y33="",""," "&amp;Y33&amp;"/")," "&amp;AD33))</f>
        <v/>
      </c>
      <c r="T33" s="508"/>
      <c r="U33" s="508"/>
      <c r="V33" s="508"/>
      <c r="X33" s="45">
        <v>0.75</v>
      </c>
      <c r="Y33" s="106"/>
      <c r="Z33" s="102"/>
      <c r="AA33" s="102"/>
      <c r="AB33" s="45" t="str">
        <f t="shared" si="18"/>
        <v/>
      </c>
      <c r="AC33" s="45" t="str">
        <f t="shared" si="1"/>
        <v/>
      </c>
      <c r="AD33" s="81"/>
      <c r="AE33" s="9" t="str">
        <f>IF(S33="","",IF(COUNTA(Z33:$Z$39)=1,IF(COUNTA(AD33:$AD$39)=1,""," ; "),IF(COUNTA(AD33:$AD$39)=1,IF(Z33="",""," ; ")," ; ")))</f>
        <v/>
      </c>
      <c r="AF33" s="9" t="str">
        <f t="shared" si="2"/>
        <v/>
      </c>
      <c r="AG33" s="90" t="str">
        <f t="shared" si="3"/>
        <v/>
      </c>
      <c r="AH33" s="204" t="s">
        <v>308</v>
      </c>
      <c r="AJ33" s="206">
        <f t="shared" ref="AJ33:AN39" si="21">AJ32</f>
        <v>500</v>
      </c>
      <c r="AK33" s="206">
        <f t="shared" si="21"/>
        <v>100</v>
      </c>
      <c r="AL33" s="206">
        <f t="shared" si="21"/>
        <v>2</v>
      </c>
      <c r="AM33" s="213">
        <f t="shared" si="21"/>
        <v>0.875</v>
      </c>
      <c r="AN33" s="214">
        <f t="shared" si="21"/>
        <v>0.63607464142166403</v>
      </c>
      <c r="AO33" s="215">
        <f t="shared" si="4"/>
        <v>-14.7</v>
      </c>
      <c r="AP33" s="216">
        <f t="shared" si="5"/>
        <v>1</v>
      </c>
      <c r="AQ33" s="216">
        <f t="shared" si="6"/>
        <v>1</v>
      </c>
      <c r="AR33" s="215">
        <f t="shared" si="20"/>
        <v>158.47</v>
      </c>
      <c r="AS33" s="216">
        <f t="shared" si="7"/>
        <v>0.9723448696087954</v>
      </c>
      <c r="AT33" s="216">
        <f t="shared" si="8"/>
        <v>1.2538510821608391</v>
      </c>
      <c r="AU33" s="216">
        <f t="shared" si="9"/>
        <v>2.2360679774997898</v>
      </c>
      <c r="AV33" s="217">
        <f t="shared" si="10"/>
        <v>10.368348541764712</v>
      </c>
      <c r="AW33" s="216">
        <f t="shared" si="11"/>
        <v>0</v>
      </c>
      <c r="AX33" s="218">
        <f t="shared" si="12"/>
        <v>1.4831709199797398</v>
      </c>
      <c r="AY33" s="216">
        <f t="shared" si="13"/>
        <v>0.77643477842613629</v>
      </c>
      <c r="AZ33" s="217">
        <f t="shared" si="14"/>
        <v>3.5883638597441294</v>
      </c>
      <c r="BA33" s="216">
        <f t="shared" si="15"/>
        <v>0</v>
      </c>
      <c r="BB33" s="216">
        <f t="shared" si="16"/>
        <v>1.0016542390239327</v>
      </c>
      <c r="BC33" s="216">
        <f t="shared" si="17"/>
        <v>1</v>
      </c>
    </row>
    <row r="34" spans="1:55" ht="20.100000000000001" customHeight="1" x14ac:dyDescent="0.2">
      <c r="A34" s="45">
        <v>0.79166666666666696</v>
      </c>
      <c r="B34" s="451"/>
      <c r="C34" s="451"/>
      <c r="D34" s="451">
        <v>6.2</v>
      </c>
      <c r="E34" s="451">
        <v>57.6</v>
      </c>
      <c r="F34" s="41">
        <v>1951</v>
      </c>
      <c r="G34" s="37">
        <v>-5.5</v>
      </c>
      <c r="H34" s="37">
        <v>71.3</v>
      </c>
      <c r="I34" s="37">
        <v>21</v>
      </c>
      <c r="J34" s="41">
        <v>170</v>
      </c>
      <c r="K34" s="37">
        <v>13</v>
      </c>
      <c r="L34" s="451">
        <v>127</v>
      </c>
      <c r="M34" s="451">
        <v>226</v>
      </c>
      <c r="N34" s="451">
        <v>90</v>
      </c>
      <c r="O34" s="353">
        <v>50</v>
      </c>
      <c r="P34" s="353">
        <v>12</v>
      </c>
      <c r="Q34" s="353">
        <v>248.54</v>
      </c>
      <c r="R34" s="37"/>
      <c r="S34" s="508" t="str">
        <f t="shared" ref="S34:S39" si="22">IF(Z34="",IF(AD34="","",AD34),CONCATENATE(TEXT(Z34,"[hh]:mm"),IF(AA34="",""," - "&amp;TEXT(AA34,"[hh]:mm")),IF(Y34="",""," "&amp;Y34&amp;"/")," "&amp;AD34))</f>
        <v/>
      </c>
      <c r="T34" s="508"/>
      <c r="U34" s="508"/>
      <c r="V34" s="508"/>
      <c r="X34" s="45">
        <v>0.79166666666666696</v>
      </c>
      <c r="Y34" s="106"/>
      <c r="Z34" s="102"/>
      <c r="AA34" s="102"/>
      <c r="AB34" s="45" t="str">
        <f t="shared" si="18"/>
        <v/>
      </c>
      <c r="AC34" s="45" t="str">
        <f t="shared" si="1"/>
        <v/>
      </c>
      <c r="AD34" s="81"/>
      <c r="AE34" s="9" t="str">
        <f>IF(S34="","",IF(COUNTA(Z34:$Z$39)=1,IF(COUNTA(AD34:$AD$39)=1,""," ; "),IF(COUNTA(AD34:$AD$39)=1,IF(Z34="",""," ; ")," ; ")))</f>
        <v/>
      </c>
      <c r="AF34" s="9" t="str">
        <f t="shared" si="2"/>
        <v/>
      </c>
      <c r="AG34" s="90" t="str">
        <f t="shared" si="3"/>
        <v/>
      </c>
      <c r="AH34" s="204" t="s">
        <v>314</v>
      </c>
      <c r="AJ34" s="206">
        <f t="shared" si="21"/>
        <v>500</v>
      </c>
      <c r="AK34" s="206">
        <f t="shared" si="21"/>
        <v>100</v>
      </c>
      <c r="AL34" s="206">
        <f t="shared" si="21"/>
        <v>2</v>
      </c>
      <c r="AM34" s="213">
        <f t="shared" si="21"/>
        <v>0.875</v>
      </c>
      <c r="AN34" s="214">
        <f t="shared" si="21"/>
        <v>0.63607464142166403</v>
      </c>
      <c r="AO34" s="215">
        <f t="shared" si="4"/>
        <v>-14.7</v>
      </c>
      <c r="AP34" s="216">
        <f t="shared" si="5"/>
        <v>1</v>
      </c>
      <c r="AQ34" s="216">
        <f t="shared" si="6"/>
        <v>1</v>
      </c>
      <c r="AR34" s="215">
        <f t="shared" si="20"/>
        <v>158.47</v>
      </c>
      <c r="AS34" s="216">
        <f t="shared" si="7"/>
        <v>0.9723448696087954</v>
      </c>
      <c r="AT34" s="216">
        <f t="shared" si="8"/>
        <v>1.2538510821608391</v>
      </c>
      <c r="AU34" s="216">
        <f t="shared" si="9"/>
        <v>2.2360679774997898</v>
      </c>
      <c r="AV34" s="217">
        <f t="shared" si="10"/>
        <v>10.368348541764712</v>
      </c>
      <c r="AW34" s="216">
        <f t="shared" si="11"/>
        <v>0</v>
      </c>
      <c r="AX34" s="218">
        <f t="shared" si="12"/>
        <v>1.4831709199797398</v>
      </c>
      <c r="AY34" s="216">
        <f t="shared" si="13"/>
        <v>0.77643477842613629</v>
      </c>
      <c r="AZ34" s="217">
        <f t="shared" si="14"/>
        <v>3.5883638597441294</v>
      </c>
      <c r="BA34" s="216">
        <f t="shared" si="15"/>
        <v>0</v>
      </c>
      <c r="BB34" s="216">
        <f t="shared" si="16"/>
        <v>1.0016542390239327</v>
      </c>
      <c r="BC34" s="216">
        <f t="shared" si="17"/>
        <v>1</v>
      </c>
    </row>
    <row r="35" spans="1:55" ht="20.100000000000001" customHeight="1" x14ac:dyDescent="0.2">
      <c r="A35" s="45">
        <v>0.83333333333333304</v>
      </c>
      <c r="B35" s="451"/>
      <c r="C35" s="451"/>
      <c r="D35" s="451">
        <v>6.7</v>
      </c>
      <c r="E35" s="451">
        <v>58.4</v>
      </c>
      <c r="F35" s="41">
        <v>1930</v>
      </c>
      <c r="G35" s="37">
        <v>-5.5</v>
      </c>
      <c r="H35" s="37">
        <v>71.599999999999994</v>
      </c>
      <c r="I35" s="37">
        <v>21.5</v>
      </c>
      <c r="J35" s="41">
        <v>171</v>
      </c>
      <c r="K35" s="37">
        <v>13</v>
      </c>
      <c r="L35" s="451">
        <v>124</v>
      </c>
      <c r="M35" s="451">
        <v>222</v>
      </c>
      <c r="N35" s="451">
        <v>90</v>
      </c>
      <c r="O35" s="353">
        <v>50</v>
      </c>
      <c r="P35" s="353">
        <v>12</v>
      </c>
      <c r="Q35" s="353">
        <v>248.54</v>
      </c>
      <c r="R35" s="37"/>
      <c r="S35" s="508" t="str">
        <f t="shared" si="22"/>
        <v/>
      </c>
      <c r="T35" s="508"/>
      <c r="U35" s="508"/>
      <c r="V35" s="508"/>
      <c r="X35" s="45">
        <v>0.83333333333333304</v>
      </c>
      <c r="Y35" s="106"/>
      <c r="Z35" s="102"/>
      <c r="AA35" s="102"/>
      <c r="AB35" s="45" t="str">
        <f t="shared" si="18"/>
        <v/>
      </c>
      <c r="AC35" s="45" t="str">
        <f t="shared" si="1"/>
        <v/>
      </c>
      <c r="AD35" s="81"/>
      <c r="AE35" s="9" t="str">
        <f>IF(S35="","",IF(COUNTA(Z35:$Z$39)=1,IF(COUNTA(AD35:$AD$39)=1,""," ; "),IF(COUNTA(AD35:$AD$39)=1,IF(Z35="",""," ; ")," ; ")))</f>
        <v/>
      </c>
      <c r="AF35" s="9" t="str">
        <f t="shared" si="2"/>
        <v/>
      </c>
      <c r="AG35" s="90" t="str">
        <f t="shared" si="3"/>
        <v/>
      </c>
      <c r="AH35" s="204" t="s">
        <v>227</v>
      </c>
      <c r="AJ35" s="206">
        <f t="shared" si="21"/>
        <v>500</v>
      </c>
      <c r="AK35" s="206">
        <f t="shared" si="21"/>
        <v>100</v>
      </c>
      <c r="AL35" s="206">
        <f t="shared" si="21"/>
        <v>2</v>
      </c>
      <c r="AM35" s="213">
        <f t="shared" si="21"/>
        <v>0.875</v>
      </c>
      <c r="AN35" s="214">
        <f t="shared" si="21"/>
        <v>0.63607464142166403</v>
      </c>
      <c r="AO35" s="215">
        <f t="shared" si="4"/>
        <v>-14.7</v>
      </c>
      <c r="AP35" s="216">
        <f t="shared" si="5"/>
        <v>1</v>
      </c>
      <c r="AQ35" s="216">
        <f t="shared" si="6"/>
        <v>1</v>
      </c>
      <c r="AR35" s="215">
        <f t="shared" si="20"/>
        <v>158.47</v>
      </c>
      <c r="AS35" s="216">
        <f t="shared" si="7"/>
        <v>0.9723448696087954</v>
      </c>
      <c r="AT35" s="216">
        <f t="shared" si="8"/>
        <v>1.2538510821608391</v>
      </c>
      <c r="AU35" s="216">
        <f t="shared" si="9"/>
        <v>2.2360679774997898</v>
      </c>
      <c r="AV35" s="217">
        <f t="shared" si="10"/>
        <v>10.368348541764712</v>
      </c>
      <c r="AW35" s="216">
        <f t="shared" si="11"/>
        <v>0</v>
      </c>
      <c r="AX35" s="218">
        <f t="shared" si="12"/>
        <v>1.4831709199797398</v>
      </c>
      <c r="AY35" s="216">
        <f t="shared" si="13"/>
        <v>0.77643477842613629</v>
      </c>
      <c r="AZ35" s="217">
        <f t="shared" si="14"/>
        <v>3.5883638597441294</v>
      </c>
      <c r="BA35" s="216">
        <f t="shared" si="15"/>
        <v>0</v>
      </c>
      <c r="BB35" s="216">
        <f t="shared" si="16"/>
        <v>1.0016542390239327</v>
      </c>
      <c r="BC35" s="216">
        <f t="shared" si="17"/>
        <v>1</v>
      </c>
    </row>
    <row r="36" spans="1:55" ht="20.100000000000001" customHeight="1" x14ac:dyDescent="0.2">
      <c r="A36" s="45">
        <v>0.875</v>
      </c>
      <c r="B36" s="451"/>
      <c r="C36" s="451"/>
      <c r="D36" s="451">
        <v>6.4</v>
      </c>
      <c r="E36" s="451">
        <v>56.9</v>
      </c>
      <c r="F36" s="41">
        <v>1922</v>
      </c>
      <c r="G36" s="37">
        <v>-5.5</v>
      </c>
      <c r="H36" s="37">
        <v>71.2</v>
      </c>
      <c r="I36" s="37">
        <v>21.7</v>
      </c>
      <c r="J36" s="41">
        <v>172</v>
      </c>
      <c r="K36" s="37">
        <v>13</v>
      </c>
      <c r="L36" s="451">
        <v>126</v>
      </c>
      <c r="M36" s="451">
        <v>221</v>
      </c>
      <c r="N36" s="451">
        <v>90</v>
      </c>
      <c r="O36" s="353">
        <v>50</v>
      </c>
      <c r="P36" s="353">
        <v>12</v>
      </c>
      <c r="Q36" s="353">
        <v>248.54</v>
      </c>
      <c r="R36" s="37"/>
      <c r="S36" s="508" t="str">
        <f t="shared" si="22"/>
        <v/>
      </c>
      <c r="T36" s="508"/>
      <c r="U36" s="508"/>
      <c r="V36" s="508"/>
      <c r="X36" s="45">
        <v>0.875</v>
      </c>
      <c r="Y36" s="106"/>
      <c r="Z36" s="102"/>
      <c r="AA36" s="102"/>
      <c r="AB36" s="45" t="str">
        <f t="shared" si="18"/>
        <v/>
      </c>
      <c r="AC36" s="45" t="str">
        <f t="shared" si="1"/>
        <v/>
      </c>
      <c r="AD36" s="81"/>
      <c r="AE36" s="9" t="str">
        <f>IF(S36="","",IF(COUNTA(Z36:$Z$39)=1,IF(COUNTA(AD36:$AD$39)=1,""," ; "),IF(COUNTA(AD36:$AD$39)=1,IF(Z36="",""," ; ")," ; ")))</f>
        <v/>
      </c>
      <c r="AF36" s="9" t="str">
        <f t="shared" si="2"/>
        <v/>
      </c>
      <c r="AG36" s="90" t="str">
        <f t="shared" si="3"/>
        <v/>
      </c>
      <c r="AH36" s="204" t="s">
        <v>309</v>
      </c>
      <c r="AJ36" s="206">
        <f t="shared" si="21"/>
        <v>500</v>
      </c>
      <c r="AK36" s="206">
        <f t="shared" si="21"/>
        <v>100</v>
      </c>
      <c r="AL36" s="206">
        <f t="shared" si="21"/>
        <v>2</v>
      </c>
      <c r="AM36" s="213">
        <f t="shared" si="21"/>
        <v>0.875</v>
      </c>
      <c r="AN36" s="214">
        <f t="shared" si="21"/>
        <v>0.63607464142166403</v>
      </c>
      <c r="AO36" s="215">
        <f t="shared" si="4"/>
        <v>-14.7</v>
      </c>
      <c r="AP36" s="216">
        <f t="shared" si="5"/>
        <v>1</v>
      </c>
      <c r="AQ36" s="216">
        <f t="shared" si="6"/>
        <v>1</v>
      </c>
      <c r="AR36" s="215">
        <f t="shared" si="20"/>
        <v>158.47</v>
      </c>
      <c r="AS36" s="216">
        <f t="shared" si="7"/>
        <v>0.9723448696087954</v>
      </c>
      <c r="AT36" s="216">
        <f t="shared" si="8"/>
        <v>1.2538510821608391</v>
      </c>
      <c r="AU36" s="216">
        <f t="shared" si="9"/>
        <v>2.2360679774997898</v>
      </c>
      <c r="AV36" s="217">
        <f t="shared" si="10"/>
        <v>10.368348541764712</v>
      </c>
      <c r="AW36" s="216">
        <f t="shared" si="11"/>
        <v>0</v>
      </c>
      <c r="AX36" s="218">
        <f t="shared" si="12"/>
        <v>1.4831709199797398</v>
      </c>
      <c r="AY36" s="216">
        <f t="shared" si="13"/>
        <v>0.77643477842613629</v>
      </c>
      <c r="AZ36" s="217">
        <f t="shared" si="14"/>
        <v>3.5883638597441294</v>
      </c>
      <c r="BA36" s="216">
        <f t="shared" si="15"/>
        <v>0</v>
      </c>
      <c r="BB36" s="216">
        <f t="shared" si="16"/>
        <v>1.0016542390239327</v>
      </c>
      <c r="BC36" s="216">
        <f t="shared" si="17"/>
        <v>1</v>
      </c>
    </row>
    <row r="37" spans="1:55" ht="20.100000000000001" customHeight="1" x14ac:dyDescent="0.2">
      <c r="A37" s="45">
        <v>0.91666666666666696</v>
      </c>
      <c r="B37" s="451"/>
      <c r="C37" s="451"/>
      <c r="D37" s="451">
        <v>7.2</v>
      </c>
      <c r="E37" s="451">
        <v>54.6</v>
      </c>
      <c r="F37" s="41">
        <v>1937</v>
      </c>
      <c r="G37" s="37">
        <v>-5.5</v>
      </c>
      <c r="H37" s="37">
        <v>71.7</v>
      </c>
      <c r="I37" s="37">
        <v>21.6</v>
      </c>
      <c r="J37" s="41">
        <v>173</v>
      </c>
      <c r="K37" s="37">
        <v>13</v>
      </c>
      <c r="L37" s="451">
        <v>126</v>
      </c>
      <c r="M37" s="451">
        <v>221</v>
      </c>
      <c r="N37" s="451">
        <v>90</v>
      </c>
      <c r="O37" s="353">
        <v>50</v>
      </c>
      <c r="P37" s="353">
        <v>11</v>
      </c>
      <c r="Q37" s="353">
        <v>238.04</v>
      </c>
      <c r="R37" s="37"/>
      <c r="S37" s="508" t="str">
        <f t="shared" si="22"/>
        <v/>
      </c>
      <c r="T37" s="508"/>
      <c r="U37" s="508"/>
      <c r="V37" s="508"/>
      <c r="X37" s="45">
        <v>0.91666666666666696</v>
      </c>
      <c r="Y37" s="106"/>
      <c r="Z37" s="102"/>
      <c r="AA37" s="102"/>
      <c r="AB37" s="45" t="str">
        <f t="shared" si="18"/>
        <v/>
      </c>
      <c r="AC37" s="45" t="str">
        <f t="shared" si="1"/>
        <v/>
      </c>
      <c r="AD37" s="81"/>
      <c r="AE37" s="9" t="str">
        <f>IF(S37="","",IF(COUNTA(Z37:$Z$39)=1,IF(COUNTA(AD37:$AD$39)=1,""," ; "),IF(COUNTA(AD37:$AD$39)=1,IF(Z37="",""," ; ")," ; ")))</f>
        <v/>
      </c>
      <c r="AF37" s="9" t="str">
        <f t="shared" si="2"/>
        <v/>
      </c>
      <c r="AG37" s="90" t="str">
        <f t="shared" si="3"/>
        <v/>
      </c>
      <c r="AH37" s="204" t="s">
        <v>319</v>
      </c>
      <c r="AJ37" s="206">
        <f t="shared" si="21"/>
        <v>500</v>
      </c>
      <c r="AK37" s="206">
        <f t="shared" si="21"/>
        <v>100</v>
      </c>
      <c r="AL37" s="206">
        <f t="shared" si="21"/>
        <v>2</v>
      </c>
      <c r="AM37" s="213">
        <f t="shared" si="21"/>
        <v>0.875</v>
      </c>
      <c r="AN37" s="214">
        <f t="shared" si="21"/>
        <v>0.63607464142166403</v>
      </c>
      <c r="AO37" s="215">
        <f t="shared" si="4"/>
        <v>-14.7</v>
      </c>
      <c r="AP37" s="216">
        <f t="shared" si="5"/>
        <v>1</v>
      </c>
      <c r="AQ37" s="216">
        <f t="shared" si="6"/>
        <v>1</v>
      </c>
      <c r="AR37" s="215">
        <f t="shared" si="20"/>
        <v>158.47</v>
      </c>
      <c r="AS37" s="216">
        <f t="shared" si="7"/>
        <v>0.9723448696087954</v>
      </c>
      <c r="AT37" s="216">
        <f t="shared" si="8"/>
        <v>1.2538510821608391</v>
      </c>
      <c r="AU37" s="216">
        <f t="shared" si="9"/>
        <v>2.2360679774997898</v>
      </c>
      <c r="AV37" s="217">
        <f t="shared" si="10"/>
        <v>10.368348541764712</v>
      </c>
      <c r="AW37" s="216">
        <f t="shared" si="11"/>
        <v>0</v>
      </c>
      <c r="AX37" s="218">
        <f t="shared" si="12"/>
        <v>1.4831709199797398</v>
      </c>
      <c r="AY37" s="216">
        <f t="shared" si="13"/>
        <v>0.77643477842613629</v>
      </c>
      <c r="AZ37" s="217">
        <f t="shared" si="14"/>
        <v>3.5883638597441294</v>
      </c>
      <c r="BA37" s="216">
        <f t="shared" si="15"/>
        <v>0</v>
      </c>
      <c r="BB37" s="216">
        <f t="shared" si="16"/>
        <v>1.0016542390239327</v>
      </c>
      <c r="BC37" s="216">
        <f t="shared" si="17"/>
        <v>1</v>
      </c>
    </row>
    <row r="38" spans="1:55" ht="20.100000000000001" customHeight="1" x14ac:dyDescent="0.2">
      <c r="A38" s="45">
        <v>0.95833333333333304</v>
      </c>
      <c r="B38" s="451"/>
      <c r="C38" s="451"/>
      <c r="D38" s="451">
        <v>7.7</v>
      </c>
      <c r="E38" s="451">
        <v>56.2</v>
      </c>
      <c r="F38" s="41">
        <v>1915</v>
      </c>
      <c r="G38" s="37">
        <v>-5.5</v>
      </c>
      <c r="H38" s="37">
        <v>71.400000000000006</v>
      </c>
      <c r="I38" s="37">
        <v>21.7</v>
      </c>
      <c r="J38" s="41">
        <v>174</v>
      </c>
      <c r="K38" s="37">
        <v>13</v>
      </c>
      <c r="L38" s="451">
        <v>129</v>
      </c>
      <c r="M38" s="451">
        <v>225</v>
      </c>
      <c r="N38" s="451">
        <v>90</v>
      </c>
      <c r="O38" s="353">
        <v>50</v>
      </c>
      <c r="P38" s="353">
        <v>11</v>
      </c>
      <c r="Q38" s="353">
        <v>238.04</v>
      </c>
      <c r="R38" s="37"/>
      <c r="S38" s="508" t="str">
        <f t="shared" si="22"/>
        <v/>
      </c>
      <c r="T38" s="508"/>
      <c r="U38" s="508"/>
      <c r="V38" s="508"/>
      <c r="X38" s="45">
        <v>0.95833333333333304</v>
      </c>
      <c r="Y38" s="106"/>
      <c r="Z38" s="102"/>
      <c r="AA38" s="102"/>
      <c r="AB38" s="45" t="str">
        <f t="shared" si="18"/>
        <v/>
      </c>
      <c r="AC38" s="45" t="str">
        <f t="shared" si="1"/>
        <v/>
      </c>
      <c r="AD38" s="81"/>
      <c r="AE38" s="9" t="str">
        <f>IF(S38="","",IF(COUNTA(Z38:$Z$39)=1,IF(COUNTA(AD38:$AD$39)=1,""," ; "),IF(COUNTA(AD38:$AD$39)=1,IF(Z38="",""," ; ")," ; ")))</f>
        <v/>
      </c>
      <c r="AF38" s="9" t="str">
        <f t="shared" si="2"/>
        <v/>
      </c>
      <c r="AG38" s="90" t="str">
        <f t="shared" si="3"/>
        <v/>
      </c>
      <c r="AH38" s="204" t="s">
        <v>219</v>
      </c>
      <c r="AJ38" s="206">
        <f t="shared" si="21"/>
        <v>500</v>
      </c>
      <c r="AK38" s="206">
        <f t="shared" si="21"/>
        <v>100</v>
      </c>
      <c r="AL38" s="206">
        <f t="shared" si="21"/>
        <v>2</v>
      </c>
      <c r="AM38" s="213">
        <f t="shared" si="21"/>
        <v>0.875</v>
      </c>
      <c r="AN38" s="214">
        <f t="shared" si="21"/>
        <v>0.63607464142166403</v>
      </c>
      <c r="AO38" s="215">
        <f t="shared" si="4"/>
        <v>-14.7</v>
      </c>
      <c r="AP38" s="216">
        <f t="shared" si="5"/>
        <v>1</v>
      </c>
      <c r="AQ38" s="216">
        <f t="shared" si="6"/>
        <v>1</v>
      </c>
      <c r="AR38" s="215">
        <f t="shared" si="20"/>
        <v>158.47</v>
      </c>
      <c r="AS38" s="216">
        <f t="shared" si="7"/>
        <v>0.9723448696087954</v>
      </c>
      <c r="AT38" s="216">
        <f t="shared" si="8"/>
        <v>1.2538510821608391</v>
      </c>
      <c r="AU38" s="216">
        <f t="shared" si="9"/>
        <v>2.2360679774997898</v>
      </c>
      <c r="AV38" s="217">
        <f t="shared" si="10"/>
        <v>10.368348541764712</v>
      </c>
      <c r="AW38" s="216">
        <f t="shared" si="11"/>
        <v>0</v>
      </c>
      <c r="AX38" s="218">
        <f t="shared" si="12"/>
        <v>1.4831709199797398</v>
      </c>
      <c r="AY38" s="216">
        <f t="shared" si="13"/>
        <v>0.77643477842613629</v>
      </c>
      <c r="AZ38" s="217">
        <f t="shared" si="14"/>
        <v>3.5883638597441294</v>
      </c>
      <c r="BA38" s="216">
        <f t="shared" si="15"/>
        <v>0</v>
      </c>
      <c r="BB38" s="216">
        <f t="shared" si="16"/>
        <v>1.0016542390239327</v>
      </c>
      <c r="BC38" s="216">
        <f t="shared" si="17"/>
        <v>1</v>
      </c>
    </row>
    <row r="39" spans="1:55" ht="20.100000000000001" customHeight="1" thickBot="1" x14ac:dyDescent="0.25">
      <c r="A39" s="46">
        <v>1</v>
      </c>
      <c r="B39" s="451"/>
      <c r="C39" s="451"/>
      <c r="D39" s="451">
        <v>6.2</v>
      </c>
      <c r="E39" s="451">
        <v>62.7</v>
      </c>
      <c r="F39" s="41">
        <v>1920</v>
      </c>
      <c r="G39" s="37">
        <v>-5.5</v>
      </c>
      <c r="H39" s="37">
        <v>71.2</v>
      </c>
      <c r="I39" s="37">
        <v>21.5</v>
      </c>
      <c r="J39" s="41">
        <v>175</v>
      </c>
      <c r="K39" s="37">
        <v>13</v>
      </c>
      <c r="L39" s="451">
        <v>127</v>
      </c>
      <c r="M39" s="452">
        <v>227</v>
      </c>
      <c r="N39" s="451">
        <v>90</v>
      </c>
      <c r="O39" s="353">
        <v>50</v>
      </c>
      <c r="P39" s="353">
        <v>11</v>
      </c>
      <c r="Q39" s="354">
        <v>238.04</v>
      </c>
      <c r="R39" s="38"/>
      <c r="S39" s="512" t="str">
        <f t="shared" si="22"/>
        <v/>
      </c>
      <c r="T39" s="512"/>
      <c r="U39" s="512"/>
      <c r="V39" s="512"/>
      <c r="X39" s="46">
        <v>1</v>
      </c>
      <c r="Y39" s="107"/>
      <c r="Z39" s="103"/>
      <c r="AA39" s="103"/>
      <c r="AB39" s="46" t="str">
        <f t="shared" si="18"/>
        <v/>
      </c>
      <c r="AC39" s="46" t="str">
        <f t="shared" si="1"/>
        <v/>
      </c>
      <c r="AD39" s="82"/>
      <c r="AE39" s="9" t="str">
        <f>IF(S39="","",IF(COUNTA(Z39:$Z$39)=1,IF(COUNTA(AD39:$AD$39)=1,""," ; "),IF(COUNTA(AD39:$AD$39)=1,IF(Z39="",""," ; ")," ; ")))</f>
        <v/>
      </c>
      <c r="AF39" s="9" t="str">
        <f t="shared" si="2"/>
        <v/>
      </c>
      <c r="AG39" s="90" t="str">
        <f t="shared" si="3"/>
        <v/>
      </c>
      <c r="AH39" s="204" t="s">
        <v>220</v>
      </c>
      <c r="AJ39" s="219">
        <f t="shared" si="21"/>
        <v>500</v>
      </c>
      <c r="AK39" s="219">
        <f t="shared" si="21"/>
        <v>100</v>
      </c>
      <c r="AL39" s="219">
        <f t="shared" si="21"/>
        <v>2</v>
      </c>
      <c r="AM39" s="220">
        <f t="shared" si="21"/>
        <v>0.875</v>
      </c>
      <c r="AN39" s="221">
        <f t="shared" si="21"/>
        <v>0.63607464142166403</v>
      </c>
      <c r="AO39" s="222">
        <f t="shared" si="4"/>
        <v>-14.7</v>
      </c>
      <c r="AP39" s="223">
        <f t="shared" si="5"/>
        <v>1</v>
      </c>
      <c r="AQ39" s="223">
        <f t="shared" si="6"/>
        <v>1</v>
      </c>
      <c r="AR39" s="222">
        <f t="shared" si="20"/>
        <v>158.47</v>
      </c>
      <c r="AS39" s="223">
        <f t="shared" si="7"/>
        <v>0.9723448696087954</v>
      </c>
      <c r="AT39" s="223">
        <f t="shared" si="8"/>
        <v>1.2538510821608391</v>
      </c>
      <c r="AU39" s="223">
        <f t="shared" si="9"/>
        <v>2.2360679774997898</v>
      </c>
      <c r="AV39" s="224">
        <f t="shared" si="10"/>
        <v>10.368348541764712</v>
      </c>
      <c r="AW39" s="223">
        <f t="shared" si="11"/>
        <v>0</v>
      </c>
      <c r="AX39" s="225">
        <f t="shared" si="12"/>
        <v>1.4831709199797398</v>
      </c>
      <c r="AY39" s="223">
        <f t="shared" si="13"/>
        <v>0.77643477842613629</v>
      </c>
      <c r="AZ39" s="224">
        <f t="shared" si="14"/>
        <v>3.5883638597441294</v>
      </c>
      <c r="BA39" s="223">
        <f t="shared" si="15"/>
        <v>0</v>
      </c>
      <c r="BB39" s="223">
        <f t="shared" si="16"/>
        <v>1.0016542390239327</v>
      </c>
      <c r="BC39" s="223">
        <f t="shared" si="17"/>
        <v>1</v>
      </c>
    </row>
    <row r="40" spans="1:55" ht="20.100000000000001" customHeight="1" thickBot="1" x14ac:dyDescent="0.3">
      <c r="A40" s="53" t="s">
        <v>11</v>
      </c>
      <c r="B40" s="453" t="str">
        <f>IFERROR(ROUND(AVERAGE(B16:B39),2),"")</f>
        <v/>
      </c>
      <c r="C40" s="453" t="str">
        <f>IFERROR(ROUND(AVERAGE(C16:C39),2),"")</f>
        <v/>
      </c>
      <c r="D40" s="453">
        <f>IFERROR(ROUND(AVERAGE(D16:D39),2),"")</f>
        <v>7</v>
      </c>
      <c r="E40" s="453">
        <f>IFERROR(ROUND(AVERAGE(E16:E39),2),"")</f>
        <v>58.8</v>
      </c>
      <c r="F40" s="55">
        <f>IFERROR(ROUND(AVERAGE(F16:F39),0),"")</f>
        <v>1941</v>
      </c>
      <c r="G40" s="54">
        <f>IFERROR(AVERAGE(G16:G39),"")</f>
        <v>-5.5</v>
      </c>
      <c r="H40" s="54">
        <f>IFERROR(AVERAGE(H16:H39),"")</f>
        <v>71.316666666666677</v>
      </c>
      <c r="I40" s="54">
        <f>IFERROR(AVERAGE(I16:I39),"")</f>
        <v>21.454166666666666</v>
      </c>
      <c r="J40" s="71"/>
      <c r="K40" s="111">
        <f>IFERROR(AVERAGE(K16:K39),"")</f>
        <v>13</v>
      </c>
      <c r="L40" s="453">
        <f t="shared" ref="L40:P40" si="23">IFERROR(ROUND(AVERAGE(L16:L39),1),"")</f>
        <v>126.8</v>
      </c>
      <c r="M40" s="453">
        <f t="shared" si="23"/>
        <v>224</v>
      </c>
      <c r="N40" s="453">
        <f t="shared" si="23"/>
        <v>90</v>
      </c>
      <c r="O40" s="456">
        <f t="shared" si="23"/>
        <v>50</v>
      </c>
      <c r="P40" s="456">
        <f t="shared" si="23"/>
        <v>10.7</v>
      </c>
      <c r="Q40" s="456">
        <f>IF($I$47=1,$M$49,$Q$44)</f>
        <v>194.1</v>
      </c>
      <c r="R40" s="54" t="str">
        <f>IFERROR(ROUND(AVERAGE(R16:R39),1),"")</f>
        <v/>
      </c>
      <c r="S40" s="509"/>
      <c r="T40" s="510"/>
      <c r="U40" s="510"/>
      <c r="V40" s="511"/>
      <c r="X40" s="99"/>
      <c r="Y40" s="99"/>
      <c r="Z40" s="99"/>
      <c r="AA40" s="99"/>
      <c r="AB40" s="104">
        <f>SUM(AB16:AB39)</f>
        <v>0</v>
      </c>
      <c r="AC40" s="104">
        <f>SUM(AC16:AC39)</f>
        <v>0</v>
      </c>
      <c r="AD40" s="92" t="str">
        <f>IF(OR(COUNTBLANK(D16:E39)+COUNTBLANK(O16:P39)=0,COUNTA(S16:V39)&lt;&gt;0),"","CEK : Blank Data - Remarks")</f>
        <v/>
      </c>
      <c r="AG40" s="90" t="str">
        <f>IF(COUNTIF(AG16:AG39,"")=COUNTA(AG16:AG39),"","CEK : Data Flowrate")</f>
        <v/>
      </c>
      <c r="AH40" s="204" t="s">
        <v>311</v>
      </c>
    </row>
    <row r="41" spans="1:55" ht="20.100000000000001" hidden="1" customHeight="1" thickBot="1" x14ac:dyDescent="0.3">
      <c r="A41" s="49" t="s">
        <v>12</v>
      </c>
      <c r="B41" s="52" t="str">
        <f>IF(COUNT(B16:B39)&gt;0,ROUND(MIN(B16:B39),2),"")</f>
        <v/>
      </c>
      <c r="C41" s="52" t="str">
        <f>IF(COUNT(C16:C39)&gt;0,ROUND(MIN(C16:C39),2),"")</f>
        <v/>
      </c>
      <c r="D41" s="52">
        <f>IF(COUNT(D16:D39)&gt;0,ROUND(MIN(D16:D39),2),"")</f>
        <v>6.2</v>
      </c>
      <c r="E41" s="52">
        <f>IF(COUNT(E16:E39)&gt;0,ROUND(MIN(E16:E39),2),"")</f>
        <v>54.6</v>
      </c>
      <c r="F41" s="51">
        <f>IF(COUNT(F16:F39)&gt;0,ROUND(MIN(F16:F39),0),"")</f>
        <v>1915</v>
      </c>
      <c r="G41" s="50">
        <f>IF(COUNT(G16:G39)&gt;0,MIN(G16:G39),"")</f>
        <v>-5.5</v>
      </c>
      <c r="H41" s="50">
        <f>IF(COUNT(H16:H39)&gt;0,MIN(H16:H39),"")</f>
        <v>71</v>
      </c>
      <c r="I41" s="50">
        <f>IF(COUNT(I16:I39)&gt;0,MIN(I16:I39),"")</f>
        <v>21</v>
      </c>
      <c r="J41" s="72"/>
      <c r="K41" s="50">
        <f>IF(COUNT(K16:K39)&gt;0,MIN(K16:K39),"")</f>
        <v>13</v>
      </c>
      <c r="L41" s="52">
        <f>IF(COUNT(L16:L39)&gt;0,ROUND(MIN(L16:L39),1),"")</f>
        <v>122</v>
      </c>
      <c r="M41" s="52">
        <f>IF(COUNT(M16:M39)&gt;0,ROUND(MIN(M16:M39),1),"")</f>
        <v>220</v>
      </c>
      <c r="N41" s="52">
        <f>IF(COUNT(N16:N39)&gt;0,ROUND(MIN(N16:N39),1),"")</f>
        <v>90</v>
      </c>
      <c r="O41" s="440">
        <f>IF(COUNT(O16:O39)&gt;0,ROUND(MIN(O16:O39),1),"")</f>
        <v>50</v>
      </c>
      <c r="P41" s="440">
        <f>IF(COUNT(P16:P39)&gt;0,ROUND(MIN(P16:P39),1),"")</f>
        <v>9</v>
      </c>
      <c r="Q41" s="440">
        <f>IF(COUNT(Q16:Q39)&gt;0,ROUND(MIN(Q16:Q39),4),"")</f>
        <v>215.49</v>
      </c>
      <c r="R41" s="121" t="str">
        <f>IF(COUNT(R16:R39)&gt;0,ROUND(MIN(R16:R39),1),"")</f>
        <v/>
      </c>
      <c r="S41" s="509"/>
      <c r="T41" s="510"/>
      <c r="U41" s="510"/>
      <c r="V41" s="511"/>
      <c r="X41" s="99"/>
      <c r="Y41" s="99"/>
      <c r="Z41" s="99"/>
      <c r="AA41" s="99"/>
      <c r="AB41" s="99"/>
      <c r="AC41" s="99"/>
      <c r="AH41" s="204" t="s">
        <v>318</v>
      </c>
    </row>
    <row r="42" spans="1:55" ht="20.100000000000001" hidden="1" customHeight="1" thickBot="1" x14ac:dyDescent="0.3">
      <c r="A42" s="21" t="s">
        <v>13</v>
      </c>
      <c r="B42" s="454" t="str">
        <f>IF(COUNT(B16:B39)&gt;0,ROUND(MAX(B16:B39),2),"")</f>
        <v/>
      </c>
      <c r="C42" s="454" t="str">
        <f>IF(COUNT(C16:C39)&gt;0,ROUND(MAX(C16:C39),2),"")</f>
        <v/>
      </c>
      <c r="D42" s="454">
        <f>IF(COUNT(D16:D39)&gt;0,ROUND(MAX(D16:D39),2),"")</f>
        <v>7.9</v>
      </c>
      <c r="E42" s="454">
        <f>IF(COUNT(E16:E39)&gt;0,ROUND(MAX(E16:E39),2),"")</f>
        <v>63.5</v>
      </c>
      <c r="F42" s="43">
        <f>IF(COUNT(F16:F39)&gt;0,ROUND(MAX(F16:F39),0),"")</f>
        <v>1971</v>
      </c>
      <c r="G42" s="39">
        <f>IF(COUNT(G16:G39)&gt;0,MAX(G16:G39),"")</f>
        <v>-5.5</v>
      </c>
      <c r="H42" s="39">
        <f>IF(COUNT(H16:H39)&gt;0,MAX(H16:H39),"")</f>
        <v>71.900000000000006</v>
      </c>
      <c r="I42" s="39">
        <f>IF(COUNT(I16:I39)&gt;0,MAX(I16:I39),"")</f>
        <v>21.9</v>
      </c>
      <c r="J42" s="43">
        <f>IF(COUNT(J16:J39)&gt;0,MAX(J16:J39),"")</f>
        <v>175</v>
      </c>
      <c r="K42" s="39">
        <f>IF(COUNT(K16:K39)&gt;0,MAX(K16:K39),"")</f>
        <v>13</v>
      </c>
      <c r="L42" s="454">
        <f>IF(COUNT(L16:L39)&gt;0,ROUND(MAX(L16:L39),1),"")</f>
        <v>131</v>
      </c>
      <c r="M42" s="454">
        <f>IF(COUNT(M16:M39)&gt;0,ROUND(MAX(M16:M39),1),"")</f>
        <v>227</v>
      </c>
      <c r="N42" s="454">
        <f>IF(COUNT(N16:N39)&gt;0,ROUND(MAX(N16:N39),1),"")</f>
        <v>90</v>
      </c>
      <c r="O42" s="441">
        <f>IF(COUNT(O16:O39)&gt;0,ROUND(MAX(O16:O39),1),"")</f>
        <v>50</v>
      </c>
      <c r="P42" s="441">
        <f>IF(COUNT(P16:P39)&gt;0,ROUND(MAX(P16:P39),1),"")</f>
        <v>13</v>
      </c>
      <c r="Q42" s="441">
        <f>IF(COUNT(Q16:Q39)&gt;0,ROUND(MAX(Q16:Q39),4),"")</f>
        <v>258.61</v>
      </c>
      <c r="R42" s="39" t="str">
        <f>IF(COUNT(R16:R39)&gt;0,ROUND(MAX(R16:R39),1),"")</f>
        <v/>
      </c>
      <c r="S42" s="509"/>
      <c r="T42" s="510"/>
      <c r="U42" s="510"/>
      <c r="V42" s="511"/>
      <c r="X42" s="99"/>
      <c r="Y42" s="99"/>
      <c r="Z42" s="99"/>
      <c r="AA42" s="99"/>
      <c r="AB42" s="99"/>
      <c r="AC42" s="99"/>
      <c r="AH42" s="204" t="s">
        <v>312</v>
      </c>
    </row>
    <row r="43" spans="1:55" ht="20.100000000000001" hidden="1" customHeight="1" x14ac:dyDescent="0.25">
      <c r="A43" s="109"/>
      <c r="B43" s="110">
        <f>COUNT(B16:B39)</f>
        <v>0</v>
      </c>
      <c r="C43" s="110">
        <f>COUNT(C16:C39)</f>
        <v>0</v>
      </c>
      <c r="D43" s="110">
        <f>COUNT(D16:D39)</f>
        <v>24</v>
      </c>
      <c r="E43" s="110">
        <f t="shared" ref="E43:H43" si="24">COUNT(E16:E39)</f>
        <v>24</v>
      </c>
      <c r="F43" s="110">
        <f t="shared" si="24"/>
        <v>24</v>
      </c>
      <c r="G43" s="110">
        <f t="shared" si="24"/>
        <v>24</v>
      </c>
      <c r="H43" s="110">
        <f t="shared" si="24"/>
        <v>24</v>
      </c>
      <c r="I43" s="110"/>
      <c r="J43" s="110"/>
      <c r="K43" s="110"/>
      <c r="L43" s="110">
        <f t="shared" ref="L43:Q43" si="25">COUNT(L16:L39)</f>
        <v>24</v>
      </c>
      <c r="M43" s="110">
        <f t="shared" si="25"/>
        <v>24</v>
      </c>
      <c r="N43" s="110">
        <f t="shared" si="25"/>
        <v>24</v>
      </c>
      <c r="O43" s="110">
        <f t="shared" si="25"/>
        <v>24</v>
      </c>
      <c r="P43" s="110">
        <f t="shared" si="25"/>
        <v>24</v>
      </c>
      <c r="Q43" s="110">
        <f t="shared" si="25"/>
        <v>24</v>
      </c>
      <c r="R43" s="110"/>
      <c r="S43" s="99"/>
      <c r="T43" s="99"/>
      <c r="U43" s="99"/>
      <c r="V43" s="99"/>
      <c r="X43" s="99"/>
      <c r="Y43" s="99"/>
      <c r="Z43" s="99"/>
      <c r="AA43" s="99"/>
      <c r="AB43" s="99"/>
      <c r="AC43" s="99"/>
      <c r="AD43" s="92" t="str">
        <f>IF(AND(D43=E43,D43=F43,D43=G43,D43=H43,D43=L43,D43=M43,D43=N43,D43=O43,D43=P43,D43=Q43),"","CEK : Data Content")</f>
        <v/>
      </c>
      <c r="AH43" s="204" t="s">
        <v>221</v>
      </c>
    </row>
    <row r="44" spans="1:55" s="6" customFormat="1" ht="15" customHeight="1" x14ac:dyDescent="0.25">
      <c r="J44" s="91" t="str">
        <f>IF(J1="PRINT","",IF(J42="","RH please ! !",""))</f>
        <v/>
      </c>
      <c r="L44" s="24"/>
      <c r="Q44" s="445">
        <f>IFERROR(ROUND(AVERAGE(Q16:Q39),4),"")</f>
        <v>234.10040000000001</v>
      </c>
      <c r="AH44" s="204" t="s">
        <v>323</v>
      </c>
      <c r="AI44" s="7"/>
    </row>
    <row r="45" spans="1:55" s="6" customFormat="1" ht="15" customHeight="1" x14ac:dyDescent="0.25">
      <c r="L45" s="26" t="s">
        <v>290</v>
      </c>
      <c r="Q45" s="445"/>
      <c r="AH45" s="204" t="s">
        <v>288</v>
      </c>
      <c r="AI45" s="7"/>
    </row>
    <row r="46" spans="1:55" s="6" customFormat="1" ht="15" customHeight="1" x14ac:dyDescent="0.25">
      <c r="D46" s="443" t="s">
        <v>90</v>
      </c>
      <c r="E46" s="448" t="str">
        <f>IF(Schedule!C$8="","",Schedule!C$8)</f>
        <v/>
      </c>
      <c r="G46" s="61"/>
      <c r="H46" s="25" t="str">
        <f>IFERROR(IF(OR(I47="",I48="",I49=""),"WAKTU BELUM DI-ISI LENGKAP",IF(SUM(I48:I49)&lt;=1,"","CEK KEMBALI PENULISAN WAKTU SALAH")),"CEK KEMBALI PENULISAN WAKTU SALAH")</f>
        <v/>
      </c>
      <c r="L46" s="26" t="s">
        <v>22</v>
      </c>
      <c r="M46" s="460">
        <f>IF(Volume!$W7="",$O46,Volume!$W7)</f>
        <v>45.442100000000003</v>
      </c>
      <c r="N46" s="27" t="s">
        <v>1</v>
      </c>
      <c r="O46" s="447">
        <f>IF(O40="","",O40)</f>
        <v>50</v>
      </c>
      <c r="P46" s="361" t="s">
        <v>29</v>
      </c>
      <c r="Q46" s="362"/>
      <c r="R46" s="362"/>
      <c r="S46" s="362"/>
      <c r="T46" s="361" t="s">
        <v>30</v>
      </c>
      <c r="U46" s="362"/>
      <c r="V46" s="362"/>
      <c r="AH46" s="204" t="s">
        <v>222</v>
      </c>
    </row>
    <row r="47" spans="1:55" s="6" customFormat="1" ht="15" customHeight="1" x14ac:dyDescent="0.25">
      <c r="D47" s="448"/>
      <c r="E47" s="448"/>
      <c r="H47" s="26" t="s">
        <v>26</v>
      </c>
      <c r="I47" s="56">
        <f>IF(OR(I48="",I49=""),"",1-I48-I49)</f>
        <v>1</v>
      </c>
      <c r="J47" s="27" t="s">
        <v>19</v>
      </c>
      <c r="L47" s="26" t="s">
        <v>23</v>
      </c>
      <c r="M47" s="442">
        <f>IF(Volume!$Y7="",$O47,Volume!$Y7)</f>
        <v>8.2605000000000004</v>
      </c>
      <c r="N47" s="27" t="s">
        <v>14</v>
      </c>
      <c r="O47" s="447">
        <f>IF(P40="","",P40)</f>
        <v>10.7</v>
      </c>
      <c r="P47" s="361" t="s">
        <v>211</v>
      </c>
      <c r="Q47" s="362"/>
      <c r="R47" s="362"/>
      <c r="S47" s="362"/>
      <c r="T47" s="361" t="s">
        <v>271</v>
      </c>
      <c r="U47" s="362"/>
      <c r="V47" s="362"/>
      <c r="AH47" s="204" t="s">
        <v>223</v>
      </c>
    </row>
    <row r="48" spans="1:55" s="6" customFormat="1" ht="15" customHeight="1" x14ac:dyDescent="0.25">
      <c r="D48" s="443" t="s">
        <v>91</v>
      </c>
      <c r="E48" s="448" t="str">
        <f>IF(Schedule!D$8="","",Schedule!D$8)</f>
        <v/>
      </c>
      <c r="H48" s="26" t="s">
        <v>37</v>
      </c>
      <c r="I48" s="108">
        <f>IF(OR(COUNT($Q$16:$Q$39)&lt;&gt;0,COUNTA($AD$16:$AD$39)&lt;&gt;0),AB40,"")</f>
        <v>0</v>
      </c>
      <c r="J48" s="27" t="s">
        <v>19</v>
      </c>
      <c r="L48" s="26" t="s">
        <v>24</v>
      </c>
      <c r="M48" s="449">
        <f>IF(N40="","",N40)</f>
        <v>90</v>
      </c>
      <c r="N48" s="27" t="s">
        <v>5</v>
      </c>
      <c r="P48" s="362"/>
      <c r="Q48" s="362"/>
      <c r="R48" s="362"/>
      <c r="S48" s="362"/>
      <c r="T48" s="361" t="s">
        <v>291</v>
      </c>
      <c r="U48" s="362"/>
      <c r="V48" s="362"/>
      <c r="AH48" s="204" t="s">
        <v>324</v>
      </c>
    </row>
    <row r="49" spans="1:34" s="6" customFormat="1" ht="15" customHeight="1" x14ac:dyDescent="0.25">
      <c r="D49" s="448"/>
      <c r="E49" s="448"/>
      <c r="H49" s="26" t="s">
        <v>27</v>
      </c>
      <c r="I49" s="108">
        <f>IF(OR(COUNT($Q$16:$Q$39)&lt;&gt;0,COUNTA($AD$16:$AD$39)&lt;&gt;0),AC40,"")</f>
        <v>0</v>
      </c>
      <c r="J49" s="27" t="s">
        <v>19</v>
      </c>
      <c r="L49" s="26" t="s">
        <v>128</v>
      </c>
      <c r="M49" s="442">
        <f>IF(Volume!$L7="",M51,Volume!$L7)</f>
        <v>194.1</v>
      </c>
      <c r="N49" s="27" t="str">
        <f>IF(Q15="MSCFD","MSCF","MMSCF")</f>
        <v>MSCF</v>
      </c>
      <c r="P49" s="362"/>
      <c r="Q49" s="362"/>
      <c r="R49" s="362"/>
      <c r="S49" s="362"/>
      <c r="T49" s="362"/>
      <c r="U49" s="362"/>
      <c r="V49" s="362"/>
      <c r="AH49" s="204" t="s">
        <v>317</v>
      </c>
    </row>
    <row r="50" spans="1:34" s="6" customFormat="1" ht="15" customHeight="1" x14ac:dyDescent="0.25">
      <c r="D50" s="443" t="s">
        <v>92</v>
      </c>
      <c r="E50" s="448" t="str">
        <f>IF(Schedule!E$8="","",Schedule!E$8)</f>
        <v>Marihot Gustafa S.</v>
      </c>
      <c r="L50" s="443" t="str">
        <f>CONCATENATE(MR!L16," ",":")</f>
        <v>Liquid Gain :</v>
      </c>
      <c r="M50" s="446" t="str">
        <f>IF(R40="","",ROUND(SUM(R16:R39),2))</f>
        <v/>
      </c>
      <c r="N50" s="444" t="str">
        <f>R15</f>
        <v>BPD</v>
      </c>
      <c r="P50" s="362"/>
      <c r="Q50" s="362"/>
      <c r="R50" s="362"/>
      <c r="S50" s="362"/>
      <c r="T50" s="362"/>
      <c r="U50" s="362"/>
      <c r="V50" s="362"/>
      <c r="AH50" s="204" t="s">
        <v>282</v>
      </c>
    </row>
    <row r="51" spans="1:34" s="6" customFormat="1" ht="15" customHeight="1" x14ac:dyDescent="0.25">
      <c r="A51" s="4"/>
      <c r="L51" s="443" t="s">
        <v>286</v>
      </c>
      <c r="M51" s="447">
        <f>IF(Q44="","",IF(SUM(I48:I49)=1,IF(Q44&lt;&gt;0,"Cek Tabel",""),ROUND(Q44*I47,4)))</f>
        <v>234.10040000000001</v>
      </c>
      <c r="N51" s="444" t="str">
        <f>IF(Q15="MSCFD","MSCF","MMSCF")</f>
        <v>MSCF</v>
      </c>
      <c r="P51" s="362"/>
      <c r="Q51" s="362"/>
      <c r="R51" s="362"/>
      <c r="S51" s="362"/>
      <c r="T51" s="362"/>
      <c r="U51" s="362"/>
      <c r="V51" s="362"/>
      <c r="AH51" s="204" t="s">
        <v>325</v>
      </c>
    </row>
    <row r="52" spans="1:34" s="6" customFormat="1" ht="15" customHeight="1" x14ac:dyDescent="0.25">
      <c r="D52" s="26" t="s">
        <v>28</v>
      </c>
      <c r="E52" s="47"/>
      <c r="F52" s="47"/>
      <c r="G52" s="47"/>
      <c r="H52" s="47"/>
      <c r="I52" s="47"/>
      <c r="J52" s="47"/>
      <c r="K52" s="47"/>
      <c r="L52" s="5"/>
      <c r="P52" s="362"/>
      <c r="Q52" s="362"/>
      <c r="R52" s="362"/>
      <c r="S52" s="362"/>
      <c r="T52" s="362"/>
      <c r="U52" s="362"/>
      <c r="V52" s="362"/>
      <c r="AH52" s="204" t="s">
        <v>280</v>
      </c>
    </row>
    <row r="53" spans="1:34" s="6" customFormat="1" ht="15" customHeight="1" x14ac:dyDescent="0.25">
      <c r="D53" s="5"/>
      <c r="E53" s="48"/>
      <c r="F53" s="48"/>
      <c r="G53" s="48"/>
      <c r="H53" s="48"/>
      <c r="I53" s="48"/>
      <c r="J53" s="48"/>
      <c r="K53" s="48"/>
      <c r="L53" s="5"/>
      <c r="P53" s="363" t="str">
        <f>UPPER(E50)</f>
        <v>MARIHOT GUSTAFA S.</v>
      </c>
      <c r="Q53" s="362"/>
      <c r="R53" s="362"/>
      <c r="S53" s="362"/>
      <c r="T53" s="363" t="str">
        <f>IF(Schedule!F$8="","",UPPER(Schedule!F$8))</f>
        <v>BUDI WIDHARTONO</v>
      </c>
      <c r="U53" s="362"/>
      <c r="V53" s="362"/>
      <c r="AH53" s="204" t="s">
        <v>316</v>
      </c>
    </row>
    <row r="54" spans="1:34" s="6" customFormat="1" ht="15" customHeight="1" x14ac:dyDescent="0.25">
      <c r="E54" s="48"/>
      <c r="F54" s="48"/>
      <c r="G54" s="48"/>
      <c r="H54" s="48"/>
      <c r="I54" s="48"/>
      <c r="J54" s="48"/>
      <c r="K54" s="48"/>
      <c r="P54" s="361" t="s">
        <v>107</v>
      </c>
      <c r="Q54" s="362"/>
      <c r="R54" s="362"/>
      <c r="S54" s="362"/>
      <c r="T54" s="361" t="s">
        <v>294</v>
      </c>
      <c r="U54" s="362"/>
      <c r="V54" s="362"/>
      <c r="AH54" s="204" t="s">
        <v>326</v>
      </c>
    </row>
    <row r="55" spans="1:34" s="6" customFormat="1" ht="15" customHeight="1" x14ac:dyDescent="0.25">
      <c r="P55" s="364" t="str">
        <f>CONCATENATE("Date : ",TEXT(K12,"[$-409]d mmm yyyy;@"))</f>
        <v>Date : 4 Jun 2025</v>
      </c>
      <c r="Q55" s="362"/>
      <c r="R55" s="364"/>
      <c r="S55" s="362"/>
      <c r="T55" s="364" t="str">
        <f>CONCATENATE("Date : ",TEXT(K12,"[$-409]d mmm yyyy;@"))</f>
        <v>Date : 4 Jun 2025</v>
      </c>
      <c r="U55" s="362"/>
      <c r="V55" s="362"/>
      <c r="AH55" s="204" t="s">
        <v>327</v>
      </c>
    </row>
    <row r="56" spans="1:34" ht="15" customHeight="1" x14ac:dyDescent="0.25">
      <c r="AH56" s="204" t="s">
        <v>281</v>
      </c>
    </row>
    <row r="57" spans="1:34" ht="15" customHeight="1" x14ac:dyDescent="0.25">
      <c r="AH57" s="204" t="s">
        <v>277</v>
      </c>
    </row>
    <row r="58" spans="1:34" ht="15" customHeight="1" x14ac:dyDescent="0.25">
      <c r="AH58" s="204" t="s">
        <v>328</v>
      </c>
    </row>
    <row r="59" spans="1:34" ht="15" customHeight="1" x14ac:dyDescent="0.25">
      <c r="AH59" s="204" t="s">
        <v>329</v>
      </c>
    </row>
    <row r="60" spans="1:34" ht="15" customHeight="1" x14ac:dyDescent="0.25">
      <c r="AH60" s="204" t="s">
        <v>330</v>
      </c>
    </row>
    <row r="61" spans="1:34" ht="15" customHeight="1" x14ac:dyDescent="0.25">
      <c r="AH61" s="204" t="s">
        <v>331</v>
      </c>
    </row>
    <row r="62" spans="1:34" ht="15" customHeight="1" x14ac:dyDescent="0.25">
      <c r="AH62" s="204" t="s">
        <v>332</v>
      </c>
    </row>
    <row r="63" spans="1:34" ht="15" customHeight="1" x14ac:dyDescent="0.25">
      <c r="AH63" s="204" t="s">
        <v>315</v>
      </c>
    </row>
    <row r="64" spans="1:34" ht="15" customHeight="1" x14ac:dyDescent="0.25">
      <c r="AH64" s="204" t="s">
        <v>333</v>
      </c>
    </row>
    <row r="65" spans="34:34" ht="15" customHeight="1" x14ac:dyDescent="0.25">
      <c r="AH65" s="204" t="s">
        <v>310</v>
      </c>
    </row>
    <row r="66" spans="34:34" ht="15" customHeight="1" x14ac:dyDescent="0.25">
      <c r="AH66" s="204" t="s">
        <v>334</v>
      </c>
    </row>
    <row r="67" spans="34:34" ht="15" customHeight="1" x14ac:dyDescent="0.25">
      <c r="AH67" s="204" t="s">
        <v>335</v>
      </c>
    </row>
    <row r="68" spans="34:34" ht="15" customHeight="1" x14ac:dyDescent="0.25">
      <c r="AH68" s="204" t="s">
        <v>336</v>
      </c>
    </row>
    <row r="69" spans="34:34" ht="15" customHeight="1" x14ac:dyDescent="0.25">
      <c r="AH69" s="204" t="s">
        <v>337</v>
      </c>
    </row>
    <row r="70" spans="34:34" ht="15" customHeight="1" x14ac:dyDescent="0.25">
      <c r="AH70" s="204" t="s">
        <v>338</v>
      </c>
    </row>
    <row r="71" spans="34:34" ht="15" customHeight="1" x14ac:dyDescent="0.25">
      <c r="AH71" s="204" t="s">
        <v>339</v>
      </c>
    </row>
    <row r="72" spans="34:34" ht="15" customHeight="1" x14ac:dyDescent="0.25">
      <c r="AH72" s="204" t="s">
        <v>340</v>
      </c>
    </row>
    <row r="85" spans="34:34" ht="0" hidden="1" customHeight="1" x14ac:dyDescent="0.25">
      <c r="AH85" s="6"/>
    </row>
    <row r="86" spans="34:34" ht="0" hidden="1" customHeight="1" x14ac:dyDescent="0.25">
      <c r="AH86" s="6"/>
    </row>
    <row r="87" spans="34:34" ht="0" hidden="1" customHeight="1" x14ac:dyDescent="0.25">
      <c r="AH87" s="6"/>
    </row>
    <row r="88" spans="34:34" ht="0" hidden="1" customHeight="1" x14ac:dyDescent="0.25">
      <c r="AH88" s="6"/>
    </row>
    <row r="89" spans="34:34" ht="0" hidden="1" customHeight="1" x14ac:dyDescent="0.25">
      <c r="AH89" s="6"/>
    </row>
    <row r="90" spans="34:34" ht="0" hidden="1" customHeight="1" x14ac:dyDescent="0.25">
      <c r="AH90" s="6"/>
    </row>
    <row r="91" spans="34:34" ht="0" hidden="1" customHeight="1" x14ac:dyDescent="0.25">
      <c r="AH91" s="6"/>
    </row>
    <row r="92" spans="34:34" ht="0" hidden="1" customHeight="1" x14ac:dyDescent="0.25">
      <c r="AH92" s="6"/>
    </row>
    <row r="93" spans="34:34" ht="0" hidden="1" customHeight="1" x14ac:dyDescent="0.25">
      <c r="AH93" s="6"/>
    </row>
    <row r="94" spans="34:34" ht="0" hidden="1" customHeight="1" x14ac:dyDescent="0.25">
      <c r="AH94" s="6"/>
    </row>
  </sheetData>
  <sheetProtection algorithmName="SHA-512" hashValue="A71Pl7fjmonVve/AdiJsNHXLIlRGycDbt7/j5PFVfgqmYgvQBRj6PL+GxXfm9lTORxkcJsKRgl7g8/hSxLWXuw==" saltValue="4cb4Z32roln5PbcAcqS8gw==" spinCount="100000" sheet="1" objects="1" scenarios="1" formatColumns="0" formatRows="0" insertColumns="0" insertRows="0" sort="0" autoFilter="0" pivotTables="0"/>
  <mergeCells count="69">
    <mergeCell ref="S37:V37"/>
    <mergeCell ref="S38:V38"/>
    <mergeCell ref="S39:V39"/>
    <mergeCell ref="S40:V40"/>
    <mergeCell ref="S41:V42"/>
    <mergeCell ref="S36:V36"/>
    <mergeCell ref="S25:V25"/>
    <mergeCell ref="S26:V26"/>
    <mergeCell ref="S27:V27"/>
    <mergeCell ref="S28:V28"/>
    <mergeCell ref="S29:V29"/>
    <mergeCell ref="S30:V30"/>
    <mergeCell ref="S31:V31"/>
    <mergeCell ref="S32:V32"/>
    <mergeCell ref="S33:V33"/>
    <mergeCell ref="S34:V34"/>
    <mergeCell ref="S35:V35"/>
    <mergeCell ref="S19:V19"/>
    <mergeCell ref="S20:V20"/>
    <mergeCell ref="S21:V21"/>
    <mergeCell ref="S22:V22"/>
    <mergeCell ref="S23:V23"/>
    <mergeCell ref="S24:V24"/>
    <mergeCell ref="BA14:BA15"/>
    <mergeCell ref="BB14:BB15"/>
    <mergeCell ref="BC14:BC15"/>
    <mergeCell ref="S16:V16"/>
    <mergeCell ref="S17:V17"/>
    <mergeCell ref="S18:V18"/>
    <mergeCell ref="AU14:AU15"/>
    <mergeCell ref="AV14:AV15"/>
    <mergeCell ref="AW14:AW15"/>
    <mergeCell ref="AX14:AX15"/>
    <mergeCell ref="AY14:AY15"/>
    <mergeCell ref="AZ14:AZ15"/>
    <mergeCell ref="AO14:AO15"/>
    <mergeCell ref="AP14:AP15"/>
    <mergeCell ref="AQ14:AQ15"/>
    <mergeCell ref="AR14:AR15"/>
    <mergeCell ref="AS14:AS15"/>
    <mergeCell ref="AT14:AT15"/>
    <mergeCell ref="AD14:AD15"/>
    <mergeCell ref="AJ14:AJ15"/>
    <mergeCell ref="AK14:AK15"/>
    <mergeCell ref="AL14:AL15"/>
    <mergeCell ref="AM14:AM15"/>
    <mergeCell ref="AN14:AN15"/>
    <mergeCell ref="Y14:AC14"/>
    <mergeCell ref="H13:H14"/>
    <mergeCell ref="I13:I14"/>
    <mergeCell ref="J13:J14"/>
    <mergeCell ref="K13:K14"/>
    <mergeCell ref="L13:L14"/>
    <mergeCell ref="M13:N13"/>
    <mergeCell ref="Q13:Q14"/>
    <mergeCell ref="R13:R14"/>
    <mergeCell ref="S13:V15"/>
    <mergeCell ref="O13:O14"/>
    <mergeCell ref="P13:P14"/>
    <mergeCell ref="A10:V10"/>
    <mergeCell ref="A11:V11"/>
    <mergeCell ref="K12:L12"/>
    <mergeCell ref="A13:A15"/>
    <mergeCell ref="B13:B14"/>
    <mergeCell ref="C13:C14"/>
    <mergeCell ref="D13:D14"/>
    <mergeCell ref="E13:E14"/>
    <mergeCell ref="F13:F14"/>
    <mergeCell ref="G13:G14"/>
  </mergeCells>
  <conditionalFormatting sqref="I47">
    <cfRule type="cellIs" dxfId="137" priority="5" operator="lessThan">
      <formula>0</formula>
    </cfRule>
  </conditionalFormatting>
  <conditionalFormatting sqref="Y16:Y39">
    <cfRule type="containsText" dxfId="136" priority="3" operator="containsText" text="STBY">
      <formula>NOT(ISERROR(SEARCH("STBY",Y16)))</formula>
    </cfRule>
    <cfRule type="containsText" dxfId="135" priority="4" operator="containsText" text="SD">
      <formula>NOT(ISERROR(SEARCH("SD",Y16)))</formula>
    </cfRule>
  </conditionalFormatting>
  <conditionalFormatting sqref="B16:B39 D16:R39">
    <cfRule type="expression" dxfId="134" priority="2">
      <formula>ISTEXT(B16)</formula>
    </cfRule>
  </conditionalFormatting>
  <conditionalFormatting sqref="C16:C39">
    <cfRule type="expression" dxfId="133" priority="1">
      <formula>ISTEXT(C16)</formula>
    </cfRule>
  </conditionalFormatting>
  <dataValidations count="2">
    <dataValidation type="list" allowBlank="1" showInputMessage="1" showErrorMessage="1" sqref="Y16:Y39" xr:uid="{6F5E71DB-745E-4A0A-878E-BF9E88D434A1}">
      <formula1>"SD,STBY"</formula1>
    </dataValidation>
    <dataValidation type="list" allowBlank="1" showInputMessage="1" sqref="AD16:AD39" xr:uid="{B74677B9-9136-463B-B943-E561D9E8B855}">
      <formula1>$AH$15:$AH$72</formula1>
    </dataValidation>
  </dataValidations>
  <printOptions horizontalCentered="1"/>
  <pageMargins left="0.39370078740157483" right="0.39370078740157483" top="0.59055118110236227" bottom="0.39370078740157483" header="0.31496062992125984" footer="0.31496062992125984"/>
  <pageSetup paperSize="9" scale="57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83148-4512-404B-96C8-E053E6709DC9}">
  <sheetPr codeName="N05">
    <pageSetUpPr fitToPage="1"/>
  </sheetPr>
  <dimension ref="A1:BC94"/>
  <sheetViews>
    <sheetView topLeftCell="A16" zoomScale="85" zoomScaleNormal="85" workbookViewId="0">
      <selection activeCell="N18" sqref="N18"/>
    </sheetView>
  </sheetViews>
  <sheetFormatPr defaultColWidth="0" defaultRowHeight="0" customHeight="1" zeroHeight="1" x14ac:dyDescent="0.25"/>
  <cols>
    <col min="1" max="1" width="10.7109375" style="7" customWidth="1"/>
    <col min="2" max="3" width="10.7109375" style="7" hidden="1" customWidth="1"/>
    <col min="4" max="14" width="10.7109375" style="7" customWidth="1"/>
    <col min="15" max="17" width="11.7109375" style="7" customWidth="1"/>
    <col min="18" max="18" width="10.7109375" style="7" hidden="1" customWidth="1"/>
    <col min="19" max="22" width="10.7109375" style="7" customWidth="1"/>
    <col min="23" max="23" width="2.7109375" style="7" customWidth="1"/>
    <col min="24" max="29" width="10.7109375" style="7" customWidth="1"/>
    <col min="30" max="30" width="30.7109375" style="7" customWidth="1"/>
    <col min="31" max="33" width="11.7109375" style="7" customWidth="1"/>
    <col min="34" max="34" width="30.7109375" style="7" customWidth="1"/>
    <col min="35" max="35" width="2.7109375" style="7" hidden="1" customWidth="1"/>
    <col min="36" max="55" width="11.7109375" style="7" hidden="1" customWidth="1"/>
    <col min="56" max="16384" width="9.140625" style="7" hidden="1"/>
  </cols>
  <sheetData>
    <row r="1" spans="1:55" ht="15" customHeight="1" x14ac:dyDescent="0.25">
      <c r="A1" s="7" t="s">
        <v>16</v>
      </c>
      <c r="D1" s="11" t="s">
        <v>85</v>
      </c>
      <c r="J1" s="7" t="str">
        <f>IF(MR!U13="Yes","PRINT","No")</f>
        <v>PRINT</v>
      </c>
      <c r="M1" s="191"/>
      <c r="N1" s="191"/>
    </row>
    <row r="2" spans="1:55" ht="15" customHeight="1" thickBot="1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192"/>
      <c r="M2" s="4"/>
      <c r="N2" s="4"/>
      <c r="O2" s="4"/>
      <c r="P2" s="4"/>
      <c r="Q2" s="4"/>
      <c r="R2" s="4"/>
      <c r="S2" s="8"/>
      <c r="T2" s="8"/>
      <c r="U2" s="8"/>
      <c r="V2" s="8"/>
      <c r="X2" s="8"/>
      <c r="Y2" s="8"/>
      <c r="Z2" s="8"/>
      <c r="AA2" s="8"/>
      <c r="AB2" s="8"/>
      <c r="AC2" s="8"/>
      <c r="AD2" s="8"/>
      <c r="AE2" s="8"/>
    </row>
    <row r="3" spans="1:55" ht="15" customHeight="1" x14ac:dyDescent="0.2">
      <c r="A3" s="31"/>
      <c r="B3" s="28"/>
      <c r="C3" s="28"/>
      <c r="D3" s="28"/>
      <c r="E3" s="28"/>
      <c r="F3" s="13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2"/>
      <c r="T3" s="22"/>
      <c r="U3" s="22"/>
      <c r="V3" s="23"/>
      <c r="X3" s="8"/>
      <c r="Y3" s="8"/>
      <c r="Z3" s="8"/>
      <c r="AA3" s="8"/>
      <c r="AB3" s="8"/>
      <c r="AC3" s="8"/>
      <c r="AD3" s="8"/>
      <c r="AE3" s="8"/>
    </row>
    <row r="4" spans="1:55" ht="30" customHeight="1" x14ac:dyDescent="0.25">
      <c r="A4" s="30"/>
      <c r="B4" s="1"/>
      <c r="C4" s="1"/>
      <c r="D4" s="1"/>
      <c r="E4" s="3"/>
      <c r="F4" s="63" t="s">
        <v>210</v>
      </c>
      <c r="G4" s="1"/>
      <c r="H4" s="1"/>
      <c r="I4" s="3"/>
      <c r="J4" s="3"/>
      <c r="K4" s="3"/>
      <c r="L4" s="3"/>
      <c r="M4" s="3"/>
      <c r="N4" s="3"/>
      <c r="O4" s="3"/>
      <c r="P4" s="3"/>
      <c r="Q4" s="3"/>
      <c r="R4" s="3"/>
      <c r="S4" s="1"/>
      <c r="T4" s="1"/>
      <c r="U4" s="1"/>
      <c r="V4" s="2"/>
      <c r="X4" s="5"/>
      <c r="Y4" s="5"/>
      <c r="Z4" s="5"/>
      <c r="AA4" s="5"/>
      <c r="AB4" s="5"/>
      <c r="AC4" s="5"/>
      <c r="AD4" s="5"/>
      <c r="AE4" s="5"/>
    </row>
    <row r="5" spans="1:55" ht="15" customHeight="1" x14ac:dyDescent="0.2">
      <c r="A5" s="32"/>
      <c r="B5" s="33"/>
      <c r="C5" s="33"/>
      <c r="D5" s="12"/>
      <c r="E5" s="3"/>
      <c r="F5" s="10" t="s">
        <v>129</v>
      </c>
      <c r="G5" s="1"/>
      <c r="H5" s="1"/>
      <c r="I5" s="3"/>
      <c r="J5" s="3"/>
      <c r="K5" s="3"/>
      <c r="L5" s="3"/>
      <c r="M5" s="3"/>
      <c r="N5" s="3"/>
      <c r="O5" s="3"/>
      <c r="P5" s="3"/>
      <c r="Q5" s="3"/>
      <c r="R5" s="3"/>
      <c r="S5" s="12"/>
      <c r="T5" s="12"/>
      <c r="U5" s="12"/>
      <c r="V5" s="14"/>
      <c r="X5" s="8"/>
      <c r="Y5" s="8"/>
      <c r="Z5" s="8"/>
      <c r="AA5" s="8"/>
      <c r="AB5" s="8"/>
      <c r="AC5" s="8"/>
      <c r="AD5" s="8"/>
      <c r="AE5" s="8"/>
      <c r="AJ5" s="193" t="s">
        <v>184</v>
      </c>
      <c r="AK5" s="194">
        <f>'V Calc'!B1</f>
        <v>500</v>
      </c>
      <c r="AL5" s="124"/>
    </row>
    <row r="6" spans="1:55" ht="15" customHeight="1" x14ac:dyDescent="0.2">
      <c r="A6" s="32"/>
      <c r="B6" s="33"/>
      <c r="C6" s="33"/>
      <c r="D6" s="12"/>
      <c r="E6" s="3"/>
      <c r="F6" s="10" t="s">
        <v>132</v>
      </c>
      <c r="G6" s="1"/>
      <c r="H6" s="1"/>
      <c r="I6" s="3"/>
      <c r="J6" s="3"/>
      <c r="K6" s="3"/>
      <c r="L6" s="3"/>
      <c r="M6" s="3"/>
      <c r="N6" s="3"/>
      <c r="O6" s="3"/>
      <c r="P6" s="3"/>
      <c r="Q6" s="3"/>
      <c r="R6" s="3"/>
      <c r="S6" s="12"/>
      <c r="T6" s="12"/>
      <c r="U6" s="12"/>
      <c r="V6" s="14"/>
      <c r="X6" s="8"/>
      <c r="Y6" s="8"/>
      <c r="Z6" s="8"/>
      <c r="AA6" s="8"/>
      <c r="AB6" s="8"/>
      <c r="AC6" s="8"/>
      <c r="AD6" s="8"/>
      <c r="AE6" s="8"/>
      <c r="AJ6" s="193" t="s">
        <v>185</v>
      </c>
      <c r="AK6" s="194">
        <f>'V Calc'!B2</f>
        <v>100</v>
      </c>
      <c r="AL6" s="124"/>
    </row>
    <row r="7" spans="1:55" ht="15" customHeight="1" x14ac:dyDescent="0.2">
      <c r="A7" s="32"/>
      <c r="B7" s="33"/>
      <c r="C7" s="33"/>
      <c r="D7" s="12"/>
      <c r="E7" s="3"/>
      <c r="F7" s="10" t="s">
        <v>130</v>
      </c>
      <c r="G7" s="1"/>
      <c r="H7" s="1"/>
      <c r="I7" s="3"/>
      <c r="J7" s="3"/>
      <c r="K7" s="3"/>
      <c r="L7" s="3"/>
      <c r="M7" s="3"/>
      <c r="N7" s="3"/>
      <c r="O7" s="3"/>
      <c r="P7" s="3"/>
      <c r="Q7" s="3"/>
      <c r="R7" s="3"/>
      <c r="S7" s="12"/>
      <c r="T7" s="12"/>
      <c r="U7" s="12"/>
      <c r="V7" s="14"/>
      <c r="X7" s="8"/>
      <c r="Y7" s="8"/>
      <c r="Z7" s="8"/>
      <c r="AA7" s="8"/>
      <c r="AB7" s="8"/>
      <c r="AC7" s="8"/>
      <c r="AD7" s="8"/>
      <c r="AE7" s="8"/>
      <c r="AJ7" s="193" t="s">
        <v>186</v>
      </c>
      <c r="AK7" s="195">
        <f>'V Calc'!B3</f>
        <v>2</v>
      </c>
      <c r="AL7" s="124"/>
    </row>
    <row r="8" spans="1:55" ht="15" customHeight="1" x14ac:dyDescent="0.2">
      <c r="A8" s="32"/>
      <c r="B8" s="33"/>
      <c r="C8" s="33"/>
      <c r="D8" s="12"/>
      <c r="E8" s="3"/>
      <c r="F8" s="10" t="s">
        <v>131</v>
      </c>
      <c r="G8" s="62"/>
      <c r="H8" s="62"/>
      <c r="I8" s="3"/>
      <c r="J8" s="3"/>
      <c r="K8" s="3"/>
      <c r="L8" s="3"/>
      <c r="M8" s="3"/>
      <c r="N8" s="3"/>
      <c r="O8" s="3"/>
      <c r="P8" s="3"/>
      <c r="Q8" s="3"/>
      <c r="R8" s="3"/>
      <c r="S8" s="12"/>
      <c r="T8" s="12"/>
      <c r="U8" s="12"/>
      <c r="V8" s="14"/>
      <c r="X8" s="8"/>
      <c r="Y8" s="8"/>
      <c r="Z8" s="8"/>
      <c r="AA8" s="8"/>
      <c r="AB8" s="8"/>
      <c r="AC8" s="8"/>
      <c r="AD8" s="8"/>
      <c r="AE8" s="8"/>
      <c r="AJ8" s="193" t="s">
        <v>187</v>
      </c>
      <c r="AK8" s="195">
        <f>'V Calc'!B4</f>
        <v>0.875</v>
      </c>
      <c r="AL8" s="124"/>
    </row>
    <row r="9" spans="1:55" ht="15" customHeight="1" thickBot="1" x14ac:dyDescent="0.25">
      <c r="A9" s="34"/>
      <c r="B9" s="29"/>
      <c r="C9" s="29"/>
      <c r="D9" s="29"/>
      <c r="E9" s="29"/>
      <c r="F9" s="15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16"/>
      <c r="T9" s="16"/>
      <c r="U9" s="16"/>
      <c r="V9" s="17"/>
      <c r="X9" s="8"/>
      <c r="Y9" s="8"/>
      <c r="Z9" s="8"/>
      <c r="AA9" s="8"/>
      <c r="AB9" s="8"/>
      <c r="AC9" s="8"/>
      <c r="AD9" s="8"/>
      <c r="AE9" s="8"/>
      <c r="AJ9" s="196" t="s">
        <v>188</v>
      </c>
      <c r="AK9" s="197">
        <f>'V Calc'!B5</f>
        <v>158.47</v>
      </c>
      <c r="AL9" s="198"/>
    </row>
    <row r="10" spans="1:55" s="9" customFormat="1" ht="30" customHeight="1" x14ac:dyDescent="0.2">
      <c r="A10" s="513" t="s">
        <v>20</v>
      </c>
      <c r="B10" s="514"/>
      <c r="C10" s="514"/>
      <c r="D10" s="514"/>
      <c r="E10" s="514"/>
      <c r="F10" s="514"/>
      <c r="G10" s="514"/>
      <c r="H10" s="514"/>
      <c r="I10" s="514"/>
      <c r="J10" s="514"/>
      <c r="K10" s="514"/>
      <c r="L10" s="514"/>
      <c r="M10" s="514"/>
      <c r="N10" s="514"/>
      <c r="O10" s="514"/>
      <c r="P10" s="514"/>
      <c r="Q10" s="514"/>
      <c r="R10" s="514"/>
      <c r="S10" s="514"/>
      <c r="T10" s="514"/>
      <c r="U10" s="514"/>
      <c r="V10" s="515"/>
      <c r="X10" s="96"/>
      <c r="Y10" s="96"/>
      <c r="Z10" s="96"/>
      <c r="AA10" s="96"/>
      <c r="AB10" s="96"/>
      <c r="AC10" s="96"/>
      <c r="AJ10" s="193" t="s">
        <v>189</v>
      </c>
      <c r="AK10" s="199">
        <f>'V Calc'!B6</f>
        <v>0.63607464142166403</v>
      </c>
      <c r="AL10" s="198" t="s">
        <v>190</v>
      </c>
    </row>
    <row r="11" spans="1:55" s="9" customFormat="1" ht="20.100000000000001" customHeight="1" thickBot="1" x14ac:dyDescent="0.25">
      <c r="A11" s="516" t="s">
        <v>21</v>
      </c>
      <c r="B11" s="517"/>
      <c r="C11" s="517"/>
      <c r="D11" s="517"/>
      <c r="E11" s="517"/>
      <c r="F11" s="517"/>
      <c r="G11" s="517"/>
      <c r="H11" s="517"/>
      <c r="I11" s="517"/>
      <c r="J11" s="517"/>
      <c r="K11" s="517"/>
      <c r="L11" s="517"/>
      <c r="M11" s="517"/>
      <c r="N11" s="517"/>
      <c r="O11" s="517"/>
      <c r="P11" s="517"/>
      <c r="Q11" s="517"/>
      <c r="R11" s="517"/>
      <c r="S11" s="517"/>
      <c r="T11" s="517"/>
      <c r="U11" s="517"/>
      <c r="V11" s="518"/>
      <c r="X11" s="97"/>
      <c r="Y11" s="97"/>
      <c r="Z11" s="97"/>
      <c r="AA11" s="97"/>
      <c r="AB11" s="97"/>
      <c r="AC11" s="97"/>
    </row>
    <row r="12" spans="1:55" s="6" customFormat="1" ht="30" customHeight="1" thickBot="1" x14ac:dyDescent="0.3">
      <c r="A12" s="18"/>
      <c r="B12" s="20"/>
      <c r="C12" s="20"/>
      <c r="D12" s="19" t="s">
        <v>121</v>
      </c>
      <c r="E12" s="200" t="str">
        <f>'Day 4'!E12</f>
        <v>MPR 632  RFD</v>
      </c>
      <c r="F12" s="35"/>
      <c r="G12" s="19" t="s">
        <v>120</v>
      </c>
      <c r="H12" s="200" t="str">
        <f>IF(Volume!C$8="","",Volume!C$8)</f>
        <v>FP 65354</v>
      </c>
      <c r="I12" s="20"/>
      <c r="J12" s="19" t="s">
        <v>17</v>
      </c>
      <c r="K12" s="505">
        <f>'Day 4'!K12+1</f>
        <v>45813</v>
      </c>
      <c r="L12" s="505"/>
      <c r="M12" s="100"/>
      <c r="N12" s="19" t="s">
        <v>119</v>
      </c>
      <c r="O12" s="200" t="str">
        <f>IF(Volume!D$8="","",Volume!D$8)</f>
        <v>SP. Tambun - Cluster F</v>
      </c>
      <c r="P12" s="20"/>
      <c r="Q12" s="19" t="s">
        <v>122</v>
      </c>
      <c r="S12" s="201">
        <f>IF(Volume!E$8="","",Volume!E$8)</f>
        <v>1.25</v>
      </c>
      <c r="T12" s="20"/>
      <c r="U12" s="19" t="s">
        <v>126</v>
      </c>
      <c r="V12" s="202" t="str">
        <f>IF(Volume!F$8="","",Volume!F$8)</f>
        <v>4/0</v>
      </c>
    </row>
    <row r="13" spans="1:55" ht="30" customHeight="1" thickBot="1" x14ac:dyDescent="0.3">
      <c r="A13" s="502" t="s">
        <v>0</v>
      </c>
      <c r="B13" s="502" t="s">
        <v>213</v>
      </c>
      <c r="C13" s="502" t="s">
        <v>212</v>
      </c>
      <c r="D13" s="502" t="s">
        <v>31</v>
      </c>
      <c r="E13" s="502" t="s">
        <v>32</v>
      </c>
      <c r="F13" s="502" t="s">
        <v>2</v>
      </c>
      <c r="G13" s="502" t="s">
        <v>33</v>
      </c>
      <c r="H13" s="502" t="s">
        <v>35</v>
      </c>
      <c r="I13" s="502" t="s">
        <v>36</v>
      </c>
      <c r="J13" s="502" t="s">
        <v>110</v>
      </c>
      <c r="K13" s="502" t="s">
        <v>15</v>
      </c>
      <c r="L13" s="502" t="s">
        <v>34</v>
      </c>
      <c r="M13" s="502" t="s">
        <v>10</v>
      </c>
      <c r="N13" s="502"/>
      <c r="O13" s="506" t="s">
        <v>300</v>
      </c>
      <c r="P13" s="506" t="s">
        <v>299</v>
      </c>
      <c r="Q13" s="502" t="s">
        <v>7</v>
      </c>
      <c r="R13" s="502" t="s">
        <v>88</v>
      </c>
      <c r="S13" s="502" t="s">
        <v>8</v>
      </c>
      <c r="T13" s="502"/>
      <c r="U13" s="502"/>
      <c r="V13" s="502"/>
      <c r="X13" s="98"/>
      <c r="Y13" s="98"/>
      <c r="Z13" s="98"/>
      <c r="AA13" s="98"/>
      <c r="AB13" s="98"/>
      <c r="AC13" s="98"/>
    </row>
    <row r="14" spans="1:55" ht="30" customHeight="1" x14ac:dyDescent="0.25">
      <c r="A14" s="504"/>
      <c r="B14" s="504"/>
      <c r="C14" s="504"/>
      <c r="D14" s="504"/>
      <c r="E14" s="504"/>
      <c r="F14" s="504"/>
      <c r="G14" s="504"/>
      <c r="H14" s="504"/>
      <c r="I14" s="504"/>
      <c r="J14" s="504"/>
      <c r="K14" s="504"/>
      <c r="L14" s="504"/>
      <c r="M14" s="94" t="s">
        <v>3</v>
      </c>
      <c r="N14" s="94" t="s">
        <v>4</v>
      </c>
      <c r="O14" s="507"/>
      <c r="P14" s="507"/>
      <c r="Q14" s="504"/>
      <c r="R14" s="504"/>
      <c r="S14" s="504"/>
      <c r="T14" s="504"/>
      <c r="U14" s="504"/>
      <c r="V14" s="504"/>
      <c r="Y14" s="502" t="s">
        <v>230</v>
      </c>
      <c r="Z14" s="502"/>
      <c r="AA14" s="502"/>
      <c r="AB14" s="502"/>
      <c r="AC14" s="502"/>
      <c r="AD14" s="502" t="s">
        <v>231</v>
      </c>
      <c r="AH14" s="203" t="s">
        <v>232</v>
      </c>
      <c r="AJ14" s="520" t="s">
        <v>191</v>
      </c>
      <c r="AK14" s="520" t="s">
        <v>192</v>
      </c>
      <c r="AL14" s="520" t="s">
        <v>193</v>
      </c>
      <c r="AM14" s="520" t="s">
        <v>194</v>
      </c>
      <c r="AN14" s="520" t="s">
        <v>195</v>
      </c>
      <c r="AO14" s="506" t="s">
        <v>196</v>
      </c>
      <c r="AP14" s="506" t="s">
        <v>197</v>
      </c>
      <c r="AQ14" s="506" t="s">
        <v>198</v>
      </c>
      <c r="AR14" s="506" t="s">
        <v>188</v>
      </c>
      <c r="AS14" s="506" t="s">
        <v>199</v>
      </c>
      <c r="AT14" s="506" t="s">
        <v>200</v>
      </c>
      <c r="AU14" s="506" t="s">
        <v>201</v>
      </c>
      <c r="AV14" s="506" t="s">
        <v>202</v>
      </c>
      <c r="AW14" s="506" t="s">
        <v>203</v>
      </c>
      <c r="AX14" s="506" t="s">
        <v>204</v>
      </c>
      <c r="AY14" s="523" t="s">
        <v>205</v>
      </c>
      <c r="AZ14" s="523" t="s">
        <v>206</v>
      </c>
      <c r="BA14" s="523" t="s">
        <v>207</v>
      </c>
      <c r="BB14" s="523" t="s">
        <v>208</v>
      </c>
      <c r="BC14" s="506" t="s">
        <v>197</v>
      </c>
    </row>
    <row r="15" spans="1:55" ht="20.100000000000001" customHeight="1" thickBot="1" x14ac:dyDescent="0.3">
      <c r="A15" s="503"/>
      <c r="B15" s="95" t="s">
        <v>1</v>
      </c>
      <c r="C15" s="95" t="s">
        <v>1</v>
      </c>
      <c r="D15" s="95" t="s">
        <v>1</v>
      </c>
      <c r="E15" s="95" t="s">
        <v>1</v>
      </c>
      <c r="F15" s="95" t="s">
        <v>140</v>
      </c>
      <c r="G15" s="95" t="s">
        <v>1</v>
      </c>
      <c r="H15" s="95" t="s">
        <v>1</v>
      </c>
      <c r="I15" s="95" t="s">
        <v>1</v>
      </c>
      <c r="J15" s="95" t="s">
        <v>18</v>
      </c>
      <c r="K15" s="95" t="s">
        <v>9</v>
      </c>
      <c r="L15" s="95" t="s">
        <v>5</v>
      </c>
      <c r="M15" s="95" t="s">
        <v>5</v>
      </c>
      <c r="N15" s="95" t="s">
        <v>5</v>
      </c>
      <c r="O15" s="95" t="s">
        <v>1</v>
      </c>
      <c r="P15" s="95" t="s">
        <v>14</v>
      </c>
      <c r="Q15" s="95" t="str">
        <f>IF(MR!G17="MSCF","MSCFD","MMSCFD")</f>
        <v>MSCFD</v>
      </c>
      <c r="R15" s="95" t="str">
        <f>MR!L17</f>
        <v>BPD</v>
      </c>
      <c r="S15" s="503"/>
      <c r="T15" s="503"/>
      <c r="U15" s="503"/>
      <c r="V15" s="503"/>
      <c r="X15" s="365"/>
      <c r="Y15" s="95" t="s">
        <v>123</v>
      </c>
      <c r="Z15" s="95" t="s">
        <v>124</v>
      </c>
      <c r="AA15" s="95" t="s">
        <v>125</v>
      </c>
      <c r="AB15" s="95" t="s">
        <v>51</v>
      </c>
      <c r="AC15" s="95" t="s">
        <v>48</v>
      </c>
      <c r="AD15" s="503"/>
      <c r="AH15" s="204" t="s">
        <v>228</v>
      </c>
      <c r="AJ15" s="521"/>
      <c r="AK15" s="521"/>
      <c r="AL15" s="521"/>
      <c r="AM15" s="521"/>
      <c r="AN15" s="521"/>
      <c r="AO15" s="522"/>
      <c r="AP15" s="522"/>
      <c r="AQ15" s="522"/>
      <c r="AR15" s="522"/>
      <c r="AS15" s="522"/>
      <c r="AT15" s="522"/>
      <c r="AU15" s="522"/>
      <c r="AV15" s="522"/>
      <c r="AW15" s="522"/>
      <c r="AX15" s="522"/>
      <c r="AY15" s="524"/>
      <c r="AZ15" s="524"/>
      <c r="BA15" s="524"/>
      <c r="BB15" s="524"/>
      <c r="BC15" s="522"/>
    </row>
    <row r="16" spans="1:55" ht="20.100000000000001" customHeight="1" x14ac:dyDescent="0.2">
      <c r="A16" s="44">
        <v>4.1666666666666664E-2</v>
      </c>
      <c r="B16" s="450"/>
      <c r="C16" s="450"/>
      <c r="D16" s="450">
        <v>7.1</v>
      </c>
      <c r="E16" s="450">
        <v>58.4</v>
      </c>
      <c r="F16" s="40">
        <v>1947</v>
      </c>
      <c r="G16" s="37">
        <v>-5.5</v>
      </c>
      <c r="H16" s="36">
        <v>71.900000000000006</v>
      </c>
      <c r="I16" s="36">
        <v>21.8</v>
      </c>
      <c r="J16" s="40">
        <v>176</v>
      </c>
      <c r="K16" s="37">
        <v>13</v>
      </c>
      <c r="L16" s="450">
        <v>125</v>
      </c>
      <c r="M16" s="450">
        <v>220</v>
      </c>
      <c r="N16" s="451">
        <v>90</v>
      </c>
      <c r="O16" s="353">
        <v>50</v>
      </c>
      <c r="P16" s="352">
        <v>10</v>
      </c>
      <c r="Q16" s="352">
        <v>227.05</v>
      </c>
      <c r="R16" s="36"/>
      <c r="S16" s="519" t="str">
        <f t="shared" ref="S16:S32" si="0">IF(Z16="",IF(AD16="","",AD16),CONCATENATE(TEXT(Z16,"[hh]:mm"),IF(AA16="",""," - "&amp;TEXT(AA16,"[hh]:mm")),IF(Y16="",""," "&amp;Y16&amp;"/")," "&amp;AD16))</f>
        <v/>
      </c>
      <c r="T16" s="519"/>
      <c r="U16" s="519"/>
      <c r="V16" s="519"/>
      <c r="X16" s="44">
        <v>4.1666666666666664E-2</v>
      </c>
      <c r="Y16" s="105"/>
      <c r="Z16" s="101"/>
      <c r="AA16" s="101"/>
      <c r="AB16" s="44" t="str">
        <f>IF(Y16="STBY",AA16-Z16,"")</f>
        <v/>
      </c>
      <c r="AC16" s="44" t="str">
        <f t="shared" ref="AC16:AC39" si="1">IF(Y16="SD",AA16-Z16,"")</f>
        <v/>
      </c>
      <c r="AD16" s="355"/>
      <c r="AE16" s="9" t="str">
        <f>IF(S16="","",IF(COUNTA(Z16:$Z$39)=1,IF(COUNTA(AD16:$AD$39)=1,""," ; "),IF(COUNTA(AD16:$AD$39)=1,IF(Z16="",""," ; ")," ; ")))</f>
        <v/>
      </c>
      <c r="AF16" s="9" t="str">
        <f t="shared" ref="AF16:AF39" si="2">CONCATENATE(S16,AE16)</f>
        <v/>
      </c>
      <c r="AG16" s="90" t="str">
        <f t="shared" ref="AG16:AG39" si="3">IF(AND(COUNTBLANK(N16:P16)&lt;3,Q16=""),"CEK : Data Flowrate","")</f>
        <v/>
      </c>
      <c r="AH16" s="204" t="s">
        <v>229</v>
      </c>
      <c r="AJ16" s="205">
        <f>AK5</f>
        <v>500</v>
      </c>
      <c r="AK16" s="205">
        <f>AK6</f>
        <v>100</v>
      </c>
      <c r="AL16" s="206">
        <f>AK7</f>
        <v>2</v>
      </c>
      <c r="AM16" s="207">
        <f>AK8</f>
        <v>0.875</v>
      </c>
      <c r="AN16" s="208">
        <f>AK10</f>
        <v>0.63607464142166403</v>
      </c>
      <c r="AO16" s="209">
        <f t="shared" ref="AO16:AO39" si="4">T16^2*AJ16/100-14.7</f>
        <v>-14.7</v>
      </c>
      <c r="AP16" s="210">
        <f t="shared" ref="AP16:AP39" si="5">IF(AO16&lt;100,1,BC16)</f>
        <v>1</v>
      </c>
      <c r="AQ16" s="210">
        <f t="shared" ref="AQ16:AQ39" si="6">(1/AP16)^0.5</f>
        <v>1</v>
      </c>
      <c r="AR16" s="52">
        <f>AK9</f>
        <v>158.47</v>
      </c>
      <c r="AS16" s="210">
        <f t="shared" ref="AS16:AS39" si="7">(520/(460+N16))^0.5</f>
        <v>0.9723448696087954</v>
      </c>
      <c r="AT16" s="210">
        <f t="shared" ref="AT16:AT39" si="8">(1/AN16)^0.5</f>
        <v>1.2538510821608391</v>
      </c>
      <c r="AU16" s="210">
        <f t="shared" ref="AU16:AU39" si="9">0.01*(AJ16*AK16)^0.5</f>
        <v>2.2360679774997898</v>
      </c>
      <c r="AV16" s="211">
        <f t="shared" ref="AV16:AV39" si="10">0.024*AQ16*AR16*AS16*AT16*AU16</f>
        <v>10.368348541764712</v>
      </c>
      <c r="AW16" s="210">
        <f t="shared" ref="AW16:AW39" si="11">(AO16+14.7)/(697.2-43*AN16)</f>
        <v>0</v>
      </c>
      <c r="AX16" s="212">
        <f t="shared" ref="AX16:AX39" si="12">(N16+460)/(315.1*AN16+170.4)</f>
        <v>1.4831709199797398</v>
      </c>
      <c r="AY16" s="210">
        <f t="shared" ref="AY16:AY39" si="13">0.3379*LN(LN(AX16))+1.091</f>
        <v>0.77643477842613629</v>
      </c>
      <c r="AZ16" s="211">
        <f t="shared" ref="AZ16:AZ39" si="14">21.46*AY16-11.9*AY16^2-5.9</f>
        <v>3.5883638597441294</v>
      </c>
      <c r="BA16" s="210">
        <f t="shared" ref="BA16:BA39" si="15">AW16/AZ16</f>
        <v>0</v>
      </c>
      <c r="BB16" s="210">
        <f t="shared" ref="BB16:BB39" si="16">(1.1+0.26*AX16+(1.04-1.42*AX16)*BA16)*2.718^BA16/AX16</f>
        <v>1.0016542390239327</v>
      </c>
      <c r="BC16" s="210">
        <f t="shared" ref="BC16:BC39" si="17">1+(AY16-1)*SIN((90*BA16)/57.29578)^BB16</f>
        <v>1</v>
      </c>
    </row>
    <row r="17" spans="1:55" ht="20.100000000000001" customHeight="1" x14ac:dyDescent="0.2">
      <c r="A17" s="45">
        <v>8.3333333333333301E-2</v>
      </c>
      <c r="B17" s="451"/>
      <c r="C17" s="451"/>
      <c r="D17" s="451">
        <v>6.2</v>
      </c>
      <c r="E17" s="451">
        <v>56.7</v>
      </c>
      <c r="F17" s="41">
        <v>1931</v>
      </c>
      <c r="G17" s="37">
        <v>-5.5</v>
      </c>
      <c r="H17" s="37">
        <v>71.2</v>
      </c>
      <c r="I17" s="37">
        <v>21.5</v>
      </c>
      <c r="J17" s="41">
        <v>177</v>
      </c>
      <c r="K17" s="37">
        <v>13</v>
      </c>
      <c r="L17" s="451">
        <v>125</v>
      </c>
      <c r="M17" s="451">
        <v>225</v>
      </c>
      <c r="N17" s="451">
        <v>90</v>
      </c>
      <c r="O17" s="353">
        <v>50</v>
      </c>
      <c r="P17" s="353">
        <v>10</v>
      </c>
      <c r="Q17" s="353">
        <v>227.05</v>
      </c>
      <c r="R17" s="37"/>
      <c r="S17" s="508" t="str">
        <f t="shared" si="0"/>
        <v/>
      </c>
      <c r="T17" s="508"/>
      <c r="U17" s="508"/>
      <c r="V17" s="508"/>
      <c r="X17" s="45">
        <v>8.3333333333333301E-2</v>
      </c>
      <c r="Y17" s="106"/>
      <c r="Z17" s="102"/>
      <c r="AA17" s="102"/>
      <c r="AB17" s="45" t="str">
        <f t="shared" ref="AB17:AB39" si="18">IF(Y17="STBY",AA17-Z17,"")</f>
        <v/>
      </c>
      <c r="AC17" s="45" t="str">
        <f t="shared" si="1"/>
        <v/>
      </c>
      <c r="AD17" s="81"/>
      <c r="AE17" s="9" t="str">
        <f>IF(S17="","",IF(COUNTA(Z17:$Z$39)=1,IF(COUNTA(AD17:$AD$39)=1,""," ; "),IF(COUNTA(AD17:$AD$39)=1,IF(Z17="",""," ; ")," ; ")))</f>
        <v/>
      </c>
      <c r="AF17" s="9" t="str">
        <f t="shared" si="2"/>
        <v/>
      </c>
      <c r="AG17" s="90" t="str">
        <f t="shared" si="3"/>
        <v/>
      </c>
      <c r="AH17" s="204" t="s">
        <v>289</v>
      </c>
      <c r="AJ17" s="206">
        <f t="shared" ref="AJ17:AN32" si="19">AJ16</f>
        <v>500</v>
      </c>
      <c r="AK17" s="206">
        <f t="shared" si="19"/>
        <v>100</v>
      </c>
      <c r="AL17" s="206">
        <f>AL16</f>
        <v>2</v>
      </c>
      <c r="AM17" s="213">
        <f>AM16</f>
        <v>0.875</v>
      </c>
      <c r="AN17" s="214">
        <f>AN16</f>
        <v>0.63607464142166403</v>
      </c>
      <c r="AO17" s="215">
        <f t="shared" si="4"/>
        <v>-14.7</v>
      </c>
      <c r="AP17" s="216">
        <f t="shared" si="5"/>
        <v>1</v>
      </c>
      <c r="AQ17" s="216">
        <f t="shared" si="6"/>
        <v>1</v>
      </c>
      <c r="AR17" s="215">
        <f>AR16</f>
        <v>158.47</v>
      </c>
      <c r="AS17" s="216">
        <f t="shared" si="7"/>
        <v>0.9723448696087954</v>
      </c>
      <c r="AT17" s="216">
        <f t="shared" si="8"/>
        <v>1.2538510821608391</v>
      </c>
      <c r="AU17" s="216">
        <f t="shared" si="9"/>
        <v>2.2360679774997898</v>
      </c>
      <c r="AV17" s="217">
        <f t="shared" si="10"/>
        <v>10.368348541764712</v>
      </c>
      <c r="AW17" s="216">
        <f t="shared" si="11"/>
        <v>0</v>
      </c>
      <c r="AX17" s="218">
        <f t="shared" si="12"/>
        <v>1.4831709199797398</v>
      </c>
      <c r="AY17" s="216">
        <f t="shared" si="13"/>
        <v>0.77643477842613629</v>
      </c>
      <c r="AZ17" s="217">
        <f t="shared" si="14"/>
        <v>3.5883638597441294</v>
      </c>
      <c r="BA17" s="216">
        <f t="shared" si="15"/>
        <v>0</v>
      </c>
      <c r="BB17" s="216">
        <f t="shared" si="16"/>
        <v>1.0016542390239327</v>
      </c>
      <c r="BC17" s="216">
        <f t="shared" si="17"/>
        <v>1</v>
      </c>
    </row>
    <row r="18" spans="1:55" ht="20.100000000000001" customHeight="1" x14ac:dyDescent="0.2">
      <c r="A18" s="45">
        <v>0.125</v>
      </c>
      <c r="B18" s="451"/>
      <c r="C18" s="451"/>
      <c r="D18" s="451">
        <v>5.7</v>
      </c>
      <c r="E18" s="451">
        <v>54.9</v>
      </c>
      <c r="F18" s="41">
        <v>1922</v>
      </c>
      <c r="G18" s="37">
        <v>-5.5</v>
      </c>
      <c r="H18" s="37">
        <v>71.599999999999994</v>
      </c>
      <c r="I18" s="37">
        <v>21.2</v>
      </c>
      <c r="J18" s="41">
        <v>178</v>
      </c>
      <c r="K18" s="37">
        <v>13</v>
      </c>
      <c r="L18" s="451">
        <v>122</v>
      </c>
      <c r="M18" s="451">
        <v>227</v>
      </c>
      <c r="N18" s="451">
        <v>90</v>
      </c>
      <c r="O18" s="353">
        <v>50</v>
      </c>
      <c r="P18" s="353">
        <v>8</v>
      </c>
      <c r="Q18" s="353">
        <v>203.27</v>
      </c>
      <c r="R18" s="37"/>
      <c r="S18" s="508" t="str">
        <f t="shared" si="0"/>
        <v/>
      </c>
      <c r="T18" s="508"/>
      <c r="U18" s="508"/>
      <c r="V18" s="508"/>
      <c r="X18" s="45">
        <v>0.125</v>
      </c>
      <c r="Y18" s="106"/>
      <c r="Z18" s="102"/>
      <c r="AA18" s="102"/>
      <c r="AB18" s="45" t="str">
        <f t="shared" si="18"/>
        <v/>
      </c>
      <c r="AC18" s="45" t="str">
        <f t="shared" si="1"/>
        <v/>
      </c>
      <c r="AD18" s="81"/>
      <c r="AE18" s="9" t="str">
        <f>IF(S18="","",IF(COUNTA(Z18:$Z$39)=1,IF(COUNTA(AD18:$AD$39)=1,""," ; "),IF(COUNTA(AD18:$AD$39)=1,IF(Z18="",""," ; ")," ; ")))</f>
        <v/>
      </c>
      <c r="AF18" s="9" t="str">
        <f t="shared" si="2"/>
        <v/>
      </c>
      <c r="AG18" s="90" t="str">
        <f t="shared" si="3"/>
        <v/>
      </c>
      <c r="AH18" s="204" t="s">
        <v>321</v>
      </c>
      <c r="AJ18" s="206">
        <f t="shared" si="19"/>
        <v>500</v>
      </c>
      <c r="AK18" s="206">
        <f t="shared" si="19"/>
        <v>100</v>
      </c>
      <c r="AL18" s="206">
        <f t="shared" si="19"/>
        <v>2</v>
      </c>
      <c r="AM18" s="213">
        <f t="shared" si="19"/>
        <v>0.875</v>
      </c>
      <c r="AN18" s="214">
        <f t="shared" si="19"/>
        <v>0.63607464142166403</v>
      </c>
      <c r="AO18" s="215">
        <f t="shared" si="4"/>
        <v>-14.7</v>
      </c>
      <c r="AP18" s="216">
        <f t="shared" si="5"/>
        <v>1</v>
      </c>
      <c r="AQ18" s="216">
        <f t="shared" si="6"/>
        <v>1</v>
      </c>
      <c r="AR18" s="215">
        <f t="shared" ref="AR18:AR39" si="20">AR17</f>
        <v>158.47</v>
      </c>
      <c r="AS18" s="216">
        <f t="shared" si="7"/>
        <v>0.9723448696087954</v>
      </c>
      <c r="AT18" s="216">
        <f t="shared" si="8"/>
        <v>1.2538510821608391</v>
      </c>
      <c r="AU18" s="216">
        <f t="shared" si="9"/>
        <v>2.2360679774997898</v>
      </c>
      <c r="AV18" s="217">
        <f t="shared" si="10"/>
        <v>10.368348541764712</v>
      </c>
      <c r="AW18" s="216">
        <f t="shared" si="11"/>
        <v>0</v>
      </c>
      <c r="AX18" s="218">
        <f t="shared" si="12"/>
        <v>1.4831709199797398</v>
      </c>
      <c r="AY18" s="216">
        <f t="shared" si="13"/>
        <v>0.77643477842613629</v>
      </c>
      <c r="AZ18" s="217">
        <f t="shared" si="14"/>
        <v>3.5883638597441294</v>
      </c>
      <c r="BA18" s="216">
        <f t="shared" si="15"/>
        <v>0</v>
      </c>
      <c r="BB18" s="216">
        <f t="shared" si="16"/>
        <v>1.0016542390239327</v>
      </c>
      <c r="BC18" s="216">
        <f t="shared" si="17"/>
        <v>1</v>
      </c>
    </row>
    <row r="19" spans="1:55" ht="20.100000000000001" customHeight="1" x14ac:dyDescent="0.2">
      <c r="A19" s="45">
        <v>0.16666666666666699</v>
      </c>
      <c r="B19" s="451"/>
      <c r="C19" s="451"/>
      <c r="D19" s="451">
        <v>8</v>
      </c>
      <c r="E19" s="451">
        <v>52.6</v>
      </c>
      <c r="F19" s="41">
        <v>1915</v>
      </c>
      <c r="G19" s="37">
        <v>-5.5</v>
      </c>
      <c r="H19" s="37">
        <v>71.900000000000006</v>
      </c>
      <c r="I19" s="37">
        <v>21</v>
      </c>
      <c r="J19" s="41">
        <v>179</v>
      </c>
      <c r="K19" s="37">
        <v>13</v>
      </c>
      <c r="L19" s="451">
        <v>120</v>
      </c>
      <c r="M19" s="451">
        <v>221</v>
      </c>
      <c r="N19" s="451">
        <v>90</v>
      </c>
      <c r="O19" s="353">
        <v>50</v>
      </c>
      <c r="P19" s="353">
        <v>8</v>
      </c>
      <c r="Q19" s="353">
        <v>203.27</v>
      </c>
      <c r="R19" s="37"/>
      <c r="S19" s="508" t="str">
        <f t="shared" si="0"/>
        <v/>
      </c>
      <c r="T19" s="508"/>
      <c r="U19" s="508"/>
      <c r="V19" s="508"/>
      <c r="X19" s="45">
        <v>0.16666666666666699</v>
      </c>
      <c r="Y19" s="106"/>
      <c r="Z19" s="102"/>
      <c r="AA19" s="102"/>
      <c r="AB19" s="45" t="str">
        <f t="shared" si="18"/>
        <v/>
      </c>
      <c r="AC19" s="45" t="str">
        <f t="shared" si="1"/>
        <v/>
      </c>
      <c r="AD19" s="81"/>
      <c r="AE19" s="9" t="str">
        <f>IF(S19="","",IF(COUNTA(Z19:$Z$39)=1,IF(COUNTA(AD19:$AD$39)=1,""," ; "),IF(COUNTA(AD19:$AD$39)=1,IF(Z19="",""," ; ")," ; ")))</f>
        <v/>
      </c>
      <c r="AF19" s="9" t="str">
        <f t="shared" si="2"/>
        <v/>
      </c>
      <c r="AG19" s="90" t="str">
        <f t="shared" si="3"/>
        <v/>
      </c>
      <c r="AH19" s="204" t="s">
        <v>272</v>
      </c>
      <c r="AJ19" s="206">
        <f t="shared" si="19"/>
        <v>500</v>
      </c>
      <c r="AK19" s="206">
        <f t="shared" si="19"/>
        <v>100</v>
      </c>
      <c r="AL19" s="206">
        <f t="shared" si="19"/>
        <v>2</v>
      </c>
      <c r="AM19" s="213">
        <f t="shared" si="19"/>
        <v>0.875</v>
      </c>
      <c r="AN19" s="214">
        <f t="shared" si="19"/>
        <v>0.63607464142166403</v>
      </c>
      <c r="AO19" s="215">
        <f t="shared" si="4"/>
        <v>-14.7</v>
      </c>
      <c r="AP19" s="216">
        <f t="shared" si="5"/>
        <v>1</v>
      </c>
      <c r="AQ19" s="216">
        <f t="shared" si="6"/>
        <v>1</v>
      </c>
      <c r="AR19" s="215">
        <f t="shared" si="20"/>
        <v>158.47</v>
      </c>
      <c r="AS19" s="216">
        <f t="shared" si="7"/>
        <v>0.9723448696087954</v>
      </c>
      <c r="AT19" s="216">
        <f t="shared" si="8"/>
        <v>1.2538510821608391</v>
      </c>
      <c r="AU19" s="216">
        <f t="shared" si="9"/>
        <v>2.2360679774997898</v>
      </c>
      <c r="AV19" s="217">
        <f t="shared" si="10"/>
        <v>10.368348541764712</v>
      </c>
      <c r="AW19" s="216">
        <f t="shared" si="11"/>
        <v>0</v>
      </c>
      <c r="AX19" s="218">
        <f t="shared" si="12"/>
        <v>1.4831709199797398</v>
      </c>
      <c r="AY19" s="216">
        <f t="shared" si="13"/>
        <v>0.77643477842613629</v>
      </c>
      <c r="AZ19" s="217">
        <f t="shared" si="14"/>
        <v>3.5883638597441294</v>
      </c>
      <c r="BA19" s="216">
        <f t="shared" si="15"/>
        <v>0</v>
      </c>
      <c r="BB19" s="216">
        <f t="shared" si="16"/>
        <v>1.0016542390239327</v>
      </c>
      <c r="BC19" s="216">
        <f t="shared" si="17"/>
        <v>1</v>
      </c>
    </row>
    <row r="20" spans="1:55" ht="20.100000000000001" customHeight="1" x14ac:dyDescent="0.2">
      <c r="A20" s="45">
        <v>0.20833333333333301</v>
      </c>
      <c r="B20" s="451"/>
      <c r="C20" s="451"/>
      <c r="D20" s="451">
        <v>6.2</v>
      </c>
      <c r="E20" s="451">
        <v>54.7</v>
      </c>
      <c r="F20" s="41">
        <v>1930</v>
      </c>
      <c r="G20" s="37">
        <v>-5.5</v>
      </c>
      <c r="H20" s="37">
        <v>71</v>
      </c>
      <c r="I20" s="37">
        <v>21.6</v>
      </c>
      <c r="J20" s="41">
        <v>180</v>
      </c>
      <c r="K20" s="37">
        <v>13</v>
      </c>
      <c r="L20" s="451">
        <v>121</v>
      </c>
      <c r="M20" s="451">
        <v>225</v>
      </c>
      <c r="N20" s="451">
        <v>90</v>
      </c>
      <c r="O20" s="353">
        <v>50</v>
      </c>
      <c r="P20" s="353">
        <v>8</v>
      </c>
      <c r="Q20" s="353">
        <v>203.27</v>
      </c>
      <c r="R20" s="37"/>
      <c r="S20" s="508" t="str">
        <f t="shared" si="0"/>
        <v/>
      </c>
      <c r="T20" s="508"/>
      <c r="U20" s="508"/>
      <c r="V20" s="508"/>
      <c r="X20" s="45">
        <v>0.20833333333333301</v>
      </c>
      <c r="Y20" s="106"/>
      <c r="Z20" s="102"/>
      <c r="AA20" s="102"/>
      <c r="AB20" s="45" t="str">
        <f t="shared" si="18"/>
        <v/>
      </c>
      <c r="AC20" s="45" t="str">
        <f t="shared" si="1"/>
        <v/>
      </c>
      <c r="AD20" s="81"/>
      <c r="AE20" s="9" t="str">
        <f>IF(S20="","",IF(COUNTA(Z20:$Z$39)=1,IF(COUNTA(AD20:$AD$39)=1,""," ; "),IF(COUNTA(AD20:$AD$39)=1,IF(Z20="",""," ; ")," ; ")))</f>
        <v/>
      </c>
      <c r="AF20" s="9" t="str">
        <f t="shared" si="2"/>
        <v/>
      </c>
      <c r="AG20" s="90" t="str">
        <f t="shared" si="3"/>
        <v/>
      </c>
      <c r="AH20" s="204" t="s">
        <v>275</v>
      </c>
      <c r="AJ20" s="206">
        <f t="shared" si="19"/>
        <v>500</v>
      </c>
      <c r="AK20" s="206">
        <f t="shared" si="19"/>
        <v>100</v>
      </c>
      <c r="AL20" s="206">
        <f t="shared" si="19"/>
        <v>2</v>
      </c>
      <c r="AM20" s="213">
        <f t="shared" si="19"/>
        <v>0.875</v>
      </c>
      <c r="AN20" s="214">
        <f t="shared" si="19"/>
        <v>0.63607464142166403</v>
      </c>
      <c r="AO20" s="215">
        <f t="shared" si="4"/>
        <v>-14.7</v>
      </c>
      <c r="AP20" s="216">
        <f t="shared" si="5"/>
        <v>1</v>
      </c>
      <c r="AQ20" s="216">
        <f t="shared" si="6"/>
        <v>1</v>
      </c>
      <c r="AR20" s="215">
        <f t="shared" si="20"/>
        <v>158.47</v>
      </c>
      <c r="AS20" s="216">
        <f t="shared" si="7"/>
        <v>0.9723448696087954</v>
      </c>
      <c r="AT20" s="216">
        <f t="shared" si="8"/>
        <v>1.2538510821608391</v>
      </c>
      <c r="AU20" s="216">
        <f t="shared" si="9"/>
        <v>2.2360679774997898</v>
      </c>
      <c r="AV20" s="217">
        <f t="shared" si="10"/>
        <v>10.368348541764712</v>
      </c>
      <c r="AW20" s="216">
        <f t="shared" si="11"/>
        <v>0</v>
      </c>
      <c r="AX20" s="218">
        <f t="shared" si="12"/>
        <v>1.4831709199797398</v>
      </c>
      <c r="AY20" s="216">
        <f t="shared" si="13"/>
        <v>0.77643477842613629</v>
      </c>
      <c r="AZ20" s="217">
        <f t="shared" si="14"/>
        <v>3.5883638597441294</v>
      </c>
      <c r="BA20" s="216">
        <f t="shared" si="15"/>
        <v>0</v>
      </c>
      <c r="BB20" s="216">
        <f t="shared" si="16"/>
        <v>1.0016542390239327</v>
      </c>
      <c r="BC20" s="216">
        <f t="shared" si="17"/>
        <v>1</v>
      </c>
    </row>
    <row r="21" spans="1:55" ht="20.100000000000001" customHeight="1" x14ac:dyDescent="0.2">
      <c r="A21" s="45">
        <v>0.25</v>
      </c>
      <c r="B21" s="451"/>
      <c r="C21" s="451"/>
      <c r="D21" s="451">
        <v>5.5</v>
      </c>
      <c r="E21" s="451">
        <v>51.4</v>
      </c>
      <c r="F21" s="41">
        <v>1930</v>
      </c>
      <c r="G21" s="37">
        <v>-5.5</v>
      </c>
      <c r="H21" s="37">
        <v>71.2</v>
      </c>
      <c r="I21" s="37">
        <v>21.9</v>
      </c>
      <c r="J21" s="41">
        <v>181</v>
      </c>
      <c r="K21" s="37">
        <v>13</v>
      </c>
      <c r="L21" s="451">
        <v>124</v>
      </c>
      <c r="M21" s="451">
        <v>221</v>
      </c>
      <c r="N21" s="451">
        <v>90</v>
      </c>
      <c r="O21" s="353">
        <v>50</v>
      </c>
      <c r="P21" s="353">
        <v>8</v>
      </c>
      <c r="Q21" s="353">
        <v>203.27</v>
      </c>
      <c r="R21" s="37"/>
      <c r="S21" s="508" t="str">
        <f t="shared" si="0"/>
        <v/>
      </c>
      <c r="T21" s="508"/>
      <c r="U21" s="508"/>
      <c r="V21" s="508"/>
      <c r="X21" s="45">
        <v>0.25</v>
      </c>
      <c r="Y21" s="106"/>
      <c r="Z21" s="102"/>
      <c r="AA21" s="102"/>
      <c r="AB21" s="45" t="str">
        <f t="shared" si="18"/>
        <v/>
      </c>
      <c r="AC21" s="45" t="str">
        <f t="shared" si="1"/>
        <v/>
      </c>
      <c r="AD21" s="81"/>
      <c r="AE21" s="9" t="str">
        <f>IF(S21="","",IF(COUNTA(Z21:$Z$39)=1,IF(COUNTA(AD21:$AD$39)=1,""," ; "),IF(COUNTA(AD21:$AD$39)=1,IF(Z21="",""," ; ")," ; ")))</f>
        <v/>
      </c>
      <c r="AF21" s="9" t="str">
        <f t="shared" si="2"/>
        <v/>
      </c>
      <c r="AG21" s="90" t="str">
        <f t="shared" si="3"/>
        <v/>
      </c>
      <c r="AH21" s="204" t="s">
        <v>322</v>
      </c>
      <c r="AJ21" s="206">
        <f t="shared" si="19"/>
        <v>500</v>
      </c>
      <c r="AK21" s="206">
        <f t="shared" si="19"/>
        <v>100</v>
      </c>
      <c r="AL21" s="206">
        <f t="shared" si="19"/>
        <v>2</v>
      </c>
      <c r="AM21" s="213">
        <f t="shared" si="19"/>
        <v>0.875</v>
      </c>
      <c r="AN21" s="214">
        <f t="shared" si="19"/>
        <v>0.63607464142166403</v>
      </c>
      <c r="AO21" s="215">
        <f t="shared" si="4"/>
        <v>-14.7</v>
      </c>
      <c r="AP21" s="216">
        <f t="shared" si="5"/>
        <v>1</v>
      </c>
      <c r="AQ21" s="216">
        <f t="shared" si="6"/>
        <v>1</v>
      </c>
      <c r="AR21" s="215">
        <f t="shared" si="20"/>
        <v>158.47</v>
      </c>
      <c r="AS21" s="216">
        <f t="shared" si="7"/>
        <v>0.9723448696087954</v>
      </c>
      <c r="AT21" s="216">
        <f t="shared" si="8"/>
        <v>1.2538510821608391</v>
      </c>
      <c r="AU21" s="216">
        <f t="shared" si="9"/>
        <v>2.2360679774997898</v>
      </c>
      <c r="AV21" s="217">
        <f t="shared" si="10"/>
        <v>10.368348541764712</v>
      </c>
      <c r="AW21" s="216">
        <f t="shared" si="11"/>
        <v>0</v>
      </c>
      <c r="AX21" s="218">
        <f t="shared" si="12"/>
        <v>1.4831709199797398</v>
      </c>
      <c r="AY21" s="216">
        <f t="shared" si="13"/>
        <v>0.77643477842613629</v>
      </c>
      <c r="AZ21" s="217">
        <f t="shared" si="14"/>
        <v>3.5883638597441294</v>
      </c>
      <c r="BA21" s="216">
        <f t="shared" si="15"/>
        <v>0</v>
      </c>
      <c r="BB21" s="216">
        <f t="shared" si="16"/>
        <v>1.0016542390239327</v>
      </c>
      <c r="BC21" s="216">
        <f t="shared" si="17"/>
        <v>1</v>
      </c>
    </row>
    <row r="22" spans="1:55" ht="20.100000000000001" customHeight="1" x14ac:dyDescent="0.2">
      <c r="A22" s="45">
        <v>0.29166666666666702</v>
      </c>
      <c r="B22" s="451"/>
      <c r="C22" s="451"/>
      <c r="D22" s="451">
        <v>6.2</v>
      </c>
      <c r="E22" s="451">
        <v>54.7</v>
      </c>
      <c r="F22" s="41">
        <v>1927</v>
      </c>
      <c r="G22" s="37">
        <v>-5.5</v>
      </c>
      <c r="H22" s="37">
        <v>71.5</v>
      </c>
      <c r="I22" s="37">
        <v>21.4</v>
      </c>
      <c r="J22" s="41">
        <v>182</v>
      </c>
      <c r="K22" s="37">
        <v>13</v>
      </c>
      <c r="L22" s="451">
        <v>121</v>
      </c>
      <c r="M22" s="451">
        <v>221</v>
      </c>
      <c r="N22" s="451">
        <v>90</v>
      </c>
      <c r="O22" s="353">
        <v>50</v>
      </c>
      <c r="P22" s="353">
        <v>10</v>
      </c>
      <c r="Q22" s="353">
        <v>227.05</v>
      </c>
      <c r="R22" s="37"/>
      <c r="S22" s="508" t="str">
        <f t="shared" si="0"/>
        <v/>
      </c>
      <c r="T22" s="508"/>
      <c r="U22" s="508"/>
      <c r="V22" s="508"/>
      <c r="X22" s="45">
        <v>0.29166666666666702</v>
      </c>
      <c r="Y22" s="106"/>
      <c r="Z22" s="102"/>
      <c r="AA22" s="102"/>
      <c r="AB22" s="45" t="str">
        <f t="shared" si="18"/>
        <v/>
      </c>
      <c r="AC22" s="45" t="str">
        <f t="shared" si="1"/>
        <v/>
      </c>
      <c r="AD22" s="81"/>
      <c r="AE22" s="9" t="str">
        <f>IF(S22="","",IF(COUNTA(Z22:$Z$39)=1,IF(COUNTA(AD22:$AD$39)=1,""," ; "),IF(COUNTA(AD22:$AD$39)=1,IF(Z22="",""," ; ")," ; ")))</f>
        <v/>
      </c>
      <c r="AF22" s="9" t="str">
        <f t="shared" si="2"/>
        <v/>
      </c>
      <c r="AG22" s="90" t="str">
        <f t="shared" si="3"/>
        <v/>
      </c>
      <c r="AH22" s="204" t="s">
        <v>279</v>
      </c>
      <c r="AJ22" s="206">
        <f t="shared" si="19"/>
        <v>500</v>
      </c>
      <c r="AK22" s="206">
        <f t="shared" si="19"/>
        <v>100</v>
      </c>
      <c r="AL22" s="206">
        <f t="shared" si="19"/>
        <v>2</v>
      </c>
      <c r="AM22" s="213">
        <f t="shared" si="19"/>
        <v>0.875</v>
      </c>
      <c r="AN22" s="214">
        <f t="shared" si="19"/>
        <v>0.63607464142166403</v>
      </c>
      <c r="AO22" s="215">
        <f t="shared" si="4"/>
        <v>-14.7</v>
      </c>
      <c r="AP22" s="216">
        <f t="shared" si="5"/>
        <v>1</v>
      </c>
      <c r="AQ22" s="216">
        <f t="shared" si="6"/>
        <v>1</v>
      </c>
      <c r="AR22" s="215">
        <f t="shared" si="20"/>
        <v>158.47</v>
      </c>
      <c r="AS22" s="216">
        <f t="shared" si="7"/>
        <v>0.9723448696087954</v>
      </c>
      <c r="AT22" s="216">
        <f t="shared" si="8"/>
        <v>1.2538510821608391</v>
      </c>
      <c r="AU22" s="216">
        <f t="shared" si="9"/>
        <v>2.2360679774997898</v>
      </c>
      <c r="AV22" s="217">
        <f t="shared" si="10"/>
        <v>10.368348541764712</v>
      </c>
      <c r="AW22" s="216">
        <f t="shared" si="11"/>
        <v>0</v>
      </c>
      <c r="AX22" s="218">
        <f t="shared" si="12"/>
        <v>1.4831709199797398</v>
      </c>
      <c r="AY22" s="216">
        <f t="shared" si="13"/>
        <v>0.77643477842613629</v>
      </c>
      <c r="AZ22" s="217">
        <f t="shared" si="14"/>
        <v>3.5883638597441294</v>
      </c>
      <c r="BA22" s="216">
        <f t="shared" si="15"/>
        <v>0</v>
      </c>
      <c r="BB22" s="216">
        <f t="shared" si="16"/>
        <v>1.0016542390239327</v>
      </c>
      <c r="BC22" s="216">
        <f t="shared" si="17"/>
        <v>1</v>
      </c>
    </row>
    <row r="23" spans="1:55" ht="20.100000000000001" customHeight="1" x14ac:dyDescent="0.2">
      <c r="A23" s="45">
        <v>0.33333333333333298</v>
      </c>
      <c r="B23" s="451"/>
      <c r="C23" s="451"/>
      <c r="D23" s="451">
        <v>3.5</v>
      </c>
      <c r="E23" s="451">
        <v>59.6</v>
      </c>
      <c r="F23" s="41">
        <v>1951</v>
      </c>
      <c r="G23" s="37">
        <v>-5.5</v>
      </c>
      <c r="H23" s="37">
        <v>71.900000000000006</v>
      </c>
      <c r="I23" s="37">
        <v>21.9</v>
      </c>
      <c r="J23" s="41">
        <v>183</v>
      </c>
      <c r="K23" s="37">
        <v>13</v>
      </c>
      <c r="L23" s="451">
        <v>122</v>
      </c>
      <c r="M23" s="451">
        <v>222</v>
      </c>
      <c r="N23" s="451">
        <v>90</v>
      </c>
      <c r="O23" s="353">
        <v>50</v>
      </c>
      <c r="P23" s="353">
        <v>11</v>
      </c>
      <c r="Q23" s="353">
        <v>238.04</v>
      </c>
      <c r="R23" s="37"/>
      <c r="S23" s="508" t="str">
        <f t="shared" si="0"/>
        <v/>
      </c>
      <c r="T23" s="508"/>
      <c r="U23" s="508"/>
      <c r="V23" s="508"/>
      <c r="X23" s="45">
        <v>0.33333333333333298</v>
      </c>
      <c r="Y23" s="106"/>
      <c r="Z23" s="102"/>
      <c r="AA23" s="102"/>
      <c r="AB23" s="45" t="str">
        <f t="shared" si="18"/>
        <v/>
      </c>
      <c r="AC23" s="45" t="str">
        <f t="shared" si="1"/>
        <v/>
      </c>
      <c r="AD23" s="81"/>
      <c r="AE23" s="9" t="str">
        <f>IF(S23="","",IF(COUNTA(Z23:$Z$39)=1,IF(COUNTA(AD23:$AD$39)=1,""," ; "),IF(COUNTA(AD23:$AD$39)=1,IF(Z23="",""," ; ")," ; ")))</f>
        <v/>
      </c>
      <c r="AF23" s="9" t="str">
        <f t="shared" si="2"/>
        <v/>
      </c>
      <c r="AG23" s="90" t="str">
        <f t="shared" si="3"/>
        <v/>
      </c>
      <c r="AH23" s="204" t="s">
        <v>274</v>
      </c>
      <c r="AJ23" s="206">
        <f t="shared" si="19"/>
        <v>500</v>
      </c>
      <c r="AK23" s="206">
        <f t="shared" si="19"/>
        <v>100</v>
      </c>
      <c r="AL23" s="206">
        <f t="shared" si="19"/>
        <v>2</v>
      </c>
      <c r="AM23" s="213">
        <f t="shared" si="19"/>
        <v>0.875</v>
      </c>
      <c r="AN23" s="214">
        <f t="shared" si="19"/>
        <v>0.63607464142166403</v>
      </c>
      <c r="AO23" s="215">
        <f t="shared" si="4"/>
        <v>-14.7</v>
      </c>
      <c r="AP23" s="216">
        <f t="shared" si="5"/>
        <v>1</v>
      </c>
      <c r="AQ23" s="216">
        <f t="shared" si="6"/>
        <v>1</v>
      </c>
      <c r="AR23" s="215">
        <f t="shared" si="20"/>
        <v>158.47</v>
      </c>
      <c r="AS23" s="216">
        <f t="shared" si="7"/>
        <v>0.9723448696087954</v>
      </c>
      <c r="AT23" s="216">
        <f t="shared" si="8"/>
        <v>1.2538510821608391</v>
      </c>
      <c r="AU23" s="216">
        <f t="shared" si="9"/>
        <v>2.2360679774997898</v>
      </c>
      <c r="AV23" s="217">
        <f t="shared" si="10"/>
        <v>10.368348541764712</v>
      </c>
      <c r="AW23" s="216">
        <f t="shared" si="11"/>
        <v>0</v>
      </c>
      <c r="AX23" s="218">
        <f t="shared" si="12"/>
        <v>1.4831709199797398</v>
      </c>
      <c r="AY23" s="216">
        <f t="shared" si="13"/>
        <v>0.77643477842613629</v>
      </c>
      <c r="AZ23" s="217">
        <f t="shared" si="14"/>
        <v>3.5883638597441294</v>
      </c>
      <c r="BA23" s="216">
        <f t="shared" si="15"/>
        <v>0</v>
      </c>
      <c r="BB23" s="216">
        <f t="shared" si="16"/>
        <v>1.0016542390239327</v>
      </c>
      <c r="BC23" s="216">
        <f t="shared" si="17"/>
        <v>1</v>
      </c>
    </row>
    <row r="24" spans="1:55" ht="20.100000000000001" customHeight="1" x14ac:dyDescent="0.2">
      <c r="A24" s="45">
        <v>0.375</v>
      </c>
      <c r="B24" s="451"/>
      <c r="C24" s="451"/>
      <c r="D24" s="451">
        <v>7.3</v>
      </c>
      <c r="E24" s="451">
        <v>59.9</v>
      </c>
      <c r="F24" s="41">
        <v>1963</v>
      </c>
      <c r="G24" s="37">
        <v>-5.5</v>
      </c>
      <c r="H24" s="37">
        <v>71.2</v>
      </c>
      <c r="I24" s="37">
        <v>21.3</v>
      </c>
      <c r="J24" s="41">
        <v>184</v>
      </c>
      <c r="K24" s="37">
        <v>13</v>
      </c>
      <c r="L24" s="451">
        <v>122</v>
      </c>
      <c r="M24" s="451">
        <v>222</v>
      </c>
      <c r="N24" s="451">
        <v>90</v>
      </c>
      <c r="O24" s="353">
        <v>50</v>
      </c>
      <c r="P24" s="353">
        <v>13</v>
      </c>
      <c r="Q24" s="353">
        <v>258.61</v>
      </c>
      <c r="R24" s="37"/>
      <c r="S24" s="508" t="str">
        <f t="shared" si="0"/>
        <v/>
      </c>
      <c r="T24" s="508"/>
      <c r="U24" s="508"/>
      <c r="V24" s="508"/>
      <c r="X24" s="45">
        <v>0.375</v>
      </c>
      <c r="Y24" s="106"/>
      <c r="Z24" s="102"/>
      <c r="AA24" s="102"/>
      <c r="AB24" s="45" t="str">
        <f t="shared" si="18"/>
        <v/>
      </c>
      <c r="AC24" s="45" t="str">
        <f t="shared" si="1"/>
        <v/>
      </c>
      <c r="AD24" s="81"/>
      <c r="AE24" s="9" t="str">
        <f>IF(S24="","",IF(COUNTA(Z24:$Z$39)=1,IF(COUNTA(AD24:$AD$39)=1,""," ; "),IF(COUNTA(AD24:$AD$39)=1,IF(Z24="",""," ; ")," ; ")))</f>
        <v/>
      </c>
      <c r="AF24" s="9" t="str">
        <f t="shared" si="2"/>
        <v/>
      </c>
      <c r="AG24" s="90" t="str">
        <f t="shared" si="3"/>
        <v/>
      </c>
      <c r="AH24" s="204" t="s">
        <v>307</v>
      </c>
      <c r="AJ24" s="206">
        <f t="shared" si="19"/>
        <v>500</v>
      </c>
      <c r="AK24" s="206">
        <f t="shared" si="19"/>
        <v>100</v>
      </c>
      <c r="AL24" s="206">
        <f t="shared" si="19"/>
        <v>2</v>
      </c>
      <c r="AM24" s="213">
        <f t="shared" si="19"/>
        <v>0.875</v>
      </c>
      <c r="AN24" s="214">
        <f t="shared" si="19"/>
        <v>0.63607464142166403</v>
      </c>
      <c r="AO24" s="215">
        <f t="shared" si="4"/>
        <v>-14.7</v>
      </c>
      <c r="AP24" s="216">
        <f t="shared" si="5"/>
        <v>1</v>
      </c>
      <c r="AQ24" s="216">
        <f t="shared" si="6"/>
        <v>1</v>
      </c>
      <c r="AR24" s="215">
        <f t="shared" si="20"/>
        <v>158.47</v>
      </c>
      <c r="AS24" s="216">
        <f t="shared" si="7"/>
        <v>0.9723448696087954</v>
      </c>
      <c r="AT24" s="216">
        <f t="shared" si="8"/>
        <v>1.2538510821608391</v>
      </c>
      <c r="AU24" s="216">
        <f t="shared" si="9"/>
        <v>2.2360679774997898</v>
      </c>
      <c r="AV24" s="217">
        <f t="shared" si="10"/>
        <v>10.368348541764712</v>
      </c>
      <c r="AW24" s="216">
        <f t="shared" si="11"/>
        <v>0</v>
      </c>
      <c r="AX24" s="218">
        <f t="shared" si="12"/>
        <v>1.4831709199797398</v>
      </c>
      <c r="AY24" s="216">
        <f t="shared" si="13"/>
        <v>0.77643477842613629</v>
      </c>
      <c r="AZ24" s="217">
        <f t="shared" si="14"/>
        <v>3.5883638597441294</v>
      </c>
      <c r="BA24" s="216">
        <f t="shared" si="15"/>
        <v>0</v>
      </c>
      <c r="BB24" s="216">
        <f t="shared" si="16"/>
        <v>1.0016542390239327</v>
      </c>
      <c r="BC24" s="216">
        <f t="shared" si="17"/>
        <v>1</v>
      </c>
    </row>
    <row r="25" spans="1:55" ht="20.100000000000001" customHeight="1" x14ac:dyDescent="0.2">
      <c r="A25" s="45">
        <v>0.41666666666666702</v>
      </c>
      <c r="B25" s="451"/>
      <c r="C25" s="451"/>
      <c r="D25" s="451">
        <v>7.6</v>
      </c>
      <c r="E25" s="451">
        <v>57.3</v>
      </c>
      <c r="F25" s="41">
        <v>1980</v>
      </c>
      <c r="G25" s="37">
        <v>-5.5</v>
      </c>
      <c r="H25" s="37">
        <v>71.5</v>
      </c>
      <c r="I25" s="37">
        <v>21.6</v>
      </c>
      <c r="J25" s="41">
        <v>185</v>
      </c>
      <c r="K25" s="37">
        <v>13</v>
      </c>
      <c r="L25" s="451">
        <v>124</v>
      </c>
      <c r="M25" s="451">
        <v>224</v>
      </c>
      <c r="N25" s="451">
        <v>90</v>
      </c>
      <c r="O25" s="353">
        <v>50</v>
      </c>
      <c r="P25" s="353">
        <v>11</v>
      </c>
      <c r="Q25" s="353">
        <v>238.04</v>
      </c>
      <c r="R25" s="37"/>
      <c r="S25" s="508" t="str">
        <f t="shared" si="0"/>
        <v/>
      </c>
      <c r="T25" s="508"/>
      <c r="U25" s="508"/>
      <c r="V25" s="508"/>
      <c r="X25" s="45">
        <v>0.41666666666666702</v>
      </c>
      <c r="Y25" s="106"/>
      <c r="Z25" s="102"/>
      <c r="AA25" s="102"/>
      <c r="AB25" s="45" t="str">
        <f t="shared" si="18"/>
        <v/>
      </c>
      <c r="AC25" s="45" t="str">
        <f t="shared" si="1"/>
        <v/>
      </c>
      <c r="AD25" s="81"/>
      <c r="AE25" s="9" t="str">
        <f>IF(S25="","",IF(COUNTA(Z25:$Z$39)=1,IF(COUNTA(AD25:$AD$39)=1,""," ; "),IF(COUNTA(AD25:$AD$39)=1,IF(Z25="",""," ; ")," ; ")))</f>
        <v/>
      </c>
      <c r="AF25" s="9" t="str">
        <f t="shared" si="2"/>
        <v/>
      </c>
      <c r="AG25" s="90" t="str">
        <f t="shared" si="3"/>
        <v/>
      </c>
      <c r="AH25" s="204" t="s">
        <v>225</v>
      </c>
      <c r="AJ25" s="206">
        <f t="shared" si="19"/>
        <v>500</v>
      </c>
      <c r="AK25" s="206">
        <f t="shared" si="19"/>
        <v>100</v>
      </c>
      <c r="AL25" s="206">
        <f t="shared" si="19"/>
        <v>2</v>
      </c>
      <c r="AM25" s="213">
        <f t="shared" si="19"/>
        <v>0.875</v>
      </c>
      <c r="AN25" s="214">
        <f t="shared" si="19"/>
        <v>0.63607464142166403</v>
      </c>
      <c r="AO25" s="215">
        <f t="shared" si="4"/>
        <v>-14.7</v>
      </c>
      <c r="AP25" s="216">
        <f t="shared" si="5"/>
        <v>1</v>
      </c>
      <c r="AQ25" s="216">
        <f t="shared" si="6"/>
        <v>1</v>
      </c>
      <c r="AR25" s="215">
        <f t="shared" si="20"/>
        <v>158.47</v>
      </c>
      <c r="AS25" s="216">
        <f t="shared" si="7"/>
        <v>0.9723448696087954</v>
      </c>
      <c r="AT25" s="216">
        <f t="shared" si="8"/>
        <v>1.2538510821608391</v>
      </c>
      <c r="AU25" s="216">
        <f t="shared" si="9"/>
        <v>2.2360679774997898</v>
      </c>
      <c r="AV25" s="217">
        <f t="shared" si="10"/>
        <v>10.368348541764712</v>
      </c>
      <c r="AW25" s="216">
        <f t="shared" si="11"/>
        <v>0</v>
      </c>
      <c r="AX25" s="218">
        <f t="shared" si="12"/>
        <v>1.4831709199797398</v>
      </c>
      <c r="AY25" s="216">
        <f t="shared" si="13"/>
        <v>0.77643477842613629</v>
      </c>
      <c r="AZ25" s="217">
        <f t="shared" si="14"/>
        <v>3.5883638597441294</v>
      </c>
      <c r="BA25" s="216">
        <f t="shared" si="15"/>
        <v>0</v>
      </c>
      <c r="BB25" s="216">
        <f t="shared" si="16"/>
        <v>1.0016542390239327</v>
      </c>
      <c r="BC25" s="216">
        <f t="shared" si="17"/>
        <v>1</v>
      </c>
    </row>
    <row r="26" spans="1:55" ht="20.100000000000001" customHeight="1" x14ac:dyDescent="0.2">
      <c r="A26" s="45">
        <v>0.45833333333333298</v>
      </c>
      <c r="B26" s="451"/>
      <c r="C26" s="451"/>
      <c r="D26" s="451">
        <v>7.5</v>
      </c>
      <c r="E26" s="451">
        <v>57.9</v>
      </c>
      <c r="F26" s="41">
        <v>1965</v>
      </c>
      <c r="G26" s="37">
        <v>-5.5</v>
      </c>
      <c r="H26" s="37">
        <v>71.099999999999994</v>
      </c>
      <c r="I26" s="37">
        <v>21.5</v>
      </c>
      <c r="J26" s="41">
        <v>186</v>
      </c>
      <c r="K26" s="37">
        <v>13</v>
      </c>
      <c r="L26" s="451">
        <v>124</v>
      </c>
      <c r="M26" s="451">
        <v>224</v>
      </c>
      <c r="N26" s="451">
        <v>90</v>
      </c>
      <c r="O26" s="353">
        <v>50</v>
      </c>
      <c r="P26" s="353">
        <v>11</v>
      </c>
      <c r="Q26" s="353">
        <v>238.04</v>
      </c>
      <c r="R26" s="37"/>
      <c r="S26" s="508" t="str">
        <f t="shared" si="0"/>
        <v/>
      </c>
      <c r="T26" s="508"/>
      <c r="U26" s="508"/>
      <c r="V26" s="508"/>
      <c r="X26" s="45">
        <v>0.45833333333333298</v>
      </c>
      <c r="Y26" s="106"/>
      <c r="Z26" s="102"/>
      <c r="AA26" s="102"/>
      <c r="AB26" s="45" t="str">
        <f t="shared" si="18"/>
        <v/>
      </c>
      <c r="AC26" s="45" t="str">
        <f t="shared" si="1"/>
        <v/>
      </c>
      <c r="AD26" s="81"/>
      <c r="AE26" s="9" t="str">
        <f>IF(S26="","",IF(COUNTA(Z26:$Z$39)=1,IF(COUNTA(AD26:$AD$39)=1,""," ; "),IF(COUNTA(AD26:$AD$39)=1,IF(Z26="",""," ; ")," ; ")))</f>
        <v/>
      </c>
      <c r="AF26" s="9" t="str">
        <f t="shared" si="2"/>
        <v/>
      </c>
      <c r="AG26" s="90" t="str">
        <f t="shared" si="3"/>
        <v/>
      </c>
      <c r="AH26" s="204" t="s">
        <v>287</v>
      </c>
      <c r="AJ26" s="206">
        <f t="shared" si="19"/>
        <v>500</v>
      </c>
      <c r="AK26" s="206">
        <f t="shared" si="19"/>
        <v>100</v>
      </c>
      <c r="AL26" s="206">
        <f t="shared" si="19"/>
        <v>2</v>
      </c>
      <c r="AM26" s="213">
        <f t="shared" si="19"/>
        <v>0.875</v>
      </c>
      <c r="AN26" s="214">
        <f t="shared" si="19"/>
        <v>0.63607464142166403</v>
      </c>
      <c r="AO26" s="215">
        <f t="shared" si="4"/>
        <v>-14.7</v>
      </c>
      <c r="AP26" s="216">
        <f t="shared" si="5"/>
        <v>1</v>
      </c>
      <c r="AQ26" s="216">
        <f t="shared" si="6"/>
        <v>1</v>
      </c>
      <c r="AR26" s="215">
        <f t="shared" si="20"/>
        <v>158.47</v>
      </c>
      <c r="AS26" s="216">
        <f t="shared" si="7"/>
        <v>0.9723448696087954</v>
      </c>
      <c r="AT26" s="216">
        <f t="shared" si="8"/>
        <v>1.2538510821608391</v>
      </c>
      <c r="AU26" s="216">
        <f t="shared" si="9"/>
        <v>2.2360679774997898</v>
      </c>
      <c r="AV26" s="217">
        <f t="shared" si="10"/>
        <v>10.368348541764712</v>
      </c>
      <c r="AW26" s="216">
        <f t="shared" si="11"/>
        <v>0</v>
      </c>
      <c r="AX26" s="218">
        <f t="shared" si="12"/>
        <v>1.4831709199797398</v>
      </c>
      <c r="AY26" s="216">
        <f t="shared" si="13"/>
        <v>0.77643477842613629</v>
      </c>
      <c r="AZ26" s="217">
        <f t="shared" si="14"/>
        <v>3.5883638597441294</v>
      </c>
      <c r="BA26" s="216">
        <f t="shared" si="15"/>
        <v>0</v>
      </c>
      <c r="BB26" s="216">
        <f t="shared" si="16"/>
        <v>1.0016542390239327</v>
      </c>
      <c r="BC26" s="216">
        <f t="shared" si="17"/>
        <v>1</v>
      </c>
    </row>
    <row r="27" spans="1:55" ht="20.100000000000001" customHeight="1" x14ac:dyDescent="0.2">
      <c r="A27" s="45">
        <v>0.5</v>
      </c>
      <c r="B27" s="451"/>
      <c r="C27" s="451"/>
      <c r="D27" s="451">
        <v>7.1</v>
      </c>
      <c r="E27" s="451">
        <v>63.5</v>
      </c>
      <c r="F27" s="41">
        <v>1950</v>
      </c>
      <c r="G27" s="37">
        <v>-5.5</v>
      </c>
      <c r="H27" s="37">
        <v>71.3</v>
      </c>
      <c r="I27" s="37">
        <v>21.8</v>
      </c>
      <c r="J27" s="41">
        <v>187</v>
      </c>
      <c r="K27" s="37">
        <v>13</v>
      </c>
      <c r="L27" s="451">
        <v>126</v>
      </c>
      <c r="M27" s="451">
        <v>227</v>
      </c>
      <c r="N27" s="451">
        <v>90</v>
      </c>
      <c r="O27" s="353">
        <v>50</v>
      </c>
      <c r="P27" s="353">
        <v>13</v>
      </c>
      <c r="Q27" s="353">
        <v>258.61</v>
      </c>
      <c r="R27" s="37"/>
      <c r="S27" s="508" t="str">
        <f t="shared" si="0"/>
        <v/>
      </c>
      <c r="T27" s="508"/>
      <c r="U27" s="508"/>
      <c r="V27" s="508"/>
      <c r="X27" s="45">
        <v>0.5</v>
      </c>
      <c r="Y27" s="106"/>
      <c r="Z27" s="102"/>
      <c r="AA27" s="102"/>
      <c r="AB27" s="45" t="str">
        <f t="shared" si="18"/>
        <v/>
      </c>
      <c r="AC27" s="45" t="str">
        <f t="shared" si="1"/>
        <v/>
      </c>
      <c r="AD27" s="81"/>
      <c r="AE27" s="9" t="str">
        <f>IF(S27="","",IF(COUNTA(Z27:$Z$39)=1,IF(COUNTA(AD27:$AD$39)=1,""," ; "),IF(COUNTA(AD27:$AD$39)=1,IF(Z27="",""," ; ")," ; ")))</f>
        <v/>
      </c>
      <c r="AF27" s="9" t="str">
        <f t="shared" si="2"/>
        <v/>
      </c>
      <c r="AG27" s="90" t="str">
        <f t="shared" si="3"/>
        <v/>
      </c>
      <c r="AH27" s="204" t="s">
        <v>276</v>
      </c>
      <c r="AJ27" s="206">
        <f t="shared" si="19"/>
        <v>500</v>
      </c>
      <c r="AK27" s="206">
        <f t="shared" si="19"/>
        <v>100</v>
      </c>
      <c r="AL27" s="206">
        <f t="shared" si="19"/>
        <v>2</v>
      </c>
      <c r="AM27" s="213">
        <f t="shared" si="19"/>
        <v>0.875</v>
      </c>
      <c r="AN27" s="214">
        <f t="shared" si="19"/>
        <v>0.63607464142166403</v>
      </c>
      <c r="AO27" s="215">
        <f t="shared" si="4"/>
        <v>-14.7</v>
      </c>
      <c r="AP27" s="216">
        <f t="shared" si="5"/>
        <v>1</v>
      </c>
      <c r="AQ27" s="216">
        <f t="shared" si="6"/>
        <v>1</v>
      </c>
      <c r="AR27" s="215">
        <f t="shared" si="20"/>
        <v>158.47</v>
      </c>
      <c r="AS27" s="216">
        <f t="shared" si="7"/>
        <v>0.9723448696087954</v>
      </c>
      <c r="AT27" s="216">
        <f t="shared" si="8"/>
        <v>1.2538510821608391</v>
      </c>
      <c r="AU27" s="216">
        <f t="shared" si="9"/>
        <v>2.2360679774997898</v>
      </c>
      <c r="AV27" s="217">
        <f t="shared" si="10"/>
        <v>10.368348541764712</v>
      </c>
      <c r="AW27" s="216">
        <f t="shared" si="11"/>
        <v>0</v>
      </c>
      <c r="AX27" s="218">
        <f t="shared" si="12"/>
        <v>1.4831709199797398</v>
      </c>
      <c r="AY27" s="216">
        <f t="shared" si="13"/>
        <v>0.77643477842613629</v>
      </c>
      <c r="AZ27" s="217">
        <f t="shared" si="14"/>
        <v>3.5883638597441294</v>
      </c>
      <c r="BA27" s="216">
        <f t="shared" si="15"/>
        <v>0</v>
      </c>
      <c r="BB27" s="216">
        <f t="shared" si="16"/>
        <v>1.0016542390239327</v>
      </c>
      <c r="BC27" s="216">
        <f t="shared" si="17"/>
        <v>1</v>
      </c>
    </row>
    <row r="28" spans="1:55" ht="20.100000000000001" customHeight="1" x14ac:dyDescent="0.2">
      <c r="A28" s="45">
        <v>0.54166666666666696</v>
      </c>
      <c r="B28" s="451"/>
      <c r="C28" s="451"/>
      <c r="D28" s="451">
        <v>7.3</v>
      </c>
      <c r="E28" s="451">
        <v>63.1</v>
      </c>
      <c r="F28" s="41">
        <v>1961</v>
      </c>
      <c r="G28" s="37">
        <v>-5.5</v>
      </c>
      <c r="H28" s="37">
        <v>71.599999999999994</v>
      </c>
      <c r="I28" s="37">
        <v>21.3</v>
      </c>
      <c r="J28" s="41">
        <v>188</v>
      </c>
      <c r="K28" s="37">
        <v>13</v>
      </c>
      <c r="L28" s="451">
        <v>126</v>
      </c>
      <c r="M28" s="451">
        <v>227</v>
      </c>
      <c r="N28" s="451">
        <v>90</v>
      </c>
      <c r="O28" s="353">
        <v>50</v>
      </c>
      <c r="P28" s="353">
        <v>10</v>
      </c>
      <c r="Q28" s="353">
        <v>227.05</v>
      </c>
      <c r="R28" s="37"/>
      <c r="S28" s="508" t="str">
        <f t="shared" si="0"/>
        <v/>
      </c>
      <c r="T28" s="508"/>
      <c r="U28" s="508"/>
      <c r="V28" s="508"/>
      <c r="X28" s="45">
        <v>0.54166666666666696</v>
      </c>
      <c r="Y28" s="106"/>
      <c r="Z28" s="102"/>
      <c r="AA28" s="102"/>
      <c r="AB28" s="45" t="str">
        <f t="shared" si="18"/>
        <v/>
      </c>
      <c r="AC28" s="45" t="str">
        <f t="shared" si="1"/>
        <v/>
      </c>
      <c r="AD28" s="81"/>
      <c r="AE28" s="9" t="str">
        <f>IF(S28="","",IF(COUNTA(Z28:$Z$39)=1,IF(COUNTA(AD28:$AD$39)=1,""," ; "),IF(COUNTA(AD28:$AD$39)=1,IF(Z28="",""," ; ")," ; ")))</f>
        <v/>
      </c>
      <c r="AF28" s="9" t="str">
        <f t="shared" si="2"/>
        <v/>
      </c>
      <c r="AG28" s="90" t="str">
        <f t="shared" si="3"/>
        <v/>
      </c>
      <c r="AH28" s="204" t="s">
        <v>278</v>
      </c>
      <c r="AJ28" s="206">
        <f t="shared" si="19"/>
        <v>500</v>
      </c>
      <c r="AK28" s="206">
        <f t="shared" si="19"/>
        <v>100</v>
      </c>
      <c r="AL28" s="206">
        <f t="shared" si="19"/>
        <v>2</v>
      </c>
      <c r="AM28" s="213">
        <f t="shared" si="19"/>
        <v>0.875</v>
      </c>
      <c r="AN28" s="214">
        <f t="shared" si="19"/>
        <v>0.63607464142166403</v>
      </c>
      <c r="AO28" s="215">
        <f t="shared" si="4"/>
        <v>-14.7</v>
      </c>
      <c r="AP28" s="216">
        <f t="shared" si="5"/>
        <v>1</v>
      </c>
      <c r="AQ28" s="216">
        <f t="shared" si="6"/>
        <v>1</v>
      </c>
      <c r="AR28" s="215">
        <f t="shared" si="20"/>
        <v>158.47</v>
      </c>
      <c r="AS28" s="216">
        <f t="shared" si="7"/>
        <v>0.9723448696087954</v>
      </c>
      <c r="AT28" s="216">
        <f t="shared" si="8"/>
        <v>1.2538510821608391</v>
      </c>
      <c r="AU28" s="216">
        <f t="shared" si="9"/>
        <v>2.2360679774997898</v>
      </c>
      <c r="AV28" s="217">
        <f t="shared" si="10"/>
        <v>10.368348541764712</v>
      </c>
      <c r="AW28" s="216">
        <f t="shared" si="11"/>
        <v>0</v>
      </c>
      <c r="AX28" s="218">
        <f t="shared" si="12"/>
        <v>1.4831709199797398</v>
      </c>
      <c r="AY28" s="216">
        <f t="shared" si="13"/>
        <v>0.77643477842613629</v>
      </c>
      <c r="AZ28" s="217">
        <f t="shared" si="14"/>
        <v>3.5883638597441294</v>
      </c>
      <c r="BA28" s="216">
        <f t="shared" si="15"/>
        <v>0</v>
      </c>
      <c r="BB28" s="216">
        <f t="shared" si="16"/>
        <v>1.0016542390239327</v>
      </c>
      <c r="BC28" s="216">
        <f t="shared" si="17"/>
        <v>1</v>
      </c>
    </row>
    <row r="29" spans="1:55" ht="20.100000000000001" customHeight="1" x14ac:dyDescent="0.2">
      <c r="A29" s="45">
        <v>0.58333333333333304</v>
      </c>
      <c r="B29" s="451"/>
      <c r="C29" s="451"/>
      <c r="D29" s="451">
        <v>6.6</v>
      </c>
      <c r="E29" s="451">
        <v>61.8</v>
      </c>
      <c r="F29" s="41">
        <v>1980</v>
      </c>
      <c r="G29" s="37">
        <v>-5.5</v>
      </c>
      <c r="H29" s="37">
        <v>71.900000000000006</v>
      </c>
      <c r="I29" s="37">
        <v>21.6</v>
      </c>
      <c r="J29" s="41">
        <v>189</v>
      </c>
      <c r="K29" s="37">
        <v>13</v>
      </c>
      <c r="L29" s="451">
        <v>128</v>
      </c>
      <c r="M29" s="451">
        <v>230</v>
      </c>
      <c r="N29" s="451">
        <v>90</v>
      </c>
      <c r="O29" s="353">
        <v>50</v>
      </c>
      <c r="P29" s="353">
        <v>10</v>
      </c>
      <c r="Q29" s="353">
        <v>227.05</v>
      </c>
      <c r="R29" s="37"/>
      <c r="S29" s="508" t="str">
        <f t="shared" si="0"/>
        <v/>
      </c>
      <c r="T29" s="508"/>
      <c r="U29" s="508"/>
      <c r="V29" s="508"/>
      <c r="X29" s="45">
        <v>0.58333333333333304</v>
      </c>
      <c r="Y29" s="106"/>
      <c r="Z29" s="102"/>
      <c r="AA29" s="102"/>
      <c r="AB29" s="45" t="str">
        <f t="shared" si="18"/>
        <v/>
      </c>
      <c r="AC29" s="45" t="str">
        <f t="shared" si="1"/>
        <v/>
      </c>
      <c r="AD29" s="81"/>
      <c r="AE29" s="9" t="str">
        <f>IF(S29="","",IF(COUNTA(Z29:$Z$39)=1,IF(COUNTA(AD29:$AD$39)=1,""," ; "),IF(COUNTA(AD29:$AD$39)=1,IF(Z29="",""," ; ")," ; ")))</f>
        <v/>
      </c>
      <c r="AF29" s="9" t="str">
        <f t="shared" si="2"/>
        <v/>
      </c>
      <c r="AG29" s="90" t="str">
        <f t="shared" si="3"/>
        <v/>
      </c>
      <c r="AH29" s="204" t="s">
        <v>224</v>
      </c>
      <c r="AJ29" s="206">
        <f t="shared" si="19"/>
        <v>500</v>
      </c>
      <c r="AK29" s="206">
        <f t="shared" si="19"/>
        <v>100</v>
      </c>
      <c r="AL29" s="206">
        <f t="shared" si="19"/>
        <v>2</v>
      </c>
      <c r="AM29" s="213">
        <f t="shared" si="19"/>
        <v>0.875</v>
      </c>
      <c r="AN29" s="214">
        <f t="shared" si="19"/>
        <v>0.63607464142166403</v>
      </c>
      <c r="AO29" s="215">
        <f t="shared" si="4"/>
        <v>-14.7</v>
      </c>
      <c r="AP29" s="216">
        <f t="shared" si="5"/>
        <v>1</v>
      </c>
      <c r="AQ29" s="216">
        <f t="shared" si="6"/>
        <v>1</v>
      </c>
      <c r="AR29" s="215">
        <f t="shared" si="20"/>
        <v>158.47</v>
      </c>
      <c r="AS29" s="216">
        <f t="shared" si="7"/>
        <v>0.9723448696087954</v>
      </c>
      <c r="AT29" s="216">
        <f t="shared" si="8"/>
        <v>1.2538510821608391</v>
      </c>
      <c r="AU29" s="216">
        <f t="shared" si="9"/>
        <v>2.2360679774997898</v>
      </c>
      <c r="AV29" s="217">
        <f t="shared" si="10"/>
        <v>10.368348541764712</v>
      </c>
      <c r="AW29" s="216">
        <f t="shared" si="11"/>
        <v>0</v>
      </c>
      <c r="AX29" s="218">
        <f t="shared" si="12"/>
        <v>1.4831709199797398</v>
      </c>
      <c r="AY29" s="216">
        <f t="shared" si="13"/>
        <v>0.77643477842613629</v>
      </c>
      <c r="AZ29" s="217">
        <f t="shared" si="14"/>
        <v>3.5883638597441294</v>
      </c>
      <c r="BA29" s="216">
        <f t="shared" si="15"/>
        <v>0</v>
      </c>
      <c r="BB29" s="216">
        <f t="shared" si="16"/>
        <v>1.0016542390239327</v>
      </c>
      <c r="BC29" s="216">
        <f t="shared" si="17"/>
        <v>1</v>
      </c>
    </row>
    <row r="30" spans="1:55" ht="20.100000000000001" customHeight="1" x14ac:dyDescent="0.2">
      <c r="A30" s="45">
        <v>0.625</v>
      </c>
      <c r="B30" s="451"/>
      <c r="C30" s="451"/>
      <c r="D30" s="451">
        <v>6.8</v>
      </c>
      <c r="E30" s="451">
        <v>61.3</v>
      </c>
      <c r="F30" s="41">
        <v>1965</v>
      </c>
      <c r="G30" s="37">
        <v>-5.5</v>
      </c>
      <c r="H30" s="37">
        <v>71.5</v>
      </c>
      <c r="I30" s="37">
        <v>21.9</v>
      </c>
      <c r="J30" s="41">
        <v>190</v>
      </c>
      <c r="K30" s="37">
        <v>13</v>
      </c>
      <c r="L30" s="451">
        <v>128</v>
      </c>
      <c r="M30" s="451">
        <v>230</v>
      </c>
      <c r="N30" s="451">
        <v>90</v>
      </c>
      <c r="O30" s="353">
        <v>50</v>
      </c>
      <c r="P30" s="353">
        <v>10</v>
      </c>
      <c r="Q30" s="353">
        <v>227.05</v>
      </c>
      <c r="R30" s="37"/>
      <c r="S30" s="508" t="str">
        <f t="shared" si="0"/>
        <v/>
      </c>
      <c r="T30" s="508"/>
      <c r="U30" s="508"/>
      <c r="V30" s="508"/>
      <c r="X30" s="45">
        <v>0.625</v>
      </c>
      <c r="Y30" s="106"/>
      <c r="Z30" s="102"/>
      <c r="AA30" s="102"/>
      <c r="AB30" s="45" t="str">
        <f t="shared" si="18"/>
        <v/>
      </c>
      <c r="AC30" s="45" t="str">
        <f t="shared" si="1"/>
        <v/>
      </c>
      <c r="AD30" s="81"/>
      <c r="AE30" s="9" t="str">
        <f>IF(S30="","",IF(COUNTA(Z30:$Z$39)=1,IF(COUNTA(AD30:$AD$39)=1,""," ; "),IF(COUNTA(AD30:$AD$39)=1,IF(Z30="",""," ; ")," ; ")))</f>
        <v/>
      </c>
      <c r="AF30" s="9" t="str">
        <f t="shared" si="2"/>
        <v/>
      </c>
      <c r="AG30" s="90" t="str">
        <f t="shared" si="3"/>
        <v/>
      </c>
      <c r="AH30" s="204" t="s">
        <v>260</v>
      </c>
      <c r="AJ30" s="206">
        <f t="shared" si="19"/>
        <v>500</v>
      </c>
      <c r="AK30" s="206">
        <f t="shared" si="19"/>
        <v>100</v>
      </c>
      <c r="AL30" s="206">
        <f t="shared" si="19"/>
        <v>2</v>
      </c>
      <c r="AM30" s="213">
        <f t="shared" si="19"/>
        <v>0.875</v>
      </c>
      <c r="AN30" s="214">
        <f t="shared" si="19"/>
        <v>0.63607464142166403</v>
      </c>
      <c r="AO30" s="215">
        <f t="shared" si="4"/>
        <v>-14.7</v>
      </c>
      <c r="AP30" s="216">
        <f t="shared" si="5"/>
        <v>1</v>
      </c>
      <c r="AQ30" s="216">
        <f t="shared" si="6"/>
        <v>1</v>
      </c>
      <c r="AR30" s="215">
        <f t="shared" si="20"/>
        <v>158.47</v>
      </c>
      <c r="AS30" s="216">
        <f t="shared" si="7"/>
        <v>0.9723448696087954</v>
      </c>
      <c r="AT30" s="216">
        <f t="shared" si="8"/>
        <v>1.2538510821608391</v>
      </c>
      <c r="AU30" s="216">
        <f t="shared" si="9"/>
        <v>2.2360679774997898</v>
      </c>
      <c r="AV30" s="217">
        <f t="shared" si="10"/>
        <v>10.368348541764712</v>
      </c>
      <c r="AW30" s="216">
        <f t="shared" si="11"/>
        <v>0</v>
      </c>
      <c r="AX30" s="218">
        <f t="shared" si="12"/>
        <v>1.4831709199797398</v>
      </c>
      <c r="AY30" s="216">
        <f t="shared" si="13"/>
        <v>0.77643477842613629</v>
      </c>
      <c r="AZ30" s="217">
        <f t="shared" si="14"/>
        <v>3.5883638597441294</v>
      </c>
      <c r="BA30" s="216">
        <f t="shared" si="15"/>
        <v>0</v>
      </c>
      <c r="BB30" s="216">
        <f t="shared" si="16"/>
        <v>1.0016542390239327</v>
      </c>
      <c r="BC30" s="216">
        <f t="shared" si="17"/>
        <v>1</v>
      </c>
    </row>
    <row r="31" spans="1:55" ht="20.100000000000001" customHeight="1" x14ac:dyDescent="0.2">
      <c r="A31" s="45">
        <v>0.66666666666666696</v>
      </c>
      <c r="B31" s="451"/>
      <c r="C31" s="451"/>
      <c r="D31" s="451">
        <v>6.1</v>
      </c>
      <c r="E31" s="451">
        <v>65.599999999999994</v>
      </c>
      <c r="F31" s="41">
        <v>1944</v>
      </c>
      <c r="G31" s="37">
        <v>-5.5</v>
      </c>
      <c r="H31" s="37">
        <v>71.3</v>
      </c>
      <c r="I31" s="37">
        <v>21</v>
      </c>
      <c r="J31" s="41">
        <v>191</v>
      </c>
      <c r="K31" s="37">
        <v>13</v>
      </c>
      <c r="L31" s="451">
        <v>127</v>
      </c>
      <c r="M31" s="451">
        <v>226</v>
      </c>
      <c r="N31" s="451">
        <v>90</v>
      </c>
      <c r="O31" s="353">
        <v>50</v>
      </c>
      <c r="P31" s="353">
        <v>10</v>
      </c>
      <c r="Q31" s="353">
        <v>227.05</v>
      </c>
      <c r="R31" s="37"/>
      <c r="S31" s="508" t="str">
        <f t="shared" si="0"/>
        <v/>
      </c>
      <c r="T31" s="508"/>
      <c r="U31" s="508"/>
      <c r="V31" s="508"/>
      <c r="X31" s="45">
        <v>0.66666666666666696</v>
      </c>
      <c r="Y31" s="106"/>
      <c r="Z31" s="102"/>
      <c r="AA31" s="102"/>
      <c r="AB31" s="45" t="str">
        <f t="shared" si="18"/>
        <v/>
      </c>
      <c r="AC31" s="45" t="str">
        <f t="shared" si="1"/>
        <v/>
      </c>
      <c r="AD31" s="81"/>
      <c r="AE31" s="9" t="str">
        <f>IF(S31="","",IF(COUNTA(Z31:$Z$39)=1,IF(COUNTA(AD31:$AD$39)=1,""," ; "),IF(COUNTA(AD31:$AD$39)=1,IF(Z31="",""," ; ")," ; ")))</f>
        <v/>
      </c>
      <c r="AF31" s="9" t="str">
        <f t="shared" si="2"/>
        <v/>
      </c>
      <c r="AG31" s="90" t="str">
        <f t="shared" si="3"/>
        <v/>
      </c>
      <c r="AH31" s="204" t="s">
        <v>226</v>
      </c>
      <c r="AJ31" s="206">
        <f t="shared" si="19"/>
        <v>500</v>
      </c>
      <c r="AK31" s="206">
        <f t="shared" si="19"/>
        <v>100</v>
      </c>
      <c r="AL31" s="206">
        <f t="shared" si="19"/>
        <v>2</v>
      </c>
      <c r="AM31" s="213">
        <f t="shared" si="19"/>
        <v>0.875</v>
      </c>
      <c r="AN31" s="214">
        <f t="shared" si="19"/>
        <v>0.63607464142166403</v>
      </c>
      <c r="AO31" s="215">
        <f t="shared" si="4"/>
        <v>-14.7</v>
      </c>
      <c r="AP31" s="216">
        <f t="shared" si="5"/>
        <v>1</v>
      </c>
      <c r="AQ31" s="216">
        <f t="shared" si="6"/>
        <v>1</v>
      </c>
      <c r="AR31" s="215">
        <f t="shared" si="20"/>
        <v>158.47</v>
      </c>
      <c r="AS31" s="216">
        <f t="shared" si="7"/>
        <v>0.9723448696087954</v>
      </c>
      <c r="AT31" s="216">
        <f t="shared" si="8"/>
        <v>1.2538510821608391</v>
      </c>
      <c r="AU31" s="216">
        <f t="shared" si="9"/>
        <v>2.2360679774997898</v>
      </c>
      <c r="AV31" s="217">
        <f t="shared" si="10"/>
        <v>10.368348541764712</v>
      </c>
      <c r="AW31" s="216">
        <f t="shared" si="11"/>
        <v>0</v>
      </c>
      <c r="AX31" s="218">
        <f t="shared" si="12"/>
        <v>1.4831709199797398</v>
      </c>
      <c r="AY31" s="216">
        <f t="shared" si="13"/>
        <v>0.77643477842613629</v>
      </c>
      <c r="AZ31" s="217">
        <f t="shared" si="14"/>
        <v>3.5883638597441294</v>
      </c>
      <c r="BA31" s="216">
        <f t="shared" si="15"/>
        <v>0</v>
      </c>
      <c r="BB31" s="216">
        <f t="shared" si="16"/>
        <v>1.0016542390239327</v>
      </c>
      <c r="BC31" s="216">
        <f t="shared" si="17"/>
        <v>1</v>
      </c>
    </row>
    <row r="32" spans="1:55" ht="20.100000000000001" customHeight="1" x14ac:dyDescent="0.2">
      <c r="A32" s="45">
        <v>0.70833333333333304</v>
      </c>
      <c r="B32" s="451"/>
      <c r="C32" s="451"/>
      <c r="D32" s="451">
        <v>6.5</v>
      </c>
      <c r="E32" s="451">
        <v>65.900000000000006</v>
      </c>
      <c r="F32" s="41">
        <v>1930</v>
      </c>
      <c r="G32" s="37">
        <v>-5.5</v>
      </c>
      <c r="H32" s="37">
        <v>71.099999999999994</v>
      </c>
      <c r="I32" s="37">
        <v>21.5</v>
      </c>
      <c r="J32" s="41">
        <v>192</v>
      </c>
      <c r="K32" s="37">
        <v>13</v>
      </c>
      <c r="L32" s="451">
        <v>127</v>
      </c>
      <c r="M32" s="451">
        <v>226</v>
      </c>
      <c r="N32" s="451">
        <v>90</v>
      </c>
      <c r="O32" s="353">
        <v>60</v>
      </c>
      <c r="P32" s="353">
        <v>10</v>
      </c>
      <c r="Q32" s="353">
        <v>244.22</v>
      </c>
      <c r="R32" s="37"/>
      <c r="S32" s="508" t="str">
        <f t="shared" si="0"/>
        <v/>
      </c>
      <c r="T32" s="508"/>
      <c r="U32" s="508"/>
      <c r="V32" s="508"/>
      <c r="X32" s="45">
        <v>0.70833333333333304</v>
      </c>
      <c r="Y32" s="106"/>
      <c r="Z32" s="102"/>
      <c r="AA32" s="102"/>
      <c r="AB32" s="45" t="str">
        <f t="shared" si="18"/>
        <v/>
      </c>
      <c r="AC32" s="45" t="str">
        <f t="shared" si="1"/>
        <v/>
      </c>
      <c r="AD32" s="81"/>
      <c r="AE32" s="9" t="str">
        <f>IF(S32="","",IF(COUNTA(Z32:$Z$39)=1,IF(COUNTA(AD32:$AD$39)=1,""," ; "),IF(COUNTA(AD32:$AD$39)=1,IF(Z32="",""," ; ")," ; ")))</f>
        <v/>
      </c>
      <c r="AF32" s="9" t="str">
        <f t="shared" si="2"/>
        <v/>
      </c>
      <c r="AG32" s="90" t="str">
        <f t="shared" si="3"/>
        <v/>
      </c>
      <c r="AH32" s="204" t="s">
        <v>313</v>
      </c>
      <c r="AJ32" s="206">
        <f t="shared" si="19"/>
        <v>500</v>
      </c>
      <c r="AK32" s="206">
        <f t="shared" si="19"/>
        <v>100</v>
      </c>
      <c r="AL32" s="206">
        <f t="shared" si="19"/>
        <v>2</v>
      </c>
      <c r="AM32" s="213">
        <f t="shared" si="19"/>
        <v>0.875</v>
      </c>
      <c r="AN32" s="214">
        <f t="shared" si="19"/>
        <v>0.63607464142166403</v>
      </c>
      <c r="AO32" s="215">
        <f t="shared" si="4"/>
        <v>-14.7</v>
      </c>
      <c r="AP32" s="216">
        <f t="shared" si="5"/>
        <v>1</v>
      </c>
      <c r="AQ32" s="216">
        <f t="shared" si="6"/>
        <v>1</v>
      </c>
      <c r="AR32" s="215">
        <f t="shared" si="20"/>
        <v>158.47</v>
      </c>
      <c r="AS32" s="216">
        <f t="shared" si="7"/>
        <v>0.9723448696087954</v>
      </c>
      <c r="AT32" s="216">
        <f t="shared" si="8"/>
        <v>1.2538510821608391</v>
      </c>
      <c r="AU32" s="216">
        <f t="shared" si="9"/>
        <v>2.2360679774997898</v>
      </c>
      <c r="AV32" s="217">
        <f t="shared" si="10"/>
        <v>10.368348541764712</v>
      </c>
      <c r="AW32" s="216">
        <f t="shared" si="11"/>
        <v>0</v>
      </c>
      <c r="AX32" s="218">
        <f t="shared" si="12"/>
        <v>1.4831709199797398</v>
      </c>
      <c r="AY32" s="216">
        <f t="shared" si="13"/>
        <v>0.77643477842613629</v>
      </c>
      <c r="AZ32" s="217">
        <f t="shared" si="14"/>
        <v>3.5883638597441294</v>
      </c>
      <c r="BA32" s="216">
        <f t="shared" si="15"/>
        <v>0</v>
      </c>
      <c r="BB32" s="216">
        <f t="shared" si="16"/>
        <v>1.0016542390239327</v>
      </c>
      <c r="BC32" s="216">
        <f t="shared" si="17"/>
        <v>1</v>
      </c>
    </row>
    <row r="33" spans="1:55" ht="20.100000000000001" customHeight="1" x14ac:dyDescent="0.2">
      <c r="A33" s="45">
        <v>0.75</v>
      </c>
      <c r="B33" s="451"/>
      <c r="C33" s="451"/>
      <c r="D33" s="451">
        <v>7.8</v>
      </c>
      <c r="E33" s="451">
        <v>67.8</v>
      </c>
      <c r="F33" s="41">
        <v>1956</v>
      </c>
      <c r="G33" s="37">
        <v>-5.5</v>
      </c>
      <c r="H33" s="37">
        <v>71.2</v>
      </c>
      <c r="I33" s="37">
        <v>21.3</v>
      </c>
      <c r="J33" s="41">
        <v>193</v>
      </c>
      <c r="K33" s="37">
        <v>13</v>
      </c>
      <c r="L33" s="451">
        <v>129</v>
      </c>
      <c r="M33" s="451">
        <v>228</v>
      </c>
      <c r="N33" s="451">
        <v>90</v>
      </c>
      <c r="O33" s="353">
        <v>55</v>
      </c>
      <c r="P33" s="353">
        <v>12</v>
      </c>
      <c r="Q33" s="353">
        <v>258.11</v>
      </c>
      <c r="R33" s="37"/>
      <c r="S33" s="508" t="str">
        <f>IF(Z33="",IF(AD33="","",AD33),CONCATENATE(TEXT(Z33,"[hh]:mm"),IF(AA33="",""," - "&amp;TEXT(AA33,"[hh]:mm")),IF(Y33="",""," "&amp;Y33&amp;"/")," "&amp;AD33))</f>
        <v/>
      </c>
      <c r="T33" s="508"/>
      <c r="U33" s="508"/>
      <c r="V33" s="508"/>
      <c r="X33" s="45">
        <v>0.75</v>
      </c>
      <c r="Y33" s="106"/>
      <c r="Z33" s="102"/>
      <c r="AA33" s="102"/>
      <c r="AB33" s="45" t="str">
        <f t="shared" si="18"/>
        <v/>
      </c>
      <c r="AC33" s="45" t="str">
        <f t="shared" si="1"/>
        <v/>
      </c>
      <c r="AD33" s="81"/>
      <c r="AE33" s="9" t="str">
        <f>IF(S33="","",IF(COUNTA(Z33:$Z$39)=1,IF(COUNTA(AD33:$AD$39)=1,""," ; "),IF(COUNTA(AD33:$AD$39)=1,IF(Z33="",""," ; ")," ; ")))</f>
        <v/>
      </c>
      <c r="AF33" s="9" t="str">
        <f t="shared" si="2"/>
        <v/>
      </c>
      <c r="AG33" s="90" t="str">
        <f t="shared" si="3"/>
        <v/>
      </c>
      <c r="AH33" s="204" t="s">
        <v>308</v>
      </c>
      <c r="AJ33" s="206">
        <f t="shared" ref="AJ33:AN39" si="21">AJ32</f>
        <v>500</v>
      </c>
      <c r="AK33" s="206">
        <f t="shared" si="21"/>
        <v>100</v>
      </c>
      <c r="AL33" s="206">
        <f t="shared" si="21"/>
        <v>2</v>
      </c>
      <c r="AM33" s="213">
        <f t="shared" si="21"/>
        <v>0.875</v>
      </c>
      <c r="AN33" s="214">
        <f t="shared" si="21"/>
        <v>0.63607464142166403</v>
      </c>
      <c r="AO33" s="215">
        <f t="shared" si="4"/>
        <v>-14.7</v>
      </c>
      <c r="AP33" s="216">
        <f t="shared" si="5"/>
        <v>1</v>
      </c>
      <c r="AQ33" s="216">
        <f t="shared" si="6"/>
        <v>1</v>
      </c>
      <c r="AR33" s="215">
        <f t="shared" si="20"/>
        <v>158.47</v>
      </c>
      <c r="AS33" s="216">
        <f t="shared" si="7"/>
        <v>0.9723448696087954</v>
      </c>
      <c r="AT33" s="216">
        <f t="shared" si="8"/>
        <v>1.2538510821608391</v>
      </c>
      <c r="AU33" s="216">
        <f t="shared" si="9"/>
        <v>2.2360679774997898</v>
      </c>
      <c r="AV33" s="217">
        <f t="shared" si="10"/>
        <v>10.368348541764712</v>
      </c>
      <c r="AW33" s="216">
        <f t="shared" si="11"/>
        <v>0</v>
      </c>
      <c r="AX33" s="218">
        <f t="shared" si="12"/>
        <v>1.4831709199797398</v>
      </c>
      <c r="AY33" s="216">
        <f t="shared" si="13"/>
        <v>0.77643477842613629</v>
      </c>
      <c r="AZ33" s="217">
        <f t="shared" si="14"/>
        <v>3.5883638597441294</v>
      </c>
      <c r="BA33" s="216">
        <f t="shared" si="15"/>
        <v>0</v>
      </c>
      <c r="BB33" s="216">
        <f t="shared" si="16"/>
        <v>1.0016542390239327</v>
      </c>
      <c r="BC33" s="216">
        <f t="shared" si="17"/>
        <v>1</v>
      </c>
    </row>
    <row r="34" spans="1:55" ht="20.100000000000001" customHeight="1" x14ac:dyDescent="0.2">
      <c r="A34" s="45">
        <v>0.79166666666666696</v>
      </c>
      <c r="B34" s="451"/>
      <c r="C34" s="451"/>
      <c r="D34" s="451">
        <v>7.4</v>
      </c>
      <c r="E34" s="451">
        <v>68.599999999999994</v>
      </c>
      <c r="F34" s="41">
        <v>1955</v>
      </c>
      <c r="G34" s="37">
        <v>-5.5</v>
      </c>
      <c r="H34" s="37">
        <v>71.400000000000006</v>
      </c>
      <c r="I34" s="37">
        <v>21.6</v>
      </c>
      <c r="J34" s="41">
        <v>194</v>
      </c>
      <c r="K34" s="37">
        <v>13</v>
      </c>
      <c r="L34" s="451">
        <v>129</v>
      </c>
      <c r="M34" s="451">
        <v>228</v>
      </c>
      <c r="N34" s="451">
        <v>90</v>
      </c>
      <c r="O34" s="353">
        <v>55</v>
      </c>
      <c r="P34" s="353">
        <v>11</v>
      </c>
      <c r="Q34" s="353">
        <v>247.2</v>
      </c>
      <c r="R34" s="37"/>
      <c r="S34" s="508" t="str">
        <f t="shared" ref="S34:S39" si="22">IF(Z34="",IF(AD34="","",AD34),CONCATENATE(TEXT(Z34,"[hh]:mm"),IF(AA34="",""," - "&amp;TEXT(AA34,"[hh]:mm")),IF(Y34="",""," "&amp;Y34&amp;"/")," "&amp;AD34))</f>
        <v/>
      </c>
      <c r="T34" s="508"/>
      <c r="U34" s="508"/>
      <c r="V34" s="508"/>
      <c r="X34" s="45">
        <v>0.79166666666666696</v>
      </c>
      <c r="Y34" s="106"/>
      <c r="Z34" s="102"/>
      <c r="AA34" s="102"/>
      <c r="AB34" s="45" t="str">
        <f t="shared" si="18"/>
        <v/>
      </c>
      <c r="AC34" s="45" t="str">
        <f t="shared" si="1"/>
        <v/>
      </c>
      <c r="AD34" s="81"/>
      <c r="AE34" s="9" t="str">
        <f>IF(S34="","",IF(COUNTA(Z34:$Z$39)=1,IF(COUNTA(AD34:$AD$39)=1,""," ; "),IF(COUNTA(AD34:$AD$39)=1,IF(Z34="",""," ; ")," ; ")))</f>
        <v/>
      </c>
      <c r="AF34" s="9" t="str">
        <f t="shared" si="2"/>
        <v/>
      </c>
      <c r="AG34" s="90" t="str">
        <f t="shared" si="3"/>
        <v/>
      </c>
      <c r="AH34" s="204" t="s">
        <v>314</v>
      </c>
      <c r="AJ34" s="206">
        <f t="shared" si="21"/>
        <v>500</v>
      </c>
      <c r="AK34" s="206">
        <f t="shared" si="21"/>
        <v>100</v>
      </c>
      <c r="AL34" s="206">
        <f t="shared" si="21"/>
        <v>2</v>
      </c>
      <c r="AM34" s="213">
        <f t="shared" si="21"/>
        <v>0.875</v>
      </c>
      <c r="AN34" s="214">
        <f t="shared" si="21"/>
        <v>0.63607464142166403</v>
      </c>
      <c r="AO34" s="215">
        <f t="shared" si="4"/>
        <v>-14.7</v>
      </c>
      <c r="AP34" s="216">
        <f t="shared" si="5"/>
        <v>1</v>
      </c>
      <c r="AQ34" s="216">
        <f t="shared" si="6"/>
        <v>1</v>
      </c>
      <c r="AR34" s="215">
        <f t="shared" si="20"/>
        <v>158.47</v>
      </c>
      <c r="AS34" s="216">
        <f t="shared" si="7"/>
        <v>0.9723448696087954</v>
      </c>
      <c r="AT34" s="216">
        <f t="shared" si="8"/>
        <v>1.2538510821608391</v>
      </c>
      <c r="AU34" s="216">
        <f t="shared" si="9"/>
        <v>2.2360679774997898</v>
      </c>
      <c r="AV34" s="217">
        <f t="shared" si="10"/>
        <v>10.368348541764712</v>
      </c>
      <c r="AW34" s="216">
        <f t="shared" si="11"/>
        <v>0</v>
      </c>
      <c r="AX34" s="218">
        <f t="shared" si="12"/>
        <v>1.4831709199797398</v>
      </c>
      <c r="AY34" s="216">
        <f t="shared" si="13"/>
        <v>0.77643477842613629</v>
      </c>
      <c r="AZ34" s="217">
        <f t="shared" si="14"/>
        <v>3.5883638597441294</v>
      </c>
      <c r="BA34" s="216">
        <f t="shared" si="15"/>
        <v>0</v>
      </c>
      <c r="BB34" s="216">
        <f t="shared" si="16"/>
        <v>1.0016542390239327</v>
      </c>
      <c r="BC34" s="216">
        <f t="shared" si="17"/>
        <v>1</v>
      </c>
    </row>
    <row r="35" spans="1:55" ht="20.100000000000001" customHeight="1" x14ac:dyDescent="0.2">
      <c r="A35" s="45">
        <v>0.83333333333333304</v>
      </c>
      <c r="B35" s="451"/>
      <c r="C35" s="451"/>
      <c r="D35" s="451">
        <v>7.6</v>
      </c>
      <c r="E35" s="451">
        <v>67.099999999999994</v>
      </c>
      <c r="F35" s="41">
        <v>1948</v>
      </c>
      <c r="G35" s="37">
        <v>-5.5</v>
      </c>
      <c r="H35" s="37">
        <v>71</v>
      </c>
      <c r="I35" s="37">
        <v>21.6</v>
      </c>
      <c r="J35" s="41">
        <v>195</v>
      </c>
      <c r="K35" s="37">
        <v>13</v>
      </c>
      <c r="L35" s="451">
        <v>128</v>
      </c>
      <c r="M35" s="451">
        <v>227</v>
      </c>
      <c r="N35" s="451">
        <v>90</v>
      </c>
      <c r="O35" s="353">
        <v>65</v>
      </c>
      <c r="P35" s="353">
        <v>10</v>
      </c>
      <c r="Q35" s="353">
        <v>252.4</v>
      </c>
      <c r="R35" s="37"/>
      <c r="S35" s="508" t="str">
        <f t="shared" si="22"/>
        <v/>
      </c>
      <c r="T35" s="508"/>
      <c r="U35" s="508"/>
      <c r="V35" s="508"/>
      <c r="X35" s="45">
        <v>0.83333333333333304</v>
      </c>
      <c r="Y35" s="106"/>
      <c r="Z35" s="102"/>
      <c r="AA35" s="102"/>
      <c r="AB35" s="45" t="str">
        <f t="shared" si="18"/>
        <v/>
      </c>
      <c r="AC35" s="45" t="str">
        <f t="shared" si="1"/>
        <v/>
      </c>
      <c r="AD35" s="81"/>
      <c r="AE35" s="9" t="str">
        <f>IF(S35="","",IF(COUNTA(Z35:$Z$39)=1,IF(COUNTA(AD35:$AD$39)=1,""," ; "),IF(COUNTA(AD35:$AD$39)=1,IF(Z35="",""," ; ")," ; ")))</f>
        <v/>
      </c>
      <c r="AF35" s="9" t="str">
        <f t="shared" si="2"/>
        <v/>
      </c>
      <c r="AG35" s="90" t="str">
        <f t="shared" si="3"/>
        <v/>
      </c>
      <c r="AH35" s="204" t="s">
        <v>227</v>
      </c>
      <c r="AJ35" s="206">
        <f t="shared" si="21"/>
        <v>500</v>
      </c>
      <c r="AK35" s="206">
        <f t="shared" si="21"/>
        <v>100</v>
      </c>
      <c r="AL35" s="206">
        <f t="shared" si="21"/>
        <v>2</v>
      </c>
      <c r="AM35" s="213">
        <f t="shared" si="21"/>
        <v>0.875</v>
      </c>
      <c r="AN35" s="214">
        <f t="shared" si="21"/>
        <v>0.63607464142166403</v>
      </c>
      <c r="AO35" s="215">
        <f t="shared" si="4"/>
        <v>-14.7</v>
      </c>
      <c r="AP35" s="216">
        <f t="shared" si="5"/>
        <v>1</v>
      </c>
      <c r="AQ35" s="216">
        <f t="shared" si="6"/>
        <v>1</v>
      </c>
      <c r="AR35" s="215">
        <f t="shared" si="20"/>
        <v>158.47</v>
      </c>
      <c r="AS35" s="216">
        <f t="shared" si="7"/>
        <v>0.9723448696087954</v>
      </c>
      <c r="AT35" s="216">
        <f t="shared" si="8"/>
        <v>1.2538510821608391</v>
      </c>
      <c r="AU35" s="216">
        <f t="shared" si="9"/>
        <v>2.2360679774997898</v>
      </c>
      <c r="AV35" s="217">
        <f t="shared" si="10"/>
        <v>10.368348541764712</v>
      </c>
      <c r="AW35" s="216">
        <f t="shared" si="11"/>
        <v>0</v>
      </c>
      <c r="AX35" s="218">
        <f t="shared" si="12"/>
        <v>1.4831709199797398</v>
      </c>
      <c r="AY35" s="216">
        <f t="shared" si="13"/>
        <v>0.77643477842613629</v>
      </c>
      <c r="AZ35" s="217">
        <f t="shared" si="14"/>
        <v>3.5883638597441294</v>
      </c>
      <c r="BA35" s="216">
        <f t="shared" si="15"/>
        <v>0</v>
      </c>
      <c r="BB35" s="216">
        <f t="shared" si="16"/>
        <v>1.0016542390239327</v>
      </c>
      <c r="BC35" s="216">
        <f t="shared" si="17"/>
        <v>1</v>
      </c>
    </row>
    <row r="36" spans="1:55" ht="20.100000000000001" customHeight="1" x14ac:dyDescent="0.2">
      <c r="A36" s="45">
        <v>0.875</v>
      </c>
      <c r="B36" s="451"/>
      <c r="C36" s="451"/>
      <c r="D36" s="451">
        <v>7.2</v>
      </c>
      <c r="E36" s="451">
        <v>68.3</v>
      </c>
      <c r="F36" s="41">
        <v>1920</v>
      </c>
      <c r="G36" s="37">
        <v>-5.5</v>
      </c>
      <c r="H36" s="37">
        <v>71.599999999999994</v>
      </c>
      <c r="I36" s="37">
        <v>21.6</v>
      </c>
      <c r="J36" s="41">
        <v>196</v>
      </c>
      <c r="K36" s="37">
        <v>13</v>
      </c>
      <c r="L36" s="451">
        <v>127</v>
      </c>
      <c r="M36" s="451">
        <v>226</v>
      </c>
      <c r="N36" s="451">
        <v>90</v>
      </c>
      <c r="O36" s="353">
        <v>70</v>
      </c>
      <c r="P36" s="353">
        <v>6</v>
      </c>
      <c r="Q36" s="353">
        <v>202.05</v>
      </c>
      <c r="R36" s="37"/>
      <c r="S36" s="508" t="str">
        <f t="shared" si="22"/>
        <v/>
      </c>
      <c r="T36" s="508"/>
      <c r="U36" s="508"/>
      <c r="V36" s="508"/>
      <c r="X36" s="45">
        <v>0.875</v>
      </c>
      <c r="Y36" s="106"/>
      <c r="Z36" s="102"/>
      <c r="AA36" s="102"/>
      <c r="AB36" s="45" t="str">
        <f t="shared" si="18"/>
        <v/>
      </c>
      <c r="AC36" s="45" t="str">
        <f t="shared" si="1"/>
        <v/>
      </c>
      <c r="AD36" s="81"/>
      <c r="AE36" s="9" t="str">
        <f>IF(S36="","",IF(COUNTA(Z36:$Z$39)=1,IF(COUNTA(AD36:$AD$39)=1,""," ; "),IF(COUNTA(AD36:$AD$39)=1,IF(Z36="",""," ; ")," ; ")))</f>
        <v/>
      </c>
      <c r="AF36" s="9" t="str">
        <f t="shared" si="2"/>
        <v/>
      </c>
      <c r="AG36" s="90" t="str">
        <f t="shared" si="3"/>
        <v/>
      </c>
      <c r="AH36" s="204" t="s">
        <v>309</v>
      </c>
      <c r="AJ36" s="206">
        <f t="shared" si="21"/>
        <v>500</v>
      </c>
      <c r="AK36" s="206">
        <f t="shared" si="21"/>
        <v>100</v>
      </c>
      <c r="AL36" s="206">
        <f t="shared" si="21"/>
        <v>2</v>
      </c>
      <c r="AM36" s="213">
        <f t="shared" si="21"/>
        <v>0.875</v>
      </c>
      <c r="AN36" s="214">
        <f t="shared" si="21"/>
        <v>0.63607464142166403</v>
      </c>
      <c r="AO36" s="215">
        <f t="shared" si="4"/>
        <v>-14.7</v>
      </c>
      <c r="AP36" s="216">
        <f t="shared" si="5"/>
        <v>1</v>
      </c>
      <c r="AQ36" s="216">
        <f t="shared" si="6"/>
        <v>1</v>
      </c>
      <c r="AR36" s="215">
        <f t="shared" si="20"/>
        <v>158.47</v>
      </c>
      <c r="AS36" s="216">
        <f t="shared" si="7"/>
        <v>0.9723448696087954</v>
      </c>
      <c r="AT36" s="216">
        <f t="shared" si="8"/>
        <v>1.2538510821608391</v>
      </c>
      <c r="AU36" s="216">
        <f t="shared" si="9"/>
        <v>2.2360679774997898</v>
      </c>
      <c r="AV36" s="217">
        <f t="shared" si="10"/>
        <v>10.368348541764712</v>
      </c>
      <c r="AW36" s="216">
        <f t="shared" si="11"/>
        <v>0</v>
      </c>
      <c r="AX36" s="218">
        <f t="shared" si="12"/>
        <v>1.4831709199797398</v>
      </c>
      <c r="AY36" s="216">
        <f t="shared" si="13"/>
        <v>0.77643477842613629</v>
      </c>
      <c r="AZ36" s="217">
        <f t="shared" si="14"/>
        <v>3.5883638597441294</v>
      </c>
      <c r="BA36" s="216">
        <f t="shared" si="15"/>
        <v>0</v>
      </c>
      <c r="BB36" s="216">
        <f t="shared" si="16"/>
        <v>1.0016542390239327</v>
      </c>
      <c r="BC36" s="216">
        <f t="shared" si="17"/>
        <v>1</v>
      </c>
    </row>
    <row r="37" spans="1:55" ht="20.100000000000001" customHeight="1" x14ac:dyDescent="0.2">
      <c r="A37" s="45">
        <v>0.91666666666666696</v>
      </c>
      <c r="B37" s="451"/>
      <c r="C37" s="451"/>
      <c r="D37" s="451">
        <v>7</v>
      </c>
      <c r="E37" s="451">
        <v>66</v>
      </c>
      <c r="F37" s="41">
        <v>1941</v>
      </c>
      <c r="G37" s="37">
        <v>-5.5</v>
      </c>
      <c r="H37" s="37">
        <v>71.2</v>
      </c>
      <c r="I37" s="37">
        <v>21.2</v>
      </c>
      <c r="J37" s="41">
        <v>197</v>
      </c>
      <c r="K37" s="37">
        <v>13</v>
      </c>
      <c r="L37" s="451">
        <v>126</v>
      </c>
      <c r="M37" s="451">
        <v>225</v>
      </c>
      <c r="N37" s="451">
        <v>90</v>
      </c>
      <c r="O37" s="353">
        <v>70</v>
      </c>
      <c r="P37" s="353">
        <v>6</v>
      </c>
      <c r="Q37" s="353">
        <v>202.05</v>
      </c>
      <c r="R37" s="37"/>
      <c r="S37" s="508" t="str">
        <f t="shared" si="22"/>
        <v/>
      </c>
      <c r="T37" s="508"/>
      <c r="U37" s="508"/>
      <c r="V37" s="508"/>
      <c r="X37" s="45">
        <v>0.91666666666666696</v>
      </c>
      <c r="Y37" s="106"/>
      <c r="Z37" s="102"/>
      <c r="AA37" s="102"/>
      <c r="AB37" s="45" t="str">
        <f t="shared" si="18"/>
        <v/>
      </c>
      <c r="AC37" s="45" t="str">
        <f t="shared" si="1"/>
        <v/>
      </c>
      <c r="AD37" s="81"/>
      <c r="AE37" s="9" t="str">
        <f>IF(S37="","",IF(COUNTA(Z37:$Z$39)=1,IF(COUNTA(AD37:$AD$39)=1,""," ; "),IF(COUNTA(AD37:$AD$39)=1,IF(Z37="",""," ; ")," ; ")))</f>
        <v/>
      </c>
      <c r="AF37" s="9" t="str">
        <f t="shared" si="2"/>
        <v/>
      </c>
      <c r="AG37" s="90" t="str">
        <f t="shared" si="3"/>
        <v/>
      </c>
      <c r="AH37" s="204" t="s">
        <v>319</v>
      </c>
      <c r="AJ37" s="206">
        <f t="shared" si="21"/>
        <v>500</v>
      </c>
      <c r="AK37" s="206">
        <f t="shared" si="21"/>
        <v>100</v>
      </c>
      <c r="AL37" s="206">
        <f t="shared" si="21"/>
        <v>2</v>
      </c>
      <c r="AM37" s="213">
        <f t="shared" si="21"/>
        <v>0.875</v>
      </c>
      <c r="AN37" s="214">
        <f t="shared" si="21"/>
        <v>0.63607464142166403</v>
      </c>
      <c r="AO37" s="215">
        <f t="shared" si="4"/>
        <v>-14.7</v>
      </c>
      <c r="AP37" s="216">
        <f t="shared" si="5"/>
        <v>1</v>
      </c>
      <c r="AQ37" s="216">
        <f t="shared" si="6"/>
        <v>1</v>
      </c>
      <c r="AR37" s="215">
        <f t="shared" si="20"/>
        <v>158.47</v>
      </c>
      <c r="AS37" s="216">
        <f t="shared" si="7"/>
        <v>0.9723448696087954</v>
      </c>
      <c r="AT37" s="216">
        <f t="shared" si="8"/>
        <v>1.2538510821608391</v>
      </c>
      <c r="AU37" s="216">
        <f t="shared" si="9"/>
        <v>2.2360679774997898</v>
      </c>
      <c r="AV37" s="217">
        <f t="shared" si="10"/>
        <v>10.368348541764712</v>
      </c>
      <c r="AW37" s="216">
        <f t="shared" si="11"/>
        <v>0</v>
      </c>
      <c r="AX37" s="218">
        <f t="shared" si="12"/>
        <v>1.4831709199797398</v>
      </c>
      <c r="AY37" s="216">
        <f t="shared" si="13"/>
        <v>0.77643477842613629</v>
      </c>
      <c r="AZ37" s="217">
        <f t="shared" si="14"/>
        <v>3.5883638597441294</v>
      </c>
      <c r="BA37" s="216">
        <f t="shared" si="15"/>
        <v>0</v>
      </c>
      <c r="BB37" s="216">
        <f t="shared" si="16"/>
        <v>1.0016542390239327</v>
      </c>
      <c r="BC37" s="216">
        <f t="shared" si="17"/>
        <v>1</v>
      </c>
    </row>
    <row r="38" spans="1:55" ht="20.100000000000001" customHeight="1" x14ac:dyDescent="0.2">
      <c r="A38" s="45">
        <v>0.95833333333333304</v>
      </c>
      <c r="B38" s="451"/>
      <c r="C38" s="451"/>
      <c r="D38" s="451">
        <v>7.8</v>
      </c>
      <c r="E38" s="451">
        <v>66.599999999999994</v>
      </c>
      <c r="F38" s="41">
        <v>1922</v>
      </c>
      <c r="G38" s="37">
        <v>-5.5</v>
      </c>
      <c r="H38" s="37">
        <v>71.8</v>
      </c>
      <c r="I38" s="37">
        <v>21.8</v>
      </c>
      <c r="J38" s="41">
        <v>198</v>
      </c>
      <c r="K38" s="37">
        <v>13</v>
      </c>
      <c r="L38" s="451">
        <v>127</v>
      </c>
      <c r="M38" s="451">
        <v>225</v>
      </c>
      <c r="N38" s="451">
        <v>90</v>
      </c>
      <c r="O38" s="353">
        <v>70</v>
      </c>
      <c r="P38" s="353">
        <v>6</v>
      </c>
      <c r="Q38" s="353">
        <v>202.05</v>
      </c>
      <c r="R38" s="37"/>
      <c r="S38" s="508" t="str">
        <f t="shared" si="22"/>
        <v/>
      </c>
      <c r="T38" s="508"/>
      <c r="U38" s="508"/>
      <c r="V38" s="508"/>
      <c r="X38" s="45">
        <v>0.95833333333333304</v>
      </c>
      <c r="Y38" s="106"/>
      <c r="Z38" s="102"/>
      <c r="AA38" s="102"/>
      <c r="AB38" s="45" t="str">
        <f t="shared" si="18"/>
        <v/>
      </c>
      <c r="AC38" s="45" t="str">
        <f t="shared" si="1"/>
        <v/>
      </c>
      <c r="AD38" s="81"/>
      <c r="AE38" s="9" t="str">
        <f>IF(S38="","",IF(COUNTA(Z38:$Z$39)=1,IF(COUNTA(AD38:$AD$39)=1,""," ; "),IF(COUNTA(AD38:$AD$39)=1,IF(Z38="",""," ; ")," ; ")))</f>
        <v/>
      </c>
      <c r="AF38" s="9" t="str">
        <f t="shared" si="2"/>
        <v/>
      </c>
      <c r="AG38" s="90" t="str">
        <f t="shared" si="3"/>
        <v/>
      </c>
      <c r="AH38" s="204" t="s">
        <v>219</v>
      </c>
      <c r="AJ38" s="206">
        <f t="shared" si="21"/>
        <v>500</v>
      </c>
      <c r="AK38" s="206">
        <f t="shared" si="21"/>
        <v>100</v>
      </c>
      <c r="AL38" s="206">
        <f t="shared" si="21"/>
        <v>2</v>
      </c>
      <c r="AM38" s="213">
        <f t="shared" si="21"/>
        <v>0.875</v>
      </c>
      <c r="AN38" s="214">
        <f t="shared" si="21"/>
        <v>0.63607464142166403</v>
      </c>
      <c r="AO38" s="215">
        <f t="shared" si="4"/>
        <v>-14.7</v>
      </c>
      <c r="AP38" s="216">
        <f t="shared" si="5"/>
        <v>1</v>
      </c>
      <c r="AQ38" s="216">
        <f t="shared" si="6"/>
        <v>1</v>
      </c>
      <c r="AR38" s="215">
        <f t="shared" si="20"/>
        <v>158.47</v>
      </c>
      <c r="AS38" s="216">
        <f t="shared" si="7"/>
        <v>0.9723448696087954</v>
      </c>
      <c r="AT38" s="216">
        <f t="shared" si="8"/>
        <v>1.2538510821608391</v>
      </c>
      <c r="AU38" s="216">
        <f t="shared" si="9"/>
        <v>2.2360679774997898</v>
      </c>
      <c r="AV38" s="217">
        <f t="shared" si="10"/>
        <v>10.368348541764712</v>
      </c>
      <c r="AW38" s="216">
        <f t="shared" si="11"/>
        <v>0</v>
      </c>
      <c r="AX38" s="218">
        <f t="shared" si="12"/>
        <v>1.4831709199797398</v>
      </c>
      <c r="AY38" s="216">
        <f t="shared" si="13"/>
        <v>0.77643477842613629</v>
      </c>
      <c r="AZ38" s="217">
        <f t="shared" si="14"/>
        <v>3.5883638597441294</v>
      </c>
      <c r="BA38" s="216">
        <f t="shared" si="15"/>
        <v>0</v>
      </c>
      <c r="BB38" s="216">
        <f t="shared" si="16"/>
        <v>1.0016542390239327</v>
      </c>
      <c r="BC38" s="216">
        <f t="shared" si="17"/>
        <v>1</v>
      </c>
    </row>
    <row r="39" spans="1:55" ht="20.100000000000001" customHeight="1" thickBot="1" x14ac:dyDescent="0.25">
      <c r="A39" s="46">
        <v>1</v>
      </c>
      <c r="B39" s="451"/>
      <c r="C39" s="451"/>
      <c r="D39" s="451">
        <v>7.2</v>
      </c>
      <c r="E39" s="451">
        <v>65.2</v>
      </c>
      <c r="F39" s="41">
        <v>1941</v>
      </c>
      <c r="G39" s="37">
        <v>-5.5</v>
      </c>
      <c r="H39" s="37">
        <v>71.099999999999994</v>
      </c>
      <c r="I39" s="37">
        <v>21.1</v>
      </c>
      <c r="J39" s="41">
        <v>199</v>
      </c>
      <c r="K39" s="37">
        <v>13</v>
      </c>
      <c r="L39" s="452">
        <v>127</v>
      </c>
      <c r="M39" s="451">
        <v>224</v>
      </c>
      <c r="N39" s="451">
        <v>90</v>
      </c>
      <c r="O39" s="353">
        <v>50</v>
      </c>
      <c r="P39" s="353">
        <v>9</v>
      </c>
      <c r="Q39" s="354">
        <v>215.49</v>
      </c>
      <c r="R39" s="38"/>
      <c r="S39" s="512" t="str">
        <f t="shared" si="22"/>
        <v/>
      </c>
      <c r="T39" s="512"/>
      <c r="U39" s="512"/>
      <c r="V39" s="512"/>
      <c r="X39" s="46">
        <v>1</v>
      </c>
      <c r="Y39" s="107"/>
      <c r="Z39" s="103"/>
      <c r="AA39" s="103"/>
      <c r="AB39" s="46" t="str">
        <f t="shared" si="18"/>
        <v/>
      </c>
      <c r="AC39" s="46" t="str">
        <f t="shared" si="1"/>
        <v/>
      </c>
      <c r="AD39" s="82"/>
      <c r="AE39" s="9" t="str">
        <f>IF(S39="","",IF(COUNTA(Z39:$Z$39)=1,IF(COUNTA(AD39:$AD$39)=1,""," ; "),IF(COUNTA(AD39:$AD$39)=1,IF(Z39="",""," ; ")," ; ")))</f>
        <v/>
      </c>
      <c r="AF39" s="9" t="str">
        <f t="shared" si="2"/>
        <v/>
      </c>
      <c r="AG39" s="90" t="str">
        <f t="shared" si="3"/>
        <v/>
      </c>
      <c r="AH39" s="204" t="s">
        <v>220</v>
      </c>
      <c r="AJ39" s="219">
        <f t="shared" si="21"/>
        <v>500</v>
      </c>
      <c r="AK39" s="219">
        <f t="shared" si="21"/>
        <v>100</v>
      </c>
      <c r="AL39" s="219">
        <f t="shared" si="21"/>
        <v>2</v>
      </c>
      <c r="AM39" s="220">
        <f t="shared" si="21"/>
        <v>0.875</v>
      </c>
      <c r="AN39" s="221">
        <f t="shared" si="21"/>
        <v>0.63607464142166403</v>
      </c>
      <c r="AO39" s="222">
        <f t="shared" si="4"/>
        <v>-14.7</v>
      </c>
      <c r="AP39" s="223">
        <f t="shared" si="5"/>
        <v>1</v>
      </c>
      <c r="AQ39" s="223">
        <f t="shared" si="6"/>
        <v>1</v>
      </c>
      <c r="AR39" s="222">
        <f t="shared" si="20"/>
        <v>158.47</v>
      </c>
      <c r="AS39" s="223">
        <f t="shared" si="7"/>
        <v>0.9723448696087954</v>
      </c>
      <c r="AT39" s="223">
        <f t="shared" si="8"/>
        <v>1.2538510821608391</v>
      </c>
      <c r="AU39" s="223">
        <f t="shared" si="9"/>
        <v>2.2360679774997898</v>
      </c>
      <c r="AV39" s="224">
        <f t="shared" si="10"/>
        <v>10.368348541764712</v>
      </c>
      <c r="AW39" s="223">
        <f t="shared" si="11"/>
        <v>0</v>
      </c>
      <c r="AX39" s="225">
        <f t="shared" si="12"/>
        <v>1.4831709199797398</v>
      </c>
      <c r="AY39" s="223">
        <f t="shared" si="13"/>
        <v>0.77643477842613629</v>
      </c>
      <c r="AZ39" s="224">
        <f t="shared" si="14"/>
        <v>3.5883638597441294</v>
      </c>
      <c r="BA39" s="223">
        <f t="shared" si="15"/>
        <v>0</v>
      </c>
      <c r="BB39" s="223">
        <f t="shared" si="16"/>
        <v>1.0016542390239327</v>
      </c>
      <c r="BC39" s="223">
        <f t="shared" si="17"/>
        <v>1</v>
      </c>
    </row>
    <row r="40" spans="1:55" ht="20.100000000000001" customHeight="1" thickBot="1" x14ac:dyDescent="0.3">
      <c r="A40" s="53" t="s">
        <v>11</v>
      </c>
      <c r="B40" s="453" t="str">
        <f>IFERROR(ROUND(AVERAGE(B16:B39),2),"")</f>
        <v/>
      </c>
      <c r="C40" s="453" t="str">
        <f>IFERROR(ROUND(AVERAGE(C16:C39),2),"")</f>
        <v/>
      </c>
      <c r="D40" s="453">
        <f>IFERROR(ROUND(AVERAGE(D16:D39),2),"")</f>
        <v>6.8</v>
      </c>
      <c r="E40" s="453">
        <f>IFERROR(ROUND(AVERAGE(E16:E39),2),"")</f>
        <v>61.2</v>
      </c>
      <c r="F40" s="55">
        <f>IFERROR(ROUND(AVERAGE(F16:F39),0),"")</f>
        <v>1945</v>
      </c>
      <c r="G40" s="54">
        <f>IFERROR(AVERAGE(G16:G39),"")</f>
        <v>-5.5</v>
      </c>
      <c r="H40" s="54">
        <f>IFERROR(AVERAGE(H16:H39),"")</f>
        <v>71.416666666666671</v>
      </c>
      <c r="I40" s="54">
        <f>IFERROR(AVERAGE(I16:I39),"")</f>
        <v>21.500000000000004</v>
      </c>
      <c r="J40" s="71"/>
      <c r="K40" s="111">
        <f>IFERROR(AVERAGE(K16:K39),"")</f>
        <v>13</v>
      </c>
      <c r="L40" s="453">
        <f t="shared" ref="L40:P40" si="23">IFERROR(ROUND(AVERAGE(L16:L39),1),"")</f>
        <v>125.2</v>
      </c>
      <c r="M40" s="453">
        <f t="shared" si="23"/>
        <v>225</v>
      </c>
      <c r="N40" s="453">
        <f t="shared" si="23"/>
        <v>90</v>
      </c>
      <c r="O40" s="456">
        <f t="shared" si="23"/>
        <v>54</v>
      </c>
      <c r="P40" s="456">
        <f t="shared" si="23"/>
        <v>9.6</v>
      </c>
      <c r="Q40" s="456">
        <f>IF($I$47=1,$M$49,$Q$44)</f>
        <v>200.1</v>
      </c>
      <c r="R40" s="54" t="str">
        <f>IFERROR(ROUND(AVERAGE(R16:R39),1),"")</f>
        <v/>
      </c>
      <c r="S40" s="509"/>
      <c r="T40" s="510"/>
      <c r="U40" s="510"/>
      <c r="V40" s="511"/>
      <c r="X40" s="99"/>
      <c r="Y40" s="99"/>
      <c r="Z40" s="99"/>
      <c r="AA40" s="99"/>
      <c r="AB40" s="104">
        <f>SUM(AB16:AB39)</f>
        <v>0</v>
      </c>
      <c r="AC40" s="104">
        <f>SUM(AC16:AC39)</f>
        <v>0</v>
      </c>
      <c r="AD40" s="92" t="str">
        <f>IF(OR(COUNTBLANK(D16:E39)+COUNTBLANK(O16:P39)=0,COUNTA(S16:V39)&lt;&gt;0),"","CEK : Blank Data - Remarks")</f>
        <v/>
      </c>
      <c r="AG40" s="90" t="str">
        <f>IF(COUNTIF(AG16:AG39,"")=COUNTA(AG16:AG39),"","CEK : Data Flowrate")</f>
        <v/>
      </c>
      <c r="AH40" s="204" t="s">
        <v>311</v>
      </c>
    </row>
    <row r="41" spans="1:55" ht="20.100000000000001" hidden="1" customHeight="1" thickBot="1" x14ac:dyDescent="0.3">
      <c r="A41" s="49" t="s">
        <v>12</v>
      </c>
      <c r="B41" s="52" t="str">
        <f>IF(COUNT(B16:B39)&gt;0,ROUND(MIN(B16:B39),2),"")</f>
        <v/>
      </c>
      <c r="C41" s="52" t="str">
        <f>IF(COUNT(C16:C39)&gt;0,ROUND(MIN(C16:C39),2),"")</f>
        <v/>
      </c>
      <c r="D41" s="52">
        <f>IF(COUNT(D16:D39)&gt;0,ROUND(MIN(D16:D39),2),"")</f>
        <v>3.5</v>
      </c>
      <c r="E41" s="52">
        <f>IF(COUNT(E16:E39)&gt;0,ROUND(MIN(E16:E39),2),"")</f>
        <v>51.4</v>
      </c>
      <c r="F41" s="51">
        <f>IF(COUNT(F16:F39)&gt;0,ROUND(MIN(F16:F39),0),"")</f>
        <v>1915</v>
      </c>
      <c r="G41" s="50">
        <f>IF(COUNT(G16:G39)&gt;0,MIN(G16:G39),"")</f>
        <v>-5.5</v>
      </c>
      <c r="H41" s="50">
        <f>IF(COUNT(H16:H39)&gt;0,MIN(H16:H39),"")</f>
        <v>71</v>
      </c>
      <c r="I41" s="50">
        <f>IF(COUNT(I16:I39)&gt;0,MIN(I16:I39),"")</f>
        <v>21</v>
      </c>
      <c r="J41" s="72"/>
      <c r="K41" s="50">
        <f>IF(COUNT(K16:K39)&gt;0,MIN(K16:K39),"")</f>
        <v>13</v>
      </c>
      <c r="L41" s="52">
        <f>IF(COUNT(L16:L39)&gt;0,ROUND(MIN(L16:L39),1),"")</f>
        <v>120</v>
      </c>
      <c r="M41" s="52">
        <f>IF(COUNT(M16:M39)&gt;0,ROUND(MIN(M16:M39),1),"")</f>
        <v>220</v>
      </c>
      <c r="N41" s="52">
        <f>IF(COUNT(N16:N39)&gt;0,ROUND(MIN(N16:N39),1),"")</f>
        <v>90</v>
      </c>
      <c r="O41" s="440">
        <f>IF(COUNT(O16:O39)&gt;0,ROUND(MIN(O16:O39),1),"")</f>
        <v>50</v>
      </c>
      <c r="P41" s="440">
        <f>IF(COUNT(P16:P39)&gt;0,ROUND(MIN(P16:P39),1),"")</f>
        <v>6</v>
      </c>
      <c r="Q41" s="440">
        <f>IF(COUNT(Q16:Q39)&gt;0,ROUND(MIN(Q16:Q39),4),"")</f>
        <v>202.05</v>
      </c>
      <c r="R41" s="121" t="str">
        <f>IF(COUNT(R16:R39)&gt;0,ROUND(MIN(R16:R39),1),"")</f>
        <v/>
      </c>
      <c r="S41" s="509"/>
      <c r="T41" s="510"/>
      <c r="U41" s="510"/>
      <c r="V41" s="511"/>
      <c r="X41" s="99"/>
      <c r="Y41" s="99"/>
      <c r="Z41" s="99"/>
      <c r="AA41" s="99"/>
      <c r="AB41" s="99"/>
      <c r="AC41" s="99"/>
      <c r="AH41" s="204" t="s">
        <v>318</v>
      </c>
    </row>
    <row r="42" spans="1:55" ht="20.100000000000001" hidden="1" customHeight="1" thickBot="1" x14ac:dyDescent="0.3">
      <c r="A42" s="21" t="s">
        <v>13</v>
      </c>
      <c r="B42" s="454" t="str">
        <f>IF(COUNT(B16:B39)&gt;0,ROUND(MAX(B16:B39),2),"")</f>
        <v/>
      </c>
      <c r="C42" s="454" t="str">
        <f>IF(COUNT(C16:C39)&gt;0,ROUND(MAX(C16:C39),2),"")</f>
        <v/>
      </c>
      <c r="D42" s="454">
        <f>IF(COUNT(D16:D39)&gt;0,ROUND(MAX(D16:D39),2),"")</f>
        <v>8</v>
      </c>
      <c r="E42" s="454">
        <f>IF(COUNT(E16:E39)&gt;0,ROUND(MAX(E16:E39),2),"")</f>
        <v>68.599999999999994</v>
      </c>
      <c r="F42" s="43">
        <f>IF(COUNT(F16:F39)&gt;0,ROUND(MAX(F16:F39),0),"")</f>
        <v>1980</v>
      </c>
      <c r="G42" s="39">
        <f>IF(COUNT(G16:G39)&gt;0,MAX(G16:G39),"")</f>
        <v>-5.5</v>
      </c>
      <c r="H42" s="39">
        <f>IF(COUNT(H16:H39)&gt;0,MAX(H16:H39),"")</f>
        <v>71.900000000000006</v>
      </c>
      <c r="I42" s="39">
        <f>IF(COUNT(I16:I39)&gt;0,MAX(I16:I39),"")</f>
        <v>21.9</v>
      </c>
      <c r="J42" s="43">
        <f>IF(COUNT(J16:J39)&gt;0,MAX(J16:J39),"")</f>
        <v>199</v>
      </c>
      <c r="K42" s="39">
        <f>IF(COUNT(K16:K39)&gt;0,MAX(K16:K39),"")</f>
        <v>13</v>
      </c>
      <c r="L42" s="454">
        <f>IF(COUNT(L16:L39)&gt;0,ROUND(MAX(L16:L39),1),"")</f>
        <v>129</v>
      </c>
      <c r="M42" s="454">
        <f>IF(COUNT(M16:M39)&gt;0,ROUND(MAX(M16:M39),1),"")</f>
        <v>230</v>
      </c>
      <c r="N42" s="454">
        <f>IF(COUNT(N16:N39)&gt;0,ROUND(MAX(N16:N39),1),"")</f>
        <v>90</v>
      </c>
      <c r="O42" s="441">
        <f>IF(COUNT(O16:O39)&gt;0,ROUND(MAX(O16:O39),1),"")</f>
        <v>70</v>
      </c>
      <c r="P42" s="441">
        <f>IF(COUNT(P16:P39)&gt;0,ROUND(MAX(P16:P39),1),"")</f>
        <v>13</v>
      </c>
      <c r="Q42" s="441">
        <f>IF(COUNT(Q16:Q39)&gt;0,ROUND(MAX(Q16:Q39),4),"")</f>
        <v>258.61</v>
      </c>
      <c r="R42" s="39" t="str">
        <f>IF(COUNT(R16:R39)&gt;0,ROUND(MAX(R16:R39),1),"")</f>
        <v/>
      </c>
      <c r="S42" s="509"/>
      <c r="T42" s="510"/>
      <c r="U42" s="510"/>
      <c r="V42" s="511"/>
      <c r="X42" s="99"/>
      <c r="Y42" s="99"/>
      <c r="Z42" s="99"/>
      <c r="AA42" s="99"/>
      <c r="AB42" s="99"/>
      <c r="AC42" s="99"/>
      <c r="AH42" s="204" t="s">
        <v>312</v>
      </c>
    </row>
    <row r="43" spans="1:55" ht="20.100000000000001" hidden="1" customHeight="1" x14ac:dyDescent="0.25">
      <c r="A43" s="109"/>
      <c r="B43" s="110">
        <f>COUNT(B16:B39)</f>
        <v>0</v>
      </c>
      <c r="C43" s="110">
        <f>COUNT(C16:C39)</f>
        <v>0</v>
      </c>
      <c r="D43" s="110">
        <f>COUNT(D16:D39)</f>
        <v>24</v>
      </c>
      <c r="E43" s="110">
        <f t="shared" ref="E43:H43" si="24">COUNT(E16:E39)</f>
        <v>24</v>
      </c>
      <c r="F43" s="110">
        <f t="shared" si="24"/>
        <v>24</v>
      </c>
      <c r="G43" s="110">
        <f t="shared" si="24"/>
        <v>24</v>
      </c>
      <c r="H43" s="110">
        <f t="shared" si="24"/>
        <v>24</v>
      </c>
      <c r="I43" s="110"/>
      <c r="J43" s="110"/>
      <c r="K43" s="110"/>
      <c r="L43" s="110">
        <f t="shared" ref="L43:Q43" si="25">COUNT(L16:L39)</f>
        <v>24</v>
      </c>
      <c r="M43" s="110">
        <f t="shared" si="25"/>
        <v>24</v>
      </c>
      <c r="N43" s="110">
        <f t="shared" si="25"/>
        <v>24</v>
      </c>
      <c r="O43" s="110">
        <f t="shared" si="25"/>
        <v>24</v>
      </c>
      <c r="P43" s="110">
        <f t="shared" si="25"/>
        <v>24</v>
      </c>
      <c r="Q43" s="110">
        <f t="shared" si="25"/>
        <v>24</v>
      </c>
      <c r="R43" s="110"/>
      <c r="S43" s="99"/>
      <c r="T43" s="99"/>
      <c r="U43" s="99"/>
      <c r="V43" s="99"/>
      <c r="X43" s="99"/>
      <c r="Y43" s="99"/>
      <c r="Z43" s="99"/>
      <c r="AA43" s="99"/>
      <c r="AB43" s="99"/>
      <c r="AC43" s="99"/>
      <c r="AD43" s="92" t="str">
        <f>IF(AND(D43=E43,D43=F43,D43=G43,D43=H43,D43=L43,D43=M43,D43=N43,D43=O43,D43=P43,D43=Q43),"","CEK : Data Content")</f>
        <v/>
      </c>
      <c r="AH43" s="204" t="s">
        <v>221</v>
      </c>
    </row>
    <row r="44" spans="1:55" s="6" customFormat="1" ht="15" customHeight="1" x14ac:dyDescent="0.25">
      <c r="J44" s="91" t="str">
        <f>IF(J1="PRINT","",IF(J42="","RH please ! !",""))</f>
        <v/>
      </c>
      <c r="L44" s="24"/>
      <c r="Q44" s="445">
        <f>IFERROR(ROUND(AVERAGE(Q16:Q39),4),"")</f>
        <v>227.38919999999999</v>
      </c>
      <c r="AH44" s="204" t="s">
        <v>323</v>
      </c>
      <c r="AI44" s="7"/>
    </row>
    <row r="45" spans="1:55" s="6" customFormat="1" ht="15" customHeight="1" x14ac:dyDescent="0.25">
      <c r="L45" s="26" t="s">
        <v>290</v>
      </c>
      <c r="Q45" s="445"/>
      <c r="AH45" s="204" t="s">
        <v>288</v>
      </c>
      <c r="AI45" s="7"/>
    </row>
    <row r="46" spans="1:55" s="6" customFormat="1" ht="15" customHeight="1" x14ac:dyDescent="0.25">
      <c r="D46" s="443" t="s">
        <v>90</v>
      </c>
      <c r="E46" s="448" t="str">
        <f>IF(Schedule!C$9="","",Schedule!C$9)</f>
        <v/>
      </c>
      <c r="G46" s="61"/>
      <c r="H46" s="25" t="str">
        <f>IFERROR(IF(OR(I47="",I48="",I49=""),"WAKTU BELUM DI-ISI LENGKAP",IF(SUM(I48:I49)&lt;=1,"","CEK KEMBALI PENULISAN WAKTU SALAH")),"CEK KEMBALI PENULISAN WAKTU SALAH")</f>
        <v/>
      </c>
      <c r="L46" s="26" t="s">
        <v>22</v>
      </c>
      <c r="M46" s="460">
        <f>IF(Volume!$W8="",$O46,Volume!$W8)</f>
        <v>49.533799999999999</v>
      </c>
      <c r="N46" s="27" t="s">
        <v>1</v>
      </c>
      <c r="O46" s="447">
        <f>IF(O40="","",O40)</f>
        <v>54</v>
      </c>
      <c r="P46" s="361" t="s">
        <v>29</v>
      </c>
      <c r="Q46" s="362"/>
      <c r="R46" s="362"/>
      <c r="S46" s="362"/>
      <c r="T46" s="361" t="s">
        <v>30</v>
      </c>
      <c r="U46" s="362"/>
      <c r="V46" s="362"/>
      <c r="AH46" s="204" t="s">
        <v>222</v>
      </c>
    </row>
    <row r="47" spans="1:55" s="6" customFormat="1" ht="15" customHeight="1" x14ac:dyDescent="0.25">
      <c r="D47" s="448"/>
      <c r="E47" s="448"/>
      <c r="H47" s="26" t="s">
        <v>26</v>
      </c>
      <c r="I47" s="56">
        <f>IF(OR(I48="",I49=""),"",1-I48-I49)</f>
        <v>1</v>
      </c>
      <c r="J47" s="27" t="s">
        <v>19</v>
      </c>
      <c r="L47" s="26" t="s">
        <v>23</v>
      </c>
      <c r="M47" s="442">
        <f>IF(Volume!$Y8="",$O47,Volume!$Y8)</f>
        <v>8.2104999999999997</v>
      </c>
      <c r="N47" s="27" t="s">
        <v>14</v>
      </c>
      <c r="O47" s="447">
        <f>IF(P40="","",P40)</f>
        <v>9.6</v>
      </c>
      <c r="P47" s="361" t="s">
        <v>211</v>
      </c>
      <c r="Q47" s="362"/>
      <c r="R47" s="362"/>
      <c r="S47" s="362"/>
      <c r="T47" s="361" t="s">
        <v>271</v>
      </c>
      <c r="U47" s="362"/>
      <c r="V47" s="362"/>
      <c r="AH47" s="204" t="s">
        <v>223</v>
      </c>
    </row>
    <row r="48" spans="1:55" s="6" customFormat="1" ht="15" customHeight="1" x14ac:dyDescent="0.25">
      <c r="D48" s="443" t="s">
        <v>91</v>
      </c>
      <c r="E48" s="448" t="str">
        <f>IF(Schedule!D$9="","",Schedule!D$9)</f>
        <v/>
      </c>
      <c r="H48" s="26" t="s">
        <v>37</v>
      </c>
      <c r="I48" s="108">
        <f>IF(OR(COUNT($Q$16:$Q$39)&lt;&gt;0,COUNTA($AD$16:$AD$39)&lt;&gt;0),AB40,"")</f>
        <v>0</v>
      </c>
      <c r="J48" s="27" t="s">
        <v>19</v>
      </c>
      <c r="L48" s="26" t="s">
        <v>24</v>
      </c>
      <c r="M48" s="449">
        <f>IF(N40="","",N40)</f>
        <v>90</v>
      </c>
      <c r="N48" s="27" t="s">
        <v>5</v>
      </c>
      <c r="P48" s="362"/>
      <c r="Q48" s="362"/>
      <c r="R48" s="362"/>
      <c r="S48" s="362"/>
      <c r="T48" s="361" t="s">
        <v>291</v>
      </c>
      <c r="U48" s="362"/>
      <c r="V48" s="362"/>
      <c r="AH48" s="204" t="s">
        <v>324</v>
      </c>
    </row>
    <row r="49" spans="1:34" s="6" customFormat="1" ht="15" customHeight="1" x14ac:dyDescent="0.25">
      <c r="D49" s="448"/>
      <c r="E49" s="448"/>
      <c r="H49" s="26" t="s">
        <v>27</v>
      </c>
      <c r="I49" s="108">
        <f>IF(OR(COUNT($Q$16:$Q$39)&lt;&gt;0,COUNTA($AD$16:$AD$39)&lt;&gt;0),AC40,"")</f>
        <v>0</v>
      </c>
      <c r="J49" s="27" t="s">
        <v>19</v>
      </c>
      <c r="L49" s="26" t="s">
        <v>128</v>
      </c>
      <c r="M49" s="442">
        <f>IF(Volume!$L8="",M51,Volume!$L8)</f>
        <v>200.1</v>
      </c>
      <c r="N49" s="27" t="str">
        <f>IF(Q15="MSCFD","MSCF","MMSCF")</f>
        <v>MSCF</v>
      </c>
      <c r="P49" s="362"/>
      <c r="Q49" s="362"/>
      <c r="R49" s="362"/>
      <c r="S49" s="362"/>
      <c r="T49" s="362"/>
      <c r="U49" s="362"/>
      <c r="V49" s="362"/>
      <c r="AH49" s="204" t="s">
        <v>317</v>
      </c>
    </row>
    <row r="50" spans="1:34" s="6" customFormat="1" ht="15" customHeight="1" x14ac:dyDescent="0.25">
      <c r="D50" s="443" t="s">
        <v>92</v>
      </c>
      <c r="E50" s="448" t="str">
        <f>IF(Schedule!E$9="","",Schedule!E$9)</f>
        <v>Marihot Gustafa S.</v>
      </c>
      <c r="L50" s="443" t="str">
        <f>CONCATENATE(MR!L16," ",":")</f>
        <v>Liquid Gain :</v>
      </c>
      <c r="M50" s="446" t="str">
        <f>IF(R40="","",ROUND(SUM(R16:R39),2))</f>
        <v/>
      </c>
      <c r="N50" s="444" t="str">
        <f>R15</f>
        <v>BPD</v>
      </c>
      <c r="P50" s="362"/>
      <c r="Q50" s="362"/>
      <c r="R50" s="362"/>
      <c r="S50" s="362"/>
      <c r="T50" s="362"/>
      <c r="U50" s="362"/>
      <c r="V50" s="362"/>
      <c r="AH50" s="204" t="s">
        <v>282</v>
      </c>
    </row>
    <row r="51" spans="1:34" s="6" customFormat="1" ht="15" customHeight="1" x14ac:dyDescent="0.25">
      <c r="A51" s="4"/>
      <c r="L51" s="443" t="s">
        <v>286</v>
      </c>
      <c r="M51" s="447">
        <f>IF(Q44="","",IF(SUM(I48:I49)=1,IF(Q44&lt;&gt;0,"Cek Tabel",""),ROUND(Q44*I47,4)))</f>
        <v>227.38919999999999</v>
      </c>
      <c r="N51" s="444" t="str">
        <f>IF(Q15="MSCFD","MSCF","MMSCF")</f>
        <v>MSCF</v>
      </c>
      <c r="P51" s="362"/>
      <c r="Q51" s="362"/>
      <c r="R51" s="362"/>
      <c r="S51" s="362"/>
      <c r="T51" s="362"/>
      <c r="U51" s="362"/>
      <c r="V51" s="362"/>
      <c r="AH51" s="204" t="s">
        <v>325</v>
      </c>
    </row>
    <row r="52" spans="1:34" s="6" customFormat="1" ht="15" customHeight="1" x14ac:dyDescent="0.25">
      <c r="D52" s="26" t="s">
        <v>28</v>
      </c>
      <c r="E52" s="47"/>
      <c r="F52" s="47"/>
      <c r="G52" s="47"/>
      <c r="H52" s="47"/>
      <c r="I52" s="47"/>
      <c r="J52" s="47"/>
      <c r="K52" s="47"/>
      <c r="L52" s="5"/>
      <c r="P52" s="362"/>
      <c r="Q52" s="362"/>
      <c r="R52" s="362"/>
      <c r="S52" s="362"/>
      <c r="T52" s="362"/>
      <c r="U52" s="362"/>
      <c r="V52" s="362"/>
      <c r="AH52" s="204" t="s">
        <v>280</v>
      </c>
    </row>
    <row r="53" spans="1:34" s="6" customFormat="1" ht="15" customHeight="1" x14ac:dyDescent="0.25">
      <c r="D53" s="5"/>
      <c r="E53" s="48"/>
      <c r="F53" s="48"/>
      <c r="G53" s="48"/>
      <c r="H53" s="48"/>
      <c r="I53" s="48"/>
      <c r="J53" s="48"/>
      <c r="K53" s="48"/>
      <c r="L53" s="5"/>
      <c r="P53" s="363" t="str">
        <f>UPPER(E50)</f>
        <v>MARIHOT GUSTAFA S.</v>
      </c>
      <c r="Q53" s="362"/>
      <c r="R53" s="362"/>
      <c r="S53" s="362"/>
      <c r="T53" s="363" t="str">
        <f>IF(Schedule!F$9="","",UPPER(Schedule!F$9))</f>
        <v>BUDI WIDHARTONO</v>
      </c>
      <c r="U53" s="362"/>
      <c r="V53" s="362"/>
      <c r="AH53" s="204" t="s">
        <v>316</v>
      </c>
    </row>
    <row r="54" spans="1:34" s="6" customFormat="1" ht="15" customHeight="1" x14ac:dyDescent="0.25">
      <c r="E54" s="48"/>
      <c r="F54" s="48"/>
      <c r="G54" s="48"/>
      <c r="H54" s="48"/>
      <c r="I54" s="48"/>
      <c r="J54" s="48"/>
      <c r="K54" s="48"/>
      <c r="P54" s="361" t="s">
        <v>107</v>
      </c>
      <c r="Q54" s="362"/>
      <c r="R54" s="362"/>
      <c r="S54" s="362"/>
      <c r="T54" s="361" t="s">
        <v>294</v>
      </c>
      <c r="U54" s="362"/>
      <c r="V54" s="362"/>
      <c r="AH54" s="204" t="s">
        <v>326</v>
      </c>
    </row>
    <row r="55" spans="1:34" s="6" customFormat="1" ht="15" customHeight="1" x14ac:dyDescent="0.25">
      <c r="P55" s="364" t="str">
        <f>CONCATENATE("Date : ",TEXT(K12,"[$-409]d mmm yyyy;@"))</f>
        <v>Date : 5 Jun 2025</v>
      </c>
      <c r="Q55" s="362"/>
      <c r="R55" s="364"/>
      <c r="S55" s="362"/>
      <c r="T55" s="364" t="str">
        <f>CONCATENATE("Date : ",TEXT(K12,"[$-409]d mmm yyyy;@"))</f>
        <v>Date : 5 Jun 2025</v>
      </c>
      <c r="U55" s="362"/>
      <c r="V55" s="362"/>
      <c r="AH55" s="204" t="s">
        <v>327</v>
      </c>
    </row>
    <row r="56" spans="1:34" ht="15" customHeight="1" x14ac:dyDescent="0.25">
      <c r="AH56" s="204" t="s">
        <v>281</v>
      </c>
    </row>
    <row r="57" spans="1:34" ht="15" customHeight="1" x14ac:dyDescent="0.25">
      <c r="AH57" s="204" t="s">
        <v>277</v>
      </c>
    </row>
    <row r="58" spans="1:34" ht="15" customHeight="1" x14ac:dyDescent="0.25">
      <c r="AH58" s="204" t="s">
        <v>328</v>
      </c>
    </row>
    <row r="59" spans="1:34" ht="15" customHeight="1" x14ac:dyDescent="0.25">
      <c r="AH59" s="204" t="s">
        <v>329</v>
      </c>
    </row>
    <row r="60" spans="1:34" ht="15" customHeight="1" x14ac:dyDescent="0.25">
      <c r="AH60" s="204" t="s">
        <v>330</v>
      </c>
    </row>
    <row r="61" spans="1:34" ht="15" customHeight="1" x14ac:dyDescent="0.25">
      <c r="AH61" s="204" t="s">
        <v>331</v>
      </c>
    </row>
    <row r="62" spans="1:34" ht="15" customHeight="1" x14ac:dyDescent="0.25">
      <c r="AH62" s="204" t="s">
        <v>332</v>
      </c>
    </row>
    <row r="63" spans="1:34" ht="15" customHeight="1" x14ac:dyDescent="0.25">
      <c r="AH63" s="204" t="s">
        <v>315</v>
      </c>
    </row>
    <row r="64" spans="1:34" ht="15" customHeight="1" x14ac:dyDescent="0.25">
      <c r="AH64" s="204" t="s">
        <v>333</v>
      </c>
    </row>
    <row r="65" spans="34:34" ht="15" customHeight="1" x14ac:dyDescent="0.25">
      <c r="AH65" s="204" t="s">
        <v>310</v>
      </c>
    </row>
    <row r="66" spans="34:34" ht="15" customHeight="1" x14ac:dyDescent="0.25">
      <c r="AH66" s="204" t="s">
        <v>334</v>
      </c>
    </row>
    <row r="67" spans="34:34" ht="15" customHeight="1" x14ac:dyDescent="0.25">
      <c r="AH67" s="204" t="s">
        <v>335</v>
      </c>
    </row>
    <row r="68" spans="34:34" ht="15" customHeight="1" x14ac:dyDescent="0.25">
      <c r="AH68" s="204" t="s">
        <v>336</v>
      </c>
    </row>
    <row r="69" spans="34:34" ht="15" customHeight="1" x14ac:dyDescent="0.25">
      <c r="AH69" s="204" t="s">
        <v>337</v>
      </c>
    </row>
    <row r="70" spans="34:34" ht="15" customHeight="1" x14ac:dyDescent="0.25">
      <c r="AH70" s="204" t="s">
        <v>338</v>
      </c>
    </row>
    <row r="71" spans="34:34" ht="15" customHeight="1" x14ac:dyDescent="0.25">
      <c r="AH71" s="204" t="s">
        <v>339</v>
      </c>
    </row>
    <row r="72" spans="34:34" ht="15" customHeight="1" x14ac:dyDescent="0.25">
      <c r="AH72" s="204" t="s">
        <v>340</v>
      </c>
    </row>
    <row r="85" spans="34:34" ht="0" hidden="1" customHeight="1" x14ac:dyDescent="0.25">
      <c r="AH85" s="6"/>
    </row>
    <row r="86" spans="34:34" ht="0" hidden="1" customHeight="1" x14ac:dyDescent="0.25">
      <c r="AH86" s="6"/>
    </row>
    <row r="87" spans="34:34" ht="0" hidden="1" customHeight="1" x14ac:dyDescent="0.25">
      <c r="AH87" s="6"/>
    </row>
    <row r="88" spans="34:34" ht="0" hidden="1" customHeight="1" x14ac:dyDescent="0.25">
      <c r="AH88" s="6"/>
    </row>
    <row r="89" spans="34:34" ht="0" hidden="1" customHeight="1" x14ac:dyDescent="0.25">
      <c r="AH89" s="6"/>
    </row>
    <row r="90" spans="34:34" ht="0" hidden="1" customHeight="1" x14ac:dyDescent="0.25">
      <c r="AH90" s="6"/>
    </row>
    <row r="91" spans="34:34" ht="0" hidden="1" customHeight="1" x14ac:dyDescent="0.25">
      <c r="AH91" s="6"/>
    </row>
    <row r="92" spans="34:34" ht="0" hidden="1" customHeight="1" x14ac:dyDescent="0.25">
      <c r="AH92" s="6"/>
    </row>
    <row r="93" spans="34:34" ht="0" hidden="1" customHeight="1" x14ac:dyDescent="0.25">
      <c r="AH93" s="6"/>
    </row>
    <row r="94" spans="34:34" ht="0" hidden="1" customHeight="1" x14ac:dyDescent="0.25">
      <c r="AH94" s="6"/>
    </row>
  </sheetData>
  <sheetProtection algorithmName="SHA-512" hashValue="1DPrwjjhLzDLdQPegPhcF4/MMxVQl7tcBHwRBjxc6XLhqCN1WhYCQxGaAS5gJrZja3S/ZxMkzXnmmlVyskON9Q==" saltValue="zA3W6CSEZaoLGK+NQPzDrg==" spinCount="100000" sheet="1" objects="1" scenarios="1" formatColumns="0" formatRows="0" insertColumns="0" insertRows="0" sort="0" autoFilter="0" pivotTables="0"/>
  <mergeCells count="69">
    <mergeCell ref="S37:V37"/>
    <mergeCell ref="S38:V38"/>
    <mergeCell ref="S39:V39"/>
    <mergeCell ref="S40:V40"/>
    <mergeCell ref="S41:V42"/>
    <mergeCell ref="S36:V36"/>
    <mergeCell ref="S25:V25"/>
    <mergeCell ref="S26:V26"/>
    <mergeCell ref="S27:V27"/>
    <mergeCell ref="S28:V28"/>
    <mergeCell ref="S29:V29"/>
    <mergeCell ref="S30:V30"/>
    <mergeCell ref="S31:V31"/>
    <mergeCell ref="S32:V32"/>
    <mergeCell ref="S33:V33"/>
    <mergeCell ref="S34:V34"/>
    <mergeCell ref="S35:V35"/>
    <mergeCell ref="S19:V19"/>
    <mergeCell ref="S20:V20"/>
    <mergeCell ref="S21:V21"/>
    <mergeCell ref="S22:V22"/>
    <mergeCell ref="S23:V23"/>
    <mergeCell ref="S24:V24"/>
    <mergeCell ref="BA14:BA15"/>
    <mergeCell ref="BB14:BB15"/>
    <mergeCell ref="BC14:BC15"/>
    <mergeCell ref="S16:V16"/>
    <mergeCell ref="S17:V17"/>
    <mergeCell ref="S18:V18"/>
    <mergeCell ref="AU14:AU15"/>
    <mergeCell ref="AV14:AV15"/>
    <mergeCell ref="AW14:AW15"/>
    <mergeCell ref="AX14:AX15"/>
    <mergeCell ref="AY14:AY15"/>
    <mergeCell ref="AZ14:AZ15"/>
    <mergeCell ref="AO14:AO15"/>
    <mergeCell ref="AP14:AP15"/>
    <mergeCell ref="AQ14:AQ15"/>
    <mergeCell ref="AR14:AR15"/>
    <mergeCell ref="AS14:AS15"/>
    <mergeCell ref="AT14:AT15"/>
    <mergeCell ref="AD14:AD15"/>
    <mergeCell ref="AJ14:AJ15"/>
    <mergeCell ref="AK14:AK15"/>
    <mergeCell ref="AL14:AL15"/>
    <mergeCell ref="AM14:AM15"/>
    <mergeCell ref="AN14:AN15"/>
    <mergeCell ref="Y14:AC14"/>
    <mergeCell ref="H13:H14"/>
    <mergeCell ref="I13:I14"/>
    <mergeCell ref="J13:J14"/>
    <mergeCell ref="K13:K14"/>
    <mergeCell ref="L13:L14"/>
    <mergeCell ref="M13:N13"/>
    <mergeCell ref="Q13:Q14"/>
    <mergeCell ref="R13:R14"/>
    <mergeCell ref="S13:V15"/>
    <mergeCell ref="O13:O14"/>
    <mergeCell ref="P13:P14"/>
    <mergeCell ref="A10:V10"/>
    <mergeCell ref="A11:V11"/>
    <mergeCell ref="K12:L12"/>
    <mergeCell ref="A13:A15"/>
    <mergeCell ref="B13:B14"/>
    <mergeCell ref="C13:C14"/>
    <mergeCell ref="D13:D14"/>
    <mergeCell ref="E13:E14"/>
    <mergeCell ref="F13:F14"/>
    <mergeCell ref="G13:G14"/>
  </mergeCells>
  <conditionalFormatting sqref="I47">
    <cfRule type="cellIs" dxfId="132" priority="5" operator="lessThan">
      <formula>0</formula>
    </cfRule>
  </conditionalFormatting>
  <conditionalFormatting sqref="Y16:Y39">
    <cfRule type="containsText" dxfId="131" priority="3" operator="containsText" text="STBY">
      <formula>NOT(ISERROR(SEARCH("STBY",Y16)))</formula>
    </cfRule>
    <cfRule type="containsText" dxfId="130" priority="4" operator="containsText" text="SD">
      <formula>NOT(ISERROR(SEARCH("SD",Y16)))</formula>
    </cfRule>
  </conditionalFormatting>
  <conditionalFormatting sqref="B16:B39 D16:R39">
    <cfRule type="expression" dxfId="129" priority="2">
      <formula>ISTEXT(B16)</formula>
    </cfRule>
  </conditionalFormatting>
  <conditionalFormatting sqref="C16:C39">
    <cfRule type="expression" dxfId="128" priority="1">
      <formula>ISTEXT(C16)</formula>
    </cfRule>
  </conditionalFormatting>
  <dataValidations count="2">
    <dataValidation type="list" allowBlank="1" showInputMessage="1" showErrorMessage="1" sqref="Y16:Y39" xr:uid="{6D7F59A0-AD9B-4AED-AC95-6DEE1710DE00}">
      <formula1>"SD,STBY"</formula1>
    </dataValidation>
    <dataValidation type="list" allowBlank="1" showInputMessage="1" sqref="AD16:AD39" xr:uid="{AD5B3FEA-6BAD-4857-A3DD-C261E9907692}">
      <formula1>$AH$15:$AH$72</formula1>
    </dataValidation>
  </dataValidations>
  <printOptions horizontalCentered="1"/>
  <pageMargins left="0.39370078740157483" right="0.39370078740157483" top="0.59055118110236227" bottom="0.39370078740157483" header="0.31496062992125984" footer="0.31496062992125984"/>
  <pageSetup paperSize="9" scale="57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A1764-3F3C-40C6-B84A-325B345D6052}">
  <sheetPr codeName="N06">
    <pageSetUpPr fitToPage="1"/>
  </sheetPr>
  <dimension ref="A1:BC94"/>
  <sheetViews>
    <sheetView topLeftCell="A16" zoomScale="85" zoomScaleNormal="85" workbookViewId="0">
      <selection activeCell="N39" sqref="N39"/>
    </sheetView>
  </sheetViews>
  <sheetFormatPr defaultColWidth="0" defaultRowHeight="0" customHeight="1" zeroHeight="1" x14ac:dyDescent="0.25"/>
  <cols>
    <col min="1" max="1" width="10.7109375" style="7" customWidth="1"/>
    <col min="2" max="3" width="10.7109375" style="7" hidden="1" customWidth="1"/>
    <col min="4" max="14" width="10.7109375" style="7" customWidth="1"/>
    <col min="15" max="17" width="11.7109375" style="7" customWidth="1"/>
    <col min="18" max="18" width="10.7109375" style="7" hidden="1" customWidth="1"/>
    <col min="19" max="22" width="10.7109375" style="7" customWidth="1"/>
    <col min="23" max="23" width="2.7109375" style="7" customWidth="1"/>
    <col min="24" max="29" width="10.7109375" style="7" customWidth="1"/>
    <col min="30" max="30" width="30.7109375" style="7" customWidth="1"/>
    <col min="31" max="33" width="11.7109375" style="7" customWidth="1"/>
    <col min="34" max="34" width="30.7109375" style="7" customWidth="1"/>
    <col min="35" max="35" width="2.7109375" style="7" hidden="1" customWidth="1"/>
    <col min="36" max="55" width="11.7109375" style="7" hidden="1" customWidth="1"/>
    <col min="56" max="16384" width="9.140625" style="7" hidden="1"/>
  </cols>
  <sheetData>
    <row r="1" spans="1:55" ht="15" customHeight="1" x14ac:dyDescent="0.25">
      <c r="A1" s="7" t="s">
        <v>16</v>
      </c>
      <c r="D1" s="11" t="s">
        <v>85</v>
      </c>
      <c r="J1" s="7" t="str">
        <f>IF(MR!U13="Yes","PRINT","No")</f>
        <v>PRINT</v>
      </c>
      <c r="M1" s="191"/>
      <c r="N1" s="191"/>
    </row>
    <row r="2" spans="1:55" ht="15" customHeight="1" thickBot="1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192"/>
      <c r="M2" s="4"/>
      <c r="N2" s="4"/>
      <c r="O2" s="4"/>
      <c r="P2" s="4"/>
      <c r="Q2" s="4"/>
      <c r="R2" s="4"/>
      <c r="S2" s="8"/>
      <c r="T2" s="8"/>
      <c r="U2" s="8"/>
      <c r="V2" s="8"/>
      <c r="X2" s="8"/>
      <c r="Y2" s="8"/>
      <c r="Z2" s="8"/>
      <c r="AA2" s="8"/>
      <c r="AB2" s="8"/>
      <c r="AC2" s="8"/>
      <c r="AD2" s="8"/>
      <c r="AE2" s="8"/>
    </row>
    <row r="3" spans="1:55" ht="15" customHeight="1" x14ac:dyDescent="0.2">
      <c r="A3" s="31"/>
      <c r="B3" s="28"/>
      <c r="C3" s="28"/>
      <c r="D3" s="28"/>
      <c r="E3" s="28"/>
      <c r="F3" s="13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2"/>
      <c r="T3" s="22"/>
      <c r="U3" s="22"/>
      <c r="V3" s="23"/>
      <c r="X3" s="8"/>
      <c r="Y3" s="8"/>
      <c r="Z3" s="8"/>
      <c r="AA3" s="8"/>
      <c r="AB3" s="8"/>
      <c r="AC3" s="8"/>
      <c r="AD3" s="8"/>
      <c r="AE3" s="8"/>
    </row>
    <row r="4" spans="1:55" ht="30" customHeight="1" x14ac:dyDescent="0.25">
      <c r="A4" s="30"/>
      <c r="B4" s="1"/>
      <c r="C4" s="1"/>
      <c r="D4" s="1"/>
      <c r="E4" s="3"/>
      <c r="F4" s="63" t="s">
        <v>210</v>
      </c>
      <c r="G4" s="1"/>
      <c r="H4" s="1"/>
      <c r="I4" s="3"/>
      <c r="J4" s="3"/>
      <c r="K4" s="3"/>
      <c r="L4" s="3"/>
      <c r="M4" s="3"/>
      <c r="N4" s="3"/>
      <c r="O4" s="3"/>
      <c r="P4" s="3"/>
      <c r="Q4" s="3"/>
      <c r="R4" s="3"/>
      <c r="S4" s="1"/>
      <c r="T4" s="1"/>
      <c r="U4" s="1"/>
      <c r="V4" s="2"/>
      <c r="X4" s="5"/>
      <c r="Y4" s="5"/>
      <c r="Z4" s="5"/>
      <c r="AA4" s="5"/>
      <c r="AB4" s="5"/>
      <c r="AC4" s="5"/>
      <c r="AD4" s="5"/>
      <c r="AE4" s="5"/>
    </row>
    <row r="5" spans="1:55" ht="15" customHeight="1" x14ac:dyDescent="0.2">
      <c r="A5" s="32"/>
      <c r="B5" s="33"/>
      <c r="C5" s="33"/>
      <c r="D5" s="12"/>
      <c r="E5" s="3"/>
      <c r="F5" s="10" t="s">
        <v>129</v>
      </c>
      <c r="G5" s="1"/>
      <c r="H5" s="1"/>
      <c r="I5" s="3"/>
      <c r="J5" s="3"/>
      <c r="K5" s="3"/>
      <c r="L5" s="3"/>
      <c r="M5" s="3"/>
      <c r="N5" s="3"/>
      <c r="O5" s="3"/>
      <c r="P5" s="3"/>
      <c r="Q5" s="3"/>
      <c r="R5" s="3"/>
      <c r="S5" s="12"/>
      <c r="T5" s="12"/>
      <c r="U5" s="12"/>
      <c r="V5" s="14"/>
      <c r="X5" s="8"/>
      <c r="Y5" s="8"/>
      <c r="Z5" s="8"/>
      <c r="AA5" s="8"/>
      <c r="AB5" s="8"/>
      <c r="AC5" s="8"/>
      <c r="AD5" s="8"/>
      <c r="AE5" s="8"/>
      <c r="AJ5" s="193" t="s">
        <v>184</v>
      </c>
      <c r="AK5" s="194">
        <f>'V Calc'!B1</f>
        <v>500</v>
      </c>
      <c r="AL5" s="124"/>
    </row>
    <row r="6" spans="1:55" ht="15" customHeight="1" x14ac:dyDescent="0.2">
      <c r="A6" s="32"/>
      <c r="B6" s="33"/>
      <c r="C6" s="33"/>
      <c r="D6" s="12"/>
      <c r="E6" s="3"/>
      <c r="F6" s="10" t="s">
        <v>132</v>
      </c>
      <c r="G6" s="1"/>
      <c r="H6" s="1"/>
      <c r="I6" s="3"/>
      <c r="J6" s="3"/>
      <c r="K6" s="3"/>
      <c r="L6" s="3"/>
      <c r="M6" s="3"/>
      <c r="N6" s="3"/>
      <c r="O6" s="3"/>
      <c r="P6" s="3"/>
      <c r="Q6" s="3"/>
      <c r="R6" s="3"/>
      <c r="S6" s="12"/>
      <c r="T6" s="12"/>
      <c r="U6" s="12"/>
      <c r="V6" s="14"/>
      <c r="X6" s="8"/>
      <c r="Y6" s="8"/>
      <c r="Z6" s="8"/>
      <c r="AA6" s="8"/>
      <c r="AB6" s="8"/>
      <c r="AC6" s="8"/>
      <c r="AD6" s="8"/>
      <c r="AE6" s="8"/>
      <c r="AJ6" s="193" t="s">
        <v>185</v>
      </c>
      <c r="AK6" s="194">
        <f>'V Calc'!B2</f>
        <v>100</v>
      </c>
      <c r="AL6" s="124"/>
    </row>
    <row r="7" spans="1:55" ht="15" customHeight="1" x14ac:dyDescent="0.2">
      <c r="A7" s="32"/>
      <c r="B7" s="33"/>
      <c r="C7" s="33"/>
      <c r="D7" s="12"/>
      <c r="E7" s="3"/>
      <c r="F7" s="10" t="s">
        <v>130</v>
      </c>
      <c r="G7" s="1"/>
      <c r="H7" s="1"/>
      <c r="I7" s="3"/>
      <c r="J7" s="3"/>
      <c r="K7" s="3"/>
      <c r="L7" s="3"/>
      <c r="M7" s="3"/>
      <c r="N7" s="3"/>
      <c r="O7" s="3"/>
      <c r="P7" s="3"/>
      <c r="Q7" s="3"/>
      <c r="R7" s="3"/>
      <c r="S7" s="12"/>
      <c r="T7" s="12"/>
      <c r="U7" s="12"/>
      <c r="V7" s="14"/>
      <c r="X7" s="8"/>
      <c r="Y7" s="8"/>
      <c r="Z7" s="8"/>
      <c r="AA7" s="8"/>
      <c r="AB7" s="8"/>
      <c r="AC7" s="8"/>
      <c r="AD7" s="8"/>
      <c r="AE7" s="8"/>
      <c r="AJ7" s="193" t="s">
        <v>186</v>
      </c>
      <c r="AK7" s="195">
        <f>'V Calc'!B3</f>
        <v>2</v>
      </c>
      <c r="AL7" s="124"/>
    </row>
    <row r="8" spans="1:55" ht="15" customHeight="1" x14ac:dyDescent="0.2">
      <c r="A8" s="32"/>
      <c r="B8" s="33"/>
      <c r="C8" s="33"/>
      <c r="D8" s="12"/>
      <c r="E8" s="3"/>
      <c r="F8" s="10" t="s">
        <v>131</v>
      </c>
      <c r="G8" s="62"/>
      <c r="H8" s="62"/>
      <c r="I8" s="3"/>
      <c r="J8" s="3"/>
      <c r="K8" s="3"/>
      <c r="L8" s="3"/>
      <c r="M8" s="3"/>
      <c r="N8" s="3"/>
      <c r="O8" s="3"/>
      <c r="P8" s="3"/>
      <c r="Q8" s="3"/>
      <c r="R8" s="3"/>
      <c r="S8" s="12"/>
      <c r="T8" s="12"/>
      <c r="U8" s="12"/>
      <c r="V8" s="14"/>
      <c r="X8" s="8"/>
      <c r="Y8" s="8"/>
      <c r="Z8" s="8"/>
      <c r="AA8" s="8"/>
      <c r="AB8" s="8"/>
      <c r="AC8" s="8"/>
      <c r="AD8" s="8"/>
      <c r="AE8" s="8"/>
      <c r="AJ8" s="193" t="s">
        <v>187</v>
      </c>
      <c r="AK8" s="195">
        <f>'V Calc'!B4</f>
        <v>0.875</v>
      </c>
      <c r="AL8" s="124"/>
    </row>
    <row r="9" spans="1:55" ht="15" customHeight="1" thickBot="1" x14ac:dyDescent="0.25">
      <c r="A9" s="34"/>
      <c r="B9" s="29"/>
      <c r="C9" s="29"/>
      <c r="D9" s="29"/>
      <c r="E9" s="29"/>
      <c r="F9" s="15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16"/>
      <c r="T9" s="16"/>
      <c r="U9" s="16"/>
      <c r="V9" s="17"/>
      <c r="X9" s="8"/>
      <c r="Y9" s="8"/>
      <c r="Z9" s="8"/>
      <c r="AA9" s="8"/>
      <c r="AB9" s="8"/>
      <c r="AC9" s="8"/>
      <c r="AD9" s="8"/>
      <c r="AE9" s="8"/>
      <c r="AJ9" s="196" t="s">
        <v>188</v>
      </c>
      <c r="AK9" s="197">
        <f>'V Calc'!B5</f>
        <v>158.47</v>
      </c>
      <c r="AL9" s="198"/>
    </row>
    <row r="10" spans="1:55" s="9" customFormat="1" ht="30" customHeight="1" x14ac:dyDescent="0.2">
      <c r="A10" s="513" t="s">
        <v>20</v>
      </c>
      <c r="B10" s="514"/>
      <c r="C10" s="514"/>
      <c r="D10" s="514"/>
      <c r="E10" s="514"/>
      <c r="F10" s="514"/>
      <c r="G10" s="514"/>
      <c r="H10" s="514"/>
      <c r="I10" s="514"/>
      <c r="J10" s="514"/>
      <c r="K10" s="514"/>
      <c r="L10" s="514"/>
      <c r="M10" s="514"/>
      <c r="N10" s="514"/>
      <c r="O10" s="514"/>
      <c r="P10" s="514"/>
      <c r="Q10" s="514"/>
      <c r="R10" s="514"/>
      <c r="S10" s="514"/>
      <c r="T10" s="514"/>
      <c r="U10" s="514"/>
      <c r="V10" s="515"/>
      <c r="X10" s="96"/>
      <c r="Y10" s="96"/>
      <c r="Z10" s="96"/>
      <c r="AA10" s="96"/>
      <c r="AB10" s="96"/>
      <c r="AC10" s="96"/>
      <c r="AJ10" s="193" t="s">
        <v>189</v>
      </c>
      <c r="AK10" s="199">
        <f>'V Calc'!B6</f>
        <v>0.63607464142166403</v>
      </c>
      <c r="AL10" s="198" t="s">
        <v>190</v>
      </c>
    </row>
    <row r="11" spans="1:55" s="9" customFormat="1" ht="20.100000000000001" customHeight="1" thickBot="1" x14ac:dyDescent="0.25">
      <c r="A11" s="516" t="s">
        <v>21</v>
      </c>
      <c r="B11" s="517"/>
      <c r="C11" s="517"/>
      <c r="D11" s="517"/>
      <c r="E11" s="517"/>
      <c r="F11" s="517"/>
      <c r="G11" s="517"/>
      <c r="H11" s="517"/>
      <c r="I11" s="517"/>
      <c r="J11" s="517"/>
      <c r="K11" s="517"/>
      <c r="L11" s="517"/>
      <c r="M11" s="517"/>
      <c r="N11" s="517"/>
      <c r="O11" s="517"/>
      <c r="P11" s="517"/>
      <c r="Q11" s="517"/>
      <c r="R11" s="517"/>
      <c r="S11" s="517"/>
      <c r="T11" s="517"/>
      <c r="U11" s="517"/>
      <c r="V11" s="518"/>
      <c r="X11" s="97"/>
      <c r="Y11" s="97"/>
      <c r="Z11" s="97"/>
      <c r="AA11" s="97"/>
      <c r="AB11" s="97"/>
      <c r="AC11" s="97"/>
    </row>
    <row r="12" spans="1:55" s="6" customFormat="1" ht="30" customHeight="1" thickBot="1" x14ac:dyDescent="0.3">
      <c r="A12" s="18"/>
      <c r="B12" s="20"/>
      <c r="C12" s="20"/>
      <c r="D12" s="19" t="s">
        <v>121</v>
      </c>
      <c r="E12" s="200" t="str">
        <f>'Day 5'!E12</f>
        <v>MPR 632  RFD</v>
      </c>
      <c r="F12" s="35"/>
      <c r="G12" s="19" t="s">
        <v>120</v>
      </c>
      <c r="H12" s="200" t="str">
        <f>IF(Volume!C$9="","",Volume!C$9)</f>
        <v>FP 65354</v>
      </c>
      <c r="I12" s="20"/>
      <c r="J12" s="19" t="s">
        <v>17</v>
      </c>
      <c r="K12" s="505">
        <f>'Day 5'!K12+1</f>
        <v>45814</v>
      </c>
      <c r="L12" s="505"/>
      <c r="M12" s="100"/>
      <c r="N12" s="19" t="s">
        <v>119</v>
      </c>
      <c r="O12" s="200" t="str">
        <f>IF(Volume!D$9="","",Volume!D$9)</f>
        <v>SP. Tambun - Cluster F</v>
      </c>
      <c r="P12" s="20"/>
      <c r="Q12" s="19" t="s">
        <v>122</v>
      </c>
      <c r="S12" s="201">
        <f>IF(Volume!E$9="","",Volume!E$9)</f>
        <v>1.25</v>
      </c>
      <c r="T12" s="20"/>
      <c r="U12" s="19" t="s">
        <v>126</v>
      </c>
      <c r="V12" s="202" t="str">
        <f>IF(Volume!F$9="","",Volume!F$9)</f>
        <v>4/0</v>
      </c>
    </row>
    <row r="13" spans="1:55" ht="30" customHeight="1" thickBot="1" x14ac:dyDescent="0.3">
      <c r="A13" s="502" t="s">
        <v>0</v>
      </c>
      <c r="B13" s="502" t="s">
        <v>213</v>
      </c>
      <c r="C13" s="502" t="s">
        <v>212</v>
      </c>
      <c r="D13" s="502" t="s">
        <v>31</v>
      </c>
      <c r="E13" s="502" t="s">
        <v>32</v>
      </c>
      <c r="F13" s="502" t="s">
        <v>2</v>
      </c>
      <c r="G13" s="502" t="s">
        <v>33</v>
      </c>
      <c r="H13" s="502" t="s">
        <v>35</v>
      </c>
      <c r="I13" s="502" t="s">
        <v>36</v>
      </c>
      <c r="J13" s="502" t="s">
        <v>110</v>
      </c>
      <c r="K13" s="502" t="s">
        <v>15</v>
      </c>
      <c r="L13" s="502" t="s">
        <v>34</v>
      </c>
      <c r="M13" s="502" t="s">
        <v>10</v>
      </c>
      <c r="N13" s="502"/>
      <c r="O13" s="506" t="s">
        <v>300</v>
      </c>
      <c r="P13" s="506" t="s">
        <v>299</v>
      </c>
      <c r="Q13" s="502" t="s">
        <v>7</v>
      </c>
      <c r="R13" s="502" t="s">
        <v>88</v>
      </c>
      <c r="S13" s="502" t="s">
        <v>8</v>
      </c>
      <c r="T13" s="502"/>
      <c r="U13" s="502"/>
      <c r="V13" s="502"/>
      <c r="X13" s="98"/>
      <c r="Y13" s="98"/>
      <c r="Z13" s="98"/>
      <c r="AA13" s="98"/>
      <c r="AB13" s="98"/>
      <c r="AC13" s="98"/>
    </row>
    <row r="14" spans="1:55" ht="30" customHeight="1" x14ac:dyDescent="0.25">
      <c r="A14" s="504"/>
      <c r="B14" s="504"/>
      <c r="C14" s="504"/>
      <c r="D14" s="504"/>
      <c r="E14" s="504"/>
      <c r="F14" s="504"/>
      <c r="G14" s="504"/>
      <c r="H14" s="504"/>
      <c r="I14" s="504"/>
      <c r="J14" s="504"/>
      <c r="K14" s="504"/>
      <c r="L14" s="504"/>
      <c r="M14" s="94" t="s">
        <v>3</v>
      </c>
      <c r="N14" s="94" t="s">
        <v>4</v>
      </c>
      <c r="O14" s="507"/>
      <c r="P14" s="507"/>
      <c r="Q14" s="504"/>
      <c r="R14" s="504"/>
      <c r="S14" s="504"/>
      <c r="T14" s="504"/>
      <c r="U14" s="504"/>
      <c r="V14" s="504"/>
      <c r="Y14" s="502" t="s">
        <v>230</v>
      </c>
      <c r="Z14" s="502"/>
      <c r="AA14" s="502"/>
      <c r="AB14" s="502"/>
      <c r="AC14" s="502"/>
      <c r="AD14" s="502" t="s">
        <v>231</v>
      </c>
      <c r="AH14" s="203" t="s">
        <v>232</v>
      </c>
      <c r="AJ14" s="520" t="s">
        <v>191</v>
      </c>
      <c r="AK14" s="520" t="s">
        <v>192</v>
      </c>
      <c r="AL14" s="520" t="s">
        <v>193</v>
      </c>
      <c r="AM14" s="520" t="s">
        <v>194</v>
      </c>
      <c r="AN14" s="520" t="s">
        <v>195</v>
      </c>
      <c r="AO14" s="506" t="s">
        <v>196</v>
      </c>
      <c r="AP14" s="506" t="s">
        <v>197</v>
      </c>
      <c r="AQ14" s="506" t="s">
        <v>198</v>
      </c>
      <c r="AR14" s="506" t="s">
        <v>188</v>
      </c>
      <c r="AS14" s="506" t="s">
        <v>199</v>
      </c>
      <c r="AT14" s="506" t="s">
        <v>200</v>
      </c>
      <c r="AU14" s="506" t="s">
        <v>201</v>
      </c>
      <c r="AV14" s="506" t="s">
        <v>202</v>
      </c>
      <c r="AW14" s="506" t="s">
        <v>203</v>
      </c>
      <c r="AX14" s="506" t="s">
        <v>204</v>
      </c>
      <c r="AY14" s="523" t="s">
        <v>205</v>
      </c>
      <c r="AZ14" s="523" t="s">
        <v>206</v>
      </c>
      <c r="BA14" s="523" t="s">
        <v>207</v>
      </c>
      <c r="BB14" s="523" t="s">
        <v>208</v>
      </c>
      <c r="BC14" s="506" t="s">
        <v>197</v>
      </c>
    </row>
    <row r="15" spans="1:55" ht="20.100000000000001" customHeight="1" thickBot="1" x14ac:dyDescent="0.3">
      <c r="A15" s="503"/>
      <c r="B15" s="95" t="s">
        <v>1</v>
      </c>
      <c r="C15" s="95" t="s">
        <v>1</v>
      </c>
      <c r="D15" s="95" t="s">
        <v>1</v>
      </c>
      <c r="E15" s="95" t="s">
        <v>1</v>
      </c>
      <c r="F15" s="95" t="s">
        <v>140</v>
      </c>
      <c r="G15" s="95" t="s">
        <v>1</v>
      </c>
      <c r="H15" s="95" t="s">
        <v>1</v>
      </c>
      <c r="I15" s="95" t="s">
        <v>1</v>
      </c>
      <c r="J15" s="95" t="s">
        <v>18</v>
      </c>
      <c r="K15" s="95" t="s">
        <v>9</v>
      </c>
      <c r="L15" s="95" t="s">
        <v>5</v>
      </c>
      <c r="M15" s="95" t="s">
        <v>5</v>
      </c>
      <c r="N15" s="95" t="s">
        <v>5</v>
      </c>
      <c r="O15" s="95" t="s">
        <v>1</v>
      </c>
      <c r="P15" s="95" t="s">
        <v>14</v>
      </c>
      <c r="Q15" s="95" t="str">
        <f>IF(MR!G17="MSCF","MSCFD","MMSCFD")</f>
        <v>MSCFD</v>
      </c>
      <c r="R15" s="95" t="str">
        <f>MR!L17</f>
        <v>BPD</v>
      </c>
      <c r="S15" s="503"/>
      <c r="T15" s="503"/>
      <c r="U15" s="503"/>
      <c r="V15" s="503"/>
      <c r="X15" s="365"/>
      <c r="Y15" s="95" t="s">
        <v>123</v>
      </c>
      <c r="Z15" s="95" t="s">
        <v>124</v>
      </c>
      <c r="AA15" s="95" t="s">
        <v>125</v>
      </c>
      <c r="AB15" s="95" t="s">
        <v>51</v>
      </c>
      <c r="AC15" s="95" t="s">
        <v>48</v>
      </c>
      <c r="AD15" s="503"/>
      <c r="AH15" s="204" t="s">
        <v>228</v>
      </c>
      <c r="AJ15" s="521"/>
      <c r="AK15" s="521"/>
      <c r="AL15" s="521"/>
      <c r="AM15" s="521"/>
      <c r="AN15" s="521"/>
      <c r="AO15" s="522"/>
      <c r="AP15" s="522"/>
      <c r="AQ15" s="522"/>
      <c r="AR15" s="522"/>
      <c r="AS15" s="522"/>
      <c r="AT15" s="522"/>
      <c r="AU15" s="522"/>
      <c r="AV15" s="522"/>
      <c r="AW15" s="522"/>
      <c r="AX15" s="522"/>
      <c r="AY15" s="524"/>
      <c r="AZ15" s="524"/>
      <c r="BA15" s="524"/>
      <c r="BB15" s="524"/>
      <c r="BC15" s="522"/>
    </row>
    <row r="16" spans="1:55" ht="20.100000000000001" customHeight="1" x14ac:dyDescent="0.2">
      <c r="A16" s="44">
        <v>4.1666666666666664E-2</v>
      </c>
      <c r="B16" s="450"/>
      <c r="C16" s="450"/>
      <c r="D16" s="450">
        <v>6.7</v>
      </c>
      <c r="E16" s="450">
        <v>62.1</v>
      </c>
      <c r="F16" s="40">
        <v>1961</v>
      </c>
      <c r="G16" s="37">
        <v>-5.5</v>
      </c>
      <c r="H16" s="36">
        <v>71.5</v>
      </c>
      <c r="I16" s="36">
        <v>21.9</v>
      </c>
      <c r="J16" s="40">
        <v>200</v>
      </c>
      <c r="K16" s="37">
        <v>13</v>
      </c>
      <c r="L16" s="450">
        <v>125</v>
      </c>
      <c r="M16" s="450">
        <v>220</v>
      </c>
      <c r="N16" s="451">
        <v>90</v>
      </c>
      <c r="O16" s="352">
        <v>50</v>
      </c>
      <c r="P16" s="352">
        <v>7</v>
      </c>
      <c r="Q16" s="352">
        <v>190.25</v>
      </c>
      <c r="R16" s="36"/>
      <c r="S16" s="519" t="str">
        <f t="shared" ref="S16:S32" si="0">IF(Z16="",IF(AD16="","",AD16),CONCATENATE(TEXT(Z16,"[hh]:mm"),IF(AA16="",""," - "&amp;TEXT(AA16,"[hh]:mm")),IF(Y16="",""," "&amp;Y16&amp;"/")," "&amp;AD16))</f>
        <v/>
      </c>
      <c r="T16" s="519"/>
      <c r="U16" s="519"/>
      <c r="V16" s="519"/>
      <c r="X16" s="44">
        <v>4.1666666666666664E-2</v>
      </c>
      <c r="Y16" s="105"/>
      <c r="Z16" s="101"/>
      <c r="AA16" s="101"/>
      <c r="AB16" s="44" t="str">
        <f>IF(Y16="STBY",AA16-Z16,"")</f>
        <v/>
      </c>
      <c r="AC16" s="44" t="str">
        <f t="shared" ref="AC16:AC39" si="1">IF(Y16="SD",AA16-Z16,"")</f>
        <v/>
      </c>
      <c r="AD16" s="355"/>
      <c r="AE16" s="9" t="str">
        <f>IF(S16="","",IF(COUNTA(Z16:$Z$39)=1,IF(COUNTA(AD16:$AD$39)=1,""," ; "),IF(COUNTA(AD16:$AD$39)=1,IF(Z16="",""," ; ")," ; ")))</f>
        <v/>
      </c>
      <c r="AF16" s="9" t="str">
        <f t="shared" ref="AF16:AF39" si="2">CONCATENATE(S16,AE16)</f>
        <v/>
      </c>
      <c r="AG16" s="90" t="str">
        <f t="shared" ref="AG16:AG39" si="3">IF(AND(COUNTBLANK(N16:P16)&lt;3,Q16=""),"CEK : Data Flowrate","")</f>
        <v/>
      </c>
      <c r="AH16" s="204" t="s">
        <v>229</v>
      </c>
      <c r="AJ16" s="205">
        <f>AK5</f>
        <v>500</v>
      </c>
      <c r="AK16" s="205">
        <f>AK6</f>
        <v>100</v>
      </c>
      <c r="AL16" s="206">
        <f>AK7</f>
        <v>2</v>
      </c>
      <c r="AM16" s="207">
        <f>AK8</f>
        <v>0.875</v>
      </c>
      <c r="AN16" s="208">
        <f>AK10</f>
        <v>0.63607464142166403</v>
      </c>
      <c r="AO16" s="209">
        <f t="shared" ref="AO16:AO39" si="4">T16^2*AJ16/100-14.7</f>
        <v>-14.7</v>
      </c>
      <c r="AP16" s="210">
        <f t="shared" ref="AP16:AP39" si="5">IF(AO16&lt;100,1,BC16)</f>
        <v>1</v>
      </c>
      <c r="AQ16" s="210">
        <f t="shared" ref="AQ16:AQ39" si="6">(1/AP16)^0.5</f>
        <v>1</v>
      </c>
      <c r="AR16" s="52">
        <f>AK9</f>
        <v>158.47</v>
      </c>
      <c r="AS16" s="210">
        <f t="shared" ref="AS16:AS39" si="7">(520/(460+N16))^0.5</f>
        <v>0.9723448696087954</v>
      </c>
      <c r="AT16" s="210">
        <f t="shared" ref="AT16:AT39" si="8">(1/AN16)^0.5</f>
        <v>1.2538510821608391</v>
      </c>
      <c r="AU16" s="210">
        <f t="shared" ref="AU16:AU39" si="9">0.01*(AJ16*AK16)^0.5</f>
        <v>2.2360679774997898</v>
      </c>
      <c r="AV16" s="211">
        <f t="shared" ref="AV16:AV39" si="10">0.024*AQ16*AR16*AS16*AT16*AU16</f>
        <v>10.368348541764712</v>
      </c>
      <c r="AW16" s="210">
        <f t="shared" ref="AW16:AW39" si="11">(AO16+14.7)/(697.2-43*AN16)</f>
        <v>0</v>
      </c>
      <c r="AX16" s="212">
        <f t="shared" ref="AX16:AX39" si="12">(N16+460)/(315.1*AN16+170.4)</f>
        <v>1.4831709199797398</v>
      </c>
      <c r="AY16" s="210">
        <f t="shared" ref="AY16:AY39" si="13">0.3379*LN(LN(AX16))+1.091</f>
        <v>0.77643477842613629</v>
      </c>
      <c r="AZ16" s="211">
        <f t="shared" ref="AZ16:AZ39" si="14">21.46*AY16-11.9*AY16^2-5.9</f>
        <v>3.5883638597441294</v>
      </c>
      <c r="BA16" s="210">
        <f t="shared" ref="BA16:BA39" si="15">AW16/AZ16</f>
        <v>0</v>
      </c>
      <c r="BB16" s="210">
        <f t="shared" ref="BB16:BB39" si="16">(1.1+0.26*AX16+(1.04-1.42*AX16)*BA16)*2.718^BA16/AX16</f>
        <v>1.0016542390239327</v>
      </c>
      <c r="BC16" s="210">
        <f t="shared" ref="BC16:BC39" si="17">1+(AY16-1)*SIN((90*BA16)/57.29578)^BB16</f>
        <v>1</v>
      </c>
    </row>
    <row r="17" spans="1:55" ht="20.100000000000001" customHeight="1" x14ac:dyDescent="0.2">
      <c r="A17" s="45">
        <v>8.3333333333333301E-2</v>
      </c>
      <c r="B17" s="451"/>
      <c r="C17" s="451"/>
      <c r="D17" s="451">
        <v>6</v>
      </c>
      <c r="E17" s="451">
        <v>60.6</v>
      </c>
      <c r="F17" s="41">
        <v>1980</v>
      </c>
      <c r="G17" s="37">
        <v>-5.5</v>
      </c>
      <c r="H17" s="37">
        <v>71.900000000000006</v>
      </c>
      <c r="I17" s="37">
        <v>21.3</v>
      </c>
      <c r="J17" s="41">
        <v>201</v>
      </c>
      <c r="K17" s="37">
        <v>13</v>
      </c>
      <c r="L17" s="451">
        <v>123</v>
      </c>
      <c r="M17" s="451">
        <v>220</v>
      </c>
      <c r="N17" s="451">
        <v>90</v>
      </c>
      <c r="O17" s="353">
        <v>50</v>
      </c>
      <c r="P17" s="353">
        <v>10</v>
      </c>
      <c r="Q17" s="353">
        <v>227.05</v>
      </c>
      <c r="R17" s="37"/>
      <c r="S17" s="508" t="str">
        <f t="shared" si="0"/>
        <v/>
      </c>
      <c r="T17" s="508"/>
      <c r="U17" s="508"/>
      <c r="V17" s="508"/>
      <c r="X17" s="45">
        <v>8.3333333333333301E-2</v>
      </c>
      <c r="Y17" s="106"/>
      <c r="Z17" s="102"/>
      <c r="AA17" s="102"/>
      <c r="AB17" s="45" t="str">
        <f t="shared" ref="AB17:AB39" si="18">IF(Y17="STBY",AA17-Z17,"")</f>
        <v/>
      </c>
      <c r="AC17" s="45" t="str">
        <f t="shared" si="1"/>
        <v/>
      </c>
      <c r="AD17" s="81"/>
      <c r="AE17" s="9" t="str">
        <f>IF(S17="","",IF(COUNTA(Z17:$Z$39)=1,IF(COUNTA(AD17:$AD$39)=1,""," ; "),IF(COUNTA(AD17:$AD$39)=1,IF(Z17="",""," ; ")," ; ")))</f>
        <v/>
      </c>
      <c r="AF17" s="9" t="str">
        <f t="shared" si="2"/>
        <v/>
      </c>
      <c r="AG17" s="90" t="str">
        <f t="shared" si="3"/>
        <v/>
      </c>
      <c r="AH17" s="204" t="s">
        <v>289</v>
      </c>
      <c r="AJ17" s="206">
        <f t="shared" ref="AJ17:AN32" si="19">AJ16</f>
        <v>500</v>
      </c>
      <c r="AK17" s="206">
        <f t="shared" si="19"/>
        <v>100</v>
      </c>
      <c r="AL17" s="206">
        <f>AL16</f>
        <v>2</v>
      </c>
      <c r="AM17" s="213">
        <f>AM16</f>
        <v>0.875</v>
      </c>
      <c r="AN17" s="214">
        <f>AN16</f>
        <v>0.63607464142166403</v>
      </c>
      <c r="AO17" s="215">
        <f t="shared" si="4"/>
        <v>-14.7</v>
      </c>
      <c r="AP17" s="216">
        <f t="shared" si="5"/>
        <v>1</v>
      </c>
      <c r="AQ17" s="216">
        <f t="shared" si="6"/>
        <v>1</v>
      </c>
      <c r="AR17" s="215">
        <f>AR16</f>
        <v>158.47</v>
      </c>
      <c r="AS17" s="216">
        <f t="shared" si="7"/>
        <v>0.9723448696087954</v>
      </c>
      <c r="AT17" s="216">
        <f t="shared" si="8"/>
        <v>1.2538510821608391</v>
      </c>
      <c r="AU17" s="216">
        <f t="shared" si="9"/>
        <v>2.2360679774997898</v>
      </c>
      <c r="AV17" s="217">
        <f t="shared" si="10"/>
        <v>10.368348541764712</v>
      </c>
      <c r="AW17" s="216">
        <f t="shared" si="11"/>
        <v>0</v>
      </c>
      <c r="AX17" s="218">
        <f t="shared" si="12"/>
        <v>1.4831709199797398</v>
      </c>
      <c r="AY17" s="216">
        <f t="shared" si="13"/>
        <v>0.77643477842613629</v>
      </c>
      <c r="AZ17" s="217">
        <f t="shared" si="14"/>
        <v>3.5883638597441294</v>
      </c>
      <c r="BA17" s="216">
        <f t="shared" si="15"/>
        <v>0</v>
      </c>
      <c r="BB17" s="216">
        <f t="shared" si="16"/>
        <v>1.0016542390239327</v>
      </c>
      <c r="BC17" s="216">
        <f t="shared" si="17"/>
        <v>1</v>
      </c>
    </row>
    <row r="18" spans="1:55" ht="20.100000000000001" customHeight="1" x14ac:dyDescent="0.2">
      <c r="A18" s="45">
        <v>0.125</v>
      </c>
      <c r="B18" s="451"/>
      <c r="C18" s="451"/>
      <c r="D18" s="451">
        <v>6.2</v>
      </c>
      <c r="E18" s="451">
        <v>58.3</v>
      </c>
      <c r="F18" s="41">
        <v>1965</v>
      </c>
      <c r="G18" s="37">
        <v>-5.5</v>
      </c>
      <c r="H18" s="37">
        <v>71.2</v>
      </c>
      <c r="I18" s="37">
        <v>21.6</v>
      </c>
      <c r="J18" s="41">
        <v>202</v>
      </c>
      <c r="K18" s="37">
        <v>13</v>
      </c>
      <c r="L18" s="451">
        <v>122</v>
      </c>
      <c r="M18" s="451">
        <v>222</v>
      </c>
      <c r="N18" s="451">
        <v>90</v>
      </c>
      <c r="O18" s="353">
        <v>50</v>
      </c>
      <c r="P18" s="353">
        <v>10</v>
      </c>
      <c r="Q18" s="353">
        <v>227.05</v>
      </c>
      <c r="R18" s="37"/>
      <c r="S18" s="508" t="str">
        <f t="shared" si="0"/>
        <v/>
      </c>
      <c r="T18" s="508"/>
      <c r="U18" s="508"/>
      <c r="V18" s="508"/>
      <c r="X18" s="45">
        <v>0.125</v>
      </c>
      <c r="Y18" s="106"/>
      <c r="Z18" s="102"/>
      <c r="AA18" s="102"/>
      <c r="AB18" s="45" t="str">
        <f t="shared" si="18"/>
        <v/>
      </c>
      <c r="AC18" s="45" t="str">
        <f t="shared" si="1"/>
        <v/>
      </c>
      <c r="AD18" s="81"/>
      <c r="AE18" s="9" t="str">
        <f>IF(S18="","",IF(COUNTA(Z18:$Z$39)=1,IF(COUNTA(AD18:$AD$39)=1,""," ; "),IF(COUNTA(AD18:$AD$39)=1,IF(Z18="",""," ; ")," ; ")))</f>
        <v/>
      </c>
      <c r="AF18" s="9" t="str">
        <f t="shared" si="2"/>
        <v/>
      </c>
      <c r="AG18" s="90" t="str">
        <f t="shared" si="3"/>
        <v/>
      </c>
      <c r="AH18" s="204" t="s">
        <v>321</v>
      </c>
      <c r="AJ18" s="206">
        <f t="shared" si="19"/>
        <v>500</v>
      </c>
      <c r="AK18" s="206">
        <f t="shared" si="19"/>
        <v>100</v>
      </c>
      <c r="AL18" s="206">
        <f t="shared" si="19"/>
        <v>2</v>
      </c>
      <c r="AM18" s="213">
        <f t="shared" si="19"/>
        <v>0.875</v>
      </c>
      <c r="AN18" s="214">
        <f t="shared" si="19"/>
        <v>0.63607464142166403</v>
      </c>
      <c r="AO18" s="215">
        <f t="shared" si="4"/>
        <v>-14.7</v>
      </c>
      <c r="AP18" s="216">
        <f t="shared" si="5"/>
        <v>1</v>
      </c>
      <c r="AQ18" s="216">
        <f t="shared" si="6"/>
        <v>1</v>
      </c>
      <c r="AR18" s="215">
        <f t="shared" ref="AR18:AR39" si="20">AR17</f>
        <v>158.47</v>
      </c>
      <c r="AS18" s="216">
        <f t="shared" si="7"/>
        <v>0.9723448696087954</v>
      </c>
      <c r="AT18" s="216">
        <f t="shared" si="8"/>
        <v>1.2538510821608391</v>
      </c>
      <c r="AU18" s="216">
        <f t="shared" si="9"/>
        <v>2.2360679774997898</v>
      </c>
      <c r="AV18" s="217">
        <f t="shared" si="10"/>
        <v>10.368348541764712</v>
      </c>
      <c r="AW18" s="216">
        <f t="shared" si="11"/>
        <v>0</v>
      </c>
      <c r="AX18" s="218">
        <f t="shared" si="12"/>
        <v>1.4831709199797398</v>
      </c>
      <c r="AY18" s="216">
        <f t="shared" si="13"/>
        <v>0.77643477842613629</v>
      </c>
      <c r="AZ18" s="217">
        <f t="shared" si="14"/>
        <v>3.5883638597441294</v>
      </c>
      <c r="BA18" s="216">
        <f t="shared" si="15"/>
        <v>0</v>
      </c>
      <c r="BB18" s="216">
        <f t="shared" si="16"/>
        <v>1.0016542390239327</v>
      </c>
      <c r="BC18" s="216">
        <f t="shared" si="17"/>
        <v>1</v>
      </c>
    </row>
    <row r="19" spans="1:55" ht="20.100000000000001" customHeight="1" x14ac:dyDescent="0.2">
      <c r="A19" s="45">
        <v>0.16666666666666699</v>
      </c>
      <c r="B19" s="451"/>
      <c r="C19" s="451"/>
      <c r="D19" s="451">
        <v>5.9</v>
      </c>
      <c r="E19" s="451">
        <v>58.8</v>
      </c>
      <c r="F19" s="41">
        <v>1944</v>
      </c>
      <c r="G19" s="37">
        <v>-5.5</v>
      </c>
      <c r="H19" s="37">
        <v>71</v>
      </c>
      <c r="I19" s="37">
        <v>21.1</v>
      </c>
      <c r="J19" s="41">
        <v>203</v>
      </c>
      <c r="K19" s="37">
        <v>13</v>
      </c>
      <c r="L19" s="451">
        <v>121</v>
      </c>
      <c r="M19" s="451">
        <v>221</v>
      </c>
      <c r="N19" s="451">
        <v>90</v>
      </c>
      <c r="O19" s="353">
        <v>50</v>
      </c>
      <c r="P19" s="353">
        <v>9</v>
      </c>
      <c r="Q19" s="353">
        <v>215.49</v>
      </c>
      <c r="R19" s="37"/>
      <c r="S19" s="508" t="str">
        <f t="shared" si="0"/>
        <v/>
      </c>
      <c r="T19" s="508"/>
      <c r="U19" s="508"/>
      <c r="V19" s="508"/>
      <c r="X19" s="45">
        <v>0.16666666666666699</v>
      </c>
      <c r="Y19" s="106"/>
      <c r="Z19" s="102"/>
      <c r="AA19" s="102"/>
      <c r="AB19" s="45" t="str">
        <f t="shared" si="18"/>
        <v/>
      </c>
      <c r="AC19" s="45" t="str">
        <f t="shared" si="1"/>
        <v/>
      </c>
      <c r="AD19" s="81"/>
      <c r="AE19" s="9" t="str">
        <f>IF(S19="","",IF(COUNTA(Z19:$Z$39)=1,IF(COUNTA(AD19:$AD$39)=1,""," ; "),IF(COUNTA(AD19:$AD$39)=1,IF(Z19="",""," ; ")," ; ")))</f>
        <v/>
      </c>
      <c r="AF19" s="9" t="str">
        <f t="shared" si="2"/>
        <v/>
      </c>
      <c r="AG19" s="90" t="str">
        <f t="shared" si="3"/>
        <v/>
      </c>
      <c r="AH19" s="204" t="s">
        <v>272</v>
      </c>
      <c r="AJ19" s="206">
        <f t="shared" si="19"/>
        <v>500</v>
      </c>
      <c r="AK19" s="206">
        <f t="shared" si="19"/>
        <v>100</v>
      </c>
      <c r="AL19" s="206">
        <f t="shared" si="19"/>
        <v>2</v>
      </c>
      <c r="AM19" s="213">
        <f t="shared" si="19"/>
        <v>0.875</v>
      </c>
      <c r="AN19" s="214">
        <f t="shared" si="19"/>
        <v>0.63607464142166403</v>
      </c>
      <c r="AO19" s="215">
        <f t="shared" si="4"/>
        <v>-14.7</v>
      </c>
      <c r="AP19" s="216">
        <f t="shared" si="5"/>
        <v>1</v>
      </c>
      <c r="AQ19" s="216">
        <f t="shared" si="6"/>
        <v>1</v>
      </c>
      <c r="AR19" s="215">
        <f t="shared" si="20"/>
        <v>158.47</v>
      </c>
      <c r="AS19" s="216">
        <f t="shared" si="7"/>
        <v>0.9723448696087954</v>
      </c>
      <c r="AT19" s="216">
        <f t="shared" si="8"/>
        <v>1.2538510821608391</v>
      </c>
      <c r="AU19" s="216">
        <f t="shared" si="9"/>
        <v>2.2360679774997898</v>
      </c>
      <c r="AV19" s="217">
        <f t="shared" si="10"/>
        <v>10.368348541764712</v>
      </c>
      <c r="AW19" s="216">
        <f t="shared" si="11"/>
        <v>0</v>
      </c>
      <c r="AX19" s="218">
        <f t="shared" si="12"/>
        <v>1.4831709199797398</v>
      </c>
      <c r="AY19" s="216">
        <f t="shared" si="13"/>
        <v>0.77643477842613629</v>
      </c>
      <c r="AZ19" s="217">
        <f t="shared" si="14"/>
        <v>3.5883638597441294</v>
      </c>
      <c r="BA19" s="216">
        <f t="shared" si="15"/>
        <v>0</v>
      </c>
      <c r="BB19" s="216">
        <f t="shared" si="16"/>
        <v>1.0016542390239327</v>
      </c>
      <c r="BC19" s="216">
        <f t="shared" si="17"/>
        <v>1</v>
      </c>
    </row>
    <row r="20" spans="1:55" ht="20.100000000000001" customHeight="1" x14ac:dyDescent="0.2">
      <c r="A20" s="45">
        <v>0.20833333333333301</v>
      </c>
      <c r="B20" s="451"/>
      <c r="C20" s="451"/>
      <c r="D20" s="451">
        <v>6.3</v>
      </c>
      <c r="E20" s="451">
        <v>58.5</v>
      </c>
      <c r="F20" s="41">
        <v>1931</v>
      </c>
      <c r="G20" s="37">
        <v>-5.5</v>
      </c>
      <c r="H20" s="37">
        <v>71.3</v>
      </c>
      <c r="I20" s="37">
        <v>21.5</v>
      </c>
      <c r="J20" s="41">
        <v>204</v>
      </c>
      <c r="K20" s="37">
        <v>13</v>
      </c>
      <c r="L20" s="451">
        <v>121</v>
      </c>
      <c r="M20" s="451">
        <v>220</v>
      </c>
      <c r="N20" s="451">
        <v>90</v>
      </c>
      <c r="O20" s="353">
        <v>35</v>
      </c>
      <c r="P20" s="353">
        <v>11</v>
      </c>
      <c r="Q20" s="353">
        <v>208.31</v>
      </c>
      <c r="R20" s="37"/>
      <c r="S20" s="508" t="str">
        <f t="shared" si="0"/>
        <v/>
      </c>
      <c r="T20" s="508"/>
      <c r="U20" s="508"/>
      <c r="V20" s="508"/>
      <c r="X20" s="45">
        <v>0.20833333333333301</v>
      </c>
      <c r="Y20" s="106"/>
      <c r="Z20" s="102"/>
      <c r="AA20" s="102"/>
      <c r="AB20" s="45" t="str">
        <f t="shared" si="18"/>
        <v/>
      </c>
      <c r="AC20" s="45" t="str">
        <f t="shared" si="1"/>
        <v/>
      </c>
      <c r="AD20" s="81"/>
      <c r="AE20" s="9" t="str">
        <f>IF(S20="","",IF(COUNTA(Z20:$Z$39)=1,IF(COUNTA(AD20:$AD$39)=1,""," ; "),IF(COUNTA(AD20:$AD$39)=1,IF(Z20="",""," ; ")," ; ")))</f>
        <v/>
      </c>
      <c r="AF20" s="9" t="str">
        <f t="shared" si="2"/>
        <v/>
      </c>
      <c r="AG20" s="90" t="str">
        <f t="shared" si="3"/>
        <v/>
      </c>
      <c r="AH20" s="204" t="s">
        <v>275</v>
      </c>
      <c r="AJ20" s="206">
        <f t="shared" si="19"/>
        <v>500</v>
      </c>
      <c r="AK20" s="206">
        <f t="shared" si="19"/>
        <v>100</v>
      </c>
      <c r="AL20" s="206">
        <f t="shared" si="19"/>
        <v>2</v>
      </c>
      <c r="AM20" s="213">
        <f t="shared" si="19"/>
        <v>0.875</v>
      </c>
      <c r="AN20" s="214">
        <f t="shared" si="19"/>
        <v>0.63607464142166403</v>
      </c>
      <c r="AO20" s="215">
        <f t="shared" si="4"/>
        <v>-14.7</v>
      </c>
      <c r="AP20" s="216">
        <f t="shared" si="5"/>
        <v>1</v>
      </c>
      <c r="AQ20" s="216">
        <f t="shared" si="6"/>
        <v>1</v>
      </c>
      <c r="AR20" s="215">
        <f t="shared" si="20"/>
        <v>158.47</v>
      </c>
      <c r="AS20" s="216">
        <f t="shared" si="7"/>
        <v>0.9723448696087954</v>
      </c>
      <c r="AT20" s="216">
        <f t="shared" si="8"/>
        <v>1.2538510821608391</v>
      </c>
      <c r="AU20" s="216">
        <f t="shared" si="9"/>
        <v>2.2360679774997898</v>
      </c>
      <c r="AV20" s="217">
        <f t="shared" si="10"/>
        <v>10.368348541764712</v>
      </c>
      <c r="AW20" s="216">
        <f t="shared" si="11"/>
        <v>0</v>
      </c>
      <c r="AX20" s="218">
        <f t="shared" si="12"/>
        <v>1.4831709199797398</v>
      </c>
      <c r="AY20" s="216">
        <f t="shared" si="13"/>
        <v>0.77643477842613629</v>
      </c>
      <c r="AZ20" s="217">
        <f t="shared" si="14"/>
        <v>3.5883638597441294</v>
      </c>
      <c r="BA20" s="216">
        <f t="shared" si="15"/>
        <v>0</v>
      </c>
      <c r="BB20" s="216">
        <f t="shared" si="16"/>
        <v>1.0016542390239327</v>
      </c>
      <c r="BC20" s="216">
        <f t="shared" si="17"/>
        <v>1</v>
      </c>
    </row>
    <row r="21" spans="1:55" ht="20.100000000000001" customHeight="1" x14ac:dyDescent="0.2">
      <c r="A21" s="45">
        <v>0.25</v>
      </c>
      <c r="B21" s="451"/>
      <c r="C21" s="451"/>
      <c r="D21" s="451">
        <v>6.1</v>
      </c>
      <c r="E21" s="451">
        <v>57.7</v>
      </c>
      <c r="F21" s="41">
        <v>1966</v>
      </c>
      <c r="G21" s="37">
        <v>-5.5</v>
      </c>
      <c r="H21" s="37">
        <v>71.099999999999994</v>
      </c>
      <c r="I21" s="37">
        <v>21</v>
      </c>
      <c r="J21" s="41">
        <v>205</v>
      </c>
      <c r="K21" s="37">
        <v>13</v>
      </c>
      <c r="L21" s="451">
        <v>122</v>
      </c>
      <c r="M21" s="451">
        <v>222</v>
      </c>
      <c r="N21" s="451">
        <v>90</v>
      </c>
      <c r="O21" s="353">
        <v>35</v>
      </c>
      <c r="P21" s="353">
        <v>10</v>
      </c>
      <c r="Q21" s="353">
        <v>198.7</v>
      </c>
      <c r="R21" s="37"/>
      <c r="S21" s="508" t="str">
        <f t="shared" si="0"/>
        <v/>
      </c>
      <c r="T21" s="508"/>
      <c r="U21" s="508"/>
      <c r="V21" s="508"/>
      <c r="X21" s="45">
        <v>0.25</v>
      </c>
      <c r="Y21" s="106"/>
      <c r="Z21" s="102"/>
      <c r="AA21" s="102"/>
      <c r="AB21" s="45" t="str">
        <f t="shared" si="18"/>
        <v/>
      </c>
      <c r="AC21" s="45" t="str">
        <f t="shared" si="1"/>
        <v/>
      </c>
      <c r="AD21" s="81"/>
      <c r="AE21" s="9" t="str">
        <f>IF(S21="","",IF(COUNTA(Z21:$Z$39)=1,IF(COUNTA(AD21:$AD$39)=1,""," ; "),IF(COUNTA(AD21:$AD$39)=1,IF(Z21="",""," ; ")," ; ")))</f>
        <v/>
      </c>
      <c r="AF21" s="9" t="str">
        <f t="shared" si="2"/>
        <v/>
      </c>
      <c r="AG21" s="90" t="str">
        <f t="shared" si="3"/>
        <v/>
      </c>
      <c r="AH21" s="204" t="s">
        <v>322</v>
      </c>
      <c r="AJ21" s="206">
        <f t="shared" si="19"/>
        <v>500</v>
      </c>
      <c r="AK21" s="206">
        <f t="shared" si="19"/>
        <v>100</v>
      </c>
      <c r="AL21" s="206">
        <f t="shared" si="19"/>
        <v>2</v>
      </c>
      <c r="AM21" s="213">
        <f t="shared" si="19"/>
        <v>0.875</v>
      </c>
      <c r="AN21" s="214">
        <f t="shared" si="19"/>
        <v>0.63607464142166403</v>
      </c>
      <c r="AO21" s="215">
        <f t="shared" si="4"/>
        <v>-14.7</v>
      </c>
      <c r="AP21" s="216">
        <f t="shared" si="5"/>
        <v>1</v>
      </c>
      <c r="AQ21" s="216">
        <f t="shared" si="6"/>
        <v>1</v>
      </c>
      <c r="AR21" s="215">
        <f t="shared" si="20"/>
        <v>158.47</v>
      </c>
      <c r="AS21" s="216">
        <f t="shared" si="7"/>
        <v>0.9723448696087954</v>
      </c>
      <c r="AT21" s="216">
        <f t="shared" si="8"/>
        <v>1.2538510821608391</v>
      </c>
      <c r="AU21" s="216">
        <f t="shared" si="9"/>
        <v>2.2360679774997898</v>
      </c>
      <c r="AV21" s="217">
        <f t="shared" si="10"/>
        <v>10.368348541764712</v>
      </c>
      <c r="AW21" s="216">
        <f t="shared" si="11"/>
        <v>0</v>
      </c>
      <c r="AX21" s="218">
        <f t="shared" si="12"/>
        <v>1.4831709199797398</v>
      </c>
      <c r="AY21" s="216">
        <f t="shared" si="13"/>
        <v>0.77643477842613629</v>
      </c>
      <c r="AZ21" s="217">
        <f t="shared" si="14"/>
        <v>3.5883638597441294</v>
      </c>
      <c r="BA21" s="216">
        <f t="shared" si="15"/>
        <v>0</v>
      </c>
      <c r="BB21" s="216">
        <f t="shared" si="16"/>
        <v>1.0016542390239327</v>
      </c>
      <c r="BC21" s="216">
        <f t="shared" si="17"/>
        <v>1</v>
      </c>
    </row>
    <row r="22" spans="1:55" ht="20.100000000000001" customHeight="1" x14ac:dyDescent="0.2">
      <c r="A22" s="45">
        <v>0.29166666666666702</v>
      </c>
      <c r="B22" s="451"/>
      <c r="C22" s="451"/>
      <c r="D22" s="451">
        <v>6.6</v>
      </c>
      <c r="E22" s="451">
        <v>57</v>
      </c>
      <c r="F22" s="41">
        <v>1941</v>
      </c>
      <c r="G22" s="37">
        <v>-5.5</v>
      </c>
      <c r="H22" s="37">
        <v>71.2</v>
      </c>
      <c r="I22" s="37">
        <v>21.3</v>
      </c>
      <c r="J22" s="41">
        <v>206</v>
      </c>
      <c r="K22" s="37">
        <v>13</v>
      </c>
      <c r="L22" s="451">
        <v>123</v>
      </c>
      <c r="M22" s="451">
        <v>224</v>
      </c>
      <c r="N22" s="451">
        <v>90</v>
      </c>
      <c r="O22" s="353">
        <v>35</v>
      </c>
      <c r="P22" s="353">
        <v>10</v>
      </c>
      <c r="Q22" s="353">
        <v>198.7</v>
      </c>
      <c r="R22" s="37"/>
      <c r="S22" s="508" t="str">
        <f t="shared" si="0"/>
        <v/>
      </c>
      <c r="T22" s="508"/>
      <c r="U22" s="508"/>
      <c r="V22" s="508"/>
      <c r="X22" s="45">
        <v>0.29166666666666702</v>
      </c>
      <c r="Y22" s="106"/>
      <c r="Z22" s="102"/>
      <c r="AA22" s="102"/>
      <c r="AB22" s="45" t="str">
        <f t="shared" si="18"/>
        <v/>
      </c>
      <c r="AC22" s="45" t="str">
        <f t="shared" si="1"/>
        <v/>
      </c>
      <c r="AD22" s="81"/>
      <c r="AE22" s="9" t="str">
        <f>IF(S22="","",IF(COUNTA(Z22:$Z$39)=1,IF(COUNTA(AD22:$AD$39)=1,""," ; "),IF(COUNTA(AD22:$AD$39)=1,IF(Z22="",""," ; ")," ; ")))</f>
        <v/>
      </c>
      <c r="AF22" s="9" t="str">
        <f t="shared" si="2"/>
        <v/>
      </c>
      <c r="AG22" s="90" t="str">
        <f t="shared" si="3"/>
        <v/>
      </c>
      <c r="AH22" s="204" t="s">
        <v>279</v>
      </c>
      <c r="AJ22" s="206">
        <f t="shared" si="19"/>
        <v>500</v>
      </c>
      <c r="AK22" s="206">
        <f t="shared" si="19"/>
        <v>100</v>
      </c>
      <c r="AL22" s="206">
        <f t="shared" si="19"/>
        <v>2</v>
      </c>
      <c r="AM22" s="213">
        <f t="shared" si="19"/>
        <v>0.875</v>
      </c>
      <c r="AN22" s="214">
        <f t="shared" si="19"/>
        <v>0.63607464142166403</v>
      </c>
      <c r="AO22" s="215">
        <f t="shared" si="4"/>
        <v>-14.7</v>
      </c>
      <c r="AP22" s="216">
        <f t="shared" si="5"/>
        <v>1</v>
      </c>
      <c r="AQ22" s="216">
        <f t="shared" si="6"/>
        <v>1</v>
      </c>
      <c r="AR22" s="215">
        <f t="shared" si="20"/>
        <v>158.47</v>
      </c>
      <c r="AS22" s="216">
        <f t="shared" si="7"/>
        <v>0.9723448696087954</v>
      </c>
      <c r="AT22" s="216">
        <f t="shared" si="8"/>
        <v>1.2538510821608391</v>
      </c>
      <c r="AU22" s="216">
        <f t="shared" si="9"/>
        <v>2.2360679774997898</v>
      </c>
      <c r="AV22" s="217">
        <f t="shared" si="10"/>
        <v>10.368348541764712</v>
      </c>
      <c r="AW22" s="216">
        <f t="shared" si="11"/>
        <v>0</v>
      </c>
      <c r="AX22" s="218">
        <f t="shared" si="12"/>
        <v>1.4831709199797398</v>
      </c>
      <c r="AY22" s="216">
        <f t="shared" si="13"/>
        <v>0.77643477842613629</v>
      </c>
      <c r="AZ22" s="217">
        <f t="shared" si="14"/>
        <v>3.5883638597441294</v>
      </c>
      <c r="BA22" s="216">
        <f t="shared" si="15"/>
        <v>0</v>
      </c>
      <c r="BB22" s="216">
        <f t="shared" si="16"/>
        <v>1.0016542390239327</v>
      </c>
      <c r="BC22" s="216">
        <f t="shared" si="17"/>
        <v>1</v>
      </c>
    </row>
    <row r="23" spans="1:55" ht="20.100000000000001" customHeight="1" x14ac:dyDescent="0.2">
      <c r="A23" s="45">
        <v>0.33333333333333298</v>
      </c>
      <c r="B23" s="451"/>
      <c r="C23" s="451"/>
      <c r="D23" s="451">
        <v>7.5</v>
      </c>
      <c r="E23" s="451">
        <v>59.6</v>
      </c>
      <c r="F23" s="41">
        <v>1951</v>
      </c>
      <c r="G23" s="37">
        <v>-5.5</v>
      </c>
      <c r="H23" s="37">
        <v>71.5</v>
      </c>
      <c r="I23" s="37">
        <v>21.6</v>
      </c>
      <c r="J23" s="41">
        <v>207</v>
      </c>
      <c r="K23" s="37">
        <v>13</v>
      </c>
      <c r="L23" s="451">
        <v>125</v>
      </c>
      <c r="M23" s="451">
        <v>224</v>
      </c>
      <c r="N23" s="451">
        <v>90</v>
      </c>
      <c r="O23" s="353">
        <v>40</v>
      </c>
      <c r="P23" s="353">
        <v>11</v>
      </c>
      <c r="Q23" s="353">
        <v>218.65</v>
      </c>
      <c r="R23" s="37"/>
      <c r="S23" s="508" t="str">
        <f t="shared" si="0"/>
        <v/>
      </c>
      <c r="T23" s="508"/>
      <c r="U23" s="508"/>
      <c r="V23" s="508"/>
      <c r="X23" s="45">
        <v>0.33333333333333298</v>
      </c>
      <c r="Y23" s="106"/>
      <c r="Z23" s="102"/>
      <c r="AA23" s="102"/>
      <c r="AB23" s="45" t="str">
        <f t="shared" si="18"/>
        <v/>
      </c>
      <c r="AC23" s="45" t="str">
        <f t="shared" si="1"/>
        <v/>
      </c>
      <c r="AD23" s="81"/>
      <c r="AE23" s="9" t="str">
        <f>IF(S23="","",IF(COUNTA(Z23:$Z$39)=1,IF(COUNTA(AD23:$AD$39)=1,""," ; "),IF(COUNTA(AD23:$AD$39)=1,IF(Z23="",""," ; ")," ; ")))</f>
        <v/>
      </c>
      <c r="AF23" s="9" t="str">
        <f t="shared" si="2"/>
        <v/>
      </c>
      <c r="AG23" s="90" t="str">
        <f t="shared" si="3"/>
        <v/>
      </c>
      <c r="AH23" s="204" t="s">
        <v>274</v>
      </c>
      <c r="AJ23" s="206">
        <f t="shared" si="19"/>
        <v>500</v>
      </c>
      <c r="AK23" s="206">
        <f t="shared" si="19"/>
        <v>100</v>
      </c>
      <c r="AL23" s="206">
        <f t="shared" si="19"/>
        <v>2</v>
      </c>
      <c r="AM23" s="213">
        <f t="shared" si="19"/>
        <v>0.875</v>
      </c>
      <c r="AN23" s="214">
        <f t="shared" si="19"/>
        <v>0.63607464142166403</v>
      </c>
      <c r="AO23" s="215">
        <f t="shared" si="4"/>
        <v>-14.7</v>
      </c>
      <c r="AP23" s="216">
        <f t="shared" si="5"/>
        <v>1</v>
      </c>
      <c r="AQ23" s="216">
        <f t="shared" si="6"/>
        <v>1</v>
      </c>
      <c r="AR23" s="215">
        <f t="shared" si="20"/>
        <v>158.47</v>
      </c>
      <c r="AS23" s="216">
        <f t="shared" si="7"/>
        <v>0.9723448696087954</v>
      </c>
      <c r="AT23" s="216">
        <f t="shared" si="8"/>
        <v>1.2538510821608391</v>
      </c>
      <c r="AU23" s="216">
        <f t="shared" si="9"/>
        <v>2.2360679774997898</v>
      </c>
      <c r="AV23" s="217">
        <f t="shared" si="10"/>
        <v>10.368348541764712</v>
      </c>
      <c r="AW23" s="216">
        <f t="shared" si="11"/>
        <v>0</v>
      </c>
      <c r="AX23" s="218">
        <f t="shared" si="12"/>
        <v>1.4831709199797398</v>
      </c>
      <c r="AY23" s="216">
        <f t="shared" si="13"/>
        <v>0.77643477842613629</v>
      </c>
      <c r="AZ23" s="217">
        <f t="shared" si="14"/>
        <v>3.5883638597441294</v>
      </c>
      <c r="BA23" s="216">
        <f t="shared" si="15"/>
        <v>0</v>
      </c>
      <c r="BB23" s="216">
        <f t="shared" si="16"/>
        <v>1.0016542390239327</v>
      </c>
      <c r="BC23" s="216">
        <f t="shared" si="17"/>
        <v>1</v>
      </c>
    </row>
    <row r="24" spans="1:55" ht="20.100000000000001" customHeight="1" x14ac:dyDescent="0.2">
      <c r="A24" s="45">
        <v>0.375</v>
      </c>
      <c r="B24" s="451"/>
      <c r="C24" s="451"/>
      <c r="D24" s="451">
        <v>7.4</v>
      </c>
      <c r="E24" s="451">
        <v>63.3</v>
      </c>
      <c r="F24" s="41">
        <v>1936</v>
      </c>
      <c r="G24" s="37">
        <v>-5.5</v>
      </c>
      <c r="H24" s="37">
        <v>71</v>
      </c>
      <c r="I24" s="37">
        <v>21.3</v>
      </c>
      <c r="J24" s="41">
        <v>208</v>
      </c>
      <c r="K24" s="37">
        <v>13</v>
      </c>
      <c r="L24" s="451">
        <v>125</v>
      </c>
      <c r="M24" s="451">
        <v>226</v>
      </c>
      <c r="N24" s="451">
        <v>90</v>
      </c>
      <c r="O24" s="353">
        <v>40</v>
      </c>
      <c r="P24" s="353">
        <v>11</v>
      </c>
      <c r="Q24" s="353">
        <v>218.65</v>
      </c>
      <c r="R24" s="37"/>
      <c r="S24" s="508" t="str">
        <f t="shared" si="0"/>
        <v/>
      </c>
      <c r="T24" s="508"/>
      <c r="U24" s="508"/>
      <c r="V24" s="508"/>
      <c r="X24" s="45">
        <v>0.375</v>
      </c>
      <c r="Y24" s="106"/>
      <c r="Z24" s="102"/>
      <c r="AA24" s="102"/>
      <c r="AB24" s="45" t="str">
        <f t="shared" si="18"/>
        <v/>
      </c>
      <c r="AC24" s="45" t="str">
        <f t="shared" si="1"/>
        <v/>
      </c>
      <c r="AD24" s="81"/>
      <c r="AE24" s="9" t="str">
        <f>IF(S24="","",IF(COUNTA(Z24:$Z$39)=1,IF(COUNTA(AD24:$AD$39)=1,""," ; "),IF(COUNTA(AD24:$AD$39)=1,IF(Z24="",""," ; ")," ; ")))</f>
        <v/>
      </c>
      <c r="AF24" s="9" t="str">
        <f t="shared" si="2"/>
        <v/>
      </c>
      <c r="AG24" s="90" t="str">
        <f t="shared" si="3"/>
        <v/>
      </c>
      <c r="AH24" s="204" t="s">
        <v>307</v>
      </c>
      <c r="AJ24" s="206">
        <f t="shared" si="19"/>
        <v>500</v>
      </c>
      <c r="AK24" s="206">
        <f t="shared" si="19"/>
        <v>100</v>
      </c>
      <c r="AL24" s="206">
        <f t="shared" si="19"/>
        <v>2</v>
      </c>
      <c r="AM24" s="213">
        <f t="shared" si="19"/>
        <v>0.875</v>
      </c>
      <c r="AN24" s="214">
        <f t="shared" si="19"/>
        <v>0.63607464142166403</v>
      </c>
      <c r="AO24" s="215">
        <f t="shared" si="4"/>
        <v>-14.7</v>
      </c>
      <c r="AP24" s="216">
        <f t="shared" si="5"/>
        <v>1</v>
      </c>
      <c r="AQ24" s="216">
        <f t="shared" si="6"/>
        <v>1</v>
      </c>
      <c r="AR24" s="215">
        <f t="shared" si="20"/>
        <v>158.47</v>
      </c>
      <c r="AS24" s="216">
        <f t="shared" si="7"/>
        <v>0.9723448696087954</v>
      </c>
      <c r="AT24" s="216">
        <f t="shared" si="8"/>
        <v>1.2538510821608391</v>
      </c>
      <c r="AU24" s="216">
        <f t="shared" si="9"/>
        <v>2.2360679774997898</v>
      </c>
      <c r="AV24" s="217">
        <f t="shared" si="10"/>
        <v>10.368348541764712</v>
      </c>
      <c r="AW24" s="216">
        <f t="shared" si="11"/>
        <v>0</v>
      </c>
      <c r="AX24" s="218">
        <f t="shared" si="12"/>
        <v>1.4831709199797398</v>
      </c>
      <c r="AY24" s="216">
        <f t="shared" si="13"/>
        <v>0.77643477842613629</v>
      </c>
      <c r="AZ24" s="217">
        <f t="shared" si="14"/>
        <v>3.5883638597441294</v>
      </c>
      <c r="BA24" s="216">
        <f t="shared" si="15"/>
        <v>0</v>
      </c>
      <c r="BB24" s="216">
        <f t="shared" si="16"/>
        <v>1.0016542390239327</v>
      </c>
      <c r="BC24" s="216">
        <f t="shared" si="17"/>
        <v>1</v>
      </c>
    </row>
    <row r="25" spans="1:55" ht="20.100000000000001" customHeight="1" x14ac:dyDescent="0.2">
      <c r="A25" s="45">
        <v>0.41666666666666702</v>
      </c>
      <c r="B25" s="451"/>
      <c r="C25" s="451"/>
      <c r="D25" s="451">
        <v>7.6</v>
      </c>
      <c r="E25" s="451">
        <v>63.9</v>
      </c>
      <c r="F25" s="41">
        <v>1958</v>
      </c>
      <c r="G25" s="37">
        <v>-5.5</v>
      </c>
      <c r="H25" s="37">
        <v>71.5</v>
      </c>
      <c r="I25" s="37">
        <v>21.1</v>
      </c>
      <c r="J25" s="41">
        <v>209</v>
      </c>
      <c r="K25" s="37">
        <v>13</v>
      </c>
      <c r="L25" s="451">
        <v>128</v>
      </c>
      <c r="M25" s="451">
        <v>228</v>
      </c>
      <c r="N25" s="451">
        <v>90</v>
      </c>
      <c r="O25" s="353">
        <v>40</v>
      </c>
      <c r="P25" s="353">
        <v>9</v>
      </c>
      <c r="Q25" s="353">
        <v>197.95</v>
      </c>
      <c r="R25" s="37"/>
      <c r="S25" s="508" t="str">
        <f t="shared" si="0"/>
        <v/>
      </c>
      <c r="T25" s="508"/>
      <c r="U25" s="508"/>
      <c r="V25" s="508"/>
      <c r="X25" s="45">
        <v>0.41666666666666702</v>
      </c>
      <c r="Y25" s="106"/>
      <c r="Z25" s="102"/>
      <c r="AA25" s="102"/>
      <c r="AB25" s="45" t="str">
        <f t="shared" si="18"/>
        <v/>
      </c>
      <c r="AC25" s="45" t="str">
        <f t="shared" si="1"/>
        <v/>
      </c>
      <c r="AD25" s="81"/>
      <c r="AE25" s="9" t="str">
        <f>IF(S25="","",IF(COUNTA(Z25:$Z$39)=1,IF(COUNTA(AD25:$AD$39)=1,""," ; "),IF(COUNTA(AD25:$AD$39)=1,IF(Z25="",""," ; ")," ; ")))</f>
        <v/>
      </c>
      <c r="AF25" s="9" t="str">
        <f t="shared" si="2"/>
        <v/>
      </c>
      <c r="AG25" s="90" t="str">
        <f t="shared" si="3"/>
        <v/>
      </c>
      <c r="AH25" s="204" t="s">
        <v>225</v>
      </c>
      <c r="AJ25" s="206">
        <f t="shared" si="19"/>
        <v>500</v>
      </c>
      <c r="AK25" s="206">
        <f t="shared" si="19"/>
        <v>100</v>
      </c>
      <c r="AL25" s="206">
        <f t="shared" si="19"/>
        <v>2</v>
      </c>
      <c r="AM25" s="213">
        <f t="shared" si="19"/>
        <v>0.875</v>
      </c>
      <c r="AN25" s="214">
        <f t="shared" si="19"/>
        <v>0.63607464142166403</v>
      </c>
      <c r="AO25" s="215">
        <f t="shared" si="4"/>
        <v>-14.7</v>
      </c>
      <c r="AP25" s="216">
        <f t="shared" si="5"/>
        <v>1</v>
      </c>
      <c r="AQ25" s="216">
        <f t="shared" si="6"/>
        <v>1</v>
      </c>
      <c r="AR25" s="215">
        <f t="shared" si="20"/>
        <v>158.47</v>
      </c>
      <c r="AS25" s="216">
        <f t="shared" si="7"/>
        <v>0.9723448696087954</v>
      </c>
      <c r="AT25" s="216">
        <f t="shared" si="8"/>
        <v>1.2538510821608391</v>
      </c>
      <c r="AU25" s="216">
        <f t="shared" si="9"/>
        <v>2.2360679774997898</v>
      </c>
      <c r="AV25" s="217">
        <f t="shared" si="10"/>
        <v>10.368348541764712</v>
      </c>
      <c r="AW25" s="216">
        <f t="shared" si="11"/>
        <v>0</v>
      </c>
      <c r="AX25" s="218">
        <f t="shared" si="12"/>
        <v>1.4831709199797398</v>
      </c>
      <c r="AY25" s="216">
        <f t="shared" si="13"/>
        <v>0.77643477842613629</v>
      </c>
      <c r="AZ25" s="217">
        <f t="shared" si="14"/>
        <v>3.5883638597441294</v>
      </c>
      <c r="BA25" s="216">
        <f t="shared" si="15"/>
        <v>0</v>
      </c>
      <c r="BB25" s="216">
        <f t="shared" si="16"/>
        <v>1.0016542390239327</v>
      </c>
      <c r="BC25" s="216">
        <f t="shared" si="17"/>
        <v>1</v>
      </c>
    </row>
    <row r="26" spans="1:55" ht="20.100000000000001" customHeight="1" x14ac:dyDescent="0.2">
      <c r="A26" s="45">
        <v>0.45833333333333298</v>
      </c>
      <c r="B26" s="451"/>
      <c r="C26" s="451"/>
      <c r="D26" s="451">
        <v>6.3</v>
      </c>
      <c r="E26" s="451">
        <v>61.5</v>
      </c>
      <c r="F26" s="41">
        <v>1965</v>
      </c>
      <c r="G26" s="37">
        <v>-5.5</v>
      </c>
      <c r="H26" s="37">
        <v>71.3</v>
      </c>
      <c r="I26" s="37">
        <v>21.5</v>
      </c>
      <c r="J26" s="41">
        <v>210</v>
      </c>
      <c r="K26" s="37">
        <v>13</v>
      </c>
      <c r="L26" s="451">
        <v>128</v>
      </c>
      <c r="M26" s="451">
        <v>228</v>
      </c>
      <c r="N26" s="451">
        <v>90</v>
      </c>
      <c r="O26" s="353">
        <v>40</v>
      </c>
      <c r="P26" s="353">
        <v>12</v>
      </c>
      <c r="Q26" s="353">
        <v>228.29</v>
      </c>
      <c r="R26" s="37"/>
      <c r="S26" s="508" t="str">
        <f t="shared" si="0"/>
        <v/>
      </c>
      <c r="T26" s="508"/>
      <c r="U26" s="508"/>
      <c r="V26" s="508"/>
      <c r="X26" s="45">
        <v>0.45833333333333298</v>
      </c>
      <c r="Y26" s="106"/>
      <c r="Z26" s="102"/>
      <c r="AA26" s="102"/>
      <c r="AB26" s="45" t="str">
        <f t="shared" si="18"/>
        <v/>
      </c>
      <c r="AC26" s="45" t="str">
        <f t="shared" si="1"/>
        <v/>
      </c>
      <c r="AD26" s="81"/>
      <c r="AE26" s="9" t="str">
        <f>IF(S26="","",IF(COUNTA(Z26:$Z$39)=1,IF(COUNTA(AD26:$AD$39)=1,""," ; "),IF(COUNTA(AD26:$AD$39)=1,IF(Z26="",""," ; ")," ; ")))</f>
        <v/>
      </c>
      <c r="AF26" s="9" t="str">
        <f t="shared" si="2"/>
        <v/>
      </c>
      <c r="AG26" s="90" t="str">
        <f t="shared" si="3"/>
        <v/>
      </c>
      <c r="AH26" s="204" t="s">
        <v>287</v>
      </c>
      <c r="AJ26" s="206">
        <f t="shared" si="19"/>
        <v>500</v>
      </c>
      <c r="AK26" s="206">
        <f t="shared" si="19"/>
        <v>100</v>
      </c>
      <c r="AL26" s="206">
        <f t="shared" si="19"/>
        <v>2</v>
      </c>
      <c r="AM26" s="213">
        <f t="shared" si="19"/>
        <v>0.875</v>
      </c>
      <c r="AN26" s="214">
        <f t="shared" si="19"/>
        <v>0.63607464142166403</v>
      </c>
      <c r="AO26" s="215">
        <f t="shared" si="4"/>
        <v>-14.7</v>
      </c>
      <c r="AP26" s="216">
        <f t="shared" si="5"/>
        <v>1</v>
      </c>
      <c r="AQ26" s="216">
        <f t="shared" si="6"/>
        <v>1</v>
      </c>
      <c r="AR26" s="215">
        <f t="shared" si="20"/>
        <v>158.47</v>
      </c>
      <c r="AS26" s="216">
        <f t="shared" si="7"/>
        <v>0.9723448696087954</v>
      </c>
      <c r="AT26" s="216">
        <f t="shared" si="8"/>
        <v>1.2538510821608391</v>
      </c>
      <c r="AU26" s="216">
        <f t="shared" si="9"/>
        <v>2.2360679774997898</v>
      </c>
      <c r="AV26" s="217">
        <f t="shared" si="10"/>
        <v>10.368348541764712</v>
      </c>
      <c r="AW26" s="216">
        <f t="shared" si="11"/>
        <v>0</v>
      </c>
      <c r="AX26" s="218">
        <f t="shared" si="12"/>
        <v>1.4831709199797398</v>
      </c>
      <c r="AY26" s="216">
        <f t="shared" si="13"/>
        <v>0.77643477842613629</v>
      </c>
      <c r="AZ26" s="217">
        <f t="shared" si="14"/>
        <v>3.5883638597441294</v>
      </c>
      <c r="BA26" s="216">
        <f t="shared" si="15"/>
        <v>0</v>
      </c>
      <c r="BB26" s="216">
        <f t="shared" si="16"/>
        <v>1.0016542390239327</v>
      </c>
      <c r="BC26" s="216">
        <f t="shared" si="17"/>
        <v>1</v>
      </c>
    </row>
    <row r="27" spans="1:55" ht="20.100000000000001" customHeight="1" x14ac:dyDescent="0.2">
      <c r="A27" s="45">
        <v>0.5</v>
      </c>
      <c r="B27" s="451"/>
      <c r="C27" s="451"/>
      <c r="D27" s="451">
        <v>6.6</v>
      </c>
      <c r="E27" s="451">
        <v>61.8</v>
      </c>
      <c r="F27" s="41">
        <v>1980</v>
      </c>
      <c r="G27" s="37">
        <v>-5.5</v>
      </c>
      <c r="H27" s="37">
        <v>71.599999999999994</v>
      </c>
      <c r="I27" s="37">
        <v>21.3</v>
      </c>
      <c r="J27" s="41">
        <v>211</v>
      </c>
      <c r="K27" s="37">
        <v>13</v>
      </c>
      <c r="L27" s="451">
        <v>130</v>
      </c>
      <c r="M27" s="451">
        <v>230</v>
      </c>
      <c r="N27" s="451">
        <v>90</v>
      </c>
      <c r="O27" s="353">
        <v>40</v>
      </c>
      <c r="P27" s="353">
        <v>13</v>
      </c>
      <c r="Q27" s="353">
        <v>237.53</v>
      </c>
      <c r="R27" s="37"/>
      <c r="S27" s="508" t="str">
        <f t="shared" si="0"/>
        <v/>
      </c>
      <c r="T27" s="508"/>
      <c r="U27" s="508"/>
      <c r="V27" s="508"/>
      <c r="X27" s="45">
        <v>0.5</v>
      </c>
      <c r="Y27" s="106"/>
      <c r="Z27" s="102"/>
      <c r="AA27" s="102"/>
      <c r="AB27" s="45" t="str">
        <f t="shared" si="18"/>
        <v/>
      </c>
      <c r="AC27" s="45" t="str">
        <f t="shared" si="1"/>
        <v/>
      </c>
      <c r="AD27" s="81"/>
      <c r="AE27" s="9" t="str">
        <f>IF(S27="","",IF(COUNTA(Z27:$Z$39)=1,IF(COUNTA(AD27:$AD$39)=1,""," ; "),IF(COUNTA(AD27:$AD$39)=1,IF(Z27="",""," ; ")," ; ")))</f>
        <v/>
      </c>
      <c r="AF27" s="9" t="str">
        <f t="shared" si="2"/>
        <v/>
      </c>
      <c r="AG27" s="90" t="str">
        <f t="shared" si="3"/>
        <v/>
      </c>
      <c r="AH27" s="204" t="s">
        <v>276</v>
      </c>
      <c r="AJ27" s="206">
        <f t="shared" si="19"/>
        <v>500</v>
      </c>
      <c r="AK27" s="206">
        <f t="shared" si="19"/>
        <v>100</v>
      </c>
      <c r="AL27" s="206">
        <f t="shared" si="19"/>
        <v>2</v>
      </c>
      <c r="AM27" s="213">
        <f t="shared" si="19"/>
        <v>0.875</v>
      </c>
      <c r="AN27" s="214">
        <f t="shared" si="19"/>
        <v>0.63607464142166403</v>
      </c>
      <c r="AO27" s="215">
        <f t="shared" si="4"/>
        <v>-14.7</v>
      </c>
      <c r="AP27" s="216">
        <f t="shared" si="5"/>
        <v>1</v>
      </c>
      <c r="AQ27" s="216">
        <f t="shared" si="6"/>
        <v>1</v>
      </c>
      <c r="AR27" s="215">
        <f t="shared" si="20"/>
        <v>158.47</v>
      </c>
      <c r="AS27" s="216">
        <f t="shared" si="7"/>
        <v>0.9723448696087954</v>
      </c>
      <c r="AT27" s="216">
        <f t="shared" si="8"/>
        <v>1.2538510821608391</v>
      </c>
      <c r="AU27" s="216">
        <f t="shared" si="9"/>
        <v>2.2360679774997898</v>
      </c>
      <c r="AV27" s="217">
        <f t="shared" si="10"/>
        <v>10.368348541764712</v>
      </c>
      <c r="AW27" s="216">
        <f t="shared" si="11"/>
        <v>0</v>
      </c>
      <c r="AX27" s="218">
        <f t="shared" si="12"/>
        <v>1.4831709199797398</v>
      </c>
      <c r="AY27" s="216">
        <f t="shared" si="13"/>
        <v>0.77643477842613629</v>
      </c>
      <c r="AZ27" s="217">
        <f t="shared" si="14"/>
        <v>3.5883638597441294</v>
      </c>
      <c r="BA27" s="216">
        <f t="shared" si="15"/>
        <v>0</v>
      </c>
      <c r="BB27" s="216">
        <f t="shared" si="16"/>
        <v>1.0016542390239327</v>
      </c>
      <c r="BC27" s="216">
        <f t="shared" si="17"/>
        <v>1</v>
      </c>
    </row>
    <row r="28" spans="1:55" ht="20.100000000000001" customHeight="1" x14ac:dyDescent="0.2">
      <c r="A28" s="45">
        <v>0.54166666666666696</v>
      </c>
      <c r="B28" s="451"/>
      <c r="C28" s="451"/>
      <c r="D28" s="451">
        <v>6.5</v>
      </c>
      <c r="E28" s="451">
        <v>61.4</v>
      </c>
      <c r="F28" s="41">
        <v>1973</v>
      </c>
      <c r="G28" s="37">
        <v>-5.5</v>
      </c>
      <c r="H28" s="37">
        <v>71.8</v>
      </c>
      <c r="I28" s="37">
        <v>21.5</v>
      </c>
      <c r="J28" s="41">
        <v>212</v>
      </c>
      <c r="K28" s="37">
        <v>13</v>
      </c>
      <c r="L28" s="451">
        <v>130</v>
      </c>
      <c r="M28" s="451">
        <v>230</v>
      </c>
      <c r="N28" s="451">
        <v>90</v>
      </c>
      <c r="O28" s="353">
        <v>40</v>
      </c>
      <c r="P28" s="353">
        <v>14</v>
      </c>
      <c r="Q28" s="353">
        <v>246.42</v>
      </c>
      <c r="R28" s="37"/>
      <c r="S28" s="508" t="str">
        <f t="shared" si="0"/>
        <v/>
      </c>
      <c r="T28" s="508"/>
      <c r="U28" s="508"/>
      <c r="V28" s="508"/>
      <c r="X28" s="45">
        <v>0.54166666666666696</v>
      </c>
      <c r="Y28" s="106"/>
      <c r="Z28" s="102"/>
      <c r="AA28" s="102"/>
      <c r="AB28" s="45" t="str">
        <f t="shared" si="18"/>
        <v/>
      </c>
      <c r="AC28" s="45" t="str">
        <f t="shared" si="1"/>
        <v/>
      </c>
      <c r="AD28" s="81"/>
      <c r="AE28" s="9" t="str">
        <f>IF(S28="","",IF(COUNTA(Z28:$Z$39)=1,IF(COUNTA(AD28:$AD$39)=1,""," ; "),IF(COUNTA(AD28:$AD$39)=1,IF(Z28="",""," ; ")," ; ")))</f>
        <v/>
      </c>
      <c r="AF28" s="9" t="str">
        <f t="shared" si="2"/>
        <v/>
      </c>
      <c r="AG28" s="90" t="str">
        <f t="shared" si="3"/>
        <v/>
      </c>
      <c r="AH28" s="204" t="s">
        <v>278</v>
      </c>
      <c r="AJ28" s="206">
        <f t="shared" si="19"/>
        <v>500</v>
      </c>
      <c r="AK28" s="206">
        <f t="shared" si="19"/>
        <v>100</v>
      </c>
      <c r="AL28" s="206">
        <f t="shared" si="19"/>
        <v>2</v>
      </c>
      <c r="AM28" s="213">
        <f t="shared" si="19"/>
        <v>0.875</v>
      </c>
      <c r="AN28" s="214">
        <f t="shared" si="19"/>
        <v>0.63607464142166403</v>
      </c>
      <c r="AO28" s="215">
        <f t="shared" si="4"/>
        <v>-14.7</v>
      </c>
      <c r="AP28" s="216">
        <f t="shared" si="5"/>
        <v>1</v>
      </c>
      <c r="AQ28" s="216">
        <f t="shared" si="6"/>
        <v>1</v>
      </c>
      <c r="AR28" s="215">
        <f t="shared" si="20"/>
        <v>158.47</v>
      </c>
      <c r="AS28" s="216">
        <f t="shared" si="7"/>
        <v>0.9723448696087954</v>
      </c>
      <c r="AT28" s="216">
        <f t="shared" si="8"/>
        <v>1.2538510821608391</v>
      </c>
      <c r="AU28" s="216">
        <f t="shared" si="9"/>
        <v>2.2360679774997898</v>
      </c>
      <c r="AV28" s="217">
        <f t="shared" si="10"/>
        <v>10.368348541764712</v>
      </c>
      <c r="AW28" s="216">
        <f t="shared" si="11"/>
        <v>0</v>
      </c>
      <c r="AX28" s="218">
        <f t="shared" si="12"/>
        <v>1.4831709199797398</v>
      </c>
      <c r="AY28" s="216">
        <f t="shared" si="13"/>
        <v>0.77643477842613629</v>
      </c>
      <c r="AZ28" s="217">
        <f t="shared" si="14"/>
        <v>3.5883638597441294</v>
      </c>
      <c r="BA28" s="216">
        <f t="shared" si="15"/>
        <v>0</v>
      </c>
      <c r="BB28" s="216">
        <f t="shared" si="16"/>
        <v>1.0016542390239327</v>
      </c>
      <c r="BC28" s="216">
        <f t="shared" si="17"/>
        <v>1</v>
      </c>
    </row>
    <row r="29" spans="1:55" ht="20.100000000000001" customHeight="1" x14ac:dyDescent="0.2">
      <c r="A29" s="45">
        <v>0.58333333333333304</v>
      </c>
      <c r="B29" s="451"/>
      <c r="C29" s="451"/>
      <c r="D29" s="451">
        <v>6.9</v>
      </c>
      <c r="E29" s="451">
        <v>63.6</v>
      </c>
      <c r="F29" s="41">
        <v>1950</v>
      </c>
      <c r="G29" s="37">
        <v>-5.5</v>
      </c>
      <c r="H29" s="37">
        <v>71.5</v>
      </c>
      <c r="I29" s="37">
        <v>21.6</v>
      </c>
      <c r="J29" s="41">
        <v>213</v>
      </c>
      <c r="K29" s="37">
        <v>13</v>
      </c>
      <c r="L29" s="451">
        <v>133</v>
      </c>
      <c r="M29" s="451">
        <v>233</v>
      </c>
      <c r="N29" s="451">
        <v>90</v>
      </c>
      <c r="O29" s="353">
        <v>40</v>
      </c>
      <c r="P29" s="353">
        <v>14</v>
      </c>
      <c r="Q29" s="353">
        <v>246.42</v>
      </c>
      <c r="R29" s="37"/>
      <c r="S29" s="508" t="str">
        <f t="shared" si="0"/>
        <v/>
      </c>
      <c r="T29" s="508"/>
      <c r="U29" s="508"/>
      <c r="V29" s="508"/>
      <c r="X29" s="45">
        <v>0.58333333333333304</v>
      </c>
      <c r="Y29" s="106"/>
      <c r="Z29" s="102"/>
      <c r="AA29" s="102"/>
      <c r="AB29" s="45" t="str">
        <f t="shared" si="18"/>
        <v/>
      </c>
      <c r="AC29" s="45" t="str">
        <f t="shared" si="1"/>
        <v/>
      </c>
      <c r="AD29" s="81"/>
      <c r="AE29" s="9" t="str">
        <f>IF(S29="","",IF(COUNTA(Z29:$Z$39)=1,IF(COUNTA(AD29:$AD$39)=1,""," ; "),IF(COUNTA(AD29:$AD$39)=1,IF(Z29="",""," ; ")," ; ")))</f>
        <v/>
      </c>
      <c r="AF29" s="9" t="str">
        <f t="shared" si="2"/>
        <v/>
      </c>
      <c r="AG29" s="90" t="str">
        <f t="shared" si="3"/>
        <v/>
      </c>
      <c r="AH29" s="204" t="s">
        <v>224</v>
      </c>
      <c r="AJ29" s="206">
        <f t="shared" si="19"/>
        <v>500</v>
      </c>
      <c r="AK29" s="206">
        <f t="shared" si="19"/>
        <v>100</v>
      </c>
      <c r="AL29" s="206">
        <f t="shared" si="19"/>
        <v>2</v>
      </c>
      <c r="AM29" s="213">
        <f t="shared" si="19"/>
        <v>0.875</v>
      </c>
      <c r="AN29" s="214">
        <f t="shared" si="19"/>
        <v>0.63607464142166403</v>
      </c>
      <c r="AO29" s="215">
        <f t="shared" si="4"/>
        <v>-14.7</v>
      </c>
      <c r="AP29" s="216">
        <f t="shared" si="5"/>
        <v>1</v>
      </c>
      <c r="AQ29" s="216">
        <f t="shared" si="6"/>
        <v>1</v>
      </c>
      <c r="AR29" s="215">
        <f t="shared" si="20"/>
        <v>158.47</v>
      </c>
      <c r="AS29" s="216">
        <f t="shared" si="7"/>
        <v>0.9723448696087954</v>
      </c>
      <c r="AT29" s="216">
        <f t="shared" si="8"/>
        <v>1.2538510821608391</v>
      </c>
      <c r="AU29" s="216">
        <f t="shared" si="9"/>
        <v>2.2360679774997898</v>
      </c>
      <c r="AV29" s="217">
        <f t="shared" si="10"/>
        <v>10.368348541764712</v>
      </c>
      <c r="AW29" s="216">
        <f t="shared" si="11"/>
        <v>0</v>
      </c>
      <c r="AX29" s="218">
        <f t="shared" si="12"/>
        <v>1.4831709199797398</v>
      </c>
      <c r="AY29" s="216">
        <f t="shared" si="13"/>
        <v>0.77643477842613629</v>
      </c>
      <c r="AZ29" s="217">
        <f t="shared" si="14"/>
        <v>3.5883638597441294</v>
      </c>
      <c r="BA29" s="216">
        <f t="shared" si="15"/>
        <v>0</v>
      </c>
      <c r="BB29" s="216">
        <f t="shared" si="16"/>
        <v>1.0016542390239327</v>
      </c>
      <c r="BC29" s="216">
        <f t="shared" si="17"/>
        <v>1</v>
      </c>
    </row>
    <row r="30" spans="1:55" ht="20.100000000000001" customHeight="1" x14ac:dyDescent="0.2">
      <c r="A30" s="45">
        <v>0.625</v>
      </c>
      <c r="B30" s="451"/>
      <c r="C30" s="451"/>
      <c r="D30" s="451">
        <v>6.9</v>
      </c>
      <c r="E30" s="451">
        <v>65.3</v>
      </c>
      <c r="F30" s="41">
        <v>1935</v>
      </c>
      <c r="G30" s="37">
        <v>-5.5</v>
      </c>
      <c r="H30" s="37">
        <v>71.3</v>
      </c>
      <c r="I30" s="37">
        <v>21.5</v>
      </c>
      <c r="J30" s="41">
        <v>214</v>
      </c>
      <c r="K30" s="37">
        <v>13</v>
      </c>
      <c r="L30" s="451">
        <v>133</v>
      </c>
      <c r="M30" s="451">
        <v>230</v>
      </c>
      <c r="N30" s="451">
        <v>90</v>
      </c>
      <c r="O30" s="353">
        <v>55</v>
      </c>
      <c r="P30" s="353">
        <v>11</v>
      </c>
      <c r="Q30" s="353">
        <v>247.2</v>
      </c>
      <c r="R30" s="37"/>
      <c r="S30" s="508" t="str">
        <f t="shared" si="0"/>
        <v/>
      </c>
      <c r="T30" s="508"/>
      <c r="U30" s="508"/>
      <c r="V30" s="508"/>
      <c r="X30" s="45">
        <v>0.625</v>
      </c>
      <c r="Y30" s="106"/>
      <c r="Z30" s="102"/>
      <c r="AA30" s="102"/>
      <c r="AB30" s="45" t="str">
        <f t="shared" si="18"/>
        <v/>
      </c>
      <c r="AC30" s="45" t="str">
        <f t="shared" si="1"/>
        <v/>
      </c>
      <c r="AD30" s="81"/>
      <c r="AE30" s="9" t="str">
        <f>IF(S30="","",IF(COUNTA(Z30:$Z$39)=1,IF(COUNTA(AD30:$AD$39)=1,""," ; "),IF(COUNTA(AD30:$AD$39)=1,IF(Z30="",""," ; ")," ; ")))</f>
        <v/>
      </c>
      <c r="AF30" s="9" t="str">
        <f t="shared" si="2"/>
        <v/>
      </c>
      <c r="AG30" s="90" t="str">
        <f t="shared" si="3"/>
        <v/>
      </c>
      <c r="AH30" s="204" t="s">
        <v>260</v>
      </c>
      <c r="AJ30" s="206">
        <f t="shared" si="19"/>
        <v>500</v>
      </c>
      <c r="AK30" s="206">
        <f t="shared" si="19"/>
        <v>100</v>
      </c>
      <c r="AL30" s="206">
        <f t="shared" si="19"/>
        <v>2</v>
      </c>
      <c r="AM30" s="213">
        <f t="shared" si="19"/>
        <v>0.875</v>
      </c>
      <c r="AN30" s="214">
        <f t="shared" si="19"/>
        <v>0.63607464142166403</v>
      </c>
      <c r="AO30" s="215">
        <f t="shared" si="4"/>
        <v>-14.7</v>
      </c>
      <c r="AP30" s="216">
        <f t="shared" si="5"/>
        <v>1</v>
      </c>
      <c r="AQ30" s="216">
        <f t="shared" si="6"/>
        <v>1</v>
      </c>
      <c r="AR30" s="215">
        <f t="shared" si="20"/>
        <v>158.47</v>
      </c>
      <c r="AS30" s="216">
        <f t="shared" si="7"/>
        <v>0.9723448696087954</v>
      </c>
      <c r="AT30" s="216">
        <f t="shared" si="8"/>
        <v>1.2538510821608391</v>
      </c>
      <c r="AU30" s="216">
        <f t="shared" si="9"/>
        <v>2.2360679774997898</v>
      </c>
      <c r="AV30" s="217">
        <f t="shared" si="10"/>
        <v>10.368348541764712</v>
      </c>
      <c r="AW30" s="216">
        <f t="shared" si="11"/>
        <v>0</v>
      </c>
      <c r="AX30" s="218">
        <f t="shared" si="12"/>
        <v>1.4831709199797398</v>
      </c>
      <c r="AY30" s="216">
        <f t="shared" si="13"/>
        <v>0.77643477842613629</v>
      </c>
      <c r="AZ30" s="217">
        <f t="shared" si="14"/>
        <v>3.5883638597441294</v>
      </c>
      <c r="BA30" s="216">
        <f t="shared" si="15"/>
        <v>0</v>
      </c>
      <c r="BB30" s="216">
        <f t="shared" si="16"/>
        <v>1.0016542390239327</v>
      </c>
      <c r="BC30" s="216">
        <f t="shared" si="17"/>
        <v>1</v>
      </c>
    </row>
    <row r="31" spans="1:55" ht="20.100000000000001" customHeight="1" x14ac:dyDescent="0.2">
      <c r="A31" s="45">
        <v>0.66666666666666696</v>
      </c>
      <c r="B31" s="451"/>
      <c r="C31" s="451"/>
      <c r="D31" s="451">
        <v>6.6</v>
      </c>
      <c r="E31" s="451">
        <v>65.5</v>
      </c>
      <c r="F31" s="41">
        <v>1956</v>
      </c>
      <c r="G31" s="37">
        <v>-5.5</v>
      </c>
      <c r="H31" s="37">
        <v>71.900000000000006</v>
      </c>
      <c r="I31" s="37">
        <v>21.3</v>
      </c>
      <c r="J31" s="41">
        <v>215</v>
      </c>
      <c r="K31" s="37">
        <v>13</v>
      </c>
      <c r="L31" s="451">
        <v>131</v>
      </c>
      <c r="M31" s="451">
        <v>229</v>
      </c>
      <c r="N31" s="451">
        <v>90</v>
      </c>
      <c r="O31" s="353">
        <v>55</v>
      </c>
      <c r="P31" s="353">
        <v>8</v>
      </c>
      <c r="Q31" s="353">
        <v>211.08</v>
      </c>
      <c r="R31" s="37"/>
      <c r="S31" s="508" t="str">
        <f t="shared" si="0"/>
        <v/>
      </c>
      <c r="T31" s="508"/>
      <c r="U31" s="508"/>
      <c r="V31" s="508"/>
      <c r="X31" s="45">
        <v>0.66666666666666696</v>
      </c>
      <c r="Y31" s="106"/>
      <c r="Z31" s="102"/>
      <c r="AA31" s="102"/>
      <c r="AB31" s="45" t="str">
        <f t="shared" si="18"/>
        <v/>
      </c>
      <c r="AC31" s="45" t="str">
        <f t="shared" si="1"/>
        <v/>
      </c>
      <c r="AD31" s="81"/>
      <c r="AE31" s="9" t="str">
        <f>IF(S31="","",IF(COUNTA(Z31:$Z$39)=1,IF(COUNTA(AD31:$AD$39)=1,""," ; "),IF(COUNTA(AD31:$AD$39)=1,IF(Z31="",""," ; ")," ; ")))</f>
        <v/>
      </c>
      <c r="AF31" s="9" t="str">
        <f t="shared" si="2"/>
        <v/>
      </c>
      <c r="AG31" s="90" t="str">
        <f t="shared" si="3"/>
        <v/>
      </c>
      <c r="AH31" s="204" t="s">
        <v>226</v>
      </c>
      <c r="AJ31" s="206">
        <f t="shared" si="19"/>
        <v>500</v>
      </c>
      <c r="AK31" s="206">
        <f t="shared" si="19"/>
        <v>100</v>
      </c>
      <c r="AL31" s="206">
        <f t="shared" si="19"/>
        <v>2</v>
      </c>
      <c r="AM31" s="213">
        <f t="shared" si="19"/>
        <v>0.875</v>
      </c>
      <c r="AN31" s="214">
        <f t="shared" si="19"/>
        <v>0.63607464142166403</v>
      </c>
      <c r="AO31" s="215">
        <f t="shared" si="4"/>
        <v>-14.7</v>
      </c>
      <c r="AP31" s="216">
        <f t="shared" si="5"/>
        <v>1</v>
      </c>
      <c r="AQ31" s="216">
        <f t="shared" si="6"/>
        <v>1</v>
      </c>
      <c r="AR31" s="215">
        <f t="shared" si="20"/>
        <v>158.47</v>
      </c>
      <c r="AS31" s="216">
        <f t="shared" si="7"/>
        <v>0.9723448696087954</v>
      </c>
      <c r="AT31" s="216">
        <f t="shared" si="8"/>
        <v>1.2538510821608391</v>
      </c>
      <c r="AU31" s="216">
        <f t="shared" si="9"/>
        <v>2.2360679774997898</v>
      </c>
      <c r="AV31" s="217">
        <f t="shared" si="10"/>
        <v>10.368348541764712</v>
      </c>
      <c r="AW31" s="216">
        <f t="shared" si="11"/>
        <v>0</v>
      </c>
      <c r="AX31" s="218">
        <f t="shared" si="12"/>
        <v>1.4831709199797398</v>
      </c>
      <c r="AY31" s="216">
        <f t="shared" si="13"/>
        <v>0.77643477842613629</v>
      </c>
      <c r="AZ31" s="217">
        <f t="shared" si="14"/>
        <v>3.5883638597441294</v>
      </c>
      <c r="BA31" s="216">
        <f t="shared" si="15"/>
        <v>0</v>
      </c>
      <c r="BB31" s="216">
        <f t="shared" si="16"/>
        <v>1.0016542390239327</v>
      </c>
      <c r="BC31" s="216">
        <f t="shared" si="17"/>
        <v>1</v>
      </c>
    </row>
    <row r="32" spans="1:55" ht="20.100000000000001" customHeight="1" x14ac:dyDescent="0.2">
      <c r="A32" s="45">
        <v>0.70833333333333304</v>
      </c>
      <c r="B32" s="451"/>
      <c r="C32" s="451"/>
      <c r="D32" s="451">
        <v>7.3</v>
      </c>
      <c r="E32" s="451">
        <v>67.8</v>
      </c>
      <c r="F32" s="41">
        <v>1943</v>
      </c>
      <c r="G32" s="37">
        <v>-5.5</v>
      </c>
      <c r="H32" s="37">
        <v>71.5</v>
      </c>
      <c r="I32" s="37">
        <v>21.6</v>
      </c>
      <c r="J32" s="41">
        <v>216</v>
      </c>
      <c r="K32" s="37">
        <v>13</v>
      </c>
      <c r="L32" s="451">
        <v>131</v>
      </c>
      <c r="M32" s="451">
        <v>229</v>
      </c>
      <c r="N32" s="451">
        <v>90</v>
      </c>
      <c r="O32" s="353">
        <v>55</v>
      </c>
      <c r="P32" s="353">
        <v>13</v>
      </c>
      <c r="Q32" s="353">
        <v>268.56</v>
      </c>
      <c r="R32" s="37"/>
      <c r="S32" s="508" t="str">
        <f t="shared" si="0"/>
        <v/>
      </c>
      <c r="T32" s="508"/>
      <c r="U32" s="508"/>
      <c r="V32" s="508"/>
      <c r="X32" s="45">
        <v>0.70833333333333304</v>
      </c>
      <c r="Y32" s="106"/>
      <c r="Z32" s="102"/>
      <c r="AA32" s="102"/>
      <c r="AB32" s="45" t="str">
        <f t="shared" si="18"/>
        <v/>
      </c>
      <c r="AC32" s="45" t="str">
        <f t="shared" si="1"/>
        <v/>
      </c>
      <c r="AD32" s="81"/>
      <c r="AE32" s="9" t="str">
        <f>IF(S32="","",IF(COUNTA(Z32:$Z$39)=1,IF(COUNTA(AD32:$AD$39)=1,""," ; "),IF(COUNTA(AD32:$AD$39)=1,IF(Z32="",""," ; ")," ; ")))</f>
        <v/>
      </c>
      <c r="AF32" s="9" t="str">
        <f t="shared" si="2"/>
        <v/>
      </c>
      <c r="AG32" s="90" t="str">
        <f t="shared" si="3"/>
        <v/>
      </c>
      <c r="AH32" s="204" t="s">
        <v>313</v>
      </c>
      <c r="AJ32" s="206">
        <f t="shared" si="19"/>
        <v>500</v>
      </c>
      <c r="AK32" s="206">
        <f t="shared" si="19"/>
        <v>100</v>
      </c>
      <c r="AL32" s="206">
        <f t="shared" si="19"/>
        <v>2</v>
      </c>
      <c r="AM32" s="213">
        <f t="shared" si="19"/>
        <v>0.875</v>
      </c>
      <c r="AN32" s="214">
        <f t="shared" si="19"/>
        <v>0.63607464142166403</v>
      </c>
      <c r="AO32" s="215">
        <f t="shared" si="4"/>
        <v>-14.7</v>
      </c>
      <c r="AP32" s="216">
        <f t="shared" si="5"/>
        <v>1</v>
      </c>
      <c r="AQ32" s="216">
        <f t="shared" si="6"/>
        <v>1</v>
      </c>
      <c r="AR32" s="215">
        <f t="shared" si="20"/>
        <v>158.47</v>
      </c>
      <c r="AS32" s="216">
        <f t="shared" si="7"/>
        <v>0.9723448696087954</v>
      </c>
      <c r="AT32" s="216">
        <f t="shared" si="8"/>
        <v>1.2538510821608391</v>
      </c>
      <c r="AU32" s="216">
        <f t="shared" si="9"/>
        <v>2.2360679774997898</v>
      </c>
      <c r="AV32" s="217">
        <f t="shared" si="10"/>
        <v>10.368348541764712</v>
      </c>
      <c r="AW32" s="216">
        <f t="shared" si="11"/>
        <v>0</v>
      </c>
      <c r="AX32" s="218">
        <f t="shared" si="12"/>
        <v>1.4831709199797398</v>
      </c>
      <c r="AY32" s="216">
        <f t="shared" si="13"/>
        <v>0.77643477842613629</v>
      </c>
      <c r="AZ32" s="217">
        <f t="shared" si="14"/>
        <v>3.5883638597441294</v>
      </c>
      <c r="BA32" s="216">
        <f t="shared" si="15"/>
        <v>0</v>
      </c>
      <c r="BB32" s="216">
        <f t="shared" si="16"/>
        <v>1.0016542390239327</v>
      </c>
      <c r="BC32" s="216">
        <f t="shared" si="17"/>
        <v>1</v>
      </c>
    </row>
    <row r="33" spans="1:55" ht="20.100000000000001" customHeight="1" x14ac:dyDescent="0.2">
      <c r="A33" s="45">
        <v>0.75</v>
      </c>
      <c r="B33" s="451"/>
      <c r="C33" s="451"/>
      <c r="D33" s="451">
        <v>7.5</v>
      </c>
      <c r="E33" s="451">
        <v>68.599999999999994</v>
      </c>
      <c r="F33" s="41">
        <v>1963</v>
      </c>
      <c r="G33" s="37">
        <v>-5.5</v>
      </c>
      <c r="H33" s="37">
        <v>71.099999999999994</v>
      </c>
      <c r="I33" s="37">
        <v>21.9</v>
      </c>
      <c r="J33" s="41">
        <v>217</v>
      </c>
      <c r="K33" s="37">
        <v>13</v>
      </c>
      <c r="L33" s="451">
        <v>129</v>
      </c>
      <c r="M33" s="451">
        <v>231</v>
      </c>
      <c r="N33" s="451">
        <v>90</v>
      </c>
      <c r="O33" s="353">
        <v>50</v>
      </c>
      <c r="P33" s="353">
        <v>9</v>
      </c>
      <c r="Q33" s="353">
        <v>215.49</v>
      </c>
      <c r="R33" s="37"/>
      <c r="S33" s="508" t="str">
        <f>IF(Z33="",IF(AD33="","",AD33),CONCATENATE(TEXT(Z33,"[hh]:mm"),IF(AA33="",""," - "&amp;TEXT(AA33,"[hh]:mm")),IF(Y33="",""," "&amp;Y33&amp;"/")," "&amp;AD33))</f>
        <v/>
      </c>
      <c r="T33" s="508"/>
      <c r="U33" s="508"/>
      <c r="V33" s="508"/>
      <c r="X33" s="45">
        <v>0.75</v>
      </c>
      <c r="Y33" s="106"/>
      <c r="Z33" s="102"/>
      <c r="AA33" s="102"/>
      <c r="AB33" s="45" t="str">
        <f t="shared" si="18"/>
        <v/>
      </c>
      <c r="AC33" s="45" t="str">
        <f t="shared" si="1"/>
        <v/>
      </c>
      <c r="AD33" s="81"/>
      <c r="AE33" s="9" t="str">
        <f>IF(S33="","",IF(COUNTA(Z33:$Z$39)=1,IF(COUNTA(AD33:$AD$39)=1,""," ; "),IF(COUNTA(AD33:$AD$39)=1,IF(Z33="",""," ; ")," ; ")))</f>
        <v/>
      </c>
      <c r="AF33" s="9" t="str">
        <f t="shared" si="2"/>
        <v/>
      </c>
      <c r="AG33" s="90" t="str">
        <f t="shared" si="3"/>
        <v/>
      </c>
      <c r="AH33" s="204" t="s">
        <v>308</v>
      </c>
      <c r="AJ33" s="206">
        <f t="shared" ref="AJ33:AN39" si="21">AJ32</f>
        <v>500</v>
      </c>
      <c r="AK33" s="206">
        <f t="shared" si="21"/>
        <v>100</v>
      </c>
      <c r="AL33" s="206">
        <f t="shared" si="21"/>
        <v>2</v>
      </c>
      <c r="AM33" s="213">
        <f t="shared" si="21"/>
        <v>0.875</v>
      </c>
      <c r="AN33" s="214">
        <f t="shared" si="21"/>
        <v>0.63607464142166403</v>
      </c>
      <c r="AO33" s="215">
        <f t="shared" si="4"/>
        <v>-14.7</v>
      </c>
      <c r="AP33" s="216">
        <f t="shared" si="5"/>
        <v>1</v>
      </c>
      <c r="AQ33" s="216">
        <f t="shared" si="6"/>
        <v>1</v>
      </c>
      <c r="AR33" s="215">
        <f t="shared" si="20"/>
        <v>158.47</v>
      </c>
      <c r="AS33" s="216">
        <f t="shared" si="7"/>
        <v>0.9723448696087954</v>
      </c>
      <c r="AT33" s="216">
        <f t="shared" si="8"/>
        <v>1.2538510821608391</v>
      </c>
      <c r="AU33" s="216">
        <f t="shared" si="9"/>
        <v>2.2360679774997898</v>
      </c>
      <c r="AV33" s="217">
        <f t="shared" si="10"/>
        <v>10.368348541764712</v>
      </c>
      <c r="AW33" s="216">
        <f t="shared" si="11"/>
        <v>0</v>
      </c>
      <c r="AX33" s="218">
        <f t="shared" si="12"/>
        <v>1.4831709199797398</v>
      </c>
      <c r="AY33" s="216">
        <f t="shared" si="13"/>
        <v>0.77643477842613629</v>
      </c>
      <c r="AZ33" s="217">
        <f t="shared" si="14"/>
        <v>3.5883638597441294</v>
      </c>
      <c r="BA33" s="216">
        <f t="shared" si="15"/>
        <v>0</v>
      </c>
      <c r="BB33" s="216">
        <f t="shared" si="16"/>
        <v>1.0016542390239327</v>
      </c>
      <c r="BC33" s="216">
        <f t="shared" si="17"/>
        <v>1</v>
      </c>
    </row>
    <row r="34" spans="1:55" ht="20.100000000000001" customHeight="1" x14ac:dyDescent="0.2">
      <c r="A34" s="45">
        <v>0.79166666666666696</v>
      </c>
      <c r="B34" s="451"/>
      <c r="C34" s="451"/>
      <c r="D34" s="451">
        <v>7.6</v>
      </c>
      <c r="E34" s="451">
        <v>65.8</v>
      </c>
      <c r="F34" s="41">
        <v>1980</v>
      </c>
      <c r="G34" s="37">
        <v>-5.5</v>
      </c>
      <c r="H34" s="37">
        <v>71.3</v>
      </c>
      <c r="I34" s="37">
        <v>21.5</v>
      </c>
      <c r="J34" s="41">
        <v>218</v>
      </c>
      <c r="K34" s="37">
        <v>13</v>
      </c>
      <c r="L34" s="451">
        <v>129</v>
      </c>
      <c r="M34" s="451">
        <v>231</v>
      </c>
      <c r="N34" s="451">
        <v>90</v>
      </c>
      <c r="O34" s="353">
        <v>50</v>
      </c>
      <c r="P34" s="353">
        <v>8</v>
      </c>
      <c r="Q34" s="353">
        <v>203.27</v>
      </c>
      <c r="R34" s="37"/>
      <c r="S34" s="508" t="str">
        <f t="shared" ref="S34:S39" si="22">IF(Z34="",IF(AD34="","",AD34),CONCATENATE(TEXT(Z34,"[hh]:mm"),IF(AA34="",""," - "&amp;TEXT(AA34,"[hh]:mm")),IF(Y34="",""," "&amp;Y34&amp;"/")," "&amp;AD34))</f>
        <v/>
      </c>
      <c r="T34" s="508"/>
      <c r="U34" s="508"/>
      <c r="V34" s="508"/>
      <c r="X34" s="45">
        <v>0.79166666666666696</v>
      </c>
      <c r="Y34" s="106"/>
      <c r="Z34" s="102"/>
      <c r="AA34" s="102"/>
      <c r="AB34" s="45" t="str">
        <f t="shared" si="18"/>
        <v/>
      </c>
      <c r="AC34" s="45" t="str">
        <f t="shared" si="1"/>
        <v/>
      </c>
      <c r="AD34" s="81"/>
      <c r="AE34" s="9" t="str">
        <f>IF(S34="","",IF(COUNTA(Z34:$Z$39)=1,IF(COUNTA(AD34:$AD$39)=1,""," ; "),IF(COUNTA(AD34:$AD$39)=1,IF(Z34="",""," ; ")," ; ")))</f>
        <v/>
      </c>
      <c r="AF34" s="9" t="str">
        <f t="shared" si="2"/>
        <v/>
      </c>
      <c r="AG34" s="90" t="str">
        <f t="shared" si="3"/>
        <v/>
      </c>
      <c r="AH34" s="204" t="s">
        <v>314</v>
      </c>
      <c r="AJ34" s="206">
        <f t="shared" si="21"/>
        <v>500</v>
      </c>
      <c r="AK34" s="206">
        <f t="shared" si="21"/>
        <v>100</v>
      </c>
      <c r="AL34" s="206">
        <f t="shared" si="21"/>
        <v>2</v>
      </c>
      <c r="AM34" s="213">
        <f t="shared" si="21"/>
        <v>0.875</v>
      </c>
      <c r="AN34" s="214">
        <f t="shared" si="21"/>
        <v>0.63607464142166403</v>
      </c>
      <c r="AO34" s="215">
        <f t="shared" si="4"/>
        <v>-14.7</v>
      </c>
      <c r="AP34" s="216">
        <f t="shared" si="5"/>
        <v>1</v>
      </c>
      <c r="AQ34" s="216">
        <f t="shared" si="6"/>
        <v>1</v>
      </c>
      <c r="AR34" s="215">
        <f t="shared" si="20"/>
        <v>158.47</v>
      </c>
      <c r="AS34" s="216">
        <f t="shared" si="7"/>
        <v>0.9723448696087954</v>
      </c>
      <c r="AT34" s="216">
        <f t="shared" si="8"/>
        <v>1.2538510821608391</v>
      </c>
      <c r="AU34" s="216">
        <f t="shared" si="9"/>
        <v>2.2360679774997898</v>
      </c>
      <c r="AV34" s="217">
        <f t="shared" si="10"/>
        <v>10.368348541764712</v>
      </c>
      <c r="AW34" s="216">
        <f t="shared" si="11"/>
        <v>0</v>
      </c>
      <c r="AX34" s="218">
        <f t="shared" si="12"/>
        <v>1.4831709199797398</v>
      </c>
      <c r="AY34" s="216">
        <f t="shared" si="13"/>
        <v>0.77643477842613629</v>
      </c>
      <c r="AZ34" s="217">
        <f t="shared" si="14"/>
        <v>3.5883638597441294</v>
      </c>
      <c r="BA34" s="216">
        <f t="shared" si="15"/>
        <v>0</v>
      </c>
      <c r="BB34" s="216">
        <f t="shared" si="16"/>
        <v>1.0016542390239327</v>
      </c>
      <c r="BC34" s="216">
        <f t="shared" si="17"/>
        <v>1</v>
      </c>
    </row>
    <row r="35" spans="1:55" ht="20.100000000000001" customHeight="1" x14ac:dyDescent="0.2">
      <c r="A35" s="45">
        <v>0.83333333333333304</v>
      </c>
      <c r="B35" s="451"/>
      <c r="C35" s="451"/>
      <c r="D35" s="451">
        <v>7.2</v>
      </c>
      <c r="E35" s="451">
        <v>65.099999999999994</v>
      </c>
      <c r="F35" s="41">
        <v>1971</v>
      </c>
      <c r="G35" s="37">
        <v>-5.5</v>
      </c>
      <c r="H35" s="37">
        <v>71</v>
      </c>
      <c r="I35" s="37">
        <v>21.1</v>
      </c>
      <c r="J35" s="41">
        <v>219</v>
      </c>
      <c r="K35" s="37">
        <v>13</v>
      </c>
      <c r="L35" s="451">
        <v>127</v>
      </c>
      <c r="M35" s="451">
        <v>228</v>
      </c>
      <c r="N35" s="451">
        <v>90</v>
      </c>
      <c r="O35" s="353">
        <v>55</v>
      </c>
      <c r="P35" s="353">
        <v>9</v>
      </c>
      <c r="Q35" s="353">
        <v>223.78</v>
      </c>
      <c r="R35" s="37"/>
      <c r="S35" s="508" t="str">
        <f t="shared" si="22"/>
        <v/>
      </c>
      <c r="T35" s="508"/>
      <c r="U35" s="508"/>
      <c r="V35" s="508"/>
      <c r="X35" s="45">
        <v>0.83333333333333304</v>
      </c>
      <c r="Y35" s="106"/>
      <c r="Z35" s="102"/>
      <c r="AA35" s="102"/>
      <c r="AB35" s="45" t="str">
        <f t="shared" si="18"/>
        <v/>
      </c>
      <c r="AC35" s="45" t="str">
        <f t="shared" si="1"/>
        <v/>
      </c>
      <c r="AD35" s="81"/>
      <c r="AE35" s="9" t="str">
        <f>IF(S35="","",IF(COUNTA(Z35:$Z$39)=1,IF(COUNTA(AD35:$AD$39)=1,""," ; "),IF(COUNTA(AD35:$AD$39)=1,IF(Z35="",""," ; ")," ; ")))</f>
        <v/>
      </c>
      <c r="AF35" s="9" t="str">
        <f t="shared" si="2"/>
        <v/>
      </c>
      <c r="AG35" s="90" t="str">
        <f t="shared" si="3"/>
        <v/>
      </c>
      <c r="AH35" s="204" t="s">
        <v>227</v>
      </c>
      <c r="AJ35" s="206">
        <f t="shared" si="21"/>
        <v>500</v>
      </c>
      <c r="AK35" s="206">
        <f t="shared" si="21"/>
        <v>100</v>
      </c>
      <c r="AL35" s="206">
        <f t="shared" si="21"/>
        <v>2</v>
      </c>
      <c r="AM35" s="213">
        <f t="shared" si="21"/>
        <v>0.875</v>
      </c>
      <c r="AN35" s="214">
        <f t="shared" si="21"/>
        <v>0.63607464142166403</v>
      </c>
      <c r="AO35" s="215">
        <f t="shared" si="4"/>
        <v>-14.7</v>
      </c>
      <c r="AP35" s="216">
        <f t="shared" si="5"/>
        <v>1</v>
      </c>
      <c r="AQ35" s="216">
        <f t="shared" si="6"/>
        <v>1</v>
      </c>
      <c r="AR35" s="215">
        <f t="shared" si="20"/>
        <v>158.47</v>
      </c>
      <c r="AS35" s="216">
        <f t="shared" si="7"/>
        <v>0.9723448696087954</v>
      </c>
      <c r="AT35" s="216">
        <f t="shared" si="8"/>
        <v>1.2538510821608391</v>
      </c>
      <c r="AU35" s="216">
        <f t="shared" si="9"/>
        <v>2.2360679774997898</v>
      </c>
      <c r="AV35" s="217">
        <f t="shared" si="10"/>
        <v>10.368348541764712</v>
      </c>
      <c r="AW35" s="216">
        <f t="shared" si="11"/>
        <v>0</v>
      </c>
      <c r="AX35" s="218">
        <f t="shared" si="12"/>
        <v>1.4831709199797398</v>
      </c>
      <c r="AY35" s="216">
        <f t="shared" si="13"/>
        <v>0.77643477842613629</v>
      </c>
      <c r="AZ35" s="217">
        <f t="shared" si="14"/>
        <v>3.5883638597441294</v>
      </c>
      <c r="BA35" s="216">
        <f t="shared" si="15"/>
        <v>0</v>
      </c>
      <c r="BB35" s="216">
        <f t="shared" si="16"/>
        <v>1.0016542390239327</v>
      </c>
      <c r="BC35" s="216">
        <f t="shared" si="17"/>
        <v>1</v>
      </c>
    </row>
    <row r="36" spans="1:55" ht="20.100000000000001" customHeight="1" x14ac:dyDescent="0.2">
      <c r="A36" s="45">
        <v>0.875</v>
      </c>
      <c r="B36" s="451"/>
      <c r="C36" s="451"/>
      <c r="D36" s="451">
        <v>7.5</v>
      </c>
      <c r="E36" s="451">
        <v>65.3</v>
      </c>
      <c r="F36" s="41">
        <v>1964</v>
      </c>
      <c r="G36" s="37">
        <v>-5.5</v>
      </c>
      <c r="H36" s="37">
        <v>71.3</v>
      </c>
      <c r="I36" s="37">
        <v>21.6</v>
      </c>
      <c r="J36" s="41">
        <v>220</v>
      </c>
      <c r="K36" s="37">
        <v>13</v>
      </c>
      <c r="L36" s="451">
        <v>127</v>
      </c>
      <c r="M36" s="451">
        <v>227</v>
      </c>
      <c r="N36" s="451">
        <v>90</v>
      </c>
      <c r="O36" s="353">
        <v>55</v>
      </c>
      <c r="P36" s="353">
        <v>9</v>
      </c>
      <c r="Q36" s="353">
        <v>223.78</v>
      </c>
      <c r="R36" s="37"/>
      <c r="S36" s="508" t="str">
        <f t="shared" si="22"/>
        <v/>
      </c>
      <c r="T36" s="508"/>
      <c r="U36" s="508"/>
      <c r="V36" s="508"/>
      <c r="X36" s="45">
        <v>0.875</v>
      </c>
      <c r="Y36" s="106"/>
      <c r="Z36" s="102"/>
      <c r="AA36" s="102"/>
      <c r="AB36" s="45" t="str">
        <f t="shared" si="18"/>
        <v/>
      </c>
      <c r="AC36" s="45" t="str">
        <f t="shared" si="1"/>
        <v/>
      </c>
      <c r="AD36" s="81"/>
      <c r="AE36" s="9" t="str">
        <f>IF(S36="","",IF(COUNTA(Z36:$Z$39)=1,IF(COUNTA(AD36:$AD$39)=1,""," ; "),IF(COUNTA(AD36:$AD$39)=1,IF(Z36="",""," ; ")," ; ")))</f>
        <v/>
      </c>
      <c r="AF36" s="9" t="str">
        <f t="shared" si="2"/>
        <v/>
      </c>
      <c r="AG36" s="90" t="str">
        <f t="shared" si="3"/>
        <v/>
      </c>
      <c r="AH36" s="204" t="s">
        <v>309</v>
      </c>
      <c r="AJ36" s="206">
        <f t="shared" si="21"/>
        <v>500</v>
      </c>
      <c r="AK36" s="206">
        <f t="shared" si="21"/>
        <v>100</v>
      </c>
      <c r="AL36" s="206">
        <f t="shared" si="21"/>
        <v>2</v>
      </c>
      <c r="AM36" s="213">
        <f t="shared" si="21"/>
        <v>0.875</v>
      </c>
      <c r="AN36" s="214">
        <f t="shared" si="21"/>
        <v>0.63607464142166403</v>
      </c>
      <c r="AO36" s="215">
        <f t="shared" si="4"/>
        <v>-14.7</v>
      </c>
      <c r="AP36" s="216">
        <f t="shared" si="5"/>
        <v>1</v>
      </c>
      <c r="AQ36" s="216">
        <f t="shared" si="6"/>
        <v>1</v>
      </c>
      <c r="AR36" s="215">
        <f t="shared" si="20"/>
        <v>158.47</v>
      </c>
      <c r="AS36" s="216">
        <f t="shared" si="7"/>
        <v>0.9723448696087954</v>
      </c>
      <c r="AT36" s="216">
        <f t="shared" si="8"/>
        <v>1.2538510821608391</v>
      </c>
      <c r="AU36" s="216">
        <f t="shared" si="9"/>
        <v>2.2360679774997898</v>
      </c>
      <c r="AV36" s="217">
        <f t="shared" si="10"/>
        <v>10.368348541764712</v>
      </c>
      <c r="AW36" s="216">
        <f t="shared" si="11"/>
        <v>0</v>
      </c>
      <c r="AX36" s="218">
        <f t="shared" si="12"/>
        <v>1.4831709199797398</v>
      </c>
      <c r="AY36" s="216">
        <f t="shared" si="13"/>
        <v>0.77643477842613629</v>
      </c>
      <c r="AZ36" s="217">
        <f t="shared" si="14"/>
        <v>3.5883638597441294</v>
      </c>
      <c r="BA36" s="216">
        <f t="shared" si="15"/>
        <v>0</v>
      </c>
      <c r="BB36" s="216">
        <f t="shared" si="16"/>
        <v>1.0016542390239327</v>
      </c>
      <c r="BC36" s="216">
        <f t="shared" si="17"/>
        <v>1</v>
      </c>
    </row>
    <row r="37" spans="1:55" ht="20.100000000000001" customHeight="1" x14ac:dyDescent="0.2">
      <c r="A37" s="45">
        <v>0.91666666666666696</v>
      </c>
      <c r="B37" s="451"/>
      <c r="C37" s="451"/>
      <c r="D37" s="451">
        <v>7.1</v>
      </c>
      <c r="E37" s="451">
        <v>64.7</v>
      </c>
      <c r="F37" s="41">
        <v>1970</v>
      </c>
      <c r="G37" s="37">
        <v>-5.5</v>
      </c>
      <c r="H37" s="37">
        <v>71.099999999999994</v>
      </c>
      <c r="I37" s="37">
        <v>21</v>
      </c>
      <c r="J37" s="41">
        <v>221</v>
      </c>
      <c r="K37" s="37">
        <v>13</v>
      </c>
      <c r="L37" s="451">
        <v>126</v>
      </c>
      <c r="M37" s="451">
        <v>227</v>
      </c>
      <c r="N37" s="451">
        <v>90</v>
      </c>
      <c r="O37" s="353">
        <v>55</v>
      </c>
      <c r="P37" s="353">
        <v>9</v>
      </c>
      <c r="Q37" s="353">
        <v>223.78</v>
      </c>
      <c r="R37" s="37"/>
      <c r="S37" s="508" t="str">
        <f t="shared" si="22"/>
        <v/>
      </c>
      <c r="T37" s="508"/>
      <c r="U37" s="508"/>
      <c r="V37" s="508"/>
      <c r="X37" s="45">
        <v>0.91666666666666696</v>
      </c>
      <c r="Y37" s="106"/>
      <c r="Z37" s="102"/>
      <c r="AA37" s="102"/>
      <c r="AB37" s="45" t="str">
        <f t="shared" si="18"/>
        <v/>
      </c>
      <c r="AC37" s="45" t="str">
        <f t="shared" si="1"/>
        <v/>
      </c>
      <c r="AD37" s="81"/>
      <c r="AE37" s="9" t="str">
        <f>IF(S37="","",IF(COUNTA(Z37:$Z$39)=1,IF(COUNTA(AD37:$AD$39)=1,""," ; "),IF(COUNTA(AD37:$AD$39)=1,IF(Z37="",""," ; ")," ; ")))</f>
        <v/>
      </c>
      <c r="AF37" s="9" t="str">
        <f t="shared" si="2"/>
        <v/>
      </c>
      <c r="AG37" s="90" t="str">
        <f t="shared" si="3"/>
        <v/>
      </c>
      <c r="AH37" s="204" t="s">
        <v>319</v>
      </c>
      <c r="AJ37" s="206">
        <f t="shared" si="21"/>
        <v>500</v>
      </c>
      <c r="AK37" s="206">
        <f t="shared" si="21"/>
        <v>100</v>
      </c>
      <c r="AL37" s="206">
        <f t="shared" si="21"/>
        <v>2</v>
      </c>
      <c r="AM37" s="213">
        <f t="shared" si="21"/>
        <v>0.875</v>
      </c>
      <c r="AN37" s="214">
        <f t="shared" si="21"/>
        <v>0.63607464142166403</v>
      </c>
      <c r="AO37" s="215">
        <f t="shared" si="4"/>
        <v>-14.7</v>
      </c>
      <c r="AP37" s="216">
        <f t="shared" si="5"/>
        <v>1</v>
      </c>
      <c r="AQ37" s="216">
        <f t="shared" si="6"/>
        <v>1</v>
      </c>
      <c r="AR37" s="215">
        <f t="shared" si="20"/>
        <v>158.47</v>
      </c>
      <c r="AS37" s="216">
        <f t="shared" si="7"/>
        <v>0.9723448696087954</v>
      </c>
      <c r="AT37" s="216">
        <f t="shared" si="8"/>
        <v>1.2538510821608391</v>
      </c>
      <c r="AU37" s="216">
        <f t="shared" si="9"/>
        <v>2.2360679774997898</v>
      </c>
      <c r="AV37" s="217">
        <f t="shared" si="10"/>
        <v>10.368348541764712</v>
      </c>
      <c r="AW37" s="216">
        <f t="shared" si="11"/>
        <v>0</v>
      </c>
      <c r="AX37" s="218">
        <f t="shared" si="12"/>
        <v>1.4831709199797398</v>
      </c>
      <c r="AY37" s="216">
        <f t="shared" si="13"/>
        <v>0.77643477842613629</v>
      </c>
      <c r="AZ37" s="217">
        <f t="shared" si="14"/>
        <v>3.5883638597441294</v>
      </c>
      <c r="BA37" s="216">
        <f t="shared" si="15"/>
        <v>0</v>
      </c>
      <c r="BB37" s="216">
        <f t="shared" si="16"/>
        <v>1.0016542390239327</v>
      </c>
      <c r="BC37" s="216">
        <f t="shared" si="17"/>
        <v>1</v>
      </c>
    </row>
    <row r="38" spans="1:55" ht="20.100000000000001" customHeight="1" x14ac:dyDescent="0.2">
      <c r="A38" s="45">
        <v>0.95833333333333304</v>
      </c>
      <c r="B38" s="451"/>
      <c r="C38" s="451"/>
      <c r="D38" s="451">
        <v>7.8</v>
      </c>
      <c r="E38" s="451">
        <v>64.5</v>
      </c>
      <c r="F38" s="41">
        <v>1963</v>
      </c>
      <c r="G38" s="37">
        <v>-5.5</v>
      </c>
      <c r="H38" s="37">
        <v>71.8</v>
      </c>
      <c r="I38" s="37">
        <v>21.3</v>
      </c>
      <c r="J38" s="41">
        <v>222</v>
      </c>
      <c r="K38" s="37">
        <v>13</v>
      </c>
      <c r="L38" s="451">
        <v>126</v>
      </c>
      <c r="M38" s="451">
        <v>224</v>
      </c>
      <c r="N38" s="451">
        <v>90</v>
      </c>
      <c r="O38" s="353">
        <v>50</v>
      </c>
      <c r="P38" s="353">
        <v>8</v>
      </c>
      <c r="Q38" s="353">
        <v>203.27</v>
      </c>
      <c r="R38" s="37"/>
      <c r="S38" s="508" t="str">
        <f t="shared" si="22"/>
        <v/>
      </c>
      <c r="T38" s="508"/>
      <c r="U38" s="508"/>
      <c r="V38" s="508"/>
      <c r="X38" s="45">
        <v>0.95833333333333304</v>
      </c>
      <c r="Y38" s="106"/>
      <c r="Z38" s="102"/>
      <c r="AA38" s="102"/>
      <c r="AB38" s="45" t="str">
        <f t="shared" si="18"/>
        <v/>
      </c>
      <c r="AC38" s="45" t="str">
        <f t="shared" si="1"/>
        <v/>
      </c>
      <c r="AD38" s="81"/>
      <c r="AE38" s="9" t="str">
        <f>IF(S38="","",IF(COUNTA(Z38:$Z$39)=1,IF(COUNTA(AD38:$AD$39)=1,""," ; "),IF(COUNTA(AD38:$AD$39)=1,IF(Z38="",""," ; ")," ; ")))</f>
        <v/>
      </c>
      <c r="AF38" s="9" t="str">
        <f t="shared" si="2"/>
        <v/>
      </c>
      <c r="AG38" s="90" t="str">
        <f t="shared" si="3"/>
        <v/>
      </c>
      <c r="AH38" s="204" t="s">
        <v>219</v>
      </c>
      <c r="AJ38" s="206">
        <f t="shared" si="21"/>
        <v>500</v>
      </c>
      <c r="AK38" s="206">
        <f t="shared" si="21"/>
        <v>100</v>
      </c>
      <c r="AL38" s="206">
        <f t="shared" si="21"/>
        <v>2</v>
      </c>
      <c r="AM38" s="213">
        <f t="shared" si="21"/>
        <v>0.875</v>
      </c>
      <c r="AN38" s="214">
        <f t="shared" si="21"/>
        <v>0.63607464142166403</v>
      </c>
      <c r="AO38" s="215">
        <f t="shared" si="4"/>
        <v>-14.7</v>
      </c>
      <c r="AP38" s="216">
        <f t="shared" si="5"/>
        <v>1</v>
      </c>
      <c r="AQ38" s="216">
        <f t="shared" si="6"/>
        <v>1</v>
      </c>
      <c r="AR38" s="215">
        <f t="shared" si="20"/>
        <v>158.47</v>
      </c>
      <c r="AS38" s="216">
        <f t="shared" si="7"/>
        <v>0.9723448696087954</v>
      </c>
      <c r="AT38" s="216">
        <f t="shared" si="8"/>
        <v>1.2538510821608391</v>
      </c>
      <c r="AU38" s="216">
        <f t="shared" si="9"/>
        <v>2.2360679774997898</v>
      </c>
      <c r="AV38" s="217">
        <f t="shared" si="10"/>
        <v>10.368348541764712</v>
      </c>
      <c r="AW38" s="216">
        <f t="shared" si="11"/>
        <v>0</v>
      </c>
      <c r="AX38" s="218">
        <f t="shared" si="12"/>
        <v>1.4831709199797398</v>
      </c>
      <c r="AY38" s="216">
        <f t="shared" si="13"/>
        <v>0.77643477842613629</v>
      </c>
      <c r="AZ38" s="217">
        <f t="shared" si="14"/>
        <v>3.5883638597441294</v>
      </c>
      <c r="BA38" s="216">
        <f t="shared" si="15"/>
        <v>0</v>
      </c>
      <c r="BB38" s="216">
        <f t="shared" si="16"/>
        <v>1.0016542390239327</v>
      </c>
      <c r="BC38" s="216">
        <f t="shared" si="17"/>
        <v>1</v>
      </c>
    </row>
    <row r="39" spans="1:55" ht="20.100000000000001" customHeight="1" thickBot="1" x14ac:dyDescent="0.25">
      <c r="A39" s="46">
        <v>1</v>
      </c>
      <c r="B39" s="451"/>
      <c r="C39" s="451"/>
      <c r="D39" s="451">
        <v>7.5</v>
      </c>
      <c r="E39" s="452">
        <v>64.2</v>
      </c>
      <c r="F39" s="41">
        <v>1940</v>
      </c>
      <c r="G39" s="37">
        <v>-5.5</v>
      </c>
      <c r="H39" s="37">
        <v>71.2</v>
      </c>
      <c r="I39" s="37">
        <v>21</v>
      </c>
      <c r="J39" s="41">
        <v>223</v>
      </c>
      <c r="K39" s="37">
        <v>13</v>
      </c>
      <c r="L39" s="451">
        <v>126</v>
      </c>
      <c r="M39" s="452">
        <v>221</v>
      </c>
      <c r="N39" s="451">
        <v>90</v>
      </c>
      <c r="O39" s="353">
        <v>50</v>
      </c>
      <c r="P39" s="353">
        <v>7</v>
      </c>
      <c r="Q39" s="354">
        <v>190.25</v>
      </c>
      <c r="R39" s="38"/>
      <c r="S39" s="512" t="str">
        <f t="shared" si="22"/>
        <v/>
      </c>
      <c r="T39" s="512"/>
      <c r="U39" s="512"/>
      <c r="V39" s="512"/>
      <c r="X39" s="46">
        <v>1</v>
      </c>
      <c r="Y39" s="107"/>
      <c r="Z39" s="103"/>
      <c r="AA39" s="103"/>
      <c r="AB39" s="46" t="str">
        <f t="shared" si="18"/>
        <v/>
      </c>
      <c r="AC39" s="46" t="str">
        <f t="shared" si="1"/>
        <v/>
      </c>
      <c r="AD39" s="82"/>
      <c r="AE39" s="9" t="str">
        <f>IF(S39="","",IF(COUNTA(Z39:$Z$39)=1,IF(COUNTA(AD39:$AD$39)=1,""," ; "),IF(COUNTA(AD39:$AD$39)=1,IF(Z39="",""," ; ")," ; ")))</f>
        <v/>
      </c>
      <c r="AF39" s="9" t="str">
        <f t="shared" si="2"/>
        <v/>
      </c>
      <c r="AG39" s="90" t="str">
        <f t="shared" si="3"/>
        <v/>
      </c>
      <c r="AH39" s="204" t="s">
        <v>220</v>
      </c>
      <c r="AJ39" s="219">
        <f t="shared" si="21"/>
        <v>500</v>
      </c>
      <c r="AK39" s="219">
        <f t="shared" si="21"/>
        <v>100</v>
      </c>
      <c r="AL39" s="219">
        <f t="shared" si="21"/>
        <v>2</v>
      </c>
      <c r="AM39" s="220">
        <f t="shared" si="21"/>
        <v>0.875</v>
      </c>
      <c r="AN39" s="221">
        <f t="shared" si="21"/>
        <v>0.63607464142166403</v>
      </c>
      <c r="AO39" s="222">
        <f t="shared" si="4"/>
        <v>-14.7</v>
      </c>
      <c r="AP39" s="223">
        <f t="shared" si="5"/>
        <v>1</v>
      </c>
      <c r="AQ39" s="223">
        <f t="shared" si="6"/>
        <v>1</v>
      </c>
      <c r="AR39" s="222">
        <f t="shared" si="20"/>
        <v>158.47</v>
      </c>
      <c r="AS39" s="223">
        <f t="shared" si="7"/>
        <v>0.9723448696087954</v>
      </c>
      <c r="AT39" s="223">
        <f t="shared" si="8"/>
        <v>1.2538510821608391</v>
      </c>
      <c r="AU39" s="223">
        <f t="shared" si="9"/>
        <v>2.2360679774997898</v>
      </c>
      <c r="AV39" s="224">
        <f t="shared" si="10"/>
        <v>10.368348541764712</v>
      </c>
      <c r="AW39" s="223">
        <f t="shared" si="11"/>
        <v>0</v>
      </c>
      <c r="AX39" s="225">
        <f t="shared" si="12"/>
        <v>1.4831709199797398</v>
      </c>
      <c r="AY39" s="223">
        <f t="shared" si="13"/>
        <v>0.77643477842613629</v>
      </c>
      <c r="AZ39" s="224">
        <f t="shared" si="14"/>
        <v>3.5883638597441294</v>
      </c>
      <c r="BA39" s="223">
        <f t="shared" si="15"/>
        <v>0</v>
      </c>
      <c r="BB39" s="223">
        <f t="shared" si="16"/>
        <v>1.0016542390239327</v>
      </c>
      <c r="BC39" s="223">
        <f t="shared" si="17"/>
        <v>1</v>
      </c>
    </row>
    <row r="40" spans="1:55" ht="20.100000000000001" customHeight="1" thickBot="1" x14ac:dyDescent="0.3">
      <c r="A40" s="53" t="s">
        <v>11</v>
      </c>
      <c r="B40" s="453" t="str">
        <f>IFERROR(ROUND(AVERAGE(B16:B39),2),"")</f>
        <v/>
      </c>
      <c r="C40" s="453" t="str">
        <f>IFERROR(ROUND(AVERAGE(C16:C39),2),"")</f>
        <v/>
      </c>
      <c r="D40" s="453">
        <f>IFERROR(ROUND(AVERAGE(D16:D39),2),"")</f>
        <v>6.9</v>
      </c>
      <c r="E40" s="453">
        <f>IFERROR(ROUND(AVERAGE(E16:E39),2),"")</f>
        <v>62.7</v>
      </c>
      <c r="F40" s="55">
        <f>IFERROR(ROUND(AVERAGE(F16:F39),0),"")</f>
        <v>1958</v>
      </c>
      <c r="G40" s="54">
        <f>IFERROR(AVERAGE(G16:G39),"")</f>
        <v>-5.5</v>
      </c>
      <c r="H40" s="54">
        <f>IFERROR(AVERAGE(H16:H39),"")</f>
        <v>71.370833333333323</v>
      </c>
      <c r="I40" s="54">
        <f>IFERROR(AVERAGE(I16:I39),"")</f>
        <v>21.391666666666669</v>
      </c>
      <c r="J40" s="71"/>
      <c r="K40" s="111">
        <f>IFERROR(AVERAGE(K16:K39),"")</f>
        <v>13</v>
      </c>
      <c r="L40" s="453">
        <f t="shared" ref="L40:P40" si="23">IFERROR(ROUND(AVERAGE(L16:L39),1),"")</f>
        <v>126.7</v>
      </c>
      <c r="M40" s="453">
        <f t="shared" si="23"/>
        <v>226</v>
      </c>
      <c r="N40" s="453">
        <f t="shared" si="23"/>
        <v>90</v>
      </c>
      <c r="O40" s="456">
        <f t="shared" si="23"/>
        <v>46.5</v>
      </c>
      <c r="P40" s="456">
        <f t="shared" si="23"/>
        <v>10.1</v>
      </c>
      <c r="Q40" s="456">
        <f>IF($I$47=1,$M$49,$Q$44)</f>
        <v>243.6</v>
      </c>
      <c r="R40" s="54" t="str">
        <f>IFERROR(ROUND(AVERAGE(R16:R39),1),"")</f>
        <v/>
      </c>
      <c r="S40" s="509"/>
      <c r="T40" s="510"/>
      <c r="U40" s="510"/>
      <c r="V40" s="511"/>
      <c r="X40" s="99"/>
      <c r="Y40" s="99"/>
      <c r="Z40" s="99"/>
      <c r="AA40" s="99"/>
      <c r="AB40" s="104">
        <f>SUM(AB16:AB39)</f>
        <v>0</v>
      </c>
      <c r="AC40" s="104">
        <f>SUM(AC16:AC39)</f>
        <v>0</v>
      </c>
      <c r="AD40" s="92" t="str">
        <f>IF(OR(COUNTBLANK(D16:E39)+COUNTBLANK(O16:P39)=0,COUNTA(S16:V39)&lt;&gt;0),"","CEK : Blank Data - Remarks")</f>
        <v/>
      </c>
      <c r="AG40" s="90" t="str">
        <f>IF(COUNTIF(AG16:AG39,"")=COUNTA(AG16:AG39),"","CEK : Data Flowrate")</f>
        <v/>
      </c>
      <c r="AH40" s="204" t="s">
        <v>311</v>
      </c>
    </row>
    <row r="41" spans="1:55" ht="20.100000000000001" hidden="1" customHeight="1" thickBot="1" x14ac:dyDescent="0.3">
      <c r="A41" s="49" t="s">
        <v>12</v>
      </c>
      <c r="B41" s="52" t="str">
        <f>IF(COUNT(B16:B39)&gt;0,ROUND(MIN(B16:B39),2),"")</f>
        <v/>
      </c>
      <c r="C41" s="52" t="str">
        <f>IF(COUNT(C16:C39)&gt;0,ROUND(MIN(C16:C39),2),"")</f>
        <v/>
      </c>
      <c r="D41" s="52">
        <f>IF(COUNT(D16:D39)&gt;0,ROUND(MIN(D16:D39),2),"")</f>
        <v>5.9</v>
      </c>
      <c r="E41" s="52">
        <f>IF(COUNT(E16:E39)&gt;0,ROUND(MIN(E16:E39),2),"")</f>
        <v>57</v>
      </c>
      <c r="F41" s="51">
        <f>IF(COUNT(F16:F39)&gt;0,ROUND(MIN(F16:F39),0),"")</f>
        <v>1931</v>
      </c>
      <c r="G41" s="50">
        <f>IF(COUNT(G16:G39)&gt;0,MIN(G16:G39),"")</f>
        <v>-5.5</v>
      </c>
      <c r="H41" s="50">
        <f>IF(COUNT(H16:H39)&gt;0,MIN(H16:H39),"")</f>
        <v>71</v>
      </c>
      <c r="I41" s="50">
        <f>IF(COUNT(I16:I39)&gt;0,MIN(I16:I39),"")</f>
        <v>21</v>
      </c>
      <c r="J41" s="72"/>
      <c r="K41" s="50">
        <f>IF(COUNT(K16:K39)&gt;0,MIN(K16:K39),"")</f>
        <v>13</v>
      </c>
      <c r="L41" s="52">
        <f>IF(COUNT(L16:L39)&gt;0,ROUND(MIN(L16:L39),1),"")</f>
        <v>121</v>
      </c>
      <c r="M41" s="52">
        <f>IF(COUNT(M16:M39)&gt;0,ROUND(MIN(M16:M39),1),"")</f>
        <v>220</v>
      </c>
      <c r="N41" s="52">
        <f>IF(COUNT(N16:N39)&gt;0,ROUND(MIN(N16:N39),1),"")</f>
        <v>90</v>
      </c>
      <c r="O41" s="440">
        <f>IF(COUNT(O16:O39)&gt;0,ROUND(MIN(O16:O39),1),"")</f>
        <v>35</v>
      </c>
      <c r="P41" s="440">
        <f>IF(COUNT(P16:P39)&gt;0,ROUND(MIN(P16:P39),1),"")</f>
        <v>7</v>
      </c>
      <c r="Q41" s="440">
        <f>IF(COUNT(Q16:Q39)&gt;0,ROUND(MIN(Q16:Q39),4),"")</f>
        <v>190.25</v>
      </c>
      <c r="R41" s="121" t="str">
        <f>IF(COUNT(R16:R39)&gt;0,ROUND(MIN(R16:R39),1),"")</f>
        <v/>
      </c>
      <c r="S41" s="509"/>
      <c r="T41" s="510"/>
      <c r="U41" s="510"/>
      <c r="V41" s="511"/>
      <c r="X41" s="99"/>
      <c r="Y41" s="99"/>
      <c r="Z41" s="99"/>
      <c r="AA41" s="99"/>
      <c r="AB41" s="99"/>
      <c r="AC41" s="99"/>
      <c r="AH41" s="204" t="s">
        <v>318</v>
      </c>
    </row>
    <row r="42" spans="1:55" ht="20.100000000000001" hidden="1" customHeight="1" thickBot="1" x14ac:dyDescent="0.3">
      <c r="A42" s="21" t="s">
        <v>13</v>
      </c>
      <c r="B42" s="454" t="str">
        <f>IF(COUNT(B16:B39)&gt;0,ROUND(MAX(B16:B39),2),"")</f>
        <v/>
      </c>
      <c r="C42" s="454" t="str">
        <f>IF(COUNT(C16:C39)&gt;0,ROUND(MAX(C16:C39),2),"")</f>
        <v/>
      </c>
      <c r="D42" s="454">
        <f>IF(COUNT(D16:D39)&gt;0,ROUND(MAX(D16:D39),2),"")</f>
        <v>7.8</v>
      </c>
      <c r="E42" s="454">
        <f>IF(COUNT(E16:E39)&gt;0,ROUND(MAX(E16:E39),2),"")</f>
        <v>68.599999999999994</v>
      </c>
      <c r="F42" s="43">
        <f>IF(COUNT(F16:F39)&gt;0,ROUND(MAX(F16:F39),0),"")</f>
        <v>1980</v>
      </c>
      <c r="G42" s="39">
        <f>IF(COUNT(G16:G39)&gt;0,MAX(G16:G39),"")</f>
        <v>-5.5</v>
      </c>
      <c r="H42" s="39">
        <f>IF(COUNT(H16:H39)&gt;0,MAX(H16:H39),"")</f>
        <v>71.900000000000006</v>
      </c>
      <c r="I42" s="39">
        <f>IF(COUNT(I16:I39)&gt;0,MAX(I16:I39),"")</f>
        <v>21.9</v>
      </c>
      <c r="J42" s="43">
        <f>IF(COUNT(J16:J39)&gt;0,MAX(J16:J39),"")</f>
        <v>223</v>
      </c>
      <c r="K42" s="39">
        <f>IF(COUNT(K16:K39)&gt;0,MAX(K16:K39),"")</f>
        <v>13</v>
      </c>
      <c r="L42" s="454">
        <f>IF(COUNT(L16:L39)&gt;0,ROUND(MAX(L16:L39),1),"")</f>
        <v>133</v>
      </c>
      <c r="M42" s="454">
        <f>IF(COUNT(M16:M39)&gt;0,ROUND(MAX(M16:M39),1),"")</f>
        <v>233</v>
      </c>
      <c r="N42" s="454">
        <f>IF(COUNT(N16:N39)&gt;0,ROUND(MAX(N16:N39),1),"")</f>
        <v>90</v>
      </c>
      <c r="O42" s="441">
        <f>IF(COUNT(O16:O39)&gt;0,ROUND(MAX(O16:O39),1),"")</f>
        <v>55</v>
      </c>
      <c r="P42" s="441">
        <f>IF(COUNT(P16:P39)&gt;0,ROUND(MAX(P16:P39),1),"")</f>
        <v>14</v>
      </c>
      <c r="Q42" s="441">
        <f>IF(COUNT(Q16:Q39)&gt;0,ROUND(MAX(Q16:Q39),4),"")</f>
        <v>268.56</v>
      </c>
      <c r="R42" s="39" t="str">
        <f>IF(COUNT(R16:R39)&gt;0,ROUND(MAX(R16:R39),1),"")</f>
        <v/>
      </c>
      <c r="S42" s="509"/>
      <c r="T42" s="510"/>
      <c r="U42" s="510"/>
      <c r="V42" s="511"/>
      <c r="X42" s="99"/>
      <c r="Y42" s="99"/>
      <c r="Z42" s="99"/>
      <c r="AA42" s="99"/>
      <c r="AB42" s="99"/>
      <c r="AC42" s="99"/>
      <c r="AH42" s="204" t="s">
        <v>312</v>
      </c>
    </row>
    <row r="43" spans="1:55" ht="20.100000000000001" hidden="1" customHeight="1" x14ac:dyDescent="0.25">
      <c r="A43" s="109"/>
      <c r="B43" s="110">
        <f>COUNT(B16:B39)</f>
        <v>0</v>
      </c>
      <c r="C43" s="110">
        <f>COUNT(C16:C39)</f>
        <v>0</v>
      </c>
      <c r="D43" s="110">
        <f>COUNT(D16:D39)</f>
        <v>24</v>
      </c>
      <c r="E43" s="110">
        <f t="shared" ref="E43:H43" si="24">COUNT(E16:E39)</f>
        <v>24</v>
      </c>
      <c r="F43" s="110">
        <f t="shared" si="24"/>
        <v>24</v>
      </c>
      <c r="G43" s="110">
        <f t="shared" si="24"/>
        <v>24</v>
      </c>
      <c r="H43" s="110">
        <f t="shared" si="24"/>
        <v>24</v>
      </c>
      <c r="I43" s="110"/>
      <c r="J43" s="110"/>
      <c r="K43" s="110"/>
      <c r="L43" s="110">
        <f t="shared" ref="L43:Q43" si="25">COUNT(L16:L39)</f>
        <v>24</v>
      </c>
      <c r="M43" s="110">
        <f t="shared" si="25"/>
        <v>24</v>
      </c>
      <c r="N43" s="110">
        <f t="shared" si="25"/>
        <v>24</v>
      </c>
      <c r="O43" s="110">
        <f t="shared" si="25"/>
        <v>24</v>
      </c>
      <c r="P43" s="110">
        <f t="shared" si="25"/>
        <v>24</v>
      </c>
      <c r="Q43" s="110">
        <f t="shared" si="25"/>
        <v>24</v>
      </c>
      <c r="R43" s="110"/>
      <c r="S43" s="99"/>
      <c r="T43" s="99"/>
      <c r="U43" s="99"/>
      <c r="V43" s="99"/>
      <c r="X43" s="99"/>
      <c r="Y43" s="99"/>
      <c r="Z43" s="99"/>
      <c r="AA43" s="99"/>
      <c r="AB43" s="99"/>
      <c r="AC43" s="99"/>
      <c r="AD43" s="92" t="str">
        <f>IF(AND(D43=E43,D43=F43,D43=G43,D43=H43,D43=L43,D43=M43,D43=N43,D43=O43,D43=P43,D43=Q43),"","CEK : Data Content")</f>
        <v/>
      </c>
      <c r="AH43" s="204" t="s">
        <v>221</v>
      </c>
    </row>
    <row r="44" spans="1:55" s="6" customFormat="1" ht="15" customHeight="1" x14ac:dyDescent="0.25">
      <c r="J44" s="91" t="str">
        <f>IF(J1="PRINT","",IF(J42="","RH please ! !",""))</f>
        <v/>
      </c>
      <c r="L44" s="24"/>
      <c r="Q44" s="445">
        <f>IFERROR(ROUND(AVERAGE(Q16:Q39),4),"")</f>
        <v>219.58</v>
      </c>
      <c r="AH44" s="204" t="s">
        <v>323</v>
      </c>
      <c r="AI44" s="7"/>
    </row>
    <row r="45" spans="1:55" s="6" customFormat="1" ht="15" customHeight="1" x14ac:dyDescent="0.25">
      <c r="L45" s="26" t="s">
        <v>290</v>
      </c>
      <c r="Q45" s="445"/>
      <c r="AH45" s="204" t="s">
        <v>288</v>
      </c>
      <c r="AI45" s="7"/>
    </row>
    <row r="46" spans="1:55" s="6" customFormat="1" ht="15" customHeight="1" x14ac:dyDescent="0.25">
      <c r="D46" s="443" t="s">
        <v>90</v>
      </c>
      <c r="E46" s="448" t="str">
        <f>IF(Schedule!C$10="","",Schedule!C$10)</f>
        <v/>
      </c>
      <c r="G46" s="61"/>
      <c r="H46" s="25" t="str">
        <f>IFERROR(IF(OR(I47="",I48="",I49=""),"WAKTU BELUM DI-ISI LENGKAP",IF(SUM(I48:I49)&lt;=1,"","CEK KEMBALI PENULISAN WAKTU SALAH")),"CEK KEMBALI PENULISAN WAKTU SALAH")</f>
        <v/>
      </c>
      <c r="L46" s="26" t="s">
        <v>22</v>
      </c>
      <c r="M46" s="460">
        <f>IF(Volume!$W9="",$O46,Volume!$W9)</f>
        <v>78.971299999999999</v>
      </c>
      <c r="N46" s="27" t="s">
        <v>1</v>
      </c>
      <c r="O46" s="447">
        <f>IF(O40="","",O40)</f>
        <v>46.5</v>
      </c>
      <c r="P46" s="361" t="s">
        <v>29</v>
      </c>
      <c r="Q46" s="362"/>
      <c r="R46" s="362"/>
      <c r="S46" s="362"/>
      <c r="T46" s="361" t="s">
        <v>30</v>
      </c>
      <c r="U46" s="362"/>
      <c r="V46" s="362"/>
      <c r="AH46" s="204" t="s">
        <v>222</v>
      </c>
    </row>
    <row r="47" spans="1:55" s="6" customFormat="1" ht="15" customHeight="1" x14ac:dyDescent="0.25">
      <c r="D47" s="448"/>
      <c r="E47" s="448"/>
      <c r="H47" s="26" t="s">
        <v>26</v>
      </c>
      <c r="I47" s="56">
        <f>IF(OR(I48="",I49=""),"",1-I48-I49)</f>
        <v>1</v>
      </c>
      <c r="J47" s="27" t="s">
        <v>19</v>
      </c>
      <c r="L47" s="26" t="s">
        <v>23</v>
      </c>
      <c r="M47" s="442">
        <f>IF(Volume!$Y9="",$O47,Volume!$Y9)</f>
        <v>8.2805999999999997</v>
      </c>
      <c r="N47" s="27" t="s">
        <v>14</v>
      </c>
      <c r="O47" s="447">
        <f>IF(P40="","",P40)</f>
        <v>10.1</v>
      </c>
      <c r="P47" s="361" t="s">
        <v>211</v>
      </c>
      <c r="Q47" s="362"/>
      <c r="R47" s="362"/>
      <c r="S47" s="362"/>
      <c r="T47" s="361" t="s">
        <v>271</v>
      </c>
      <c r="U47" s="362"/>
      <c r="V47" s="362"/>
      <c r="AH47" s="204" t="s">
        <v>223</v>
      </c>
    </row>
    <row r="48" spans="1:55" s="6" customFormat="1" ht="15" customHeight="1" x14ac:dyDescent="0.25">
      <c r="D48" s="443" t="s">
        <v>91</v>
      </c>
      <c r="E48" s="448" t="str">
        <f>IF(Schedule!D$10="","",Schedule!D$10)</f>
        <v/>
      </c>
      <c r="H48" s="26" t="s">
        <v>37</v>
      </c>
      <c r="I48" s="108">
        <f>IF(OR(COUNT($Q$16:$Q$39)&lt;&gt;0,COUNTA($AD$16:$AD$39)&lt;&gt;0),AB40,"")</f>
        <v>0</v>
      </c>
      <c r="J48" s="27" t="s">
        <v>19</v>
      </c>
      <c r="L48" s="26" t="s">
        <v>24</v>
      </c>
      <c r="M48" s="449">
        <f>IF(N40="","",N40)</f>
        <v>90</v>
      </c>
      <c r="N48" s="27" t="s">
        <v>5</v>
      </c>
      <c r="P48" s="362"/>
      <c r="Q48" s="362"/>
      <c r="R48" s="362"/>
      <c r="S48" s="362"/>
      <c r="T48" s="361" t="s">
        <v>291</v>
      </c>
      <c r="U48" s="362"/>
      <c r="V48" s="362"/>
      <c r="AH48" s="204" t="s">
        <v>324</v>
      </c>
    </row>
    <row r="49" spans="1:34" s="6" customFormat="1" ht="15" customHeight="1" x14ac:dyDescent="0.25">
      <c r="D49" s="448"/>
      <c r="E49" s="448"/>
      <c r="H49" s="26" t="s">
        <v>27</v>
      </c>
      <c r="I49" s="108">
        <f>IF(OR(COUNT($Q$16:$Q$39)&lt;&gt;0,COUNTA($AD$16:$AD$39)&lt;&gt;0),AC40,"")</f>
        <v>0</v>
      </c>
      <c r="J49" s="27" t="s">
        <v>19</v>
      </c>
      <c r="L49" s="26" t="s">
        <v>128</v>
      </c>
      <c r="M49" s="442">
        <f>IF(Volume!$L9="",M51,Volume!$L9)</f>
        <v>243.6</v>
      </c>
      <c r="N49" s="27" t="str">
        <f>IF(Q15="MSCFD","MSCF","MMSCF")</f>
        <v>MSCF</v>
      </c>
      <c r="P49" s="362"/>
      <c r="Q49" s="362"/>
      <c r="R49" s="362"/>
      <c r="S49" s="362"/>
      <c r="T49" s="362"/>
      <c r="U49" s="362"/>
      <c r="V49" s="362"/>
      <c r="AH49" s="204" t="s">
        <v>317</v>
      </c>
    </row>
    <row r="50" spans="1:34" s="6" customFormat="1" ht="15" customHeight="1" x14ac:dyDescent="0.25">
      <c r="D50" s="443" t="s">
        <v>92</v>
      </c>
      <c r="E50" s="448" t="str">
        <f>IF(Schedule!E$10="","",Schedule!E$10)</f>
        <v>Marihot Gustafa S.</v>
      </c>
      <c r="L50" s="443" t="str">
        <f>CONCATENATE(MR!L16," ",":")</f>
        <v>Liquid Gain :</v>
      </c>
      <c r="M50" s="446" t="str">
        <f>IF(R40="","",ROUND(SUM(R16:R39),2))</f>
        <v/>
      </c>
      <c r="N50" s="444" t="str">
        <f>R15</f>
        <v>BPD</v>
      </c>
      <c r="P50" s="362"/>
      <c r="Q50" s="362"/>
      <c r="R50" s="362"/>
      <c r="S50" s="362"/>
      <c r="T50" s="362"/>
      <c r="U50" s="362"/>
      <c r="V50" s="362"/>
      <c r="AH50" s="204" t="s">
        <v>282</v>
      </c>
    </row>
    <row r="51" spans="1:34" s="6" customFormat="1" ht="15" customHeight="1" x14ac:dyDescent="0.25">
      <c r="A51" s="4"/>
      <c r="L51" s="443" t="s">
        <v>286</v>
      </c>
      <c r="M51" s="447">
        <f>IF(Q44="","",IF(SUM(I48:I49)=1,IF(Q44&lt;&gt;0,"Cek Tabel",""),ROUND(Q44*I47,4)))</f>
        <v>219.58</v>
      </c>
      <c r="N51" s="444" t="str">
        <f>IF(Q15="MSCFD","MSCF","MMSCF")</f>
        <v>MSCF</v>
      </c>
      <c r="P51" s="362"/>
      <c r="Q51" s="362"/>
      <c r="R51" s="362"/>
      <c r="S51" s="362"/>
      <c r="T51" s="362"/>
      <c r="U51" s="362"/>
      <c r="V51" s="362"/>
      <c r="AH51" s="204" t="s">
        <v>325</v>
      </c>
    </row>
    <row r="52" spans="1:34" s="6" customFormat="1" ht="15" customHeight="1" x14ac:dyDescent="0.25">
      <c r="D52" s="26" t="s">
        <v>28</v>
      </c>
      <c r="E52" s="47"/>
      <c r="F52" s="47"/>
      <c r="G52" s="47"/>
      <c r="H52" s="47"/>
      <c r="I52" s="47"/>
      <c r="J52" s="47"/>
      <c r="K52" s="47"/>
      <c r="L52" s="5"/>
      <c r="P52" s="362"/>
      <c r="Q52" s="362"/>
      <c r="R52" s="362"/>
      <c r="S52" s="362"/>
      <c r="T52" s="362"/>
      <c r="U52" s="362"/>
      <c r="V52" s="362"/>
      <c r="AH52" s="204" t="s">
        <v>280</v>
      </c>
    </row>
    <row r="53" spans="1:34" s="6" customFormat="1" ht="15" customHeight="1" x14ac:dyDescent="0.25">
      <c r="D53" s="5"/>
      <c r="E53" s="48"/>
      <c r="F53" s="48"/>
      <c r="G53" s="48"/>
      <c r="H53" s="48"/>
      <c r="I53" s="48"/>
      <c r="J53" s="48"/>
      <c r="K53" s="48"/>
      <c r="L53" s="5"/>
      <c r="P53" s="363" t="str">
        <f>UPPER(E50)</f>
        <v>MARIHOT GUSTAFA S.</v>
      </c>
      <c r="Q53" s="362"/>
      <c r="R53" s="362"/>
      <c r="S53" s="362"/>
      <c r="T53" s="363" t="str">
        <f>IF(Schedule!F$10="","",UPPER(Schedule!F$10))</f>
        <v>BUDI WIDHARTONO</v>
      </c>
      <c r="U53" s="362"/>
      <c r="V53" s="362"/>
      <c r="AH53" s="204" t="s">
        <v>316</v>
      </c>
    </row>
    <row r="54" spans="1:34" s="6" customFormat="1" ht="15" customHeight="1" x14ac:dyDescent="0.25">
      <c r="E54" s="48"/>
      <c r="F54" s="48"/>
      <c r="G54" s="48"/>
      <c r="H54" s="48"/>
      <c r="I54" s="48"/>
      <c r="J54" s="48"/>
      <c r="K54" s="48"/>
      <c r="P54" s="361" t="s">
        <v>107</v>
      </c>
      <c r="Q54" s="362"/>
      <c r="R54" s="362"/>
      <c r="S54" s="362"/>
      <c r="T54" s="361" t="s">
        <v>294</v>
      </c>
      <c r="U54" s="362"/>
      <c r="V54" s="362"/>
      <c r="AH54" s="204" t="s">
        <v>326</v>
      </c>
    </row>
    <row r="55" spans="1:34" s="6" customFormat="1" ht="15" customHeight="1" x14ac:dyDescent="0.25">
      <c r="P55" s="364" t="str">
        <f>CONCATENATE("Date : ",TEXT(K12,"[$-409]d mmm yyyy;@"))</f>
        <v>Date : 6 Jun 2025</v>
      </c>
      <c r="Q55" s="362"/>
      <c r="R55" s="364"/>
      <c r="S55" s="362"/>
      <c r="T55" s="364" t="str">
        <f>CONCATENATE("Date : ",TEXT(K12,"[$-409]d mmm yyyy;@"))</f>
        <v>Date : 6 Jun 2025</v>
      </c>
      <c r="U55" s="362"/>
      <c r="V55" s="362"/>
      <c r="AH55" s="204" t="s">
        <v>327</v>
      </c>
    </row>
    <row r="56" spans="1:34" ht="15" customHeight="1" x14ac:dyDescent="0.25">
      <c r="AH56" s="204" t="s">
        <v>281</v>
      </c>
    </row>
    <row r="57" spans="1:34" ht="15" customHeight="1" x14ac:dyDescent="0.25">
      <c r="AH57" s="204" t="s">
        <v>277</v>
      </c>
    </row>
    <row r="58" spans="1:34" ht="15" customHeight="1" x14ac:dyDescent="0.25">
      <c r="AH58" s="204" t="s">
        <v>328</v>
      </c>
    </row>
    <row r="59" spans="1:34" ht="15" customHeight="1" x14ac:dyDescent="0.25">
      <c r="AH59" s="204" t="s">
        <v>329</v>
      </c>
    </row>
    <row r="60" spans="1:34" ht="15" customHeight="1" x14ac:dyDescent="0.25">
      <c r="AH60" s="204" t="s">
        <v>330</v>
      </c>
    </row>
    <row r="61" spans="1:34" ht="15" customHeight="1" x14ac:dyDescent="0.25">
      <c r="AH61" s="204" t="s">
        <v>331</v>
      </c>
    </row>
    <row r="62" spans="1:34" ht="15" customHeight="1" x14ac:dyDescent="0.25">
      <c r="AH62" s="204" t="s">
        <v>332</v>
      </c>
    </row>
    <row r="63" spans="1:34" ht="15" customHeight="1" x14ac:dyDescent="0.25">
      <c r="AH63" s="204" t="s">
        <v>315</v>
      </c>
    </row>
    <row r="64" spans="1:34" ht="15" customHeight="1" x14ac:dyDescent="0.25">
      <c r="AH64" s="204" t="s">
        <v>333</v>
      </c>
    </row>
    <row r="65" spans="34:34" ht="15" customHeight="1" x14ac:dyDescent="0.25">
      <c r="AH65" s="204" t="s">
        <v>310</v>
      </c>
    </row>
    <row r="66" spans="34:34" ht="15" customHeight="1" x14ac:dyDescent="0.25">
      <c r="AH66" s="204" t="s">
        <v>334</v>
      </c>
    </row>
    <row r="67" spans="34:34" ht="15" customHeight="1" x14ac:dyDescent="0.25">
      <c r="AH67" s="204" t="s">
        <v>335</v>
      </c>
    </row>
    <row r="68" spans="34:34" ht="15" customHeight="1" x14ac:dyDescent="0.25">
      <c r="AH68" s="204" t="s">
        <v>336</v>
      </c>
    </row>
    <row r="69" spans="34:34" ht="15" customHeight="1" x14ac:dyDescent="0.25">
      <c r="AH69" s="204" t="s">
        <v>337</v>
      </c>
    </row>
    <row r="70" spans="34:34" ht="15" customHeight="1" x14ac:dyDescent="0.25">
      <c r="AH70" s="204" t="s">
        <v>338</v>
      </c>
    </row>
    <row r="71" spans="34:34" ht="15" customHeight="1" x14ac:dyDescent="0.25">
      <c r="AH71" s="204" t="s">
        <v>339</v>
      </c>
    </row>
    <row r="72" spans="34:34" ht="15" customHeight="1" x14ac:dyDescent="0.25">
      <c r="AH72" s="204" t="s">
        <v>340</v>
      </c>
    </row>
    <row r="85" spans="34:34" ht="0" hidden="1" customHeight="1" x14ac:dyDescent="0.25">
      <c r="AH85" s="6"/>
    </row>
    <row r="86" spans="34:34" ht="0" hidden="1" customHeight="1" x14ac:dyDescent="0.25">
      <c r="AH86" s="6"/>
    </row>
    <row r="87" spans="34:34" ht="0" hidden="1" customHeight="1" x14ac:dyDescent="0.25">
      <c r="AH87" s="6"/>
    </row>
    <row r="88" spans="34:34" ht="0" hidden="1" customHeight="1" x14ac:dyDescent="0.25">
      <c r="AH88" s="6"/>
    </row>
    <row r="89" spans="34:34" ht="0" hidden="1" customHeight="1" x14ac:dyDescent="0.25">
      <c r="AH89" s="6"/>
    </row>
    <row r="90" spans="34:34" ht="0" hidden="1" customHeight="1" x14ac:dyDescent="0.25">
      <c r="AH90" s="6"/>
    </row>
    <row r="91" spans="34:34" ht="0" hidden="1" customHeight="1" x14ac:dyDescent="0.25">
      <c r="AH91" s="6"/>
    </row>
    <row r="92" spans="34:34" ht="0" hidden="1" customHeight="1" x14ac:dyDescent="0.25">
      <c r="AH92" s="6"/>
    </row>
    <row r="93" spans="34:34" ht="0" hidden="1" customHeight="1" x14ac:dyDescent="0.25">
      <c r="AH93" s="6"/>
    </row>
    <row r="94" spans="34:34" ht="0" hidden="1" customHeight="1" x14ac:dyDescent="0.25">
      <c r="AH94" s="6"/>
    </row>
  </sheetData>
  <sheetProtection algorithmName="SHA-512" hashValue="OGnihhf6Lz1TuiZzC0TmVlmut65dVutxQ4IDmlH+vfnxqt8Rmh4MRshJV8UkiZxI6q9yQdAck12WQJhF/WSfsg==" saltValue="FEBJGku79lLIEib/UFvUpg==" spinCount="100000" sheet="1" objects="1" scenarios="1" formatColumns="0" formatRows="0" insertColumns="0" insertRows="0" sort="0" autoFilter="0" pivotTables="0"/>
  <mergeCells count="69">
    <mergeCell ref="S37:V37"/>
    <mergeCell ref="S38:V38"/>
    <mergeCell ref="S39:V39"/>
    <mergeCell ref="S40:V40"/>
    <mergeCell ref="S41:V42"/>
    <mergeCell ref="S36:V36"/>
    <mergeCell ref="S25:V25"/>
    <mergeCell ref="S26:V26"/>
    <mergeCell ref="S27:V27"/>
    <mergeCell ref="S28:V28"/>
    <mergeCell ref="S29:V29"/>
    <mergeCell ref="S30:V30"/>
    <mergeCell ref="S31:V31"/>
    <mergeCell ref="S32:V32"/>
    <mergeCell ref="S33:V33"/>
    <mergeCell ref="S34:V34"/>
    <mergeCell ref="S35:V35"/>
    <mergeCell ref="S19:V19"/>
    <mergeCell ref="S20:V20"/>
    <mergeCell ref="S21:V21"/>
    <mergeCell ref="S22:V22"/>
    <mergeCell ref="S23:V23"/>
    <mergeCell ref="S24:V24"/>
    <mergeCell ref="BA14:BA15"/>
    <mergeCell ref="BB14:BB15"/>
    <mergeCell ref="BC14:BC15"/>
    <mergeCell ref="S16:V16"/>
    <mergeCell ref="S17:V17"/>
    <mergeCell ref="S18:V18"/>
    <mergeCell ref="AU14:AU15"/>
    <mergeCell ref="AV14:AV15"/>
    <mergeCell ref="AW14:AW15"/>
    <mergeCell ref="AX14:AX15"/>
    <mergeCell ref="AY14:AY15"/>
    <mergeCell ref="AZ14:AZ15"/>
    <mergeCell ref="AO14:AO15"/>
    <mergeCell ref="AP14:AP15"/>
    <mergeCell ref="AQ14:AQ15"/>
    <mergeCell ref="AR14:AR15"/>
    <mergeCell ref="AS14:AS15"/>
    <mergeCell ref="AT14:AT15"/>
    <mergeCell ref="AD14:AD15"/>
    <mergeCell ref="AJ14:AJ15"/>
    <mergeCell ref="AK14:AK15"/>
    <mergeCell ref="AL14:AL15"/>
    <mergeCell ref="AM14:AM15"/>
    <mergeCell ref="AN14:AN15"/>
    <mergeCell ref="Y14:AC14"/>
    <mergeCell ref="H13:H14"/>
    <mergeCell ref="I13:I14"/>
    <mergeCell ref="J13:J14"/>
    <mergeCell ref="K13:K14"/>
    <mergeCell ref="L13:L14"/>
    <mergeCell ref="M13:N13"/>
    <mergeCell ref="Q13:Q14"/>
    <mergeCell ref="R13:R14"/>
    <mergeCell ref="S13:V15"/>
    <mergeCell ref="O13:O14"/>
    <mergeCell ref="P13:P14"/>
    <mergeCell ref="A10:V10"/>
    <mergeCell ref="A11:V11"/>
    <mergeCell ref="K12:L12"/>
    <mergeCell ref="A13:A15"/>
    <mergeCell ref="B13:B14"/>
    <mergeCell ref="C13:C14"/>
    <mergeCell ref="D13:D14"/>
    <mergeCell ref="E13:E14"/>
    <mergeCell ref="F13:F14"/>
    <mergeCell ref="G13:G14"/>
  </mergeCells>
  <conditionalFormatting sqref="I47">
    <cfRule type="cellIs" dxfId="127" priority="5" operator="lessThan">
      <formula>0</formula>
    </cfRule>
  </conditionalFormatting>
  <conditionalFormatting sqref="Y16:Y39">
    <cfRule type="containsText" dxfId="126" priority="3" operator="containsText" text="STBY">
      <formula>NOT(ISERROR(SEARCH("STBY",Y16)))</formula>
    </cfRule>
    <cfRule type="containsText" dxfId="125" priority="4" operator="containsText" text="SD">
      <formula>NOT(ISERROR(SEARCH("SD",Y16)))</formula>
    </cfRule>
  </conditionalFormatting>
  <conditionalFormatting sqref="B16:B39 D16:R39">
    <cfRule type="expression" dxfId="124" priority="2">
      <formula>ISTEXT(B16)</formula>
    </cfRule>
  </conditionalFormatting>
  <conditionalFormatting sqref="C16:C39">
    <cfRule type="expression" dxfId="123" priority="1">
      <formula>ISTEXT(C16)</formula>
    </cfRule>
  </conditionalFormatting>
  <dataValidations count="2">
    <dataValidation type="list" allowBlank="1" showInputMessage="1" showErrorMessage="1" sqref="Y16:Y39" xr:uid="{0FEB11F8-C54C-4BBF-8E3B-1D5302047793}">
      <formula1>"SD,STBY"</formula1>
    </dataValidation>
    <dataValidation type="list" allowBlank="1" showInputMessage="1" sqref="AD16:AD39" xr:uid="{2637EFA1-B98B-4E02-BDA2-8D9606454ABD}">
      <formula1>$AH$15:$AH$72</formula1>
    </dataValidation>
  </dataValidations>
  <printOptions horizontalCentered="1"/>
  <pageMargins left="0.39370078740157483" right="0.39370078740157483" top="0.59055118110236227" bottom="0.39370078740157483" header="0.31496062992125984" footer="0.31496062992125984"/>
  <pageSetup paperSize="9" scale="57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93E35-2BE5-4C75-8A85-739D7BC81C44}">
  <sheetPr codeName="N07">
    <pageSetUpPr fitToPage="1"/>
  </sheetPr>
  <dimension ref="A1:BC94"/>
  <sheetViews>
    <sheetView topLeftCell="A16" zoomScale="85" zoomScaleNormal="85" workbookViewId="0">
      <selection activeCell="N38" sqref="N38"/>
    </sheetView>
  </sheetViews>
  <sheetFormatPr defaultColWidth="0" defaultRowHeight="0" customHeight="1" zeroHeight="1" x14ac:dyDescent="0.25"/>
  <cols>
    <col min="1" max="1" width="10.7109375" style="7" customWidth="1"/>
    <col min="2" max="3" width="10.7109375" style="7" hidden="1" customWidth="1"/>
    <col min="4" max="14" width="10.7109375" style="7" customWidth="1"/>
    <col min="15" max="17" width="11.7109375" style="7" customWidth="1"/>
    <col min="18" max="18" width="10.7109375" style="7" hidden="1" customWidth="1"/>
    <col min="19" max="22" width="10.7109375" style="7" customWidth="1"/>
    <col min="23" max="23" width="2.7109375" style="7" customWidth="1"/>
    <col min="24" max="29" width="10.7109375" style="7" customWidth="1"/>
    <col min="30" max="30" width="30.7109375" style="7" customWidth="1"/>
    <col min="31" max="33" width="11.7109375" style="7" customWidth="1"/>
    <col min="34" max="34" width="30.7109375" style="7" customWidth="1"/>
    <col min="35" max="35" width="2.7109375" style="7" hidden="1" customWidth="1"/>
    <col min="36" max="55" width="11.7109375" style="7" hidden="1" customWidth="1"/>
    <col min="56" max="16384" width="9.140625" style="7" hidden="1"/>
  </cols>
  <sheetData>
    <row r="1" spans="1:55" ht="15" customHeight="1" x14ac:dyDescent="0.25">
      <c r="A1" s="7" t="s">
        <v>16</v>
      </c>
      <c r="D1" s="11" t="s">
        <v>85</v>
      </c>
      <c r="J1" s="7" t="str">
        <f>IF(MR!U13="Yes","PRINT","No")</f>
        <v>PRINT</v>
      </c>
      <c r="M1" s="191"/>
      <c r="N1" s="191"/>
    </row>
    <row r="2" spans="1:55" ht="15" customHeight="1" thickBot="1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192"/>
      <c r="M2" s="4"/>
      <c r="N2" s="4"/>
      <c r="O2" s="4"/>
      <c r="P2" s="4"/>
      <c r="Q2" s="4"/>
      <c r="R2" s="4"/>
      <c r="S2" s="8"/>
      <c r="T2" s="8"/>
      <c r="U2" s="8"/>
      <c r="V2" s="8"/>
      <c r="X2" s="8"/>
      <c r="Y2" s="8"/>
      <c r="Z2" s="8"/>
      <c r="AA2" s="8"/>
      <c r="AB2" s="8"/>
      <c r="AC2" s="8"/>
      <c r="AD2" s="8"/>
      <c r="AE2" s="8"/>
    </row>
    <row r="3" spans="1:55" ht="15" customHeight="1" x14ac:dyDescent="0.2">
      <c r="A3" s="31"/>
      <c r="B3" s="28"/>
      <c r="C3" s="28"/>
      <c r="D3" s="28"/>
      <c r="E3" s="28"/>
      <c r="F3" s="13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2"/>
      <c r="T3" s="22"/>
      <c r="U3" s="22"/>
      <c r="V3" s="23"/>
      <c r="X3" s="8"/>
      <c r="Y3" s="8"/>
      <c r="Z3" s="8"/>
      <c r="AA3" s="8"/>
      <c r="AB3" s="8"/>
      <c r="AC3" s="8"/>
      <c r="AD3" s="8"/>
      <c r="AE3" s="8"/>
    </row>
    <row r="4" spans="1:55" ht="30" customHeight="1" x14ac:dyDescent="0.25">
      <c r="A4" s="30"/>
      <c r="B4" s="1"/>
      <c r="C4" s="1"/>
      <c r="D4" s="1"/>
      <c r="E4" s="3"/>
      <c r="F4" s="63" t="s">
        <v>210</v>
      </c>
      <c r="G4" s="1"/>
      <c r="H4" s="1"/>
      <c r="I4" s="3"/>
      <c r="J4" s="3"/>
      <c r="K4" s="3"/>
      <c r="L4" s="3"/>
      <c r="M4" s="3"/>
      <c r="N4" s="3"/>
      <c r="O4" s="3"/>
      <c r="P4" s="3"/>
      <c r="Q4" s="3"/>
      <c r="R4" s="3"/>
      <c r="S4" s="1"/>
      <c r="T4" s="1"/>
      <c r="U4" s="1"/>
      <c r="V4" s="2"/>
      <c r="X4" s="5"/>
      <c r="Y4" s="5"/>
      <c r="Z4" s="5"/>
      <c r="AA4" s="5"/>
      <c r="AB4" s="5"/>
      <c r="AC4" s="5"/>
      <c r="AD4" s="5"/>
      <c r="AE4" s="5"/>
    </row>
    <row r="5" spans="1:55" ht="15" customHeight="1" x14ac:dyDescent="0.2">
      <c r="A5" s="32"/>
      <c r="B5" s="33"/>
      <c r="C5" s="33"/>
      <c r="D5" s="12"/>
      <c r="E5" s="3"/>
      <c r="F5" s="10" t="s">
        <v>129</v>
      </c>
      <c r="G5" s="1"/>
      <c r="H5" s="1"/>
      <c r="I5" s="3"/>
      <c r="J5" s="3"/>
      <c r="K5" s="3"/>
      <c r="L5" s="3"/>
      <c r="M5" s="3"/>
      <c r="N5" s="3"/>
      <c r="O5" s="3"/>
      <c r="P5" s="3"/>
      <c r="Q5" s="3"/>
      <c r="R5" s="3"/>
      <c r="S5" s="12"/>
      <c r="T5" s="12"/>
      <c r="U5" s="12"/>
      <c r="V5" s="14"/>
      <c r="X5" s="8"/>
      <c r="Y5" s="8"/>
      <c r="Z5" s="8"/>
      <c r="AA5" s="8"/>
      <c r="AB5" s="8"/>
      <c r="AC5" s="8"/>
      <c r="AD5" s="8"/>
      <c r="AE5" s="8"/>
      <c r="AJ5" s="193" t="s">
        <v>184</v>
      </c>
      <c r="AK5" s="194">
        <f>'V Calc'!B1</f>
        <v>500</v>
      </c>
      <c r="AL5" s="124"/>
    </row>
    <row r="6" spans="1:55" ht="15" customHeight="1" x14ac:dyDescent="0.2">
      <c r="A6" s="32"/>
      <c r="B6" s="33"/>
      <c r="C6" s="33"/>
      <c r="D6" s="12"/>
      <c r="E6" s="3"/>
      <c r="F6" s="10" t="s">
        <v>132</v>
      </c>
      <c r="G6" s="1"/>
      <c r="H6" s="1"/>
      <c r="I6" s="3"/>
      <c r="J6" s="3"/>
      <c r="K6" s="3"/>
      <c r="L6" s="3"/>
      <c r="M6" s="3"/>
      <c r="N6" s="3"/>
      <c r="O6" s="3"/>
      <c r="P6" s="3"/>
      <c r="Q6" s="3"/>
      <c r="R6" s="3"/>
      <c r="S6" s="12"/>
      <c r="T6" s="12"/>
      <c r="U6" s="12"/>
      <c r="V6" s="14"/>
      <c r="X6" s="8"/>
      <c r="Y6" s="8"/>
      <c r="Z6" s="8"/>
      <c r="AA6" s="8"/>
      <c r="AB6" s="8"/>
      <c r="AC6" s="8"/>
      <c r="AD6" s="8"/>
      <c r="AE6" s="8"/>
      <c r="AJ6" s="193" t="s">
        <v>185</v>
      </c>
      <c r="AK6" s="194">
        <f>'V Calc'!B2</f>
        <v>100</v>
      </c>
      <c r="AL6" s="124"/>
    </row>
    <row r="7" spans="1:55" ht="15" customHeight="1" x14ac:dyDescent="0.2">
      <c r="A7" s="32"/>
      <c r="B7" s="33"/>
      <c r="C7" s="33"/>
      <c r="D7" s="12"/>
      <c r="E7" s="3"/>
      <c r="F7" s="10" t="s">
        <v>130</v>
      </c>
      <c r="G7" s="1"/>
      <c r="H7" s="1"/>
      <c r="I7" s="3"/>
      <c r="J7" s="3"/>
      <c r="K7" s="3"/>
      <c r="L7" s="3"/>
      <c r="M7" s="3"/>
      <c r="N7" s="3"/>
      <c r="O7" s="3"/>
      <c r="P7" s="3"/>
      <c r="Q7" s="3"/>
      <c r="R7" s="3"/>
      <c r="S7" s="12"/>
      <c r="T7" s="12"/>
      <c r="U7" s="12"/>
      <c r="V7" s="14"/>
      <c r="X7" s="8"/>
      <c r="Y7" s="8"/>
      <c r="Z7" s="8"/>
      <c r="AA7" s="8"/>
      <c r="AB7" s="8"/>
      <c r="AC7" s="8"/>
      <c r="AD7" s="8"/>
      <c r="AE7" s="8"/>
      <c r="AJ7" s="193" t="s">
        <v>186</v>
      </c>
      <c r="AK7" s="195">
        <f>'V Calc'!B3</f>
        <v>2</v>
      </c>
      <c r="AL7" s="124"/>
    </row>
    <row r="8" spans="1:55" ht="15" customHeight="1" x14ac:dyDescent="0.2">
      <c r="A8" s="32"/>
      <c r="B8" s="33"/>
      <c r="C8" s="33"/>
      <c r="D8" s="12"/>
      <c r="E8" s="3"/>
      <c r="F8" s="10" t="s">
        <v>131</v>
      </c>
      <c r="G8" s="62"/>
      <c r="H8" s="62"/>
      <c r="I8" s="3"/>
      <c r="J8" s="3"/>
      <c r="K8" s="3"/>
      <c r="L8" s="3"/>
      <c r="M8" s="3"/>
      <c r="N8" s="3"/>
      <c r="O8" s="3"/>
      <c r="P8" s="3"/>
      <c r="Q8" s="3"/>
      <c r="R8" s="3"/>
      <c r="S8" s="12"/>
      <c r="T8" s="12"/>
      <c r="U8" s="12"/>
      <c r="V8" s="14"/>
      <c r="X8" s="8"/>
      <c r="Y8" s="8"/>
      <c r="Z8" s="8"/>
      <c r="AA8" s="8"/>
      <c r="AB8" s="8"/>
      <c r="AC8" s="8"/>
      <c r="AD8" s="8"/>
      <c r="AE8" s="8"/>
      <c r="AJ8" s="193" t="s">
        <v>187</v>
      </c>
      <c r="AK8" s="195">
        <f>'V Calc'!B4</f>
        <v>0.875</v>
      </c>
      <c r="AL8" s="124"/>
    </row>
    <row r="9" spans="1:55" ht="15" customHeight="1" thickBot="1" x14ac:dyDescent="0.25">
      <c r="A9" s="34"/>
      <c r="B9" s="29"/>
      <c r="C9" s="29"/>
      <c r="D9" s="29"/>
      <c r="E9" s="29"/>
      <c r="F9" s="15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16"/>
      <c r="T9" s="16"/>
      <c r="U9" s="16"/>
      <c r="V9" s="17"/>
      <c r="X9" s="8"/>
      <c r="Y9" s="8"/>
      <c r="Z9" s="8"/>
      <c r="AA9" s="8"/>
      <c r="AB9" s="8"/>
      <c r="AC9" s="8"/>
      <c r="AD9" s="8"/>
      <c r="AE9" s="8"/>
      <c r="AJ9" s="196" t="s">
        <v>188</v>
      </c>
      <c r="AK9" s="197">
        <f>'V Calc'!B5</f>
        <v>158.47</v>
      </c>
      <c r="AL9" s="198"/>
    </row>
    <row r="10" spans="1:55" s="9" customFormat="1" ht="30" customHeight="1" x14ac:dyDescent="0.2">
      <c r="A10" s="513" t="s">
        <v>20</v>
      </c>
      <c r="B10" s="514"/>
      <c r="C10" s="514"/>
      <c r="D10" s="514"/>
      <c r="E10" s="514"/>
      <c r="F10" s="514"/>
      <c r="G10" s="514"/>
      <c r="H10" s="514"/>
      <c r="I10" s="514"/>
      <c r="J10" s="514"/>
      <c r="K10" s="514"/>
      <c r="L10" s="514"/>
      <c r="M10" s="514"/>
      <c r="N10" s="514"/>
      <c r="O10" s="514"/>
      <c r="P10" s="514"/>
      <c r="Q10" s="514"/>
      <c r="R10" s="514"/>
      <c r="S10" s="514"/>
      <c r="T10" s="514"/>
      <c r="U10" s="514"/>
      <c r="V10" s="515"/>
      <c r="X10" s="96"/>
      <c r="Y10" s="96"/>
      <c r="Z10" s="96"/>
      <c r="AA10" s="96"/>
      <c r="AB10" s="96"/>
      <c r="AC10" s="96"/>
      <c r="AJ10" s="193" t="s">
        <v>189</v>
      </c>
      <c r="AK10" s="199">
        <f>'V Calc'!B6</f>
        <v>0.63607464142166403</v>
      </c>
      <c r="AL10" s="198" t="s">
        <v>190</v>
      </c>
    </row>
    <row r="11" spans="1:55" s="9" customFormat="1" ht="20.100000000000001" customHeight="1" thickBot="1" x14ac:dyDescent="0.25">
      <c r="A11" s="516" t="s">
        <v>21</v>
      </c>
      <c r="B11" s="517"/>
      <c r="C11" s="517"/>
      <c r="D11" s="517"/>
      <c r="E11" s="517"/>
      <c r="F11" s="517"/>
      <c r="G11" s="517"/>
      <c r="H11" s="517"/>
      <c r="I11" s="517"/>
      <c r="J11" s="517"/>
      <c r="K11" s="517"/>
      <c r="L11" s="517"/>
      <c r="M11" s="517"/>
      <c r="N11" s="517"/>
      <c r="O11" s="517"/>
      <c r="P11" s="517"/>
      <c r="Q11" s="517"/>
      <c r="R11" s="517"/>
      <c r="S11" s="517"/>
      <c r="T11" s="517"/>
      <c r="U11" s="517"/>
      <c r="V11" s="518"/>
      <c r="X11" s="97"/>
      <c r="Y11" s="97"/>
      <c r="Z11" s="97"/>
      <c r="AA11" s="97"/>
      <c r="AB11" s="97"/>
      <c r="AC11" s="97"/>
    </row>
    <row r="12" spans="1:55" s="6" customFormat="1" ht="30" customHeight="1" thickBot="1" x14ac:dyDescent="0.3">
      <c r="A12" s="18"/>
      <c r="B12" s="20"/>
      <c r="C12" s="20"/>
      <c r="D12" s="19" t="s">
        <v>121</v>
      </c>
      <c r="E12" s="200" t="str">
        <f>'Day 6'!E12</f>
        <v>MPR 632  RFD</v>
      </c>
      <c r="F12" s="35"/>
      <c r="G12" s="19" t="s">
        <v>120</v>
      </c>
      <c r="H12" s="200" t="str">
        <f>IF(Volume!C$10="","",Volume!C$10)</f>
        <v>FP 65354</v>
      </c>
      <c r="I12" s="20"/>
      <c r="J12" s="19" t="s">
        <v>17</v>
      </c>
      <c r="K12" s="505">
        <f>'Day 6'!K12+1</f>
        <v>45815</v>
      </c>
      <c r="L12" s="505"/>
      <c r="M12" s="100"/>
      <c r="N12" s="19" t="s">
        <v>119</v>
      </c>
      <c r="O12" s="200" t="str">
        <f>IF(Volume!D$10="","",Volume!D$10)</f>
        <v>SP. Tambun - Cluster F</v>
      </c>
      <c r="P12" s="20"/>
      <c r="Q12" s="19" t="s">
        <v>122</v>
      </c>
      <c r="S12" s="201">
        <f>IF(Volume!E$10="","",Volume!E$10)</f>
        <v>1.25</v>
      </c>
      <c r="T12" s="20"/>
      <c r="U12" s="19" t="s">
        <v>126</v>
      </c>
      <c r="V12" s="202" t="str">
        <f>IF(Volume!F$10="","",Volume!F$10)</f>
        <v>4/0</v>
      </c>
    </row>
    <row r="13" spans="1:55" ht="30" customHeight="1" thickBot="1" x14ac:dyDescent="0.3">
      <c r="A13" s="502" t="s">
        <v>0</v>
      </c>
      <c r="B13" s="502" t="s">
        <v>213</v>
      </c>
      <c r="C13" s="502" t="s">
        <v>212</v>
      </c>
      <c r="D13" s="502" t="s">
        <v>31</v>
      </c>
      <c r="E13" s="502" t="s">
        <v>32</v>
      </c>
      <c r="F13" s="502" t="s">
        <v>2</v>
      </c>
      <c r="G13" s="502" t="s">
        <v>33</v>
      </c>
      <c r="H13" s="502" t="s">
        <v>35</v>
      </c>
      <c r="I13" s="502" t="s">
        <v>36</v>
      </c>
      <c r="J13" s="502" t="s">
        <v>110</v>
      </c>
      <c r="K13" s="502" t="s">
        <v>15</v>
      </c>
      <c r="L13" s="502" t="s">
        <v>34</v>
      </c>
      <c r="M13" s="502" t="s">
        <v>10</v>
      </c>
      <c r="N13" s="502"/>
      <c r="O13" s="506" t="s">
        <v>300</v>
      </c>
      <c r="P13" s="506" t="s">
        <v>299</v>
      </c>
      <c r="Q13" s="502" t="s">
        <v>7</v>
      </c>
      <c r="R13" s="502" t="s">
        <v>88</v>
      </c>
      <c r="S13" s="502" t="s">
        <v>8</v>
      </c>
      <c r="T13" s="502"/>
      <c r="U13" s="502"/>
      <c r="V13" s="502"/>
      <c r="X13" s="98"/>
      <c r="Y13" s="98"/>
      <c r="Z13" s="98"/>
      <c r="AA13" s="98"/>
      <c r="AB13" s="98"/>
      <c r="AC13" s="98"/>
    </row>
    <row r="14" spans="1:55" ht="30" customHeight="1" x14ac:dyDescent="0.25">
      <c r="A14" s="504"/>
      <c r="B14" s="504"/>
      <c r="C14" s="504"/>
      <c r="D14" s="504"/>
      <c r="E14" s="504"/>
      <c r="F14" s="504"/>
      <c r="G14" s="504"/>
      <c r="H14" s="504"/>
      <c r="I14" s="504"/>
      <c r="J14" s="504"/>
      <c r="K14" s="504"/>
      <c r="L14" s="504"/>
      <c r="M14" s="94" t="s">
        <v>3</v>
      </c>
      <c r="N14" s="94" t="s">
        <v>4</v>
      </c>
      <c r="O14" s="507"/>
      <c r="P14" s="507"/>
      <c r="Q14" s="504"/>
      <c r="R14" s="504"/>
      <c r="S14" s="504"/>
      <c r="T14" s="504"/>
      <c r="U14" s="504"/>
      <c r="V14" s="504"/>
      <c r="Y14" s="502" t="s">
        <v>230</v>
      </c>
      <c r="Z14" s="502"/>
      <c r="AA14" s="502"/>
      <c r="AB14" s="502"/>
      <c r="AC14" s="502"/>
      <c r="AD14" s="502" t="s">
        <v>231</v>
      </c>
      <c r="AH14" s="203" t="s">
        <v>232</v>
      </c>
      <c r="AJ14" s="520" t="s">
        <v>191</v>
      </c>
      <c r="AK14" s="520" t="s">
        <v>192</v>
      </c>
      <c r="AL14" s="520" t="s">
        <v>193</v>
      </c>
      <c r="AM14" s="520" t="s">
        <v>194</v>
      </c>
      <c r="AN14" s="520" t="s">
        <v>195</v>
      </c>
      <c r="AO14" s="506" t="s">
        <v>196</v>
      </c>
      <c r="AP14" s="506" t="s">
        <v>197</v>
      </c>
      <c r="AQ14" s="506" t="s">
        <v>198</v>
      </c>
      <c r="AR14" s="506" t="s">
        <v>188</v>
      </c>
      <c r="AS14" s="506" t="s">
        <v>199</v>
      </c>
      <c r="AT14" s="506" t="s">
        <v>200</v>
      </c>
      <c r="AU14" s="506" t="s">
        <v>201</v>
      </c>
      <c r="AV14" s="506" t="s">
        <v>202</v>
      </c>
      <c r="AW14" s="506" t="s">
        <v>203</v>
      </c>
      <c r="AX14" s="506" t="s">
        <v>204</v>
      </c>
      <c r="AY14" s="523" t="s">
        <v>205</v>
      </c>
      <c r="AZ14" s="523" t="s">
        <v>206</v>
      </c>
      <c r="BA14" s="523" t="s">
        <v>207</v>
      </c>
      <c r="BB14" s="523" t="s">
        <v>208</v>
      </c>
      <c r="BC14" s="506" t="s">
        <v>197</v>
      </c>
    </row>
    <row r="15" spans="1:55" ht="20.100000000000001" customHeight="1" thickBot="1" x14ac:dyDescent="0.3">
      <c r="A15" s="503"/>
      <c r="B15" s="95" t="s">
        <v>1</v>
      </c>
      <c r="C15" s="95" t="s">
        <v>1</v>
      </c>
      <c r="D15" s="95" t="s">
        <v>1</v>
      </c>
      <c r="E15" s="95" t="s">
        <v>1</v>
      </c>
      <c r="F15" s="95" t="s">
        <v>140</v>
      </c>
      <c r="G15" s="95" t="s">
        <v>1</v>
      </c>
      <c r="H15" s="95" t="s">
        <v>1</v>
      </c>
      <c r="I15" s="95" t="s">
        <v>1</v>
      </c>
      <c r="J15" s="95" t="s">
        <v>18</v>
      </c>
      <c r="K15" s="95" t="s">
        <v>9</v>
      </c>
      <c r="L15" s="95" t="s">
        <v>5</v>
      </c>
      <c r="M15" s="95" t="s">
        <v>5</v>
      </c>
      <c r="N15" s="95" t="s">
        <v>5</v>
      </c>
      <c r="O15" s="95" t="s">
        <v>1</v>
      </c>
      <c r="P15" s="95" t="s">
        <v>14</v>
      </c>
      <c r="Q15" s="95" t="str">
        <f>IF(MR!G17="MSCF","MSCFD","MMSCFD")</f>
        <v>MSCFD</v>
      </c>
      <c r="R15" s="95" t="str">
        <f>MR!L17</f>
        <v>BPD</v>
      </c>
      <c r="S15" s="503"/>
      <c r="T15" s="503"/>
      <c r="U15" s="503"/>
      <c r="V15" s="503"/>
      <c r="X15" s="365"/>
      <c r="Y15" s="95" t="s">
        <v>123</v>
      </c>
      <c r="Z15" s="95" t="s">
        <v>124</v>
      </c>
      <c r="AA15" s="95" t="s">
        <v>125</v>
      </c>
      <c r="AB15" s="95" t="s">
        <v>51</v>
      </c>
      <c r="AC15" s="95" t="s">
        <v>48</v>
      </c>
      <c r="AD15" s="503"/>
      <c r="AH15" s="204" t="s">
        <v>228</v>
      </c>
      <c r="AJ15" s="521"/>
      <c r="AK15" s="521"/>
      <c r="AL15" s="521"/>
      <c r="AM15" s="521"/>
      <c r="AN15" s="521"/>
      <c r="AO15" s="522"/>
      <c r="AP15" s="522"/>
      <c r="AQ15" s="522"/>
      <c r="AR15" s="522"/>
      <c r="AS15" s="522"/>
      <c r="AT15" s="522"/>
      <c r="AU15" s="522"/>
      <c r="AV15" s="522"/>
      <c r="AW15" s="522"/>
      <c r="AX15" s="522"/>
      <c r="AY15" s="524"/>
      <c r="AZ15" s="524"/>
      <c r="BA15" s="524"/>
      <c r="BB15" s="524"/>
      <c r="BC15" s="522"/>
    </row>
    <row r="16" spans="1:55" ht="20.100000000000001" customHeight="1" x14ac:dyDescent="0.2">
      <c r="A16" s="44">
        <v>4.1666666666666664E-2</v>
      </c>
      <c r="B16" s="450"/>
      <c r="C16" s="450"/>
      <c r="D16" s="450">
        <v>6.9</v>
      </c>
      <c r="E16" s="450">
        <v>61.5</v>
      </c>
      <c r="F16" s="40">
        <v>1935</v>
      </c>
      <c r="G16" s="37">
        <v>-5.5</v>
      </c>
      <c r="H16" s="36">
        <v>71.3</v>
      </c>
      <c r="I16" s="36">
        <v>21.3</v>
      </c>
      <c r="J16" s="40">
        <v>224</v>
      </c>
      <c r="K16" s="37">
        <v>13</v>
      </c>
      <c r="L16" s="450">
        <v>125</v>
      </c>
      <c r="M16" s="450">
        <v>220</v>
      </c>
      <c r="N16" s="451">
        <v>85</v>
      </c>
      <c r="O16" s="352">
        <v>55</v>
      </c>
      <c r="P16" s="352">
        <v>6</v>
      </c>
      <c r="Q16" s="352">
        <v>183.87</v>
      </c>
      <c r="R16" s="36"/>
      <c r="S16" s="519" t="str">
        <f t="shared" ref="S16:S32" si="0">IF(Z16="",IF(AD16="","",AD16),CONCATENATE(TEXT(Z16,"[hh]:mm"),IF(AA16="",""," - "&amp;TEXT(AA16,"[hh]:mm")),IF(Y16="",""," "&amp;Y16&amp;"/")," "&amp;AD16))</f>
        <v/>
      </c>
      <c r="T16" s="519"/>
      <c r="U16" s="519"/>
      <c r="V16" s="519"/>
      <c r="X16" s="44">
        <v>4.1666666666666664E-2</v>
      </c>
      <c r="Y16" s="105"/>
      <c r="Z16" s="101"/>
      <c r="AA16" s="101"/>
      <c r="AB16" s="44" t="str">
        <f>IF(Y16="STBY",AA16-Z16,"")</f>
        <v/>
      </c>
      <c r="AC16" s="44" t="str">
        <f t="shared" ref="AC16:AC39" si="1">IF(Y16="SD",AA16-Z16,"")</f>
        <v/>
      </c>
      <c r="AD16" s="355"/>
      <c r="AE16" s="9" t="str">
        <f>IF(S16="","",IF(COUNTA(Z16:$Z$39)=1,IF(COUNTA(AD16:$AD$39)=1,""," ; "),IF(COUNTA(AD16:$AD$39)=1,IF(Z16="",""," ; ")," ; ")))</f>
        <v/>
      </c>
      <c r="AF16" s="9" t="str">
        <f t="shared" ref="AF16:AF39" si="2">CONCATENATE(S16,AE16)</f>
        <v/>
      </c>
      <c r="AG16" s="90" t="str">
        <f t="shared" ref="AG16:AG39" si="3">IF(AND(COUNTBLANK(N16:P16)&lt;3,Q16=""),"CEK : Data Flowrate","")</f>
        <v/>
      </c>
      <c r="AH16" s="204" t="s">
        <v>229</v>
      </c>
      <c r="AJ16" s="205">
        <f>AK5</f>
        <v>500</v>
      </c>
      <c r="AK16" s="205">
        <f>AK6</f>
        <v>100</v>
      </c>
      <c r="AL16" s="206">
        <f>AK7</f>
        <v>2</v>
      </c>
      <c r="AM16" s="207">
        <f>AK8</f>
        <v>0.875</v>
      </c>
      <c r="AN16" s="208">
        <f>AK10</f>
        <v>0.63607464142166403</v>
      </c>
      <c r="AO16" s="209">
        <f t="shared" ref="AO16:AO39" si="4">T16^2*AJ16/100-14.7</f>
        <v>-14.7</v>
      </c>
      <c r="AP16" s="210">
        <f t="shared" ref="AP16:AP39" si="5">IF(AO16&lt;100,1,BC16)</f>
        <v>1</v>
      </c>
      <c r="AQ16" s="210">
        <f t="shared" ref="AQ16:AQ39" si="6">(1/AP16)^0.5</f>
        <v>1</v>
      </c>
      <c r="AR16" s="52">
        <f>AK9</f>
        <v>158.47</v>
      </c>
      <c r="AS16" s="210">
        <f t="shared" ref="AS16:AS39" si="7">(520/(460+N16))^0.5</f>
        <v>0.97679498379494789</v>
      </c>
      <c r="AT16" s="210">
        <f t="shared" ref="AT16:AT39" si="8">(1/AN16)^0.5</f>
        <v>1.2538510821608391</v>
      </c>
      <c r="AU16" s="210">
        <f t="shared" ref="AU16:AU39" si="9">0.01*(AJ16*AK16)^0.5</f>
        <v>2.2360679774997898</v>
      </c>
      <c r="AV16" s="211">
        <f t="shared" ref="AV16:AV39" si="10">0.024*AQ16*AR16*AS16*AT16*AU16</f>
        <v>10.415801185754333</v>
      </c>
      <c r="AW16" s="210">
        <f t="shared" ref="AW16:AW39" si="11">(AO16+14.7)/(697.2-43*AN16)</f>
        <v>0</v>
      </c>
      <c r="AX16" s="212">
        <f t="shared" ref="AX16:AX39" si="12">(N16+460)/(315.1*AN16+170.4)</f>
        <v>1.4696875479799241</v>
      </c>
      <c r="AY16" s="210">
        <f t="shared" ref="AY16:AY39" si="13">0.3379*LN(LN(AX16))+1.091</f>
        <v>0.76851414128953044</v>
      </c>
      <c r="AZ16" s="211">
        <f t="shared" ref="AZ16:AZ39" si="14">21.46*AY16-11.9*AY16^2-5.9</f>
        <v>3.5640070462657096</v>
      </c>
      <c r="BA16" s="210">
        <f t="shared" ref="BA16:BA39" si="15">AW16/AZ16</f>
        <v>0</v>
      </c>
      <c r="BB16" s="210">
        <f t="shared" ref="BB16:BB39" si="16">(1.1+0.26*AX16+(1.04-1.42*AX16)*BA16)*2.718^BA16/AX16</f>
        <v>1.0084584063544275</v>
      </c>
      <c r="BC16" s="210">
        <f t="shared" ref="BC16:BC39" si="17">1+(AY16-1)*SIN((90*BA16)/57.29578)^BB16</f>
        <v>1</v>
      </c>
    </row>
    <row r="17" spans="1:55" ht="20.100000000000001" customHeight="1" x14ac:dyDescent="0.2">
      <c r="A17" s="45">
        <v>8.3333333333333301E-2</v>
      </c>
      <c r="B17" s="451"/>
      <c r="C17" s="451"/>
      <c r="D17" s="451">
        <v>6.3</v>
      </c>
      <c r="E17" s="451">
        <v>60.8</v>
      </c>
      <c r="F17" s="41">
        <v>1960</v>
      </c>
      <c r="G17" s="37">
        <v>-5.5</v>
      </c>
      <c r="H17" s="37">
        <v>71.900000000000006</v>
      </c>
      <c r="I17" s="37">
        <v>21.6</v>
      </c>
      <c r="J17" s="41">
        <v>225</v>
      </c>
      <c r="K17" s="37">
        <v>13</v>
      </c>
      <c r="L17" s="451">
        <v>123</v>
      </c>
      <c r="M17" s="451">
        <v>223</v>
      </c>
      <c r="N17" s="451">
        <v>85</v>
      </c>
      <c r="O17" s="353">
        <v>55</v>
      </c>
      <c r="P17" s="353">
        <v>6</v>
      </c>
      <c r="Q17" s="353">
        <v>183.87</v>
      </c>
      <c r="R17" s="37"/>
      <c r="S17" s="508" t="str">
        <f t="shared" si="0"/>
        <v/>
      </c>
      <c r="T17" s="508"/>
      <c r="U17" s="508"/>
      <c r="V17" s="508"/>
      <c r="X17" s="45">
        <v>8.3333333333333301E-2</v>
      </c>
      <c r="Y17" s="106"/>
      <c r="Z17" s="102"/>
      <c r="AA17" s="102"/>
      <c r="AB17" s="45" t="str">
        <f t="shared" ref="AB17:AB39" si="18">IF(Y17="STBY",AA17-Z17,"")</f>
        <v/>
      </c>
      <c r="AC17" s="45" t="str">
        <f t="shared" si="1"/>
        <v/>
      </c>
      <c r="AD17" s="81"/>
      <c r="AE17" s="9" t="str">
        <f>IF(S17="","",IF(COUNTA(Z17:$Z$39)=1,IF(COUNTA(AD17:$AD$39)=1,""," ; "),IF(COUNTA(AD17:$AD$39)=1,IF(Z17="",""," ; ")," ; ")))</f>
        <v/>
      </c>
      <c r="AF17" s="9" t="str">
        <f t="shared" si="2"/>
        <v/>
      </c>
      <c r="AG17" s="90" t="str">
        <f t="shared" si="3"/>
        <v/>
      </c>
      <c r="AH17" s="204" t="s">
        <v>289</v>
      </c>
      <c r="AJ17" s="206">
        <f t="shared" ref="AJ17:AN32" si="19">AJ16</f>
        <v>500</v>
      </c>
      <c r="AK17" s="206">
        <f t="shared" si="19"/>
        <v>100</v>
      </c>
      <c r="AL17" s="206">
        <f>AL16</f>
        <v>2</v>
      </c>
      <c r="AM17" s="213">
        <f>AM16</f>
        <v>0.875</v>
      </c>
      <c r="AN17" s="214">
        <f>AN16</f>
        <v>0.63607464142166403</v>
      </c>
      <c r="AO17" s="215">
        <f t="shared" si="4"/>
        <v>-14.7</v>
      </c>
      <c r="AP17" s="216">
        <f t="shared" si="5"/>
        <v>1</v>
      </c>
      <c r="AQ17" s="216">
        <f t="shared" si="6"/>
        <v>1</v>
      </c>
      <c r="AR17" s="215">
        <f>AR16</f>
        <v>158.47</v>
      </c>
      <c r="AS17" s="216">
        <f>(520/(460+N17))^0.5</f>
        <v>0.97679498379494789</v>
      </c>
      <c r="AT17" s="216">
        <f t="shared" si="8"/>
        <v>1.2538510821608391</v>
      </c>
      <c r="AU17" s="216">
        <f t="shared" si="9"/>
        <v>2.2360679774997898</v>
      </c>
      <c r="AV17" s="217">
        <f t="shared" si="10"/>
        <v>10.415801185754333</v>
      </c>
      <c r="AW17" s="216">
        <f t="shared" si="11"/>
        <v>0</v>
      </c>
      <c r="AX17" s="218">
        <f>(N17+460)/(315.1*AN17+170.4)</f>
        <v>1.4696875479799241</v>
      </c>
      <c r="AY17" s="216">
        <f t="shared" si="13"/>
        <v>0.76851414128953044</v>
      </c>
      <c r="AZ17" s="217">
        <f t="shared" si="14"/>
        <v>3.5640070462657096</v>
      </c>
      <c r="BA17" s="216">
        <f t="shared" si="15"/>
        <v>0</v>
      </c>
      <c r="BB17" s="216">
        <f t="shared" si="16"/>
        <v>1.0084584063544275</v>
      </c>
      <c r="BC17" s="216">
        <f t="shared" si="17"/>
        <v>1</v>
      </c>
    </row>
    <row r="18" spans="1:55" ht="20.100000000000001" customHeight="1" x14ac:dyDescent="0.2">
      <c r="A18" s="45">
        <v>0.125</v>
      </c>
      <c r="B18" s="451"/>
      <c r="C18" s="451"/>
      <c r="D18" s="451">
        <v>6.1</v>
      </c>
      <c r="E18" s="451">
        <v>61.4</v>
      </c>
      <c r="F18" s="41">
        <v>1973</v>
      </c>
      <c r="G18" s="37">
        <v>-5.5</v>
      </c>
      <c r="H18" s="37">
        <v>71.5</v>
      </c>
      <c r="I18" s="37">
        <v>21.9</v>
      </c>
      <c r="J18" s="41">
        <v>226</v>
      </c>
      <c r="K18" s="37">
        <v>13</v>
      </c>
      <c r="L18" s="451">
        <v>122</v>
      </c>
      <c r="M18" s="451">
        <v>221</v>
      </c>
      <c r="N18" s="451">
        <v>85</v>
      </c>
      <c r="O18" s="353">
        <v>55</v>
      </c>
      <c r="P18" s="353">
        <v>8</v>
      </c>
      <c r="Q18" s="353">
        <v>212.06</v>
      </c>
      <c r="R18" s="37"/>
      <c r="S18" s="508" t="str">
        <f t="shared" si="0"/>
        <v/>
      </c>
      <c r="T18" s="508"/>
      <c r="U18" s="508"/>
      <c r="V18" s="508"/>
      <c r="X18" s="45">
        <v>0.125</v>
      </c>
      <c r="Y18" s="106"/>
      <c r="Z18" s="102"/>
      <c r="AA18" s="102"/>
      <c r="AB18" s="45" t="str">
        <f t="shared" si="18"/>
        <v/>
      </c>
      <c r="AC18" s="45" t="str">
        <f t="shared" si="1"/>
        <v/>
      </c>
      <c r="AD18" s="81"/>
      <c r="AE18" s="9" t="str">
        <f>IF(S18="","",IF(COUNTA(Z18:$Z$39)=1,IF(COUNTA(AD18:$AD$39)=1,""," ; "),IF(COUNTA(AD18:$AD$39)=1,IF(Z18="",""," ; ")," ; ")))</f>
        <v/>
      </c>
      <c r="AF18" s="9" t="str">
        <f t="shared" si="2"/>
        <v/>
      </c>
      <c r="AG18" s="90" t="str">
        <f t="shared" si="3"/>
        <v/>
      </c>
      <c r="AH18" s="204" t="s">
        <v>321</v>
      </c>
      <c r="AJ18" s="206">
        <f t="shared" si="19"/>
        <v>500</v>
      </c>
      <c r="AK18" s="206">
        <f t="shared" si="19"/>
        <v>100</v>
      </c>
      <c r="AL18" s="206">
        <f t="shared" si="19"/>
        <v>2</v>
      </c>
      <c r="AM18" s="213">
        <f t="shared" si="19"/>
        <v>0.875</v>
      </c>
      <c r="AN18" s="214">
        <f t="shared" si="19"/>
        <v>0.63607464142166403</v>
      </c>
      <c r="AO18" s="215">
        <f t="shared" si="4"/>
        <v>-14.7</v>
      </c>
      <c r="AP18" s="216">
        <f t="shared" si="5"/>
        <v>1</v>
      </c>
      <c r="AQ18" s="216">
        <f t="shared" si="6"/>
        <v>1</v>
      </c>
      <c r="AR18" s="215">
        <f t="shared" ref="AR18:AR39" si="20">AR17</f>
        <v>158.47</v>
      </c>
      <c r="AS18" s="216">
        <f t="shared" si="7"/>
        <v>0.97679498379494789</v>
      </c>
      <c r="AT18" s="216">
        <f t="shared" si="8"/>
        <v>1.2538510821608391</v>
      </c>
      <c r="AU18" s="216">
        <f t="shared" si="9"/>
        <v>2.2360679774997898</v>
      </c>
      <c r="AV18" s="217">
        <f t="shared" si="10"/>
        <v>10.415801185754333</v>
      </c>
      <c r="AW18" s="216">
        <f t="shared" si="11"/>
        <v>0</v>
      </c>
      <c r="AX18" s="218">
        <f t="shared" si="12"/>
        <v>1.4696875479799241</v>
      </c>
      <c r="AY18" s="216">
        <f t="shared" si="13"/>
        <v>0.76851414128953044</v>
      </c>
      <c r="AZ18" s="217">
        <f t="shared" si="14"/>
        <v>3.5640070462657096</v>
      </c>
      <c r="BA18" s="216">
        <f t="shared" si="15"/>
        <v>0</v>
      </c>
      <c r="BB18" s="216">
        <f t="shared" si="16"/>
        <v>1.0084584063544275</v>
      </c>
      <c r="BC18" s="216">
        <f t="shared" si="17"/>
        <v>1</v>
      </c>
    </row>
    <row r="19" spans="1:55" ht="20.100000000000001" customHeight="1" x14ac:dyDescent="0.2">
      <c r="A19" s="45">
        <v>0.16666666666666699</v>
      </c>
      <c r="B19" s="451"/>
      <c r="C19" s="451"/>
      <c r="D19" s="451">
        <v>6.6</v>
      </c>
      <c r="E19" s="451">
        <v>61.6</v>
      </c>
      <c r="F19" s="41">
        <v>1980</v>
      </c>
      <c r="G19" s="37">
        <v>-5.5</v>
      </c>
      <c r="H19" s="37">
        <v>71.099999999999994</v>
      </c>
      <c r="I19" s="37">
        <v>21</v>
      </c>
      <c r="J19" s="41">
        <v>227</v>
      </c>
      <c r="K19" s="37">
        <v>13</v>
      </c>
      <c r="L19" s="451">
        <v>121</v>
      </c>
      <c r="M19" s="451">
        <v>221</v>
      </c>
      <c r="N19" s="451">
        <v>85</v>
      </c>
      <c r="O19" s="353">
        <v>55</v>
      </c>
      <c r="P19" s="353">
        <v>8</v>
      </c>
      <c r="Q19" s="353">
        <v>212.06</v>
      </c>
      <c r="R19" s="37"/>
      <c r="S19" s="508" t="str">
        <f t="shared" si="0"/>
        <v/>
      </c>
      <c r="T19" s="508"/>
      <c r="U19" s="508"/>
      <c r="V19" s="508"/>
      <c r="X19" s="45">
        <v>0.16666666666666699</v>
      </c>
      <c r="Y19" s="106"/>
      <c r="Z19" s="102"/>
      <c r="AA19" s="102"/>
      <c r="AB19" s="45" t="str">
        <f t="shared" si="18"/>
        <v/>
      </c>
      <c r="AC19" s="45" t="str">
        <f t="shared" si="1"/>
        <v/>
      </c>
      <c r="AD19" s="81"/>
      <c r="AE19" s="9" t="str">
        <f>IF(S19="","",IF(COUNTA(Z19:$Z$39)=1,IF(COUNTA(AD19:$AD$39)=1,""," ; "),IF(COUNTA(AD19:$AD$39)=1,IF(Z19="",""," ; ")," ; ")))</f>
        <v/>
      </c>
      <c r="AF19" s="9" t="str">
        <f t="shared" si="2"/>
        <v/>
      </c>
      <c r="AG19" s="90" t="str">
        <f t="shared" si="3"/>
        <v/>
      </c>
      <c r="AH19" s="204" t="s">
        <v>272</v>
      </c>
      <c r="AJ19" s="206">
        <f t="shared" si="19"/>
        <v>500</v>
      </c>
      <c r="AK19" s="206">
        <f t="shared" si="19"/>
        <v>100</v>
      </c>
      <c r="AL19" s="206">
        <f t="shared" si="19"/>
        <v>2</v>
      </c>
      <c r="AM19" s="213">
        <f t="shared" si="19"/>
        <v>0.875</v>
      </c>
      <c r="AN19" s="214">
        <f t="shared" si="19"/>
        <v>0.63607464142166403</v>
      </c>
      <c r="AO19" s="215">
        <f t="shared" si="4"/>
        <v>-14.7</v>
      </c>
      <c r="AP19" s="216">
        <f t="shared" si="5"/>
        <v>1</v>
      </c>
      <c r="AQ19" s="216">
        <f t="shared" si="6"/>
        <v>1</v>
      </c>
      <c r="AR19" s="215">
        <f t="shared" si="20"/>
        <v>158.47</v>
      </c>
      <c r="AS19" s="216">
        <f t="shared" si="7"/>
        <v>0.97679498379494789</v>
      </c>
      <c r="AT19" s="216">
        <f t="shared" si="8"/>
        <v>1.2538510821608391</v>
      </c>
      <c r="AU19" s="216">
        <f t="shared" si="9"/>
        <v>2.2360679774997898</v>
      </c>
      <c r="AV19" s="217">
        <f t="shared" si="10"/>
        <v>10.415801185754333</v>
      </c>
      <c r="AW19" s="216">
        <f t="shared" si="11"/>
        <v>0</v>
      </c>
      <c r="AX19" s="218">
        <f t="shared" si="12"/>
        <v>1.4696875479799241</v>
      </c>
      <c r="AY19" s="216">
        <f t="shared" si="13"/>
        <v>0.76851414128953044</v>
      </c>
      <c r="AZ19" s="217">
        <f t="shared" si="14"/>
        <v>3.5640070462657096</v>
      </c>
      <c r="BA19" s="216">
        <f t="shared" si="15"/>
        <v>0</v>
      </c>
      <c r="BB19" s="216">
        <f t="shared" si="16"/>
        <v>1.0084584063544275</v>
      </c>
      <c r="BC19" s="216">
        <f t="shared" si="17"/>
        <v>1</v>
      </c>
    </row>
    <row r="20" spans="1:55" ht="20.100000000000001" customHeight="1" x14ac:dyDescent="0.2">
      <c r="A20" s="45">
        <v>0.20833333333333301</v>
      </c>
      <c r="B20" s="451"/>
      <c r="C20" s="451"/>
      <c r="D20" s="451">
        <v>6.2</v>
      </c>
      <c r="E20" s="451">
        <v>60.1</v>
      </c>
      <c r="F20" s="41">
        <v>1943</v>
      </c>
      <c r="G20" s="37">
        <v>-5.5</v>
      </c>
      <c r="H20" s="37">
        <v>71</v>
      </c>
      <c r="I20" s="37">
        <v>21.8</v>
      </c>
      <c r="J20" s="41">
        <v>228</v>
      </c>
      <c r="K20" s="37">
        <v>13</v>
      </c>
      <c r="L20" s="451">
        <v>121</v>
      </c>
      <c r="M20" s="451">
        <v>221</v>
      </c>
      <c r="N20" s="451">
        <v>85</v>
      </c>
      <c r="O20" s="353">
        <v>50</v>
      </c>
      <c r="P20" s="353">
        <v>6</v>
      </c>
      <c r="Q20" s="353">
        <v>177.06</v>
      </c>
      <c r="R20" s="37"/>
      <c r="S20" s="508" t="str">
        <f t="shared" si="0"/>
        <v/>
      </c>
      <c r="T20" s="508"/>
      <c r="U20" s="508"/>
      <c r="V20" s="508"/>
      <c r="X20" s="45">
        <v>0.20833333333333301</v>
      </c>
      <c r="Y20" s="106"/>
      <c r="Z20" s="102"/>
      <c r="AA20" s="102"/>
      <c r="AB20" s="45" t="str">
        <f t="shared" si="18"/>
        <v/>
      </c>
      <c r="AC20" s="45" t="str">
        <f t="shared" si="1"/>
        <v/>
      </c>
      <c r="AD20" s="81"/>
      <c r="AE20" s="9" t="str">
        <f>IF(S20="","",IF(COUNTA(Z20:$Z$39)=1,IF(COUNTA(AD20:$AD$39)=1,""," ; "),IF(COUNTA(AD20:$AD$39)=1,IF(Z20="",""," ; ")," ; ")))</f>
        <v/>
      </c>
      <c r="AF20" s="9" t="str">
        <f t="shared" si="2"/>
        <v/>
      </c>
      <c r="AG20" s="90" t="str">
        <f t="shared" si="3"/>
        <v/>
      </c>
      <c r="AH20" s="204" t="s">
        <v>275</v>
      </c>
      <c r="AJ20" s="206">
        <f t="shared" si="19"/>
        <v>500</v>
      </c>
      <c r="AK20" s="206">
        <f t="shared" si="19"/>
        <v>100</v>
      </c>
      <c r="AL20" s="206">
        <f t="shared" si="19"/>
        <v>2</v>
      </c>
      <c r="AM20" s="213">
        <f t="shared" si="19"/>
        <v>0.875</v>
      </c>
      <c r="AN20" s="214">
        <f t="shared" si="19"/>
        <v>0.63607464142166403</v>
      </c>
      <c r="AO20" s="215">
        <f t="shared" si="4"/>
        <v>-14.7</v>
      </c>
      <c r="AP20" s="216">
        <f t="shared" si="5"/>
        <v>1</v>
      </c>
      <c r="AQ20" s="216">
        <f t="shared" si="6"/>
        <v>1</v>
      </c>
      <c r="AR20" s="215">
        <f t="shared" si="20"/>
        <v>158.47</v>
      </c>
      <c r="AS20" s="216">
        <f t="shared" si="7"/>
        <v>0.97679498379494789</v>
      </c>
      <c r="AT20" s="216">
        <f t="shared" si="8"/>
        <v>1.2538510821608391</v>
      </c>
      <c r="AU20" s="216">
        <f t="shared" si="9"/>
        <v>2.2360679774997898</v>
      </c>
      <c r="AV20" s="217">
        <f t="shared" si="10"/>
        <v>10.415801185754333</v>
      </c>
      <c r="AW20" s="216">
        <f t="shared" si="11"/>
        <v>0</v>
      </c>
      <c r="AX20" s="218">
        <f t="shared" si="12"/>
        <v>1.4696875479799241</v>
      </c>
      <c r="AY20" s="216">
        <f t="shared" si="13"/>
        <v>0.76851414128953044</v>
      </c>
      <c r="AZ20" s="217">
        <f t="shared" si="14"/>
        <v>3.5640070462657096</v>
      </c>
      <c r="BA20" s="216">
        <f t="shared" si="15"/>
        <v>0</v>
      </c>
      <c r="BB20" s="216">
        <f t="shared" si="16"/>
        <v>1.0084584063544275</v>
      </c>
      <c r="BC20" s="216">
        <f t="shared" si="17"/>
        <v>1</v>
      </c>
    </row>
    <row r="21" spans="1:55" ht="20.100000000000001" customHeight="1" x14ac:dyDescent="0.2">
      <c r="A21" s="45">
        <v>0.25</v>
      </c>
      <c r="B21" s="451"/>
      <c r="C21" s="451"/>
      <c r="D21" s="451">
        <v>6.6</v>
      </c>
      <c r="E21" s="451">
        <v>60.3</v>
      </c>
      <c r="F21" s="41">
        <v>1930</v>
      </c>
      <c r="G21" s="37">
        <v>-5.5</v>
      </c>
      <c r="H21" s="37">
        <v>71.099999999999994</v>
      </c>
      <c r="I21" s="37">
        <v>21.2</v>
      </c>
      <c r="J21" s="41">
        <v>229</v>
      </c>
      <c r="K21" s="37">
        <v>13</v>
      </c>
      <c r="L21" s="451">
        <v>122</v>
      </c>
      <c r="M21" s="451">
        <v>222</v>
      </c>
      <c r="N21" s="451">
        <v>85</v>
      </c>
      <c r="O21" s="353">
        <v>50</v>
      </c>
      <c r="P21" s="353">
        <v>5</v>
      </c>
      <c r="Q21" s="353">
        <v>161.77000000000001</v>
      </c>
      <c r="R21" s="37"/>
      <c r="S21" s="508" t="str">
        <f t="shared" si="0"/>
        <v/>
      </c>
      <c r="T21" s="508"/>
      <c r="U21" s="508"/>
      <c r="V21" s="508"/>
      <c r="X21" s="45">
        <v>0.25</v>
      </c>
      <c r="Y21" s="106"/>
      <c r="Z21" s="102"/>
      <c r="AA21" s="102"/>
      <c r="AB21" s="45" t="str">
        <f t="shared" si="18"/>
        <v/>
      </c>
      <c r="AC21" s="45" t="str">
        <f t="shared" si="1"/>
        <v/>
      </c>
      <c r="AD21" s="81"/>
      <c r="AE21" s="9" t="str">
        <f>IF(S21="","",IF(COUNTA(Z21:$Z$39)=1,IF(COUNTA(AD21:$AD$39)=1,""," ; "),IF(COUNTA(AD21:$AD$39)=1,IF(Z21="",""," ; ")," ; ")))</f>
        <v/>
      </c>
      <c r="AF21" s="9" t="str">
        <f t="shared" si="2"/>
        <v/>
      </c>
      <c r="AG21" s="90" t="str">
        <f t="shared" si="3"/>
        <v/>
      </c>
      <c r="AH21" s="204" t="s">
        <v>322</v>
      </c>
      <c r="AJ21" s="206">
        <f t="shared" si="19"/>
        <v>500</v>
      </c>
      <c r="AK21" s="206">
        <f t="shared" si="19"/>
        <v>100</v>
      </c>
      <c r="AL21" s="206">
        <f t="shared" si="19"/>
        <v>2</v>
      </c>
      <c r="AM21" s="213">
        <f t="shared" si="19"/>
        <v>0.875</v>
      </c>
      <c r="AN21" s="214">
        <f t="shared" si="19"/>
        <v>0.63607464142166403</v>
      </c>
      <c r="AO21" s="215">
        <f t="shared" si="4"/>
        <v>-14.7</v>
      </c>
      <c r="AP21" s="216">
        <f t="shared" si="5"/>
        <v>1</v>
      </c>
      <c r="AQ21" s="216">
        <f t="shared" si="6"/>
        <v>1</v>
      </c>
      <c r="AR21" s="215">
        <f t="shared" si="20"/>
        <v>158.47</v>
      </c>
      <c r="AS21" s="216">
        <f t="shared" si="7"/>
        <v>0.97679498379494789</v>
      </c>
      <c r="AT21" s="216">
        <f t="shared" si="8"/>
        <v>1.2538510821608391</v>
      </c>
      <c r="AU21" s="216">
        <f t="shared" si="9"/>
        <v>2.2360679774997898</v>
      </c>
      <c r="AV21" s="217">
        <f t="shared" si="10"/>
        <v>10.415801185754333</v>
      </c>
      <c r="AW21" s="216">
        <f t="shared" si="11"/>
        <v>0</v>
      </c>
      <c r="AX21" s="218">
        <f t="shared" si="12"/>
        <v>1.4696875479799241</v>
      </c>
      <c r="AY21" s="216">
        <f t="shared" si="13"/>
        <v>0.76851414128953044</v>
      </c>
      <c r="AZ21" s="217">
        <f t="shared" si="14"/>
        <v>3.5640070462657096</v>
      </c>
      <c r="BA21" s="216">
        <f t="shared" si="15"/>
        <v>0</v>
      </c>
      <c r="BB21" s="216">
        <f t="shared" si="16"/>
        <v>1.0084584063544275</v>
      </c>
      <c r="BC21" s="216">
        <f t="shared" si="17"/>
        <v>1</v>
      </c>
    </row>
    <row r="22" spans="1:55" ht="20.100000000000001" customHeight="1" x14ac:dyDescent="0.2">
      <c r="A22" s="45">
        <v>0.29166666666666702</v>
      </c>
      <c r="B22" s="451"/>
      <c r="C22" s="451"/>
      <c r="D22" s="451">
        <v>6.2</v>
      </c>
      <c r="E22" s="451">
        <v>60.6</v>
      </c>
      <c r="F22" s="41">
        <v>1941</v>
      </c>
      <c r="G22" s="37">
        <v>-5.5</v>
      </c>
      <c r="H22" s="37">
        <v>71.3</v>
      </c>
      <c r="I22" s="37">
        <v>21.8</v>
      </c>
      <c r="J22" s="41">
        <v>230</v>
      </c>
      <c r="K22" s="37">
        <v>13</v>
      </c>
      <c r="L22" s="451">
        <v>122</v>
      </c>
      <c r="M22" s="451">
        <v>223</v>
      </c>
      <c r="N22" s="451">
        <v>85</v>
      </c>
      <c r="O22" s="353">
        <v>50</v>
      </c>
      <c r="P22" s="353">
        <v>8</v>
      </c>
      <c r="Q22" s="353">
        <v>204.21</v>
      </c>
      <c r="R22" s="37"/>
      <c r="S22" s="508" t="str">
        <f t="shared" si="0"/>
        <v/>
      </c>
      <c r="T22" s="508"/>
      <c r="U22" s="508"/>
      <c r="V22" s="508"/>
      <c r="X22" s="45">
        <v>0.29166666666666702</v>
      </c>
      <c r="Y22" s="106"/>
      <c r="Z22" s="102"/>
      <c r="AA22" s="102"/>
      <c r="AB22" s="45" t="str">
        <f t="shared" si="18"/>
        <v/>
      </c>
      <c r="AC22" s="45" t="str">
        <f t="shared" si="1"/>
        <v/>
      </c>
      <c r="AD22" s="81"/>
      <c r="AE22" s="9" t="str">
        <f>IF(S22="","",IF(COUNTA(Z22:$Z$39)=1,IF(COUNTA(AD22:$AD$39)=1,""," ; "),IF(COUNTA(AD22:$AD$39)=1,IF(Z22="",""," ; ")," ; ")))</f>
        <v/>
      </c>
      <c r="AF22" s="9" t="str">
        <f t="shared" si="2"/>
        <v/>
      </c>
      <c r="AG22" s="90" t="str">
        <f t="shared" si="3"/>
        <v/>
      </c>
      <c r="AH22" s="204" t="s">
        <v>279</v>
      </c>
      <c r="AJ22" s="206">
        <f t="shared" si="19"/>
        <v>500</v>
      </c>
      <c r="AK22" s="206">
        <f t="shared" si="19"/>
        <v>100</v>
      </c>
      <c r="AL22" s="206">
        <f t="shared" si="19"/>
        <v>2</v>
      </c>
      <c r="AM22" s="213">
        <f t="shared" si="19"/>
        <v>0.875</v>
      </c>
      <c r="AN22" s="214">
        <f t="shared" si="19"/>
        <v>0.63607464142166403</v>
      </c>
      <c r="AO22" s="215">
        <f t="shared" si="4"/>
        <v>-14.7</v>
      </c>
      <c r="AP22" s="216">
        <f t="shared" si="5"/>
        <v>1</v>
      </c>
      <c r="AQ22" s="216">
        <f t="shared" si="6"/>
        <v>1</v>
      </c>
      <c r="AR22" s="215">
        <f t="shared" si="20"/>
        <v>158.47</v>
      </c>
      <c r="AS22" s="216">
        <f t="shared" si="7"/>
        <v>0.97679498379494789</v>
      </c>
      <c r="AT22" s="216">
        <f t="shared" si="8"/>
        <v>1.2538510821608391</v>
      </c>
      <c r="AU22" s="216">
        <f t="shared" si="9"/>
        <v>2.2360679774997898</v>
      </c>
      <c r="AV22" s="217">
        <f t="shared" si="10"/>
        <v>10.415801185754333</v>
      </c>
      <c r="AW22" s="216">
        <f t="shared" si="11"/>
        <v>0</v>
      </c>
      <c r="AX22" s="218">
        <f t="shared" si="12"/>
        <v>1.4696875479799241</v>
      </c>
      <c r="AY22" s="216">
        <f t="shared" si="13"/>
        <v>0.76851414128953044</v>
      </c>
      <c r="AZ22" s="217">
        <f t="shared" si="14"/>
        <v>3.5640070462657096</v>
      </c>
      <c r="BA22" s="216">
        <f t="shared" si="15"/>
        <v>0</v>
      </c>
      <c r="BB22" s="216">
        <f t="shared" si="16"/>
        <v>1.0084584063544275</v>
      </c>
      <c r="BC22" s="216">
        <f t="shared" si="17"/>
        <v>1</v>
      </c>
    </row>
    <row r="23" spans="1:55" ht="20.100000000000001" customHeight="1" x14ac:dyDescent="0.2">
      <c r="A23" s="45">
        <v>0.33333333333333298</v>
      </c>
      <c r="B23" s="451"/>
      <c r="C23" s="451"/>
      <c r="D23" s="451">
        <v>7.6</v>
      </c>
      <c r="E23" s="451">
        <v>62.9</v>
      </c>
      <c r="F23" s="41">
        <v>1955</v>
      </c>
      <c r="G23" s="37">
        <v>-5.5</v>
      </c>
      <c r="H23" s="37">
        <v>71.5</v>
      </c>
      <c r="I23" s="37">
        <v>21.9</v>
      </c>
      <c r="J23" s="41">
        <v>231</v>
      </c>
      <c r="K23" s="37">
        <v>13</v>
      </c>
      <c r="L23" s="451">
        <v>123</v>
      </c>
      <c r="M23" s="451">
        <v>225</v>
      </c>
      <c r="N23" s="451">
        <v>85</v>
      </c>
      <c r="O23" s="353">
        <v>50</v>
      </c>
      <c r="P23" s="353">
        <v>9</v>
      </c>
      <c r="Q23" s="353">
        <v>216.49</v>
      </c>
      <c r="R23" s="37"/>
      <c r="S23" s="508" t="str">
        <f t="shared" si="0"/>
        <v/>
      </c>
      <c r="T23" s="508"/>
      <c r="U23" s="508"/>
      <c r="V23" s="508"/>
      <c r="X23" s="45">
        <v>0.33333333333333298</v>
      </c>
      <c r="Y23" s="106"/>
      <c r="Z23" s="102"/>
      <c r="AA23" s="102"/>
      <c r="AB23" s="45" t="str">
        <f t="shared" si="18"/>
        <v/>
      </c>
      <c r="AC23" s="45" t="str">
        <f t="shared" si="1"/>
        <v/>
      </c>
      <c r="AD23" s="81"/>
      <c r="AE23" s="9" t="str">
        <f>IF(S23="","",IF(COUNTA(Z23:$Z$39)=1,IF(COUNTA(AD23:$AD$39)=1,""," ; "),IF(COUNTA(AD23:$AD$39)=1,IF(Z23="",""," ; ")," ; ")))</f>
        <v/>
      </c>
      <c r="AF23" s="9" t="str">
        <f t="shared" si="2"/>
        <v/>
      </c>
      <c r="AG23" s="90" t="str">
        <f t="shared" si="3"/>
        <v/>
      </c>
      <c r="AH23" s="204" t="s">
        <v>274</v>
      </c>
      <c r="AJ23" s="206">
        <f t="shared" si="19"/>
        <v>500</v>
      </c>
      <c r="AK23" s="206">
        <f t="shared" si="19"/>
        <v>100</v>
      </c>
      <c r="AL23" s="206">
        <f t="shared" si="19"/>
        <v>2</v>
      </c>
      <c r="AM23" s="213">
        <f t="shared" si="19"/>
        <v>0.875</v>
      </c>
      <c r="AN23" s="214">
        <f t="shared" si="19"/>
        <v>0.63607464142166403</v>
      </c>
      <c r="AO23" s="215">
        <f t="shared" si="4"/>
        <v>-14.7</v>
      </c>
      <c r="AP23" s="216">
        <f t="shared" si="5"/>
        <v>1</v>
      </c>
      <c r="AQ23" s="216">
        <f t="shared" si="6"/>
        <v>1</v>
      </c>
      <c r="AR23" s="215">
        <f t="shared" si="20"/>
        <v>158.47</v>
      </c>
      <c r="AS23" s="216">
        <f t="shared" si="7"/>
        <v>0.97679498379494789</v>
      </c>
      <c r="AT23" s="216">
        <f t="shared" si="8"/>
        <v>1.2538510821608391</v>
      </c>
      <c r="AU23" s="216">
        <f t="shared" si="9"/>
        <v>2.2360679774997898</v>
      </c>
      <c r="AV23" s="217">
        <f t="shared" si="10"/>
        <v>10.415801185754333</v>
      </c>
      <c r="AW23" s="216">
        <f t="shared" si="11"/>
        <v>0</v>
      </c>
      <c r="AX23" s="218">
        <f t="shared" si="12"/>
        <v>1.4696875479799241</v>
      </c>
      <c r="AY23" s="216">
        <f t="shared" si="13"/>
        <v>0.76851414128953044</v>
      </c>
      <c r="AZ23" s="217">
        <f t="shared" si="14"/>
        <v>3.5640070462657096</v>
      </c>
      <c r="BA23" s="216">
        <f t="shared" si="15"/>
        <v>0</v>
      </c>
      <c r="BB23" s="216">
        <f t="shared" si="16"/>
        <v>1.0084584063544275</v>
      </c>
      <c r="BC23" s="216">
        <f t="shared" si="17"/>
        <v>1</v>
      </c>
    </row>
    <row r="24" spans="1:55" ht="20.100000000000001" customHeight="1" x14ac:dyDescent="0.2">
      <c r="A24" s="45">
        <v>0.375</v>
      </c>
      <c r="B24" s="451"/>
      <c r="C24" s="451"/>
      <c r="D24" s="451">
        <v>7.9</v>
      </c>
      <c r="E24" s="451">
        <v>62.3</v>
      </c>
      <c r="F24" s="41">
        <v>1936</v>
      </c>
      <c r="G24" s="37">
        <v>-5.5</v>
      </c>
      <c r="H24" s="37">
        <v>71.3</v>
      </c>
      <c r="I24" s="37">
        <v>21.6</v>
      </c>
      <c r="J24" s="41">
        <v>232</v>
      </c>
      <c r="K24" s="37">
        <v>13</v>
      </c>
      <c r="L24" s="451">
        <v>123</v>
      </c>
      <c r="M24" s="451">
        <v>225</v>
      </c>
      <c r="N24" s="451">
        <v>85</v>
      </c>
      <c r="O24" s="353">
        <v>50</v>
      </c>
      <c r="P24" s="353">
        <v>8</v>
      </c>
      <c r="Q24" s="353">
        <v>204.21</v>
      </c>
      <c r="R24" s="37"/>
      <c r="S24" s="508" t="str">
        <f t="shared" si="0"/>
        <v/>
      </c>
      <c r="T24" s="508"/>
      <c r="U24" s="508"/>
      <c r="V24" s="508"/>
      <c r="X24" s="45">
        <v>0.375</v>
      </c>
      <c r="Y24" s="106"/>
      <c r="Z24" s="102"/>
      <c r="AA24" s="102"/>
      <c r="AB24" s="45" t="str">
        <f t="shared" si="18"/>
        <v/>
      </c>
      <c r="AC24" s="45" t="str">
        <f t="shared" si="1"/>
        <v/>
      </c>
      <c r="AD24" s="81"/>
      <c r="AE24" s="9" t="str">
        <f>IF(S24="","",IF(COUNTA(Z24:$Z$39)=1,IF(COUNTA(AD24:$AD$39)=1,""," ; "),IF(COUNTA(AD24:$AD$39)=1,IF(Z24="",""," ; ")," ; ")))</f>
        <v/>
      </c>
      <c r="AF24" s="9" t="str">
        <f t="shared" si="2"/>
        <v/>
      </c>
      <c r="AG24" s="90" t="str">
        <f t="shared" si="3"/>
        <v/>
      </c>
      <c r="AH24" s="204" t="s">
        <v>307</v>
      </c>
      <c r="AJ24" s="206">
        <f t="shared" si="19"/>
        <v>500</v>
      </c>
      <c r="AK24" s="206">
        <f t="shared" si="19"/>
        <v>100</v>
      </c>
      <c r="AL24" s="206">
        <f t="shared" si="19"/>
        <v>2</v>
      </c>
      <c r="AM24" s="213">
        <f t="shared" si="19"/>
        <v>0.875</v>
      </c>
      <c r="AN24" s="214">
        <f t="shared" si="19"/>
        <v>0.63607464142166403</v>
      </c>
      <c r="AO24" s="215">
        <f t="shared" si="4"/>
        <v>-14.7</v>
      </c>
      <c r="AP24" s="216">
        <f t="shared" si="5"/>
        <v>1</v>
      </c>
      <c r="AQ24" s="216">
        <f t="shared" si="6"/>
        <v>1</v>
      </c>
      <c r="AR24" s="215">
        <f t="shared" si="20"/>
        <v>158.47</v>
      </c>
      <c r="AS24" s="216">
        <f t="shared" si="7"/>
        <v>0.97679498379494789</v>
      </c>
      <c r="AT24" s="216">
        <f t="shared" si="8"/>
        <v>1.2538510821608391</v>
      </c>
      <c r="AU24" s="216">
        <f t="shared" si="9"/>
        <v>2.2360679774997898</v>
      </c>
      <c r="AV24" s="217">
        <f t="shared" si="10"/>
        <v>10.415801185754333</v>
      </c>
      <c r="AW24" s="216">
        <f t="shared" si="11"/>
        <v>0</v>
      </c>
      <c r="AX24" s="218">
        <f t="shared" si="12"/>
        <v>1.4696875479799241</v>
      </c>
      <c r="AY24" s="216">
        <f t="shared" si="13"/>
        <v>0.76851414128953044</v>
      </c>
      <c r="AZ24" s="217">
        <f t="shared" si="14"/>
        <v>3.5640070462657096</v>
      </c>
      <c r="BA24" s="216">
        <f t="shared" si="15"/>
        <v>0</v>
      </c>
      <c r="BB24" s="216">
        <f t="shared" si="16"/>
        <v>1.0084584063544275</v>
      </c>
      <c r="BC24" s="216">
        <f t="shared" si="17"/>
        <v>1</v>
      </c>
    </row>
    <row r="25" spans="1:55" ht="20.100000000000001" customHeight="1" x14ac:dyDescent="0.2">
      <c r="A25" s="45">
        <v>0.41666666666666702</v>
      </c>
      <c r="B25" s="451"/>
      <c r="C25" s="451"/>
      <c r="D25" s="451">
        <v>7.3</v>
      </c>
      <c r="E25" s="451">
        <v>65.099999999999994</v>
      </c>
      <c r="F25" s="41">
        <v>1950</v>
      </c>
      <c r="G25" s="37">
        <v>-5.5</v>
      </c>
      <c r="H25" s="37">
        <v>71.599999999999994</v>
      </c>
      <c r="I25" s="37">
        <v>21.3</v>
      </c>
      <c r="J25" s="41">
        <v>233</v>
      </c>
      <c r="K25" s="37">
        <v>13</v>
      </c>
      <c r="L25" s="451">
        <v>125</v>
      </c>
      <c r="M25" s="451">
        <v>227</v>
      </c>
      <c r="N25" s="451">
        <v>85</v>
      </c>
      <c r="O25" s="353">
        <v>50</v>
      </c>
      <c r="P25" s="353">
        <v>7</v>
      </c>
      <c r="Q25" s="353">
        <v>191.12</v>
      </c>
      <c r="R25" s="37"/>
      <c r="S25" s="508" t="str">
        <f t="shared" si="0"/>
        <v/>
      </c>
      <c r="T25" s="508"/>
      <c r="U25" s="508"/>
      <c r="V25" s="508"/>
      <c r="X25" s="45">
        <v>0.41666666666666702</v>
      </c>
      <c r="Y25" s="106"/>
      <c r="Z25" s="102"/>
      <c r="AA25" s="102"/>
      <c r="AB25" s="45" t="str">
        <f t="shared" si="18"/>
        <v/>
      </c>
      <c r="AC25" s="45" t="str">
        <f t="shared" si="1"/>
        <v/>
      </c>
      <c r="AD25" s="81"/>
      <c r="AE25" s="9" t="str">
        <f>IF(S25="","",IF(COUNTA(Z25:$Z$39)=1,IF(COUNTA(AD25:$AD$39)=1,""," ; "),IF(COUNTA(AD25:$AD$39)=1,IF(Z25="",""," ; ")," ; ")))</f>
        <v/>
      </c>
      <c r="AF25" s="9" t="str">
        <f t="shared" si="2"/>
        <v/>
      </c>
      <c r="AG25" s="90" t="str">
        <f t="shared" si="3"/>
        <v/>
      </c>
      <c r="AH25" s="204" t="s">
        <v>225</v>
      </c>
      <c r="AJ25" s="206">
        <f t="shared" si="19"/>
        <v>500</v>
      </c>
      <c r="AK25" s="206">
        <f t="shared" si="19"/>
        <v>100</v>
      </c>
      <c r="AL25" s="206">
        <f t="shared" si="19"/>
        <v>2</v>
      </c>
      <c r="AM25" s="213">
        <f t="shared" si="19"/>
        <v>0.875</v>
      </c>
      <c r="AN25" s="214">
        <f t="shared" si="19"/>
        <v>0.63607464142166403</v>
      </c>
      <c r="AO25" s="215">
        <f t="shared" si="4"/>
        <v>-14.7</v>
      </c>
      <c r="AP25" s="216">
        <f t="shared" si="5"/>
        <v>1</v>
      </c>
      <c r="AQ25" s="216">
        <f t="shared" si="6"/>
        <v>1</v>
      </c>
      <c r="AR25" s="215">
        <f t="shared" si="20"/>
        <v>158.47</v>
      </c>
      <c r="AS25" s="216">
        <f t="shared" si="7"/>
        <v>0.97679498379494789</v>
      </c>
      <c r="AT25" s="216">
        <f t="shared" si="8"/>
        <v>1.2538510821608391</v>
      </c>
      <c r="AU25" s="216">
        <f t="shared" si="9"/>
        <v>2.2360679774997898</v>
      </c>
      <c r="AV25" s="217">
        <f t="shared" si="10"/>
        <v>10.415801185754333</v>
      </c>
      <c r="AW25" s="216">
        <f t="shared" si="11"/>
        <v>0</v>
      </c>
      <c r="AX25" s="218">
        <f t="shared" si="12"/>
        <v>1.4696875479799241</v>
      </c>
      <c r="AY25" s="216">
        <f t="shared" si="13"/>
        <v>0.76851414128953044</v>
      </c>
      <c r="AZ25" s="217">
        <f t="shared" si="14"/>
        <v>3.5640070462657096</v>
      </c>
      <c r="BA25" s="216">
        <f t="shared" si="15"/>
        <v>0</v>
      </c>
      <c r="BB25" s="216">
        <f t="shared" si="16"/>
        <v>1.0084584063544275</v>
      </c>
      <c r="BC25" s="216">
        <f t="shared" si="17"/>
        <v>1</v>
      </c>
    </row>
    <row r="26" spans="1:55" ht="20.100000000000001" customHeight="1" x14ac:dyDescent="0.2">
      <c r="A26" s="45">
        <v>0.45833333333333298</v>
      </c>
      <c r="B26" s="451"/>
      <c r="C26" s="451"/>
      <c r="D26" s="451">
        <v>7.1</v>
      </c>
      <c r="E26" s="451">
        <v>65.5</v>
      </c>
      <c r="F26" s="41">
        <v>1931</v>
      </c>
      <c r="G26" s="37">
        <v>-5.5</v>
      </c>
      <c r="H26" s="37">
        <v>71.900000000000006</v>
      </c>
      <c r="I26" s="37">
        <v>21</v>
      </c>
      <c r="J26" s="41">
        <v>234</v>
      </c>
      <c r="K26" s="37">
        <v>13</v>
      </c>
      <c r="L26" s="451">
        <v>125</v>
      </c>
      <c r="M26" s="451">
        <v>227</v>
      </c>
      <c r="N26" s="451">
        <v>85</v>
      </c>
      <c r="O26" s="353">
        <v>50</v>
      </c>
      <c r="P26" s="353">
        <v>8</v>
      </c>
      <c r="Q26" s="353">
        <v>204.21</v>
      </c>
      <c r="R26" s="37"/>
      <c r="S26" s="508" t="str">
        <f t="shared" si="0"/>
        <v/>
      </c>
      <c r="T26" s="508"/>
      <c r="U26" s="508"/>
      <c r="V26" s="508"/>
      <c r="X26" s="45">
        <v>0.45833333333333298</v>
      </c>
      <c r="Y26" s="106"/>
      <c r="Z26" s="102"/>
      <c r="AA26" s="102"/>
      <c r="AB26" s="45" t="str">
        <f t="shared" si="18"/>
        <v/>
      </c>
      <c r="AC26" s="45" t="str">
        <f t="shared" si="1"/>
        <v/>
      </c>
      <c r="AD26" s="81"/>
      <c r="AE26" s="9" t="str">
        <f>IF(S26="","",IF(COUNTA(Z26:$Z$39)=1,IF(COUNTA(AD26:$AD$39)=1,""," ; "),IF(COUNTA(AD26:$AD$39)=1,IF(Z26="",""," ; ")," ; ")))</f>
        <v/>
      </c>
      <c r="AF26" s="9" t="str">
        <f t="shared" si="2"/>
        <v/>
      </c>
      <c r="AG26" s="90" t="str">
        <f t="shared" si="3"/>
        <v/>
      </c>
      <c r="AH26" s="204" t="s">
        <v>287</v>
      </c>
      <c r="AJ26" s="206">
        <f t="shared" si="19"/>
        <v>500</v>
      </c>
      <c r="AK26" s="206">
        <f t="shared" si="19"/>
        <v>100</v>
      </c>
      <c r="AL26" s="206">
        <f t="shared" si="19"/>
        <v>2</v>
      </c>
      <c r="AM26" s="213">
        <f t="shared" si="19"/>
        <v>0.875</v>
      </c>
      <c r="AN26" s="214">
        <f t="shared" si="19"/>
        <v>0.63607464142166403</v>
      </c>
      <c r="AO26" s="215">
        <f t="shared" si="4"/>
        <v>-14.7</v>
      </c>
      <c r="AP26" s="216">
        <f t="shared" si="5"/>
        <v>1</v>
      </c>
      <c r="AQ26" s="216">
        <f t="shared" si="6"/>
        <v>1</v>
      </c>
      <c r="AR26" s="215">
        <f t="shared" si="20"/>
        <v>158.47</v>
      </c>
      <c r="AS26" s="216">
        <f t="shared" si="7"/>
        <v>0.97679498379494789</v>
      </c>
      <c r="AT26" s="216">
        <f t="shared" si="8"/>
        <v>1.2538510821608391</v>
      </c>
      <c r="AU26" s="216">
        <f t="shared" si="9"/>
        <v>2.2360679774997898</v>
      </c>
      <c r="AV26" s="217">
        <f t="shared" si="10"/>
        <v>10.415801185754333</v>
      </c>
      <c r="AW26" s="216">
        <f t="shared" si="11"/>
        <v>0</v>
      </c>
      <c r="AX26" s="218">
        <f t="shared" si="12"/>
        <v>1.4696875479799241</v>
      </c>
      <c r="AY26" s="216">
        <f t="shared" si="13"/>
        <v>0.76851414128953044</v>
      </c>
      <c r="AZ26" s="217">
        <f t="shared" si="14"/>
        <v>3.5640070462657096</v>
      </c>
      <c r="BA26" s="216">
        <f t="shared" si="15"/>
        <v>0</v>
      </c>
      <c r="BB26" s="216">
        <f t="shared" si="16"/>
        <v>1.0084584063544275</v>
      </c>
      <c r="BC26" s="216">
        <f t="shared" si="17"/>
        <v>1</v>
      </c>
    </row>
    <row r="27" spans="1:55" ht="20.100000000000001" customHeight="1" x14ac:dyDescent="0.2">
      <c r="A27" s="45">
        <v>0.5</v>
      </c>
      <c r="B27" s="451"/>
      <c r="C27" s="451"/>
      <c r="D27" s="451">
        <v>7.5</v>
      </c>
      <c r="E27" s="451">
        <v>63.6</v>
      </c>
      <c r="F27" s="41">
        <v>1983</v>
      </c>
      <c r="G27" s="37">
        <v>-5.5</v>
      </c>
      <c r="H27" s="37">
        <v>71.5</v>
      </c>
      <c r="I27" s="37">
        <v>21.1</v>
      </c>
      <c r="J27" s="41">
        <v>235</v>
      </c>
      <c r="K27" s="37">
        <v>13</v>
      </c>
      <c r="L27" s="451">
        <v>127</v>
      </c>
      <c r="M27" s="451">
        <v>229</v>
      </c>
      <c r="N27" s="451">
        <v>85</v>
      </c>
      <c r="O27" s="353">
        <v>55</v>
      </c>
      <c r="P27" s="353">
        <v>8</v>
      </c>
      <c r="Q27" s="353">
        <v>212.06</v>
      </c>
      <c r="R27" s="37"/>
      <c r="S27" s="508" t="str">
        <f t="shared" si="0"/>
        <v/>
      </c>
      <c r="T27" s="508"/>
      <c r="U27" s="508"/>
      <c r="V27" s="508"/>
      <c r="X27" s="45">
        <v>0.5</v>
      </c>
      <c r="Y27" s="106"/>
      <c r="Z27" s="102"/>
      <c r="AA27" s="102"/>
      <c r="AB27" s="45" t="str">
        <f t="shared" si="18"/>
        <v/>
      </c>
      <c r="AC27" s="45" t="str">
        <f t="shared" si="1"/>
        <v/>
      </c>
      <c r="AD27" s="81"/>
      <c r="AE27" s="9" t="str">
        <f>IF(S27="","",IF(COUNTA(Z27:$Z$39)=1,IF(COUNTA(AD27:$AD$39)=1,""," ; "),IF(COUNTA(AD27:$AD$39)=1,IF(Z27="",""," ; ")," ; ")))</f>
        <v/>
      </c>
      <c r="AF27" s="9" t="str">
        <f t="shared" si="2"/>
        <v/>
      </c>
      <c r="AG27" s="90" t="str">
        <f t="shared" si="3"/>
        <v/>
      </c>
      <c r="AH27" s="204" t="s">
        <v>276</v>
      </c>
      <c r="AJ27" s="206">
        <f t="shared" si="19"/>
        <v>500</v>
      </c>
      <c r="AK27" s="206">
        <f t="shared" si="19"/>
        <v>100</v>
      </c>
      <c r="AL27" s="206">
        <f t="shared" si="19"/>
        <v>2</v>
      </c>
      <c r="AM27" s="213">
        <f t="shared" si="19"/>
        <v>0.875</v>
      </c>
      <c r="AN27" s="214">
        <f t="shared" si="19"/>
        <v>0.63607464142166403</v>
      </c>
      <c r="AO27" s="215">
        <f t="shared" si="4"/>
        <v>-14.7</v>
      </c>
      <c r="AP27" s="216">
        <f t="shared" si="5"/>
        <v>1</v>
      </c>
      <c r="AQ27" s="216">
        <f t="shared" si="6"/>
        <v>1</v>
      </c>
      <c r="AR27" s="215">
        <f t="shared" si="20"/>
        <v>158.47</v>
      </c>
      <c r="AS27" s="216">
        <f t="shared" si="7"/>
        <v>0.97679498379494789</v>
      </c>
      <c r="AT27" s="216">
        <f t="shared" si="8"/>
        <v>1.2538510821608391</v>
      </c>
      <c r="AU27" s="216">
        <f t="shared" si="9"/>
        <v>2.2360679774997898</v>
      </c>
      <c r="AV27" s="217">
        <f t="shared" si="10"/>
        <v>10.415801185754333</v>
      </c>
      <c r="AW27" s="216">
        <f t="shared" si="11"/>
        <v>0</v>
      </c>
      <c r="AX27" s="218">
        <f t="shared" si="12"/>
        <v>1.4696875479799241</v>
      </c>
      <c r="AY27" s="216">
        <f t="shared" si="13"/>
        <v>0.76851414128953044</v>
      </c>
      <c r="AZ27" s="217">
        <f t="shared" si="14"/>
        <v>3.5640070462657096</v>
      </c>
      <c r="BA27" s="216">
        <f t="shared" si="15"/>
        <v>0</v>
      </c>
      <c r="BB27" s="216">
        <f t="shared" si="16"/>
        <v>1.0084584063544275</v>
      </c>
      <c r="BC27" s="216">
        <f t="shared" si="17"/>
        <v>1</v>
      </c>
    </row>
    <row r="28" spans="1:55" ht="20.100000000000001" customHeight="1" x14ac:dyDescent="0.2">
      <c r="A28" s="45">
        <v>0.54166666666666696</v>
      </c>
      <c r="B28" s="451"/>
      <c r="C28" s="451"/>
      <c r="D28" s="451">
        <v>6.4</v>
      </c>
      <c r="E28" s="451">
        <v>59.3</v>
      </c>
      <c r="F28" s="41">
        <v>1945</v>
      </c>
      <c r="G28" s="37">
        <v>-5.5</v>
      </c>
      <c r="H28" s="37">
        <v>71.3</v>
      </c>
      <c r="I28" s="37">
        <v>21.5</v>
      </c>
      <c r="J28" s="41">
        <v>236</v>
      </c>
      <c r="K28" s="37">
        <v>13</v>
      </c>
      <c r="L28" s="451">
        <v>127</v>
      </c>
      <c r="M28" s="451">
        <v>229</v>
      </c>
      <c r="N28" s="451">
        <v>85</v>
      </c>
      <c r="O28" s="353">
        <v>55</v>
      </c>
      <c r="P28" s="353">
        <v>10</v>
      </c>
      <c r="Q28" s="353">
        <v>236.88</v>
      </c>
      <c r="R28" s="37"/>
      <c r="S28" s="508" t="str">
        <f t="shared" si="0"/>
        <v/>
      </c>
      <c r="T28" s="508"/>
      <c r="U28" s="508"/>
      <c r="V28" s="508"/>
      <c r="X28" s="45">
        <v>0.54166666666666696</v>
      </c>
      <c r="Y28" s="106"/>
      <c r="Z28" s="102"/>
      <c r="AA28" s="102"/>
      <c r="AB28" s="45" t="str">
        <f t="shared" si="18"/>
        <v/>
      </c>
      <c r="AC28" s="45" t="str">
        <f t="shared" si="1"/>
        <v/>
      </c>
      <c r="AD28" s="81"/>
      <c r="AE28" s="9" t="str">
        <f>IF(S28="","",IF(COUNTA(Z28:$Z$39)=1,IF(COUNTA(AD28:$AD$39)=1,""," ; "),IF(COUNTA(AD28:$AD$39)=1,IF(Z28="",""," ; ")," ; ")))</f>
        <v/>
      </c>
      <c r="AF28" s="9" t="str">
        <f t="shared" si="2"/>
        <v/>
      </c>
      <c r="AG28" s="90" t="str">
        <f t="shared" si="3"/>
        <v/>
      </c>
      <c r="AH28" s="204" t="s">
        <v>278</v>
      </c>
      <c r="AJ28" s="206">
        <f t="shared" si="19"/>
        <v>500</v>
      </c>
      <c r="AK28" s="206">
        <f t="shared" si="19"/>
        <v>100</v>
      </c>
      <c r="AL28" s="206">
        <f t="shared" si="19"/>
        <v>2</v>
      </c>
      <c r="AM28" s="213">
        <f t="shared" si="19"/>
        <v>0.875</v>
      </c>
      <c r="AN28" s="214">
        <f t="shared" si="19"/>
        <v>0.63607464142166403</v>
      </c>
      <c r="AO28" s="215">
        <f t="shared" si="4"/>
        <v>-14.7</v>
      </c>
      <c r="AP28" s="216">
        <f t="shared" si="5"/>
        <v>1</v>
      </c>
      <c r="AQ28" s="216">
        <f t="shared" si="6"/>
        <v>1</v>
      </c>
      <c r="AR28" s="215">
        <f t="shared" si="20"/>
        <v>158.47</v>
      </c>
      <c r="AS28" s="216">
        <f t="shared" si="7"/>
        <v>0.97679498379494789</v>
      </c>
      <c r="AT28" s="216">
        <f t="shared" si="8"/>
        <v>1.2538510821608391</v>
      </c>
      <c r="AU28" s="216">
        <f t="shared" si="9"/>
        <v>2.2360679774997898</v>
      </c>
      <c r="AV28" s="217">
        <f t="shared" si="10"/>
        <v>10.415801185754333</v>
      </c>
      <c r="AW28" s="216">
        <f t="shared" si="11"/>
        <v>0</v>
      </c>
      <c r="AX28" s="218">
        <f t="shared" si="12"/>
        <v>1.4696875479799241</v>
      </c>
      <c r="AY28" s="216">
        <f t="shared" si="13"/>
        <v>0.76851414128953044</v>
      </c>
      <c r="AZ28" s="217">
        <f t="shared" si="14"/>
        <v>3.5640070462657096</v>
      </c>
      <c r="BA28" s="216">
        <f t="shared" si="15"/>
        <v>0</v>
      </c>
      <c r="BB28" s="216">
        <f t="shared" si="16"/>
        <v>1.0084584063544275</v>
      </c>
      <c r="BC28" s="216">
        <f t="shared" si="17"/>
        <v>1</v>
      </c>
    </row>
    <row r="29" spans="1:55" ht="20.100000000000001" customHeight="1" x14ac:dyDescent="0.2">
      <c r="A29" s="45">
        <v>0.58333333333333304</v>
      </c>
      <c r="B29" s="451"/>
      <c r="C29" s="451"/>
      <c r="D29" s="451">
        <v>6.6</v>
      </c>
      <c r="E29" s="451">
        <v>59.9</v>
      </c>
      <c r="F29" s="41">
        <v>1936</v>
      </c>
      <c r="G29" s="37">
        <v>-5.5</v>
      </c>
      <c r="H29" s="37">
        <v>71</v>
      </c>
      <c r="I29" s="37">
        <v>21.8</v>
      </c>
      <c r="J29" s="41">
        <v>237</v>
      </c>
      <c r="K29" s="37">
        <v>13</v>
      </c>
      <c r="L29" s="451">
        <v>129</v>
      </c>
      <c r="M29" s="451">
        <v>229</v>
      </c>
      <c r="N29" s="451">
        <v>85</v>
      </c>
      <c r="O29" s="353">
        <v>55</v>
      </c>
      <c r="P29" s="353">
        <v>11</v>
      </c>
      <c r="Q29" s="353">
        <v>248.35</v>
      </c>
      <c r="R29" s="37"/>
      <c r="S29" s="508" t="str">
        <f t="shared" si="0"/>
        <v/>
      </c>
      <c r="T29" s="508"/>
      <c r="U29" s="508"/>
      <c r="V29" s="508"/>
      <c r="X29" s="45">
        <v>0.58333333333333304</v>
      </c>
      <c r="Y29" s="106"/>
      <c r="Z29" s="102"/>
      <c r="AA29" s="102"/>
      <c r="AB29" s="45" t="str">
        <f t="shared" si="18"/>
        <v/>
      </c>
      <c r="AC29" s="45" t="str">
        <f t="shared" si="1"/>
        <v/>
      </c>
      <c r="AD29" s="81"/>
      <c r="AE29" s="9" t="str">
        <f>IF(S29="","",IF(COUNTA(Z29:$Z$39)=1,IF(COUNTA(AD29:$AD$39)=1,""," ; "),IF(COUNTA(AD29:$AD$39)=1,IF(Z29="",""," ; ")," ; ")))</f>
        <v/>
      </c>
      <c r="AF29" s="9" t="str">
        <f t="shared" si="2"/>
        <v/>
      </c>
      <c r="AG29" s="90" t="str">
        <f t="shared" si="3"/>
        <v/>
      </c>
      <c r="AH29" s="204" t="s">
        <v>224</v>
      </c>
      <c r="AJ29" s="206">
        <f t="shared" si="19"/>
        <v>500</v>
      </c>
      <c r="AK29" s="206">
        <f t="shared" si="19"/>
        <v>100</v>
      </c>
      <c r="AL29" s="206">
        <f t="shared" si="19"/>
        <v>2</v>
      </c>
      <c r="AM29" s="213">
        <f t="shared" si="19"/>
        <v>0.875</v>
      </c>
      <c r="AN29" s="214">
        <f t="shared" si="19"/>
        <v>0.63607464142166403</v>
      </c>
      <c r="AO29" s="215">
        <f t="shared" si="4"/>
        <v>-14.7</v>
      </c>
      <c r="AP29" s="216">
        <f t="shared" si="5"/>
        <v>1</v>
      </c>
      <c r="AQ29" s="216">
        <f t="shared" si="6"/>
        <v>1</v>
      </c>
      <c r="AR29" s="215">
        <f t="shared" si="20"/>
        <v>158.47</v>
      </c>
      <c r="AS29" s="216">
        <f t="shared" si="7"/>
        <v>0.97679498379494789</v>
      </c>
      <c r="AT29" s="216">
        <f t="shared" si="8"/>
        <v>1.2538510821608391</v>
      </c>
      <c r="AU29" s="216">
        <f t="shared" si="9"/>
        <v>2.2360679774997898</v>
      </c>
      <c r="AV29" s="217">
        <f t="shared" si="10"/>
        <v>10.415801185754333</v>
      </c>
      <c r="AW29" s="216">
        <f t="shared" si="11"/>
        <v>0</v>
      </c>
      <c r="AX29" s="218">
        <f t="shared" si="12"/>
        <v>1.4696875479799241</v>
      </c>
      <c r="AY29" s="216">
        <f t="shared" si="13"/>
        <v>0.76851414128953044</v>
      </c>
      <c r="AZ29" s="217">
        <f t="shared" si="14"/>
        <v>3.5640070462657096</v>
      </c>
      <c r="BA29" s="216">
        <f t="shared" si="15"/>
        <v>0</v>
      </c>
      <c r="BB29" s="216">
        <f t="shared" si="16"/>
        <v>1.0084584063544275</v>
      </c>
      <c r="BC29" s="216">
        <f t="shared" si="17"/>
        <v>1</v>
      </c>
    </row>
    <row r="30" spans="1:55" ht="20.100000000000001" customHeight="1" x14ac:dyDescent="0.2">
      <c r="A30" s="45">
        <v>0.625</v>
      </c>
      <c r="B30" s="451"/>
      <c r="C30" s="451"/>
      <c r="D30" s="451">
        <v>6.3</v>
      </c>
      <c r="E30" s="451">
        <v>59.7</v>
      </c>
      <c r="F30" s="41">
        <v>1963</v>
      </c>
      <c r="G30" s="37">
        <v>-5.5</v>
      </c>
      <c r="H30" s="37">
        <v>71.400000000000006</v>
      </c>
      <c r="I30" s="37">
        <v>21.6</v>
      </c>
      <c r="J30" s="41">
        <v>238</v>
      </c>
      <c r="K30" s="37">
        <v>13</v>
      </c>
      <c r="L30" s="451">
        <v>129</v>
      </c>
      <c r="M30" s="451">
        <v>226</v>
      </c>
      <c r="N30" s="451">
        <v>85</v>
      </c>
      <c r="O30" s="353">
        <v>55</v>
      </c>
      <c r="P30" s="353">
        <v>11</v>
      </c>
      <c r="Q30" s="353">
        <v>248.35</v>
      </c>
      <c r="R30" s="37"/>
      <c r="S30" s="508" t="str">
        <f t="shared" si="0"/>
        <v/>
      </c>
      <c r="T30" s="508"/>
      <c r="U30" s="508"/>
      <c r="V30" s="508"/>
      <c r="X30" s="45">
        <v>0.625</v>
      </c>
      <c r="Y30" s="106"/>
      <c r="Z30" s="102"/>
      <c r="AA30" s="102"/>
      <c r="AB30" s="45" t="str">
        <f t="shared" si="18"/>
        <v/>
      </c>
      <c r="AC30" s="45" t="str">
        <f t="shared" si="1"/>
        <v/>
      </c>
      <c r="AD30" s="81"/>
      <c r="AE30" s="9" t="str">
        <f>IF(S30="","",IF(COUNTA(Z30:$Z$39)=1,IF(COUNTA(AD30:$AD$39)=1,""," ; "),IF(COUNTA(AD30:$AD$39)=1,IF(Z30="",""," ; ")," ; ")))</f>
        <v/>
      </c>
      <c r="AF30" s="9" t="str">
        <f t="shared" si="2"/>
        <v/>
      </c>
      <c r="AG30" s="90" t="str">
        <f t="shared" si="3"/>
        <v/>
      </c>
      <c r="AH30" s="204" t="s">
        <v>260</v>
      </c>
      <c r="AJ30" s="206">
        <f t="shared" si="19"/>
        <v>500</v>
      </c>
      <c r="AK30" s="206">
        <f t="shared" si="19"/>
        <v>100</v>
      </c>
      <c r="AL30" s="206">
        <f t="shared" si="19"/>
        <v>2</v>
      </c>
      <c r="AM30" s="213">
        <f t="shared" si="19"/>
        <v>0.875</v>
      </c>
      <c r="AN30" s="214">
        <f t="shared" si="19"/>
        <v>0.63607464142166403</v>
      </c>
      <c r="AO30" s="215">
        <f t="shared" si="4"/>
        <v>-14.7</v>
      </c>
      <c r="AP30" s="216">
        <f t="shared" si="5"/>
        <v>1</v>
      </c>
      <c r="AQ30" s="216">
        <f t="shared" si="6"/>
        <v>1</v>
      </c>
      <c r="AR30" s="215">
        <f t="shared" si="20"/>
        <v>158.47</v>
      </c>
      <c r="AS30" s="216">
        <f t="shared" si="7"/>
        <v>0.97679498379494789</v>
      </c>
      <c r="AT30" s="216">
        <f t="shared" si="8"/>
        <v>1.2538510821608391</v>
      </c>
      <c r="AU30" s="216">
        <f t="shared" si="9"/>
        <v>2.2360679774997898</v>
      </c>
      <c r="AV30" s="217">
        <f t="shared" si="10"/>
        <v>10.415801185754333</v>
      </c>
      <c r="AW30" s="216">
        <f t="shared" si="11"/>
        <v>0</v>
      </c>
      <c r="AX30" s="218">
        <f t="shared" si="12"/>
        <v>1.4696875479799241</v>
      </c>
      <c r="AY30" s="216">
        <f t="shared" si="13"/>
        <v>0.76851414128953044</v>
      </c>
      <c r="AZ30" s="217">
        <f t="shared" si="14"/>
        <v>3.5640070462657096</v>
      </c>
      <c r="BA30" s="216">
        <f t="shared" si="15"/>
        <v>0</v>
      </c>
      <c r="BB30" s="216">
        <f t="shared" si="16"/>
        <v>1.0084584063544275</v>
      </c>
      <c r="BC30" s="216">
        <f t="shared" si="17"/>
        <v>1</v>
      </c>
    </row>
    <row r="31" spans="1:55" ht="20.100000000000001" customHeight="1" x14ac:dyDescent="0.2">
      <c r="A31" s="45">
        <v>0.66666666666666696</v>
      </c>
      <c r="B31" s="451"/>
      <c r="C31" s="451"/>
      <c r="D31" s="451">
        <v>6.8</v>
      </c>
      <c r="E31" s="451">
        <v>61.4</v>
      </c>
      <c r="F31" s="41">
        <v>1986</v>
      </c>
      <c r="G31" s="37">
        <v>-5.5</v>
      </c>
      <c r="H31" s="37">
        <v>71.900000000000006</v>
      </c>
      <c r="I31" s="37">
        <v>21.3</v>
      </c>
      <c r="J31" s="41">
        <v>239</v>
      </c>
      <c r="K31" s="37">
        <v>13</v>
      </c>
      <c r="L31" s="451">
        <v>128</v>
      </c>
      <c r="M31" s="451">
        <v>226</v>
      </c>
      <c r="N31" s="451">
        <v>85</v>
      </c>
      <c r="O31" s="353">
        <v>55</v>
      </c>
      <c r="P31" s="353">
        <v>9</v>
      </c>
      <c r="Q31" s="353">
        <v>224.81</v>
      </c>
      <c r="R31" s="37"/>
      <c r="S31" s="508" t="str">
        <f t="shared" si="0"/>
        <v/>
      </c>
      <c r="T31" s="508"/>
      <c r="U31" s="508"/>
      <c r="V31" s="508"/>
      <c r="X31" s="45">
        <v>0.66666666666666696</v>
      </c>
      <c r="Y31" s="106"/>
      <c r="Z31" s="102"/>
      <c r="AA31" s="102"/>
      <c r="AB31" s="45" t="str">
        <f t="shared" si="18"/>
        <v/>
      </c>
      <c r="AC31" s="45" t="str">
        <f t="shared" si="1"/>
        <v/>
      </c>
      <c r="AD31" s="81"/>
      <c r="AE31" s="9" t="str">
        <f>IF(S31="","",IF(COUNTA(Z31:$Z$39)=1,IF(COUNTA(AD31:$AD$39)=1,""," ; "),IF(COUNTA(AD31:$AD$39)=1,IF(Z31="",""," ; ")," ; ")))</f>
        <v/>
      </c>
      <c r="AF31" s="9" t="str">
        <f t="shared" si="2"/>
        <v/>
      </c>
      <c r="AG31" s="90" t="str">
        <f t="shared" si="3"/>
        <v/>
      </c>
      <c r="AH31" s="204" t="s">
        <v>226</v>
      </c>
      <c r="AJ31" s="206">
        <f t="shared" si="19"/>
        <v>500</v>
      </c>
      <c r="AK31" s="206">
        <f t="shared" si="19"/>
        <v>100</v>
      </c>
      <c r="AL31" s="206">
        <f t="shared" si="19"/>
        <v>2</v>
      </c>
      <c r="AM31" s="213">
        <f t="shared" si="19"/>
        <v>0.875</v>
      </c>
      <c r="AN31" s="214">
        <f t="shared" si="19"/>
        <v>0.63607464142166403</v>
      </c>
      <c r="AO31" s="215">
        <f t="shared" si="4"/>
        <v>-14.7</v>
      </c>
      <c r="AP31" s="216">
        <f t="shared" si="5"/>
        <v>1</v>
      </c>
      <c r="AQ31" s="216">
        <f t="shared" si="6"/>
        <v>1</v>
      </c>
      <c r="AR31" s="215">
        <f t="shared" si="20"/>
        <v>158.47</v>
      </c>
      <c r="AS31" s="216">
        <f t="shared" si="7"/>
        <v>0.97679498379494789</v>
      </c>
      <c r="AT31" s="216">
        <f t="shared" si="8"/>
        <v>1.2538510821608391</v>
      </c>
      <c r="AU31" s="216">
        <f t="shared" si="9"/>
        <v>2.2360679774997898</v>
      </c>
      <c r="AV31" s="217">
        <f t="shared" si="10"/>
        <v>10.415801185754333</v>
      </c>
      <c r="AW31" s="216">
        <f t="shared" si="11"/>
        <v>0</v>
      </c>
      <c r="AX31" s="218">
        <f t="shared" si="12"/>
        <v>1.4696875479799241</v>
      </c>
      <c r="AY31" s="216">
        <f t="shared" si="13"/>
        <v>0.76851414128953044</v>
      </c>
      <c r="AZ31" s="217">
        <f t="shared" si="14"/>
        <v>3.5640070462657096</v>
      </c>
      <c r="BA31" s="216">
        <f t="shared" si="15"/>
        <v>0</v>
      </c>
      <c r="BB31" s="216">
        <f t="shared" si="16"/>
        <v>1.0084584063544275</v>
      </c>
      <c r="BC31" s="216">
        <f t="shared" si="17"/>
        <v>1</v>
      </c>
    </row>
    <row r="32" spans="1:55" ht="20.100000000000001" customHeight="1" x14ac:dyDescent="0.2">
      <c r="A32" s="45">
        <v>0.70833333333333304</v>
      </c>
      <c r="B32" s="451"/>
      <c r="C32" s="451"/>
      <c r="D32" s="451">
        <v>6.3</v>
      </c>
      <c r="E32" s="451">
        <v>61.8</v>
      </c>
      <c r="F32" s="41">
        <v>1973</v>
      </c>
      <c r="G32" s="37">
        <v>-5.5</v>
      </c>
      <c r="H32" s="37">
        <v>71.599999999999994</v>
      </c>
      <c r="I32" s="37">
        <v>21.6</v>
      </c>
      <c r="J32" s="41">
        <v>240</v>
      </c>
      <c r="K32" s="37">
        <v>13</v>
      </c>
      <c r="L32" s="451">
        <v>128</v>
      </c>
      <c r="M32" s="451">
        <v>226</v>
      </c>
      <c r="N32" s="451">
        <v>85</v>
      </c>
      <c r="O32" s="353">
        <v>55</v>
      </c>
      <c r="P32" s="353">
        <v>8</v>
      </c>
      <c r="Q32" s="353">
        <v>212.06</v>
      </c>
      <c r="R32" s="37"/>
      <c r="S32" s="508" t="str">
        <f t="shared" si="0"/>
        <v/>
      </c>
      <c r="T32" s="508"/>
      <c r="U32" s="508"/>
      <c r="V32" s="508"/>
      <c r="X32" s="45">
        <v>0.70833333333333304</v>
      </c>
      <c r="Y32" s="106"/>
      <c r="Z32" s="102"/>
      <c r="AA32" s="102"/>
      <c r="AB32" s="45" t="str">
        <f t="shared" si="18"/>
        <v/>
      </c>
      <c r="AC32" s="45" t="str">
        <f t="shared" si="1"/>
        <v/>
      </c>
      <c r="AD32" s="81"/>
      <c r="AE32" s="9" t="str">
        <f>IF(S32="","",IF(COUNTA(Z32:$Z$39)=1,IF(COUNTA(AD32:$AD$39)=1,""," ; "),IF(COUNTA(AD32:$AD$39)=1,IF(Z32="",""," ; ")," ; ")))</f>
        <v/>
      </c>
      <c r="AF32" s="9" t="str">
        <f t="shared" si="2"/>
        <v/>
      </c>
      <c r="AG32" s="90" t="str">
        <f t="shared" si="3"/>
        <v/>
      </c>
      <c r="AH32" s="204" t="s">
        <v>313</v>
      </c>
      <c r="AJ32" s="206">
        <f t="shared" si="19"/>
        <v>500</v>
      </c>
      <c r="AK32" s="206">
        <f t="shared" si="19"/>
        <v>100</v>
      </c>
      <c r="AL32" s="206">
        <f t="shared" si="19"/>
        <v>2</v>
      </c>
      <c r="AM32" s="213">
        <f t="shared" si="19"/>
        <v>0.875</v>
      </c>
      <c r="AN32" s="214">
        <f t="shared" si="19"/>
        <v>0.63607464142166403</v>
      </c>
      <c r="AO32" s="215">
        <f t="shared" si="4"/>
        <v>-14.7</v>
      </c>
      <c r="AP32" s="216">
        <f t="shared" si="5"/>
        <v>1</v>
      </c>
      <c r="AQ32" s="216">
        <f t="shared" si="6"/>
        <v>1</v>
      </c>
      <c r="AR32" s="215">
        <f t="shared" si="20"/>
        <v>158.47</v>
      </c>
      <c r="AS32" s="216">
        <f t="shared" si="7"/>
        <v>0.97679498379494789</v>
      </c>
      <c r="AT32" s="216">
        <f t="shared" si="8"/>
        <v>1.2538510821608391</v>
      </c>
      <c r="AU32" s="216">
        <f t="shared" si="9"/>
        <v>2.2360679774997898</v>
      </c>
      <c r="AV32" s="217">
        <f t="shared" si="10"/>
        <v>10.415801185754333</v>
      </c>
      <c r="AW32" s="216">
        <f t="shared" si="11"/>
        <v>0</v>
      </c>
      <c r="AX32" s="218">
        <f t="shared" si="12"/>
        <v>1.4696875479799241</v>
      </c>
      <c r="AY32" s="216">
        <f t="shared" si="13"/>
        <v>0.76851414128953044</v>
      </c>
      <c r="AZ32" s="217">
        <f t="shared" si="14"/>
        <v>3.5640070462657096</v>
      </c>
      <c r="BA32" s="216">
        <f t="shared" si="15"/>
        <v>0</v>
      </c>
      <c r="BB32" s="216">
        <f t="shared" si="16"/>
        <v>1.0084584063544275</v>
      </c>
      <c r="BC32" s="216">
        <f t="shared" si="17"/>
        <v>1</v>
      </c>
    </row>
    <row r="33" spans="1:55" ht="20.100000000000001" customHeight="1" x14ac:dyDescent="0.2">
      <c r="A33" s="45">
        <v>0.75</v>
      </c>
      <c r="B33" s="451"/>
      <c r="C33" s="451"/>
      <c r="D33" s="451">
        <v>6.6</v>
      </c>
      <c r="E33" s="451">
        <v>61.3</v>
      </c>
      <c r="F33" s="41">
        <v>1956</v>
      </c>
      <c r="G33" s="37">
        <v>-5.5</v>
      </c>
      <c r="H33" s="37">
        <v>71.3</v>
      </c>
      <c r="I33" s="37">
        <v>21.9</v>
      </c>
      <c r="J33" s="41">
        <v>241</v>
      </c>
      <c r="K33" s="37">
        <v>13</v>
      </c>
      <c r="L33" s="451">
        <v>126</v>
      </c>
      <c r="M33" s="451">
        <v>228</v>
      </c>
      <c r="N33" s="451">
        <v>85</v>
      </c>
      <c r="O33" s="353">
        <v>55</v>
      </c>
      <c r="P33" s="353">
        <v>10</v>
      </c>
      <c r="Q33" s="353">
        <v>236.88</v>
      </c>
      <c r="R33" s="37"/>
      <c r="S33" s="508" t="str">
        <f>IF(Z33="",IF(AD33="","",AD33),CONCATENATE(TEXT(Z33,"[hh]:mm"),IF(AA33="",""," - "&amp;TEXT(AA33,"[hh]:mm")),IF(Y33="",""," "&amp;Y33&amp;"/")," "&amp;AD33))</f>
        <v/>
      </c>
      <c r="T33" s="508"/>
      <c r="U33" s="508"/>
      <c r="V33" s="508"/>
      <c r="X33" s="45">
        <v>0.75</v>
      </c>
      <c r="Y33" s="106"/>
      <c r="Z33" s="102"/>
      <c r="AA33" s="102"/>
      <c r="AB33" s="45" t="str">
        <f t="shared" si="18"/>
        <v/>
      </c>
      <c r="AC33" s="45" t="str">
        <f t="shared" si="1"/>
        <v/>
      </c>
      <c r="AD33" s="81"/>
      <c r="AE33" s="9" t="str">
        <f>IF(S33="","",IF(COUNTA(Z33:$Z$39)=1,IF(COUNTA(AD33:$AD$39)=1,""," ; "),IF(COUNTA(AD33:$AD$39)=1,IF(Z33="",""," ; ")," ; ")))</f>
        <v/>
      </c>
      <c r="AF33" s="9" t="str">
        <f t="shared" si="2"/>
        <v/>
      </c>
      <c r="AG33" s="90" t="str">
        <f t="shared" si="3"/>
        <v/>
      </c>
      <c r="AH33" s="204" t="s">
        <v>308</v>
      </c>
      <c r="AJ33" s="206">
        <f t="shared" ref="AJ33:AN39" si="21">AJ32</f>
        <v>500</v>
      </c>
      <c r="AK33" s="206">
        <f t="shared" si="21"/>
        <v>100</v>
      </c>
      <c r="AL33" s="206">
        <f t="shared" si="21"/>
        <v>2</v>
      </c>
      <c r="AM33" s="213">
        <f t="shared" si="21"/>
        <v>0.875</v>
      </c>
      <c r="AN33" s="214">
        <f t="shared" si="21"/>
        <v>0.63607464142166403</v>
      </c>
      <c r="AO33" s="215">
        <f t="shared" si="4"/>
        <v>-14.7</v>
      </c>
      <c r="AP33" s="216">
        <f t="shared" si="5"/>
        <v>1</v>
      </c>
      <c r="AQ33" s="216">
        <f t="shared" si="6"/>
        <v>1</v>
      </c>
      <c r="AR33" s="215">
        <f t="shared" si="20"/>
        <v>158.47</v>
      </c>
      <c r="AS33" s="216">
        <f t="shared" si="7"/>
        <v>0.97679498379494789</v>
      </c>
      <c r="AT33" s="216">
        <f t="shared" si="8"/>
        <v>1.2538510821608391</v>
      </c>
      <c r="AU33" s="216">
        <f t="shared" si="9"/>
        <v>2.2360679774997898</v>
      </c>
      <c r="AV33" s="217">
        <f t="shared" si="10"/>
        <v>10.415801185754333</v>
      </c>
      <c r="AW33" s="216">
        <f t="shared" si="11"/>
        <v>0</v>
      </c>
      <c r="AX33" s="218">
        <f t="shared" si="12"/>
        <v>1.4696875479799241</v>
      </c>
      <c r="AY33" s="216">
        <f t="shared" si="13"/>
        <v>0.76851414128953044</v>
      </c>
      <c r="AZ33" s="217">
        <f t="shared" si="14"/>
        <v>3.5640070462657096</v>
      </c>
      <c r="BA33" s="216">
        <f t="shared" si="15"/>
        <v>0</v>
      </c>
      <c r="BB33" s="216">
        <f t="shared" si="16"/>
        <v>1.0084584063544275</v>
      </c>
      <c r="BC33" s="216">
        <f t="shared" si="17"/>
        <v>1</v>
      </c>
    </row>
    <row r="34" spans="1:55" ht="20.100000000000001" customHeight="1" x14ac:dyDescent="0.2">
      <c r="A34" s="45">
        <v>0.79166666666666696</v>
      </c>
      <c r="B34" s="451"/>
      <c r="C34" s="451"/>
      <c r="D34" s="451">
        <v>7.7</v>
      </c>
      <c r="E34" s="451">
        <v>64.2</v>
      </c>
      <c r="F34" s="41">
        <v>1980</v>
      </c>
      <c r="G34" s="37">
        <v>-5.5</v>
      </c>
      <c r="H34" s="37">
        <v>71.900000000000006</v>
      </c>
      <c r="I34" s="37">
        <v>21.3</v>
      </c>
      <c r="J34" s="41">
        <v>242</v>
      </c>
      <c r="K34" s="37">
        <v>13</v>
      </c>
      <c r="L34" s="451">
        <v>126</v>
      </c>
      <c r="M34" s="451">
        <v>228</v>
      </c>
      <c r="N34" s="451">
        <v>85</v>
      </c>
      <c r="O34" s="353">
        <v>55</v>
      </c>
      <c r="P34" s="353">
        <v>11</v>
      </c>
      <c r="Q34" s="353">
        <v>248.35</v>
      </c>
      <c r="R34" s="37"/>
      <c r="S34" s="508" t="str">
        <f t="shared" ref="S34:S39" si="22">IF(Z34="",IF(AD34="","",AD34),CONCATENATE(TEXT(Z34,"[hh]:mm"),IF(AA34="",""," - "&amp;TEXT(AA34,"[hh]:mm")),IF(Y34="",""," "&amp;Y34&amp;"/")," "&amp;AD34))</f>
        <v/>
      </c>
      <c r="T34" s="508"/>
      <c r="U34" s="508"/>
      <c r="V34" s="508"/>
      <c r="X34" s="45">
        <v>0.79166666666666696</v>
      </c>
      <c r="Y34" s="106"/>
      <c r="Z34" s="102"/>
      <c r="AA34" s="102"/>
      <c r="AB34" s="45" t="str">
        <f t="shared" si="18"/>
        <v/>
      </c>
      <c r="AC34" s="45" t="str">
        <f t="shared" si="1"/>
        <v/>
      </c>
      <c r="AD34" s="81"/>
      <c r="AE34" s="9" t="str">
        <f>IF(S34="","",IF(COUNTA(Z34:$Z$39)=1,IF(COUNTA(AD34:$AD$39)=1,""," ; "),IF(COUNTA(AD34:$AD$39)=1,IF(Z34="",""," ; ")," ; ")))</f>
        <v/>
      </c>
      <c r="AF34" s="9" t="str">
        <f t="shared" si="2"/>
        <v/>
      </c>
      <c r="AG34" s="90" t="str">
        <f t="shared" si="3"/>
        <v/>
      </c>
      <c r="AH34" s="204" t="s">
        <v>314</v>
      </c>
      <c r="AJ34" s="206">
        <f t="shared" si="21"/>
        <v>500</v>
      </c>
      <c r="AK34" s="206">
        <f t="shared" si="21"/>
        <v>100</v>
      </c>
      <c r="AL34" s="206">
        <f t="shared" si="21"/>
        <v>2</v>
      </c>
      <c r="AM34" s="213">
        <f t="shared" si="21"/>
        <v>0.875</v>
      </c>
      <c r="AN34" s="214">
        <f t="shared" si="21"/>
        <v>0.63607464142166403</v>
      </c>
      <c r="AO34" s="215">
        <f t="shared" si="4"/>
        <v>-14.7</v>
      </c>
      <c r="AP34" s="216">
        <f t="shared" si="5"/>
        <v>1</v>
      </c>
      <c r="AQ34" s="216">
        <f t="shared" si="6"/>
        <v>1</v>
      </c>
      <c r="AR34" s="215">
        <f t="shared" si="20"/>
        <v>158.47</v>
      </c>
      <c r="AS34" s="216">
        <f t="shared" si="7"/>
        <v>0.97679498379494789</v>
      </c>
      <c r="AT34" s="216">
        <f t="shared" si="8"/>
        <v>1.2538510821608391</v>
      </c>
      <c r="AU34" s="216">
        <f t="shared" si="9"/>
        <v>2.2360679774997898</v>
      </c>
      <c r="AV34" s="217">
        <f t="shared" si="10"/>
        <v>10.415801185754333</v>
      </c>
      <c r="AW34" s="216">
        <f t="shared" si="11"/>
        <v>0</v>
      </c>
      <c r="AX34" s="218">
        <f t="shared" si="12"/>
        <v>1.4696875479799241</v>
      </c>
      <c r="AY34" s="216">
        <f t="shared" si="13"/>
        <v>0.76851414128953044</v>
      </c>
      <c r="AZ34" s="217">
        <f t="shared" si="14"/>
        <v>3.5640070462657096</v>
      </c>
      <c r="BA34" s="216">
        <f t="shared" si="15"/>
        <v>0</v>
      </c>
      <c r="BB34" s="216">
        <f t="shared" si="16"/>
        <v>1.0084584063544275</v>
      </c>
      <c r="BC34" s="216">
        <f t="shared" si="17"/>
        <v>1</v>
      </c>
    </row>
    <row r="35" spans="1:55" ht="20.100000000000001" customHeight="1" x14ac:dyDescent="0.2">
      <c r="A35" s="45">
        <v>0.83333333333333304</v>
      </c>
      <c r="B35" s="451"/>
      <c r="C35" s="451"/>
      <c r="D35" s="451">
        <v>7.5</v>
      </c>
      <c r="E35" s="451">
        <v>64.3</v>
      </c>
      <c r="F35" s="41">
        <v>1935</v>
      </c>
      <c r="G35" s="37">
        <v>-5.5</v>
      </c>
      <c r="H35" s="37">
        <v>71.599999999999994</v>
      </c>
      <c r="I35" s="37">
        <v>21.5</v>
      </c>
      <c r="J35" s="41">
        <v>243</v>
      </c>
      <c r="K35" s="37">
        <v>13</v>
      </c>
      <c r="L35" s="451">
        <v>127</v>
      </c>
      <c r="M35" s="451">
        <v>228</v>
      </c>
      <c r="N35" s="451">
        <v>85</v>
      </c>
      <c r="O35" s="353">
        <v>55</v>
      </c>
      <c r="P35" s="353">
        <v>9</v>
      </c>
      <c r="Q35" s="353">
        <v>224.81</v>
      </c>
      <c r="R35" s="37"/>
      <c r="S35" s="508" t="str">
        <f t="shared" si="22"/>
        <v/>
      </c>
      <c r="T35" s="508"/>
      <c r="U35" s="508"/>
      <c r="V35" s="508"/>
      <c r="X35" s="45">
        <v>0.83333333333333304</v>
      </c>
      <c r="Y35" s="106"/>
      <c r="Z35" s="102"/>
      <c r="AA35" s="102"/>
      <c r="AB35" s="45" t="str">
        <f t="shared" si="18"/>
        <v/>
      </c>
      <c r="AC35" s="45" t="str">
        <f t="shared" si="1"/>
        <v/>
      </c>
      <c r="AD35" s="81"/>
      <c r="AE35" s="9" t="str">
        <f>IF(S35="","",IF(COUNTA(Z35:$Z$39)=1,IF(COUNTA(AD35:$AD$39)=1,""," ; "),IF(COUNTA(AD35:$AD$39)=1,IF(Z35="",""," ; ")," ; ")))</f>
        <v/>
      </c>
      <c r="AF35" s="9" t="str">
        <f t="shared" si="2"/>
        <v/>
      </c>
      <c r="AG35" s="90" t="str">
        <f t="shared" si="3"/>
        <v/>
      </c>
      <c r="AH35" s="204" t="s">
        <v>227</v>
      </c>
      <c r="AJ35" s="206">
        <f t="shared" si="21"/>
        <v>500</v>
      </c>
      <c r="AK35" s="206">
        <f t="shared" si="21"/>
        <v>100</v>
      </c>
      <c r="AL35" s="206">
        <f t="shared" si="21"/>
        <v>2</v>
      </c>
      <c r="AM35" s="213">
        <f t="shared" si="21"/>
        <v>0.875</v>
      </c>
      <c r="AN35" s="214">
        <f t="shared" si="21"/>
        <v>0.63607464142166403</v>
      </c>
      <c r="AO35" s="215">
        <f t="shared" si="4"/>
        <v>-14.7</v>
      </c>
      <c r="AP35" s="216">
        <f t="shared" si="5"/>
        <v>1</v>
      </c>
      <c r="AQ35" s="216">
        <f t="shared" si="6"/>
        <v>1</v>
      </c>
      <c r="AR35" s="215">
        <f t="shared" si="20"/>
        <v>158.47</v>
      </c>
      <c r="AS35" s="216">
        <f t="shared" si="7"/>
        <v>0.97679498379494789</v>
      </c>
      <c r="AT35" s="216">
        <f t="shared" si="8"/>
        <v>1.2538510821608391</v>
      </c>
      <c r="AU35" s="216">
        <f t="shared" si="9"/>
        <v>2.2360679774997898</v>
      </c>
      <c r="AV35" s="217">
        <f t="shared" si="10"/>
        <v>10.415801185754333</v>
      </c>
      <c r="AW35" s="216">
        <f t="shared" si="11"/>
        <v>0</v>
      </c>
      <c r="AX35" s="218">
        <f t="shared" si="12"/>
        <v>1.4696875479799241</v>
      </c>
      <c r="AY35" s="216">
        <f t="shared" si="13"/>
        <v>0.76851414128953044</v>
      </c>
      <c r="AZ35" s="217">
        <f t="shared" si="14"/>
        <v>3.5640070462657096</v>
      </c>
      <c r="BA35" s="216">
        <f t="shared" si="15"/>
        <v>0</v>
      </c>
      <c r="BB35" s="216">
        <f t="shared" si="16"/>
        <v>1.0084584063544275</v>
      </c>
      <c r="BC35" s="216">
        <f t="shared" si="17"/>
        <v>1</v>
      </c>
    </row>
    <row r="36" spans="1:55" ht="20.100000000000001" customHeight="1" x14ac:dyDescent="0.2">
      <c r="A36" s="45">
        <v>0.875</v>
      </c>
      <c r="B36" s="451"/>
      <c r="C36" s="451"/>
      <c r="D36" s="451">
        <v>7.2</v>
      </c>
      <c r="E36" s="451">
        <v>63.1</v>
      </c>
      <c r="F36" s="41">
        <v>1966</v>
      </c>
      <c r="G36" s="37">
        <v>-5.5</v>
      </c>
      <c r="H36" s="37">
        <v>71.099999999999994</v>
      </c>
      <c r="I36" s="37">
        <v>21.7</v>
      </c>
      <c r="J36" s="41">
        <v>244</v>
      </c>
      <c r="K36" s="37">
        <v>13</v>
      </c>
      <c r="L36" s="451">
        <v>126</v>
      </c>
      <c r="M36" s="451">
        <v>228</v>
      </c>
      <c r="N36" s="451">
        <v>85</v>
      </c>
      <c r="O36" s="353">
        <v>55</v>
      </c>
      <c r="P36" s="353">
        <v>6</v>
      </c>
      <c r="Q36" s="353">
        <v>183.87</v>
      </c>
      <c r="R36" s="37"/>
      <c r="S36" s="508" t="str">
        <f t="shared" si="22"/>
        <v/>
      </c>
      <c r="T36" s="508"/>
      <c r="U36" s="508"/>
      <c r="V36" s="508"/>
      <c r="X36" s="45">
        <v>0.875</v>
      </c>
      <c r="Y36" s="106"/>
      <c r="Z36" s="102"/>
      <c r="AA36" s="102"/>
      <c r="AB36" s="45" t="str">
        <f t="shared" si="18"/>
        <v/>
      </c>
      <c r="AC36" s="45" t="str">
        <f t="shared" si="1"/>
        <v/>
      </c>
      <c r="AD36" s="81"/>
      <c r="AE36" s="9" t="str">
        <f>IF(S36="","",IF(COUNTA(Z36:$Z$39)=1,IF(COUNTA(AD36:$AD$39)=1,""," ; "),IF(COUNTA(AD36:$AD$39)=1,IF(Z36="",""," ; ")," ; ")))</f>
        <v/>
      </c>
      <c r="AF36" s="9" t="str">
        <f t="shared" si="2"/>
        <v/>
      </c>
      <c r="AG36" s="90" t="str">
        <f t="shared" si="3"/>
        <v/>
      </c>
      <c r="AH36" s="204" t="s">
        <v>309</v>
      </c>
      <c r="AJ36" s="206">
        <f t="shared" si="21"/>
        <v>500</v>
      </c>
      <c r="AK36" s="206">
        <f t="shared" si="21"/>
        <v>100</v>
      </c>
      <c r="AL36" s="206">
        <f t="shared" si="21"/>
        <v>2</v>
      </c>
      <c r="AM36" s="213">
        <f t="shared" si="21"/>
        <v>0.875</v>
      </c>
      <c r="AN36" s="214">
        <f t="shared" si="21"/>
        <v>0.63607464142166403</v>
      </c>
      <c r="AO36" s="215">
        <f t="shared" si="4"/>
        <v>-14.7</v>
      </c>
      <c r="AP36" s="216">
        <f t="shared" si="5"/>
        <v>1</v>
      </c>
      <c r="AQ36" s="216">
        <f t="shared" si="6"/>
        <v>1</v>
      </c>
      <c r="AR36" s="215">
        <f t="shared" si="20"/>
        <v>158.47</v>
      </c>
      <c r="AS36" s="216">
        <f t="shared" si="7"/>
        <v>0.97679498379494789</v>
      </c>
      <c r="AT36" s="216">
        <f t="shared" si="8"/>
        <v>1.2538510821608391</v>
      </c>
      <c r="AU36" s="216">
        <f t="shared" si="9"/>
        <v>2.2360679774997898</v>
      </c>
      <c r="AV36" s="217">
        <f t="shared" si="10"/>
        <v>10.415801185754333</v>
      </c>
      <c r="AW36" s="216">
        <f t="shared" si="11"/>
        <v>0</v>
      </c>
      <c r="AX36" s="218">
        <f t="shared" si="12"/>
        <v>1.4696875479799241</v>
      </c>
      <c r="AY36" s="216">
        <f t="shared" si="13"/>
        <v>0.76851414128953044</v>
      </c>
      <c r="AZ36" s="217">
        <f t="shared" si="14"/>
        <v>3.5640070462657096</v>
      </c>
      <c r="BA36" s="216">
        <f t="shared" si="15"/>
        <v>0</v>
      </c>
      <c r="BB36" s="216">
        <f t="shared" si="16"/>
        <v>1.0084584063544275</v>
      </c>
      <c r="BC36" s="216">
        <f t="shared" si="17"/>
        <v>1</v>
      </c>
    </row>
    <row r="37" spans="1:55" ht="20.100000000000001" customHeight="1" x14ac:dyDescent="0.2">
      <c r="A37" s="45">
        <v>0.91666666666666696</v>
      </c>
      <c r="B37" s="451"/>
      <c r="C37" s="451"/>
      <c r="D37" s="451">
        <v>7.6</v>
      </c>
      <c r="E37" s="451">
        <v>62.6</v>
      </c>
      <c r="F37" s="41">
        <v>1941</v>
      </c>
      <c r="G37" s="37">
        <v>-5.5</v>
      </c>
      <c r="H37" s="37">
        <v>71.599999999999994</v>
      </c>
      <c r="I37" s="37">
        <v>21.2</v>
      </c>
      <c r="J37" s="41">
        <v>245</v>
      </c>
      <c r="K37" s="37">
        <v>13</v>
      </c>
      <c r="L37" s="451">
        <v>125</v>
      </c>
      <c r="M37" s="451">
        <v>225</v>
      </c>
      <c r="N37" s="451">
        <v>85</v>
      </c>
      <c r="O37" s="353">
        <v>55</v>
      </c>
      <c r="P37" s="353">
        <v>9</v>
      </c>
      <c r="Q37" s="353">
        <v>224.81</v>
      </c>
      <c r="R37" s="37"/>
      <c r="S37" s="508" t="str">
        <f t="shared" si="22"/>
        <v/>
      </c>
      <c r="T37" s="508"/>
      <c r="U37" s="508"/>
      <c r="V37" s="508"/>
      <c r="X37" s="45">
        <v>0.91666666666666696</v>
      </c>
      <c r="Y37" s="106"/>
      <c r="Z37" s="102"/>
      <c r="AA37" s="102"/>
      <c r="AB37" s="45" t="str">
        <f t="shared" si="18"/>
        <v/>
      </c>
      <c r="AC37" s="45" t="str">
        <f t="shared" si="1"/>
        <v/>
      </c>
      <c r="AD37" s="81"/>
      <c r="AE37" s="9" t="str">
        <f>IF(S37="","",IF(COUNTA(Z37:$Z$39)=1,IF(COUNTA(AD37:$AD$39)=1,""," ; "),IF(COUNTA(AD37:$AD$39)=1,IF(Z37="",""," ; ")," ; ")))</f>
        <v/>
      </c>
      <c r="AF37" s="9" t="str">
        <f t="shared" si="2"/>
        <v/>
      </c>
      <c r="AG37" s="90" t="str">
        <f t="shared" si="3"/>
        <v/>
      </c>
      <c r="AH37" s="204" t="s">
        <v>319</v>
      </c>
      <c r="AJ37" s="206">
        <f t="shared" si="21"/>
        <v>500</v>
      </c>
      <c r="AK37" s="206">
        <f t="shared" si="21"/>
        <v>100</v>
      </c>
      <c r="AL37" s="206">
        <f t="shared" si="21"/>
        <v>2</v>
      </c>
      <c r="AM37" s="213">
        <f t="shared" si="21"/>
        <v>0.875</v>
      </c>
      <c r="AN37" s="214">
        <f t="shared" si="21"/>
        <v>0.63607464142166403</v>
      </c>
      <c r="AO37" s="215">
        <f t="shared" si="4"/>
        <v>-14.7</v>
      </c>
      <c r="AP37" s="216">
        <f t="shared" si="5"/>
        <v>1</v>
      </c>
      <c r="AQ37" s="216">
        <f t="shared" si="6"/>
        <v>1</v>
      </c>
      <c r="AR37" s="215">
        <f t="shared" si="20"/>
        <v>158.47</v>
      </c>
      <c r="AS37" s="216">
        <f t="shared" si="7"/>
        <v>0.97679498379494789</v>
      </c>
      <c r="AT37" s="216">
        <f t="shared" si="8"/>
        <v>1.2538510821608391</v>
      </c>
      <c r="AU37" s="216">
        <f t="shared" si="9"/>
        <v>2.2360679774997898</v>
      </c>
      <c r="AV37" s="217">
        <f t="shared" si="10"/>
        <v>10.415801185754333</v>
      </c>
      <c r="AW37" s="216">
        <f t="shared" si="11"/>
        <v>0</v>
      </c>
      <c r="AX37" s="218">
        <f t="shared" si="12"/>
        <v>1.4696875479799241</v>
      </c>
      <c r="AY37" s="216">
        <f t="shared" si="13"/>
        <v>0.76851414128953044</v>
      </c>
      <c r="AZ37" s="217">
        <f t="shared" si="14"/>
        <v>3.5640070462657096</v>
      </c>
      <c r="BA37" s="216">
        <f t="shared" si="15"/>
        <v>0</v>
      </c>
      <c r="BB37" s="216">
        <f t="shared" si="16"/>
        <v>1.0084584063544275</v>
      </c>
      <c r="BC37" s="216">
        <f t="shared" si="17"/>
        <v>1</v>
      </c>
    </row>
    <row r="38" spans="1:55" ht="20.100000000000001" customHeight="1" x14ac:dyDescent="0.2">
      <c r="A38" s="45">
        <v>0.95833333333333304</v>
      </c>
      <c r="B38" s="451"/>
      <c r="C38" s="451"/>
      <c r="D38" s="451">
        <v>7.1</v>
      </c>
      <c r="E38" s="451">
        <v>62</v>
      </c>
      <c r="F38" s="41">
        <v>1935</v>
      </c>
      <c r="G38" s="37">
        <v>-5.5</v>
      </c>
      <c r="H38" s="37">
        <v>71</v>
      </c>
      <c r="I38" s="37">
        <v>21.5</v>
      </c>
      <c r="J38" s="41">
        <v>246</v>
      </c>
      <c r="K38" s="37">
        <v>13</v>
      </c>
      <c r="L38" s="451">
        <v>125</v>
      </c>
      <c r="M38" s="451">
        <v>223</v>
      </c>
      <c r="N38" s="451">
        <v>85</v>
      </c>
      <c r="O38" s="353">
        <v>55</v>
      </c>
      <c r="P38" s="353">
        <v>8</v>
      </c>
      <c r="Q38" s="353">
        <v>212.06</v>
      </c>
      <c r="R38" s="37"/>
      <c r="S38" s="508" t="str">
        <f t="shared" si="22"/>
        <v/>
      </c>
      <c r="T38" s="508"/>
      <c r="U38" s="508"/>
      <c r="V38" s="508"/>
      <c r="X38" s="45">
        <v>0.95833333333333304</v>
      </c>
      <c r="Y38" s="106"/>
      <c r="Z38" s="102"/>
      <c r="AA38" s="102"/>
      <c r="AB38" s="45" t="str">
        <f t="shared" si="18"/>
        <v/>
      </c>
      <c r="AC38" s="45" t="str">
        <f t="shared" si="1"/>
        <v/>
      </c>
      <c r="AD38" s="81"/>
      <c r="AE38" s="9" t="str">
        <f>IF(S38="","",IF(COUNTA(Z38:$Z$39)=1,IF(COUNTA(AD38:$AD$39)=1,""," ; "),IF(COUNTA(AD38:$AD$39)=1,IF(Z38="",""," ; ")," ; ")))</f>
        <v/>
      </c>
      <c r="AF38" s="9" t="str">
        <f t="shared" si="2"/>
        <v/>
      </c>
      <c r="AG38" s="90" t="str">
        <f t="shared" si="3"/>
        <v/>
      </c>
      <c r="AH38" s="204" t="s">
        <v>219</v>
      </c>
      <c r="AJ38" s="206">
        <f t="shared" si="21"/>
        <v>500</v>
      </c>
      <c r="AK38" s="206">
        <f t="shared" si="21"/>
        <v>100</v>
      </c>
      <c r="AL38" s="206">
        <f t="shared" si="21"/>
        <v>2</v>
      </c>
      <c r="AM38" s="213">
        <f t="shared" si="21"/>
        <v>0.875</v>
      </c>
      <c r="AN38" s="214">
        <f t="shared" si="21"/>
        <v>0.63607464142166403</v>
      </c>
      <c r="AO38" s="215">
        <f t="shared" si="4"/>
        <v>-14.7</v>
      </c>
      <c r="AP38" s="216">
        <f t="shared" si="5"/>
        <v>1</v>
      </c>
      <c r="AQ38" s="216">
        <f t="shared" si="6"/>
        <v>1</v>
      </c>
      <c r="AR38" s="215">
        <f t="shared" si="20"/>
        <v>158.47</v>
      </c>
      <c r="AS38" s="216">
        <f t="shared" si="7"/>
        <v>0.97679498379494789</v>
      </c>
      <c r="AT38" s="216">
        <f t="shared" si="8"/>
        <v>1.2538510821608391</v>
      </c>
      <c r="AU38" s="216">
        <f t="shared" si="9"/>
        <v>2.2360679774997898</v>
      </c>
      <c r="AV38" s="217">
        <f t="shared" si="10"/>
        <v>10.415801185754333</v>
      </c>
      <c r="AW38" s="216">
        <f t="shared" si="11"/>
        <v>0</v>
      </c>
      <c r="AX38" s="218">
        <f t="shared" si="12"/>
        <v>1.4696875479799241</v>
      </c>
      <c r="AY38" s="216">
        <f t="shared" si="13"/>
        <v>0.76851414128953044</v>
      </c>
      <c r="AZ38" s="217">
        <f t="shared" si="14"/>
        <v>3.5640070462657096</v>
      </c>
      <c r="BA38" s="216">
        <f t="shared" si="15"/>
        <v>0</v>
      </c>
      <c r="BB38" s="216">
        <f t="shared" si="16"/>
        <v>1.0084584063544275</v>
      </c>
      <c r="BC38" s="216">
        <f t="shared" si="17"/>
        <v>1</v>
      </c>
    </row>
    <row r="39" spans="1:55" ht="20.100000000000001" customHeight="1" thickBot="1" x14ac:dyDescent="0.25">
      <c r="A39" s="46">
        <v>1</v>
      </c>
      <c r="B39" s="451"/>
      <c r="C39" s="451"/>
      <c r="D39" s="451">
        <v>7.3</v>
      </c>
      <c r="E39" s="452">
        <v>62.8</v>
      </c>
      <c r="F39" s="41">
        <v>1933</v>
      </c>
      <c r="G39" s="37">
        <v>-5.5</v>
      </c>
      <c r="H39" s="37">
        <v>71.2</v>
      </c>
      <c r="I39" s="37">
        <v>21</v>
      </c>
      <c r="J39" s="41">
        <v>247</v>
      </c>
      <c r="K39" s="37">
        <v>13</v>
      </c>
      <c r="L39" s="452">
        <v>125</v>
      </c>
      <c r="M39" s="452">
        <v>221</v>
      </c>
      <c r="N39" s="451">
        <v>85</v>
      </c>
      <c r="O39" s="353">
        <v>50</v>
      </c>
      <c r="P39" s="353">
        <v>8</v>
      </c>
      <c r="Q39" s="354">
        <v>204.21</v>
      </c>
      <c r="R39" s="38"/>
      <c r="S39" s="512" t="str">
        <f t="shared" si="22"/>
        <v/>
      </c>
      <c r="T39" s="512"/>
      <c r="U39" s="512"/>
      <c r="V39" s="512"/>
      <c r="X39" s="46">
        <v>1</v>
      </c>
      <c r="Y39" s="107"/>
      <c r="Z39" s="103"/>
      <c r="AA39" s="103"/>
      <c r="AB39" s="46" t="str">
        <f t="shared" si="18"/>
        <v/>
      </c>
      <c r="AC39" s="46" t="str">
        <f t="shared" si="1"/>
        <v/>
      </c>
      <c r="AD39" s="82"/>
      <c r="AE39" s="9" t="str">
        <f>IF(S39="","",IF(COUNTA(Z39:$Z$39)=1,IF(COUNTA(AD39:$AD$39)=1,""," ; "),IF(COUNTA(AD39:$AD$39)=1,IF(Z39="",""," ; ")," ; ")))</f>
        <v/>
      </c>
      <c r="AF39" s="9" t="str">
        <f t="shared" si="2"/>
        <v/>
      </c>
      <c r="AG39" s="90" t="str">
        <f t="shared" si="3"/>
        <v/>
      </c>
      <c r="AH39" s="204" t="s">
        <v>220</v>
      </c>
      <c r="AJ39" s="219">
        <f t="shared" si="21"/>
        <v>500</v>
      </c>
      <c r="AK39" s="219">
        <f t="shared" si="21"/>
        <v>100</v>
      </c>
      <c r="AL39" s="219">
        <f t="shared" si="21"/>
        <v>2</v>
      </c>
      <c r="AM39" s="220">
        <f t="shared" si="21"/>
        <v>0.875</v>
      </c>
      <c r="AN39" s="221">
        <f t="shared" si="21"/>
        <v>0.63607464142166403</v>
      </c>
      <c r="AO39" s="222">
        <f t="shared" si="4"/>
        <v>-14.7</v>
      </c>
      <c r="AP39" s="223">
        <f t="shared" si="5"/>
        <v>1</v>
      </c>
      <c r="AQ39" s="223">
        <f t="shared" si="6"/>
        <v>1</v>
      </c>
      <c r="AR39" s="222">
        <f t="shared" si="20"/>
        <v>158.47</v>
      </c>
      <c r="AS39" s="223">
        <f t="shared" si="7"/>
        <v>0.97679498379494789</v>
      </c>
      <c r="AT39" s="223">
        <f t="shared" si="8"/>
        <v>1.2538510821608391</v>
      </c>
      <c r="AU39" s="223">
        <f t="shared" si="9"/>
        <v>2.2360679774997898</v>
      </c>
      <c r="AV39" s="224">
        <f t="shared" si="10"/>
        <v>10.415801185754333</v>
      </c>
      <c r="AW39" s="223">
        <f t="shared" si="11"/>
        <v>0</v>
      </c>
      <c r="AX39" s="225">
        <f t="shared" si="12"/>
        <v>1.4696875479799241</v>
      </c>
      <c r="AY39" s="223">
        <f t="shared" si="13"/>
        <v>0.76851414128953044</v>
      </c>
      <c r="AZ39" s="224">
        <f t="shared" si="14"/>
        <v>3.5640070462657096</v>
      </c>
      <c r="BA39" s="223">
        <f t="shared" si="15"/>
        <v>0</v>
      </c>
      <c r="BB39" s="223">
        <f t="shared" si="16"/>
        <v>1.0084584063544275</v>
      </c>
      <c r="BC39" s="223">
        <f t="shared" si="17"/>
        <v>1</v>
      </c>
    </row>
    <row r="40" spans="1:55" ht="20.100000000000001" customHeight="1" thickBot="1" x14ac:dyDescent="0.3">
      <c r="A40" s="53" t="s">
        <v>11</v>
      </c>
      <c r="B40" s="453" t="str">
        <f>IFERROR(ROUND(AVERAGE(B16:B39),2),"")</f>
        <v/>
      </c>
      <c r="C40" s="453" t="str">
        <f>IFERROR(ROUND(AVERAGE(C16:C39),2),"")</f>
        <v/>
      </c>
      <c r="D40" s="453">
        <f>IFERROR(ROUND(AVERAGE(D16:D39),2),"")</f>
        <v>6.9</v>
      </c>
      <c r="E40" s="453">
        <f>IFERROR(ROUND(AVERAGE(E16:E39),2),"")</f>
        <v>62</v>
      </c>
      <c r="F40" s="55">
        <f>IFERROR(ROUND(AVERAGE(F16:F39),0),"")</f>
        <v>1953</v>
      </c>
      <c r="G40" s="54">
        <f>IFERROR(AVERAGE(G16:G39),"")</f>
        <v>-5.5</v>
      </c>
      <c r="H40" s="54">
        <f>IFERROR(AVERAGE(H16:H39),"")</f>
        <v>71.412499999999994</v>
      </c>
      <c r="I40" s="54">
        <f>IFERROR(AVERAGE(I16:I39),"")</f>
        <v>21.475000000000005</v>
      </c>
      <c r="J40" s="71"/>
      <c r="K40" s="111">
        <f>IFERROR(AVERAGE(K16:K39),"")</f>
        <v>13</v>
      </c>
      <c r="L40" s="453">
        <f t="shared" ref="L40:P40" si="23">IFERROR(ROUND(AVERAGE(L16:L39),1),"")</f>
        <v>125</v>
      </c>
      <c r="M40" s="453">
        <f t="shared" si="23"/>
        <v>225</v>
      </c>
      <c r="N40" s="453">
        <f t="shared" si="23"/>
        <v>85</v>
      </c>
      <c r="O40" s="456">
        <f t="shared" si="23"/>
        <v>53.3</v>
      </c>
      <c r="P40" s="456">
        <f t="shared" si="23"/>
        <v>8.1999999999999993</v>
      </c>
      <c r="Q40" s="456">
        <f>IF($I$47=1,$M$49,$Q$44)</f>
        <v>199.6</v>
      </c>
      <c r="R40" s="54" t="str">
        <f>IFERROR(ROUND(AVERAGE(R16:R39),1),"")</f>
        <v/>
      </c>
      <c r="S40" s="509"/>
      <c r="T40" s="510"/>
      <c r="U40" s="510"/>
      <c r="V40" s="511"/>
      <c r="X40" s="99"/>
      <c r="Y40" s="99"/>
      <c r="Z40" s="99"/>
      <c r="AA40" s="99"/>
      <c r="AB40" s="104">
        <f>SUM(AB16:AB39)</f>
        <v>0</v>
      </c>
      <c r="AC40" s="104">
        <f>SUM(AC16:AC39)</f>
        <v>0</v>
      </c>
      <c r="AD40" s="92" t="str">
        <f>IF(OR(COUNTBLANK(D16:E39)+COUNTBLANK(O16:P39)=0,COUNTA(S16:V39)&lt;&gt;0),"","CEK : Blank Data - Remarks")</f>
        <v/>
      </c>
      <c r="AG40" s="90" t="str">
        <f>IF(COUNTIF(AG16:AG39,"")=COUNTA(AG16:AG39),"","CEK : Data Flowrate")</f>
        <v/>
      </c>
      <c r="AH40" s="204" t="s">
        <v>311</v>
      </c>
    </row>
    <row r="41" spans="1:55" ht="20.100000000000001" hidden="1" customHeight="1" thickBot="1" x14ac:dyDescent="0.3">
      <c r="A41" s="49" t="s">
        <v>12</v>
      </c>
      <c r="B41" s="52" t="str">
        <f>IF(COUNT(B16:B39)&gt;0,ROUND(MIN(B16:B39),2),"")</f>
        <v/>
      </c>
      <c r="C41" s="52" t="str">
        <f>IF(COUNT(C16:C39)&gt;0,ROUND(MIN(C16:C39),2),"")</f>
        <v/>
      </c>
      <c r="D41" s="52">
        <f>IF(COUNT(D16:D39)&gt;0,ROUND(MIN(D16:D39),2),"")</f>
        <v>6.1</v>
      </c>
      <c r="E41" s="52">
        <f>IF(COUNT(E16:E39)&gt;0,ROUND(MIN(E16:E39),2),"")</f>
        <v>59.3</v>
      </c>
      <c r="F41" s="51">
        <f>IF(COUNT(F16:F39)&gt;0,ROUND(MIN(F16:F39),0),"")</f>
        <v>1930</v>
      </c>
      <c r="G41" s="50">
        <f>IF(COUNT(G16:G39)&gt;0,MIN(G16:G39),"")</f>
        <v>-5.5</v>
      </c>
      <c r="H41" s="50">
        <f>IF(COUNT(H16:H39)&gt;0,MIN(H16:H39),"")</f>
        <v>71</v>
      </c>
      <c r="I41" s="50">
        <f>IF(COUNT(I16:I39)&gt;0,MIN(I16:I39),"")</f>
        <v>21</v>
      </c>
      <c r="J41" s="72"/>
      <c r="K41" s="50">
        <f>IF(COUNT(K16:K39)&gt;0,MIN(K16:K39),"")</f>
        <v>13</v>
      </c>
      <c r="L41" s="52">
        <f>IF(COUNT(L16:L39)&gt;0,ROUND(MIN(L16:L39),1),"")</f>
        <v>121</v>
      </c>
      <c r="M41" s="52">
        <f>IF(COUNT(M16:M39)&gt;0,ROUND(MIN(M16:M39),1),"")</f>
        <v>220</v>
      </c>
      <c r="N41" s="52">
        <f>IF(COUNT(N16:N39)&gt;0,ROUND(MIN(N16:N39),1),"")</f>
        <v>85</v>
      </c>
      <c r="O41" s="440">
        <f>IF(COUNT(O16:O39)&gt;0,ROUND(MIN(O16:O39),1),"")</f>
        <v>50</v>
      </c>
      <c r="P41" s="440">
        <f>IF(COUNT(P16:P39)&gt;0,ROUND(MIN(P16:P39),1),"")</f>
        <v>5</v>
      </c>
      <c r="Q41" s="440">
        <f>IF(COUNT(Q16:Q39)&gt;0,ROUND(MIN(Q16:Q39),4),"")</f>
        <v>161.77000000000001</v>
      </c>
      <c r="R41" s="121" t="str">
        <f>IF(COUNT(R16:R39)&gt;0,ROUND(MIN(R16:R39),1),"")</f>
        <v/>
      </c>
      <c r="S41" s="509"/>
      <c r="T41" s="510"/>
      <c r="U41" s="510"/>
      <c r="V41" s="511"/>
      <c r="X41" s="99"/>
      <c r="Y41" s="99"/>
      <c r="Z41" s="99"/>
      <c r="AA41" s="99"/>
      <c r="AB41" s="99"/>
      <c r="AC41" s="99"/>
      <c r="AH41" s="204" t="s">
        <v>318</v>
      </c>
    </row>
    <row r="42" spans="1:55" ht="20.100000000000001" hidden="1" customHeight="1" thickBot="1" x14ac:dyDescent="0.3">
      <c r="A42" s="21" t="s">
        <v>13</v>
      </c>
      <c r="B42" s="454" t="str">
        <f>IF(COUNT(B16:B39)&gt;0,ROUND(MAX(B16:B39),2),"")</f>
        <v/>
      </c>
      <c r="C42" s="454" t="str">
        <f>IF(COUNT(C16:C39)&gt;0,ROUND(MAX(C16:C39),2),"")</f>
        <v/>
      </c>
      <c r="D42" s="454">
        <f>IF(COUNT(D16:D39)&gt;0,ROUND(MAX(D16:D39),2),"")</f>
        <v>7.9</v>
      </c>
      <c r="E42" s="454">
        <f>IF(COUNT(E16:E39)&gt;0,ROUND(MAX(E16:E39),2),"")</f>
        <v>65.5</v>
      </c>
      <c r="F42" s="43">
        <f>IF(COUNT(F16:F39)&gt;0,ROUND(MAX(F16:F39),0),"")</f>
        <v>1986</v>
      </c>
      <c r="G42" s="39">
        <f>IF(COUNT(G16:G39)&gt;0,MAX(G16:G39),"")</f>
        <v>-5.5</v>
      </c>
      <c r="H42" s="39">
        <f>IF(COUNT(H16:H39)&gt;0,MAX(H16:H39),"")</f>
        <v>71.900000000000006</v>
      </c>
      <c r="I42" s="39">
        <f>IF(COUNT(I16:I39)&gt;0,MAX(I16:I39),"")</f>
        <v>21.9</v>
      </c>
      <c r="J42" s="43">
        <f>IF(COUNT(J16:J39)&gt;0,MAX(J16:J39),"")</f>
        <v>247</v>
      </c>
      <c r="K42" s="39">
        <f>IF(COUNT(K16:K39)&gt;0,MAX(K16:K39),"")</f>
        <v>13</v>
      </c>
      <c r="L42" s="454">
        <f>IF(COUNT(L16:L39)&gt;0,ROUND(MAX(L16:L39),1),"")</f>
        <v>129</v>
      </c>
      <c r="M42" s="454">
        <f>IF(COUNT(M16:M39)&gt;0,ROUND(MAX(M16:M39),1),"")</f>
        <v>229</v>
      </c>
      <c r="N42" s="454">
        <f>IF(COUNT(N16:N39)&gt;0,ROUND(MAX(N16:N39),1),"")</f>
        <v>85</v>
      </c>
      <c r="O42" s="441">
        <f>IF(COUNT(O16:O39)&gt;0,ROUND(MAX(O16:O39),1),"")</f>
        <v>55</v>
      </c>
      <c r="P42" s="441">
        <f>IF(COUNT(P16:P39)&gt;0,ROUND(MAX(P16:P39),1),"")</f>
        <v>11</v>
      </c>
      <c r="Q42" s="441">
        <f>IF(COUNT(Q16:Q39)&gt;0,ROUND(MAX(Q16:Q39),4),"")</f>
        <v>248.35</v>
      </c>
      <c r="R42" s="39" t="str">
        <f>IF(COUNT(R16:R39)&gt;0,ROUND(MAX(R16:R39),1),"")</f>
        <v/>
      </c>
      <c r="S42" s="509"/>
      <c r="T42" s="510"/>
      <c r="U42" s="510"/>
      <c r="V42" s="511"/>
      <c r="X42" s="99"/>
      <c r="Y42" s="99"/>
      <c r="Z42" s="99"/>
      <c r="AA42" s="99"/>
      <c r="AB42" s="99"/>
      <c r="AC42" s="99"/>
      <c r="AH42" s="204" t="s">
        <v>312</v>
      </c>
    </row>
    <row r="43" spans="1:55" ht="20.100000000000001" hidden="1" customHeight="1" x14ac:dyDescent="0.25">
      <c r="A43" s="109"/>
      <c r="B43" s="110">
        <f>COUNT(B16:B39)</f>
        <v>0</v>
      </c>
      <c r="C43" s="110">
        <f>COUNT(C16:C39)</f>
        <v>0</v>
      </c>
      <c r="D43" s="110">
        <f>COUNT(D16:D39)</f>
        <v>24</v>
      </c>
      <c r="E43" s="110">
        <f t="shared" ref="E43:H43" si="24">COUNT(E16:E39)</f>
        <v>24</v>
      </c>
      <c r="F43" s="110">
        <f t="shared" si="24"/>
        <v>24</v>
      </c>
      <c r="G43" s="110">
        <f t="shared" si="24"/>
        <v>24</v>
      </c>
      <c r="H43" s="110">
        <f t="shared" si="24"/>
        <v>24</v>
      </c>
      <c r="I43" s="110"/>
      <c r="J43" s="110"/>
      <c r="K43" s="110"/>
      <c r="L43" s="110">
        <f t="shared" ref="L43:Q43" si="25">COUNT(L16:L39)</f>
        <v>24</v>
      </c>
      <c r="M43" s="110">
        <f t="shared" si="25"/>
        <v>24</v>
      </c>
      <c r="N43" s="110">
        <f t="shared" si="25"/>
        <v>24</v>
      </c>
      <c r="O43" s="110">
        <f t="shared" si="25"/>
        <v>24</v>
      </c>
      <c r="P43" s="110">
        <f t="shared" si="25"/>
        <v>24</v>
      </c>
      <c r="Q43" s="110">
        <f t="shared" si="25"/>
        <v>24</v>
      </c>
      <c r="R43" s="110"/>
      <c r="S43" s="99"/>
      <c r="T43" s="99"/>
      <c r="U43" s="99"/>
      <c r="V43" s="99"/>
      <c r="X43" s="99"/>
      <c r="Y43" s="99"/>
      <c r="Z43" s="99"/>
      <c r="AA43" s="99"/>
      <c r="AB43" s="99"/>
      <c r="AC43" s="99"/>
      <c r="AD43" s="92" t="str">
        <f>IF(AND(D43=E43,D43=F43,D43=G43,D43=H43,D43=L43,D43=M43,D43=N43,D43=O43,D43=P43,D43=Q43),"","CEK : Data Content")</f>
        <v/>
      </c>
      <c r="AH43" s="204" t="s">
        <v>221</v>
      </c>
    </row>
    <row r="44" spans="1:55" s="6" customFormat="1" ht="15" customHeight="1" x14ac:dyDescent="0.25">
      <c r="J44" s="91" t="str">
        <f>IF(J1="PRINT","",IF(J42="","RH please ! !",""))</f>
        <v/>
      </c>
      <c r="L44" s="24"/>
      <c r="Q44" s="445">
        <f>IFERROR(ROUND(AVERAGE(Q16:Q39),4),"")</f>
        <v>211.18459999999999</v>
      </c>
      <c r="AH44" s="204" t="s">
        <v>323</v>
      </c>
      <c r="AI44" s="7"/>
    </row>
    <row r="45" spans="1:55" s="6" customFormat="1" ht="15" customHeight="1" x14ac:dyDescent="0.25">
      <c r="L45" s="26" t="s">
        <v>290</v>
      </c>
      <c r="Q45" s="445"/>
      <c r="AH45" s="204" t="s">
        <v>288</v>
      </c>
      <c r="AI45" s="7"/>
    </row>
    <row r="46" spans="1:55" s="6" customFormat="1" ht="15" customHeight="1" x14ac:dyDescent="0.25">
      <c r="D46" s="443" t="s">
        <v>90</v>
      </c>
      <c r="E46" s="448" t="str">
        <f>IF(Schedule!C$11="","",Schedule!C$11)</f>
        <v/>
      </c>
      <c r="G46" s="61"/>
      <c r="H46" s="25" t="str">
        <f>IFERROR(IF(OR(I47="",I48="",I49=""),"WAKTU BELUM DI-ISI LENGKAP",IF(SUM(I48:I49)&lt;=1,"","CEK KEMBALI PENULISAN WAKTU SALAH")),"CEK KEMBALI PENULISAN WAKTU SALAH")</f>
        <v/>
      </c>
      <c r="L46" s="26" t="s">
        <v>22</v>
      </c>
      <c r="M46" s="460">
        <f>IF(Volume!$W10="",$O46,Volume!$W10)</f>
        <v>48.8063</v>
      </c>
      <c r="N46" s="27" t="s">
        <v>1</v>
      </c>
      <c r="O46" s="447">
        <f>IF(O40="","",O40)</f>
        <v>53.3</v>
      </c>
      <c r="P46" s="361" t="s">
        <v>29</v>
      </c>
      <c r="Q46" s="362"/>
      <c r="R46" s="362"/>
      <c r="S46" s="362"/>
      <c r="T46" s="361" t="s">
        <v>30</v>
      </c>
      <c r="U46" s="362"/>
      <c r="V46" s="362"/>
      <c r="AH46" s="204" t="s">
        <v>222</v>
      </c>
    </row>
    <row r="47" spans="1:55" s="6" customFormat="1" ht="15" customHeight="1" x14ac:dyDescent="0.25">
      <c r="D47" s="448"/>
      <c r="E47" s="448"/>
      <c r="H47" s="26" t="s">
        <v>26</v>
      </c>
      <c r="I47" s="56">
        <f>IF(OR(I48="",I49=""),"",1-I48-I49)</f>
        <v>1</v>
      </c>
      <c r="J47" s="27" t="s">
        <v>19</v>
      </c>
      <c r="L47" s="26" t="s">
        <v>23</v>
      </c>
      <c r="M47" s="442">
        <f>IF(Volume!$Y10="",$O47,Volume!$Y10)</f>
        <v>8.1892999999999994</v>
      </c>
      <c r="N47" s="27" t="s">
        <v>14</v>
      </c>
      <c r="O47" s="447">
        <f>IF(P40="","",P40)</f>
        <v>8.1999999999999993</v>
      </c>
      <c r="P47" s="361" t="s">
        <v>211</v>
      </c>
      <c r="Q47" s="362"/>
      <c r="R47" s="362"/>
      <c r="S47" s="362"/>
      <c r="T47" s="361" t="s">
        <v>271</v>
      </c>
      <c r="U47" s="362"/>
      <c r="V47" s="362"/>
      <c r="AH47" s="204" t="s">
        <v>223</v>
      </c>
    </row>
    <row r="48" spans="1:55" s="6" customFormat="1" ht="15" customHeight="1" x14ac:dyDescent="0.25">
      <c r="D48" s="443" t="s">
        <v>91</v>
      </c>
      <c r="E48" s="448" t="str">
        <f>IF(Schedule!D$11="","",Schedule!D$11)</f>
        <v/>
      </c>
      <c r="H48" s="26" t="s">
        <v>37</v>
      </c>
      <c r="I48" s="108">
        <f>IF(OR(COUNT($Q$16:$Q$39)&lt;&gt;0,COUNTA($AD$16:$AD$39)&lt;&gt;0),AB40,"")</f>
        <v>0</v>
      </c>
      <c r="J48" s="27" t="s">
        <v>19</v>
      </c>
      <c r="L48" s="26" t="s">
        <v>24</v>
      </c>
      <c r="M48" s="449">
        <f>IF(N40="","",N40)</f>
        <v>85</v>
      </c>
      <c r="N48" s="27" t="s">
        <v>5</v>
      </c>
      <c r="P48" s="362"/>
      <c r="Q48" s="362"/>
      <c r="R48" s="362"/>
      <c r="S48" s="362"/>
      <c r="T48" s="361" t="s">
        <v>291</v>
      </c>
      <c r="U48" s="362"/>
      <c r="V48" s="362"/>
      <c r="AH48" s="204" t="s">
        <v>324</v>
      </c>
    </row>
    <row r="49" spans="1:34" s="6" customFormat="1" ht="15" customHeight="1" x14ac:dyDescent="0.25">
      <c r="D49" s="448"/>
      <c r="E49" s="448"/>
      <c r="H49" s="26" t="s">
        <v>27</v>
      </c>
      <c r="I49" s="108">
        <f>IF(OR(COUNT($Q$16:$Q$39)&lt;&gt;0,COUNTA($AD$16:$AD$39)&lt;&gt;0),AC40,"")</f>
        <v>0</v>
      </c>
      <c r="J49" s="27" t="s">
        <v>19</v>
      </c>
      <c r="L49" s="26" t="s">
        <v>128</v>
      </c>
      <c r="M49" s="442">
        <f>IF(Volume!$L10="",M51,Volume!$L10)</f>
        <v>199.6</v>
      </c>
      <c r="N49" s="27" t="str">
        <f>IF(Q15="MSCFD","MSCF","MMSCF")</f>
        <v>MSCF</v>
      </c>
      <c r="P49" s="362"/>
      <c r="Q49" s="362"/>
      <c r="R49" s="362"/>
      <c r="S49" s="362"/>
      <c r="T49" s="362"/>
      <c r="U49" s="362"/>
      <c r="V49" s="362"/>
      <c r="AH49" s="204" t="s">
        <v>317</v>
      </c>
    </row>
    <row r="50" spans="1:34" s="6" customFormat="1" ht="15" customHeight="1" x14ac:dyDescent="0.25">
      <c r="D50" s="443" t="s">
        <v>92</v>
      </c>
      <c r="E50" s="448" t="str">
        <f>IF(Schedule!E$11="","",Schedule!E$11)</f>
        <v>Marihot Gustafa S.</v>
      </c>
      <c r="L50" s="443" t="str">
        <f>CONCATENATE(MR!L16," ",":")</f>
        <v>Liquid Gain :</v>
      </c>
      <c r="M50" s="446" t="str">
        <f>IF(R40="","",ROUND(SUM(R16:R39),2))</f>
        <v/>
      </c>
      <c r="N50" s="444" t="str">
        <f>R15</f>
        <v>BPD</v>
      </c>
      <c r="P50" s="362"/>
      <c r="Q50" s="362"/>
      <c r="R50" s="362"/>
      <c r="S50" s="362"/>
      <c r="T50" s="362"/>
      <c r="U50" s="362"/>
      <c r="V50" s="362"/>
      <c r="AH50" s="204" t="s">
        <v>282</v>
      </c>
    </row>
    <row r="51" spans="1:34" s="6" customFormat="1" ht="15" customHeight="1" x14ac:dyDescent="0.25">
      <c r="A51" s="4"/>
      <c r="L51" s="443" t="s">
        <v>286</v>
      </c>
      <c r="M51" s="447">
        <f>IF(Q44="","",IF(SUM(I48:I49)=1,IF(Q44&lt;&gt;0,"Cek Tabel",""),ROUND(Q44*I47,4)))</f>
        <v>211.18459999999999</v>
      </c>
      <c r="N51" s="444" t="str">
        <f>IF(Q15="MSCFD","MSCF","MMSCF")</f>
        <v>MSCF</v>
      </c>
      <c r="P51" s="362"/>
      <c r="Q51" s="362"/>
      <c r="R51" s="362"/>
      <c r="S51" s="362"/>
      <c r="T51" s="362"/>
      <c r="U51" s="362"/>
      <c r="V51" s="362"/>
      <c r="AH51" s="204" t="s">
        <v>325</v>
      </c>
    </row>
    <row r="52" spans="1:34" s="6" customFormat="1" ht="15" customHeight="1" x14ac:dyDescent="0.25">
      <c r="D52" s="26" t="s">
        <v>28</v>
      </c>
      <c r="E52" s="47"/>
      <c r="F52" s="47"/>
      <c r="G52" s="47"/>
      <c r="H52" s="47"/>
      <c r="I52" s="47"/>
      <c r="J52" s="47"/>
      <c r="K52" s="47"/>
      <c r="L52" s="5"/>
      <c r="P52" s="362"/>
      <c r="Q52" s="362"/>
      <c r="R52" s="362"/>
      <c r="S52" s="362"/>
      <c r="T52" s="362"/>
      <c r="U52" s="362"/>
      <c r="V52" s="362"/>
      <c r="AH52" s="204" t="s">
        <v>280</v>
      </c>
    </row>
    <row r="53" spans="1:34" s="6" customFormat="1" ht="15" customHeight="1" x14ac:dyDescent="0.25">
      <c r="D53" s="5"/>
      <c r="E53" s="48"/>
      <c r="F53" s="48"/>
      <c r="G53" s="48"/>
      <c r="H53" s="48"/>
      <c r="I53" s="48"/>
      <c r="J53" s="48"/>
      <c r="K53" s="48"/>
      <c r="L53" s="5"/>
      <c r="P53" s="363" t="str">
        <f>UPPER(E50)</f>
        <v>MARIHOT GUSTAFA S.</v>
      </c>
      <c r="Q53" s="362"/>
      <c r="R53" s="362"/>
      <c r="S53" s="362"/>
      <c r="T53" s="363" t="str">
        <f>IF(Schedule!F$11="","",UPPER(Schedule!F$11))</f>
        <v>BUDI WIDHARTONO</v>
      </c>
      <c r="U53" s="362"/>
      <c r="V53" s="362"/>
      <c r="AH53" s="204" t="s">
        <v>316</v>
      </c>
    </row>
    <row r="54" spans="1:34" s="6" customFormat="1" ht="15" customHeight="1" x14ac:dyDescent="0.25">
      <c r="E54" s="48"/>
      <c r="F54" s="48"/>
      <c r="G54" s="48"/>
      <c r="H54" s="48"/>
      <c r="I54" s="48"/>
      <c r="J54" s="48"/>
      <c r="K54" s="48"/>
      <c r="P54" s="361" t="s">
        <v>107</v>
      </c>
      <c r="Q54" s="362"/>
      <c r="R54" s="362"/>
      <c r="S54" s="362"/>
      <c r="T54" s="361" t="s">
        <v>294</v>
      </c>
      <c r="U54" s="362"/>
      <c r="V54" s="362"/>
      <c r="AH54" s="204" t="s">
        <v>326</v>
      </c>
    </row>
    <row r="55" spans="1:34" s="6" customFormat="1" ht="15" customHeight="1" x14ac:dyDescent="0.25">
      <c r="P55" s="364" t="str">
        <f>CONCATENATE("Date : ",TEXT(K12,"[$-409]d mmm yyyy;@"))</f>
        <v>Date : 7 Jun 2025</v>
      </c>
      <c r="Q55" s="362"/>
      <c r="R55" s="364"/>
      <c r="S55" s="362"/>
      <c r="T55" s="364" t="str">
        <f>CONCATENATE("Date : ",TEXT(K12,"[$-409]d mmm yyyy;@"))</f>
        <v>Date : 7 Jun 2025</v>
      </c>
      <c r="U55" s="362"/>
      <c r="V55" s="362"/>
      <c r="AH55" s="204" t="s">
        <v>327</v>
      </c>
    </row>
    <row r="56" spans="1:34" ht="15" customHeight="1" x14ac:dyDescent="0.25">
      <c r="AH56" s="204" t="s">
        <v>281</v>
      </c>
    </row>
    <row r="57" spans="1:34" ht="15" customHeight="1" x14ac:dyDescent="0.25">
      <c r="AH57" s="204" t="s">
        <v>277</v>
      </c>
    </row>
    <row r="58" spans="1:34" ht="15" customHeight="1" x14ac:dyDescent="0.25">
      <c r="AH58" s="204" t="s">
        <v>328</v>
      </c>
    </row>
    <row r="59" spans="1:34" ht="15" customHeight="1" x14ac:dyDescent="0.25">
      <c r="AH59" s="204" t="s">
        <v>329</v>
      </c>
    </row>
    <row r="60" spans="1:34" ht="15" customHeight="1" x14ac:dyDescent="0.25">
      <c r="AH60" s="204" t="s">
        <v>330</v>
      </c>
    </row>
    <row r="61" spans="1:34" ht="15" customHeight="1" x14ac:dyDescent="0.25">
      <c r="AH61" s="204" t="s">
        <v>331</v>
      </c>
    </row>
    <row r="62" spans="1:34" ht="15" customHeight="1" x14ac:dyDescent="0.25">
      <c r="AH62" s="204" t="s">
        <v>332</v>
      </c>
    </row>
    <row r="63" spans="1:34" ht="15" customHeight="1" x14ac:dyDescent="0.25">
      <c r="AH63" s="204" t="s">
        <v>315</v>
      </c>
    </row>
    <row r="64" spans="1:34" ht="15" customHeight="1" x14ac:dyDescent="0.25">
      <c r="AH64" s="204" t="s">
        <v>333</v>
      </c>
    </row>
    <row r="65" spans="34:34" ht="15" customHeight="1" x14ac:dyDescent="0.25">
      <c r="AH65" s="204" t="s">
        <v>310</v>
      </c>
    </row>
    <row r="66" spans="34:34" ht="15" customHeight="1" x14ac:dyDescent="0.25">
      <c r="AH66" s="204" t="s">
        <v>334</v>
      </c>
    </row>
    <row r="67" spans="34:34" ht="15" customHeight="1" x14ac:dyDescent="0.25">
      <c r="AH67" s="204" t="s">
        <v>335</v>
      </c>
    </row>
    <row r="68" spans="34:34" ht="15" customHeight="1" x14ac:dyDescent="0.25">
      <c r="AH68" s="204" t="s">
        <v>336</v>
      </c>
    </row>
    <row r="69" spans="34:34" ht="15" customHeight="1" x14ac:dyDescent="0.25">
      <c r="AH69" s="204" t="s">
        <v>337</v>
      </c>
    </row>
    <row r="70" spans="34:34" ht="15" customHeight="1" x14ac:dyDescent="0.25">
      <c r="AH70" s="204" t="s">
        <v>338</v>
      </c>
    </row>
    <row r="71" spans="34:34" ht="15" customHeight="1" x14ac:dyDescent="0.25">
      <c r="AH71" s="204" t="s">
        <v>339</v>
      </c>
    </row>
    <row r="72" spans="34:34" ht="15" customHeight="1" x14ac:dyDescent="0.25">
      <c r="AH72" s="204" t="s">
        <v>340</v>
      </c>
    </row>
    <row r="85" spans="34:34" ht="0" hidden="1" customHeight="1" x14ac:dyDescent="0.25">
      <c r="AH85" s="6"/>
    </row>
    <row r="86" spans="34:34" ht="0" hidden="1" customHeight="1" x14ac:dyDescent="0.25">
      <c r="AH86" s="6"/>
    </row>
    <row r="87" spans="34:34" ht="0" hidden="1" customHeight="1" x14ac:dyDescent="0.25">
      <c r="AH87" s="6"/>
    </row>
    <row r="88" spans="34:34" ht="0" hidden="1" customHeight="1" x14ac:dyDescent="0.25">
      <c r="AH88" s="6"/>
    </row>
    <row r="89" spans="34:34" ht="0" hidden="1" customHeight="1" x14ac:dyDescent="0.25">
      <c r="AH89" s="6"/>
    </row>
    <row r="90" spans="34:34" ht="0" hidden="1" customHeight="1" x14ac:dyDescent="0.25">
      <c r="AH90" s="6"/>
    </row>
    <row r="91" spans="34:34" ht="0" hidden="1" customHeight="1" x14ac:dyDescent="0.25">
      <c r="AH91" s="6"/>
    </row>
    <row r="92" spans="34:34" ht="0" hidden="1" customHeight="1" x14ac:dyDescent="0.25">
      <c r="AH92" s="6"/>
    </row>
    <row r="93" spans="34:34" ht="0" hidden="1" customHeight="1" x14ac:dyDescent="0.25">
      <c r="AH93" s="6"/>
    </row>
    <row r="94" spans="34:34" ht="0" hidden="1" customHeight="1" x14ac:dyDescent="0.25">
      <c r="AH94" s="6"/>
    </row>
  </sheetData>
  <sheetProtection algorithmName="SHA-512" hashValue="ER9LquRAeuSo/7EFO52sTrGO0EY9NR3xgDJ/AMTjDcXGwGOyPoW6/saA+yqCKCWGLZ25unILZ8Hznweq13xNaQ==" saltValue="+jePFJUJL4NvfYrYwh257A==" spinCount="100000" sheet="1" objects="1" scenarios="1" formatColumns="0" formatRows="0" insertColumns="0" insertRows="0" sort="0" autoFilter="0" pivotTables="0"/>
  <mergeCells count="69">
    <mergeCell ref="S37:V37"/>
    <mergeCell ref="S38:V38"/>
    <mergeCell ref="S39:V39"/>
    <mergeCell ref="S40:V40"/>
    <mergeCell ref="S41:V42"/>
    <mergeCell ref="S36:V36"/>
    <mergeCell ref="S25:V25"/>
    <mergeCell ref="S26:V26"/>
    <mergeCell ref="S27:V27"/>
    <mergeCell ref="S28:V28"/>
    <mergeCell ref="S29:V29"/>
    <mergeCell ref="S30:V30"/>
    <mergeCell ref="S31:V31"/>
    <mergeCell ref="S32:V32"/>
    <mergeCell ref="S33:V33"/>
    <mergeCell ref="S34:V34"/>
    <mergeCell ref="S35:V35"/>
    <mergeCell ref="S19:V19"/>
    <mergeCell ref="S20:V20"/>
    <mergeCell ref="S21:V21"/>
    <mergeCell ref="S22:V22"/>
    <mergeCell ref="S23:V23"/>
    <mergeCell ref="S24:V24"/>
    <mergeCell ref="BA14:BA15"/>
    <mergeCell ref="BB14:BB15"/>
    <mergeCell ref="BC14:BC15"/>
    <mergeCell ref="S16:V16"/>
    <mergeCell ref="S17:V17"/>
    <mergeCell ref="S18:V18"/>
    <mergeCell ref="AU14:AU15"/>
    <mergeCell ref="AV14:AV15"/>
    <mergeCell ref="AW14:AW15"/>
    <mergeCell ref="AX14:AX15"/>
    <mergeCell ref="AY14:AY15"/>
    <mergeCell ref="AZ14:AZ15"/>
    <mergeCell ref="AO14:AO15"/>
    <mergeCell ref="AP14:AP15"/>
    <mergeCell ref="AQ14:AQ15"/>
    <mergeCell ref="AR14:AR15"/>
    <mergeCell ref="AS14:AS15"/>
    <mergeCell ref="AT14:AT15"/>
    <mergeCell ref="AD14:AD15"/>
    <mergeCell ref="AJ14:AJ15"/>
    <mergeCell ref="AK14:AK15"/>
    <mergeCell ref="AL14:AL15"/>
    <mergeCell ref="AM14:AM15"/>
    <mergeCell ref="AN14:AN15"/>
    <mergeCell ref="Y14:AC14"/>
    <mergeCell ref="H13:H14"/>
    <mergeCell ref="I13:I14"/>
    <mergeCell ref="J13:J14"/>
    <mergeCell ref="K13:K14"/>
    <mergeCell ref="L13:L14"/>
    <mergeCell ref="M13:N13"/>
    <mergeCell ref="Q13:Q14"/>
    <mergeCell ref="R13:R14"/>
    <mergeCell ref="S13:V15"/>
    <mergeCell ref="O13:O14"/>
    <mergeCell ref="P13:P14"/>
    <mergeCell ref="A10:V10"/>
    <mergeCell ref="A11:V11"/>
    <mergeCell ref="K12:L12"/>
    <mergeCell ref="A13:A15"/>
    <mergeCell ref="B13:B14"/>
    <mergeCell ref="C13:C14"/>
    <mergeCell ref="D13:D14"/>
    <mergeCell ref="E13:E14"/>
    <mergeCell ref="F13:F14"/>
    <mergeCell ref="G13:G14"/>
  </mergeCells>
  <conditionalFormatting sqref="I47">
    <cfRule type="cellIs" dxfId="122" priority="5" operator="lessThan">
      <formula>0</formula>
    </cfRule>
  </conditionalFormatting>
  <conditionalFormatting sqref="Y16:Y39">
    <cfRule type="containsText" dxfId="121" priority="3" operator="containsText" text="STBY">
      <formula>NOT(ISERROR(SEARCH("STBY",Y16)))</formula>
    </cfRule>
    <cfRule type="containsText" dxfId="120" priority="4" operator="containsText" text="SD">
      <formula>NOT(ISERROR(SEARCH("SD",Y16)))</formula>
    </cfRule>
  </conditionalFormatting>
  <conditionalFormatting sqref="B16:B39 D16:R39">
    <cfRule type="expression" dxfId="119" priority="2">
      <formula>ISTEXT(B16)</formula>
    </cfRule>
  </conditionalFormatting>
  <conditionalFormatting sqref="C16:C39">
    <cfRule type="expression" dxfId="118" priority="1">
      <formula>ISTEXT(C16)</formula>
    </cfRule>
  </conditionalFormatting>
  <dataValidations count="2">
    <dataValidation type="list" allowBlank="1" showInputMessage="1" showErrorMessage="1" sqref="Y16:Y39" xr:uid="{F3C44B63-0DDB-4427-81D3-87ACB96C425E}">
      <formula1>"SD,STBY"</formula1>
    </dataValidation>
    <dataValidation type="list" allowBlank="1" showInputMessage="1" sqref="AD16:AD39" xr:uid="{3DCAACA6-0766-4C20-8DCE-80AD8345D876}">
      <formula1>$AH$15:$AH$72</formula1>
    </dataValidation>
  </dataValidations>
  <printOptions horizontalCentered="1"/>
  <pageMargins left="0.39370078740157483" right="0.39370078740157483" top="0.59055118110236227" bottom="0.39370078740157483" header="0.31496062992125984" footer="0.31496062992125984"/>
  <pageSetup paperSize="9" scale="57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BCBD2-0CB2-4DDF-B5D4-CD4A03AA2EE6}">
  <sheetPr codeName="N08">
    <pageSetUpPr fitToPage="1"/>
  </sheetPr>
  <dimension ref="A1:BC94"/>
  <sheetViews>
    <sheetView topLeftCell="A16" zoomScale="85" zoomScaleNormal="85" workbookViewId="0">
      <selection activeCell="N18" sqref="N18"/>
    </sheetView>
  </sheetViews>
  <sheetFormatPr defaultColWidth="0" defaultRowHeight="0" customHeight="1" zeroHeight="1" x14ac:dyDescent="0.25"/>
  <cols>
    <col min="1" max="1" width="10.7109375" style="7" customWidth="1"/>
    <col min="2" max="3" width="10.7109375" style="7" hidden="1" customWidth="1"/>
    <col min="4" max="14" width="10.7109375" style="7" customWidth="1"/>
    <col min="15" max="17" width="11.7109375" style="7" customWidth="1"/>
    <col min="18" max="18" width="10.7109375" style="7" hidden="1" customWidth="1"/>
    <col min="19" max="22" width="10.7109375" style="7" customWidth="1"/>
    <col min="23" max="23" width="2.7109375" style="7" customWidth="1"/>
    <col min="24" max="29" width="10.7109375" style="7" customWidth="1"/>
    <col min="30" max="30" width="30.7109375" style="7" customWidth="1"/>
    <col min="31" max="33" width="11.7109375" style="7" customWidth="1"/>
    <col min="34" max="34" width="30.7109375" style="7" customWidth="1"/>
    <col min="35" max="35" width="2.7109375" style="7" hidden="1" customWidth="1"/>
    <col min="36" max="55" width="11.7109375" style="7" hidden="1" customWidth="1"/>
    <col min="56" max="16384" width="9.140625" style="7" hidden="1"/>
  </cols>
  <sheetData>
    <row r="1" spans="1:55" ht="15" customHeight="1" x14ac:dyDescent="0.25">
      <c r="A1" s="7" t="s">
        <v>16</v>
      </c>
      <c r="D1" s="11" t="s">
        <v>85</v>
      </c>
      <c r="J1" s="7" t="str">
        <f>IF(MR!U13="Yes","PRINT","No")</f>
        <v>PRINT</v>
      </c>
      <c r="M1" s="191"/>
      <c r="N1" s="191"/>
    </row>
    <row r="2" spans="1:55" ht="15" customHeight="1" thickBot="1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192"/>
      <c r="M2" s="4"/>
      <c r="N2" s="4"/>
      <c r="O2" s="4"/>
      <c r="P2" s="4"/>
      <c r="Q2" s="4"/>
      <c r="R2" s="4"/>
      <c r="S2" s="8"/>
      <c r="T2" s="8"/>
      <c r="U2" s="8"/>
      <c r="V2" s="8"/>
      <c r="X2" s="8"/>
      <c r="Y2" s="8"/>
      <c r="Z2" s="8"/>
      <c r="AA2" s="8"/>
      <c r="AB2" s="8"/>
      <c r="AC2" s="8"/>
      <c r="AD2" s="8"/>
      <c r="AE2" s="8"/>
    </row>
    <row r="3" spans="1:55" ht="15" customHeight="1" x14ac:dyDescent="0.2">
      <c r="A3" s="31"/>
      <c r="B3" s="28"/>
      <c r="C3" s="28"/>
      <c r="D3" s="28"/>
      <c r="E3" s="28"/>
      <c r="F3" s="13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2"/>
      <c r="T3" s="22"/>
      <c r="U3" s="22"/>
      <c r="V3" s="23"/>
      <c r="X3" s="8"/>
      <c r="Y3" s="8"/>
      <c r="Z3" s="8"/>
      <c r="AA3" s="8"/>
      <c r="AB3" s="8"/>
      <c r="AC3" s="8"/>
      <c r="AD3" s="8"/>
      <c r="AE3" s="8"/>
    </row>
    <row r="4" spans="1:55" ht="30" customHeight="1" x14ac:dyDescent="0.25">
      <c r="A4" s="30"/>
      <c r="B4" s="1"/>
      <c r="C4" s="1"/>
      <c r="D4" s="1"/>
      <c r="E4" s="3"/>
      <c r="F4" s="63" t="s">
        <v>210</v>
      </c>
      <c r="G4" s="1"/>
      <c r="H4" s="1"/>
      <c r="I4" s="3"/>
      <c r="J4" s="3"/>
      <c r="K4" s="3"/>
      <c r="L4" s="3"/>
      <c r="M4" s="3"/>
      <c r="N4" s="3"/>
      <c r="O4" s="3"/>
      <c r="P4" s="3"/>
      <c r="Q4" s="3"/>
      <c r="R4" s="3"/>
      <c r="S4" s="1"/>
      <c r="T4" s="1"/>
      <c r="U4" s="1"/>
      <c r="V4" s="2"/>
      <c r="X4" s="5"/>
      <c r="Y4" s="5"/>
      <c r="Z4" s="5"/>
      <c r="AA4" s="5"/>
      <c r="AB4" s="5"/>
      <c r="AC4" s="5"/>
      <c r="AD4" s="5"/>
      <c r="AE4" s="5"/>
    </row>
    <row r="5" spans="1:55" ht="15" customHeight="1" x14ac:dyDescent="0.2">
      <c r="A5" s="32"/>
      <c r="B5" s="33"/>
      <c r="C5" s="33"/>
      <c r="D5" s="12"/>
      <c r="E5" s="3"/>
      <c r="F5" s="10" t="s">
        <v>129</v>
      </c>
      <c r="G5" s="1"/>
      <c r="H5" s="1"/>
      <c r="I5" s="3"/>
      <c r="J5" s="3"/>
      <c r="K5" s="3"/>
      <c r="L5" s="3"/>
      <c r="M5" s="3"/>
      <c r="N5" s="3"/>
      <c r="O5" s="3"/>
      <c r="P5" s="3"/>
      <c r="Q5" s="3"/>
      <c r="R5" s="3"/>
      <c r="S5" s="12"/>
      <c r="T5" s="12"/>
      <c r="U5" s="12"/>
      <c r="V5" s="14"/>
      <c r="X5" s="8"/>
      <c r="Y5" s="8"/>
      <c r="Z5" s="8"/>
      <c r="AA5" s="8"/>
      <c r="AB5" s="8"/>
      <c r="AC5" s="8"/>
      <c r="AD5" s="8"/>
      <c r="AE5" s="8"/>
      <c r="AJ5" s="193" t="s">
        <v>184</v>
      </c>
      <c r="AK5" s="194">
        <f>'V Calc'!B1</f>
        <v>500</v>
      </c>
      <c r="AL5" s="124"/>
    </row>
    <row r="6" spans="1:55" ht="15" customHeight="1" x14ac:dyDescent="0.2">
      <c r="A6" s="32"/>
      <c r="B6" s="33"/>
      <c r="C6" s="33"/>
      <c r="D6" s="12"/>
      <c r="E6" s="3"/>
      <c r="F6" s="10" t="s">
        <v>132</v>
      </c>
      <c r="G6" s="1"/>
      <c r="H6" s="1"/>
      <c r="I6" s="3"/>
      <c r="J6" s="3"/>
      <c r="K6" s="3"/>
      <c r="L6" s="3"/>
      <c r="M6" s="3"/>
      <c r="N6" s="3"/>
      <c r="O6" s="3"/>
      <c r="P6" s="3"/>
      <c r="Q6" s="3"/>
      <c r="R6" s="3"/>
      <c r="S6" s="12"/>
      <c r="T6" s="12"/>
      <c r="U6" s="12"/>
      <c r="V6" s="14"/>
      <c r="X6" s="8"/>
      <c r="Y6" s="8"/>
      <c r="Z6" s="8"/>
      <c r="AA6" s="8"/>
      <c r="AB6" s="8"/>
      <c r="AC6" s="8"/>
      <c r="AD6" s="8"/>
      <c r="AE6" s="8"/>
      <c r="AJ6" s="193" t="s">
        <v>185</v>
      </c>
      <c r="AK6" s="194">
        <f>'V Calc'!B2</f>
        <v>100</v>
      </c>
      <c r="AL6" s="124"/>
    </row>
    <row r="7" spans="1:55" ht="15" customHeight="1" x14ac:dyDescent="0.2">
      <c r="A7" s="32"/>
      <c r="B7" s="33"/>
      <c r="C7" s="33"/>
      <c r="D7" s="12"/>
      <c r="E7" s="3"/>
      <c r="F7" s="10" t="s">
        <v>130</v>
      </c>
      <c r="G7" s="1"/>
      <c r="H7" s="1"/>
      <c r="I7" s="3"/>
      <c r="J7" s="3"/>
      <c r="K7" s="3"/>
      <c r="L7" s="3"/>
      <c r="M7" s="3"/>
      <c r="N7" s="3"/>
      <c r="O7" s="3"/>
      <c r="P7" s="3"/>
      <c r="Q7" s="3"/>
      <c r="R7" s="3"/>
      <c r="S7" s="12"/>
      <c r="T7" s="12"/>
      <c r="U7" s="12"/>
      <c r="V7" s="14"/>
      <c r="X7" s="8"/>
      <c r="Y7" s="8"/>
      <c r="Z7" s="8"/>
      <c r="AA7" s="8"/>
      <c r="AB7" s="8"/>
      <c r="AC7" s="8"/>
      <c r="AD7" s="8"/>
      <c r="AE7" s="8"/>
      <c r="AJ7" s="193" t="s">
        <v>186</v>
      </c>
      <c r="AK7" s="195">
        <f>'V Calc'!B3</f>
        <v>2</v>
      </c>
      <c r="AL7" s="124"/>
    </row>
    <row r="8" spans="1:55" ht="15" customHeight="1" x14ac:dyDescent="0.2">
      <c r="A8" s="32"/>
      <c r="B8" s="33"/>
      <c r="C8" s="33"/>
      <c r="D8" s="12"/>
      <c r="E8" s="3"/>
      <c r="F8" s="10" t="s">
        <v>131</v>
      </c>
      <c r="G8" s="62"/>
      <c r="H8" s="62"/>
      <c r="I8" s="3"/>
      <c r="J8" s="3"/>
      <c r="K8" s="3"/>
      <c r="L8" s="3"/>
      <c r="M8" s="3"/>
      <c r="N8" s="3"/>
      <c r="O8" s="3"/>
      <c r="P8" s="3"/>
      <c r="Q8" s="3"/>
      <c r="R8" s="3"/>
      <c r="S8" s="12"/>
      <c r="T8" s="12"/>
      <c r="U8" s="12"/>
      <c r="V8" s="14"/>
      <c r="X8" s="8"/>
      <c r="Y8" s="8"/>
      <c r="Z8" s="8"/>
      <c r="AA8" s="8"/>
      <c r="AB8" s="8"/>
      <c r="AC8" s="8"/>
      <c r="AD8" s="8"/>
      <c r="AE8" s="8"/>
      <c r="AJ8" s="193" t="s">
        <v>187</v>
      </c>
      <c r="AK8" s="195">
        <f>'V Calc'!B4</f>
        <v>0.875</v>
      </c>
      <c r="AL8" s="124"/>
    </row>
    <row r="9" spans="1:55" ht="15" customHeight="1" thickBot="1" x14ac:dyDescent="0.25">
      <c r="A9" s="34"/>
      <c r="B9" s="29"/>
      <c r="C9" s="29"/>
      <c r="D9" s="29"/>
      <c r="E9" s="29"/>
      <c r="F9" s="15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16"/>
      <c r="T9" s="16"/>
      <c r="U9" s="16"/>
      <c r="V9" s="17"/>
      <c r="X9" s="8"/>
      <c r="Y9" s="8"/>
      <c r="Z9" s="8"/>
      <c r="AA9" s="8"/>
      <c r="AB9" s="8"/>
      <c r="AC9" s="8"/>
      <c r="AD9" s="8"/>
      <c r="AE9" s="8"/>
      <c r="AJ9" s="196" t="s">
        <v>188</v>
      </c>
      <c r="AK9" s="197">
        <f>'V Calc'!B5</f>
        <v>158.47</v>
      </c>
      <c r="AL9" s="198"/>
    </row>
    <row r="10" spans="1:55" s="9" customFormat="1" ht="30" customHeight="1" x14ac:dyDescent="0.2">
      <c r="A10" s="513" t="s">
        <v>20</v>
      </c>
      <c r="B10" s="514"/>
      <c r="C10" s="514"/>
      <c r="D10" s="514"/>
      <c r="E10" s="514"/>
      <c r="F10" s="514"/>
      <c r="G10" s="514"/>
      <c r="H10" s="514"/>
      <c r="I10" s="514"/>
      <c r="J10" s="514"/>
      <c r="K10" s="514"/>
      <c r="L10" s="514"/>
      <c r="M10" s="514"/>
      <c r="N10" s="514"/>
      <c r="O10" s="514"/>
      <c r="P10" s="514"/>
      <c r="Q10" s="514"/>
      <c r="R10" s="514"/>
      <c r="S10" s="514"/>
      <c r="T10" s="514"/>
      <c r="U10" s="514"/>
      <c r="V10" s="515"/>
      <c r="X10" s="96"/>
      <c r="Y10" s="96"/>
      <c r="Z10" s="96"/>
      <c r="AA10" s="96"/>
      <c r="AB10" s="96"/>
      <c r="AC10" s="96"/>
      <c r="AJ10" s="193" t="s">
        <v>189</v>
      </c>
      <c r="AK10" s="199">
        <f>'V Calc'!B6</f>
        <v>0.63607464142166403</v>
      </c>
      <c r="AL10" s="198" t="s">
        <v>190</v>
      </c>
    </row>
    <row r="11" spans="1:55" s="9" customFormat="1" ht="20.100000000000001" customHeight="1" thickBot="1" x14ac:dyDescent="0.25">
      <c r="A11" s="516" t="s">
        <v>21</v>
      </c>
      <c r="B11" s="517"/>
      <c r="C11" s="517"/>
      <c r="D11" s="517"/>
      <c r="E11" s="517"/>
      <c r="F11" s="517"/>
      <c r="G11" s="517"/>
      <c r="H11" s="517"/>
      <c r="I11" s="517"/>
      <c r="J11" s="517"/>
      <c r="K11" s="517"/>
      <c r="L11" s="517"/>
      <c r="M11" s="517"/>
      <c r="N11" s="517"/>
      <c r="O11" s="517"/>
      <c r="P11" s="517"/>
      <c r="Q11" s="517"/>
      <c r="R11" s="517"/>
      <c r="S11" s="517"/>
      <c r="T11" s="517"/>
      <c r="U11" s="517"/>
      <c r="V11" s="518"/>
      <c r="X11" s="97"/>
      <c r="Y11" s="97"/>
      <c r="Z11" s="97"/>
      <c r="AA11" s="97"/>
      <c r="AB11" s="97"/>
      <c r="AC11" s="97"/>
    </row>
    <row r="12" spans="1:55" s="6" customFormat="1" ht="30" customHeight="1" thickBot="1" x14ac:dyDescent="0.3">
      <c r="A12" s="18"/>
      <c r="B12" s="20"/>
      <c r="C12" s="20"/>
      <c r="D12" s="19" t="s">
        <v>121</v>
      </c>
      <c r="E12" s="200" t="str">
        <f>'Day 7'!E12</f>
        <v>MPR 632  RFD</v>
      </c>
      <c r="F12" s="35"/>
      <c r="G12" s="19" t="s">
        <v>120</v>
      </c>
      <c r="H12" s="200" t="str">
        <f>IF(Volume!C$11="","",Volume!C$11)</f>
        <v>FP 65354</v>
      </c>
      <c r="I12" s="20"/>
      <c r="J12" s="19" t="s">
        <v>17</v>
      </c>
      <c r="K12" s="505">
        <f>'Day 7'!K12+1</f>
        <v>45816</v>
      </c>
      <c r="L12" s="505"/>
      <c r="M12" s="100"/>
      <c r="N12" s="19" t="s">
        <v>119</v>
      </c>
      <c r="O12" s="200" t="str">
        <f>IF(Volume!D$11="","",Volume!D$11)</f>
        <v>SP. Tambun - Cluster F</v>
      </c>
      <c r="P12" s="20"/>
      <c r="Q12" s="19" t="s">
        <v>122</v>
      </c>
      <c r="S12" s="201">
        <f>IF(Volume!E$11="","",Volume!E$11)</f>
        <v>1.25</v>
      </c>
      <c r="T12" s="20"/>
      <c r="U12" s="19" t="s">
        <v>126</v>
      </c>
      <c r="V12" s="202" t="str">
        <f>IF(Volume!F$11="","",Volume!F$11)</f>
        <v>4/0</v>
      </c>
    </row>
    <row r="13" spans="1:55" ht="30" customHeight="1" thickBot="1" x14ac:dyDescent="0.3">
      <c r="A13" s="502" t="s">
        <v>0</v>
      </c>
      <c r="B13" s="502" t="s">
        <v>213</v>
      </c>
      <c r="C13" s="502" t="s">
        <v>212</v>
      </c>
      <c r="D13" s="502" t="s">
        <v>31</v>
      </c>
      <c r="E13" s="502" t="s">
        <v>32</v>
      </c>
      <c r="F13" s="502" t="s">
        <v>2</v>
      </c>
      <c r="G13" s="502" t="s">
        <v>33</v>
      </c>
      <c r="H13" s="502" t="s">
        <v>35</v>
      </c>
      <c r="I13" s="502" t="s">
        <v>36</v>
      </c>
      <c r="J13" s="502" t="s">
        <v>110</v>
      </c>
      <c r="K13" s="502" t="s">
        <v>15</v>
      </c>
      <c r="L13" s="502" t="s">
        <v>34</v>
      </c>
      <c r="M13" s="502" t="s">
        <v>10</v>
      </c>
      <c r="N13" s="502"/>
      <c r="O13" s="506" t="s">
        <v>300</v>
      </c>
      <c r="P13" s="506" t="s">
        <v>299</v>
      </c>
      <c r="Q13" s="502" t="s">
        <v>7</v>
      </c>
      <c r="R13" s="502" t="s">
        <v>88</v>
      </c>
      <c r="S13" s="502" t="s">
        <v>8</v>
      </c>
      <c r="T13" s="502"/>
      <c r="U13" s="502"/>
      <c r="V13" s="502"/>
      <c r="X13" s="98"/>
      <c r="Y13" s="98"/>
      <c r="Z13" s="98"/>
      <c r="AA13" s="98"/>
      <c r="AB13" s="98"/>
      <c r="AC13" s="98"/>
    </row>
    <row r="14" spans="1:55" ht="30" customHeight="1" x14ac:dyDescent="0.25">
      <c r="A14" s="504"/>
      <c r="B14" s="504"/>
      <c r="C14" s="504"/>
      <c r="D14" s="504"/>
      <c r="E14" s="504"/>
      <c r="F14" s="504"/>
      <c r="G14" s="504"/>
      <c r="H14" s="504"/>
      <c r="I14" s="504"/>
      <c r="J14" s="504"/>
      <c r="K14" s="504"/>
      <c r="L14" s="504"/>
      <c r="M14" s="94" t="s">
        <v>3</v>
      </c>
      <c r="N14" s="94" t="s">
        <v>4</v>
      </c>
      <c r="O14" s="507"/>
      <c r="P14" s="507"/>
      <c r="Q14" s="504"/>
      <c r="R14" s="504"/>
      <c r="S14" s="504"/>
      <c r="T14" s="504"/>
      <c r="U14" s="504"/>
      <c r="V14" s="504"/>
      <c r="Y14" s="502" t="s">
        <v>230</v>
      </c>
      <c r="Z14" s="502"/>
      <c r="AA14" s="502"/>
      <c r="AB14" s="502"/>
      <c r="AC14" s="502"/>
      <c r="AD14" s="502" t="s">
        <v>231</v>
      </c>
      <c r="AH14" s="203" t="s">
        <v>232</v>
      </c>
      <c r="AJ14" s="520" t="s">
        <v>191</v>
      </c>
      <c r="AK14" s="520" t="s">
        <v>192</v>
      </c>
      <c r="AL14" s="520" t="s">
        <v>193</v>
      </c>
      <c r="AM14" s="520" t="s">
        <v>194</v>
      </c>
      <c r="AN14" s="520" t="s">
        <v>195</v>
      </c>
      <c r="AO14" s="506" t="s">
        <v>196</v>
      </c>
      <c r="AP14" s="506" t="s">
        <v>197</v>
      </c>
      <c r="AQ14" s="506" t="s">
        <v>198</v>
      </c>
      <c r="AR14" s="506" t="s">
        <v>188</v>
      </c>
      <c r="AS14" s="506" t="s">
        <v>199</v>
      </c>
      <c r="AT14" s="506" t="s">
        <v>200</v>
      </c>
      <c r="AU14" s="506" t="s">
        <v>201</v>
      </c>
      <c r="AV14" s="506" t="s">
        <v>202</v>
      </c>
      <c r="AW14" s="506" t="s">
        <v>203</v>
      </c>
      <c r="AX14" s="506" t="s">
        <v>204</v>
      </c>
      <c r="AY14" s="523" t="s">
        <v>205</v>
      </c>
      <c r="AZ14" s="523" t="s">
        <v>206</v>
      </c>
      <c r="BA14" s="523" t="s">
        <v>207</v>
      </c>
      <c r="BB14" s="523" t="s">
        <v>208</v>
      </c>
      <c r="BC14" s="506" t="s">
        <v>197</v>
      </c>
    </row>
    <row r="15" spans="1:55" ht="20.100000000000001" customHeight="1" thickBot="1" x14ac:dyDescent="0.3">
      <c r="A15" s="503"/>
      <c r="B15" s="95" t="s">
        <v>1</v>
      </c>
      <c r="C15" s="95" t="s">
        <v>1</v>
      </c>
      <c r="D15" s="95" t="s">
        <v>1</v>
      </c>
      <c r="E15" s="95" t="s">
        <v>1</v>
      </c>
      <c r="F15" s="95" t="s">
        <v>140</v>
      </c>
      <c r="G15" s="95" t="s">
        <v>1</v>
      </c>
      <c r="H15" s="95" t="s">
        <v>1</v>
      </c>
      <c r="I15" s="95" t="s">
        <v>1</v>
      </c>
      <c r="J15" s="95" t="s">
        <v>18</v>
      </c>
      <c r="K15" s="95" t="s">
        <v>9</v>
      </c>
      <c r="L15" s="95" t="s">
        <v>5</v>
      </c>
      <c r="M15" s="95" t="s">
        <v>5</v>
      </c>
      <c r="N15" s="95" t="s">
        <v>5</v>
      </c>
      <c r="O15" s="95" t="s">
        <v>1</v>
      </c>
      <c r="P15" s="95" t="s">
        <v>14</v>
      </c>
      <c r="Q15" s="95" t="str">
        <f>IF(MR!G17="MSCF","MSCFD","MMSCFD")</f>
        <v>MSCFD</v>
      </c>
      <c r="R15" s="95" t="str">
        <f>MR!L17</f>
        <v>BPD</v>
      </c>
      <c r="S15" s="503"/>
      <c r="T15" s="503"/>
      <c r="U15" s="503"/>
      <c r="V15" s="503"/>
      <c r="X15" s="365"/>
      <c r="Y15" s="95" t="s">
        <v>123</v>
      </c>
      <c r="Z15" s="95" t="s">
        <v>124</v>
      </c>
      <c r="AA15" s="95" t="s">
        <v>125</v>
      </c>
      <c r="AB15" s="95" t="s">
        <v>51</v>
      </c>
      <c r="AC15" s="95" t="s">
        <v>48</v>
      </c>
      <c r="AD15" s="503"/>
      <c r="AH15" s="204" t="s">
        <v>228</v>
      </c>
      <c r="AJ15" s="521"/>
      <c r="AK15" s="521"/>
      <c r="AL15" s="521"/>
      <c r="AM15" s="521"/>
      <c r="AN15" s="521"/>
      <c r="AO15" s="522"/>
      <c r="AP15" s="522"/>
      <c r="AQ15" s="522"/>
      <c r="AR15" s="522"/>
      <c r="AS15" s="522"/>
      <c r="AT15" s="522"/>
      <c r="AU15" s="522"/>
      <c r="AV15" s="522"/>
      <c r="AW15" s="522"/>
      <c r="AX15" s="522"/>
      <c r="AY15" s="524"/>
      <c r="AZ15" s="524"/>
      <c r="BA15" s="524"/>
      <c r="BB15" s="524"/>
      <c r="BC15" s="522"/>
    </row>
    <row r="16" spans="1:55" ht="20.100000000000001" customHeight="1" x14ac:dyDescent="0.2">
      <c r="A16" s="44">
        <v>4.1666666666666664E-2</v>
      </c>
      <c r="B16" s="450"/>
      <c r="C16" s="450"/>
      <c r="D16" s="450">
        <v>6.6</v>
      </c>
      <c r="E16" s="450">
        <v>58.9</v>
      </c>
      <c r="F16" s="40">
        <v>1941</v>
      </c>
      <c r="G16" s="37">
        <v>-5.5</v>
      </c>
      <c r="H16" s="36">
        <v>71.099999999999994</v>
      </c>
      <c r="I16" s="36">
        <v>21.8</v>
      </c>
      <c r="J16" s="40">
        <v>248</v>
      </c>
      <c r="K16" s="37">
        <v>13</v>
      </c>
      <c r="L16" s="450">
        <v>123</v>
      </c>
      <c r="M16" s="450">
        <v>220</v>
      </c>
      <c r="N16" s="451">
        <v>85</v>
      </c>
      <c r="O16" s="353">
        <v>50</v>
      </c>
      <c r="P16" s="352">
        <v>7</v>
      </c>
      <c r="Q16" s="352">
        <v>191.12</v>
      </c>
      <c r="R16" s="36"/>
      <c r="S16" s="519" t="str">
        <f t="shared" ref="S16:S32" si="0">IF(Z16="",IF(AD16="","",AD16),CONCATENATE(TEXT(Z16,"[hh]:mm"),IF(AA16="",""," - "&amp;TEXT(AA16,"[hh]:mm")),IF(Y16="",""," "&amp;Y16&amp;"/")," "&amp;AD16))</f>
        <v/>
      </c>
      <c r="T16" s="519"/>
      <c r="U16" s="519"/>
      <c r="V16" s="519"/>
      <c r="X16" s="44">
        <v>4.1666666666666664E-2</v>
      </c>
      <c r="Y16" s="105"/>
      <c r="Z16" s="101"/>
      <c r="AA16" s="101"/>
      <c r="AB16" s="44" t="str">
        <f>IF(Y16="STBY",AA16-Z16,"")</f>
        <v/>
      </c>
      <c r="AC16" s="44" t="str">
        <f t="shared" ref="AC16:AC39" si="1">IF(Y16="SD",AA16-Z16,"")</f>
        <v/>
      </c>
      <c r="AD16" s="355"/>
      <c r="AE16" s="9" t="str">
        <f>IF(S16="","",IF(COUNTA(Z16:$Z$39)=1,IF(COUNTA(AD16:$AD$39)=1,""," ; "),IF(COUNTA(AD16:$AD$39)=1,IF(Z16="",""," ; ")," ; ")))</f>
        <v/>
      </c>
      <c r="AF16" s="9" t="str">
        <f t="shared" ref="AF16:AF39" si="2">CONCATENATE(S16,AE16)</f>
        <v/>
      </c>
      <c r="AG16" s="90" t="str">
        <f t="shared" ref="AG16:AG39" si="3">IF(AND(COUNTBLANK(N16:P16)&lt;3,Q16=""),"CEK : Data Flowrate","")</f>
        <v/>
      </c>
      <c r="AH16" s="204" t="s">
        <v>229</v>
      </c>
      <c r="AJ16" s="205">
        <f>AK5</f>
        <v>500</v>
      </c>
      <c r="AK16" s="205">
        <f>AK6</f>
        <v>100</v>
      </c>
      <c r="AL16" s="206">
        <f>AK7</f>
        <v>2</v>
      </c>
      <c r="AM16" s="207">
        <f>AK8</f>
        <v>0.875</v>
      </c>
      <c r="AN16" s="208">
        <f>AK10</f>
        <v>0.63607464142166403</v>
      </c>
      <c r="AO16" s="209">
        <f t="shared" ref="AO16:AO39" si="4">T16^2*AJ16/100-14.7</f>
        <v>-14.7</v>
      </c>
      <c r="AP16" s="210">
        <f t="shared" ref="AP16:AP39" si="5">IF(AO16&lt;100,1,BC16)</f>
        <v>1</v>
      </c>
      <c r="AQ16" s="210">
        <f t="shared" ref="AQ16:AQ39" si="6">(1/AP16)^0.5</f>
        <v>1</v>
      </c>
      <c r="AR16" s="52">
        <f>AK9</f>
        <v>158.47</v>
      </c>
      <c r="AS16" s="210">
        <f t="shared" ref="AS16:AS39" si="7">(520/(460+N16))^0.5</f>
        <v>0.97679498379494789</v>
      </c>
      <c r="AT16" s="210">
        <f t="shared" ref="AT16:AT39" si="8">(1/AN16)^0.5</f>
        <v>1.2538510821608391</v>
      </c>
      <c r="AU16" s="210">
        <f t="shared" ref="AU16:AU39" si="9">0.01*(AJ16*AK16)^0.5</f>
        <v>2.2360679774997898</v>
      </c>
      <c r="AV16" s="211">
        <f t="shared" ref="AV16:AV39" si="10">0.024*AQ16*AR16*AS16*AT16*AU16</f>
        <v>10.415801185754333</v>
      </c>
      <c r="AW16" s="210">
        <f t="shared" ref="AW16:AW39" si="11">(AO16+14.7)/(697.2-43*AN16)</f>
        <v>0</v>
      </c>
      <c r="AX16" s="212">
        <f t="shared" ref="AX16:AX39" si="12">(N16+460)/(315.1*AN16+170.4)</f>
        <v>1.4696875479799241</v>
      </c>
      <c r="AY16" s="210">
        <f t="shared" ref="AY16:AY39" si="13">0.3379*LN(LN(AX16))+1.091</f>
        <v>0.76851414128953044</v>
      </c>
      <c r="AZ16" s="211">
        <f t="shared" ref="AZ16:AZ39" si="14">21.46*AY16-11.9*AY16^2-5.9</f>
        <v>3.5640070462657096</v>
      </c>
      <c r="BA16" s="210">
        <f t="shared" ref="BA16:BA39" si="15">AW16/AZ16</f>
        <v>0</v>
      </c>
      <c r="BB16" s="210">
        <f t="shared" ref="BB16:BB39" si="16">(1.1+0.26*AX16+(1.04-1.42*AX16)*BA16)*2.718^BA16/AX16</f>
        <v>1.0084584063544275</v>
      </c>
      <c r="BC16" s="210">
        <f t="shared" ref="BC16:BC39" si="17">1+(AY16-1)*SIN((90*BA16)/57.29578)^BB16</f>
        <v>1</v>
      </c>
    </row>
    <row r="17" spans="1:55" ht="20.100000000000001" customHeight="1" x14ac:dyDescent="0.2">
      <c r="A17" s="45">
        <v>8.3333333333333301E-2</v>
      </c>
      <c r="B17" s="451"/>
      <c r="C17" s="451"/>
      <c r="D17" s="451">
        <v>5.8</v>
      </c>
      <c r="E17" s="451">
        <v>57.1</v>
      </c>
      <c r="F17" s="41">
        <v>1955</v>
      </c>
      <c r="G17" s="37">
        <v>-5.5</v>
      </c>
      <c r="H17" s="37">
        <v>71.599999999999994</v>
      </c>
      <c r="I17" s="37">
        <v>21.2</v>
      </c>
      <c r="J17" s="41">
        <v>249</v>
      </c>
      <c r="K17" s="37">
        <v>13</v>
      </c>
      <c r="L17" s="451">
        <v>122</v>
      </c>
      <c r="M17" s="451">
        <v>222</v>
      </c>
      <c r="N17" s="451">
        <v>85</v>
      </c>
      <c r="O17" s="353">
        <v>50</v>
      </c>
      <c r="P17" s="353">
        <v>6</v>
      </c>
      <c r="Q17" s="353">
        <v>177.06</v>
      </c>
      <c r="R17" s="37"/>
      <c r="S17" s="508" t="str">
        <f t="shared" si="0"/>
        <v/>
      </c>
      <c r="T17" s="508"/>
      <c r="U17" s="508"/>
      <c r="V17" s="508"/>
      <c r="X17" s="45">
        <v>8.3333333333333301E-2</v>
      </c>
      <c r="Y17" s="106"/>
      <c r="Z17" s="102"/>
      <c r="AA17" s="102"/>
      <c r="AB17" s="45" t="str">
        <f t="shared" ref="AB17:AB39" si="18">IF(Y17="STBY",AA17-Z17,"")</f>
        <v/>
      </c>
      <c r="AC17" s="45" t="str">
        <f t="shared" si="1"/>
        <v/>
      </c>
      <c r="AD17" s="81"/>
      <c r="AE17" s="9" t="str">
        <f>IF(S17="","",IF(COUNTA(Z17:$Z$39)=1,IF(COUNTA(AD17:$AD$39)=1,""," ; "),IF(COUNTA(AD17:$AD$39)=1,IF(Z17="",""," ; ")," ; ")))</f>
        <v/>
      </c>
      <c r="AF17" s="9" t="str">
        <f t="shared" si="2"/>
        <v/>
      </c>
      <c r="AG17" s="90" t="str">
        <f t="shared" si="3"/>
        <v/>
      </c>
      <c r="AH17" s="204" t="s">
        <v>289</v>
      </c>
      <c r="AJ17" s="206">
        <f t="shared" ref="AJ17:AN32" si="19">AJ16</f>
        <v>500</v>
      </c>
      <c r="AK17" s="206">
        <f t="shared" si="19"/>
        <v>100</v>
      </c>
      <c r="AL17" s="206">
        <f>AL16</f>
        <v>2</v>
      </c>
      <c r="AM17" s="213">
        <f>AM16</f>
        <v>0.875</v>
      </c>
      <c r="AN17" s="214">
        <f>AN16</f>
        <v>0.63607464142166403</v>
      </c>
      <c r="AO17" s="215">
        <f t="shared" si="4"/>
        <v>-14.7</v>
      </c>
      <c r="AP17" s="216">
        <f t="shared" si="5"/>
        <v>1</v>
      </c>
      <c r="AQ17" s="216">
        <f t="shared" si="6"/>
        <v>1</v>
      </c>
      <c r="AR17" s="215">
        <f>AR16</f>
        <v>158.47</v>
      </c>
      <c r="AS17" s="216">
        <f t="shared" si="7"/>
        <v>0.97679498379494789</v>
      </c>
      <c r="AT17" s="216">
        <f t="shared" si="8"/>
        <v>1.2538510821608391</v>
      </c>
      <c r="AU17" s="216">
        <f t="shared" si="9"/>
        <v>2.2360679774997898</v>
      </c>
      <c r="AV17" s="217">
        <f t="shared" si="10"/>
        <v>10.415801185754333</v>
      </c>
      <c r="AW17" s="216">
        <f t="shared" si="11"/>
        <v>0</v>
      </c>
      <c r="AX17" s="218">
        <f t="shared" si="12"/>
        <v>1.4696875479799241</v>
      </c>
      <c r="AY17" s="216">
        <f t="shared" si="13"/>
        <v>0.76851414128953044</v>
      </c>
      <c r="AZ17" s="217">
        <f t="shared" si="14"/>
        <v>3.5640070462657096</v>
      </c>
      <c r="BA17" s="216">
        <f t="shared" si="15"/>
        <v>0</v>
      </c>
      <c r="BB17" s="216">
        <f t="shared" si="16"/>
        <v>1.0084584063544275</v>
      </c>
      <c r="BC17" s="216">
        <f t="shared" si="17"/>
        <v>1</v>
      </c>
    </row>
    <row r="18" spans="1:55" ht="20.100000000000001" customHeight="1" x14ac:dyDescent="0.2">
      <c r="A18" s="45">
        <v>0.125</v>
      </c>
      <c r="B18" s="451"/>
      <c r="C18" s="451"/>
      <c r="D18" s="451">
        <v>6.2</v>
      </c>
      <c r="E18" s="451">
        <v>58.3</v>
      </c>
      <c r="F18" s="41">
        <v>1963</v>
      </c>
      <c r="G18" s="37">
        <v>-5.5</v>
      </c>
      <c r="H18" s="37">
        <v>71.3</v>
      </c>
      <c r="I18" s="37">
        <v>21.9</v>
      </c>
      <c r="J18" s="41">
        <v>250</v>
      </c>
      <c r="K18" s="37">
        <v>13</v>
      </c>
      <c r="L18" s="451">
        <v>120</v>
      </c>
      <c r="M18" s="451">
        <v>221</v>
      </c>
      <c r="N18" s="451">
        <v>85</v>
      </c>
      <c r="O18" s="353">
        <v>50</v>
      </c>
      <c r="P18" s="353">
        <v>8</v>
      </c>
      <c r="Q18" s="353">
        <v>204.21</v>
      </c>
      <c r="R18" s="37"/>
      <c r="S18" s="508" t="str">
        <f t="shared" si="0"/>
        <v/>
      </c>
      <c r="T18" s="508"/>
      <c r="U18" s="508"/>
      <c r="V18" s="508"/>
      <c r="X18" s="45">
        <v>0.125</v>
      </c>
      <c r="Y18" s="106"/>
      <c r="Z18" s="102"/>
      <c r="AA18" s="102"/>
      <c r="AB18" s="45" t="str">
        <f t="shared" si="18"/>
        <v/>
      </c>
      <c r="AC18" s="45" t="str">
        <f t="shared" si="1"/>
        <v/>
      </c>
      <c r="AD18" s="81"/>
      <c r="AE18" s="9" t="str">
        <f>IF(S18="","",IF(COUNTA(Z18:$Z$39)=1,IF(COUNTA(AD18:$AD$39)=1,""," ; "),IF(COUNTA(AD18:$AD$39)=1,IF(Z18="",""," ; ")," ; ")))</f>
        <v/>
      </c>
      <c r="AF18" s="9" t="str">
        <f t="shared" si="2"/>
        <v/>
      </c>
      <c r="AG18" s="90" t="str">
        <f t="shared" si="3"/>
        <v/>
      </c>
      <c r="AH18" s="204" t="s">
        <v>321</v>
      </c>
      <c r="AJ18" s="206">
        <f t="shared" si="19"/>
        <v>500</v>
      </c>
      <c r="AK18" s="206">
        <f t="shared" si="19"/>
        <v>100</v>
      </c>
      <c r="AL18" s="206">
        <f t="shared" si="19"/>
        <v>2</v>
      </c>
      <c r="AM18" s="213">
        <f t="shared" si="19"/>
        <v>0.875</v>
      </c>
      <c r="AN18" s="214">
        <f t="shared" si="19"/>
        <v>0.63607464142166403</v>
      </c>
      <c r="AO18" s="215">
        <f t="shared" si="4"/>
        <v>-14.7</v>
      </c>
      <c r="AP18" s="216">
        <f t="shared" si="5"/>
        <v>1</v>
      </c>
      <c r="AQ18" s="216">
        <f t="shared" si="6"/>
        <v>1</v>
      </c>
      <c r="AR18" s="215">
        <f t="shared" ref="AR18:AR39" si="20">AR17</f>
        <v>158.47</v>
      </c>
      <c r="AS18" s="216">
        <f t="shared" si="7"/>
        <v>0.97679498379494789</v>
      </c>
      <c r="AT18" s="216">
        <f t="shared" si="8"/>
        <v>1.2538510821608391</v>
      </c>
      <c r="AU18" s="216">
        <f t="shared" si="9"/>
        <v>2.2360679774997898</v>
      </c>
      <c r="AV18" s="217">
        <f t="shared" si="10"/>
        <v>10.415801185754333</v>
      </c>
      <c r="AW18" s="216">
        <f t="shared" si="11"/>
        <v>0</v>
      </c>
      <c r="AX18" s="218">
        <f t="shared" si="12"/>
        <v>1.4696875479799241</v>
      </c>
      <c r="AY18" s="216">
        <f t="shared" si="13"/>
        <v>0.76851414128953044</v>
      </c>
      <c r="AZ18" s="217">
        <f t="shared" si="14"/>
        <v>3.5640070462657096</v>
      </c>
      <c r="BA18" s="216">
        <f t="shared" si="15"/>
        <v>0</v>
      </c>
      <c r="BB18" s="216">
        <f t="shared" si="16"/>
        <v>1.0084584063544275</v>
      </c>
      <c r="BC18" s="216">
        <f t="shared" si="17"/>
        <v>1</v>
      </c>
    </row>
    <row r="19" spans="1:55" ht="20.100000000000001" customHeight="1" x14ac:dyDescent="0.2">
      <c r="A19" s="45">
        <v>0.16666666666666699</v>
      </c>
      <c r="B19" s="451"/>
      <c r="C19" s="451"/>
      <c r="D19" s="451">
        <v>6</v>
      </c>
      <c r="E19" s="451">
        <v>58.7</v>
      </c>
      <c r="F19" s="41">
        <v>1951</v>
      </c>
      <c r="G19" s="37">
        <v>-5.5</v>
      </c>
      <c r="H19" s="37">
        <v>71.900000000000006</v>
      </c>
      <c r="I19" s="37">
        <v>21</v>
      </c>
      <c r="J19" s="41">
        <v>251</v>
      </c>
      <c r="K19" s="37">
        <v>13</v>
      </c>
      <c r="L19" s="451">
        <v>119</v>
      </c>
      <c r="M19" s="451">
        <v>220</v>
      </c>
      <c r="N19" s="451">
        <v>85</v>
      </c>
      <c r="O19" s="353">
        <v>50</v>
      </c>
      <c r="P19" s="353">
        <v>9</v>
      </c>
      <c r="Q19" s="353">
        <v>216.49</v>
      </c>
      <c r="R19" s="37"/>
      <c r="S19" s="508" t="str">
        <f t="shared" si="0"/>
        <v/>
      </c>
      <c r="T19" s="508"/>
      <c r="U19" s="508"/>
      <c r="V19" s="508"/>
      <c r="X19" s="45">
        <v>0.16666666666666699</v>
      </c>
      <c r="Y19" s="106"/>
      <c r="Z19" s="102"/>
      <c r="AA19" s="102"/>
      <c r="AB19" s="45" t="str">
        <f t="shared" si="18"/>
        <v/>
      </c>
      <c r="AC19" s="45" t="str">
        <f t="shared" si="1"/>
        <v/>
      </c>
      <c r="AD19" s="81"/>
      <c r="AE19" s="9" t="str">
        <f>IF(S19="","",IF(COUNTA(Z19:$Z$39)=1,IF(COUNTA(AD19:$AD$39)=1,""," ; "),IF(COUNTA(AD19:$AD$39)=1,IF(Z19="",""," ; ")," ; ")))</f>
        <v/>
      </c>
      <c r="AF19" s="9" t="str">
        <f t="shared" si="2"/>
        <v/>
      </c>
      <c r="AG19" s="90" t="str">
        <f t="shared" si="3"/>
        <v/>
      </c>
      <c r="AH19" s="204" t="s">
        <v>272</v>
      </c>
      <c r="AJ19" s="206">
        <f t="shared" si="19"/>
        <v>500</v>
      </c>
      <c r="AK19" s="206">
        <f t="shared" si="19"/>
        <v>100</v>
      </c>
      <c r="AL19" s="206">
        <f t="shared" si="19"/>
        <v>2</v>
      </c>
      <c r="AM19" s="213">
        <f t="shared" si="19"/>
        <v>0.875</v>
      </c>
      <c r="AN19" s="214">
        <f t="shared" si="19"/>
        <v>0.63607464142166403</v>
      </c>
      <c r="AO19" s="215">
        <f t="shared" si="4"/>
        <v>-14.7</v>
      </c>
      <c r="AP19" s="216">
        <f t="shared" si="5"/>
        <v>1</v>
      </c>
      <c r="AQ19" s="216">
        <f t="shared" si="6"/>
        <v>1</v>
      </c>
      <c r="AR19" s="215">
        <f t="shared" si="20"/>
        <v>158.47</v>
      </c>
      <c r="AS19" s="216">
        <f t="shared" si="7"/>
        <v>0.97679498379494789</v>
      </c>
      <c r="AT19" s="216">
        <f t="shared" si="8"/>
        <v>1.2538510821608391</v>
      </c>
      <c r="AU19" s="216">
        <f t="shared" si="9"/>
        <v>2.2360679774997898</v>
      </c>
      <c r="AV19" s="217">
        <f t="shared" si="10"/>
        <v>10.415801185754333</v>
      </c>
      <c r="AW19" s="216">
        <f t="shared" si="11"/>
        <v>0</v>
      </c>
      <c r="AX19" s="218">
        <f t="shared" si="12"/>
        <v>1.4696875479799241</v>
      </c>
      <c r="AY19" s="216">
        <f t="shared" si="13"/>
        <v>0.76851414128953044</v>
      </c>
      <c r="AZ19" s="217">
        <f t="shared" si="14"/>
        <v>3.5640070462657096</v>
      </c>
      <c r="BA19" s="216">
        <f t="shared" si="15"/>
        <v>0</v>
      </c>
      <c r="BB19" s="216">
        <f t="shared" si="16"/>
        <v>1.0084584063544275</v>
      </c>
      <c r="BC19" s="216">
        <f t="shared" si="17"/>
        <v>1</v>
      </c>
    </row>
    <row r="20" spans="1:55" ht="20.100000000000001" customHeight="1" x14ac:dyDescent="0.2">
      <c r="A20" s="45">
        <v>0.20833333333333301</v>
      </c>
      <c r="B20" s="451"/>
      <c r="C20" s="451"/>
      <c r="D20" s="451">
        <v>6.2</v>
      </c>
      <c r="E20" s="451">
        <v>58.5</v>
      </c>
      <c r="F20" s="41">
        <v>1970</v>
      </c>
      <c r="G20" s="37">
        <v>-5.5</v>
      </c>
      <c r="H20" s="37">
        <v>71.3</v>
      </c>
      <c r="I20" s="37">
        <v>21.7</v>
      </c>
      <c r="J20" s="41">
        <v>252</v>
      </c>
      <c r="K20" s="37">
        <v>13</v>
      </c>
      <c r="L20" s="451">
        <v>117</v>
      </c>
      <c r="M20" s="451">
        <v>220</v>
      </c>
      <c r="N20" s="451">
        <v>85</v>
      </c>
      <c r="O20" s="353">
        <v>35</v>
      </c>
      <c r="P20" s="353">
        <v>13</v>
      </c>
      <c r="Q20" s="353">
        <v>227.33</v>
      </c>
      <c r="R20" s="37"/>
      <c r="S20" s="508" t="str">
        <f t="shared" si="0"/>
        <v/>
      </c>
      <c r="T20" s="508"/>
      <c r="U20" s="508"/>
      <c r="V20" s="508"/>
      <c r="X20" s="45">
        <v>0.20833333333333301</v>
      </c>
      <c r="Y20" s="106"/>
      <c r="Z20" s="102"/>
      <c r="AA20" s="102"/>
      <c r="AB20" s="45" t="str">
        <f t="shared" si="18"/>
        <v/>
      </c>
      <c r="AC20" s="45" t="str">
        <f t="shared" si="1"/>
        <v/>
      </c>
      <c r="AD20" s="81"/>
      <c r="AE20" s="9" t="str">
        <f>IF(S20="","",IF(COUNTA(Z20:$Z$39)=1,IF(COUNTA(AD20:$AD$39)=1,""," ; "),IF(COUNTA(AD20:$AD$39)=1,IF(Z20="",""," ; ")," ; ")))</f>
        <v/>
      </c>
      <c r="AF20" s="9" t="str">
        <f t="shared" si="2"/>
        <v/>
      </c>
      <c r="AG20" s="90" t="str">
        <f t="shared" si="3"/>
        <v/>
      </c>
      <c r="AH20" s="204" t="s">
        <v>275</v>
      </c>
      <c r="AJ20" s="206">
        <f t="shared" si="19"/>
        <v>500</v>
      </c>
      <c r="AK20" s="206">
        <f t="shared" si="19"/>
        <v>100</v>
      </c>
      <c r="AL20" s="206">
        <f t="shared" si="19"/>
        <v>2</v>
      </c>
      <c r="AM20" s="213">
        <f t="shared" si="19"/>
        <v>0.875</v>
      </c>
      <c r="AN20" s="214">
        <f t="shared" si="19"/>
        <v>0.63607464142166403</v>
      </c>
      <c r="AO20" s="215">
        <f t="shared" si="4"/>
        <v>-14.7</v>
      </c>
      <c r="AP20" s="216">
        <f t="shared" si="5"/>
        <v>1</v>
      </c>
      <c r="AQ20" s="216">
        <f t="shared" si="6"/>
        <v>1</v>
      </c>
      <c r="AR20" s="215">
        <f t="shared" si="20"/>
        <v>158.47</v>
      </c>
      <c r="AS20" s="216">
        <f t="shared" si="7"/>
        <v>0.97679498379494789</v>
      </c>
      <c r="AT20" s="216">
        <f t="shared" si="8"/>
        <v>1.2538510821608391</v>
      </c>
      <c r="AU20" s="216">
        <f t="shared" si="9"/>
        <v>2.2360679774997898</v>
      </c>
      <c r="AV20" s="217">
        <f t="shared" si="10"/>
        <v>10.415801185754333</v>
      </c>
      <c r="AW20" s="216">
        <f t="shared" si="11"/>
        <v>0</v>
      </c>
      <c r="AX20" s="218">
        <f t="shared" si="12"/>
        <v>1.4696875479799241</v>
      </c>
      <c r="AY20" s="216">
        <f t="shared" si="13"/>
        <v>0.76851414128953044</v>
      </c>
      <c r="AZ20" s="217">
        <f t="shared" si="14"/>
        <v>3.5640070462657096</v>
      </c>
      <c r="BA20" s="216">
        <f t="shared" si="15"/>
        <v>0</v>
      </c>
      <c r="BB20" s="216">
        <f t="shared" si="16"/>
        <v>1.0084584063544275</v>
      </c>
      <c r="BC20" s="216">
        <f t="shared" si="17"/>
        <v>1</v>
      </c>
    </row>
    <row r="21" spans="1:55" ht="20.100000000000001" customHeight="1" x14ac:dyDescent="0.2">
      <c r="A21" s="45">
        <v>0.25</v>
      </c>
      <c r="B21" s="451"/>
      <c r="C21" s="451"/>
      <c r="D21" s="451">
        <v>6.7</v>
      </c>
      <c r="E21" s="451">
        <v>57.9</v>
      </c>
      <c r="F21" s="41">
        <v>1961</v>
      </c>
      <c r="G21" s="37">
        <v>-5.5</v>
      </c>
      <c r="H21" s="37">
        <v>71.099999999999994</v>
      </c>
      <c r="I21" s="37">
        <v>21.2</v>
      </c>
      <c r="J21" s="41">
        <v>253</v>
      </c>
      <c r="K21" s="37">
        <v>13</v>
      </c>
      <c r="L21" s="451">
        <v>118</v>
      </c>
      <c r="M21" s="451">
        <v>221</v>
      </c>
      <c r="N21" s="451">
        <v>85</v>
      </c>
      <c r="O21" s="353">
        <v>35</v>
      </c>
      <c r="P21" s="353">
        <v>10</v>
      </c>
      <c r="Q21" s="353">
        <v>199.61</v>
      </c>
      <c r="R21" s="37"/>
      <c r="S21" s="508" t="str">
        <f t="shared" si="0"/>
        <v/>
      </c>
      <c r="T21" s="508"/>
      <c r="U21" s="508"/>
      <c r="V21" s="508"/>
      <c r="X21" s="45">
        <v>0.25</v>
      </c>
      <c r="Y21" s="106"/>
      <c r="Z21" s="102"/>
      <c r="AA21" s="102"/>
      <c r="AB21" s="45" t="str">
        <f t="shared" si="18"/>
        <v/>
      </c>
      <c r="AC21" s="45" t="str">
        <f t="shared" si="1"/>
        <v/>
      </c>
      <c r="AD21" s="81"/>
      <c r="AE21" s="9" t="str">
        <f>IF(S21="","",IF(COUNTA(Z21:$Z$39)=1,IF(COUNTA(AD21:$AD$39)=1,""," ; "),IF(COUNTA(AD21:$AD$39)=1,IF(Z21="",""," ; ")," ; ")))</f>
        <v/>
      </c>
      <c r="AF21" s="9" t="str">
        <f t="shared" si="2"/>
        <v/>
      </c>
      <c r="AG21" s="90" t="str">
        <f t="shared" si="3"/>
        <v/>
      </c>
      <c r="AH21" s="204" t="s">
        <v>322</v>
      </c>
      <c r="AJ21" s="206">
        <f t="shared" si="19"/>
        <v>500</v>
      </c>
      <c r="AK21" s="206">
        <f t="shared" si="19"/>
        <v>100</v>
      </c>
      <c r="AL21" s="206">
        <f t="shared" si="19"/>
        <v>2</v>
      </c>
      <c r="AM21" s="213">
        <f t="shared" si="19"/>
        <v>0.875</v>
      </c>
      <c r="AN21" s="214">
        <f t="shared" si="19"/>
        <v>0.63607464142166403</v>
      </c>
      <c r="AO21" s="215">
        <f t="shared" si="4"/>
        <v>-14.7</v>
      </c>
      <c r="AP21" s="216">
        <f t="shared" si="5"/>
        <v>1</v>
      </c>
      <c r="AQ21" s="216">
        <f t="shared" si="6"/>
        <v>1</v>
      </c>
      <c r="AR21" s="215">
        <f t="shared" si="20"/>
        <v>158.47</v>
      </c>
      <c r="AS21" s="216">
        <f t="shared" si="7"/>
        <v>0.97679498379494789</v>
      </c>
      <c r="AT21" s="216">
        <f t="shared" si="8"/>
        <v>1.2538510821608391</v>
      </c>
      <c r="AU21" s="216">
        <f t="shared" si="9"/>
        <v>2.2360679774997898</v>
      </c>
      <c r="AV21" s="217">
        <f t="shared" si="10"/>
        <v>10.415801185754333</v>
      </c>
      <c r="AW21" s="216">
        <f t="shared" si="11"/>
        <v>0</v>
      </c>
      <c r="AX21" s="218">
        <f t="shared" si="12"/>
        <v>1.4696875479799241</v>
      </c>
      <c r="AY21" s="216">
        <f t="shared" si="13"/>
        <v>0.76851414128953044</v>
      </c>
      <c r="AZ21" s="217">
        <f t="shared" si="14"/>
        <v>3.5640070462657096</v>
      </c>
      <c r="BA21" s="216">
        <f t="shared" si="15"/>
        <v>0</v>
      </c>
      <c r="BB21" s="216">
        <f t="shared" si="16"/>
        <v>1.0084584063544275</v>
      </c>
      <c r="BC21" s="216">
        <f t="shared" si="17"/>
        <v>1</v>
      </c>
    </row>
    <row r="22" spans="1:55" ht="20.100000000000001" customHeight="1" x14ac:dyDescent="0.2">
      <c r="A22" s="45">
        <v>0.29166666666666702</v>
      </c>
      <c r="B22" s="451"/>
      <c r="C22" s="451"/>
      <c r="D22" s="451">
        <v>6.2</v>
      </c>
      <c r="E22" s="451">
        <v>57.2</v>
      </c>
      <c r="F22" s="41">
        <v>1950</v>
      </c>
      <c r="G22" s="37">
        <v>-5.5</v>
      </c>
      <c r="H22" s="37">
        <v>71.8</v>
      </c>
      <c r="I22" s="37">
        <v>21</v>
      </c>
      <c r="J22" s="41">
        <v>254</v>
      </c>
      <c r="K22" s="37">
        <v>13</v>
      </c>
      <c r="L22" s="451">
        <v>121</v>
      </c>
      <c r="M22" s="451">
        <v>221</v>
      </c>
      <c r="N22" s="451">
        <v>85</v>
      </c>
      <c r="O22" s="353">
        <v>35</v>
      </c>
      <c r="P22" s="353">
        <v>10</v>
      </c>
      <c r="Q22" s="353">
        <v>199.61</v>
      </c>
      <c r="R22" s="37"/>
      <c r="S22" s="508" t="str">
        <f t="shared" si="0"/>
        <v/>
      </c>
      <c r="T22" s="508"/>
      <c r="U22" s="508"/>
      <c r="V22" s="508"/>
      <c r="X22" s="45">
        <v>0.29166666666666702</v>
      </c>
      <c r="Y22" s="106"/>
      <c r="Z22" s="102"/>
      <c r="AA22" s="102"/>
      <c r="AB22" s="45" t="str">
        <f t="shared" si="18"/>
        <v/>
      </c>
      <c r="AC22" s="45" t="str">
        <f t="shared" si="1"/>
        <v/>
      </c>
      <c r="AD22" s="81"/>
      <c r="AE22" s="9" t="str">
        <f>IF(S22="","",IF(COUNTA(Z22:$Z$39)=1,IF(COUNTA(AD22:$AD$39)=1,""," ; "),IF(COUNTA(AD22:$AD$39)=1,IF(Z22="",""," ; ")," ; ")))</f>
        <v/>
      </c>
      <c r="AF22" s="9" t="str">
        <f t="shared" si="2"/>
        <v/>
      </c>
      <c r="AG22" s="90" t="str">
        <f t="shared" si="3"/>
        <v/>
      </c>
      <c r="AH22" s="204" t="s">
        <v>279</v>
      </c>
      <c r="AJ22" s="206">
        <f t="shared" si="19"/>
        <v>500</v>
      </c>
      <c r="AK22" s="206">
        <f t="shared" si="19"/>
        <v>100</v>
      </c>
      <c r="AL22" s="206">
        <f t="shared" si="19"/>
        <v>2</v>
      </c>
      <c r="AM22" s="213">
        <f t="shared" si="19"/>
        <v>0.875</v>
      </c>
      <c r="AN22" s="214">
        <f t="shared" si="19"/>
        <v>0.63607464142166403</v>
      </c>
      <c r="AO22" s="215">
        <f t="shared" si="4"/>
        <v>-14.7</v>
      </c>
      <c r="AP22" s="216">
        <f t="shared" si="5"/>
        <v>1</v>
      </c>
      <c r="AQ22" s="216">
        <f t="shared" si="6"/>
        <v>1</v>
      </c>
      <c r="AR22" s="215">
        <f t="shared" si="20"/>
        <v>158.47</v>
      </c>
      <c r="AS22" s="216">
        <f t="shared" si="7"/>
        <v>0.97679498379494789</v>
      </c>
      <c r="AT22" s="216">
        <f t="shared" si="8"/>
        <v>1.2538510821608391</v>
      </c>
      <c r="AU22" s="216">
        <f t="shared" si="9"/>
        <v>2.2360679774997898</v>
      </c>
      <c r="AV22" s="217">
        <f t="shared" si="10"/>
        <v>10.415801185754333</v>
      </c>
      <c r="AW22" s="216">
        <f t="shared" si="11"/>
        <v>0</v>
      </c>
      <c r="AX22" s="218">
        <f t="shared" si="12"/>
        <v>1.4696875479799241</v>
      </c>
      <c r="AY22" s="216">
        <f t="shared" si="13"/>
        <v>0.76851414128953044</v>
      </c>
      <c r="AZ22" s="217">
        <f t="shared" si="14"/>
        <v>3.5640070462657096</v>
      </c>
      <c r="BA22" s="216">
        <f t="shared" si="15"/>
        <v>0</v>
      </c>
      <c r="BB22" s="216">
        <f t="shared" si="16"/>
        <v>1.0084584063544275</v>
      </c>
      <c r="BC22" s="216">
        <f t="shared" si="17"/>
        <v>1</v>
      </c>
    </row>
    <row r="23" spans="1:55" ht="20.100000000000001" customHeight="1" x14ac:dyDescent="0.2">
      <c r="A23" s="45">
        <v>0.33333333333333298</v>
      </c>
      <c r="B23" s="451"/>
      <c r="C23" s="451"/>
      <c r="D23" s="451">
        <v>6.6</v>
      </c>
      <c r="E23" s="451">
        <v>59.3</v>
      </c>
      <c r="F23" s="41">
        <v>1956</v>
      </c>
      <c r="G23" s="37">
        <v>-5.5</v>
      </c>
      <c r="H23" s="37">
        <v>71.5</v>
      </c>
      <c r="I23" s="37">
        <v>21.6</v>
      </c>
      <c r="J23" s="41">
        <v>255</v>
      </c>
      <c r="K23" s="37">
        <v>13</v>
      </c>
      <c r="L23" s="451">
        <v>123</v>
      </c>
      <c r="M23" s="451">
        <v>222</v>
      </c>
      <c r="N23" s="451">
        <v>85</v>
      </c>
      <c r="O23" s="353">
        <v>40</v>
      </c>
      <c r="P23" s="353">
        <v>13</v>
      </c>
      <c r="Q23" s="353">
        <v>238.62</v>
      </c>
      <c r="R23" s="37"/>
      <c r="S23" s="508" t="str">
        <f t="shared" si="0"/>
        <v/>
      </c>
      <c r="T23" s="508"/>
      <c r="U23" s="508"/>
      <c r="V23" s="508"/>
      <c r="X23" s="45">
        <v>0.33333333333333298</v>
      </c>
      <c r="Y23" s="106"/>
      <c r="Z23" s="102"/>
      <c r="AA23" s="102"/>
      <c r="AB23" s="45" t="str">
        <f t="shared" si="18"/>
        <v/>
      </c>
      <c r="AC23" s="45" t="str">
        <f t="shared" si="1"/>
        <v/>
      </c>
      <c r="AD23" s="81"/>
      <c r="AE23" s="9" t="str">
        <f>IF(S23="","",IF(COUNTA(Z23:$Z$39)=1,IF(COUNTA(AD23:$AD$39)=1,""," ; "),IF(COUNTA(AD23:$AD$39)=1,IF(Z23="",""," ; ")," ; ")))</f>
        <v/>
      </c>
      <c r="AF23" s="9" t="str">
        <f t="shared" si="2"/>
        <v/>
      </c>
      <c r="AG23" s="90" t="str">
        <f t="shared" si="3"/>
        <v/>
      </c>
      <c r="AH23" s="204" t="s">
        <v>274</v>
      </c>
      <c r="AJ23" s="206">
        <f t="shared" si="19"/>
        <v>500</v>
      </c>
      <c r="AK23" s="206">
        <f t="shared" si="19"/>
        <v>100</v>
      </c>
      <c r="AL23" s="206">
        <f t="shared" si="19"/>
        <v>2</v>
      </c>
      <c r="AM23" s="213">
        <f t="shared" si="19"/>
        <v>0.875</v>
      </c>
      <c r="AN23" s="214">
        <f t="shared" si="19"/>
        <v>0.63607464142166403</v>
      </c>
      <c r="AO23" s="215">
        <f t="shared" si="4"/>
        <v>-14.7</v>
      </c>
      <c r="AP23" s="216">
        <f t="shared" si="5"/>
        <v>1</v>
      </c>
      <c r="AQ23" s="216">
        <f t="shared" si="6"/>
        <v>1</v>
      </c>
      <c r="AR23" s="215">
        <f t="shared" si="20"/>
        <v>158.47</v>
      </c>
      <c r="AS23" s="216">
        <f t="shared" si="7"/>
        <v>0.97679498379494789</v>
      </c>
      <c r="AT23" s="216">
        <f t="shared" si="8"/>
        <v>1.2538510821608391</v>
      </c>
      <c r="AU23" s="216">
        <f t="shared" si="9"/>
        <v>2.2360679774997898</v>
      </c>
      <c r="AV23" s="217">
        <f t="shared" si="10"/>
        <v>10.415801185754333</v>
      </c>
      <c r="AW23" s="216">
        <f t="shared" si="11"/>
        <v>0</v>
      </c>
      <c r="AX23" s="218">
        <f t="shared" si="12"/>
        <v>1.4696875479799241</v>
      </c>
      <c r="AY23" s="216">
        <f t="shared" si="13"/>
        <v>0.76851414128953044</v>
      </c>
      <c r="AZ23" s="217">
        <f t="shared" si="14"/>
        <v>3.5640070462657096</v>
      </c>
      <c r="BA23" s="216">
        <f t="shared" si="15"/>
        <v>0</v>
      </c>
      <c r="BB23" s="216">
        <f t="shared" si="16"/>
        <v>1.0084584063544275</v>
      </c>
      <c r="BC23" s="216">
        <f t="shared" si="17"/>
        <v>1</v>
      </c>
    </row>
    <row r="24" spans="1:55" ht="20.100000000000001" customHeight="1" x14ac:dyDescent="0.2">
      <c r="A24" s="45">
        <v>0.375</v>
      </c>
      <c r="B24" s="451"/>
      <c r="C24" s="451"/>
      <c r="D24" s="451">
        <v>6.5</v>
      </c>
      <c r="E24" s="451">
        <v>59.9</v>
      </c>
      <c r="F24" s="41">
        <v>1931</v>
      </c>
      <c r="G24" s="37">
        <v>-5.5</v>
      </c>
      <c r="H24" s="37">
        <v>71.3</v>
      </c>
      <c r="I24" s="37">
        <v>21.3</v>
      </c>
      <c r="J24" s="41">
        <v>256</v>
      </c>
      <c r="K24" s="37">
        <v>13</v>
      </c>
      <c r="L24" s="451">
        <v>123</v>
      </c>
      <c r="M24" s="451">
        <v>222</v>
      </c>
      <c r="N24" s="451">
        <v>85</v>
      </c>
      <c r="O24" s="353">
        <v>40</v>
      </c>
      <c r="P24" s="353">
        <v>12</v>
      </c>
      <c r="Q24" s="353">
        <v>229.34</v>
      </c>
      <c r="R24" s="37"/>
      <c r="S24" s="508" t="str">
        <f t="shared" si="0"/>
        <v/>
      </c>
      <c r="T24" s="508"/>
      <c r="U24" s="508"/>
      <c r="V24" s="508"/>
      <c r="X24" s="45">
        <v>0.375</v>
      </c>
      <c r="Y24" s="106"/>
      <c r="Z24" s="102"/>
      <c r="AA24" s="102"/>
      <c r="AB24" s="45" t="str">
        <f t="shared" si="18"/>
        <v/>
      </c>
      <c r="AC24" s="45" t="str">
        <f t="shared" si="1"/>
        <v/>
      </c>
      <c r="AD24" s="81"/>
      <c r="AE24" s="9" t="str">
        <f>IF(S24="","",IF(COUNTA(Z24:$Z$39)=1,IF(COUNTA(AD24:$AD$39)=1,""," ; "),IF(COUNTA(AD24:$AD$39)=1,IF(Z24="",""," ; ")," ; ")))</f>
        <v/>
      </c>
      <c r="AF24" s="9" t="str">
        <f t="shared" si="2"/>
        <v/>
      </c>
      <c r="AG24" s="90" t="str">
        <f t="shared" si="3"/>
        <v/>
      </c>
      <c r="AH24" s="204" t="s">
        <v>307</v>
      </c>
      <c r="AJ24" s="206">
        <f t="shared" si="19"/>
        <v>500</v>
      </c>
      <c r="AK24" s="206">
        <f t="shared" si="19"/>
        <v>100</v>
      </c>
      <c r="AL24" s="206">
        <f t="shared" si="19"/>
        <v>2</v>
      </c>
      <c r="AM24" s="213">
        <f t="shared" si="19"/>
        <v>0.875</v>
      </c>
      <c r="AN24" s="214">
        <f t="shared" si="19"/>
        <v>0.63607464142166403</v>
      </c>
      <c r="AO24" s="215">
        <f t="shared" si="4"/>
        <v>-14.7</v>
      </c>
      <c r="AP24" s="216">
        <f t="shared" si="5"/>
        <v>1</v>
      </c>
      <c r="AQ24" s="216">
        <f t="shared" si="6"/>
        <v>1</v>
      </c>
      <c r="AR24" s="215">
        <f t="shared" si="20"/>
        <v>158.47</v>
      </c>
      <c r="AS24" s="216">
        <f t="shared" si="7"/>
        <v>0.97679498379494789</v>
      </c>
      <c r="AT24" s="216">
        <f t="shared" si="8"/>
        <v>1.2538510821608391</v>
      </c>
      <c r="AU24" s="216">
        <f t="shared" si="9"/>
        <v>2.2360679774997898</v>
      </c>
      <c r="AV24" s="217">
        <f t="shared" si="10"/>
        <v>10.415801185754333</v>
      </c>
      <c r="AW24" s="216">
        <f t="shared" si="11"/>
        <v>0</v>
      </c>
      <c r="AX24" s="218">
        <f t="shared" si="12"/>
        <v>1.4696875479799241</v>
      </c>
      <c r="AY24" s="216">
        <f t="shared" si="13"/>
        <v>0.76851414128953044</v>
      </c>
      <c r="AZ24" s="217">
        <f t="shared" si="14"/>
        <v>3.5640070462657096</v>
      </c>
      <c r="BA24" s="216">
        <f t="shared" si="15"/>
        <v>0</v>
      </c>
      <c r="BB24" s="216">
        <f t="shared" si="16"/>
        <v>1.0084584063544275</v>
      </c>
      <c r="BC24" s="216">
        <f t="shared" si="17"/>
        <v>1</v>
      </c>
    </row>
    <row r="25" spans="1:55" ht="20.100000000000001" customHeight="1" x14ac:dyDescent="0.2">
      <c r="A25" s="45">
        <v>0.41666666666666702</v>
      </c>
      <c r="B25" s="451"/>
      <c r="C25" s="451"/>
      <c r="D25" s="451">
        <v>5.3</v>
      </c>
      <c r="E25" s="451">
        <v>58.1</v>
      </c>
      <c r="F25" s="41">
        <v>1958</v>
      </c>
      <c r="G25" s="37">
        <v>-5.5</v>
      </c>
      <c r="H25" s="37">
        <v>71.599999999999994</v>
      </c>
      <c r="I25" s="37">
        <v>21</v>
      </c>
      <c r="J25" s="41">
        <v>257</v>
      </c>
      <c r="K25" s="37">
        <v>13</v>
      </c>
      <c r="L25" s="451">
        <v>126</v>
      </c>
      <c r="M25" s="451">
        <v>225</v>
      </c>
      <c r="N25" s="451">
        <v>85</v>
      </c>
      <c r="O25" s="353">
        <v>40</v>
      </c>
      <c r="P25" s="353">
        <v>14</v>
      </c>
      <c r="Q25" s="353">
        <v>247.56</v>
      </c>
      <c r="R25" s="37"/>
      <c r="S25" s="508" t="str">
        <f t="shared" si="0"/>
        <v/>
      </c>
      <c r="T25" s="508"/>
      <c r="U25" s="508"/>
      <c r="V25" s="508"/>
      <c r="X25" s="45">
        <v>0.41666666666666702</v>
      </c>
      <c r="Y25" s="106"/>
      <c r="Z25" s="102"/>
      <c r="AA25" s="102"/>
      <c r="AB25" s="45" t="str">
        <f t="shared" si="18"/>
        <v/>
      </c>
      <c r="AC25" s="45" t="str">
        <f t="shared" si="1"/>
        <v/>
      </c>
      <c r="AD25" s="81"/>
      <c r="AE25" s="9" t="str">
        <f>IF(S25="","",IF(COUNTA(Z25:$Z$39)=1,IF(COUNTA(AD25:$AD$39)=1,""," ; "),IF(COUNTA(AD25:$AD$39)=1,IF(Z25="",""," ; ")," ; ")))</f>
        <v/>
      </c>
      <c r="AF25" s="9" t="str">
        <f t="shared" si="2"/>
        <v/>
      </c>
      <c r="AG25" s="90" t="str">
        <f t="shared" si="3"/>
        <v/>
      </c>
      <c r="AH25" s="204" t="s">
        <v>225</v>
      </c>
      <c r="AJ25" s="206">
        <f t="shared" si="19"/>
        <v>500</v>
      </c>
      <c r="AK25" s="206">
        <f t="shared" si="19"/>
        <v>100</v>
      </c>
      <c r="AL25" s="206">
        <f t="shared" si="19"/>
        <v>2</v>
      </c>
      <c r="AM25" s="213">
        <f t="shared" si="19"/>
        <v>0.875</v>
      </c>
      <c r="AN25" s="214">
        <f t="shared" si="19"/>
        <v>0.63607464142166403</v>
      </c>
      <c r="AO25" s="215">
        <f t="shared" si="4"/>
        <v>-14.7</v>
      </c>
      <c r="AP25" s="216">
        <f t="shared" si="5"/>
        <v>1</v>
      </c>
      <c r="AQ25" s="216">
        <f t="shared" si="6"/>
        <v>1</v>
      </c>
      <c r="AR25" s="215">
        <f t="shared" si="20"/>
        <v>158.47</v>
      </c>
      <c r="AS25" s="216">
        <f t="shared" si="7"/>
        <v>0.97679498379494789</v>
      </c>
      <c r="AT25" s="216">
        <f t="shared" si="8"/>
        <v>1.2538510821608391</v>
      </c>
      <c r="AU25" s="216">
        <f t="shared" si="9"/>
        <v>2.2360679774997898</v>
      </c>
      <c r="AV25" s="217">
        <f t="shared" si="10"/>
        <v>10.415801185754333</v>
      </c>
      <c r="AW25" s="216">
        <f t="shared" si="11"/>
        <v>0</v>
      </c>
      <c r="AX25" s="218">
        <f t="shared" si="12"/>
        <v>1.4696875479799241</v>
      </c>
      <c r="AY25" s="216">
        <f t="shared" si="13"/>
        <v>0.76851414128953044</v>
      </c>
      <c r="AZ25" s="217">
        <f t="shared" si="14"/>
        <v>3.5640070462657096</v>
      </c>
      <c r="BA25" s="216">
        <f t="shared" si="15"/>
        <v>0</v>
      </c>
      <c r="BB25" s="216">
        <f t="shared" si="16"/>
        <v>1.0084584063544275</v>
      </c>
      <c r="BC25" s="216">
        <f t="shared" si="17"/>
        <v>1</v>
      </c>
    </row>
    <row r="26" spans="1:55" ht="20.100000000000001" customHeight="1" x14ac:dyDescent="0.2">
      <c r="A26" s="45">
        <v>0.45833333333333298</v>
      </c>
      <c r="B26" s="451"/>
      <c r="C26" s="451"/>
      <c r="D26" s="451">
        <v>5.6</v>
      </c>
      <c r="E26" s="451">
        <v>58.5</v>
      </c>
      <c r="F26" s="41">
        <v>1945</v>
      </c>
      <c r="G26" s="37">
        <v>-5.5</v>
      </c>
      <c r="H26" s="37">
        <v>71.099999999999994</v>
      </c>
      <c r="I26" s="37">
        <v>21.5</v>
      </c>
      <c r="J26" s="41">
        <v>258</v>
      </c>
      <c r="K26" s="37">
        <v>13</v>
      </c>
      <c r="L26" s="451">
        <v>126</v>
      </c>
      <c r="M26" s="451">
        <v>225</v>
      </c>
      <c r="N26" s="451">
        <v>85</v>
      </c>
      <c r="O26" s="353">
        <v>40</v>
      </c>
      <c r="P26" s="353">
        <v>14</v>
      </c>
      <c r="Q26" s="353">
        <v>247.56</v>
      </c>
      <c r="R26" s="37"/>
      <c r="S26" s="508" t="str">
        <f t="shared" si="0"/>
        <v/>
      </c>
      <c r="T26" s="508"/>
      <c r="U26" s="508"/>
      <c r="V26" s="508"/>
      <c r="X26" s="45">
        <v>0.45833333333333298</v>
      </c>
      <c r="Y26" s="106"/>
      <c r="Z26" s="102"/>
      <c r="AA26" s="102"/>
      <c r="AB26" s="45" t="str">
        <f t="shared" si="18"/>
        <v/>
      </c>
      <c r="AC26" s="45" t="str">
        <f t="shared" si="1"/>
        <v/>
      </c>
      <c r="AD26" s="81"/>
      <c r="AE26" s="9" t="str">
        <f>IF(S26="","",IF(COUNTA(Z26:$Z$39)=1,IF(COUNTA(AD26:$AD$39)=1,""," ; "),IF(COUNTA(AD26:$AD$39)=1,IF(Z26="",""," ; ")," ; ")))</f>
        <v/>
      </c>
      <c r="AF26" s="9" t="str">
        <f t="shared" si="2"/>
        <v/>
      </c>
      <c r="AG26" s="90" t="str">
        <f t="shared" si="3"/>
        <v/>
      </c>
      <c r="AH26" s="204" t="s">
        <v>287</v>
      </c>
      <c r="AJ26" s="206">
        <f t="shared" si="19"/>
        <v>500</v>
      </c>
      <c r="AK26" s="206">
        <f t="shared" si="19"/>
        <v>100</v>
      </c>
      <c r="AL26" s="206">
        <f t="shared" si="19"/>
        <v>2</v>
      </c>
      <c r="AM26" s="213">
        <f t="shared" si="19"/>
        <v>0.875</v>
      </c>
      <c r="AN26" s="214">
        <f t="shared" si="19"/>
        <v>0.63607464142166403</v>
      </c>
      <c r="AO26" s="215">
        <f t="shared" si="4"/>
        <v>-14.7</v>
      </c>
      <c r="AP26" s="216">
        <f t="shared" si="5"/>
        <v>1</v>
      </c>
      <c r="AQ26" s="216">
        <f t="shared" si="6"/>
        <v>1</v>
      </c>
      <c r="AR26" s="215">
        <f t="shared" si="20"/>
        <v>158.47</v>
      </c>
      <c r="AS26" s="216">
        <f t="shared" si="7"/>
        <v>0.97679498379494789</v>
      </c>
      <c r="AT26" s="216">
        <f t="shared" si="8"/>
        <v>1.2538510821608391</v>
      </c>
      <c r="AU26" s="216">
        <f t="shared" si="9"/>
        <v>2.2360679774997898</v>
      </c>
      <c r="AV26" s="217">
        <f t="shared" si="10"/>
        <v>10.415801185754333</v>
      </c>
      <c r="AW26" s="216">
        <f t="shared" si="11"/>
        <v>0</v>
      </c>
      <c r="AX26" s="218">
        <f t="shared" si="12"/>
        <v>1.4696875479799241</v>
      </c>
      <c r="AY26" s="216">
        <f t="shared" si="13"/>
        <v>0.76851414128953044</v>
      </c>
      <c r="AZ26" s="217">
        <f t="shared" si="14"/>
        <v>3.5640070462657096</v>
      </c>
      <c r="BA26" s="216">
        <f t="shared" si="15"/>
        <v>0</v>
      </c>
      <c r="BB26" s="216">
        <f t="shared" si="16"/>
        <v>1.0084584063544275</v>
      </c>
      <c r="BC26" s="216">
        <f t="shared" si="17"/>
        <v>1</v>
      </c>
    </row>
    <row r="27" spans="1:55" ht="20.100000000000001" customHeight="1" x14ac:dyDescent="0.2">
      <c r="A27" s="45">
        <v>0.5</v>
      </c>
      <c r="B27" s="451"/>
      <c r="C27" s="451"/>
      <c r="D27" s="451">
        <v>5.3</v>
      </c>
      <c r="E27" s="451">
        <v>58.8</v>
      </c>
      <c r="F27" s="41">
        <v>1950</v>
      </c>
      <c r="G27" s="37">
        <v>-5.5</v>
      </c>
      <c r="H27" s="37">
        <v>71.3</v>
      </c>
      <c r="I27" s="37">
        <v>21.9</v>
      </c>
      <c r="J27" s="41">
        <v>259</v>
      </c>
      <c r="K27" s="37">
        <v>13</v>
      </c>
      <c r="L27" s="451">
        <v>129</v>
      </c>
      <c r="M27" s="451">
        <v>229</v>
      </c>
      <c r="N27" s="451">
        <v>85</v>
      </c>
      <c r="O27" s="353">
        <v>40</v>
      </c>
      <c r="P27" s="353">
        <v>14</v>
      </c>
      <c r="Q27" s="353">
        <v>247.56</v>
      </c>
      <c r="R27" s="37"/>
      <c r="S27" s="508" t="str">
        <f t="shared" si="0"/>
        <v/>
      </c>
      <c r="T27" s="508"/>
      <c r="U27" s="508"/>
      <c r="V27" s="508"/>
      <c r="X27" s="45">
        <v>0.5</v>
      </c>
      <c r="Y27" s="106"/>
      <c r="Z27" s="102"/>
      <c r="AA27" s="102"/>
      <c r="AB27" s="45" t="str">
        <f t="shared" si="18"/>
        <v/>
      </c>
      <c r="AC27" s="45" t="str">
        <f t="shared" si="1"/>
        <v/>
      </c>
      <c r="AD27" s="81"/>
      <c r="AE27" s="9" t="str">
        <f>IF(S27="","",IF(COUNTA(Z27:$Z$39)=1,IF(COUNTA(AD27:$AD$39)=1,""," ; "),IF(COUNTA(AD27:$AD$39)=1,IF(Z27="",""," ; ")," ; ")))</f>
        <v/>
      </c>
      <c r="AF27" s="9" t="str">
        <f t="shared" si="2"/>
        <v/>
      </c>
      <c r="AG27" s="90" t="str">
        <f t="shared" si="3"/>
        <v/>
      </c>
      <c r="AH27" s="204" t="s">
        <v>276</v>
      </c>
      <c r="AJ27" s="206">
        <f t="shared" si="19"/>
        <v>500</v>
      </c>
      <c r="AK27" s="206">
        <f t="shared" si="19"/>
        <v>100</v>
      </c>
      <c r="AL27" s="206">
        <f t="shared" si="19"/>
        <v>2</v>
      </c>
      <c r="AM27" s="213">
        <f t="shared" si="19"/>
        <v>0.875</v>
      </c>
      <c r="AN27" s="214">
        <f t="shared" si="19"/>
        <v>0.63607464142166403</v>
      </c>
      <c r="AO27" s="215">
        <f t="shared" si="4"/>
        <v>-14.7</v>
      </c>
      <c r="AP27" s="216">
        <f t="shared" si="5"/>
        <v>1</v>
      </c>
      <c r="AQ27" s="216">
        <f t="shared" si="6"/>
        <v>1</v>
      </c>
      <c r="AR27" s="215">
        <f t="shared" si="20"/>
        <v>158.47</v>
      </c>
      <c r="AS27" s="216">
        <f t="shared" si="7"/>
        <v>0.97679498379494789</v>
      </c>
      <c r="AT27" s="216">
        <f t="shared" si="8"/>
        <v>1.2538510821608391</v>
      </c>
      <c r="AU27" s="216">
        <f t="shared" si="9"/>
        <v>2.2360679774997898</v>
      </c>
      <c r="AV27" s="217">
        <f t="shared" si="10"/>
        <v>10.415801185754333</v>
      </c>
      <c r="AW27" s="216">
        <f t="shared" si="11"/>
        <v>0</v>
      </c>
      <c r="AX27" s="218">
        <f t="shared" si="12"/>
        <v>1.4696875479799241</v>
      </c>
      <c r="AY27" s="216">
        <f t="shared" si="13"/>
        <v>0.76851414128953044</v>
      </c>
      <c r="AZ27" s="217">
        <f t="shared" si="14"/>
        <v>3.5640070462657096</v>
      </c>
      <c r="BA27" s="216">
        <f t="shared" si="15"/>
        <v>0</v>
      </c>
      <c r="BB27" s="216">
        <f t="shared" si="16"/>
        <v>1.0084584063544275</v>
      </c>
      <c r="BC27" s="216">
        <f t="shared" si="17"/>
        <v>1</v>
      </c>
    </row>
    <row r="28" spans="1:55" ht="20.100000000000001" customHeight="1" x14ac:dyDescent="0.2">
      <c r="A28" s="45">
        <v>0.54166666666666696</v>
      </c>
      <c r="B28" s="451"/>
      <c r="C28" s="451"/>
      <c r="D28" s="451">
        <v>6.7</v>
      </c>
      <c r="E28" s="451">
        <v>60.3</v>
      </c>
      <c r="F28" s="41">
        <v>1983</v>
      </c>
      <c r="G28" s="37">
        <v>-5.5</v>
      </c>
      <c r="H28" s="37">
        <v>71</v>
      </c>
      <c r="I28" s="37">
        <v>21.3</v>
      </c>
      <c r="J28" s="41">
        <v>260</v>
      </c>
      <c r="K28" s="37">
        <v>13</v>
      </c>
      <c r="L28" s="451">
        <v>129</v>
      </c>
      <c r="M28" s="451">
        <v>229</v>
      </c>
      <c r="N28" s="451">
        <v>85</v>
      </c>
      <c r="O28" s="353">
        <v>40</v>
      </c>
      <c r="P28" s="353">
        <v>12</v>
      </c>
      <c r="Q28" s="353">
        <v>229.34</v>
      </c>
      <c r="R28" s="37"/>
      <c r="S28" s="508" t="str">
        <f t="shared" si="0"/>
        <v/>
      </c>
      <c r="T28" s="508"/>
      <c r="U28" s="508"/>
      <c r="V28" s="508"/>
      <c r="X28" s="45">
        <v>0.54166666666666696</v>
      </c>
      <c r="Y28" s="106"/>
      <c r="Z28" s="102"/>
      <c r="AA28" s="102"/>
      <c r="AB28" s="45" t="str">
        <f t="shared" si="18"/>
        <v/>
      </c>
      <c r="AC28" s="45" t="str">
        <f t="shared" si="1"/>
        <v/>
      </c>
      <c r="AD28" s="81"/>
      <c r="AE28" s="9" t="str">
        <f>IF(S28="","",IF(COUNTA(Z28:$Z$39)=1,IF(COUNTA(AD28:$AD$39)=1,""," ; "),IF(COUNTA(AD28:$AD$39)=1,IF(Z28="",""," ; ")," ; ")))</f>
        <v/>
      </c>
      <c r="AF28" s="9" t="str">
        <f t="shared" si="2"/>
        <v/>
      </c>
      <c r="AG28" s="90" t="str">
        <f t="shared" si="3"/>
        <v/>
      </c>
      <c r="AH28" s="204" t="s">
        <v>278</v>
      </c>
      <c r="AJ28" s="206">
        <f t="shared" si="19"/>
        <v>500</v>
      </c>
      <c r="AK28" s="206">
        <f t="shared" si="19"/>
        <v>100</v>
      </c>
      <c r="AL28" s="206">
        <f t="shared" si="19"/>
        <v>2</v>
      </c>
      <c r="AM28" s="213">
        <f t="shared" si="19"/>
        <v>0.875</v>
      </c>
      <c r="AN28" s="214">
        <f t="shared" si="19"/>
        <v>0.63607464142166403</v>
      </c>
      <c r="AO28" s="215">
        <f t="shared" si="4"/>
        <v>-14.7</v>
      </c>
      <c r="AP28" s="216">
        <f t="shared" si="5"/>
        <v>1</v>
      </c>
      <c r="AQ28" s="216">
        <f t="shared" si="6"/>
        <v>1</v>
      </c>
      <c r="AR28" s="215">
        <f t="shared" si="20"/>
        <v>158.47</v>
      </c>
      <c r="AS28" s="216">
        <f t="shared" si="7"/>
        <v>0.97679498379494789</v>
      </c>
      <c r="AT28" s="216">
        <f t="shared" si="8"/>
        <v>1.2538510821608391</v>
      </c>
      <c r="AU28" s="216">
        <f t="shared" si="9"/>
        <v>2.2360679774997898</v>
      </c>
      <c r="AV28" s="217">
        <f t="shared" si="10"/>
        <v>10.415801185754333</v>
      </c>
      <c r="AW28" s="216">
        <f t="shared" si="11"/>
        <v>0</v>
      </c>
      <c r="AX28" s="218">
        <f t="shared" si="12"/>
        <v>1.4696875479799241</v>
      </c>
      <c r="AY28" s="216">
        <f t="shared" si="13"/>
        <v>0.76851414128953044</v>
      </c>
      <c r="AZ28" s="217">
        <f t="shared" si="14"/>
        <v>3.5640070462657096</v>
      </c>
      <c r="BA28" s="216">
        <f t="shared" si="15"/>
        <v>0</v>
      </c>
      <c r="BB28" s="216">
        <f t="shared" si="16"/>
        <v>1.0084584063544275</v>
      </c>
      <c r="BC28" s="216">
        <f t="shared" si="17"/>
        <v>1</v>
      </c>
    </row>
    <row r="29" spans="1:55" ht="20.100000000000001" customHeight="1" x14ac:dyDescent="0.2">
      <c r="A29" s="45">
        <v>0.58333333333333304</v>
      </c>
      <c r="B29" s="451"/>
      <c r="C29" s="451"/>
      <c r="D29" s="451">
        <v>6.2</v>
      </c>
      <c r="E29" s="451">
        <v>60.6</v>
      </c>
      <c r="F29" s="41">
        <v>1985</v>
      </c>
      <c r="G29" s="37">
        <v>-5.5</v>
      </c>
      <c r="H29" s="37">
        <v>71.5</v>
      </c>
      <c r="I29" s="37">
        <v>21</v>
      </c>
      <c r="J29" s="41">
        <v>261</v>
      </c>
      <c r="K29" s="37">
        <v>13</v>
      </c>
      <c r="L29" s="451">
        <v>131</v>
      </c>
      <c r="M29" s="451">
        <v>232</v>
      </c>
      <c r="N29" s="451">
        <v>85</v>
      </c>
      <c r="O29" s="353">
        <v>40</v>
      </c>
      <c r="P29" s="353">
        <v>14</v>
      </c>
      <c r="Q29" s="353">
        <v>247.56</v>
      </c>
      <c r="R29" s="37"/>
      <c r="S29" s="508" t="str">
        <f t="shared" si="0"/>
        <v/>
      </c>
      <c r="T29" s="508"/>
      <c r="U29" s="508"/>
      <c r="V29" s="508"/>
      <c r="X29" s="45">
        <v>0.58333333333333304</v>
      </c>
      <c r="Y29" s="106"/>
      <c r="Z29" s="102"/>
      <c r="AA29" s="102"/>
      <c r="AB29" s="45" t="str">
        <f t="shared" si="18"/>
        <v/>
      </c>
      <c r="AC29" s="45" t="str">
        <f t="shared" si="1"/>
        <v/>
      </c>
      <c r="AD29" s="81"/>
      <c r="AE29" s="9" t="str">
        <f>IF(S29="","",IF(COUNTA(Z29:$Z$39)=1,IF(COUNTA(AD29:$AD$39)=1,""," ; "),IF(COUNTA(AD29:$AD$39)=1,IF(Z29="",""," ; ")," ; ")))</f>
        <v/>
      </c>
      <c r="AF29" s="9" t="str">
        <f t="shared" si="2"/>
        <v/>
      </c>
      <c r="AG29" s="90" t="str">
        <f t="shared" si="3"/>
        <v/>
      </c>
      <c r="AH29" s="204" t="s">
        <v>224</v>
      </c>
      <c r="AJ29" s="206">
        <f t="shared" si="19"/>
        <v>500</v>
      </c>
      <c r="AK29" s="206">
        <f t="shared" si="19"/>
        <v>100</v>
      </c>
      <c r="AL29" s="206">
        <f t="shared" si="19"/>
        <v>2</v>
      </c>
      <c r="AM29" s="213">
        <f t="shared" si="19"/>
        <v>0.875</v>
      </c>
      <c r="AN29" s="214">
        <f t="shared" si="19"/>
        <v>0.63607464142166403</v>
      </c>
      <c r="AO29" s="215">
        <f t="shared" si="4"/>
        <v>-14.7</v>
      </c>
      <c r="AP29" s="216">
        <f t="shared" si="5"/>
        <v>1</v>
      </c>
      <c r="AQ29" s="216">
        <f t="shared" si="6"/>
        <v>1</v>
      </c>
      <c r="AR29" s="215">
        <f t="shared" si="20"/>
        <v>158.47</v>
      </c>
      <c r="AS29" s="216">
        <f t="shared" si="7"/>
        <v>0.97679498379494789</v>
      </c>
      <c r="AT29" s="216">
        <f t="shared" si="8"/>
        <v>1.2538510821608391</v>
      </c>
      <c r="AU29" s="216">
        <f t="shared" si="9"/>
        <v>2.2360679774997898</v>
      </c>
      <c r="AV29" s="217">
        <f t="shared" si="10"/>
        <v>10.415801185754333</v>
      </c>
      <c r="AW29" s="216">
        <f t="shared" si="11"/>
        <v>0</v>
      </c>
      <c r="AX29" s="218">
        <f t="shared" si="12"/>
        <v>1.4696875479799241</v>
      </c>
      <c r="AY29" s="216">
        <f t="shared" si="13"/>
        <v>0.76851414128953044</v>
      </c>
      <c r="AZ29" s="217">
        <f t="shared" si="14"/>
        <v>3.5640070462657096</v>
      </c>
      <c r="BA29" s="216">
        <f t="shared" si="15"/>
        <v>0</v>
      </c>
      <c r="BB29" s="216">
        <f t="shared" si="16"/>
        <v>1.0084584063544275</v>
      </c>
      <c r="BC29" s="216">
        <f t="shared" si="17"/>
        <v>1</v>
      </c>
    </row>
    <row r="30" spans="1:55" ht="20.100000000000001" customHeight="1" x14ac:dyDescent="0.2">
      <c r="A30" s="45">
        <v>0.625</v>
      </c>
      <c r="B30" s="451"/>
      <c r="C30" s="451"/>
      <c r="D30" s="451">
        <v>6.5</v>
      </c>
      <c r="E30" s="451">
        <v>60.8</v>
      </c>
      <c r="F30" s="41">
        <v>1936</v>
      </c>
      <c r="G30" s="37">
        <v>-5.5</v>
      </c>
      <c r="H30" s="37">
        <v>71.099999999999994</v>
      </c>
      <c r="I30" s="37">
        <v>21.5</v>
      </c>
      <c r="J30" s="41">
        <v>262</v>
      </c>
      <c r="K30" s="37">
        <v>13</v>
      </c>
      <c r="L30" s="451">
        <v>131</v>
      </c>
      <c r="M30" s="451">
        <v>232</v>
      </c>
      <c r="N30" s="451">
        <v>85</v>
      </c>
      <c r="O30" s="353">
        <v>50</v>
      </c>
      <c r="P30" s="353">
        <v>10</v>
      </c>
      <c r="Q30" s="353">
        <v>228.1</v>
      </c>
      <c r="R30" s="37"/>
      <c r="S30" s="508" t="str">
        <f t="shared" si="0"/>
        <v/>
      </c>
      <c r="T30" s="508"/>
      <c r="U30" s="508"/>
      <c r="V30" s="508"/>
      <c r="X30" s="45">
        <v>0.625</v>
      </c>
      <c r="Y30" s="106"/>
      <c r="Z30" s="102"/>
      <c r="AA30" s="102"/>
      <c r="AB30" s="45" t="str">
        <f t="shared" si="18"/>
        <v/>
      </c>
      <c r="AC30" s="45" t="str">
        <f t="shared" si="1"/>
        <v/>
      </c>
      <c r="AD30" s="81"/>
      <c r="AE30" s="9" t="str">
        <f>IF(S30="","",IF(COUNTA(Z30:$Z$39)=1,IF(COUNTA(AD30:$AD$39)=1,""," ; "),IF(COUNTA(AD30:$AD$39)=1,IF(Z30="",""," ; ")," ; ")))</f>
        <v/>
      </c>
      <c r="AF30" s="9" t="str">
        <f t="shared" si="2"/>
        <v/>
      </c>
      <c r="AG30" s="90" t="str">
        <f t="shared" si="3"/>
        <v/>
      </c>
      <c r="AH30" s="204" t="s">
        <v>260</v>
      </c>
      <c r="AJ30" s="206">
        <f t="shared" si="19"/>
        <v>500</v>
      </c>
      <c r="AK30" s="206">
        <f t="shared" si="19"/>
        <v>100</v>
      </c>
      <c r="AL30" s="206">
        <f t="shared" si="19"/>
        <v>2</v>
      </c>
      <c r="AM30" s="213">
        <f t="shared" si="19"/>
        <v>0.875</v>
      </c>
      <c r="AN30" s="214">
        <f t="shared" si="19"/>
        <v>0.63607464142166403</v>
      </c>
      <c r="AO30" s="215">
        <f t="shared" si="4"/>
        <v>-14.7</v>
      </c>
      <c r="AP30" s="216">
        <f t="shared" si="5"/>
        <v>1</v>
      </c>
      <c r="AQ30" s="216">
        <f t="shared" si="6"/>
        <v>1</v>
      </c>
      <c r="AR30" s="215">
        <f t="shared" si="20"/>
        <v>158.47</v>
      </c>
      <c r="AS30" s="216">
        <f t="shared" si="7"/>
        <v>0.97679498379494789</v>
      </c>
      <c r="AT30" s="216">
        <f t="shared" si="8"/>
        <v>1.2538510821608391</v>
      </c>
      <c r="AU30" s="216">
        <f t="shared" si="9"/>
        <v>2.2360679774997898</v>
      </c>
      <c r="AV30" s="217">
        <f t="shared" si="10"/>
        <v>10.415801185754333</v>
      </c>
      <c r="AW30" s="216">
        <f t="shared" si="11"/>
        <v>0</v>
      </c>
      <c r="AX30" s="218">
        <f t="shared" si="12"/>
        <v>1.4696875479799241</v>
      </c>
      <c r="AY30" s="216">
        <f t="shared" si="13"/>
        <v>0.76851414128953044</v>
      </c>
      <c r="AZ30" s="217">
        <f t="shared" si="14"/>
        <v>3.5640070462657096</v>
      </c>
      <c r="BA30" s="216">
        <f t="shared" si="15"/>
        <v>0</v>
      </c>
      <c r="BB30" s="216">
        <f t="shared" si="16"/>
        <v>1.0084584063544275</v>
      </c>
      <c r="BC30" s="216">
        <f t="shared" si="17"/>
        <v>1</v>
      </c>
    </row>
    <row r="31" spans="1:55" ht="20.100000000000001" customHeight="1" x14ac:dyDescent="0.2">
      <c r="A31" s="45">
        <v>0.66666666666666696</v>
      </c>
      <c r="B31" s="451"/>
      <c r="C31" s="451"/>
      <c r="D31" s="451">
        <v>6.3</v>
      </c>
      <c r="E31" s="451">
        <v>57.5</v>
      </c>
      <c r="F31" s="41">
        <v>1950</v>
      </c>
      <c r="G31" s="37">
        <v>-5.5</v>
      </c>
      <c r="H31" s="37">
        <v>71.599999999999994</v>
      </c>
      <c r="I31" s="37">
        <v>21.3</v>
      </c>
      <c r="J31" s="41">
        <v>263</v>
      </c>
      <c r="K31" s="37">
        <v>13</v>
      </c>
      <c r="L31" s="451">
        <v>128</v>
      </c>
      <c r="M31" s="451">
        <v>228</v>
      </c>
      <c r="N31" s="451">
        <v>85</v>
      </c>
      <c r="O31" s="353">
        <v>55</v>
      </c>
      <c r="P31" s="353">
        <v>10</v>
      </c>
      <c r="Q31" s="353">
        <v>236.88</v>
      </c>
      <c r="R31" s="37"/>
      <c r="S31" s="508" t="str">
        <f t="shared" si="0"/>
        <v/>
      </c>
      <c r="T31" s="508"/>
      <c r="U31" s="508"/>
      <c r="V31" s="508"/>
      <c r="X31" s="45">
        <v>0.66666666666666696</v>
      </c>
      <c r="Y31" s="106"/>
      <c r="Z31" s="102"/>
      <c r="AA31" s="102"/>
      <c r="AB31" s="45" t="str">
        <f t="shared" si="18"/>
        <v/>
      </c>
      <c r="AC31" s="45" t="str">
        <f t="shared" si="1"/>
        <v/>
      </c>
      <c r="AD31" s="81"/>
      <c r="AE31" s="9" t="str">
        <f>IF(S31="","",IF(COUNTA(Z31:$Z$39)=1,IF(COUNTA(AD31:$AD$39)=1,""," ; "),IF(COUNTA(AD31:$AD$39)=1,IF(Z31="",""," ; ")," ; ")))</f>
        <v/>
      </c>
      <c r="AF31" s="9" t="str">
        <f t="shared" si="2"/>
        <v/>
      </c>
      <c r="AG31" s="90" t="str">
        <f t="shared" si="3"/>
        <v/>
      </c>
      <c r="AH31" s="204" t="s">
        <v>226</v>
      </c>
      <c r="AJ31" s="206">
        <f t="shared" si="19"/>
        <v>500</v>
      </c>
      <c r="AK31" s="206">
        <f t="shared" si="19"/>
        <v>100</v>
      </c>
      <c r="AL31" s="206">
        <f t="shared" si="19"/>
        <v>2</v>
      </c>
      <c r="AM31" s="213">
        <f t="shared" si="19"/>
        <v>0.875</v>
      </c>
      <c r="AN31" s="214">
        <f t="shared" si="19"/>
        <v>0.63607464142166403</v>
      </c>
      <c r="AO31" s="215">
        <f t="shared" si="4"/>
        <v>-14.7</v>
      </c>
      <c r="AP31" s="216">
        <f t="shared" si="5"/>
        <v>1</v>
      </c>
      <c r="AQ31" s="216">
        <f t="shared" si="6"/>
        <v>1</v>
      </c>
      <c r="AR31" s="215">
        <f t="shared" si="20"/>
        <v>158.47</v>
      </c>
      <c r="AS31" s="216">
        <f t="shared" si="7"/>
        <v>0.97679498379494789</v>
      </c>
      <c r="AT31" s="216">
        <f t="shared" si="8"/>
        <v>1.2538510821608391</v>
      </c>
      <c r="AU31" s="216">
        <f t="shared" si="9"/>
        <v>2.2360679774997898</v>
      </c>
      <c r="AV31" s="217">
        <f t="shared" si="10"/>
        <v>10.415801185754333</v>
      </c>
      <c r="AW31" s="216">
        <f t="shared" si="11"/>
        <v>0</v>
      </c>
      <c r="AX31" s="218">
        <f t="shared" si="12"/>
        <v>1.4696875479799241</v>
      </c>
      <c r="AY31" s="216">
        <f t="shared" si="13"/>
        <v>0.76851414128953044</v>
      </c>
      <c r="AZ31" s="217">
        <f t="shared" si="14"/>
        <v>3.5640070462657096</v>
      </c>
      <c r="BA31" s="216">
        <f t="shared" si="15"/>
        <v>0</v>
      </c>
      <c r="BB31" s="216">
        <f t="shared" si="16"/>
        <v>1.0084584063544275</v>
      </c>
      <c r="BC31" s="216">
        <f t="shared" si="17"/>
        <v>1</v>
      </c>
    </row>
    <row r="32" spans="1:55" ht="20.100000000000001" customHeight="1" x14ac:dyDescent="0.2">
      <c r="A32" s="45">
        <v>0.70833333333333304</v>
      </c>
      <c r="B32" s="451"/>
      <c r="C32" s="451"/>
      <c r="D32" s="451">
        <v>6.8</v>
      </c>
      <c r="E32" s="451">
        <v>57.3</v>
      </c>
      <c r="F32" s="41">
        <v>1945</v>
      </c>
      <c r="G32" s="37">
        <v>-5.5</v>
      </c>
      <c r="H32" s="37">
        <v>71.8</v>
      </c>
      <c r="I32" s="37">
        <v>21.6</v>
      </c>
      <c r="J32" s="41">
        <v>264</v>
      </c>
      <c r="K32" s="37">
        <v>13</v>
      </c>
      <c r="L32" s="451">
        <v>128</v>
      </c>
      <c r="M32" s="451">
        <v>228</v>
      </c>
      <c r="N32" s="451">
        <v>85</v>
      </c>
      <c r="O32" s="353">
        <v>55</v>
      </c>
      <c r="P32" s="353">
        <v>10</v>
      </c>
      <c r="Q32" s="353">
        <v>236.88</v>
      </c>
      <c r="R32" s="37"/>
      <c r="S32" s="508" t="str">
        <f t="shared" si="0"/>
        <v/>
      </c>
      <c r="T32" s="508"/>
      <c r="U32" s="508"/>
      <c r="V32" s="508"/>
      <c r="X32" s="45">
        <v>0.70833333333333304</v>
      </c>
      <c r="Y32" s="106"/>
      <c r="Z32" s="102"/>
      <c r="AA32" s="102"/>
      <c r="AB32" s="45" t="str">
        <f t="shared" si="18"/>
        <v/>
      </c>
      <c r="AC32" s="45" t="str">
        <f t="shared" si="1"/>
        <v/>
      </c>
      <c r="AD32" s="81"/>
      <c r="AE32" s="9" t="str">
        <f>IF(S32="","",IF(COUNTA(Z32:$Z$39)=1,IF(COUNTA(AD32:$AD$39)=1,""," ; "),IF(COUNTA(AD32:$AD$39)=1,IF(Z32="",""," ; ")," ; ")))</f>
        <v/>
      </c>
      <c r="AF32" s="9" t="str">
        <f t="shared" si="2"/>
        <v/>
      </c>
      <c r="AG32" s="90" t="str">
        <f t="shared" si="3"/>
        <v/>
      </c>
      <c r="AH32" s="204" t="s">
        <v>313</v>
      </c>
      <c r="AJ32" s="206">
        <f t="shared" si="19"/>
        <v>500</v>
      </c>
      <c r="AK32" s="206">
        <f t="shared" si="19"/>
        <v>100</v>
      </c>
      <c r="AL32" s="206">
        <f t="shared" si="19"/>
        <v>2</v>
      </c>
      <c r="AM32" s="213">
        <f t="shared" si="19"/>
        <v>0.875</v>
      </c>
      <c r="AN32" s="214">
        <f t="shared" si="19"/>
        <v>0.63607464142166403</v>
      </c>
      <c r="AO32" s="215">
        <f t="shared" si="4"/>
        <v>-14.7</v>
      </c>
      <c r="AP32" s="216">
        <f t="shared" si="5"/>
        <v>1</v>
      </c>
      <c r="AQ32" s="216">
        <f t="shared" si="6"/>
        <v>1</v>
      </c>
      <c r="AR32" s="215">
        <f t="shared" si="20"/>
        <v>158.47</v>
      </c>
      <c r="AS32" s="216">
        <f t="shared" si="7"/>
        <v>0.97679498379494789</v>
      </c>
      <c r="AT32" s="216">
        <f t="shared" si="8"/>
        <v>1.2538510821608391</v>
      </c>
      <c r="AU32" s="216">
        <f t="shared" si="9"/>
        <v>2.2360679774997898</v>
      </c>
      <c r="AV32" s="217">
        <f t="shared" si="10"/>
        <v>10.415801185754333</v>
      </c>
      <c r="AW32" s="216">
        <f t="shared" si="11"/>
        <v>0</v>
      </c>
      <c r="AX32" s="218">
        <f t="shared" si="12"/>
        <v>1.4696875479799241</v>
      </c>
      <c r="AY32" s="216">
        <f t="shared" si="13"/>
        <v>0.76851414128953044</v>
      </c>
      <c r="AZ32" s="217">
        <f t="shared" si="14"/>
        <v>3.5640070462657096</v>
      </c>
      <c r="BA32" s="216">
        <f t="shared" si="15"/>
        <v>0</v>
      </c>
      <c r="BB32" s="216">
        <f t="shared" si="16"/>
        <v>1.0084584063544275</v>
      </c>
      <c r="BC32" s="216">
        <f t="shared" si="17"/>
        <v>1</v>
      </c>
    </row>
    <row r="33" spans="1:55" ht="20.100000000000001" customHeight="1" x14ac:dyDescent="0.2">
      <c r="A33" s="45">
        <v>0.75</v>
      </c>
      <c r="B33" s="451"/>
      <c r="C33" s="451"/>
      <c r="D33" s="451">
        <v>6.4</v>
      </c>
      <c r="E33" s="451">
        <v>59.6</v>
      </c>
      <c r="F33" s="41">
        <v>1935</v>
      </c>
      <c r="G33" s="37">
        <v>-5.5</v>
      </c>
      <c r="H33" s="37">
        <v>71.400000000000006</v>
      </c>
      <c r="I33" s="37">
        <v>21.8</v>
      </c>
      <c r="J33" s="41">
        <v>265</v>
      </c>
      <c r="K33" s="37">
        <v>13</v>
      </c>
      <c r="L33" s="451">
        <v>130</v>
      </c>
      <c r="M33" s="451">
        <v>230</v>
      </c>
      <c r="N33" s="451">
        <v>85</v>
      </c>
      <c r="O33" s="353">
        <v>50</v>
      </c>
      <c r="P33" s="353">
        <v>10</v>
      </c>
      <c r="Q33" s="353">
        <v>228.1</v>
      </c>
      <c r="R33" s="37"/>
      <c r="S33" s="508" t="str">
        <f>IF(Z33="",IF(AD33="","",AD33),CONCATENATE(TEXT(Z33,"[hh]:mm"),IF(AA33="",""," - "&amp;TEXT(AA33,"[hh]:mm")),IF(Y33="",""," "&amp;Y33&amp;"/")," "&amp;AD33))</f>
        <v/>
      </c>
      <c r="T33" s="508"/>
      <c r="U33" s="508"/>
      <c r="V33" s="508"/>
      <c r="X33" s="45">
        <v>0.75</v>
      </c>
      <c r="Y33" s="106"/>
      <c r="Z33" s="102"/>
      <c r="AA33" s="102"/>
      <c r="AB33" s="45" t="str">
        <f t="shared" si="18"/>
        <v/>
      </c>
      <c r="AC33" s="45" t="str">
        <f t="shared" si="1"/>
        <v/>
      </c>
      <c r="AD33" s="81"/>
      <c r="AE33" s="9" t="str">
        <f>IF(S33="","",IF(COUNTA(Z33:$Z$39)=1,IF(COUNTA(AD33:$AD$39)=1,""," ; "),IF(COUNTA(AD33:$AD$39)=1,IF(Z33="",""," ; ")," ; ")))</f>
        <v/>
      </c>
      <c r="AF33" s="9" t="str">
        <f t="shared" si="2"/>
        <v/>
      </c>
      <c r="AG33" s="90" t="str">
        <f t="shared" si="3"/>
        <v/>
      </c>
      <c r="AH33" s="204" t="s">
        <v>308</v>
      </c>
      <c r="AJ33" s="206">
        <f t="shared" ref="AJ33:AN39" si="21">AJ32</f>
        <v>500</v>
      </c>
      <c r="AK33" s="206">
        <f t="shared" si="21"/>
        <v>100</v>
      </c>
      <c r="AL33" s="206">
        <f t="shared" si="21"/>
        <v>2</v>
      </c>
      <c r="AM33" s="213">
        <f t="shared" si="21"/>
        <v>0.875</v>
      </c>
      <c r="AN33" s="214">
        <f t="shared" si="21"/>
        <v>0.63607464142166403</v>
      </c>
      <c r="AO33" s="215">
        <f t="shared" si="4"/>
        <v>-14.7</v>
      </c>
      <c r="AP33" s="216">
        <f t="shared" si="5"/>
        <v>1</v>
      </c>
      <c r="AQ33" s="216">
        <f t="shared" si="6"/>
        <v>1</v>
      </c>
      <c r="AR33" s="215">
        <f t="shared" si="20"/>
        <v>158.47</v>
      </c>
      <c r="AS33" s="216">
        <f t="shared" si="7"/>
        <v>0.97679498379494789</v>
      </c>
      <c r="AT33" s="216">
        <f t="shared" si="8"/>
        <v>1.2538510821608391</v>
      </c>
      <c r="AU33" s="216">
        <f t="shared" si="9"/>
        <v>2.2360679774997898</v>
      </c>
      <c r="AV33" s="217">
        <f t="shared" si="10"/>
        <v>10.415801185754333</v>
      </c>
      <c r="AW33" s="216">
        <f t="shared" si="11"/>
        <v>0</v>
      </c>
      <c r="AX33" s="218">
        <f t="shared" si="12"/>
        <v>1.4696875479799241</v>
      </c>
      <c r="AY33" s="216">
        <f t="shared" si="13"/>
        <v>0.76851414128953044</v>
      </c>
      <c r="AZ33" s="217">
        <f t="shared" si="14"/>
        <v>3.5640070462657096</v>
      </c>
      <c r="BA33" s="216">
        <f t="shared" si="15"/>
        <v>0</v>
      </c>
      <c r="BB33" s="216">
        <f t="shared" si="16"/>
        <v>1.0084584063544275</v>
      </c>
      <c r="BC33" s="216">
        <f t="shared" si="17"/>
        <v>1</v>
      </c>
    </row>
    <row r="34" spans="1:55" ht="20.100000000000001" customHeight="1" x14ac:dyDescent="0.2">
      <c r="A34" s="45">
        <v>0.79166666666666696</v>
      </c>
      <c r="B34" s="451"/>
      <c r="C34" s="451"/>
      <c r="D34" s="451">
        <v>6.6</v>
      </c>
      <c r="E34" s="451">
        <v>59.5</v>
      </c>
      <c r="F34" s="41">
        <v>1950</v>
      </c>
      <c r="G34" s="37">
        <v>-5.5</v>
      </c>
      <c r="H34" s="37">
        <v>71.2</v>
      </c>
      <c r="I34" s="37">
        <v>21.5</v>
      </c>
      <c r="J34" s="41">
        <v>266</v>
      </c>
      <c r="K34" s="37">
        <v>13</v>
      </c>
      <c r="L34" s="451">
        <v>130</v>
      </c>
      <c r="M34" s="451">
        <v>230</v>
      </c>
      <c r="N34" s="451">
        <v>85</v>
      </c>
      <c r="O34" s="353">
        <v>50</v>
      </c>
      <c r="P34" s="353">
        <v>10</v>
      </c>
      <c r="Q34" s="353">
        <v>228.1</v>
      </c>
      <c r="R34" s="37"/>
      <c r="S34" s="508" t="str">
        <f t="shared" ref="S34:S39" si="22">IF(Z34="",IF(AD34="","",AD34),CONCATENATE(TEXT(Z34,"[hh]:mm"),IF(AA34="",""," - "&amp;TEXT(AA34,"[hh]:mm")),IF(Y34="",""," "&amp;Y34&amp;"/")," "&amp;AD34))</f>
        <v/>
      </c>
      <c r="T34" s="508"/>
      <c r="U34" s="508"/>
      <c r="V34" s="508"/>
      <c r="X34" s="45">
        <v>0.79166666666666696</v>
      </c>
      <c r="Y34" s="106"/>
      <c r="Z34" s="102"/>
      <c r="AA34" s="102"/>
      <c r="AB34" s="45" t="str">
        <f t="shared" si="18"/>
        <v/>
      </c>
      <c r="AC34" s="45" t="str">
        <f t="shared" si="1"/>
        <v/>
      </c>
      <c r="AD34" s="81"/>
      <c r="AE34" s="9" t="str">
        <f>IF(S34="","",IF(COUNTA(Z34:$Z$39)=1,IF(COUNTA(AD34:$AD$39)=1,""," ; "),IF(COUNTA(AD34:$AD$39)=1,IF(Z34="",""," ; ")," ; ")))</f>
        <v/>
      </c>
      <c r="AF34" s="9" t="str">
        <f t="shared" si="2"/>
        <v/>
      </c>
      <c r="AG34" s="90" t="str">
        <f t="shared" si="3"/>
        <v/>
      </c>
      <c r="AH34" s="204" t="s">
        <v>314</v>
      </c>
      <c r="AJ34" s="206">
        <f t="shared" si="21"/>
        <v>500</v>
      </c>
      <c r="AK34" s="206">
        <f t="shared" si="21"/>
        <v>100</v>
      </c>
      <c r="AL34" s="206">
        <f t="shared" si="21"/>
        <v>2</v>
      </c>
      <c r="AM34" s="213">
        <f t="shared" si="21"/>
        <v>0.875</v>
      </c>
      <c r="AN34" s="214">
        <f t="shared" si="21"/>
        <v>0.63607464142166403</v>
      </c>
      <c r="AO34" s="215">
        <f t="shared" si="4"/>
        <v>-14.7</v>
      </c>
      <c r="AP34" s="216">
        <f t="shared" si="5"/>
        <v>1</v>
      </c>
      <c r="AQ34" s="216">
        <f t="shared" si="6"/>
        <v>1</v>
      </c>
      <c r="AR34" s="215">
        <f t="shared" si="20"/>
        <v>158.47</v>
      </c>
      <c r="AS34" s="216">
        <f t="shared" si="7"/>
        <v>0.97679498379494789</v>
      </c>
      <c r="AT34" s="216">
        <f t="shared" si="8"/>
        <v>1.2538510821608391</v>
      </c>
      <c r="AU34" s="216">
        <f t="shared" si="9"/>
        <v>2.2360679774997898</v>
      </c>
      <c r="AV34" s="217">
        <f t="shared" si="10"/>
        <v>10.415801185754333</v>
      </c>
      <c r="AW34" s="216">
        <f t="shared" si="11"/>
        <v>0</v>
      </c>
      <c r="AX34" s="218">
        <f t="shared" si="12"/>
        <v>1.4696875479799241</v>
      </c>
      <c r="AY34" s="216">
        <f t="shared" si="13"/>
        <v>0.76851414128953044</v>
      </c>
      <c r="AZ34" s="217">
        <f t="shared" si="14"/>
        <v>3.5640070462657096</v>
      </c>
      <c r="BA34" s="216">
        <f t="shared" si="15"/>
        <v>0</v>
      </c>
      <c r="BB34" s="216">
        <f t="shared" si="16"/>
        <v>1.0084584063544275</v>
      </c>
      <c r="BC34" s="216">
        <f t="shared" si="17"/>
        <v>1</v>
      </c>
    </row>
    <row r="35" spans="1:55" ht="20.100000000000001" customHeight="1" x14ac:dyDescent="0.2">
      <c r="A35" s="45">
        <v>0.83333333333333304</v>
      </c>
      <c r="B35" s="451"/>
      <c r="C35" s="451"/>
      <c r="D35" s="451">
        <v>6.7</v>
      </c>
      <c r="E35" s="451">
        <v>58.1</v>
      </c>
      <c r="F35" s="41">
        <v>1944</v>
      </c>
      <c r="G35" s="37">
        <v>-5.5</v>
      </c>
      <c r="H35" s="37">
        <v>71</v>
      </c>
      <c r="I35" s="37">
        <v>21</v>
      </c>
      <c r="J35" s="41">
        <v>267</v>
      </c>
      <c r="K35" s="37">
        <v>13</v>
      </c>
      <c r="L35" s="451">
        <v>127</v>
      </c>
      <c r="M35" s="451">
        <v>228</v>
      </c>
      <c r="N35" s="451">
        <v>85</v>
      </c>
      <c r="O35" s="353">
        <v>50</v>
      </c>
      <c r="P35" s="353">
        <v>9</v>
      </c>
      <c r="Q35" s="353">
        <v>216.49</v>
      </c>
      <c r="R35" s="37"/>
      <c r="S35" s="508" t="str">
        <f t="shared" si="22"/>
        <v/>
      </c>
      <c r="T35" s="508"/>
      <c r="U35" s="508"/>
      <c r="V35" s="508"/>
      <c r="X35" s="45">
        <v>0.83333333333333304</v>
      </c>
      <c r="Y35" s="106"/>
      <c r="Z35" s="102"/>
      <c r="AA35" s="102"/>
      <c r="AB35" s="45" t="str">
        <f t="shared" si="18"/>
        <v/>
      </c>
      <c r="AC35" s="45" t="str">
        <f t="shared" si="1"/>
        <v/>
      </c>
      <c r="AD35" s="81"/>
      <c r="AE35" s="9" t="str">
        <f>IF(S35="","",IF(COUNTA(Z35:$Z$39)=1,IF(COUNTA(AD35:$AD$39)=1,""," ; "),IF(COUNTA(AD35:$AD$39)=1,IF(Z35="",""," ; ")," ; ")))</f>
        <v/>
      </c>
      <c r="AF35" s="9" t="str">
        <f t="shared" si="2"/>
        <v/>
      </c>
      <c r="AG35" s="90" t="str">
        <f t="shared" si="3"/>
        <v/>
      </c>
      <c r="AH35" s="204" t="s">
        <v>227</v>
      </c>
      <c r="AJ35" s="206">
        <f t="shared" si="21"/>
        <v>500</v>
      </c>
      <c r="AK35" s="206">
        <f t="shared" si="21"/>
        <v>100</v>
      </c>
      <c r="AL35" s="206">
        <f t="shared" si="21"/>
        <v>2</v>
      </c>
      <c r="AM35" s="213">
        <f t="shared" si="21"/>
        <v>0.875</v>
      </c>
      <c r="AN35" s="214">
        <f t="shared" si="21"/>
        <v>0.63607464142166403</v>
      </c>
      <c r="AO35" s="215">
        <f t="shared" si="4"/>
        <v>-14.7</v>
      </c>
      <c r="AP35" s="216">
        <f t="shared" si="5"/>
        <v>1</v>
      </c>
      <c r="AQ35" s="216">
        <f t="shared" si="6"/>
        <v>1</v>
      </c>
      <c r="AR35" s="215">
        <f t="shared" si="20"/>
        <v>158.47</v>
      </c>
      <c r="AS35" s="216">
        <f t="shared" si="7"/>
        <v>0.97679498379494789</v>
      </c>
      <c r="AT35" s="216">
        <f t="shared" si="8"/>
        <v>1.2538510821608391</v>
      </c>
      <c r="AU35" s="216">
        <f t="shared" si="9"/>
        <v>2.2360679774997898</v>
      </c>
      <c r="AV35" s="217">
        <f t="shared" si="10"/>
        <v>10.415801185754333</v>
      </c>
      <c r="AW35" s="216">
        <f t="shared" si="11"/>
        <v>0</v>
      </c>
      <c r="AX35" s="218">
        <f t="shared" si="12"/>
        <v>1.4696875479799241</v>
      </c>
      <c r="AY35" s="216">
        <f t="shared" si="13"/>
        <v>0.76851414128953044</v>
      </c>
      <c r="AZ35" s="217">
        <f t="shared" si="14"/>
        <v>3.5640070462657096</v>
      </c>
      <c r="BA35" s="216">
        <f t="shared" si="15"/>
        <v>0</v>
      </c>
      <c r="BB35" s="216">
        <f t="shared" si="16"/>
        <v>1.0084584063544275</v>
      </c>
      <c r="BC35" s="216">
        <f t="shared" si="17"/>
        <v>1</v>
      </c>
    </row>
    <row r="36" spans="1:55" ht="20.100000000000001" customHeight="1" x14ac:dyDescent="0.2">
      <c r="A36" s="45">
        <v>0.875</v>
      </c>
      <c r="B36" s="451"/>
      <c r="C36" s="451"/>
      <c r="D36" s="451">
        <v>6.2</v>
      </c>
      <c r="E36" s="451">
        <v>58.9</v>
      </c>
      <c r="F36" s="41">
        <v>1951</v>
      </c>
      <c r="G36" s="37">
        <v>-5.5</v>
      </c>
      <c r="H36" s="37">
        <v>71.2</v>
      </c>
      <c r="I36" s="37">
        <v>21.2</v>
      </c>
      <c r="J36" s="41">
        <v>268</v>
      </c>
      <c r="K36" s="37">
        <v>13</v>
      </c>
      <c r="L36" s="451">
        <v>126</v>
      </c>
      <c r="M36" s="451">
        <v>227</v>
      </c>
      <c r="N36" s="451">
        <v>85</v>
      </c>
      <c r="O36" s="353">
        <v>50</v>
      </c>
      <c r="P36" s="353">
        <v>9</v>
      </c>
      <c r="Q36" s="353">
        <v>216.49</v>
      </c>
      <c r="R36" s="37"/>
      <c r="S36" s="508" t="str">
        <f t="shared" si="22"/>
        <v/>
      </c>
      <c r="T36" s="508"/>
      <c r="U36" s="508"/>
      <c r="V36" s="508"/>
      <c r="X36" s="45">
        <v>0.875</v>
      </c>
      <c r="Y36" s="106"/>
      <c r="Z36" s="102"/>
      <c r="AA36" s="102"/>
      <c r="AB36" s="45" t="str">
        <f t="shared" si="18"/>
        <v/>
      </c>
      <c r="AC36" s="45" t="str">
        <f t="shared" si="1"/>
        <v/>
      </c>
      <c r="AD36" s="81"/>
      <c r="AE36" s="9" t="str">
        <f>IF(S36="","",IF(COUNTA(Z36:$Z$39)=1,IF(COUNTA(AD36:$AD$39)=1,""," ; "),IF(COUNTA(AD36:$AD$39)=1,IF(Z36="",""," ; ")," ; ")))</f>
        <v/>
      </c>
      <c r="AF36" s="9" t="str">
        <f t="shared" si="2"/>
        <v/>
      </c>
      <c r="AG36" s="90" t="str">
        <f t="shared" si="3"/>
        <v/>
      </c>
      <c r="AH36" s="204" t="s">
        <v>309</v>
      </c>
      <c r="AJ36" s="206">
        <f t="shared" si="21"/>
        <v>500</v>
      </c>
      <c r="AK36" s="206">
        <f t="shared" si="21"/>
        <v>100</v>
      </c>
      <c r="AL36" s="206">
        <f t="shared" si="21"/>
        <v>2</v>
      </c>
      <c r="AM36" s="213">
        <f t="shared" si="21"/>
        <v>0.875</v>
      </c>
      <c r="AN36" s="214">
        <f t="shared" si="21"/>
        <v>0.63607464142166403</v>
      </c>
      <c r="AO36" s="215">
        <f t="shared" si="4"/>
        <v>-14.7</v>
      </c>
      <c r="AP36" s="216">
        <f t="shared" si="5"/>
        <v>1</v>
      </c>
      <c r="AQ36" s="216">
        <f t="shared" si="6"/>
        <v>1</v>
      </c>
      <c r="AR36" s="215">
        <f t="shared" si="20"/>
        <v>158.47</v>
      </c>
      <c r="AS36" s="216">
        <f t="shared" si="7"/>
        <v>0.97679498379494789</v>
      </c>
      <c r="AT36" s="216">
        <f t="shared" si="8"/>
        <v>1.2538510821608391</v>
      </c>
      <c r="AU36" s="216">
        <f t="shared" si="9"/>
        <v>2.2360679774997898</v>
      </c>
      <c r="AV36" s="217">
        <f t="shared" si="10"/>
        <v>10.415801185754333</v>
      </c>
      <c r="AW36" s="216">
        <f t="shared" si="11"/>
        <v>0</v>
      </c>
      <c r="AX36" s="218">
        <f t="shared" si="12"/>
        <v>1.4696875479799241</v>
      </c>
      <c r="AY36" s="216">
        <f t="shared" si="13"/>
        <v>0.76851414128953044</v>
      </c>
      <c r="AZ36" s="217">
        <f t="shared" si="14"/>
        <v>3.5640070462657096</v>
      </c>
      <c r="BA36" s="216">
        <f t="shared" si="15"/>
        <v>0</v>
      </c>
      <c r="BB36" s="216">
        <f t="shared" si="16"/>
        <v>1.0084584063544275</v>
      </c>
      <c r="BC36" s="216">
        <f t="shared" si="17"/>
        <v>1</v>
      </c>
    </row>
    <row r="37" spans="1:55" ht="20.100000000000001" customHeight="1" x14ac:dyDescent="0.2">
      <c r="A37" s="45">
        <v>0.91666666666666696</v>
      </c>
      <c r="B37" s="451"/>
      <c r="C37" s="451"/>
      <c r="D37" s="451">
        <v>6.9</v>
      </c>
      <c r="E37" s="451">
        <v>59.2</v>
      </c>
      <c r="F37" s="41">
        <v>1963</v>
      </c>
      <c r="G37" s="37">
        <v>-5.5</v>
      </c>
      <c r="H37" s="37">
        <v>71.900000000000006</v>
      </c>
      <c r="I37" s="37">
        <v>21.8</v>
      </c>
      <c r="J37" s="41">
        <v>269</v>
      </c>
      <c r="K37" s="37">
        <v>13</v>
      </c>
      <c r="L37" s="451">
        <v>125</v>
      </c>
      <c r="M37" s="451">
        <v>225</v>
      </c>
      <c r="N37" s="451">
        <v>85</v>
      </c>
      <c r="O37" s="353">
        <v>50</v>
      </c>
      <c r="P37" s="353">
        <v>8</v>
      </c>
      <c r="Q37" s="353">
        <v>204.21</v>
      </c>
      <c r="R37" s="37"/>
      <c r="S37" s="508" t="str">
        <f t="shared" si="22"/>
        <v/>
      </c>
      <c r="T37" s="508"/>
      <c r="U37" s="508"/>
      <c r="V37" s="508"/>
      <c r="X37" s="45">
        <v>0.91666666666666696</v>
      </c>
      <c r="Y37" s="106"/>
      <c r="Z37" s="102"/>
      <c r="AA37" s="102"/>
      <c r="AB37" s="45" t="str">
        <f t="shared" si="18"/>
        <v/>
      </c>
      <c r="AC37" s="45" t="str">
        <f t="shared" si="1"/>
        <v/>
      </c>
      <c r="AD37" s="81"/>
      <c r="AE37" s="9" t="str">
        <f>IF(S37="","",IF(COUNTA(Z37:$Z$39)=1,IF(COUNTA(AD37:$AD$39)=1,""," ; "),IF(COUNTA(AD37:$AD$39)=1,IF(Z37="",""," ; ")," ; ")))</f>
        <v/>
      </c>
      <c r="AF37" s="9" t="str">
        <f t="shared" si="2"/>
        <v/>
      </c>
      <c r="AG37" s="90" t="str">
        <f t="shared" si="3"/>
        <v/>
      </c>
      <c r="AH37" s="204" t="s">
        <v>319</v>
      </c>
      <c r="AJ37" s="206">
        <f t="shared" si="21"/>
        <v>500</v>
      </c>
      <c r="AK37" s="206">
        <f t="shared" si="21"/>
        <v>100</v>
      </c>
      <c r="AL37" s="206">
        <f t="shared" si="21"/>
        <v>2</v>
      </c>
      <c r="AM37" s="213">
        <f t="shared" si="21"/>
        <v>0.875</v>
      </c>
      <c r="AN37" s="214">
        <f t="shared" si="21"/>
        <v>0.63607464142166403</v>
      </c>
      <c r="AO37" s="215">
        <f t="shared" si="4"/>
        <v>-14.7</v>
      </c>
      <c r="AP37" s="216">
        <f t="shared" si="5"/>
        <v>1</v>
      </c>
      <c r="AQ37" s="216">
        <f t="shared" si="6"/>
        <v>1</v>
      </c>
      <c r="AR37" s="215">
        <f t="shared" si="20"/>
        <v>158.47</v>
      </c>
      <c r="AS37" s="216">
        <f t="shared" si="7"/>
        <v>0.97679498379494789</v>
      </c>
      <c r="AT37" s="216">
        <f t="shared" si="8"/>
        <v>1.2538510821608391</v>
      </c>
      <c r="AU37" s="216">
        <f t="shared" si="9"/>
        <v>2.2360679774997898</v>
      </c>
      <c r="AV37" s="217">
        <f t="shared" si="10"/>
        <v>10.415801185754333</v>
      </c>
      <c r="AW37" s="216">
        <f t="shared" si="11"/>
        <v>0</v>
      </c>
      <c r="AX37" s="218">
        <f t="shared" si="12"/>
        <v>1.4696875479799241</v>
      </c>
      <c r="AY37" s="216">
        <f t="shared" si="13"/>
        <v>0.76851414128953044</v>
      </c>
      <c r="AZ37" s="217">
        <f t="shared" si="14"/>
        <v>3.5640070462657096</v>
      </c>
      <c r="BA37" s="216">
        <f t="shared" si="15"/>
        <v>0</v>
      </c>
      <c r="BB37" s="216">
        <f t="shared" si="16"/>
        <v>1.0084584063544275</v>
      </c>
      <c r="BC37" s="216">
        <f t="shared" si="17"/>
        <v>1</v>
      </c>
    </row>
    <row r="38" spans="1:55" ht="20.100000000000001" customHeight="1" x14ac:dyDescent="0.2">
      <c r="A38" s="45">
        <v>0.95833333333333304</v>
      </c>
      <c r="B38" s="451"/>
      <c r="C38" s="451"/>
      <c r="D38" s="451">
        <v>6.2</v>
      </c>
      <c r="E38" s="451">
        <v>59</v>
      </c>
      <c r="F38" s="41">
        <v>1970</v>
      </c>
      <c r="G38" s="37">
        <v>-5.5</v>
      </c>
      <c r="H38" s="37">
        <v>71.5</v>
      </c>
      <c r="I38" s="37">
        <v>21.2</v>
      </c>
      <c r="J38" s="41">
        <v>270</v>
      </c>
      <c r="K38" s="37">
        <v>13</v>
      </c>
      <c r="L38" s="451">
        <v>123</v>
      </c>
      <c r="M38" s="451">
        <v>222</v>
      </c>
      <c r="N38" s="451">
        <v>85</v>
      </c>
      <c r="O38" s="353">
        <v>50</v>
      </c>
      <c r="P38" s="353">
        <v>9</v>
      </c>
      <c r="Q38" s="353">
        <v>216.49</v>
      </c>
      <c r="R38" s="37"/>
      <c r="S38" s="508" t="str">
        <f t="shared" si="22"/>
        <v/>
      </c>
      <c r="T38" s="508"/>
      <c r="U38" s="508"/>
      <c r="V38" s="508"/>
      <c r="X38" s="45">
        <v>0.95833333333333304</v>
      </c>
      <c r="Y38" s="106"/>
      <c r="Z38" s="102"/>
      <c r="AA38" s="102"/>
      <c r="AB38" s="45" t="str">
        <f t="shared" si="18"/>
        <v/>
      </c>
      <c r="AC38" s="45" t="str">
        <f t="shared" si="1"/>
        <v/>
      </c>
      <c r="AD38" s="81"/>
      <c r="AE38" s="9" t="str">
        <f>IF(S38="","",IF(COUNTA(Z38:$Z$39)=1,IF(COUNTA(AD38:$AD$39)=1,""," ; "),IF(COUNTA(AD38:$AD$39)=1,IF(Z38="",""," ; ")," ; ")))</f>
        <v/>
      </c>
      <c r="AF38" s="9" t="str">
        <f t="shared" si="2"/>
        <v/>
      </c>
      <c r="AG38" s="90" t="str">
        <f t="shared" si="3"/>
        <v/>
      </c>
      <c r="AH38" s="204" t="s">
        <v>219</v>
      </c>
      <c r="AJ38" s="206">
        <f t="shared" si="21"/>
        <v>500</v>
      </c>
      <c r="AK38" s="206">
        <f t="shared" si="21"/>
        <v>100</v>
      </c>
      <c r="AL38" s="206">
        <f t="shared" si="21"/>
        <v>2</v>
      </c>
      <c r="AM38" s="213">
        <f t="shared" si="21"/>
        <v>0.875</v>
      </c>
      <c r="AN38" s="214">
        <f t="shared" si="21"/>
        <v>0.63607464142166403</v>
      </c>
      <c r="AO38" s="215">
        <f t="shared" si="4"/>
        <v>-14.7</v>
      </c>
      <c r="AP38" s="216">
        <f t="shared" si="5"/>
        <v>1</v>
      </c>
      <c r="AQ38" s="216">
        <f t="shared" si="6"/>
        <v>1</v>
      </c>
      <c r="AR38" s="215">
        <f t="shared" si="20"/>
        <v>158.47</v>
      </c>
      <c r="AS38" s="216">
        <f t="shared" si="7"/>
        <v>0.97679498379494789</v>
      </c>
      <c r="AT38" s="216">
        <f t="shared" si="8"/>
        <v>1.2538510821608391</v>
      </c>
      <c r="AU38" s="216">
        <f t="shared" si="9"/>
        <v>2.2360679774997898</v>
      </c>
      <c r="AV38" s="217">
        <f t="shared" si="10"/>
        <v>10.415801185754333</v>
      </c>
      <c r="AW38" s="216">
        <f t="shared" si="11"/>
        <v>0</v>
      </c>
      <c r="AX38" s="218">
        <f t="shared" si="12"/>
        <v>1.4696875479799241</v>
      </c>
      <c r="AY38" s="216">
        <f t="shared" si="13"/>
        <v>0.76851414128953044</v>
      </c>
      <c r="AZ38" s="217">
        <f t="shared" si="14"/>
        <v>3.5640070462657096</v>
      </c>
      <c r="BA38" s="216">
        <f t="shared" si="15"/>
        <v>0</v>
      </c>
      <c r="BB38" s="216">
        <f t="shared" si="16"/>
        <v>1.0084584063544275</v>
      </c>
      <c r="BC38" s="216">
        <f t="shared" si="17"/>
        <v>1</v>
      </c>
    </row>
    <row r="39" spans="1:55" ht="20.100000000000001" customHeight="1" thickBot="1" x14ac:dyDescent="0.25">
      <c r="A39" s="46">
        <v>1</v>
      </c>
      <c r="B39" s="451"/>
      <c r="C39" s="451"/>
      <c r="D39" s="452">
        <v>6.8</v>
      </c>
      <c r="E39" s="451">
        <v>59.3</v>
      </c>
      <c r="F39" s="41">
        <v>1955</v>
      </c>
      <c r="G39" s="37">
        <v>-5.5</v>
      </c>
      <c r="H39" s="37">
        <v>71.8</v>
      </c>
      <c r="I39" s="37">
        <v>21.7</v>
      </c>
      <c r="J39" s="41">
        <v>271</v>
      </c>
      <c r="K39" s="37">
        <v>13</v>
      </c>
      <c r="L39" s="452">
        <v>123</v>
      </c>
      <c r="M39" s="451">
        <v>222</v>
      </c>
      <c r="N39" s="451">
        <v>85</v>
      </c>
      <c r="O39" s="353">
        <v>50</v>
      </c>
      <c r="P39" s="353">
        <v>9</v>
      </c>
      <c r="Q39" s="354">
        <v>216.49</v>
      </c>
      <c r="R39" s="38"/>
      <c r="S39" s="512" t="str">
        <f t="shared" si="22"/>
        <v/>
      </c>
      <c r="T39" s="512"/>
      <c r="U39" s="512"/>
      <c r="V39" s="512"/>
      <c r="X39" s="46">
        <v>1</v>
      </c>
      <c r="Y39" s="107"/>
      <c r="Z39" s="103"/>
      <c r="AA39" s="103"/>
      <c r="AB39" s="46" t="str">
        <f t="shared" si="18"/>
        <v/>
      </c>
      <c r="AC39" s="46" t="str">
        <f t="shared" si="1"/>
        <v/>
      </c>
      <c r="AD39" s="82"/>
      <c r="AE39" s="9" t="str">
        <f>IF(S39="","",IF(COUNTA(Z39:$Z$39)=1,IF(COUNTA(AD39:$AD$39)=1,""," ; "),IF(COUNTA(AD39:$AD$39)=1,IF(Z39="",""," ; ")," ; ")))</f>
        <v/>
      </c>
      <c r="AF39" s="9" t="str">
        <f t="shared" si="2"/>
        <v/>
      </c>
      <c r="AG39" s="90" t="str">
        <f t="shared" si="3"/>
        <v/>
      </c>
      <c r="AH39" s="204" t="s">
        <v>220</v>
      </c>
      <c r="AJ39" s="219">
        <f t="shared" si="21"/>
        <v>500</v>
      </c>
      <c r="AK39" s="219">
        <f t="shared" si="21"/>
        <v>100</v>
      </c>
      <c r="AL39" s="219">
        <f t="shared" si="21"/>
        <v>2</v>
      </c>
      <c r="AM39" s="220">
        <f t="shared" si="21"/>
        <v>0.875</v>
      </c>
      <c r="AN39" s="221">
        <f t="shared" si="21"/>
        <v>0.63607464142166403</v>
      </c>
      <c r="AO39" s="222">
        <f t="shared" si="4"/>
        <v>-14.7</v>
      </c>
      <c r="AP39" s="223">
        <f t="shared" si="5"/>
        <v>1</v>
      </c>
      <c r="AQ39" s="223">
        <f t="shared" si="6"/>
        <v>1</v>
      </c>
      <c r="AR39" s="222">
        <f t="shared" si="20"/>
        <v>158.47</v>
      </c>
      <c r="AS39" s="223">
        <f t="shared" si="7"/>
        <v>0.97679498379494789</v>
      </c>
      <c r="AT39" s="223">
        <f t="shared" si="8"/>
        <v>1.2538510821608391</v>
      </c>
      <c r="AU39" s="223">
        <f t="shared" si="9"/>
        <v>2.2360679774997898</v>
      </c>
      <c r="AV39" s="224">
        <f t="shared" si="10"/>
        <v>10.415801185754333</v>
      </c>
      <c r="AW39" s="223">
        <f t="shared" si="11"/>
        <v>0</v>
      </c>
      <c r="AX39" s="225">
        <f t="shared" si="12"/>
        <v>1.4696875479799241</v>
      </c>
      <c r="AY39" s="223">
        <f t="shared" si="13"/>
        <v>0.76851414128953044</v>
      </c>
      <c r="AZ39" s="224">
        <f t="shared" si="14"/>
        <v>3.5640070462657096</v>
      </c>
      <c r="BA39" s="223">
        <f t="shared" si="15"/>
        <v>0</v>
      </c>
      <c r="BB39" s="223">
        <f t="shared" si="16"/>
        <v>1.0084584063544275</v>
      </c>
      <c r="BC39" s="223">
        <f t="shared" si="17"/>
        <v>1</v>
      </c>
    </row>
    <row r="40" spans="1:55" ht="20.100000000000001" customHeight="1" thickBot="1" x14ac:dyDescent="0.3">
      <c r="A40" s="53" t="s">
        <v>11</v>
      </c>
      <c r="B40" s="453" t="str">
        <f>IFERROR(ROUND(AVERAGE(B16:B39),2),"")</f>
        <v/>
      </c>
      <c r="C40" s="453" t="str">
        <f>IFERROR(ROUND(AVERAGE(C16:C39),2),"")</f>
        <v/>
      </c>
      <c r="D40" s="453">
        <f>IFERROR(ROUND(AVERAGE(D16:D39),2),"")</f>
        <v>6.3</v>
      </c>
      <c r="E40" s="453">
        <f>IFERROR(ROUND(AVERAGE(E16:E39),2),"")</f>
        <v>58.8</v>
      </c>
      <c r="F40" s="55">
        <f>IFERROR(ROUND(AVERAGE(F16:F39),0),"")</f>
        <v>1954</v>
      </c>
      <c r="G40" s="54">
        <f>IFERROR(AVERAGE(G16:G39),"")</f>
        <v>-5.5</v>
      </c>
      <c r="H40" s="54">
        <f>IFERROR(AVERAGE(H16:H39),"")</f>
        <v>71.412499999999994</v>
      </c>
      <c r="I40" s="54">
        <f>IFERROR(AVERAGE(I16:I39),"")</f>
        <v>21.416666666666671</v>
      </c>
      <c r="J40" s="71"/>
      <c r="K40" s="111">
        <f>IFERROR(AVERAGE(K16:K39),"")</f>
        <v>13</v>
      </c>
      <c r="L40" s="453">
        <f t="shared" ref="L40:P40" si="23">IFERROR(ROUND(AVERAGE(L16:L39),1),"")</f>
        <v>124.9</v>
      </c>
      <c r="M40" s="453">
        <f t="shared" si="23"/>
        <v>225</v>
      </c>
      <c r="N40" s="453">
        <f t="shared" si="23"/>
        <v>85</v>
      </c>
      <c r="O40" s="456">
        <f t="shared" si="23"/>
        <v>45.6</v>
      </c>
      <c r="P40" s="456">
        <f t="shared" si="23"/>
        <v>10.4</v>
      </c>
      <c r="Q40" s="456">
        <f>IF($I$47=1,$M$49,$Q$44)</f>
        <v>193.4</v>
      </c>
      <c r="R40" s="54" t="str">
        <f>IFERROR(ROUND(AVERAGE(R16:R39),1),"")</f>
        <v/>
      </c>
      <c r="S40" s="509"/>
      <c r="T40" s="510"/>
      <c r="U40" s="510"/>
      <c r="V40" s="511"/>
      <c r="X40" s="99"/>
      <c r="Y40" s="99"/>
      <c r="Z40" s="99"/>
      <c r="AA40" s="99"/>
      <c r="AB40" s="104">
        <f>SUM(AB16:AB39)</f>
        <v>0</v>
      </c>
      <c r="AC40" s="104">
        <f>SUM(AC16:AC39)</f>
        <v>0</v>
      </c>
      <c r="AD40" s="92" t="str">
        <f>IF(OR(COUNTBLANK(D16:E39)+COUNTBLANK(O16:P39)=0,COUNTA(S16:V39)&lt;&gt;0),"","CEK : Blank Data - Remarks")</f>
        <v/>
      </c>
      <c r="AG40" s="90" t="str">
        <f>IF(COUNTIF(AG16:AG39,"")=COUNTA(AG16:AG39),"","CEK : Data Flowrate")</f>
        <v/>
      </c>
      <c r="AH40" s="204" t="s">
        <v>311</v>
      </c>
    </row>
    <row r="41" spans="1:55" ht="20.100000000000001" hidden="1" customHeight="1" thickBot="1" x14ac:dyDescent="0.3">
      <c r="A41" s="49" t="s">
        <v>12</v>
      </c>
      <c r="B41" s="52" t="str">
        <f>IF(COUNT(B16:B39)&gt;0,ROUND(MIN(B16:B39),2),"")</f>
        <v/>
      </c>
      <c r="C41" s="52" t="str">
        <f>IF(COUNT(C16:C39)&gt;0,ROUND(MIN(C16:C39),2),"")</f>
        <v/>
      </c>
      <c r="D41" s="52">
        <f>IF(COUNT(D16:D39)&gt;0,ROUND(MIN(D16:D39),2),"")</f>
        <v>5.3</v>
      </c>
      <c r="E41" s="52">
        <f>IF(COUNT(E16:E39)&gt;0,ROUND(MIN(E16:E39),2),"")</f>
        <v>57.1</v>
      </c>
      <c r="F41" s="51">
        <f>IF(COUNT(F16:F39)&gt;0,ROUND(MIN(F16:F39),0),"")</f>
        <v>1931</v>
      </c>
      <c r="G41" s="50">
        <f>IF(COUNT(G16:G39)&gt;0,MIN(G16:G39),"")</f>
        <v>-5.5</v>
      </c>
      <c r="H41" s="50">
        <f>IF(COUNT(H16:H39)&gt;0,MIN(H16:H39),"")</f>
        <v>71</v>
      </c>
      <c r="I41" s="50">
        <f>IF(COUNT(I16:I39)&gt;0,MIN(I16:I39),"")</f>
        <v>21</v>
      </c>
      <c r="J41" s="72"/>
      <c r="K41" s="50">
        <f>IF(COUNT(K16:K39)&gt;0,MIN(K16:K39),"")</f>
        <v>13</v>
      </c>
      <c r="L41" s="52">
        <f>IF(COUNT(L16:L39)&gt;0,ROUND(MIN(L16:L39),1),"")</f>
        <v>117</v>
      </c>
      <c r="M41" s="52">
        <f>IF(COUNT(M16:M39)&gt;0,ROUND(MIN(M16:M39),1),"")</f>
        <v>220</v>
      </c>
      <c r="N41" s="52">
        <f>IF(COUNT(N16:N39)&gt;0,ROUND(MIN(N16:N39),1),"")</f>
        <v>85</v>
      </c>
      <c r="O41" s="440">
        <f>IF(COUNT(O16:O39)&gt;0,ROUND(MIN(O16:O39),1),"")</f>
        <v>35</v>
      </c>
      <c r="P41" s="440">
        <f>IF(COUNT(P16:P39)&gt;0,ROUND(MIN(P16:P39),1),"")</f>
        <v>6</v>
      </c>
      <c r="Q41" s="440">
        <f>IF(COUNT(Q16:Q39)&gt;0,ROUND(MIN(Q16:Q39),4),"")</f>
        <v>177.06</v>
      </c>
      <c r="R41" s="121" t="str">
        <f>IF(COUNT(R16:R39)&gt;0,ROUND(MIN(R16:R39),1),"")</f>
        <v/>
      </c>
      <c r="S41" s="509"/>
      <c r="T41" s="510"/>
      <c r="U41" s="510"/>
      <c r="V41" s="511"/>
      <c r="X41" s="99"/>
      <c r="Y41" s="99"/>
      <c r="Z41" s="99"/>
      <c r="AA41" s="99"/>
      <c r="AB41" s="99"/>
      <c r="AC41" s="99"/>
      <c r="AH41" s="204" t="s">
        <v>318</v>
      </c>
    </row>
    <row r="42" spans="1:55" ht="20.100000000000001" hidden="1" customHeight="1" thickBot="1" x14ac:dyDescent="0.3">
      <c r="A42" s="21" t="s">
        <v>13</v>
      </c>
      <c r="B42" s="454" t="str">
        <f>IF(COUNT(B16:B39)&gt;0,ROUND(MAX(B16:B39),2),"")</f>
        <v/>
      </c>
      <c r="C42" s="454" t="str">
        <f>IF(COUNT(C16:C39)&gt;0,ROUND(MAX(C16:C39),2),"")</f>
        <v/>
      </c>
      <c r="D42" s="454">
        <f>IF(COUNT(D16:D39)&gt;0,ROUND(MAX(D16:D39),2),"")</f>
        <v>6.9</v>
      </c>
      <c r="E42" s="454">
        <f>IF(COUNT(E16:E39)&gt;0,ROUND(MAX(E16:E39),2),"")</f>
        <v>60.8</v>
      </c>
      <c r="F42" s="43">
        <f>IF(COUNT(F16:F39)&gt;0,ROUND(MAX(F16:F39),0),"")</f>
        <v>1985</v>
      </c>
      <c r="G42" s="39">
        <f>IF(COUNT(G16:G39)&gt;0,MAX(G16:G39),"")</f>
        <v>-5.5</v>
      </c>
      <c r="H42" s="39">
        <f>IF(COUNT(H16:H39)&gt;0,MAX(H16:H39),"")</f>
        <v>71.900000000000006</v>
      </c>
      <c r="I42" s="39">
        <f>IF(COUNT(I16:I39)&gt;0,MAX(I16:I39),"")</f>
        <v>21.9</v>
      </c>
      <c r="J42" s="43">
        <f>IF(COUNT(J16:J39)&gt;0,MAX(J16:J39),"")</f>
        <v>271</v>
      </c>
      <c r="K42" s="39">
        <f>IF(COUNT(K16:K39)&gt;0,MAX(K16:K39),"")</f>
        <v>13</v>
      </c>
      <c r="L42" s="454">
        <f>IF(COUNT(L16:L39)&gt;0,ROUND(MAX(L16:L39),1),"")</f>
        <v>131</v>
      </c>
      <c r="M42" s="454">
        <f>IF(COUNT(M16:M39)&gt;0,ROUND(MAX(M16:M39),1),"")</f>
        <v>232</v>
      </c>
      <c r="N42" s="454">
        <f>IF(COUNT(N16:N39)&gt;0,ROUND(MAX(N16:N39),1),"")</f>
        <v>85</v>
      </c>
      <c r="O42" s="441">
        <f>IF(COUNT(O16:O39)&gt;0,ROUND(MAX(O16:O39),1),"")</f>
        <v>55</v>
      </c>
      <c r="P42" s="441">
        <f>IF(COUNT(P16:P39)&gt;0,ROUND(MAX(P16:P39),1),"")</f>
        <v>14</v>
      </c>
      <c r="Q42" s="441">
        <f>IF(COUNT(Q16:Q39)&gt;0,ROUND(MAX(Q16:Q39),4),"")</f>
        <v>247.56</v>
      </c>
      <c r="R42" s="39" t="str">
        <f>IF(COUNT(R16:R39)&gt;0,ROUND(MAX(R16:R39),1),"")</f>
        <v/>
      </c>
      <c r="S42" s="509"/>
      <c r="T42" s="510"/>
      <c r="U42" s="510"/>
      <c r="V42" s="511"/>
      <c r="X42" s="99"/>
      <c r="Y42" s="99"/>
      <c r="Z42" s="99"/>
      <c r="AA42" s="99"/>
      <c r="AB42" s="99"/>
      <c r="AC42" s="99"/>
      <c r="AH42" s="204" t="s">
        <v>312</v>
      </c>
    </row>
    <row r="43" spans="1:55" ht="20.100000000000001" hidden="1" customHeight="1" x14ac:dyDescent="0.25">
      <c r="A43" s="109"/>
      <c r="B43" s="110">
        <f>COUNT(B16:B39)</f>
        <v>0</v>
      </c>
      <c r="C43" s="110">
        <f>COUNT(C16:C39)</f>
        <v>0</v>
      </c>
      <c r="D43" s="110">
        <f>COUNT(D16:D39)</f>
        <v>24</v>
      </c>
      <c r="E43" s="110">
        <f t="shared" ref="E43:H43" si="24">COUNT(E16:E39)</f>
        <v>24</v>
      </c>
      <c r="F43" s="110">
        <f t="shared" si="24"/>
        <v>24</v>
      </c>
      <c r="G43" s="110">
        <f t="shared" si="24"/>
        <v>24</v>
      </c>
      <c r="H43" s="110">
        <f t="shared" si="24"/>
        <v>24</v>
      </c>
      <c r="I43" s="110"/>
      <c r="J43" s="110"/>
      <c r="K43" s="110"/>
      <c r="L43" s="110">
        <f t="shared" ref="L43:Q43" si="25">COUNT(L16:L39)</f>
        <v>24</v>
      </c>
      <c r="M43" s="110">
        <f t="shared" si="25"/>
        <v>24</v>
      </c>
      <c r="N43" s="110">
        <f t="shared" si="25"/>
        <v>24</v>
      </c>
      <c r="O43" s="110">
        <f t="shared" si="25"/>
        <v>24</v>
      </c>
      <c r="P43" s="110">
        <f t="shared" si="25"/>
        <v>24</v>
      </c>
      <c r="Q43" s="110">
        <f t="shared" si="25"/>
        <v>24</v>
      </c>
      <c r="R43" s="110"/>
      <c r="S43" s="99"/>
      <c r="T43" s="99"/>
      <c r="U43" s="99"/>
      <c r="V43" s="99"/>
      <c r="X43" s="99"/>
      <c r="Y43" s="99"/>
      <c r="Z43" s="99"/>
      <c r="AA43" s="99"/>
      <c r="AB43" s="99"/>
      <c r="AC43" s="99"/>
      <c r="AD43" s="92" t="str">
        <f>IF(AND(D43=E43,D43=F43,D43=G43,D43=H43,D43=L43,D43=M43,D43=N43,D43=O43,D43=P43,D43=Q43),"","CEK : Data Content")</f>
        <v/>
      </c>
      <c r="AH43" s="204" t="s">
        <v>221</v>
      </c>
    </row>
    <row r="44" spans="1:55" s="6" customFormat="1" ht="15" customHeight="1" x14ac:dyDescent="0.25">
      <c r="J44" s="91" t="str">
        <f>IF(J1="PRINT","",IF(J42="","RH please ! !",""))</f>
        <v/>
      </c>
      <c r="L44" s="24"/>
      <c r="Q44" s="445">
        <f>IFERROR(ROUND(AVERAGE(Q16:Q39),4),"")</f>
        <v>222.13329999999999</v>
      </c>
      <c r="AH44" s="204" t="s">
        <v>323</v>
      </c>
      <c r="AI44" s="7"/>
    </row>
    <row r="45" spans="1:55" s="6" customFormat="1" ht="15" customHeight="1" x14ac:dyDescent="0.25">
      <c r="L45" s="26" t="s">
        <v>290</v>
      </c>
      <c r="Q45" s="445"/>
      <c r="AH45" s="204" t="s">
        <v>288</v>
      </c>
      <c r="AI45" s="7"/>
    </row>
    <row r="46" spans="1:55" s="6" customFormat="1" ht="15" customHeight="1" x14ac:dyDescent="0.25">
      <c r="D46" s="443" t="s">
        <v>90</v>
      </c>
      <c r="E46" s="448" t="str">
        <f>IF(Schedule!C$12="","",Schedule!C$12)</f>
        <v/>
      </c>
      <c r="G46" s="61"/>
      <c r="H46" s="25" t="str">
        <f>IFERROR(IF(OR(I47="",I48="",I49=""),"WAKTU BELUM DI-ISI LENGKAP",IF(SUM(I48:I49)&lt;=1,"","CEK KEMBALI PENULISAN WAKTU SALAH")),"CEK KEMBALI PENULISAN WAKTU SALAH")</f>
        <v/>
      </c>
      <c r="L46" s="26" t="s">
        <v>22</v>
      </c>
      <c r="M46" s="460">
        <f>IF(Volume!$W11="",$O46,Volume!$W11)</f>
        <v>42.125399999999999</v>
      </c>
      <c r="N46" s="27" t="s">
        <v>1</v>
      </c>
      <c r="O46" s="447">
        <f>IF(O40="","",O40)</f>
        <v>45.6</v>
      </c>
      <c r="P46" s="361" t="s">
        <v>29</v>
      </c>
      <c r="Q46" s="362"/>
      <c r="R46" s="362"/>
      <c r="S46" s="362"/>
      <c r="T46" s="361" t="s">
        <v>30</v>
      </c>
      <c r="U46" s="362"/>
      <c r="V46" s="362"/>
      <c r="AH46" s="204" t="s">
        <v>222</v>
      </c>
    </row>
    <row r="47" spans="1:55" s="6" customFormat="1" ht="15" customHeight="1" x14ac:dyDescent="0.25">
      <c r="D47" s="448"/>
      <c r="E47" s="448"/>
      <c r="H47" s="26" t="s">
        <v>26</v>
      </c>
      <c r="I47" s="56">
        <f>IF(OR(I48="",I49=""),"",1-I48-I49)</f>
        <v>1</v>
      </c>
      <c r="J47" s="27" t="s">
        <v>19</v>
      </c>
      <c r="L47" s="26" t="s">
        <v>23</v>
      </c>
      <c r="M47" s="442">
        <f>IF(Volume!$Y11="",$O47,Volume!$Y11)</f>
        <v>8.6119000000000003</v>
      </c>
      <c r="N47" s="27" t="s">
        <v>14</v>
      </c>
      <c r="O47" s="447">
        <f>IF(P40="","",P40)</f>
        <v>10.4</v>
      </c>
      <c r="P47" s="361" t="s">
        <v>211</v>
      </c>
      <c r="Q47" s="362"/>
      <c r="R47" s="362"/>
      <c r="S47" s="362"/>
      <c r="T47" s="361" t="s">
        <v>271</v>
      </c>
      <c r="U47" s="362"/>
      <c r="V47" s="362"/>
      <c r="AH47" s="204" t="s">
        <v>223</v>
      </c>
    </row>
    <row r="48" spans="1:55" s="6" customFormat="1" ht="15" customHeight="1" x14ac:dyDescent="0.25">
      <c r="D48" s="443" t="s">
        <v>91</v>
      </c>
      <c r="E48" s="448" t="str">
        <f>IF(Schedule!D$12="","",Schedule!D$12)</f>
        <v/>
      </c>
      <c r="H48" s="26" t="s">
        <v>37</v>
      </c>
      <c r="I48" s="108">
        <f>IF(OR(COUNT($Q$16:$Q$39)&lt;&gt;0,COUNTA($AD$16:$AD$39)&lt;&gt;0),AB40,"")</f>
        <v>0</v>
      </c>
      <c r="J48" s="27" t="s">
        <v>19</v>
      </c>
      <c r="L48" s="26" t="s">
        <v>24</v>
      </c>
      <c r="M48" s="449">
        <f>IF(N40="","",N40)</f>
        <v>85</v>
      </c>
      <c r="N48" s="27" t="s">
        <v>5</v>
      </c>
      <c r="P48" s="362"/>
      <c r="Q48" s="362"/>
      <c r="R48" s="362"/>
      <c r="S48" s="362"/>
      <c r="T48" s="361" t="s">
        <v>291</v>
      </c>
      <c r="U48" s="362"/>
      <c r="V48" s="362"/>
      <c r="AH48" s="204" t="s">
        <v>324</v>
      </c>
    </row>
    <row r="49" spans="1:34" s="6" customFormat="1" ht="15" customHeight="1" x14ac:dyDescent="0.25">
      <c r="D49" s="448"/>
      <c r="E49" s="448"/>
      <c r="H49" s="26" t="s">
        <v>27</v>
      </c>
      <c r="I49" s="108">
        <f>IF(OR(COUNT($Q$16:$Q$39)&lt;&gt;0,COUNTA($AD$16:$AD$39)&lt;&gt;0),AC40,"")</f>
        <v>0</v>
      </c>
      <c r="J49" s="27" t="s">
        <v>19</v>
      </c>
      <c r="L49" s="26" t="s">
        <v>128</v>
      </c>
      <c r="M49" s="442">
        <f>IF(Volume!$L11="",M51,Volume!$L11)</f>
        <v>193.4</v>
      </c>
      <c r="N49" s="27" t="str">
        <f>IF(Q15="MSCFD","MSCF","MMSCF")</f>
        <v>MSCF</v>
      </c>
      <c r="P49" s="362"/>
      <c r="Q49" s="362"/>
      <c r="R49" s="362"/>
      <c r="S49" s="362"/>
      <c r="T49" s="362"/>
      <c r="U49" s="362"/>
      <c r="V49" s="362"/>
      <c r="AH49" s="204" t="s">
        <v>317</v>
      </c>
    </row>
    <row r="50" spans="1:34" s="6" customFormat="1" ht="15" customHeight="1" x14ac:dyDescent="0.25">
      <c r="D50" s="443" t="s">
        <v>92</v>
      </c>
      <c r="E50" s="448" t="str">
        <f>IF(Schedule!E$12="","",Schedule!E$12)</f>
        <v>Marihot Gustafa S.</v>
      </c>
      <c r="L50" s="443" t="str">
        <f>CONCATENATE(MR!L16," ",":")</f>
        <v>Liquid Gain :</v>
      </c>
      <c r="M50" s="446" t="str">
        <f>IF(R40="","",ROUND(SUM(R16:R39),2))</f>
        <v/>
      </c>
      <c r="N50" s="444" t="str">
        <f>R15</f>
        <v>BPD</v>
      </c>
      <c r="P50" s="362"/>
      <c r="Q50" s="362"/>
      <c r="R50" s="362"/>
      <c r="S50" s="362"/>
      <c r="T50" s="362"/>
      <c r="U50" s="362"/>
      <c r="V50" s="362"/>
      <c r="AH50" s="204" t="s">
        <v>282</v>
      </c>
    </row>
    <row r="51" spans="1:34" s="6" customFormat="1" ht="15" customHeight="1" x14ac:dyDescent="0.25">
      <c r="A51" s="4"/>
      <c r="L51" s="443" t="s">
        <v>286</v>
      </c>
      <c r="M51" s="447">
        <f>IF(Q44="","",IF(SUM(I48:I49)=1,IF(Q44&lt;&gt;0,"Cek Tabel",""),ROUND(Q44*I47,4)))</f>
        <v>222.13329999999999</v>
      </c>
      <c r="N51" s="444" t="str">
        <f>IF(Q15="MSCFD","MSCF","MMSCF")</f>
        <v>MSCF</v>
      </c>
      <c r="P51" s="362"/>
      <c r="Q51" s="362"/>
      <c r="R51" s="362"/>
      <c r="S51" s="362"/>
      <c r="T51" s="362"/>
      <c r="U51" s="362"/>
      <c r="V51" s="362"/>
      <c r="AH51" s="204" t="s">
        <v>325</v>
      </c>
    </row>
    <row r="52" spans="1:34" s="6" customFormat="1" ht="15" customHeight="1" x14ac:dyDescent="0.25">
      <c r="D52" s="26" t="s">
        <v>28</v>
      </c>
      <c r="E52" s="47"/>
      <c r="F52" s="47"/>
      <c r="G52" s="47"/>
      <c r="H52" s="47"/>
      <c r="I52" s="47"/>
      <c r="J52" s="47"/>
      <c r="K52" s="47"/>
      <c r="L52" s="5"/>
      <c r="P52" s="362"/>
      <c r="Q52" s="362"/>
      <c r="R52" s="362"/>
      <c r="S52" s="362"/>
      <c r="T52" s="362"/>
      <c r="U52" s="362"/>
      <c r="V52" s="362"/>
      <c r="AH52" s="204" t="s">
        <v>280</v>
      </c>
    </row>
    <row r="53" spans="1:34" s="6" customFormat="1" ht="15" customHeight="1" x14ac:dyDescent="0.25">
      <c r="D53" s="5"/>
      <c r="E53" s="48"/>
      <c r="F53" s="48"/>
      <c r="G53" s="48"/>
      <c r="H53" s="48"/>
      <c r="I53" s="48"/>
      <c r="J53" s="48"/>
      <c r="K53" s="48"/>
      <c r="L53" s="5"/>
      <c r="P53" s="363" t="str">
        <f>UPPER(E50)</f>
        <v>MARIHOT GUSTAFA S.</v>
      </c>
      <c r="Q53" s="362"/>
      <c r="R53" s="362"/>
      <c r="S53" s="362"/>
      <c r="T53" s="363" t="str">
        <f>IF(Schedule!F$12="","",UPPER(Schedule!F$12))</f>
        <v>BUDI WIDHARTONO</v>
      </c>
      <c r="U53" s="362"/>
      <c r="V53" s="362"/>
      <c r="AH53" s="204" t="s">
        <v>316</v>
      </c>
    </row>
    <row r="54" spans="1:34" s="6" customFormat="1" ht="15" customHeight="1" x14ac:dyDescent="0.25">
      <c r="E54" s="48"/>
      <c r="F54" s="48"/>
      <c r="G54" s="48"/>
      <c r="H54" s="48"/>
      <c r="I54" s="48"/>
      <c r="J54" s="48"/>
      <c r="K54" s="48"/>
      <c r="P54" s="361" t="s">
        <v>107</v>
      </c>
      <c r="Q54" s="362"/>
      <c r="R54" s="362"/>
      <c r="S54" s="362"/>
      <c r="T54" s="361" t="s">
        <v>294</v>
      </c>
      <c r="U54" s="362"/>
      <c r="V54" s="362"/>
      <c r="AH54" s="204" t="s">
        <v>326</v>
      </c>
    </row>
    <row r="55" spans="1:34" s="6" customFormat="1" ht="15" customHeight="1" x14ac:dyDescent="0.25">
      <c r="P55" s="364" t="str">
        <f>CONCATENATE("Date : ",TEXT(K12,"[$-409]d mmm yyyy;@"))</f>
        <v>Date : 8 Jun 2025</v>
      </c>
      <c r="Q55" s="362"/>
      <c r="R55" s="364"/>
      <c r="S55" s="362"/>
      <c r="T55" s="364" t="str">
        <f>CONCATENATE("Date : ",TEXT(K12,"[$-409]d mmm yyyy;@"))</f>
        <v>Date : 8 Jun 2025</v>
      </c>
      <c r="U55" s="362"/>
      <c r="V55" s="362"/>
      <c r="AH55" s="204" t="s">
        <v>327</v>
      </c>
    </row>
    <row r="56" spans="1:34" ht="15" customHeight="1" x14ac:dyDescent="0.25">
      <c r="AH56" s="204" t="s">
        <v>281</v>
      </c>
    </row>
    <row r="57" spans="1:34" ht="15" customHeight="1" x14ac:dyDescent="0.25">
      <c r="AH57" s="204" t="s">
        <v>277</v>
      </c>
    </row>
    <row r="58" spans="1:34" ht="15" customHeight="1" x14ac:dyDescent="0.25">
      <c r="AH58" s="204" t="s">
        <v>328</v>
      </c>
    </row>
    <row r="59" spans="1:34" ht="15" customHeight="1" x14ac:dyDescent="0.25">
      <c r="AH59" s="204" t="s">
        <v>329</v>
      </c>
    </row>
    <row r="60" spans="1:34" ht="15" customHeight="1" x14ac:dyDescent="0.25">
      <c r="AH60" s="204" t="s">
        <v>330</v>
      </c>
    </row>
    <row r="61" spans="1:34" ht="15" customHeight="1" x14ac:dyDescent="0.25">
      <c r="AH61" s="204" t="s">
        <v>331</v>
      </c>
    </row>
    <row r="62" spans="1:34" ht="15" customHeight="1" x14ac:dyDescent="0.25">
      <c r="AH62" s="204" t="s">
        <v>332</v>
      </c>
    </row>
    <row r="63" spans="1:34" ht="15" customHeight="1" x14ac:dyDescent="0.25">
      <c r="AH63" s="204" t="s">
        <v>315</v>
      </c>
    </row>
    <row r="64" spans="1:34" ht="15" customHeight="1" x14ac:dyDescent="0.25">
      <c r="AH64" s="204" t="s">
        <v>333</v>
      </c>
    </row>
    <row r="65" spans="34:34" ht="15" customHeight="1" x14ac:dyDescent="0.25">
      <c r="AH65" s="204" t="s">
        <v>310</v>
      </c>
    </row>
    <row r="66" spans="34:34" ht="15" customHeight="1" x14ac:dyDescent="0.25">
      <c r="AH66" s="204" t="s">
        <v>334</v>
      </c>
    </row>
    <row r="67" spans="34:34" ht="15" customHeight="1" x14ac:dyDescent="0.25">
      <c r="AH67" s="204" t="s">
        <v>335</v>
      </c>
    </row>
    <row r="68" spans="34:34" ht="15" customHeight="1" x14ac:dyDescent="0.25">
      <c r="AH68" s="204" t="s">
        <v>336</v>
      </c>
    </row>
    <row r="69" spans="34:34" ht="15" customHeight="1" x14ac:dyDescent="0.25">
      <c r="AH69" s="204" t="s">
        <v>337</v>
      </c>
    </row>
    <row r="70" spans="34:34" ht="15" customHeight="1" x14ac:dyDescent="0.25">
      <c r="AH70" s="204" t="s">
        <v>338</v>
      </c>
    </row>
    <row r="71" spans="34:34" ht="15" customHeight="1" x14ac:dyDescent="0.25">
      <c r="AH71" s="204" t="s">
        <v>339</v>
      </c>
    </row>
    <row r="72" spans="34:34" ht="15" customHeight="1" x14ac:dyDescent="0.25">
      <c r="AH72" s="204" t="s">
        <v>340</v>
      </c>
    </row>
    <row r="85" spans="34:34" ht="0" hidden="1" customHeight="1" x14ac:dyDescent="0.25">
      <c r="AH85" s="6"/>
    </row>
    <row r="86" spans="34:34" ht="0" hidden="1" customHeight="1" x14ac:dyDescent="0.25">
      <c r="AH86" s="6"/>
    </row>
    <row r="87" spans="34:34" ht="0" hidden="1" customHeight="1" x14ac:dyDescent="0.25">
      <c r="AH87" s="6"/>
    </row>
    <row r="88" spans="34:34" ht="0" hidden="1" customHeight="1" x14ac:dyDescent="0.25">
      <c r="AH88" s="6"/>
    </row>
    <row r="89" spans="34:34" ht="0" hidden="1" customHeight="1" x14ac:dyDescent="0.25">
      <c r="AH89" s="6"/>
    </row>
    <row r="90" spans="34:34" ht="0" hidden="1" customHeight="1" x14ac:dyDescent="0.25">
      <c r="AH90" s="6"/>
    </row>
    <row r="91" spans="34:34" ht="0" hidden="1" customHeight="1" x14ac:dyDescent="0.25">
      <c r="AH91" s="6"/>
    </row>
    <row r="92" spans="34:34" ht="0" hidden="1" customHeight="1" x14ac:dyDescent="0.25">
      <c r="AH92" s="6"/>
    </row>
    <row r="93" spans="34:34" ht="0" hidden="1" customHeight="1" x14ac:dyDescent="0.25">
      <c r="AH93" s="6"/>
    </row>
    <row r="94" spans="34:34" ht="0" hidden="1" customHeight="1" x14ac:dyDescent="0.25">
      <c r="AH94" s="6"/>
    </row>
  </sheetData>
  <sheetProtection algorithmName="SHA-512" hashValue="Uh7qchBYsgrhLr3hjxnWcI8QS6zE5JN7lphV9nrJiUQrGkFQf6X1qXkmQHEk4w1Cn0Q+SrkDZrP3wGFAc7VSQg==" saltValue="GgTqaMaBTG4kZ/+SGl2ytw==" spinCount="100000" sheet="1" objects="1" scenarios="1" formatColumns="0" formatRows="0" insertColumns="0" insertRows="0" sort="0" autoFilter="0" pivotTables="0"/>
  <mergeCells count="69">
    <mergeCell ref="S37:V37"/>
    <mergeCell ref="S38:V38"/>
    <mergeCell ref="S39:V39"/>
    <mergeCell ref="S40:V40"/>
    <mergeCell ref="S41:V42"/>
    <mergeCell ref="S36:V36"/>
    <mergeCell ref="S25:V25"/>
    <mergeCell ref="S26:V26"/>
    <mergeCell ref="S27:V27"/>
    <mergeCell ref="S28:V28"/>
    <mergeCell ref="S29:V29"/>
    <mergeCell ref="S30:V30"/>
    <mergeCell ref="S31:V31"/>
    <mergeCell ref="S32:V32"/>
    <mergeCell ref="S33:V33"/>
    <mergeCell ref="S34:V34"/>
    <mergeCell ref="S35:V35"/>
    <mergeCell ref="S19:V19"/>
    <mergeCell ref="S20:V20"/>
    <mergeCell ref="S21:V21"/>
    <mergeCell ref="S22:V22"/>
    <mergeCell ref="S23:V23"/>
    <mergeCell ref="S24:V24"/>
    <mergeCell ref="BA14:BA15"/>
    <mergeCell ref="BB14:BB15"/>
    <mergeCell ref="BC14:BC15"/>
    <mergeCell ref="S16:V16"/>
    <mergeCell ref="S17:V17"/>
    <mergeCell ref="S18:V18"/>
    <mergeCell ref="AU14:AU15"/>
    <mergeCell ref="AV14:AV15"/>
    <mergeCell ref="AW14:AW15"/>
    <mergeCell ref="AX14:AX15"/>
    <mergeCell ref="AY14:AY15"/>
    <mergeCell ref="AZ14:AZ15"/>
    <mergeCell ref="AO14:AO15"/>
    <mergeCell ref="AP14:AP15"/>
    <mergeCell ref="AQ14:AQ15"/>
    <mergeCell ref="AR14:AR15"/>
    <mergeCell ref="AS14:AS15"/>
    <mergeCell ref="AT14:AT15"/>
    <mergeCell ref="AD14:AD15"/>
    <mergeCell ref="AJ14:AJ15"/>
    <mergeCell ref="AK14:AK15"/>
    <mergeCell ref="AL14:AL15"/>
    <mergeCell ref="AM14:AM15"/>
    <mergeCell ref="AN14:AN15"/>
    <mergeCell ref="Y14:AC14"/>
    <mergeCell ref="H13:H14"/>
    <mergeCell ref="I13:I14"/>
    <mergeCell ref="J13:J14"/>
    <mergeCell ref="K13:K14"/>
    <mergeCell ref="L13:L14"/>
    <mergeCell ref="M13:N13"/>
    <mergeCell ref="Q13:Q14"/>
    <mergeCell ref="R13:R14"/>
    <mergeCell ref="S13:V15"/>
    <mergeCell ref="O13:O14"/>
    <mergeCell ref="P13:P14"/>
    <mergeCell ref="A10:V10"/>
    <mergeCell ref="A11:V11"/>
    <mergeCell ref="K12:L12"/>
    <mergeCell ref="A13:A15"/>
    <mergeCell ref="B13:B14"/>
    <mergeCell ref="C13:C14"/>
    <mergeCell ref="D13:D14"/>
    <mergeCell ref="E13:E14"/>
    <mergeCell ref="F13:F14"/>
    <mergeCell ref="G13:G14"/>
  </mergeCells>
  <conditionalFormatting sqref="I47">
    <cfRule type="cellIs" dxfId="117" priority="5" operator="lessThan">
      <formula>0</formula>
    </cfRule>
  </conditionalFormatting>
  <conditionalFormatting sqref="Y16:Y39">
    <cfRule type="containsText" dxfId="116" priority="3" operator="containsText" text="STBY">
      <formula>NOT(ISERROR(SEARCH("STBY",Y16)))</formula>
    </cfRule>
    <cfRule type="containsText" dxfId="115" priority="4" operator="containsText" text="SD">
      <formula>NOT(ISERROR(SEARCH("SD",Y16)))</formula>
    </cfRule>
  </conditionalFormatting>
  <conditionalFormatting sqref="B16:B39 D16:R39">
    <cfRule type="expression" dxfId="114" priority="2">
      <formula>ISTEXT(B16)</formula>
    </cfRule>
  </conditionalFormatting>
  <conditionalFormatting sqref="C16:C39">
    <cfRule type="expression" dxfId="113" priority="1">
      <formula>ISTEXT(C16)</formula>
    </cfRule>
  </conditionalFormatting>
  <dataValidations count="2">
    <dataValidation type="list" allowBlank="1" showInputMessage="1" showErrorMessage="1" sqref="Y16:Y39" xr:uid="{4A5183F2-D5A0-4FB8-AEFF-210E8EE0CB4E}">
      <formula1>"SD,STBY"</formula1>
    </dataValidation>
    <dataValidation type="list" allowBlank="1" showInputMessage="1" sqref="AD16:AD39" xr:uid="{495E3EED-4C7D-49DC-9A12-1C30E4CAC675}">
      <formula1>$AH$15:$AH$72</formula1>
    </dataValidation>
  </dataValidations>
  <printOptions horizontalCentered="1"/>
  <pageMargins left="0.39370078740157483" right="0.39370078740157483" top="0.59055118110236227" bottom="0.39370078740157483" header="0.31496062992125984" footer="0.31496062992125984"/>
  <pageSetup paperSize="9" scale="57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0372A-DD41-440A-8955-1C1D7767BB47}">
  <sheetPr codeName="N09">
    <pageSetUpPr fitToPage="1"/>
  </sheetPr>
  <dimension ref="A1:BC94"/>
  <sheetViews>
    <sheetView topLeftCell="A16" zoomScale="85" zoomScaleNormal="85" workbookViewId="0">
      <selection activeCell="M21" sqref="M21"/>
    </sheetView>
  </sheetViews>
  <sheetFormatPr defaultColWidth="0" defaultRowHeight="0" customHeight="1" zeroHeight="1" x14ac:dyDescent="0.25"/>
  <cols>
    <col min="1" max="1" width="10.7109375" style="7" customWidth="1"/>
    <col min="2" max="3" width="10.7109375" style="7" hidden="1" customWidth="1"/>
    <col min="4" max="14" width="10.7109375" style="7" customWidth="1"/>
    <col min="15" max="17" width="11.7109375" style="7" customWidth="1"/>
    <col min="18" max="18" width="10.7109375" style="7" hidden="1" customWidth="1"/>
    <col min="19" max="22" width="10.7109375" style="7" customWidth="1"/>
    <col min="23" max="23" width="2.7109375" style="7" customWidth="1"/>
    <col min="24" max="29" width="10.7109375" style="7" customWidth="1"/>
    <col min="30" max="30" width="30.7109375" style="7" customWidth="1"/>
    <col min="31" max="33" width="11.7109375" style="7" customWidth="1"/>
    <col min="34" max="34" width="30.7109375" style="7" customWidth="1"/>
    <col min="35" max="35" width="2.7109375" style="7" hidden="1" customWidth="1"/>
    <col min="36" max="55" width="11.7109375" style="7" hidden="1" customWidth="1"/>
    <col min="56" max="16384" width="9.140625" style="7" hidden="1"/>
  </cols>
  <sheetData>
    <row r="1" spans="1:55" ht="15" customHeight="1" x14ac:dyDescent="0.25">
      <c r="A1" s="7" t="s">
        <v>16</v>
      </c>
      <c r="D1" s="11" t="s">
        <v>85</v>
      </c>
      <c r="J1" s="7" t="str">
        <f>IF(MR!U13="Yes","PRINT","No")</f>
        <v>PRINT</v>
      </c>
      <c r="M1" s="191"/>
      <c r="N1" s="191"/>
    </row>
    <row r="2" spans="1:55" ht="15" customHeight="1" thickBot="1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192"/>
      <c r="M2" s="4"/>
      <c r="N2" s="4"/>
      <c r="O2" s="4"/>
      <c r="P2" s="4"/>
      <c r="Q2" s="4"/>
      <c r="R2" s="4"/>
      <c r="S2" s="8"/>
      <c r="T2" s="8"/>
      <c r="U2" s="8"/>
      <c r="V2" s="8"/>
      <c r="X2" s="8"/>
      <c r="Y2" s="8"/>
      <c r="Z2" s="8"/>
      <c r="AA2" s="8"/>
      <c r="AB2" s="8"/>
      <c r="AC2" s="8"/>
      <c r="AD2" s="8"/>
      <c r="AE2" s="8"/>
    </row>
    <row r="3" spans="1:55" ht="15" customHeight="1" x14ac:dyDescent="0.2">
      <c r="A3" s="31"/>
      <c r="B3" s="28"/>
      <c r="C3" s="28"/>
      <c r="D3" s="28"/>
      <c r="E3" s="28"/>
      <c r="F3" s="13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2"/>
      <c r="T3" s="22"/>
      <c r="U3" s="22"/>
      <c r="V3" s="23"/>
      <c r="X3" s="8"/>
      <c r="Y3" s="8"/>
      <c r="Z3" s="8"/>
      <c r="AA3" s="8"/>
      <c r="AB3" s="8"/>
      <c r="AC3" s="8"/>
      <c r="AD3" s="8"/>
      <c r="AE3" s="8"/>
    </row>
    <row r="4" spans="1:55" ht="30" customHeight="1" x14ac:dyDescent="0.25">
      <c r="A4" s="30"/>
      <c r="B4" s="1"/>
      <c r="C4" s="1"/>
      <c r="D4" s="1"/>
      <c r="E4" s="3"/>
      <c r="F4" s="63" t="s">
        <v>210</v>
      </c>
      <c r="G4" s="1"/>
      <c r="H4" s="1"/>
      <c r="I4" s="3"/>
      <c r="J4" s="3"/>
      <c r="K4" s="3"/>
      <c r="L4" s="3"/>
      <c r="M4" s="3"/>
      <c r="N4" s="3"/>
      <c r="O4" s="3"/>
      <c r="P4" s="3"/>
      <c r="Q4" s="3"/>
      <c r="R4" s="3"/>
      <c r="S4" s="1"/>
      <c r="T4" s="1"/>
      <c r="U4" s="1"/>
      <c r="V4" s="2"/>
      <c r="X4" s="5"/>
      <c r="Y4" s="5"/>
      <c r="Z4" s="5"/>
      <c r="AA4" s="5"/>
      <c r="AB4" s="5"/>
      <c r="AC4" s="5"/>
      <c r="AD4" s="5"/>
      <c r="AE4" s="5"/>
    </row>
    <row r="5" spans="1:55" ht="15" customHeight="1" x14ac:dyDescent="0.2">
      <c r="A5" s="32"/>
      <c r="B5" s="33"/>
      <c r="C5" s="33"/>
      <c r="D5" s="12"/>
      <c r="E5" s="3"/>
      <c r="F5" s="10" t="s">
        <v>129</v>
      </c>
      <c r="G5" s="1"/>
      <c r="H5" s="1"/>
      <c r="I5" s="3"/>
      <c r="J5" s="3"/>
      <c r="K5" s="3"/>
      <c r="L5" s="3"/>
      <c r="M5" s="3"/>
      <c r="N5" s="3"/>
      <c r="O5" s="3"/>
      <c r="P5" s="3"/>
      <c r="Q5" s="3"/>
      <c r="R5" s="3"/>
      <c r="S5" s="12"/>
      <c r="T5" s="12"/>
      <c r="U5" s="12"/>
      <c r="V5" s="14"/>
      <c r="X5" s="8"/>
      <c r="Y5" s="8"/>
      <c r="Z5" s="8"/>
      <c r="AA5" s="8"/>
      <c r="AB5" s="8"/>
      <c r="AC5" s="8"/>
      <c r="AD5" s="8"/>
      <c r="AE5" s="8"/>
      <c r="AJ5" s="193" t="s">
        <v>184</v>
      </c>
      <c r="AK5" s="194">
        <f>'V Calc'!B1</f>
        <v>500</v>
      </c>
      <c r="AL5" s="124"/>
    </row>
    <row r="6" spans="1:55" ht="15" customHeight="1" x14ac:dyDescent="0.2">
      <c r="A6" s="32"/>
      <c r="B6" s="33"/>
      <c r="C6" s="33"/>
      <c r="D6" s="12"/>
      <c r="E6" s="3"/>
      <c r="F6" s="10" t="s">
        <v>132</v>
      </c>
      <c r="G6" s="1"/>
      <c r="H6" s="1"/>
      <c r="I6" s="3"/>
      <c r="J6" s="3"/>
      <c r="K6" s="3"/>
      <c r="L6" s="3"/>
      <c r="M6" s="3"/>
      <c r="N6" s="3"/>
      <c r="O6" s="3"/>
      <c r="P6" s="3"/>
      <c r="Q6" s="3"/>
      <c r="R6" s="3"/>
      <c r="S6" s="12"/>
      <c r="T6" s="12"/>
      <c r="U6" s="12"/>
      <c r="V6" s="14"/>
      <c r="X6" s="8"/>
      <c r="Y6" s="8"/>
      <c r="Z6" s="8"/>
      <c r="AA6" s="8"/>
      <c r="AB6" s="8"/>
      <c r="AC6" s="8"/>
      <c r="AD6" s="8"/>
      <c r="AE6" s="8"/>
      <c r="AJ6" s="193" t="s">
        <v>185</v>
      </c>
      <c r="AK6" s="194">
        <f>'V Calc'!B2</f>
        <v>100</v>
      </c>
      <c r="AL6" s="124"/>
    </row>
    <row r="7" spans="1:55" ht="15" customHeight="1" x14ac:dyDescent="0.2">
      <c r="A7" s="32"/>
      <c r="B7" s="33"/>
      <c r="C7" s="33"/>
      <c r="D7" s="12"/>
      <c r="E7" s="3"/>
      <c r="F7" s="10" t="s">
        <v>130</v>
      </c>
      <c r="G7" s="1"/>
      <c r="H7" s="1"/>
      <c r="I7" s="3"/>
      <c r="J7" s="3"/>
      <c r="K7" s="3"/>
      <c r="L7" s="3"/>
      <c r="M7" s="3"/>
      <c r="N7" s="3"/>
      <c r="O7" s="3"/>
      <c r="P7" s="3"/>
      <c r="Q7" s="3"/>
      <c r="R7" s="3"/>
      <c r="S7" s="12"/>
      <c r="T7" s="12"/>
      <c r="U7" s="12"/>
      <c r="V7" s="14"/>
      <c r="X7" s="8"/>
      <c r="Y7" s="8"/>
      <c r="Z7" s="8"/>
      <c r="AA7" s="8"/>
      <c r="AB7" s="8"/>
      <c r="AC7" s="8"/>
      <c r="AD7" s="8"/>
      <c r="AE7" s="8"/>
      <c r="AJ7" s="193" t="s">
        <v>186</v>
      </c>
      <c r="AK7" s="195">
        <f>'V Calc'!B3</f>
        <v>2</v>
      </c>
      <c r="AL7" s="124"/>
    </row>
    <row r="8" spans="1:55" ht="15" customHeight="1" x14ac:dyDescent="0.2">
      <c r="A8" s="32"/>
      <c r="B8" s="33"/>
      <c r="C8" s="33"/>
      <c r="D8" s="12"/>
      <c r="E8" s="3"/>
      <c r="F8" s="10" t="s">
        <v>131</v>
      </c>
      <c r="G8" s="62"/>
      <c r="H8" s="62"/>
      <c r="I8" s="3"/>
      <c r="J8" s="3"/>
      <c r="K8" s="3"/>
      <c r="L8" s="3"/>
      <c r="M8" s="3"/>
      <c r="N8" s="3"/>
      <c r="O8" s="3"/>
      <c r="P8" s="3"/>
      <c r="Q8" s="3"/>
      <c r="R8" s="3"/>
      <c r="S8" s="12"/>
      <c r="T8" s="12"/>
      <c r="U8" s="12"/>
      <c r="V8" s="14"/>
      <c r="X8" s="8"/>
      <c r="Y8" s="8"/>
      <c r="Z8" s="8"/>
      <c r="AA8" s="8"/>
      <c r="AB8" s="8"/>
      <c r="AC8" s="8"/>
      <c r="AD8" s="8"/>
      <c r="AE8" s="8"/>
      <c r="AJ8" s="193" t="s">
        <v>187</v>
      </c>
      <c r="AK8" s="195">
        <f>'V Calc'!B4</f>
        <v>0.875</v>
      </c>
      <c r="AL8" s="124"/>
    </row>
    <row r="9" spans="1:55" ht="15" customHeight="1" thickBot="1" x14ac:dyDescent="0.25">
      <c r="A9" s="34"/>
      <c r="B9" s="29"/>
      <c r="C9" s="29"/>
      <c r="D9" s="29"/>
      <c r="E9" s="29"/>
      <c r="F9" s="15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16"/>
      <c r="T9" s="16"/>
      <c r="U9" s="16"/>
      <c r="V9" s="17"/>
      <c r="X9" s="8"/>
      <c r="Y9" s="8"/>
      <c r="Z9" s="8"/>
      <c r="AA9" s="8"/>
      <c r="AB9" s="8"/>
      <c r="AC9" s="8"/>
      <c r="AD9" s="8"/>
      <c r="AE9" s="8"/>
      <c r="AJ9" s="196" t="s">
        <v>188</v>
      </c>
      <c r="AK9" s="197">
        <f>'V Calc'!B5</f>
        <v>158.47</v>
      </c>
      <c r="AL9" s="198"/>
    </row>
    <row r="10" spans="1:55" s="9" customFormat="1" ht="30" customHeight="1" x14ac:dyDescent="0.2">
      <c r="A10" s="513" t="s">
        <v>20</v>
      </c>
      <c r="B10" s="514"/>
      <c r="C10" s="514"/>
      <c r="D10" s="514"/>
      <c r="E10" s="514"/>
      <c r="F10" s="514"/>
      <c r="G10" s="514"/>
      <c r="H10" s="514"/>
      <c r="I10" s="514"/>
      <c r="J10" s="514"/>
      <c r="K10" s="514"/>
      <c r="L10" s="514"/>
      <c r="M10" s="514"/>
      <c r="N10" s="514"/>
      <c r="O10" s="514"/>
      <c r="P10" s="514"/>
      <c r="Q10" s="514"/>
      <c r="R10" s="514"/>
      <c r="S10" s="514"/>
      <c r="T10" s="514"/>
      <c r="U10" s="514"/>
      <c r="V10" s="515"/>
      <c r="X10" s="96"/>
      <c r="Y10" s="96"/>
      <c r="Z10" s="96"/>
      <c r="AA10" s="96"/>
      <c r="AB10" s="96"/>
      <c r="AC10" s="96"/>
      <c r="AJ10" s="193" t="s">
        <v>189</v>
      </c>
      <c r="AK10" s="199">
        <f>'V Calc'!B6</f>
        <v>0.63607464142166403</v>
      </c>
      <c r="AL10" s="198" t="s">
        <v>190</v>
      </c>
    </row>
    <row r="11" spans="1:55" s="9" customFormat="1" ht="20.100000000000001" customHeight="1" thickBot="1" x14ac:dyDescent="0.25">
      <c r="A11" s="516" t="s">
        <v>21</v>
      </c>
      <c r="B11" s="517"/>
      <c r="C11" s="517"/>
      <c r="D11" s="517"/>
      <c r="E11" s="517"/>
      <c r="F11" s="517"/>
      <c r="G11" s="517"/>
      <c r="H11" s="517"/>
      <c r="I11" s="517"/>
      <c r="J11" s="517"/>
      <c r="K11" s="517"/>
      <c r="L11" s="517"/>
      <c r="M11" s="517"/>
      <c r="N11" s="517"/>
      <c r="O11" s="517"/>
      <c r="P11" s="517"/>
      <c r="Q11" s="517"/>
      <c r="R11" s="517"/>
      <c r="S11" s="517"/>
      <c r="T11" s="517"/>
      <c r="U11" s="517"/>
      <c r="V11" s="518"/>
      <c r="X11" s="97"/>
      <c r="Y11" s="97"/>
      <c r="Z11" s="97"/>
      <c r="AA11" s="97"/>
      <c r="AB11" s="97"/>
      <c r="AC11" s="97"/>
    </row>
    <row r="12" spans="1:55" s="6" customFormat="1" ht="30" customHeight="1" thickBot="1" x14ac:dyDescent="0.3">
      <c r="A12" s="18"/>
      <c r="B12" s="20"/>
      <c r="C12" s="20"/>
      <c r="D12" s="19" t="s">
        <v>121</v>
      </c>
      <c r="E12" s="200" t="str">
        <f>'Day 8'!E12</f>
        <v>MPR 632  RFD</v>
      </c>
      <c r="F12" s="35"/>
      <c r="G12" s="19" t="s">
        <v>120</v>
      </c>
      <c r="H12" s="200" t="str">
        <f>IF(Volume!C$12="","",Volume!C$12)</f>
        <v>FP 65354</v>
      </c>
      <c r="I12" s="20"/>
      <c r="J12" s="19" t="s">
        <v>17</v>
      </c>
      <c r="K12" s="505">
        <f>'Day 8'!K12+1</f>
        <v>45817</v>
      </c>
      <c r="L12" s="505"/>
      <c r="M12" s="100"/>
      <c r="N12" s="19" t="s">
        <v>119</v>
      </c>
      <c r="O12" s="200" t="str">
        <f>IF(Volume!D$12="","",Volume!D$12)</f>
        <v>SP. Tambun - Cluster F</v>
      </c>
      <c r="P12" s="20"/>
      <c r="Q12" s="19" t="s">
        <v>122</v>
      </c>
      <c r="S12" s="201">
        <f>IF(Volume!E$12="","",Volume!E$12)</f>
        <v>1.25</v>
      </c>
      <c r="T12" s="20"/>
      <c r="U12" s="19" t="s">
        <v>126</v>
      </c>
      <c r="V12" s="202" t="str">
        <f>IF(Volume!F$12="","",Volume!F$12)</f>
        <v>4/0</v>
      </c>
    </row>
    <row r="13" spans="1:55" ht="30" customHeight="1" thickBot="1" x14ac:dyDescent="0.3">
      <c r="A13" s="502" t="s">
        <v>0</v>
      </c>
      <c r="B13" s="502" t="s">
        <v>213</v>
      </c>
      <c r="C13" s="502" t="s">
        <v>212</v>
      </c>
      <c r="D13" s="502" t="s">
        <v>31</v>
      </c>
      <c r="E13" s="502" t="s">
        <v>32</v>
      </c>
      <c r="F13" s="502" t="s">
        <v>2</v>
      </c>
      <c r="G13" s="502" t="s">
        <v>33</v>
      </c>
      <c r="H13" s="502" t="s">
        <v>35</v>
      </c>
      <c r="I13" s="502" t="s">
        <v>36</v>
      </c>
      <c r="J13" s="502" t="s">
        <v>110</v>
      </c>
      <c r="K13" s="502" t="s">
        <v>15</v>
      </c>
      <c r="L13" s="502" t="s">
        <v>34</v>
      </c>
      <c r="M13" s="502" t="s">
        <v>10</v>
      </c>
      <c r="N13" s="502"/>
      <c r="O13" s="506" t="s">
        <v>300</v>
      </c>
      <c r="P13" s="506" t="s">
        <v>299</v>
      </c>
      <c r="Q13" s="502" t="s">
        <v>7</v>
      </c>
      <c r="R13" s="502" t="s">
        <v>88</v>
      </c>
      <c r="S13" s="502" t="s">
        <v>8</v>
      </c>
      <c r="T13" s="502"/>
      <c r="U13" s="502"/>
      <c r="V13" s="502"/>
      <c r="X13" s="98"/>
      <c r="Y13" s="98"/>
      <c r="Z13" s="98"/>
      <c r="AA13" s="98"/>
      <c r="AB13" s="98"/>
      <c r="AC13" s="98"/>
    </row>
    <row r="14" spans="1:55" ht="30" customHeight="1" x14ac:dyDescent="0.25">
      <c r="A14" s="504"/>
      <c r="B14" s="504"/>
      <c r="C14" s="504"/>
      <c r="D14" s="504"/>
      <c r="E14" s="504"/>
      <c r="F14" s="504"/>
      <c r="G14" s="504"/>
      <c r="H14" s="504"/>
      <c r="I14" s="504"/>
      <c r="J14" s="504"/>
      <c r="K14" s="504"/>
      <c r="L14" s="504"/>
      <c r="M14" s="94" t="s">
        <v>3</v>
      </c>
      <c r="N14" s="94" t="s">
        <v>4</v>
      </c>
      <c r="O14" s="507"/>
      <c r="P14" s="507"/>
      <c r="Q14" s="504"/>
      <c r="R14" s="504"/>
      <c r="S14" s="504"/>
      <c r="T14" s="504"/>
      <c r="U14" s="504"/>
      <c r="V14" s="504"/>
      <c r="Y14" s="502" t="s">
        <v>230</v>
      </c>
      <c r="Z14" s="502"/>
      <c r="AA14" s="502"/>
      <c r="AB14" s="502"/>
      <c r="AC14" s="502"/>
      <c r="AD14" s="502" t="s">
        <v>231</v>
      </c>
      <c r="AH14" s="203" t="s">
        <v>232</v>
      </c>
      <c r="AJ14" s="520" t="s">
        <v>191</v>
      </c>
      <c r="AK14" s="520" t="s">
        <v>192</v>
      </c>
      <c r="AL14" s="520" t="s">
        <v>193</v>
      </c>
      <c r="AM14" s="520" t="s">
        <v>194</v>
      </c>
      <c r="AN14" s="520" t="s">
        <v>195</v>
      </c>
      <c r="AO14" s="506" t="s">
        <v>196</v>
      </c>
      <c r="AP14" s="506" t="s">
        <v>197</v>
      </c>
      <c r="AQ14" s="506" t="s">
        <v>198</v>
      </c>
      <c r="AR14" s="506" t="s">
        <v>188</v>
      </c>
      <c r="AS14" s="506" t="s">
        <v>199</v>
      </c>
      <c r="AT14" s="506" t="s">
        <v>200</v>
      </c>
      <c r="AU14" s="506" t="s">
        <v>201</v>
      </c>
      <c r="AV14" s="506" t="s">
        <v>202</v>
      </c>
      <c r="AW14" s="506" t="s">
        <v>203</v>
      </c>
      <c r="AX14" s="506" t="s">
        <v>204</v>
      </c>
      <c r="AY14" s="523" t="s">
        <v>205</v>
      </c>
      <c r="AZ14" s="523" t="s">
        <v>206</v>
      </c>
      <c r="BA14" s="523" t="s">
        <v>207</v>
      </c>
      <c r="BB14" s="523" t="s">
        <v>208</v>
      </c>
      <c r="BC14" s="506" t="s">
        <v>197</v>
      </c>
    </row>
    <row r="15" spans="1:55" ht="20.100000000000001" customHeight="1" thickBot="1" x14ac:dyDescent="0.3">
      <c r="A15" s="503"/>
      <c r="B15" s="95" t="s">
        <v>1</v>
      </c>
      <c r="C15" s="95" t="s">
        <v>1</v>
      </c>
      <c r="D15" s="95" t="s">
        <v>1</v>
      </c>
      <c r="E15" s="95" t="s">
        <v>1</v>
      </c>
      <c r="F15" s="95" t="s">
        <v>140</v>
      </c>
      <c r="G15" s="95" t="s">
        <v>1</v>
      </c>
      <c r="H15" s="95" t="s">
        <v>1</v>
      </c>
      <c r="I15" s="95" t="s">
        <v>1</v>
      </c>
      <c r="J15" s="95" t="s">
        <v>18</v>
      </c>
      <c r="K15" s="95" t="s">
        <v>9</v>
      </c>
      <c r="L15" s="95" t="s">
        <v>5</v>
      </c>
      <c r="M15" s="95" t="s">
        <v>5</v>
      </c>
      <c r="N15" s="95" t="s">
        <v>5</v>
      </c>
      <c r="O15" s="95" t="s">
        <v>1</v>
      </c>
      <c r="P15" s="95" t="s">
        <v>14</v>
      </c>
      <c r="Q15" s="95" t="str">
        <f>IF(MR!G17="MSCF","MSCFD","MMSCFD")</f>
        <v>MSCFD</v>
      </c>
      <c r="R15" s="95" t="str">
        <f>MR!L17</f>
        <v>BPD</v>
      </c>
      <c r="S15" s="503"/>
      <c r="T15" s="503"/>
      <c r="U15" s="503"/>
      <c r="V15" s="503"/>
      <c r="X15" s="365"/>
      <c r="Y15" s="95" t="s">
        <v>123</v>
      </c>
      <c r="Z15" s="95" t="s">
        <v>124</v>
      </c>
      <c r="AA15" s="95" t="s">
        <v>125</v>
      </c>
      <c r="AB15" s="95" t="s">
        <v>51</v>
      </c>
      <c r="AC15" s="95" t="s">
        <v>48</v>
      </c>
      <c r="AD15" s="503"/>
      <c r="AH15" s="204" t="s">
        <v>228</v>
      </c>
      <c r="AJ15" s="521"/>
      <c r="AK15" s="521"/>
      <c r="AL15" s="521"/>
      <c r="AM15" s="521"/>
      <c r="AN15" s="521"/>
      <c r="AO15" s="522"/>
      <c r="AP15" s="522"/>
      <c r="AQ15" s="522"/>
      <c r="AR15" s="522"/>
      <c r="AS15" s="522"/>
      <c r="AT15" s="522"/>
      <c r="AU15" s="522"/>
      <c r="AV15" s="522"/>
      <c r="AW15" s="522"/>
      <c r="AX15" s="522"/>
      <c r="AY15" s="524"/>
      <c r="AZ15" s="524"/>
      <c r="BA15" s="524"/>
      <c r="BB15" s="524"/>
      <c r="BC15" s="522"/>
    </row>
    <row r="16" spans="1:55" ht="20.100000000000001" customHeight="1" x14ac:dyDescent="0.2">
      <c r="A16" s="44">
        <v>4.1666666666666664E-2</v>
      </c>
      <c r="B16" s="450"/>
      <c r="C16" s="450"/>
      <c r="D16" s="450">
        <v>6.7</v>
      </c>
      <c r="E16" s="450">
        <v>59</v>
      </c>
      <c r="F16" s="40">
        <v>1985</v>
      </c>
      <c r="G16" s="37">
        <v>-5.5</v>
      </c>
      <c r="H16" s="36">
        <v>71.3</v>
      </c>
      <c r="I16" s="36">
        <v>21.6</v>
      </c>
      <c r="J16" s="40">
        <v>272</v>
      </c>
      <c r="K16" s="37">
        <v>13</v>
      </c>
      <c r="L16" s="450">
        <v>123</v>
      </c>
      <c r="M16" s="450">
        <v>226</v>
      </c>
      <c r="N16" s="451">
        <v>85</v>
      </c>
      <c r="O16" s="353">
        <v>50</v>
      </c>
      <c r="P16" s="352">
        <v>8</v>
      </c>
      <c r="Q16" s="352">
        <v>204.21</v>
      </c>
      <c r="R16" s="36"/>
      <c r="S16" s="519" t="str">
        <f t="shared" ref="S16:S32" si="0">IF(Z16="",IF(AD16="","",AD16),CONCATENATE(TEXT(Z16,"[hh]:mm"),IF(AA16="",""," - "&amp;TEXT(AA16,"[hh]:mm")),IF(Y16="",""," "&amp;Y16&amp;"/")," "&amp;AD16))</f>
        <v/>
      </c>
      <c r="T16" s="519"/>
      <c r="U16" s="519"/>
      <c r="V16" s="519"/>
      <c r="X16" s="44">
        <v>4.1666666666666664E-2</v>
      </c>
      <c r="Y16" s="105"/>
      <c r="Z16" s="101"/>
      <c r="AA16" s="101"/>
      <c r="AB16" s="44" t="str">
        <f>IF(Y16="STBY",AA16-Z16,"")</f>
        <v/>
      </c>
      <c r="AC16" s="44" t="str">
        <f t="shared" ref="AC16:AC39" si="1">IF(Y16="SD",AA16-Z16,"")</f>
        <v/>
      </c>
      <c r="AD16" s="355"/>
      <c r="AE16" s="9" t="str">
        <f>IF(S16="","",IF(COUNTA(Z16:$Z$39)=1,IF(COUNTA(AD16:$AD$39)=1,""," ; "),IF(COUNTA(AD16:$AD$39)=1,IF(Z16="",""," ; ")," ; ")))</f>
        <v/>
      </c>
      <c r="AF16" s="9" t="str">
        <f t="shared" ref="AF16:AF39" si="2">CONCATENATE(S16,AE16)</f>
        <v/>
      </c>
      <c r="AG16" s="90" t="str">
        <f t="shared" ref="AG16:AG39" si="3">IF(AND(COUNTBLANK(N16:P16)&lt;3,Q16=""),"CEK : Data Flowrate","")</f>
        <v/>
      </c>
      <c r="AH16" s="204" t="s">
        <v>229</v>
      </c>
      <c r="AJ16" s="205">
        <f>AK5</f>
        <v>500</v>
      </c>
      <c r="AK16" s="205">
        <f>AK6</f>
        <v>100</v>
      </c>
      <c r="AL16" s="206">
        <f>AK7</f>
        <v>2</v>
      </c>
      <c r="AM16" s="207">
        <f>AK8</f>
        <v>0.875</v>
      </c>
      <c r="AN16" s="208">
        <f>AK10</f>
        <v>0.63607464142166403</v>
      </c>
      <c r="AO16" s="209">
        <f t="shared" ref="AO16:AO39" si="4">T16^2*AJ16/100-14.7</f>
        <v>-14.7</v>
      </c>
      <c r="AP16" s="210">
        <f t="shared" ref="AP16:AP39" si="5">IF(AO16&lt;100,1,BC16)</f>
        <v>1</v>
      </c>
      <c r="AQ16" s="210">
        <f t="shared" ref="AQ16:AQ39" si="6">(1/AP16)^0.5</f>
        <v>1</v>
      </c>
      <c r="AR16" s="52">
        <f>AK9</f>
        <v>158.47</v>
      </c>
      <c r="AS16" s="210">
        <f t="shared" ref="AS16:AS39" si="7">(520/(460+N16))^0.5</f>
        <v>0.97679498379494789</v>
      </c>
      <c r="AT16" s="210">
        <f t="shared" ref="AT16:AT39" si="8">(1/AN16)^0.5</f>
        <v>1.2538510821608391</v>
      </c>
      <c r="AU16" s="210">
        <f t="shared" ref="AU16:AU39" si="9">0.01*(AJ16*AK16)^0.5</f>
        <v>2.2360679774997898</v>
      </c>
      <c r="AV16" s="211">
        <f t="shared" ref="AV16:AV39" si="10">0.024*AQ16*AR16*AS16*AT16*AU16</f>
        <v>10.415801185754333</v>
      </c>
      <c r="AW16" s="210">
        <f t="shared" ref="AW16:AW39" si="11">(AO16+14.7)/(697.2-43*AN16)</f>
        <v>0</v>
      </c>
      <c r="AX16" s="212">
        <f t="shared" ref="AX16:AX39" si="12">(N16+460)/(315.1*AN16+170.4)</f>
        <v>1.4696875479799241</v>
      </c>
      <c r="AY16" s="210">
        <f t="shared" ref="AY16:AY39" si="13">0.3379*LN(LN(AX16))+1.091</f>
        <v>0.76851414128953044</v>
      </c>
      <c r="AZ16" s="211">
        <f t="shared" ref="AZ16:AZ39" si="14">21.46*AY16-11.9*AY16^2-5.9</f>
        <v>3.5640070462657096</v>
      </c>
      <c r="BA16" s="210">
        <f t="shared" ref="BA16:BA39" si="15">AW16/AZ16</f>
        <v>0</v>
      </c>
      <c r="BB16" s="210">
        <f t="shared" ref="BB16:BB39" si="16">(1.1+0.26*AX16+(1.04-1.42*AX16)*BA16)*2.718^BA16/AX16</f>
        <v>1.0084584063544275</v>
      </c>
      <c r="BC16" s="210">
        <f t="shared" ref="BC16:BC39" si="17">1+(AY16-1)*SIN((90*BA16)/57.29578)^BB16</f>
        <v>1</v>
      </c>
    </row>
    <row r="17" spans="1:55" ht="20.100000000000001" customHeight="1" x14ac:dyDescent="0.2">
      <c r="A17" s="45">
        <v>8.3333333333333301E-2</v>
      </c>
      <c r="B17" s="451"/>
      <c r="C17" s="451"/>
      <c r="D17" s="451">
        <v>6.6</v>
      </c>
      <c r="E17" s="451">
        <v>60.7</v>
      </c>
      <c r="F17" s="41">
        <v>1936</v>
      </c>
      <c r="G17" s="37">
        <v>-5.5</v>
      </c>
      <c r="H17" s="37">
        <v>71</v>
      </c>
      <c r="I17" s="37">
        <v>21.3</v>
      </c>
      <c r="J17" s="41">
        <v>273</v>
      </c>
      <c r="K17" s="37">
        <v>13</v>
      </c>
      <c r="L17" s="451">
        <v>122</v>
      </c>
      <c r="M17" s="451">
        <v>223</v>
      </c>
      <c r="N17" s="451">
        <v>85</v>
      </c>
      <c r="O17" s="353">
        <v>50</v>
      </c>
      <c r="P17" s="353">
        <v>8</v>
      </c>
      <c r="Q17" s="353">
        <v>204.21</v>
      </c>
      <c r="R17" s="37"/>
      <c r="S17" s="508" t="str">
        <f t="shared" si="0"/>
        <v/>
      </c>
      <c r="T17" s="508"/>
      <c r="U17" s="508"/>
      <c r="V17" s="508"/>
      <c r="X17" s="45">
        <v>8.3333333333333301E-2</v>
      </c>
      <c r="Y17" s="106"/>
      <c r="Z17" s="102"/>
      <c r="AA17" s="102"/>
      <c r="AB17" s="45" t="str">
        <f t="shared" ref="AB17:AB39" si="18">IF(Y17="STBY",AA17-Z17,"")</f>
        <v/>
      </c>
      <c r="AC17" s="45" t="str">
        <f t="shared" si="1"/>
        <v/>
      </c>
      <c r="AD17" s="81"/>
      <c r="AE17" s="9" t="str">
        <f>IF(S17="","",IF(COUNTA(Z17:$Z$39)=1,IF(COUNTA(AD17:$AD$39)=1,""," ; "),IF(COUNTA(AD17:$AD$39)=1,IF(Z17="",""," ; ")," ; ")))</f>
        <v/>
      </c>
      <c r="AF17" s="9" t="str">
        <f t="shared" si="2"/>
        <v/>
      </c>
      <c r="AG17" s="90" t="str">
        <f t="shared" si="3"/>
        <v/>
      </c>
      <c r="AH17" s="204" t="s">
        <v>289</v>
      </c>
      <c r="AJ17" s="206">
        <f t="shared" ref="AJ17:AN32" si="19">AJ16</f>
        <v>500</v>
      </c>
      <c r="AK17" s="206">
        <f t="shared" si="19"/>
        <v>100</v>
      </c>
      <c r="AL17" s="206">
        <f>AL16</f>
        <v>2</v>
      </c>
      <c r="AM17" s="213">
        <f>AM16</f>
        <v>0.875</v>
      </c>
      <c r="AN17" s="214">
        <f>AN16</f>
        <v>0.63607464142166403</v>
      </c>
      <c r="AO17" s="215">
        <f t="shared" si="4"/>
        <v>-14.7</v>
      </c>
      <c r="AP17" s="216">
        <f t="shared" si="5"/>
        <v>1</v>
      </c>
      <c r="AQ17" s="216">
        <f t="shared" si="6"/>
        <v>1</v>
      </c>
      <c r="AR17" s="215">
        <f>AR16</f>
        <v>158.47</v>
      </c>
      <c r="AS17" s="216">
        <f t="shared" si="7"/>
        <v>0.97679498379494789</v>
      </c>
      <c r="AT17" s="216">
        <f t="shared" si="8"/>
        <v>1.2538510821608391</v>
      </c>
      <c r="AU17" s="216">
        <f t="shared" si="9"/>
        <v>2.2360679774997898</v>
      </c>
      <c r="AV17" s="217">
        <f t="shared" si="10"/>
        <v>10.415801185754333</v>
      </c>
      <c r="AW17" s="216">
        <f t="shared" si="11"/>
        <v>0</v>
      </c>
      <c r="AX17" s="218">
        <f t="shared" si="12"/>
        <v>1.4696875479799241</v>
      </c>
      <c r="AY17" s="216">
        <f t="shared" si="13"/>
        <v>0.76851414128953044</v>
      </c>
      <c r="AZ17" s="217">
        <f t="shared" si="14"/>
        <v>3.5640070462657096</v>
      </c>
      <c r="BA17" s="216">
        <f t="shared" si="15"/>
        <v>0</v>
      </c>
      <c r="BB17" s="216">
        <f t="shared" si="16"/>
        <v>1.0084584063544275</v>
      </c>
      <c r="BC17" s="216">
        <f t="shared" si="17"/>
        <v>1</v>
      </c>
    </row>
    <row r="18" spans="1:55" ht="20.100000000000001" customHeight="1" x14ac:dyDescent="0.2">
      <c r="A18" s="45">
        <v>0.125</v>
      </c>
      <c r="B18" s="451"/>
      <c r="C18" s="451"/>
      <c r="D18" s="451">
        <v>6.1</v>
      </c>
      <c r="E18" s="451">
        <v>60.5</v>
      </c>
      <c r="F18" s="41">
        <v>1941</v>
      </c>
      <c r="G18" s="37">
        <v>-5.5</v>
      </c>
      <c r="H18" s="37">
        <v>71.5</v>
      </c>
      <c r="I18" s="37">
        <v>21.1</v>
      </c>
      <c r="J18" s="41">
        <v>274</v>
      </c>
      <c r="K18" s="37">
        <v>13</v>
      </c>
      <c r="L18" s="451">
        <v>121</v>
      </c>
      <c r="M18" s="451">
        <v>222</v>
      </c>
      <c r="N18" s="451">
        <v>85</v>
      </c>
      <c r="O18" s="353">
        <v>50</v>
      </c>
      <c r="P18" s="353">
        <v>9</v>
      </c>
      <c r="Q18" s="353">
        <v>216.49</v>
      </c>
      <c r="R18" s="37"/>
      <c r="S18" s="508" t="str">
        <f t="shared" si="0"/>
        <v/>
      </c>
      <c r="T18" s="508"/>
      <c r="U18" s="508"/>
      <c r="V18" s="508"/>
      <c r="X18" s="45">
        <v>0.125</v>
      </c>
      <c r="Y18" s="106"/>
      <c r="Z18" s="102"/>
      <c r="AA18" s="102"/>
      <c r="AB18" s="45" t="str">
        <f t="shared" si="18"/>
        <v/>
      </c>
      <c r="AC18" s="45" t="str">
        <f t="shared" si="1"/>
        <v/>
      </c>
      <c r="AD18" s="81"/>
      <c r="AE18" s="9" t="str">
        <f>IF(S18="","",IF(COUNTA(Z18:$Z$39)=1,IF(COUNTA(AD18:$AD$39)=1,""," ; "),IF(COUNTA(AD18:$AD$39)=1,IF(Z18="",""," ; ")," ; ")))</f>
        <v/>
      </c>
      <c r="AF18" s="9" t="str">
        <f t="shared" si="2"/>
        <v/>
      </c>
      <c r="AG18" s="90" t="str">
        <f t="shared" si="3"/>
        <v/>
      </c>
      <c r="AH18" s="204" t="s">
        <v>321</v>
      </c>
      <c r="AJ18" s="206">
        <f t="shared" si="19"/>
        <v>500</v>
      </c>
      <c r="AK18" s="206">
        <f t="shared" si="19"/>
        <v>100</v>
      </c>
      <c r="AL18" s="206">
        <f t="shared" si="19"/>
        <v>2</v>
      </c>
      <c r="AM18" s="213">
        <f t="shared" si="19"/>
        <v>0.875</v>
      </c>
      <c r="AN18" s="214">
        <f t="shared" si="19"/>
        <v>0.63607464142166403</v>
      </c>
      <c r="AO18" s="215">
        <f t="shared" si="4"/>
        <v>-14.7</v>
      </c>
      <c r="AP18" s="216">
        <f t="shared" si="5"/>
        <v>1</v>
      </c>
      <c r="AQ18" s="216">
        <f t="shared" si="6"/>
        <v>1</v>
      </c>
      <c r="AR18" s="215">
        <f t="shared" ref="AR18:AR39" si="20">AR17</f>
        <v>158.47</v>
      </c>
      <c r="AS18" s="216">
        <f t="shared" si="7"/>
        <v>0.97679498379494789</v>
      </c>
      <c r="AT18" s="216">
        <f t="shared" si="8"/>
        <v>1.2538510821608391</v>
      </c>
      <c r="AU18" s="216">
        <f t="shared" si="9"/>
        <v>2.2360679774997898</v>
      </c>
      <c r="AV18" s="217">
        <f t="shared" si="10"/>
        <v>10.415801185754333</v>
      </c>
      <c r="AW18" s="216">
        <f t="shared" si="11"/>
        <v>0</v>
      </c>
      <c r="AX18" s="218">
        <f t="shared" si="12"/>
        <v>1.4696875479799241</v>
      </c>
      <c r="AY18" s="216">
        <f t="shared" si="13"/>
        <v>0.76851414128953044</v>
      </c>
      <c r="AZ18" s="217">
        <f t="shared" si="14"/>
        <v>3.5640070462657096</v>
      </c>
      <c r="BA18" s="216">
        <f t="shared" si="15"/>
        <v>0</v>
      </c>
      <c r="BB18" s="216">
        <f t="shared" si="16"/>
        <v>1.0084584063544275</v>
      </c>
      <c r="BC18" s="216">
        <f t="shared" si="17"/>
        <v>1</v>
      </c>
    </row>
    <row r="19" spans="1:55" ht="20.100000000000001" customHeight="1" x14ac:dyDescent="0.2">
      <c r="A19" s="45">
        <v>0.16666666666666699</v>
      </c>
      <c r="B19" s="451"/>
      <c r="C19" s="451"/>
      <c r="D19" s="451">
        <v>6.3</v>
      </c>
      <c r="E19" s="451">
        <v>61.2</v>
      </c>
      <c r="F19" s="41">
        <v>1950</v>
      </c>
      <c r="G19" s="37">
        <v>-5.5</v>
      </c>
      <c r="H19" s="37">
        <v>71.099999999999994</v>
      </c>
      <c r="I19" s="37">
        <v>21.3</v>
      </c>
      <c r="J19" s="41">
        <v>275</v>
      </c>
      <c r="K19" s="37">
        <v>13</v>
      </c>
      <c r="L19" s="451">
        <v>121</v>
      </c>
      <c r="M19" s="451">
        <v>220</v>
      </c>
      <c r="N19" s="451">
        <v>85</v>
      </c>
      <c r="O19" s="353">
        <v>50</v>
      </c>
      <c r="P19" s="353">
        <v>9</v>
      </c>
      <c r="Q19" s="353">
        <v>216.49</v>
      </c>
      <c r="R19" s="37"/>
      <c r="S19" s="508" t="str">
        <f t="shared" si="0"/>
        <v/>
      </c>
      <c r="T19" s="508"/>
      <c r="U19" s="508"/>
      <c r="V19" s="508"/>
      <c r="X19" s="45">
        <v>0.16666666666666699</v>
      </c>
      <c r="Y19" s="106"/>
      <c r="Z19" s="102"/>
      <c r="AA19" s="102"/>
      <c r="AB19" s="45" t="str">
        <f t="shared" si="18"/>
        <v/>
      </c>
      <c r="AC19" s="45" t="str">
        <f t="shared" si="1"/>
        <v/>
      </c>
      <c r="AD19" s="81"/>
      <c r="AE19" s="9" t="str">
        <f>IF(S19="","",IF(COUNTA(Z19:$Z$39)=1,IF(COUNTA(AD19:$AD$39)=1,""," ; "),IF(COUNTA(AD19:$AD$39)=1,IF(Z19="",""," ; ")," ; ")))</f>
        <v/>
      </c>
      <c r="AF19" s="9" t="str">
        <f t="shared" si="2"/>
        <v/>
      </c>
      <c r="AG19" s="90" t="str">
        <f t="shared" si="3"/>
        <v/>
      </c>
      <c r="AH19" s="204" t="s">
        <v>272</v>
      </c>
      <c r="AJ19" s="206">
        <f t="shared" si="19"/>
        <v>500</v>
      </c>
      <c r="AK19" s="206">
        <f t="shared" si="19"/>
        <v>100</v>
      </c>
      <c r="AL19" s="206">
        <f t="shared" si="19"/>
        <v>2</v>
      </c>
      <c r="AM19" s="213">
        <f t="shared" si="19"/>
        <v>0.875</v>
      </c>
      <c r="AN19" s="214">
        <f t="shared" si="19"/>
        <v>0.63607464142166403</v>
      </c>
      <c r="AO19" s="215">
        <f t="shared" si="4"/>
        <v>-14.7</v>
      </c>
      <c r="AP19" s="216">
        <f t="shared" si="5"/>
        <v>1</v>
      </c>
      <c r="AQ19" s="216">
        <f t="shared" si="6"/>
        <v>1</v>
      </c>
      <c r="AR19" s="215">
        <f t="shared" si="20"/>
        <v>158.47</v>
      </c>
      <c r="AS19" s="216">
        <f t="shared" si="7"/>
        <v>0.97679498379494789</v>
      </c>
      <c r="AT19" s="216">
        <f t="shared" si="8"/>
        <v>1.2538510821608391</v>
      </c>
      <c r="AU19" s="216">
        <f t="shared" si="9"/>
        <v>2.2360679774997898</v>
      </c>
      <c r="AV19" s="217">
        <f t="shared" si="10"/>
        <v>10.415801185754333</v>
      </c>
      <c r="AW19" s="216">
        <f t="shared" si="11"/>
        <v>0</v>
      </c>
      <c r="AX19" s="218">
        <f t="shared" si="12"/>
        <v>1.4696875479799241</v>
      </c>
      <c r="AY19" s="216">
        <f t="shared" si="13"/>
        <v>0.76851414128953044</v>
      </c>
      <c r="AZ19" s="217">
        <f t="shared" si="14"/>
        <v>3.5640070462657096</v>
      </c>
      <c r="BA19" s="216">
        <f t="shared" si="15"/>
        <v>0</v>
      </c>
      <c r="BB19" s="216">
        <f t="shared" si="16"/>
        <v>1.0084584063544275</v>
      </c>
      <c r="BC19" s="216">
        <f t="shared" si="17"/>
        <v>1</v>
      </c>
    </row>
    <row r="20" spans="1:55" ht="20.100000000000001" customHeight="1" x14ac:dyDescent="0.2">
      <c r="A20" s="45">
        <v>0.20833333333333301</v>
      </c>
      <c r="B20" s="451"/>
      <c r="C20" s="451"/>
      <c r="D20" s="451">
        <v>6</v>
      </c>
      <c r="E20" s="451">
        <v>61.5</v>
      </c>
      <c r="F20" s="41">
        <v>1961</v>
      </c>
      <c r="G20" s="37">
        <v>-5.5</v>
      </c>
      <c r="H20" s="37">
        <v>71</v>
      </c>
      <c r="I20" s="37">
        <v>21.7</v>
      </c>
      <c r="J20" s="41">
        <v>276</v>
      </c>
      <c r="K20" s="37">
        <v>13</v>
      </c>
      <c r="L20" s="451">
        <v>120</v>
      </c>
      <c r="M20" s="451">
        <v>220</v>
      </c>
      <c r="N20" s="451">
        <v>85</v>
      </c>
      <c r="O20" s="353">
        <v>50</v>
      </c>
      <c r="P20" s="353">
        <v>9</v>
      </c>
      <c r="Q20" s="353">
        <v>216.49</v>
      </c>
      <c r="R20" s="37"/>
      <c r="S20" s="508" t="str">
        <f t="shared" si="0"/>
        <v/>
      </c>
      <c r="T20" s="508"/>
      <c r="U20" s="508"/>
      <c r="V20" s="508"/>
      <c r="X20" s="45">
        <v>0.20833333333333301</v>
      </c>
      <c r="Y20" s="106"/>
      <c r="Z20" s="102"/>
      <c r="AA20" s="102"/>
      <c r="AB20" s="45" t="str">
        <f t="shared" si="18"/>
        <v/>
      </c>
      <c r="AC20" s="45" t="str">
        <f t="shared" si="1"/>
        <v/>
      </c>
      <c r="AD20" s="81"/>
      <c r="AE20" s="9" t="str">
        <f>IF(S20="","",IF(COUNTA(Z20:$Z$39)=1,IF(COUNTA(AD20:$AD$39)=1,""," ; "),IF(COUNTA(AD20:$AD$39)=1,IF(Z20="",""," ; ")," ; ")))</f>
        <v/>
      </c>
      <c r="AF20" s="9" t="str">
        <f t="shared" si="2"/>
        <v/>
      </c>
      <c r="AG20" s="90" t="str">
        <f t="shared" si="3"/>
        <v/>
      </c>
      <c r="AH20" s="204" t="s">
        <v>275</v>
      </c>
      <c r="AJ20" s="206">
        <f t="shared" si="19"/>
        <v>500</v>
      </c>
      <c r="AK20" s="206">
        <f t="shared" si="19"/>
        <v>100</v>
      </c>
      <c r="AL20" s="206">
        <f t="shared" si="19"/>
        <v>2</v>
      </c>
      <c r="AM20" s="213">
        <f t="shared" si="19"/>
        <v>0.875</v>
      </c>
      <c r="AN20" s="214">
        <f t="shared" si="19"/>
        <v>0.63607464142166403</v>
      </c>
      <c r="AO20" s="215">
        <f t="shared" si="4"/>
        <v>-14.7</v>
      </c>
      <c r="AP20" s="216">
        <f t="shared" si="5"/>
        <v>1</v>
      </c>
      <c r="AQ20" s="216">
        <f t="shared" si="6"/>
        <v>1</v>
      </c>
      <c r="AR20" s="215">
        <f t="shared" si="20"/>
        <v>158.47</v>
      </c>
      <c r="AS20" s="216">
        <f t="shared" si="7"/>
        <v>0.97679498379494789</v>
      </c>
      <c r="AT20" s="216">
        <f t="shared" si="8"/>
        <v>1.2538510821608391</v>
      </c>
      <c r="AU20" s="216">
        <f t="shared" si="9"/>
        <v>2.2360679774997898</v>
      </c>
      <c r="AV20" s="217">
        <f t="shared" si="10"/>
        <v>10.415801185754333</v>
      </c>
      <c r="AW20" s="216">
        <f t="shared" si="11"/>
        <v>0</v>
      </c>
      <c r="AX20" s="218">
        <f t="shared" si="12"/>
        <v>1.4696875479799241</v>
      </c>
      <c r="AY20" s="216">
        <f t="shared" si="13"/>
        <v>0.76851414128953044</v>
      </c>
      <c r="AZ20" s="217">
        <f t="shared" si="14"/>
        <v>3.5640070462657096</v>
      </c>
      <c r="BA20" s="216">
        <f t="shared" si="15"/>
        <v>0</v>
      </c>
      <c r="BB20" s="216">
        <f t="shared" si="16"/>
        <v>1.0084584063544275</v>
      </c>
      <c r="BC20" s="216">
        <f t="shared" si="17"/>
        <v>1</v>
      </c>
    </row>
    <row r="21" spans="1:55" ht="20.100000000000001" customHeight="1" x14ac:dyDescent="0.2">
      <c r="A21" s="45">
        <v>0.25</v>
      </c>
      <c r="B21" s="451"/>
      <c r="C21" s="451"/>
      <c r="D21" s="451">
        <v>6.9</v>
      </c>
      <c r="E21" s="451">
        <v>61.1</v>
      </c>
      <c r="F21" s="41">
        <v>1951</v>
      </c>
      <c r="G21" s="37">
        <v>-5.5</v>
      </c>
      <c r="H21" s="37">
        <v>71.3</v>
      </c>
      <c r="I21" s="37">
        <v>21.2</v>
      </c>
      <c r="J21" s="41">
        <v>277</v>
      </c>
      <c r="K21" s="37">
        <v>13</v>
      </c>
      <c r="L21" s="451">
        <v>121</v>
      </c>
      <c r="M21" s="451">
        <v>220</v>
      </c>
      <c r="N21" s="451">
        <v>85</v>
      </c>
      <c r="O21" s="353">
        <v>50</v>
      </c>
      <c r="P21" s="353">
        <v>9</v>
      </c>
      <c r="Q21" s="353">
        <v>216.49</v>
      </c>
      <c r="R21" s="37"/>
      <c r="S21" s="508" t="str">
        <f t="shared" si="0"/>
        <v/>
      </c>
      <c r="T21" s="508"/>
      <c r="U21" s="508"/>
      <c r="V21" s="508"/>
      <c r="X21" s="45">
        <v>0.25</v>
      </c>
      <c r="Y21" s="106"/>
      <c r="Z21" s="102"/>
      <c r="AA21" s="102"/>
      <c r="AB21" s="45" t="str">
        <f t="shared" si="18"/>
        <v/>
      </c>
      <c r="AC21" s="45" t="str">
        <f t="shared" si="1"/>
        <v/>
      </c>
      <c r="AD21" s="81"/>
      <c r="AE21" s="9" t="str">
        <f>IF(S21="","",IF(COUNTA(Z21:$Z$39)=1,IF(COUNTA(AD21:$AD$39)=1,""," ; "),IF(COUNTA(AD21:$AD$39)=1,IF(Z21="",""," ; ")," ; ")))</f>
        <v/>
      </c>
      <c r="AF21" s="9" t="str">
        <f t="shared" si="2"/>
        <v/>
      </c>
      <c r="AG21" s="90" t="str">
        <f t="shared" si="3"/>
        <v/>
      </c>
      <c r="AH21" s="204" t="s">
        <v>322</v>
      </c>
      <c r="AJ21" s="206">
        <f t="shared" si="19"/>
        <v>500</v>
      </c>
      <c r="AK21" s="206">
        <f t="shared" si="19"/>
        <v>100</v>
      </c>
      <c r="AL21" s="206">
        <f t="shared" si="19"/>
        <v>2</v>
      </c>
      <c r="AM21" s="213">
        <f t="shared" si="19"/>
        <v>0.875</v>
      </c>
      <c r="AN21" s="214">
        <f t="shared" si="19"/>
        <v>0.63607464142166403</v>
      </c>
      <c r="AO21" s="215">
        <f t="shared" si="4"/>
        <v>-14.7</v>
      </c>
      <c r="AP21" s="216">
        <f t="shared" si="5"/>
        <v>1</v>
      </c>
      <c r="AQ21" s="216">
        <f t="shared" si="6"/>
        <v>1</v>
      </c>
      <c r="AR21" s="215">
        <f t="shared" si="20"/>
        <v>158.47</v>
      </c>
      <c r="AS21" s="216">
        <f t="shared" si="7"/>
        <v>0.97679498379494789</v>
      </c>
      <c r="AT21" s="216">
        <f t="shared" si="8"/>
        <v>1.2538510821608391</v>
      </c>
      <c r="AU21" s="216">
        <f t="shared" si="9"/>
        <v>2.2360679774997898</v>
      </c>
      <c r="AV21" s="217">
        <f t="shared" si="10"/>
        <v>10.415801185754333</v>
      </c>
      <c r="AW21" s="216">
        <f t="shared" si="11"/>
        <v>0</v>
      </c>
      <c r="AX21" s="218">
        <f t="shared" si="12"/>
        <v>1.4696875479799241</v>
      </c>
      <c r="AY21" s="216">
        <f t="shared" si="13"/>
        <v>0.76851414128953044</v>
      </c>
      <c r="AZ21" s="217">
        <f t="shared" si="14"/>
        <v>3.5640070462657096</v>
      </c>
      <c r="BA21" s="216">
        <f t="shared" si="15"/>
        <v>0</v>
      </c>
      <c r="BB21" s="216">
        <f t="shared" si="16"/>
        <v>1.0084584063544275</v>
      </c>
      <c r="BC21" s="216">
        <f t="shared" si="17"/>
        <v>1</v>
      </c>
    </row>
    <row r="22" spans="1:55" ht="20.100000000000001" customHeight="1" x14ac:dyDescent="0.2">
      <c r="A22" s="45">
        <v>0.29166666666666702</v>
      </c>
      <c r="B22" s="451"/>
      <c r="C22" s="451"/>
      <c r="D22" s="451">
        <v>6.7</v>
      </c>
      <c r="E22" s="451">
        <v>61.3</v>
      </c>
      <c r="F22" s="41">
        <v>1962</v>
      </c>
      <c r="G22" s="37">
        <v>-5.5</v>
      </c>
      <c r="H22" s="37">
        <v>71</v>
      </c>
      <c r="I22" s="37">
        <v>21</v>
      </c>
      <c r="J22" s="41">
        <v>278</v>
      </c>
      <c r="K22" s="37">
        <v>13</v>
      </c>
      <c r="L22" s="451">
        <v>122</v>
      </c>
      <c r="M22" s="451">
        <v>220</v>
      </c>
      <c r="N22" s="451">
        <v>85</v>
      </c>
      <c r="O22" s="353">
        <v>50</v>
      </c>
      <c r="P22" s="353">
        <v>9</v>
      </c>
      <c r="Q22" s="353">
        <v>216.49</v>
      </c>
      <c r="R22" s="37"/>
      <c r="S22" s="508" t="str">
        <f t="shared" si="0"/>
        <v/>
      </c>
      <c r="T22" s="508"/>
      <c r="U22" s="508"/>
      <c r="V22" s="508"/>
      <c r="X22" s="45">
        <v>0.29166666666666702</v>
      </c>
      <c r="Y22" s="106"/>
      <c r="Z22" s="102"/>
      <c r="AA22" s="102"/>
      <c r="AB22" s="45" t="str">
        <f t="shared" si="18"/>
        <v/>
      </c>
      <c r="AC22" s="45" t="str">
        <f t="shared" si="1"/>
        <v/>
      </c>
      <c r="AD22" s="81"/>
      <c r="AE22" s="9" t="str">
        <f>IF(S22="","",IF(COUNTA(Z22:$Z$39)=1,IF(COUNTA(AD22:$AD$39)=1,""," ; "),IF(COUNTA(AD22:$AD$39)=1,IF(Z22="",""," ; ")," ; ")))</f>
        <v/>
      </c>
      <c r="AF22" s="9" t="str">
        <f t="shared" si="2"/>
        <v/>
      </c>
      <c r="AG22" s="90" t="str">
        <f t="shared" si="3"/>
        <v/>
      </c>
      <c r="AH22" s="204" t="s">
        <v>279</v>
      </c>
      <c r="AJ22" s="206">
        <f t="shared" si="19"/>
        <v>500</v>
      </c>
      <c r="AK22" s="206">
        <f t="shared" si="19"/>
        <v>100</v>
      </c>
      <c r="AL22" s="206">
        <f t="shared" si="19"/>
        <v>2</v>
      </c>
      <c r="AM22" s="213">
        <f t="shared" si="19"/>
        <v>0.875</v>
      </c>
      <c r="AN22" s="214">
        <f t="shared" si="19"/>
        <v>0.63607464142166403</v>
      </c>
      <c r="AO22" s="215">
        <f t="shared" si="4"/>
        <v>-14.7</v>
      </c>
      <c r="AP22" s="216">
        <f t="shared" si="5"/>
        <v>1</v>
      </c>
      <c r="AQ22" s="216">
        <f t="shared" si="6"/>
        <v>1</v>
      </c>
      <c r="AR22" s="215">
        <f t="shared" si="20"/>
        <v>158.47</v>
      </c>
      <c r="AS22" s="216">
        <f t="shared" si="7"/>
        <v>0.97679498379494789</v>
      </c>
      <c r="AT22" s="216">
        <f t="shared" si="8"/>
        <v>1.2538510821608391</v>
      </c>
      <c r="AU22" s="216">
        <f t="shared" si="9"/>
        <v>2.2360679774997898</v>
      </c>
      <c r="AV22" s="217">
        <f t="shared" si="10"/>
        <v>10.415801185754333</v>
      </c>
      <c r="AW22" s="216">
        <f t="shared" si="11"/>
        <v>0</v>
      </c>
      <c r="AX22" s="218">
        <f t="shared" si="12"/>
        <v>1.4696875479799241</v>
      </c>
      <c r="AY22" s="216">
        <f t="shared" si="13"/>
        <v>0.76851414128953044</v>
      </c>
      <c r="AZ22" s="217">
        <f t="shared" si="14"/>
        <v>3.5640070462657096</v>
      </c>
      <c r="BA22" s="216">
        <f t="shared" si="15"/>
        <v>0</v>
      </c>
      <c r="BB22" s="216">
        <f t="shared" si="16"/>
        <v>1.0084584063544275</v>
      </c>
      <c r="BC22" s="216">
        <f t="shared" si="17"/>
        <v>1</v>
      </c>
    </row>
    <row r="23" spans="1:55" ht="20.100000000000001" customHeight="1" x14ac:dyDescent="0.2">
      <c r="A23" s="45">
        <v>0.33333333333333298</v>
      </c>
      <c r="B23" s="451"/>
      <c r="C23" s="451"/>
      <c r="D23" s="451">
        <v>6.8</v>
      </c>
      <c r="E23" s="451">
        <v>60.9</v>
      </c>
      <c r="F23" s="41">
        <v>1936</v>
      </c>
      <c r="G23" s="37">
        <v>-5.5</v>
      </c>
      <c r="H23" s="37">
        <v>71.599999999999994</v>
      </c>
      <c r="I23" s="37">
        <v>21.3</v>
      </c>
      <c r="J23" s="41">
        <v>279</v>
      </c>
      <c r="K23" s="37">
        <v>13</v>
      </c>
      <c r="L23" s="451">
        <v>124</v>
      </c>
      <c r="M23" s="451">
        <v>220</v>
      </c>
      <c r="N23" s="451">
        <v>85</v>
      </c>
      <c r="O23" s="353">
        <v>55</v>
      </c>
      <c r="P23" s="353">
        <v>9</v>
      </c>
      <c r="Q23" s="353">
        <v>224.81</v>
      </c>
      <c r="R23" s="37"/>
      <c r="S23" s="508" t="str">
        <f t="shared" si="0"/>
        <v/>
      </c>
      <c r="T23" s="508"/>
      <c r="U23" s="508"/>
      <c r="V23" s="508"/>
      <c r="X23" s="45">
        <v>0.33333333333333298</v>
      </c>
      <c r="Y23" s="106"/>
      <c r="Z23" s="102"/>
      <c r="AA23" s="102"/>
      <c r="AB23" s="45" t="str">
        <f t="shared" si="18"/>
        <v/>
      </c>
      <c r="AC23" s="45" t="str">
        <f t="shared" si="1"/>
        <v/>
      </c>
      <c r="AD23" s="81"/>
      <c r="AE23" s="9" t="str">
        <f>IF(S23="","",IF(COUNTA(Z23:$Z$39)=1,IF(COUNTA(AD23:$AD$39)=1,""," ; "),IF(COUNTA(AD23:$AD$39)=1,IF(Z23="",""," ; ")," ; ")))</f>
        <v/>
      </c>
      <c r="AF23" s="9" t="str">
        <f t="shared" si="2"/>
        <v/>
      </c>
      <c r="AG23" s="90" t="str">
        <f t="shared" si="3"/>
        <v/>
      </c>
      <c r="AH23" s="204" t="s">
        <v>274</v>
      </c>
      <c r="AJ23" s="206">
        <f t="shared" si="19"/>
        <v>500</v>
      </c>
      <c r="AK23" s="206">
        <f t="shared" si="19"/>
        <v>100</v>
      </c>
      <c r="AL23" s="206">
        <f t="shared" si="19"/>
        <v>2</v>
      </c>
      <c r="AM23" s="213">
        <f t="shared" si="19"/>
        <v>0.875</v>
      </c>
      <c r="AN23" s="214">
        <f t="shared" si="19"/>
        <v>0.63607464142166403</v>
      </c>
      <c r="AO23" s="215">
        <f t="shared" si="4"/>
        <v>-14.7</v>
      </c>
      <c r="AP23" s="216">
        <f t="shared" si="5"/>
        <v>1</v>
      </c>
      <c r="AQ23" s="216">
        <f t="shared" si="6"/>
        <v>1</v>
      </c>
      <c r="AR23" s="215">
        <f t="shared" si="20"/>
        <v>158.47</v>
      </c>
      <c r="AS23" s="216">
        <f t="shared" si="7"/>
        <v>0.97679498379494789</v>
      </c>
      <c r="AT23" s="216">
        <f t="shared" si="8"/>
        <v>1.2538510821608391</v>
      </c>
      <c r="AU23" s="216">
        <f t="shared" si="9"/>
        <v>2.2360679774997898</v>
      </c>
      <c r="AV23" s="217">
        <f t="shared" si="10"/>
        <v>10.415801185754333</v>
      </c>
      <c r="AW23" s="216">
        <f t="shared" si="11"/>
        <v>0</v>
      </c>
      <c r="AX23" s="218">
        <f t="shared" si="12"/>
        <v>1.4696875479799241</v>
      </c>
      <c r="AY23" s="216">
        <f t="shared" si="13"/>
        <v>0.76851414128953044</v>
      </c>
      <c r="AZ23" s="217">
        <f t="shared" si="14"/>
        <v>3.5640070462657096</v>
      </c>
      <c r="BA23" s="216">
        <f t="shared" si="15"/>
        <v>0</v>
      </c>
      <c r="BB23" s="216">
        <f t="shared" si="16"/>
        <v>1.0084584063544275</v>
      </c>
      <c r="BC23" s="216">
        <f t="shared" si="17"/>
        <v>1</v>
      </c>
    </row>
    <row r="24" spans="1:55" ht="20.100000000000001" customHeight="1" x14ac:dyDescent="0.2">
      <c r="A24" s="45">
        <v>0.375</v>
      </c>
      <c r="B24" s="451"/>
      <c r="C24" s="451"/>
      <c r="D24" s="451">
        <v>6.3</v>
      </c>
      <c r="E24" s="451">
        <v>60.5</v>
      </c>
      <c r="F24" s="41">
        <v>1950</v>
      </c>
      <c r="G24" s="37">
        <v>-5.5</v>
      </c>
      <c r="H24" s="37">
        <v>71.900000000000006</v>
      </c>
      <c r="I24" s="37">
        <v>21.6</v>
      </c>
      <c r="J24" s="41">
        <v>280</v>
      </c>
      <c r="K24" s="37">
        <v>13</v>
      </c>
      <c r="L24" s="451">
        <v>124</v>
      </c>
      <c r="M24" s="451">
        <v>222</v>
      </c>
      <c r="N24" s="451">
        <v>85</v>
      </c>
      <c r="O24" s="353">
        <v>55</v>
      </c>
      <c r="P24" s="353">
        <v>9</v>
      </c>
      <c r="Q24" s="353">
        <v>224.81</v>
      </c>
      <c r="R24" s="37"/>
      <c r="S24" s="508" t="str">
        <f t="shared" si="0"/>
        <v/>
      </c>
      <c r="T24" s="508"/>
      <c r="U24" s="508"/>
      <c r="V24" s="508"/>
      <c r="X24" s="45">
        <v>0.375</v>
      </c>
      <c r="Y24" s="106"/>
      <c r="Z24" s="102"/>
      <c r="AA24" s="102"/>
      <c r="AB24" s="45" t="str">
        <f t="shared" si="18"/>
        <v/>
      </c>
      <c r="AC24" s="45" t="str">
        <f t="shared" si="1"/>
        <v/>
      </c>
      <c r="AD24" s="81"/>
      <c r="AE24" s="9" t="str">
        <f>IF(S24="","",IF(COUNTA(Z24:$Z$39)=1,IF(COUNTA(AD24:$AD$39)=1,""," ; "),IF(COUNTA(AD24:$AD$39)=1,IF(Z24="",""," ; ")," ; ")))</f>
        <v/>
      </c>
      <c r="AF24" s="9" t="str">
        <f t="shared" si="2"/>
        <v/>
      </c>
      <c r="AG24" s="90" t="str">
        <f t="shared" si="3"/>
        <v/>
      </c>
      <c r="AH24" s="204" t="s">
        <v>307</v>
      </c>
      <c r="AJ24" s="206">
        <f t="shared" si="19"/>
        <v>500</v>
      </c>
      <c r="AK24" s="206">
        <f t="shared" si="19"/>
        <v>100</v>
      </c>
      <c r="AL24" s="206">
        <f t="shared" si="19"/>
        <v>2</v>
      </c>
      <c r="AM24" s="213">
        <f t="shared" si="19"/>
        <v>0.875</v>
      </c>
      <c r="AN24" s="214">
        <f t="shared" si="19"/>
        <v>0.63607464142166403</v>
      </c>
      <c r="AO24" s="215">
        <f t="shared" si="4"/>
        <v>-14.7</v>
      </c>
      <c r="AP24" s="216">
        <f t="shared" si="5"/>
        <v>1</v>
      </c>
      <c r="AQ24" s="216">
        <f t="shared" si="6"/>
        <v>1</v>
      </c>
      <c r="AR24" s="215">
        <f t="shared" si="20"/>
        <v>158.47</v>
      </c>
      <c r="AS24" s="216">
        <f t="shared" si="7"/>
        <v>0.97679498379494789</v>
      </c>
      <c r="AT24" s="216">
        <f t="shared" si="8"/>
        <v>1.2538510821608391</v>
      </c>
      <c r="AU24" s="216">
        <f t="shared" si="9"/>
        <v>2.2360679774997898</v>
      </c>
      <c r="AV24" s="217">
        <f t="shared" si="10"/>
        <v>10.415801185754333</v>
      </c>
      <c r="AW24" s="216">
        <f t="shared" si="11"/>
        <v>0</v>
      </c>
      <c r="AX24" s="218">
        <f t="shared" si="12"/>
        <v>1.4696875479799241</v>
      </c>
      <c r="AY24" s="216">
        <f t="shared" si="13"/>
        <v>0.76851414128953044</v>
      </c>
      <c r="AZ24" s="217">
        <f t="shared" si="14"/>
        <v>3.5640070462657096</v>
      </c>
      <c r="BA24" s="216">
        <f t="shared" si="15"/>
        <v>0</v>
      </c>
      <c r="BB24" s="216">
        <f t="shared" si="16"/>
        <v>1.0084584063544275</v>
      </c>
      <c r="BC24" s="216">
        <f t="shared" si="17"/>
        <v>1</v>
      </c>
    </row>
    <row r="25" spans="1:55" ht="20.100000000000001" customHeight="1" x14ac:dyDescent="0.2">
      <c r="A25" s="45">
        <v>0.41666666666666702</v>
      </c>
      <c r="B25" s="451"/>
      <c r="C25" s="451"/>
      <c r="D25" s="451">
        <v>7.6</v>
      </c>
      <c r="E25" s="451">
        <v>63.1</v>
      </c>
      <c r="F25" s="41">
        <v>1935</v>
      </c>
      <c r="G25" s="37">
        <v>-5.5</v>
      </c>
      <c r="H25" s="37">
        <v>71.3</v>
      </c>
      <c r="I25" s="37">
        <v>21.9</v>
      </c>
      <c r="J25" s="41">
        <v>281</v>
      </c>
      <c r="K25" s="37">
        <v>13</v>
      </c>
      <c r="L25" s="451">
        <v>126</v>
      </c>
      <c r="M25" s="451">
        <v>222</v>
      </c>
      <c r="N25" s="451">
        <v>85</v>
      </c>
      <c r="O25" s="353">
        <v>55</v>
      </c>
      <c r="P25" s="353">
        <v>9</v>
      </c>
      <c r="Q25" s="353">
        <v>224.81</v>
      </c>
      <c r="R25" s="37"/>
      <c r="S25" s="508" t="str">
        <f t="shared" si="0"/>
        <v/>
      </c>
      <c r="T25" s="508"/>
      <c r="U25" s="508"/>
      <c r="V25" s="508"/>
      <c r="X25" s="45">
        <v>0.41666666666666702</v>
      </c>
      <c r="Y25" s="106"/>
      <c r="Z25" s="102"/>
      <c r="AA25" s="102"/>
      <c r="AB25" s="45" t="str">
        <f t="shared" si="18"/>
        <v/>
      </c>
      <c r="AC25" s="45" t="str">
        <f t="shared" si="1"/>
        <v/>
      </c>
      <c r="AD25" s="81"/>
      <c r="AE25" s="9" t="str">
        <f>IF(S25="","",IF(COUNTA(Z25:$Z$39)=1,IF(COUNTA(AD25:$AD$39)=1,""," ; "),IF(COUNTA(AD25:$AD$39)=1,IF(Z25="",""," ; ")," ; ")))</f>
        <v/>
      </c>
      <c r="AF25" s="9" t="str">
        <f t="shared" si="2"/>
        <v/>
      </c>
      <c r="AG25" s="90" t="str">
        <f t="shared" si="3"/>
        <v/>
      </c>
      <c r="AH25" s="204" t="s">
        <v>225</v>
      </c>
      <c r="AJ25" s="206">
        <f t="shared" si="19"/>
        <v>500</v>
      </c>
      <c r="AK25" s="206">
        <f t="shared" si="19"/>
        <v>100</v>
      </c>
      <c r="AL25" s="206">
        <f t="shared" si="19"/>
        <v>2</v>
      </c>
      <c r="AM25" s="213">
        <f t="shared" si="19"/>
        <v>0.875</v>
      </c>
      <c r="AN25" s="214">
        <f t="shared" si="19"/>
        <v>0.63607464142166403</v>
      </c>
      <c r="AO25" s="215">
        <f t="shared" si="4"/>
        <v>-14.7</v>
      </c>
      <c r="AP25" s="216">
        <f t="shared" si="5"/>
        <v>1</v>
      </c>
      <c r="AQ25" s="216">
        <f t="shared" si="6"/>
        <v>1</v>
      </c>
      <c r="AR25" s="215">
        <f t="shared" si="20"/>
        <v>158.47</v>
      </c>
      <c r="AS25" s="216">
        <f t="shared" si="7"/>
        <v>0.97679498379494789</v>
      </c>
      <c r="AT25" s="216">
        <f t="shared" si="8"/>
        <v>1.2538510821608391</v>
      </c>
      <c r="AU25" s="216">
        <f t="shared" si="9"/>
        <v>2.2360679774997898</v>
      </c>
      <c r="AV25" s="217">
        <f t="shared" si="10"/>
        <v>10.415801185754333</v>
      </c>
      <c r="AW25" s="216">
        <f t="shared" si="11"/>
        <v>0</v>
      </c>
      <c r="AX25" s="218">
        <f t="shared" si="12"/>
        <v>1.4696875479799241</v>
      </c>
      <c r="AY25" s="216">
        <f t="shared" si="13"/>
        <v>0.76851414128953044</v>
      </c>
      <c r="AZ25" s="217">
        <f t="shared" si="14"/>
        <v>3.5640070462657096</v>
      </c>
      <c r="BA25" s="216">
        <f t="shared" si="15"/>
        <v>0</v>
      </c>
      <c r="BB25" s="216">
        <f t="shared" si="16"/>
        <v>1.0084584063544275</v>
      </c>
      <c r="BC25" s="216">
        <f t="shared" si="17"/>
        <v>1</v>
      </c>
    </row>
    <row r="26" spans="1:55" ht="20.100000000000001" customHeight="1" x14ac:dyDescent="0.2">
      <c r="A26" s="45">
        <v>0.45833333333333298</v>
      </c>
      <c r="B26" s="451"/>
      <c r="C26" s="451"/>
      <c r="D26" s="451">
        <v>7.9</v>
      </c>
      <c r="E26" s="451">
        <v>63.3</v>
      </c>
      <c r="F26" s="41">
        <v>1961</v>
      </c>
      <c r="G26" s="37">
        <v>-5.5</v>
      </c>
      <c r="H26" s="37">
        <v>71.5</v>
      </c>
      <c r="I26" s="37">
        <v>21.5</v>
      </c>
      <c r="J26" s="41">
        <v>282</v>
      </c>
      <c r="K26" s="37">
        <v>13</v>
      </c>
      <c r="L26" s="451">
        <v>126</v>
      </c>
      <c r="M26" s="451">
        <v>222</v>
      </c>
      <c r="N26" s="451">
        <v>85</v>
      </c>
      <c r="O26" s="353">
        <v>55</v>
      </c>
      <c r="P26" s="353">
        <v>8</v>
      </c>
      <c r="Q26" s="353">
        <v>212.06</v>
      </c>
      <c r="R26" s="37"/>
      <c r="S26" s="508" t="str">
        <f t="shared" si="0"/>
        <v/>
      </c>
      <c r="T26" s="508"/>
      <c r="U26" s="508"/>
      <c r="V26" s="508"/>
      <c r="X26" s="45">
        <v>0.45833333333333298</v>
      </c>
      <c r="Y26" s="106"/>
      <c r="Z26" s="102"/>
      <c r="AA26" s="102"/>
      <c r="AB26" s="45" t="str">
        <f t="shared" si="18"/>
        <v/>
      </c>
      <c r="AC26" s="45" t="str">
        <f t="shared" si="1"/>
        <v/>
      </c>
      <c r="AD26" s="81"/>
      <c r="AE26" s="9" t="str">
        <f>IF(S26="","",IF(COUNTA(Z26:$Z$39)=1,IF(COUNTA(AD26:$AD$39)=1,""," ; "),IF(COUNTA(AD26:$AD$39)=1,IF(Z26="",""," ; ")," ; ")))</f>
        <v/>
      </c>
      <c r="AF26" s="9" t="str">
        <f t="shared" si="2"/>
        <v/>
      </c>
      <c r="AG26" s="90" t="str">
        <f t="shared" si="3"/>
        <v/>
      </c>
      <c r="AH26" s="204" t="s">
        <v>287</v>
      </c>
      <c r="AJ26" s="206">
        <f t="shared" si="19"/>
        <v>500</v>
      </c>
      <c r="AK26" s="206">
        <f t="shared" si="19"/>
        <v>100</v>
      </c>
      <c r="AL26" s="206">
        <f t="shared" si="19"/>
        <v>2</v>
      </c>
      <c r="AM26" s="213">
        <f t="shared" si="19"/>
        <v>0.875</v>
      </c>
      <c r="AN26" s="214">
        <f t="shared" si="19"/>
        <v>0.63607464142166403</v>
      </c>
      <c r="AO26" s="215">
        <f t="shared" si="4"/>
        <v>-14.7</v>
      </c>
      <c r="AP26" s="216">
        <f t="shared" si="5"/>
        <v>1</v>
      </c>
      <c r="AQ26" s="216">
        <f t="shared" si="6"/>
        <v>1</v>
      </c>
      <c r="AR26" s="215">
        <f t="shared" si="20"/>
        <v>158.47</v>
      </c>
      <c r="AS26" s="216">
        <f t="shared" si="7"/>
        <v>0.97679498379494789</v>
      </c>
      <c r="AT26" s="216">
        <f t="shared" si="8"/>
        <v>1.2538510821608391</v>
      </c>
      <c r="AU26" s="216">
        <f t="shared" si="9"/>
        <v>2.2360679774997898</v>
      </c>
      <c r="AV26" s="217">
        <f t="shared" si="10"/>
        <v>10.415801185754333</v>
      </c>
      <c r="AW26" s="216">
        <f t="shared" si="11"/>
        <v>0</v>
      </c>
      <c r="AX26" s="218">
        <f t="shared" si="12"/>
        <v>1.4696875479799241</v>
      </c>
      <c r="AY26" s="216">
        <f t="shared" si="13"/>
        <v>0.76851414128953044</v>
      </c>
      <c r="AZ26" s="217">
        <f t="shared" si="14"/>
        <v>3.5640070462657096</v>
      </c>
      <c r="BA26" s="216">
        <f t="shared" si="15"/>
        <v>0</v>
      </c>
      <c r="BB26" s="216">
        <f t="shared" si="16"/>
        <v>1.0084584063544275</v>
      </c>
      <c r="BC26" s="216">
        <f t="shared" si="17"/>
        <v>1</v>
      </c>
    </row>
    <row r="27" spans="1:55" ht="20.100000000000001" customHeight="1" x14ac:dyDescent="0.2">
      <c r="A27" s="45">
        <v>0.5</v>
      </c>
      <c r="B27" s="451"/>
      <c r="C27" s="451"/>
      <c r="D27" s="451">
        <v>6.4</v>
      </c>
      <c r="E27" s="451">
        <v>61.6</v>
      </c>
      <c r="F27" s="41">
        <v>1980</v>
      </c>
      <c r="G27" s="37">
        <v>-5.5</v>
      </c>
      <c r="H27" s="37">
        <v>71.099999999999994</v>
      </c>
      <c r="I27" s="37">
        <v>21.8</v>
      </c>
      <c r="J27" s="41">
        <v>283</v>
      </c>
      <c r="K27" s="37">
        <v>13</v>
      </c>
      <c r="L27" s="451">
        <v>128</v>
      </c>
      <c r="M27" s="451">
        <v>225</v>
      </c>
      <c r="N27" s="451">
        <v>85</v>
      </c>
      <c r="O27" s="353">
        <v>50</v>
      </c>
      <c r="P27" s="353">
        <v>9</v>
      </c>
      <c r="Q27" s="353">
        <v>216.49</v>
      </c>
      <c r="R27" s="37"/>
      <c r="S27" s="508" t="str">
        <f t="shared" si="0"/>
        <v/>
      </c>
      <c r="T27" s="508"/>
      <c r="U27" s="508"/>
      <c r="V27" s="508"/>
      <c r="X27" s="45">
        <v>0.5</v>
      </c>
      <c r="Y27" s="106"/>
      <c r="Z27" s="102"/>
      <c r="AA27" s="102"/>
      <c r="AB27" s="45" t="str">
        <f t="shared" si="18"/>
        <v/>
      </c>
      <c r="AC27" s="45" t="str">
        <f t="shared" si="1"/>
        <v/>
      </c>
      <c r="AD27" s="81"/>
      <c r="AE27" s="9" t="str">
        <f>IF(S27="","",IF(COUNTA(Z27:$Z$39)=1,IF(COUNTA(AD27:$AD$39)=1,""," ; "),IF(COUNTA(AD27:$AD$39)=1,IF(Z27="",""," ; ")," ; ")))</f>
        <v/>
      </c>
      <c r="AF27" s="9" t="str">
        <f t="shared" si="2"/>
        <v/>
      </c>
      <c r="AG27" s="90" t="str">
        <f t="shared" si="3"/>
        <v/>
      </c>
      <c r="AH27" s="204" t="s">
        <v>276</v>
      </c>
      <c r="AJ27" s="206">
        <f t="shared" si="19"/>
        <v>500</v>
      </c>
      <c r="AK27" s="206">
        <f t="shared" si="19"/>
        <v>100</v>
      </c>
      <c r="AL27" s="206">
        <f t="shared" si="19"/>
        <v>2</v>
      </c>
      <c r="AM27" s="213">
        <f t="shared" si="19"/>
        <v>0.875</v>
      </c>
      <c r="AN27" s="214">
        <f t="shared" si="19"/>
        <v>0.63607464142166403</v>
      </c>
      <c r="AO27" s="215">
        <f t="shared" si="4"/>
        <v>-14.7</v>
      </c>
      <c r="AP27" s="216">
        <f t="shared" si="5"/>
        <v>1</v>
      </c>
      <c r="AQ27" s="216">
        <f t="shared" si="6"/>
        <v>1</v>
      </c>
      <c r="AR27" s="215">
        <f t="shared" si="20"/>
        <v>158.47</v>
      </c>
      <c r="AS27" s="216">
        <f t="shared" si="7"/>
        <v>0.97679498379494789</v>
      </c>
      <c r="AT27" s="216">
        <f t="shared" si="8"/>
        <v>1.2538510821608391</v>
      </c>
      <c r="AU27" s="216">
        <f t="shared" si="9"/>
        <v>2.2360679774997898</v>
      </c>
      <c r="AV27" s="217">
        <f t="shared" si="10"/>
        <v>10.415801185754333</v>
      </c>
      <c r="AW27" s="216">
        <f t="shared" si="11"/>
        <v>0</v>
      </c>
      <c r="AX27" s="218">
        <f t="shared" si="12"/>
        <v>1.4696875479799241</v>
      </c>
      <c r="AY27" s="216">
        <f t="shared" si="13"/>
        <v>0.76851414128953044</v>
      </c>
      <c r="AZ27" s="217">
        <f t="shared" si="14"/>
        <v>3.5640070462657096</v>
      </c>
      <c r="BA27" s="216">
        <f t="shared" si="15"/>
        <v>0</v>
      </c>
      <c r="BB27" s="216">
        <f t="shared" si="16"/>
        <v>1.0084584063544275</v>
      </c>
      <c r="BC27" s="216">
        <f t="shared" si="17"/>
        <v>1</v>
      </c>
    </row>
    <row r="28" spans="1:55" ht="20.100000000000001" customHeight="1" x14ac:dyDescent="0.2">
      <c r="A28" s="45">
        <v>0.54166666666666696</v>
      </c>
      <c r="B28" s="451"/>
      <c r="C28" s="451"/>
      <c r="D28" s="451">
        <v>6.1</v>
      </c>
      <c r="E28" s="451">
        <v>61.5</v>
      </c>
      <c r="F28" s="41">
        <v>1945</v>
      </c>
      <c r="G28" s="37">
        <v>-5.5</v>
      </c>
      <c r="H28" s="37">
        <v>71.599999999999994</v>
      </c>
      <c r="I28" s="37">
        <v>21.3</v>
      </c>
      <c r="J28" s="41">
        <v>284</v>
      </c>
      <c r="K28" s="37">
        <v>13</v>
      </c>
      <c r="L28" s="451">
        <v>128</v>
      </c>
      <c r="M28" s="451">
        <v>225</v>
      </c>
      <c r="N28" s="451">
        <v>85</v>
      </c>
      <c r="O28" s="353">
        <v>50</v>
      </c>
      <c r="P28" s="353">
        <v>10</v>
      </c>
      <c r="Q28" s="353">
        <v>228.1</v>
      </c>
      <c r="R28" s="37"/>
      <c r="S28" s="508" t="str">
        <f t="shared" si="0"/>
        <v/>
      </c>
      <c r="T28" s="508"/>
      <c r="U28" s="508"/>
      <c r="V28" s="508"/>
      <c r="X28" s="45">
        <v>0.54166666666666696</v>
      </c>
      <c r="Y28" s="106"/>
      <c r="Z28" s="102"/>
      <c r="AA28" s="102"/>
      <c r="AB28" s="45" t="str">
        <f t="shared" si="18"/>
        <v/>
      </c>
      <c r="AC28" s="45" t="str">
        <f t="shared" si="1"/>
        <v/>
      </c>
      <c r="AD28" s="81"/>
      <c r="AE28" s="9" t="str">
        <f>IF(S28="","",IF(COUNTA(Z28:$Z$39)=1,IF(COUNTA(AD28:$AD$39)=1,""," ; "),IF(COUNTA(AD28:$AD$39)=1,IF(Z28="",""," ; ")," ; ")))</f>
        <v/>
      </c>
      <c r="AF28" s="9" t="str">
        <f t="shared" si="2"/>
        <v/>
      </c>
      <c r="AG28" s="90" t="str">
        <f t="shared" si="3"/>
        <v/>
      </c>
      <c r="AH28" s="204" t="s">
        <v>278</v>
      </c>
      <c r="AJ28" s="206">
        <f t="shared" si="19"/>
        <v>500</v>
      </c>
      <c r="AK28" s="206">
        <f t="shared" si="19"/>
        <v>100</v>
      </c>
      <c r="AL28" s="206">
        <f t="shared" si="19"/>
        <v>2</v>
      </c>
      <c r="AM28" s="213">
        <f t="shared" si="19"/>
        <v>0.875</v>
      </c>
      <c r="AN28" s="214">
        <f t="shared" si="19"/>
        <v>0.63607464142166403</v>
      </c>
      <c r="AO28" s="215">
        <f t="shared" si="4"/>
        <v>-14.7</v>
      </c>
      <c r="AP28" s="216">
        <f t="shared" si="5"/>
        <v>1</v>
      </c>
      <c r="AQ28" s="216">
        <f t="shared" si="6"/>
        <v>1</v>
      </c>
      <c r="AR28" s="215">
        <f t="shared" si="20"/>
        <v>158.47</v>
      </c>
      <c r="AS28" s="216">
        <f t="shared" si="7"/>
        <v>0.97679498379494789</v>
      </c>
      <c r="AT28" s="216">
        <f t="shared" si="8"/>
        <v>1.2538510821608391</v>
      </c>
      <c r="AU28" s="216">
        <f t="shared" si="9"/>
        <v>2.2360679774997898</v>
      </c>
      <c r="AV28" s="217">
        <f t="shared" si="10"/>
        <v>10.415801185754333</v>
      </c>
      <c r="AW28" s="216">
        <f t="shared" si="11"/>
        <v>0</v>
      </c>
      <c r="AX28" s="218">
        <f t="shared" si="12"/>
        <v>1.4696875479799241</v>
      </c>
      <c r="AY28" s="216">
        <f t="shared" si="13"/>
        <v>0.76851414128953044</v>
      </c>
      <c r="AZ28" s="217">
        <f t="shared" si="14"/>
        <v>3.5640070462657096</v>
      </c>
      <c r="BA28" s="216">
        <f t="shared" si="15"/>
        <v>0</v>
      </c>
      <c r="BB28" s="216">
        <f t="shared" si="16"/>
        <v>1.0084584063544275</v>
      </c>
      <c r="BC28" s="216">
        <f t="shared" si="17"/>
        <v>1</v>
      </c>
    </row>
    <row r="29" spans="1:55" ht="20.100000000000001" customHeight="1" x14ac:dyDescent="0.2">
      <c r="A29" s="45">
        <v>0.58333333333333304</v>
      </c>
      <c r="B29" s="451"/>
      <c r="C29" s="451"/>
      <c r="D29" s="451">
        <v>7.5</v>
      </c>
      <c r="E29" s="451">
        <v>64.8</v>
      </c>
      <c r="F29" s="41">
        <v>1983</v>
      </c>
      <c r="G29" s="37">
        <v>-5.5</v>
      </c>
      <c r="H29" s="37">
        <v>71.5</v>
      </c>
      <c r="I29" s="37">
        <v>21</v>
      </c>
      <c r="J29" s="41">
        <v>285</v>
      </c>
      <c r="K29" s="37">
        <v>13</v>
      </c>
      <c r="L29" s="451">
        <v>130</v>
      </c>
      <c r="M29" s="451">
        <v>228</v>
      </c>
      <c r="N29" s="451">
        <v>85</v>
      </c>
      <c r="O29" s="353">
        <v>50</v>
      </c>
      <c r="P29" s="353">
        <v>10</v>
      </c>
      <c r="Q29" s="353">
        <v>228.1</v>
      </c>
      <c r="R29" s="37"/>
      <c r="S29" s="508" t="str">
        <f t="shared" si="0"/>
        <v/>
      </c>
      <c r="T29" s="508"/>
      <c r="U29" s="508"/>
      <c r="V29" s="508"/>
      <c r="X29" s="45">
        <v>0.58333333333333304</v>
      </c>
      <c r="Y29" s="106"/>
      <c r="Z29" s="102"/>
      <c r="AA29" s="102"/>
      <c r="AB29" s="45" t="str">
        <f t="shared" si="18"/>
        <v/>
      </c>
      <c r="AC29" s="45" t="str">
        <f t="shared" si="1"/>
        <v/>
      </c>
      <c r="AD29" s="81"/>
      <c r="AE29" s="9" t="str">
        <f>IF(S29="","",IF(COUNTA(Z29:$Z$39)=1,IF(COUNTA(AD29:$AD$39)=1,""," ; "),IF(COUNTA(AD29:$AD$39)=1,IF(Z29="",""," ; ")," ; ")))</f>
        <v/>
      </c>
      <c r="AF29" s="9" t="str">
        <f t="shared" si="2"/>
        <v/>
      </c>
      <c r="AG29" s="90" t="str">
        <f t="shared" si="3"/>
        <v/>
      </c>
      <c r="AH29" s="204" t="s">
        <v>224</v>
      </c>
      <c r="AJ29" s="206">
        <f t="shared" si="19"/>
        <v>500</v>
      </c>
      <c r="AK29" s="206">
        <f t="shared" si="19"/>
        <v>100</v>
      </c>
      <c r="AL29" s="206">
        <f t="shared" si="19"/>
        <v>2</v>
      </c>
      <c r="AM29" s="213">
        <f t="shared" si="19"/>
        <v>0.875</v>
      </c>
      <c r="AN29" s="214">
        <f t="shared" si="19"/>
        <v>0.63607464142166403</v>
      </c>
      <c r="AO29" s="215">
        <f t="shared" si="4"/>
        <v>-14.7</v>
      </c>
      <c r="AP29" s="216">
        <f t="shared" si="5"/>
        <v>1</v>
      </c>
      <c r="AQ29" s="216">
        <f t="shared" si="6"/>
        <v>1</v>
      </c>
      <c r="AR29" s="215">
        <f t="shared" si="20"/>
        <v>158.47</v>
      </c>
      <c r="AS29" s="216">
        <f t="shared" si="7"/>
        <v>0.97679498379494789</v>
      </c>
      <c r="AT29" s="216">
        <f t="shared" si="8"/>
        <v>1.2538510821608391</v>
      </c>
      <c r="AU29" s="216">
        <f t="shared" si="9"/>
        <v>2.2360679774997898</v>
      </c>
      <c r="AV29" s="217">
        <f t="shared" si="10"/>
        <v>10.415801185754333</v>
      </c>
      <c r="AW29" s="216">
        <f t="shared" si="11"/>
        <v>0</v>
      </c>
      <c r="AX29" s="218">
        <f t="shared" si="12"/>
        <v>1.4696875479799241</v>
      </c>
      <c r="AY29" s="216">
        <f t="shared" si="13"/>
        <v>0.76851414128953044</v>
      </c>
      <c r="AZ29" s="217">
        <f t="shared" si="14"/>
        <v>3.5640070462657096</v>
      </c>
      <c r="BA29" s="216">
        <f t="shared" si="15"/>
        <v>0</v>
      </c>
      <c r="BB29" s="216">
        <f t="shared" si="16"/>
        <v>1.0084584063544275</v>
      </c>
      <c r="BC29" s="216">
        <f t="shared" si="17"/>
        <v>1</v>
      </c>
    </row>
    <row r="30" spans="1:55" ht="20.100000000000001" customHeight="1" x14ac:dyDescent="0.2">
      <c r="A30" s="45">
        <v>0.625</v>
      </c>
      <c r="B30" s="451"/>
      <c r="C30" s="451"/>
      <c r="D30" s="451">
        <v>7.9</v>
      </c>
      <c r="E30" s="451">
        <v>64.3</v>
      </c>
      <c r="F30" s="41">
        <v>1975</v>
      </c>
      <c r="G30" s="37">
        <v>-5.5</v>
      </c>
      <c r="H30" s="37">
        <v>71.8</v>
      </c>
      <c r="I30" s="37">
        <v>21.5</v>
      </c>
      <c r="J30" s="41">
        <v>286</v>
      </c>
      <c r="K30" s="37">
        <v>13</v>
      </c>
      <c r="L30" s="451">
        <v>130</v>
      </c>
      <c r="M30" s="451">
        <v>228</v>
      </c>
      <c r="N30" s="451">
        <v>85</v>
      </c>
      <c r="O30" s="353">
        <v>50</v>
      </c>
      <c r="P30" s="353">
        <v>11</v>
      </c>
      <c r="Q30" s="353">
        <v>239.14</v>
      </c>
      <c r="R30" s="37"/>
      <c r="S30" s="508" t="str">
        <f t="shared" si="0"/>
        <v/>
      </c>
      <c r="T30" s="508"/>
      <c r="U30" s="508"/>
      <c r="V30" s="508"/>
      <c r="X30" s="45">
        <v>0.625</v>
      </c>
      <c r="Y30" s="106"/>
      <c r="Z30" s="102"/>
      <c r="AA30" s="102"/>
      <c r="AB30" s="45" t="str">
        <f t="shared" si="18"/>
        <v/>
      </c>
      <c r="AC30" s="45" t="str">
        <f t="shared" si="1"/>
        <v/>
      </c>
      <c r="AD30" s="81"/>
      <c r="AE30" s="9" t="str">
        <f>IF(S30="","",IF(COUNTA(Z30:$Z$39)=1,IF(COUNTA(AD30:$AD$39)=1,""," ; "),IF(COUNTA(AD30:$AD$39)=1,IF(Z30="",""," ; ")," ; ")))</f>
        <v/>
      </c>
      <c r="AF30" s="9" t="str">
        <f t="shared" si="2"/>
        <v/>
      </c>
      <c r="AG30" s="90" t="str">
        <f t="shared" si="3"/>
        <v/>
      </c>
      <c r="AH30" s="204" t="s">
        <v>260</v>
      </c>
      <c r="AJ30" s="206">
        <f t="shared" si="19"/>
        <v>500</v>
      </c>
      <c r="AK30" s="206">
        <f t="shared" si="19"/>
        <v>100</v>
      </c>
      <c r="AL30" s="206">
        <f t="shared" si="19"/>
        <v>2</v>
      </c>
      <c r="AM30" s="213">
        <f t="shared" si="19"/>
        <v>0.875</v>
      </c>
      <c r="AN30" s="214">
        <f t="shared" si="19"/>
        <v>0.63607464142166403</v>
      </c>
      <c r="AO30" s="215">
        <f t="shared" si="4"/>
        <v>-14.7</v>
      </c>
      <c r="AP30" s="216">
        <f t="shared" si="5"/>
        <v>1</v>
      </c>
      <c r="AQ30" s="216">
        <f t="shared" si="6"/>
        <v>1</v>
      </c>
      <c r="AR30" s="215">
        <f t="shared" si="20"/>
        <v>158.47</v>
      </c>
      <c r="AS30" s="216">
        <f t="shared" si="7"/>
        <v>0.97679498379494789</v>
      </c>
      <c r="AT30" s="216">
        <f t="shared" si="8"/>
        <v>1.2538510821608391</v>
      </c>
      <c r="AU30" s="216">
        <f t="shared" si="9"/>
        <v>2.2360679774997898</v>
      </c>
      <c r="AV30" s="217">
        <f t="shared" si="10"/>
        <v>10.415801185754333</v>
      </c>
      <c r="AW30" s="216">
        <f t="shared" si="11"/>
        <v>0</v>
      </c>
      <c r="AX30" s="218">
        <f t="shared" si="12"/>
        <v>1.4696875479799241</v>
      </c>
      <c r="AY30" s="216">
        <f t="shared" si="13"/>
        <v>0.76851414128953044</v>
      </c>
      <c r="AZ30" s="217">
        <f t="shared" si="14"/>
        <v>3.5640070462657096</v>
      </c>
      <c r="BA30" s="216">
        <f t="shared" si="15"/>
        <v>0</v>
      </c>
      <c r="BB30" s="216">
        <f t="shared" si="16"/>
        <v>1.0084584063544275</v>
      </c>
      <c r="BC30" s="216">
        <f t="shared" si="17"/>
        <v>1</v>
      </c>
    </row>
    <row r="31" spans="1:55" ht="20.100000000000001" customHeight="1" x14ac:dyDescent="0.2">
      <c r="A31" s="45">
        <v>0.66666666666666696</v>
      </c>
      <c r="B31" s="451"/>
      <c r="C31" s="451"/>
      <c r="D31" s="451">
        <v>7.7</v>
      </c>
      <c r="E31" s="451">
        <v>62.6</v>
      </c>
      <c r="F31" s="41">
        <v>1936</v>
      </c>
      <c r="G31" s="37">
        <v>-5.5</v>
      </c>
      <c r="H31" s="37">
        <v>71.099999999999994</v>
      </c>
      <c r="I31" s="37">
        <v>21.3</v>
      </c>
      <c r="J31" s="41">
        <v>287</v>
      </c>
      <c r="K31" s="37">
        <v>13</v>
      </c>
      <c r="L31" s="451">
        <v>127</v>
      </c>
      <c r="M31" s="451">
        <v>226</v>
      </c>
      <c r="N31" s="451">
        <v>85</v>
      </c>
      <c r="O31" s="353">
        <v>50</v>
      </c>
      <c r="P31" s="353">
        <v>9</v>
      </c>
      <c r="Q31" s="353">
        <v>216.49</v>
      </c>
      <c r="R31" s="37"/>
      <c r="S31" s="508" t="str">
        <f t="shared" si="0"/>
        <v/>
      </c>
      <c r="T31" s="508"/>
      <c r="U31" s="508"/>
      <c r="V31" s="508"/>
      <c r="X31" s="45">
        <v>0.66666666666666696</v>
      </c>
      <c r="Y31" s="106"/>
      <c r="Z31" s="102"/>
      <c r="AA31" s="102"/>
      <c r="AB31" s="45" t="str">
        <f t="shared" si="18"/>
        <v/>
      </c>
      <c r="AC31" s="45" t="str">
        <f t="shared" si="1"/>
        <v/>
      </c>
      <c r="AD31" s="81"/>
      <c r="AE31" s="9" t="str">
        <f>IF(S31="","",IF(COUNTA(Z31:$Z$39)=1,IF(COUNTA(AD31:$AD$39)=1,""," ; "),IF(COUNTA(AD31:$AD$39)=1,IF(Z31="",""," ; ")," ; ")))</f>
        <v/>
      </c>
      <c r="AF31" s="9" t="str">
        <f t="shared" si="2"/>
        <v/>
      </c>
      <c r="AG31" s="90" t="str">
        <f t="shared" si="3"/>
        <v/>
      </c>
      <c r="AH31" s="204" t="s">
        <v>226</v>
      </c>
      <c r="AJ31" s="206">
        <f t="shared" si="19"/>
        <v>500</v>
      </c>
      <c r="AK31" s="206">
        <f t="shared" si="19"/>
        <v>100</v>
      </c>
      <c r="AL31" s="206">
        <f t="shared" si="19"/>
        <v>2</v>
      </c>
      <c r="AM31" s="213">
        <f t="shared" si="19"/>
        <v>0.875</v>
      </c>
      <c r="AN31" s="214">
        <f t="shared" si="19"/>
        <v>0.63607464142166403</v>
      </c>
      <c r="AO31" s="215">
        <f t="shared" si="4"/>
        <v>-14.7</v>
      </c>
      <c r="AP31" s="216">
        <f t="shared" si="5"/>
        <v>1</v>
      </c>
      <c r="AQ31" s="216">
        <f t="shared" si="6"/>
        <v>1</v>
      </c>
      <c r="AR31" s="215">
        <f t="shared" si="20"/>
        <v>158.47</v>
      </c>
      <c r="AS31" s="216">
        <f t="shared" si="7"/>
        <v>0.97679498379494789</v>
      </c>
      <c r="AT31" s="216">
        <f t="shared" si="8"/>
        <v>1.2538510821608391</v>
      </c>
      <c r="AU31" s="216">
        <f t="shared" si="9"/>
        <v>2.2360679774997898</v>
      </c>
      <c r="AV31" s="217">
        <f t="shared" si="10"/>
        <v>10.415801185754333</v>
      </c>
      <c r="AW31" s="216">
        <f t="shared" si="11"/>
        <v>0</v>
      </c>
      <c r="AX31" s="218">
        <f t="shared" si="12"/>
        <v>1.4696875479799241</v>
      </c>
      <c r="AY31" s="216">
        <f t="shared" si="13"/>
        <v>0.76851414128953044</v>
      </c>
      <c r="AZ31" s="217">
        <f t="shared" si="14"/>
        <v>3.5640070462657096</v>
      </c>
      <c r="BA31" s="216">
        <f t="shared" si="15"/>
        <v>0</v>
      </c>
      <c r="BB31" s="216">
        <f t="shared" si="16"/>
        <v>1.0084584063544275</v>
      </c>
      <c r="BC31" s="216">
        <f t="shared" si="17"/>
        <v>1</v>
      </c>
    </row>
    <row r="32" spans="1:55" ht="20.100000000000001" customHeight="1" x14ac:dyDescent="0.2">
      <c r="A32" s="45">
        <v>0.70833333333333304</v>
      </c>
      <c r="B32" s="451"/>
      <c r="C32" s="451"/>
      <c r="D32" s="451">
        <v>7.4</v>
      </c>
      <c r="E32" s="451">
        <v>62.3</v>
      </c>
      <c r="F32" s="41">
        <v>1943</v>
      </c>
      <c r="G32" s="37">
        <v>-5.5</v>
      </c>
      <c r="H32" s="37">
        <v>71.3</v>
      </c>
      <c r="I32" s="37">
        <v>21.6</v>
      </c>
      <c r="J32" s="41">
        <v>288</v>
      </c>
      <c r="K32" s="37">
        <v>13</v>
      </c>
      <c r="L32" s="451">
        <v>127</v>
      </c>
      <c r="M32" s="451">
        <v>226</v>
      </c>
      <c r="N32" s="451">
        <v>85</v>
      </c>
      <c r="O32" s="353">
        <v>50</v>
      </c>
      <c r="P32" s="353">
        <v>9</v>
      </c>
      <c r="Q32" s="353">
        <v>216.49</v>
      </c>
      <c r="R32" s="37"/>
      <c r="S32" s="508" t="str">
        <f t="shared" si="0"/>
        <v/>
      </c>
      <c r="T32" s="508"/>
      <c r="U32" s="508"/>
      <c r="V32" s="508"/>
      <c r="X32" s="45">
        <v>0.70833333333333304</v>
      </c>
      <c r="Y32" s="106"/>
      <c r="Z32" s="102"/>
      <c r="AA32" s="102"/>
      <c r="AB32" s="45" t="str">
        <f t="shared" si="18"/>
        <v/>
      </c>
      <c r="AC32" s="45" t="str">
        <f t="shared" si="1"/>
        <v/>
      </c>
      <c r="AD32" s="81"/>
      <c r="AE32" s="9" t="str">
        <f>IF(S32="","",IF(COUNTA(Z32:$Z$39)=1,IF(COUNTA(AD32:$AD$39)=1,""," ; "),IF(COUNTA(AD32:$AD$39)=1,IF(Z32="",""," ; ")," ; ")))</f>
        <v/>
      </c>
      <c r="AF32" s="9" t="str">
        <f t="shared" si="2"/>
        <v/>
      </c>
      <c r="AG32" s="90" t="str">
        <f t="shared" si="3"/>
        <v/>
      </c>
      <c r="AH32" s="204" t="s">
        <v>313</v>
      </c>
      <c r="AJ32" s="206">
        <f t="shared" si="19"/>
        <v>500</v>
      </c>
      <c r="AK32" s="206">
        <f t="shared" si="19"/>
        <v>100</v>
      </c>
      <c r="AL32" s="206">
        <f t="shared" si="19"/>
        <v>2</v>
      </c>
      <c r="AM32" s="213">
        <f t="shared" si="19"/>
        <v>0.875</v>
      </c>
      <c r="AN32" s="214">
        <f t="shared" si="19"/>
        <v>0.63607464142166403</v>
      </c>
      <c r="AO32" s="215">
        <f t="shared" si="4"/>
        <v>-14.7</v>
      </c>
      <c r="AP32" s="216">
        <f t="shared" si="5"/>
        <v>1</v>
      </c>
      <c r="AQ32" s="216">
        <f t="shared" si="6"/>
        <v>1</v>
      </c>
      <c r="AR32" s="215">
        <f t="shared" si="20"/>
        <v>158.47</v>
      </c>
      <c r="AS32" s="216">
        <f t="shared" si="7"/>
        <v>0.97679498379494789</v>
      </c>
      <c r="AT32" s="216">
        <f t="shared" si="8"/>
        <v>1.2538510821608391</v>
      </c>
      <c r="AU32" s="216">
        <f t="shared" si="9"/>
        <v>2.2360679774997898</v>
      </c>
      <c r="AV32" s="217">
        <f t="shared" si="10"/>
        <v>10.415801185754333</v>
      </c>
      <c r="AW32" s="216">
        <f t="shared" si="11"/>
        <v>0</v>
      </c>
      <c r="AX32" s="218">
        <f t="shared" si="12"/>
        <v>1.4696875479799241</v>
      </c>
      <c r="AY32" s="216">
        <f t="shared" si="13"/>
        <v>0.76851414128953044</v>
      </c>
      <c r="AZ32" s="217">
        <f t="shared" si="14"/>
        <v>3.5640070462657096</v>
      </c>
      <c r="BA32" s="216">
        <f t="shared" si="15"/>
        <v>0</v>
      </c>
      <c r="BB32" s="216">
        <f t="shared" si="16"/>
        <v>1.0084584063544275</v>
      </c>
      <c r="BC32" s="216">
        <f t="shared" si="17"/>
        <v>1</v>
      </c>
    </row>
    <row r="33" spans="1:55" ht="20.100000000000001" customHeight="1" x14ac:dyDescent="0.2">
      <c r="A33" s="45">
        <v>0.75</v>
      </c>
      <c r="B33" s="451"/>
      <c r="C33" s="451"/>
      <c r="D33" s="451">
        <v>7</v>
      </c>
      <c r="E33" s="451">
        <v>64.2</v>
      </c>
      <c r="F33" s="41">
        <v>1950</v>
      </c>
      <c r="G33" s="37">
        <v>-5.5</v>
      </c>
      <c r="H33" s="37">
        <v>71.2</v>
      </c>
      <c r="I33" s="37">
        <v>21.9</v>
      </c>
      <c r="J33" s="41">
        <v>289</v>
      </c>
      <c r="K33" s="37">
        <v>13</v>
      </c>
      <c r="L33" s="451">
        <v>129</v>
      </c>
      <c r="M33" s="451">
        <v>229</v>
      </c>
      <c r="N33" s="451">
        <v>85</v>
      </c>
      <c r="O33" s="353">
        <v>50</v>
      </c>
      <c r="P33" s="353">
        <v>10</v>
      </c>
      <c r="Q33" s="353">
        <v>228.1</v>
      </c>
      <c r="R33" s="37"/>
      <c r="S33" s="508" t="str">
        <f>IF(Z33="",IF(AD33="","",AD33),CONCATENATE(TEXT(Z33,"[hh]:mm"),IF(AA33="",""," - "&amp;TEXT(AA33,"[hh]:mm")),IF(Y33="",""," "&amp;Y33&amp;"/")," "&amp;AD33))</f>
        <v/>
      </c>
      <c r="T33" s="508"/>
      <c r="U33" s="508"/>
      <c r="V33" s="508"/>
      <c r="X33" s="45">
        <v>0.75</v>
      </c>
      <c r="Y33" s="106"/>
      <c r="Z33" s="102"/>
      <c r="AA33" s="102"/>
      <c r="AB33" s="45" t="str">
        <f t="shared" si="18"/>
        <v/>
      </c>
      <c r="AC33" s="45" t="str">
        <f t="shared" si="1"/>
        <v/>
      </c>
      <c r="AD33" s="81"/>
      <c r="AE33" s="9" t="str">
        <f>IF(S33="","",IF(COUNTA(Z33:$Z$39)=1,IF(COUNTA(AD33:$AD$39)=1,""," ; "),IF(COUNTA(AD33:$AD$39)=1,IF(Z33="",""," ; ")," ; ")))</f>
        <v/>
      </c>
      <c r="AF33" s="9" t="str">
        <f t="shared" si="2"/>
        <v/>
      </c>
      <c r="AG33" s="90" t="str">
        <f t="shared" si="3"/>
        <v/>
      </c>
      <c r="AH33" s="204" t="s">
        <v>308</v>
      </c>
      <c r="AJ33" s="206">
        <f t="shared" ref="AJ33:AN39" si="21">AJ32</f>
        <v>500</v>
      </c>
      <c r="AK33" s="206">
        <f t="shared" si="21"/>
        <v>100</v>
      </c>
      <c r="AL33" s="206">
        <f t="shared" si="21"/>
        <v>2</v>
      </c>
      <c r="AM33" s="213">
        <f t="shared" si="21"/>
        <v>0.875</v>
      </c>
      <c r="AN33" s="214">
        <f t="shared" si="21"/>
        <v>0.63607464142166403</v>
      </c>
      <c r="AO33" s="215">
        <f t="shared" si="4"/>
        <v>-14.7</v>
      </c>
      <c r="AP33" s="216">
        <f t="shared" si="5"/>
        <v>1</v>
      </c>
      <c r="AQ33" s="216">
        <f t="shared" si="6"/>
        <v>1</v>
      </c>
      <c r="AR33" s="215">
        <f t="shared" si="20"/>
        <v>158.47</v>
      </c>
      <c r="AS33" s="216">
        <f t="shared" si="7"/>
        <v>0.97679498379494789</v>
      </c>
      <c r="AT33" s="216">
        <f t="shared" si="8"/>
        <v>1.2538510821608391</v>
      </c>
      <c r="AU33" s="216">
        <f t="shared" si="9"/>
        <v>2.2360679774997898</v>
      </c>
      <c r="AV33" s="217">
        <f t="shared" si="10"/>
        <v>10.415801185754333</v>
      </c>
      <c r="AW33" s="216">
        <f t="shared" si="11"/>
        <v>0</v>
      </c>
      <c r="AX33" s="218">
        <f t="shared" si="12"/>
        <v>1.4696875479799241</v>
      </c>
      <c r="AY33" s="216">
        <f t="shared" si="13"/>
        <v>0.76851414128953044</v>
      </c>
      <c r="AZ33" s="217">
        <f t="shared" si="14"/>
        <v>3.5640070462657096</v>
      </c>
      <c r="BA33" s="216">
        <f t="shared" si="15"/>
        <v>0</v>
      </c>
      <c r="BB33" s="216">
        <f t="shared" si="16"/>
        <v>1.0084584063544275</v>
      </c>
      <c r="BC33" s="216">
        <f t="shared" si="17"/>
        <v>1</v>
      </c>
    </row>
    <row r="34" spans="1:55" ht="20.100000000000001" customHeight="1" x14ac:dyDescent="0.2">
      <c r="A34" s="45">
        <v>0.79166666666666696</v>
      </c>
      <c r="B34" s="451"/>
      <c r="C34" s="451"/>
      <c r="D34" s="451">
        <v>7.1</v>
      </c>
      <c r="E34" s="451">
        <v>64.5</v>
      </c>
      <c r="F34" s="41">
        <v>1936</v>
      </c>
      <c r="G34" s="37">
        <v>-5.5</v>
      </c>
      <c r="H34" s="37">
        <v>71.5</v>
      </c>
      <c r="I34" s="37">
        <v>21.3</v>
      </c>
      <c r="J34" s="41">
        <v>290</v>
      </c>
      <c r="K34" s="37">
        <v>13</v>
      </c>
      <c r="L34" s="451">
        <v>129</v>
      </c>
      <c r="M34" s="451">
        <v>229</v>
      </c>
      <c r="N34" s="451">
        <v>85</v>
      </c>
      <c r="O34" s="353">
        <v>50</v>
      </c>
      <c r="P34" s="353">
        <v>10</v>
      </c>
      <c r="Q34" s="353">
        <v>228.1</v>
      </c>
      <c r="R34" s="37"/>
      <c r="S34" s="508" t="str">
        <f t="shared" ref="S34:S39" si="22">IF(Z34="",IF(AD34="","",AD34),CONCATENATE(TEXT(Z34,"[hh]:mm"),IF(AA34="",""," - "&amp;TEXT(AA34,"[hh]:mm")),IF(Y34="",""," "&amp;Y34&amp;"/")," "&amp;AD34))</f>
        <v/>
      </c>
      <c r="T34" s="508"/>
      <c r="U34" s="508"/>
      <c r="V34" s="508"/>
      <c r="X34" s="45">
        <v>0.79166666666666696</v>
      </c>
      <c r="Y34" s="106"/>
      <c r="Z34" s="102"/>
      <c r="AA34" s="102"/>
      <c r="AB34" s="45" t="str">
        <f t="shared" si="18"/>
        <v/>
      </c>
      <c r="AC34" s="45" t="str">
        <f t="shared" si="1"/>
        <v/>
      </c>
      <c r="AD34" s="81"/>
      <c r="AE34" s="9" t="str">
        <f>IF(S34="","",IF(COUNTA(Z34:$Z$39)=1,IF(COUNTA(AD34:$AD$39)=1,""," ; "),IF(COUNTA(AD34:$AD$39)=1,IF(Z34="",""," ; ")," ; ")))</f>
        <v/>
      </c>
      <c r="AF34" s="9" t="str">
        <f t="shared" si="2"/>
        <v/>
      </c>
      <c r="AG34" s="90" t="str">
        <f t="shared" si="3"/>
        <v/>
      </c>
      <c r="AH34" s="204" t="s">
        <v>314</v>
      </c>
      <c r="AJ34" s="206">
        <f t="shared" si="21"/>
        <v>500</v>
      </c>
      <c r="AK34" s="206">
        <f t="shared" si="21"/>
        <v>100</v>
      </c>
      <c r="AL34" s="206">
        <f t="shared" si="21"/>
        <v>2</v>
      </c>
      <c r="AM34" s="213">
        <f t="shared" si="21"/>
        <v>0.875</v>
      </c>
      <c r="AN34" s="214">
        <f t="shared" si="21"/>
        <v>0.63607464142166403</v>
      </c>
      <c r="AO34" s="215">
        <f t="shared" si="4"/>
        <v>-14.7</v>
      </c>
      <c r="AP34" s="216">
        <f t="shared" si="5"/>
        <v>1</v>
      </c>
      <c r="AQ34" s="216">
        <f t="shared" si="6"/>
        <v>1</v>
      </c>
      <c r="AR34" s="215">
        <f t="shared" si="20"/>
        <v>158.47</v>
      </c>
      <c r="AS34" s="216">
        <f t="shared" si="7"/>
        <v>0.97679498379494789</v>
      </c>
      <c r="AT34" s="216">
        <f t="shared" si="8"/>
        <v>1.2538510821608391</v>
      </c>
      <c r="AU34" s="216">
        <f t="shared" si="9"/>
        <v>2.2360679774997898</v>
      </c>
      <c r="AV34" s="217">
        <f t="shared" si="10"/>
        <v>10.415801185754333</v>
      </c>
      <c r="AW34" s="216">
        <f t="shared" si="11"/>
        <v>0</v>
      </c>
      <c r="AX34" s="218">
        <f t="shared" si="12"/>
        <v>1.4696875479799241</v>
      </c>
      <c r="AY34" s="216">
        <f t="shared" si="13"/>
        <v>0.76851414128953044</v>
      </c>
      <c r="AZ34" s="217">
        <f t="shared" si="14"/>
        <v>3.5640070462657096</v>
      </c>
      <c r="BA34" s="216">
        <f t="shared" si="15"/>
        <v>0</v>
      </c>
      <c r="BB34" s="216">
        <f t="shared" si="16"/>
        <v>1.0084584063544275</v>
      </c>
      <c r="BC34" s="216">
        <f t="shared" si="17"/>
        <v>1</v>
      </c>
    </row>
    <row r="35" spans="1:55" ht="20.100000000000001" customHeight="1" x14ac:dyDescent="0.2">
      <c r="A35" s="45">
        <v>0.83333333333333304</v>
      </c>
      <c r="B35" s="451"/>
      <c r="C35" s="451"/>
      <c r="D35" s="451">
        <v>7.8</v>
      </c>
      <c r="E35" s="451">
        <v>64.8</v>
      </c>
      <c r="F35" s="41">
        <v>1920</v>
      </c>
      <c r="G35" s="37">
        <v>-5.5</v>
      </c>
      <c r="H35" s="37">
        <v>71.900000000000006</v>
      </c>
      <c r="I35" s="37">
        <v>21</v>
      </c>
      <c r="J35" s="41">
        <v>291</v>
      </c>
      <c r="K35" s="37">
        <v>13</v>
      </c>
      <c r="L35" s="451">
        <v>127</v>
      </c>
      <c r="M35" s="451">
        <v>222</v>
      </c>
      <c r="N35" s="451">
        <v>85</v>
      </c>
      <c r="O35" s="353">
        <v>50</v>
      </c>
      <c r="P35" s="353">
        <v>7</v>
      </c>
      <c r="Q35" s="353">
        <v>191.12</v>
      </c>
      <c r="R35" s="37"/>
      <c r="S35" s="508" t="str">
        <f t="shared" si="22"/>
        <v/>
      </c>
      <c r="T35" s="508"/>
      <c r="U35" s="508"/>
      <c r="V35" s="508"/>
      <c r="X35" s="45">
        <v>0.83333333333333304</v>
      </c>
      <c r="Y35" s="106"/>
      <c r="Z35" s="102"/>
      <c r="AA35" s="102"/>
      <c r="AB35" s="45" t="str">
        <f t="shared" si="18"/>
        <v/>
      </c>
      <c r="AC35" s="45" t="str">
        <f t="shared" si="1"/>
        <v/>
      </c>
      <c r="AD35" s="81"/>
      <c r="AE35" s="9" t="str">
        <f>IF(S35="","",IF(COUNTA(Z35:$Z$39)=1,IF(COUNTA(AD35:$AD$39)=1,""," ; "),IF(COUNTA(AD35:$AD$39)=1,IF(Z35="",""," ; ")," ; ")))</f>
        <v/>
      </c>
      <c r="AF35" s="9" t="str">
        <f t="shared" si="2"/>
        <v/>
      </c>
      <c r="AG35" s="90" t="str">
        <f t="shared" si="3"/>
        <v/>
      </c>
      <c r="AH35" s="204" t="s">
        <v>227</v>
      </c>
      <c r="AJ35" s="206">
        <f t="shared" si="21"/>
        <v>500</v>
      </c>
      <c r="AK35" s="206">
        <f t="shared" si="21"/>
        <v>100</v>
      </c>
      <c r="AL35" s="206">
        <f t="shared" si="21"/>
        <v>2</v>
      </c>
      <c r="AM35" s="213">
        <f t="shared" si="21"/>
        <v>0.875</v>
      </c>
      <c r="AN35" s="214">
        <f t="shared" si="21"/>
        <v>0.63607464142166403</v>
      </c>
      <c r="AO35" s="215">
        <f t="shared" si="4"/>
        <v>-14.7</v>
      </c>
      <c r="AP35" s="216">
        <f t="shared" si="5"/>
        <v>1</v>
      </c>
      <c r="AQ35" s="216">
        <f t="shared" si="6"/>
        <v>1</v>
      </c>
      <c r="AR35" s="215">
        <f t="shared" si="20"/>
        <v>158.47</v>
      </c>
      <c r="AS35" s="216">
        <f t="shared" si="7"/>
        <v>0.97679498379494789</v>
      </c>
      <c r="AT35" s="216">
        <f t="shared" si="8"/>
        <v>1.2538510821608391</v>
      </c>
      <c r="AU35" s="216">
        <f t="shared" si="9"/>
        <v>2.2360679774997898</v>
      </c>
      <c r="AV35" s="217">
        <f t="shared" si="10"/>
        <v>10.415801185754333</v>
      </c>
      <c r="AW35" s="216">
        <f t="shared" si="11"/>
        <v>0</v>
      </c>
      <c r="AX35" s="218">
        <f t="shared" si="12"/>
        <v>1.4696875479799241</v>
      </c>
      <c r="AY35" s="216">
        <f t="shared" si="13"/>
        <v>0.76851414128953044</v>
      </c>
      <c r="AZ35" s="217">
        <f t="shared" si="14"/>
        <v>3.5640070462657096</v>
      </c>
      <c r="BA35" s="216">
        <f t="shared" si="15"/>
        <v>0</v>
      </c>
      <c r="BB35" s="216">
        <f t="shared" si="16"/>
        <v>1.0084584063544275</v>
      </c>
      <c r="BC35" s="216">
        <f t="shared" si="17"/>
        <v>1</v>
      </c>
    </row>
    <row r="36" spans="1:55" ht="20.100000000000001" customHeight="1" x14ac:dyDescent="0.2">
      <c r="A36" s="45">
        <v>0.875</v>
      </c>
      <c r="B36" s="451"/>
      <c r="C36" s="451"/>
      <c r="D36" s="451">
        <v>7.5</v>
      </c>
      <c r="E36" s="451">
        <v>63.6</v>
      </c>
      <c r="F36" s="41">
        <v>1931</v>
      </c>
      <c r="G36" s="37">
        <v>-5.5</v>
      </c>
      <c r="H36" s="37">
        <v>71</v>
      </c>
      <c r="I36" s="37">
        <v>21.3</v>
      </c>
      <c r="J36" s="41">
        <v>292</v>
      </c>
      <c r="K36" s="37">
        <v>13</v>
      </c>
      <c r="L36" s="451">
        <v>126</v>
      </c>
      <c r="M36" s="451">
        <v>226</v>
      </c>
      <c r="N36" s="451">
        <v>85</v>
      </c>
      <c r="O36" s="353">
        <v>50</v>
      </c>
      <c r="P36" s="353">
        <v>7</v>
      </c>
      <c r="Q36" s="353">
        <v>191.12</v>
      </c>
      <c r="R36" s="37"/>
      <c r="S36" s="508" t="str">
        <f t="shared" si="22"/>
        <v/>
      </c>
      <c r="T36" s="508"/>
      <c r="U36" s="508"/>
      <c r="V36" s="508"/>
      <c r="X36" s="45">
        <v>0.875</v>
      </c>
      <c r="Y36" s="106"/>
      <c r="Z36" s="102"/>
      <c r="AA36" s="102"/>
      <c r="AB36" s="45" t="str">
        <f t="shared" si="18"/>
        <v/>
      </c>
      <c r="AC36" s="45" t="str">
        <f t="shared" si="1"/>
        <v/>
      </c>
      <c r="AD36" s="81"/>
      <c r="AE36" s="9" t="str">
        <f>IF(S36="","",IF(COUNTA(Z36:$Z$39)=1,IF(COUNTA(AD36:$AD$39)=1,""," ; "),IF(COUNTA(AD36:$AD$39)=1,IF(Z36="",""," ; ")," ; ")))</f>
        <v/>
      </c>
      <c r="AF36" s="9" t="str">
        <f t="shared" si="2"/>
        <v/>
      </c>
      <c r="AG36" s="90" t="str">
        <f t="shared" si="3"/>
        <v/>
      </c>
      <c r="AH36" s="204" t="s">
        <v>309</v>
      </c>
      <c r="AJ36" s="206">
        <f t="shared" si="21"/>
        <v>500</v>
      </c>
      <c r="AK36" s="206">
        <f t="shared" si="21"/>
        <v>100</v>
      </c>
      <c r="AL36" s="206">
        <f t="shared" si="21"/>
        <v>2</v>
      </c>
      <c r="AM36" s="213">
        <f t="shared" si="21"/>
        <v>0.875</v>
      </c>
      <c r="AN36" s="214">
        <f t="shared" si="21"/>
        <v>0.63607464142166403</v>
      </c>
      <c r="AO36" s="215">
        <f t="shared" si="4"/>
        <v>-14.7</v>
      </c>
      <c r="AP36" s="216">
        <f t="shared" si="5"/>
        <v>1</v>
      </c>
      <c r="AQ36" s="216">
        <f t="shared" si="6"/>
        <v>1</v>
      </c>
      <c r="AR36" s="215">
        <f t="shared" si="20"/>
        <v>158.47</v>
      </c>
      <c r="AS36" s="216">
        <f t="shared" si="7"/>
        <v>0.97679498379494789</v>
      </c>
      <c r="AT36" s="216">
        <f t="shared" si="8"/>
        <v>1.2538510821608391</v>
      </c>
      <c r="AU36" s="216">
        <f t="shared" si="9"/>
        <v>2.2360679774997898</v>
      </c>
      <c r="AV36" s="217">
        <f t="shared" si="10"/>
        <v>10.415801185754333</v>
      </c>
      <c r="AW36" s="216">
        <f t="shared" si="11"/>
        <v>0</v>
      </c>
      <c r="AX36" s="218">
        <f t="shared" si="12"/>
        <v>1.4696875479799241</v>
      </c>
      <c r="AY36" s="216">
        <f t="shared" si="13"/>
        <v>0.76851414128953044</v>
      </c>
      <c r="AZ36" s="217">
        <f t="shared" si="14"/>
        <v>3.5640070462657096</v>
      </c>
      <c r="BA36" s="216">
        <f t="shared" si="15"/>
        <v>0</v>
      </c>
      <c r="BB36" s="216">
        <f t="shared" si="16"/>
        <v>1.0084584063544275</v>
      </c>
      <c r="BC36" s="216">
        <f t="shared" si="17"/>
        <v>1</v>
      </c>
    </row>
    <row r="37" spans="1:55" ht="20.100000000000001" customHeight="1" x14ac:dyDescent="0.2">
      <c r="A37" s="45">
        <v>0.91666666666666696</v>
      </c>
      <c r="B37" s="451"/>
      <c r="C37" s="451"/>
      <c r="D37" s="451">
        <v>7.2</v>
      </c>
      <c r="E37" s="451">
        <v>63.1</v>
      </c>
      <c r="F37" s="41">
        <v>1950</v>
      </c>
      <c r="G37" s="37">
        <v>-5.5</v>
      </c>
      <c r="H37" s="37">
        <v>71.2</v>
      </c>
      <c r="I37" s="37">
        <v>21.7</v>
      </c>
      <c r="J37" s="41">
        <v>293</v>
      </c>
      <c r="K37" s="37">
        <v>13</v>
      </c>
      <c r="L37" s="451">
        <v>125</v>
      </c>
      <c r="M37" s="451">
        <v>225</v>
      </c>
      <c r="N37" s="451">
        <v>85</v>
      </c>
      <c r="O37" s="353">
        <v>50</v>
      </c>
      <c r="P37" s="353">
        <v>9</v>
      </c>
      <c r="Q37" s="353">
        <v>216.49</v>
      </c>
      <c r="R37" s="37"/>
      <c r="S37" s="508" t="str">
        <f t="shared" si="22"/>
        <v/>
      </c>
      <c r="T37" s="508"/>
      <c r="U37" s="508"/>
      <c r="V37" s="508"/>
      <c r="X37" s="45">
        <v>0.91666666666666696</v>
      </c>
      <c r="Y37" s="106"/>
      <c r="Z37" s="102"/>
      <c r="AA37" s="102"/>
      <c r="AB37" s="45" t="str">
        <f t="shared" si="18"/>
        <v/>
      </c>
      <c r="AC37" s="45" t="str">
        <f t="shared" si="1"/>
        <v/>
      </c>
      <c r="AD37" s="81"/>
      <c r="AE37" s="9" t="str">
        <f>IF(S37="","",IF(COUNTA(Z37:$Z$39)=1,IF(COUNTA(AD37:$AD$39)=1,""," ; "),IF(COUNTA(AD37:$AD$39)=1,IF(Z37="",""," ; ")," ; ")))</f>
        <v/>
      </c>
      <c r="AF37" s="9" t="str">
        <f t="shared" si="2"/>
        <v/>
      </c>
      <c r="AG37" s="90" t="str">
        <f t="shared" si="3"/>
        <v/>
      </c>
      <c r="AH37" s="204" t="s">
        <v>319</v>
      </c>
      <c r="AJ37" s="206">
        <f t="shared" si="21"/>
        <v>500</v>
      </c>
      <c r="AK37" s="206">
        <f t="shared" si="21"/>
        <v>100</v>
      </c>
      <c r="AL37" s="206">
        <f t="shared" si="21"/>
        <v>2</v>
      </c>
      <c r="AM37" s="213">
        <f t="shared" si="21"/>
        <v>0.875</v>
      </c>
      <c r="AN37" s="214">
        <f t="shared" si="21"/>
        <v>0.63607464142166403</v>
      </c>
      <c r="AO37" s="215">
        <f t="shared" si="4"/>
        <v>-14.7</v>
      </c>
      <c r="AP37" s="216">
        <f t="shared" si="5"/>
        <v>1</v>
      </c>
      <c r="AQ37" s="216">
        <f t="shared" si="6"/>
        <v>1</v>
      </c>
      <c r="AR37" s="215">
        <f t="shared" si="20"/>
        <v>158.47</v>
      </c>
      <c r="AS37" s="216">
        <f t="shared" si="7"/>
        <v>0.97679498379494789</v>
      </c>
      <c r="AT37" s="216">
        <f t="shared" si="8"/>
        <v>1.2538510821608391</v>
      </c>
      <c r="AU37" s="216">
        <f t="shared" si="9"/>
        <v>2.2360679774997898</v>
      </c>
      <c r="AV37" s="217">
        <f t="shared" si="10"/>
        <v>10.415801185754333</v>
      </c>
      <c r="AW37" s="216">
        <f t="shared" si="11"/>
        <v>0</v>
      </c>
      <c r="AX37" s="218">
        <f t="shared" si="12"/>
        <v>1.4696875479799241</v>
      </c>
      <c r="AY37" s="216">
        <f t="shared" si="13"/>
        <v>0.76851414128953044</v>
      </c>
      <c r="AZ37" s="217">
        <f t="shared" si="14"/>
        <v>3.5640070462657096</v>
      </c>
      <c r="BA37" s="216">
        <f t="shared" si="15"/>
        <v>0</v>
      </c>
      <c r="BB37" s="216">
        <f t="shared" si="16"/>
        <v>1.0084584063544275</v>
      </c>
      <c r="BC37" s="216">
        <f t="shared" si="17"/>
        <v>1</v>
      </c>
    </row>
    <row r="38" spans="1:55" ht="20.100000000000001" customHeight="1" x14ac:dyDescent="0.2">
      <c r="A38" s="45">
        <v>0.95833333333333304</v>
      </c>
      <c r="B38" s="451"/>
      <c r="C38" s="451"/>
      <c r="D38" s="451">
        <v>7</v>
      </c>
      <c r="E38" s="451">
        <v>62.9</v>
      </c>
      <c r="F38" s="41">
        <v>1945</v>
      </c>
      <c r="G38" s="37">
        <v>-5.5</v>
      </c>
      <c r="H38" s="37">
        <v>71.599999999999994</v>
      </c>
      <c r="I38" s="37">
        <v>21</v>
      </c>
      <c r="J38" s="41">
        <v>294</v>
      </c>
      <c r="K38" s="37">
        <v>13</v>
      </c>
      <c r="L38" s="451">
        <v>123</v>
      </c>
      <c r="M38" s="451">
        <v>225</v>
      </c>
      <c r="N38" s="451">
        <v>85</v>
      </c>
      <c r="O38" s="353">
        <v>50</v>
      </c>
      <c r="P38" s="353">
        <v>7</v>
      </c>
      <c r="Q38" s="353">
        <v>191.12</v>
      </c>
      <c r="R38" s="37"/>
      <c r="S38" s="508" t="str">
        <f t="shared" si="22"/>
        <v/>
      </c>
      <c r="T38" s="508"/>
      <c r="U38" s="508"/>
      <c r="V38" s="508"/>
      <c r="X38" s="45">
        <v>0.95833333333333304</v>
      </c>
      <c r="Y38" s="106"/>
      <c r="Z38" s="102"/>
      <c r="AA38" s="102"/>
      <c r="AB38" s="45" t="str">
        <f t="shared" si="18"/>
        <v/>
      </c>
      <c r="AC38" s="45" t="str">
        <f t="shared" si="1"/>
        <v/>
      </c>
      <c r="AD38" s="81"/>
      <c r="AE38" s="9" t="str">
        <f>IF(S38="","",IF(COUNTA(Z38:$Z$39)=1,IF(COUNTA(AD38:$AD$39)=1,""," ; "),IF(COUNTA(AD38:$AD$39)=1,IF(Z38="",""," ; ")," ; ")))</f>
        <v/>
      </c>
      <c r="AF38" s="9" t="str">
        <f t="shared" si="2"/>
        <v/>
      </c>
      <c r="AG38" s="90" t="str">
        <f t="shared" si="3"/>
        <v/>
      </c>
      <c r="AH38" s="204" t="s">
        <v>219</v>
      </c>
      <c r="AJ38" s="206">
        <f t="shared" si="21"/>
        <v>500</v>
      </c>
      <c r="AK38" s="206">
        <f t="shared" si="21"/>
        <v>100</v>
      </c>
      <c r="AL38" s="206">
        <f t="shared" si="21"/>
        <v>2</v>
      </c>
      <c r="AM38" s="213">
        <f t="shared" si="21"/>
        <v>0.875</v>
      </c>
      <c r="AN38" s="214">
        <f t="shared" si="21"/>
        <v>0.63607464142166403</v>
      </c>
      <c r="AO38" s="215">
        <f t="shared" si="4"/>
        <v>-14.7</v>
      </c>
      <c r="AP38" s="216">
        <f t="shared" si="5"/>
        <v>1</v>
      </c>
      <c r="AQ38" s="216">
        <f t="shared" si="6"/>
        <v>1</v>
      </c>
      <c r="AR38" s="215">
        <f t="shared" si="20"/>
        <v>158.47</v>
      </c>
      <c r="AS38" s="216">
        <f t="shared" si="7"/>
        <v>0.97679498379494789</v>
      </c>
      <c r="AT38" s="216">
        <f t="shared" si="8"/>
        <v>1.2538510821608391</v>
      </c>
      <c r="AU38" s="216">
        <f t="shared" si="9"/>
        <v>2.2360679774997898</v>
      </c>
      <c r="AV38" s="217">
        <f t="shared" si="10"/>
        <v>10.415801185754333</v>
      </c>
      <c r="AW38" s="216">
        <f t="shared" si="11"/>
        <v>0</v>
      </c>
      <c r="AX38" s="218">
        <f t="shared" si="12"/>
        <v>1.4696875479799241</v>
      </c>
      <c r="AY38" s="216">
        <f t="shared" si="13"/>
        <v>0.76851414128953044</v>
      </c>
      <c r="AZ38" s="217">
        <f t="shared" si="14"/>
        <v>3.5640070462657096</v>
      </c>
      <c r="BA38" s="216">
        <f t="shared" si="15"/>
        <v>0</v>
      </c>
      <c r="BB38" s="216">
        <f t="shared" si="16"/>
        <v>1.0084584063544275</v>
      </c>
      <c r="BC38" s="216">
        <f t="shared" si="17"/>
        <v>1</v>
      </c>
    </row>
    <row r="39" spans="1:55" ht="20.100000000000001" customHeight="1" thickBot="1" x14ac:dyDescent="0.25">
      <c r="A39" s="46">
        <v>1</v>
      </c>
      <c r="B39" s="451"/>
      <c r="C39" s="451"/>
      <c r="D39" s="452">
        <v>7.6</v>
      </c>
      <c r="E39" s="451">
        <v>62</v>
      </c>
      <c r="F39" s="42">
        <v>1960</v>
      </c>
      <c r="G39" s="37">
        <v>-5.5</v>
      </c>
      <c r="H39" s="37">
        <v>71</v>
      </c>
      <c r="I39" s="37">
        <v>21.3</v>
      </c>
      <c r="J39" s="41">
        <v>295</v>
      </c>
      <c r="K39" s="37">
        <v>13</v>
      </c>
      <c r="L39" s="451">
        <v>123</v>
      </c>
      <c r="M39" s="451">
        <v>225</v>
      </c>
      <c r="N39" s="451">
        <v>85</v>
      </c>
      <c r="O39" s="353">
        <v>50</v>
      </c>
      <c r="P39" s="353">
        <v>7</v>
      </c>
      <c r="Q39" s="354">
        <v>191.12</v>
      </c>
      <c r="R39" s="38"/>
      <c r="S39" s="512" t="str">
        <f t="shared" si="22"/>
        <v/>
      </c>
      <c r="T39" s="512"/>
      <c r="U39" s="512"/>
      <c r="V39" s="512"/>
      <c r="X39" s="46">
        <v>1</v>
      </c>
      <c r="Y39" s="107"/>
      <c r="Z39" s="103"/>
      <c r="AA39" s="103"/>
      <c r="AB39" s="46" t="str">
        <f t="shared" si="18"/>
        <v/>
      </c>
      <c r="AC39" s="46" t="str">
        <f t="shared" si="1"/>
        <v/>
      </c>
      <c r="AD39" s="82"/>
      <c r="AE39" s="9" t="str">
        <f>IF(S39="","",IF(COUNTA(Z39:$Z$39)=1,IF(COUNTA(AD39:$AD$39)=1,""," ; "),IF(COUNTA(AD39:$AD$39)=1,IF(Z39="",""," ; ")," ; ")))</f>
        <v/>
      </c>
      <c r="AF39" s="9" t="str">
        <f t="shared" si="2"/>
        <v/>
      </c>
      <c r="AG39" s="90" t="str">
        <f t="shared" si="3"/>
        <v/>
      </c>
      <c r="AH39" s="204" t="s">
        <v>220</v>
      </c>
      <c r="AJ39" s="219">
        <f t="shared" si="21"/>
        <v>500</v>
      </c>
      <c r="AK39" s="219">
        <f t="shared" si="21"/>
        <v>100</v>
      </c>
      <c r="AL39" s="219">
        <f t="shared" si="21"/>
        <v>2</v>
      </c>
      <c r="AM39" s="220">
        <f t="shared" si="21"/>
        <v>0.875</v>
      </c>
      <c r="AN39" s="221">
        <f t="shared" si="21"/>
        <v>0.63607464142166403</v>
      </c>
      <c r="AO39" s="222">
        <f t="shared" si="4"/>
        <v>-14.7</v>
      </c>
      <c r="AP39" s="223">
        <f t="shared" si="5"/>
        <v>1</v>
      </c>
      <c r="AQ39" s="223">
        <f t="shared" si="6"/>
        <v>1</v>
      </c>
      <c r="AR39" s="222">
        <f t="shared" si="20"/>
        <v>158.47</v>
      </c>
      <c r="AS39" s="223">
        <f t="shared" si="7"/>
        <v>0.97679498379494789</v>
      </c>
      <c r="AT39" s="223">
        <f t="shared" si="8"/>
        <v>1.2538510821608391</v>
      </c>
      <c r="AU39" s="223">
        <f t="shared" si="9"/>
        <v>2.2360679774997898</v>
      </c>
      <c r="AV39" s="224">
        <f t="shared" si="10"/>
        <v>10.415801185754333</v>
      </c>
      <c r="AW39" s="223">
        <f t="shared" si="11"/>
        <v>0</v>
      </c>
      <c r="AX39" s="225">
        <f t="shared" si="12"/>
        <v>1.4696875479799241</v>
      </c>
      <c r="AY39" s="223">
        <f t="shared" si="13"/>
        <v>0.76851414128953044</v>
      </c>
      <c r="AZ39" s="224">
        <f t="shared" si="14"/>
        <v>3.5640070462657096</v>
      </c>
      <c r="BA39" s="223">
        <f t="shared" si="15"/>
        <v>0</v>
      </c>
      <c r="BB39" s="223">
        <f t="shared" si="16"/>
        <v>1.0084584063544275</v>
      </c>
      <c r="BC39" s="223">
        <f t="shared" si="17"/>
        <v>1</v>
      </c>
    </row>
    <row r="40" spans="1:55" ht="20.100000000000001" customHeight="1" thickBot="1" x14ac:dyDescent="0.3">
      <c r="A40" s="53" t="s">
        <v>11</v>
      </c>
      <c r="B40" s="453" t="str">
        <f>IFERROR(ROUND(AVERAGE(B16:B39),2),"")</f>
        <v/>
      </c>
      <c r="C40" s="453" t="str">
        <f>IFERROR(ROUND(AVERAGE(C16:C39),2),"")</f>
        <v/>
      </c>
      <c r="D40" s="453">
        <f>IFERROR(ROUND(AVERAGE(D16:D39),2),"")</f>
        <v>7</v>
      </c>
      <c r="E40" s="453">
        <f>IFERROR(ROUND(AVERAGE(E16:E39),2),"")</f>
        <v>62.3</v>
      </c>
      <c r="F40" s="55">
        <f>IFERROR(ROUND(AVERAGE(F16:F39),0),"")</f>
        <v>1951</v>
      </c>
      <c r="G40" s="54">
        <f>IFERROR(AVERAGE(G16:G39),"")</f>
        <v>-5.5</v>
      </c>
      <c r="H40" s="54">
        <f>IFERROR(AVERAGE(H16:H39),"")</f>
        <v>71.345833333333331</v>
      </c>
      <c r="I40" s="54">
        <f>IFERROR(AVERAGE(I16:I39),"")</f>
        <v>21.395833333333332</v>
      </c>
      <c r="J40" s="71"/>
      <c r="K40" s="111">
        <f>IFERROR(AVERAGE(K16:K39),"")</f>
        <v>13</v>
      </c>
      <c r="L40" s="453">
        <f t="shared" ref="L40:P40" si="23">IFERROR(ROUND(AVERAGE(L16:L39),1),"")</f>
        <v>125.1</v>
      </c>
      <c r="M40" s="453">
        <f t="shared" si="23"/>
        <v>224</v>
      </c>
      <c r="N40" s="453">
        <f t="shared" si="23"/>
        <v>85</v>
      </c>
      <c r="O40" s="456">
        <f t="shared" si="23"/>
        <v>50.8</v>
      </c>
      <c r="P40" s="456">
        <f t="shared" si="23"/>
        <v>8.8000000000000007</v>
      </c>
      <c r="Q40" s="456">
        <f>IF($I$47=1,$M$49,$Q$44)</f>
        <v>201.5</v>
      </c>
      <c r="R40" s="54" t="str">
        <f>IFERROR(ROUND(AVERAGE(R16:R39),1),"")</f>
        <v/>
      </c>
      <c r="S40" s="509"/>
      <c r="T40" s="510"/>
      <c r="U40" s="510"/>
      <c r="V40" s="511"/>
      <c r="X40" s="99"/>
      <c r="Y40" s="99"/>
      <c r="Z40" s="99"/>
      <c r="AA40" s="99"/>
      <c r="AB40" s="104">
        <f>SUM(AB16:AB39)</f>
        <v>0</v>
      </c>
      <c r="AC40" s="104">
        <f>SUM(AC16:AC39)</f>
        <v>0</v>
      </c>
      <c r="AD40" s="92" t="str">
        <f>IF(OR(COUNTBLANK(D16:E39)+COUNTBLANK(O16:P39)=0,COUNTA(S16:V39)&lt;&gt;0),"","CEK : Blank Data - Remarks")</f>
        <v/>
      </c>
      <c r="AG40" s="90" t="str">
        <f>IF(COUNTIF(AG16:AG39,"")=COUNTA(AG16:AG39),"","CEK : Data Flowrate")</f>
        <v/>
      </c>
      <c r="AH40" s="204" t="s">
        <v>311</v>
      </c>
    </row>
    <row r="41" spans="1:55" ht="20.100000000000001" hidden="1" customHeight="1" thickBot="1" x14ac:dyDescent="0.3">
      <c r="A41" s="49" t="s">
        <v>12</v>
      </c>
      <c r="B41" s="52" t="str">
        <f>IF(COUNT(B16:B39)&gt;0,ROUND(MIN(B16:B39),2),"")</f>
        <v/>
      </c>
      <c r="C41" s="52" t="str">
        <f>IF(COUNT(C16:C39)&gt;0,ROUND(MIN(C16:C39),2),"")</f>
        <v/>
      </c>
      <c r="D41" s="52">
        <f>IF(COUNT(D16:D39)&gt;0,ROUND(MIN(D16:D39),2),"")</f>
        <v>6</v>
      </c>
      <c r="E41" s="52">
        <f>IF(COUNT(E16:E39)&gt;0,ROUND(MIN(E16:E39),2),"")</f>
        <v>59</v>
      </c>
      <c r="F41" s="51">
        <f>IF(COUNT(F16:F39)&gt;0,ROUND(MIN(F16:F39),0),"")</f>
        <v>1920</v>
      </c>
      <c r="G41" s="50">
        <f>IF(COUNT(G16:G39)&gt;0,MIN(G16:G39),"")</f>
        <v>-5.5</v>
      </c>
      <c r="H41" s="50">
        <f>IF(COUNT(H16:H39)&gt;0,MIN(H16:H39),"")</f>
        <v>71</v>
      </c>
      <c r="I41" s="50">
        <f>IF(COUNT(I16:I39)&gt;0,MIN(I16:I39),"")</f>
        <v>21</v>
      </c>
      <c r="J41" s="72"/>
      <c r="K41" s="50">
        <f>IF(COUNT(K16:K39)&gt;0,MIN(K16:K39),"")</f>
        <v>13</v>
      </c>
      <c r="L41" s="52">
        <f>IF(COUNT(L16:L39)&gt;0,ROUND(MIN(L16:L39),1),"")</f>
        <v>120</v>
      </c>
      <c r="M41" s="52">
        <f>IF(COUNT(M16:M39)&gt;0,ROUND(MIN(M16:M39),1),"")</f>
        <v>220</v>
      </c>
      <c r="N41" s="52">
        <f>IF(COUNT(N16:N39)&gt;0,ROUND(MIN(N16:N39),1),"")</f>
        <v>85</v>
      </c>
      <c r="O41" s="440">
        <f>IF(COUNT(O16:O39)&gt;0,ROUND(MIN(O16:O39),1),"")</f>
        <v>50</v>
      </c>
      <c r="P41" s="440">
        <f>IF(COUNT(P16:P39)&gt;0,ROUND(MIN(P16:P39),1),"")</f>
        <v>7</v>
      </c>
      <c r="Q41" s="440">
        <f>IF(COUNT(Q16:Q39)&gt;0,ROUND(MIN(Q16:Q39),4),"")</f>
        <v>191.12</v>
      </c>
      <c r="R41" s="121" t="str">
        <f>IF(COUNT(R16:R39)&gt;0,ROUND(MIN(R16:R39),1),"")</f>
        <v/>
      </c>
      <c r="S41" s="509"/>
      <c r="T41" s="510"/>
      <c r="U41" s="510"/>
      <c r="V41" s="511"/>
      <c r="X41" s="99"/>
      <c r="Y41" s="99"/>
      <c r="Z41" s="99"/>
      <c r="AA41" s="99"/>
      <c r="AB41" s="99"/>
      <c r="AC41" s="99"/>
      <c r="AH41" s="204" t="s">
        <v>318</v>
      </c>
    </row>
    <row r="42" spans="1:55" ht="20.100000000000001" hidden="1" customHeight="1" thickBot="1" x14ac:dyDescent="0.3">
      <c r="A42" s="21" t="s">
        <v>13</v>
      </c>
      <c r="B42" s="454" t="str">
        <f>IF(COUNT(B16:B39)&gt;0,ROUND(MAX(B16:B39),2),"")</f>
        <v/>
      </c>
      <c r="C42" s="454" t="str">
        <f>IF(COUNT(C16:C39)&gt;0,ROUND(MAX(C16:C39),2),"")</f>
        <v/>
      </c>
      <c r="D42" s="454">
        <f>IF(COUNT(D16:D39)&gt;0,ROUND(MAX(D16:D39),2),"")</f>
        <v>7.9</v>
      </c>
      <c r="E42" s="454">
        <f>IF(COUNT(E16:E39)&gt;0,ROUND(MAX(E16:E39),2),"")</f>
        <v>64.8</v>
      </c>
      <c r="F42" s="43">
        <f>IF(COUNT(F16:F39)&gt;0,ROUND(MAX(F16:F39),0),"")</f>
        <v>1985</v>
      </c>
      <c r="G42" s="39">
        <f>IF(COUNT(G16:G39)&gt;0,MAX(G16:G39),"")</f>
        <v>-5.5</v>
      </c>
      <c r="H42" s="39">
        <f>IF(COUNT(H16:H39)&gt;0,MAX(H16:H39),"")</f>
        <v>71.900000000000006</v>
      </c>
      <c r="I42" s="39">
        <f>IF(COUNT(I16:I39)&gt;0,MAX(I16:I39),"")</f>
        <v>21.9</v>
      </c>
      <c r="J42" s="43">
        <f>IF(COUNT(J16:J39)&gt;0,MAX(J16:J39),"")</f>
        <v>295</v>
      </c>
      <c r="K42" s="39">
        <f>IF(COUNT(K16:K39)&gt;0,MAX(K16:K39),"")</f>
        <v>13</v>
      </c>
      <c r="L42" s="454">
        <f>IF(COUNT(L16:L39)&gt;0,ROUND(MAX(L16:L39),1),"")</f>
        <v>130</v>
      </c>
      <c r="M42" s="454">
        <f>IF(COUNT(M16:M39)&gt;0,ROUND(MAX(M16:M39),1),"")</f>
        <v>229</v>
      </c>
      <c r="N42" s="454">
        <f>IF(COUNT(N16:N39)&gt;0,ROUND(MAX(N16:N39),1),"")</f>
        <v>85</v>
      </c>
      <c r="O42" s="441">
        <f>IF(COUNT(O16:O39)&gt;0,ROUND(MAX(O16:O39),1),"")</f>
        <v>55</v>
      </c>
      <c r="P42" s="441">
        <f>IF(COUNT(P16:P39)&gt;0,ROUND(MAX(P16:P39),1),"")</f>
        <v>11</v>
      </c>
      <c r="Q42" s="441">
        <f>IF(COUNT(Q16:Q39)&gt;0,ROUND(MAX(Q16:Q39),4),"")</f>
        <v>239.14</v>
      </c>
      <c r="R42" s="39" t="str">
        <f>IF(COUNT(R16:R39)&gt;0,ROUND(MAX(R16:R39),1),"")</f>
        <v/>
      </c>
      <c r="S42" s="509"/>
      <c r="T42" s="510"/>
      <c r="U42" s="510"/>
      <c r="V42" s="511"/>
      <c r="X42" s="99"/>
      <c r="Y42" s="99"/>
      <c r="Z42" s="99"/>
      <c r="AA42" s="99"/>
      <c r="AB42" s="99"/>
      <c r="AC42" s="99"/>
      <c r="AH42" s="204" t="s">
        <v>312</v>
      </c>
    </row>
    <row r="43" spans="1:55" ht="20.100000000000001" hidden="1" customHeight="1" x14ac:dyDescent="0.25">
      <c r="A43" s="109"/>
      <c r="B43" s="110">
        <f>COUNT(B16:B39)</f>
        <v>0</v>
      </c>
      <c r="C43" s="110">
        <f>COUNT(C16:C39)</f>
        <v>0</v>
      </c>
      <c r="D43" s="110">
        <f>COUNT(D16:D39)</f>
        <v>24</v>
      </c>
      <c r="E43" s="110">
        <f t="shared" ref="E43:H43" si="24">COUNT(E16:E39)</f>
        <v>24</v>
      </c>
      <c r="F43" s="110">
        <f t="shared" si="24"/>
        <v>24</v>
      </c>
      <c r="G43" s="110">
        <f t="shared" si="24"/>
        <v>24</v>
      </c>
      <c r="H43" s="110">
        <f t="shared" si="24"/>
        <v>24</v>
      </c>
      <c r="I43" s="110"/>
      <c r="J43" s="110"/>
      <c r="K43" s="110"/>
      <c r="L43" s="110">
        <f t="shared" ref="L43:Q43" si="25">COUNT(L16:L39)</f>
        <v>24</v>
      </c>
      <c r="M43" s="110">
        <f t="shared" si="25"/>
        <v>24</v>
      </c>
      <c r="N43" s="110">
        <f t="shared" si="25"/>
        <v>24</v>
      </c>
      <c r="O43" s="110">
        <f t="shared" si="25"/>
        <v>24</v>
      </c>
      <c r="P43" s="110">
        <f t="shared" si="25"/>
        <v>24</v>
      </c>
      <c r="Q43" s="110">
        <f t="shared" si="25"/>
        <v>24</v>
      </c>
      <c r="R43" s="110"/>
      <c r="S43" s="99"/>
      <c r="T43" s="99"/>
      <c r="U43" s="99"/>
      <c r="V43" s="99"/>
      <c r="X43" s="99"/>
      <c r="Y43" s="99"/>
      <c r="Z43" s="99"/>
      <c r="AA43" s="99"/>
      <c r="AB43" s="99"/>
      <c r="AC43" s="99"/>
      <c r="AD43" s="92" t="str">
        <f>IF(AND(D43=E43,D43=F43,D43=G43,D43=H43,D43=L43,D43=M43,D43=N43,D43=O43,D43=P43,D43=Q43),"","CEK : Data Content")</f>
        <v/>
      </c>
      <c r="AH43" s="204" t="s">
        <v>221</v>
      </c>
    </row>
    <row r="44" spans="1:55" s="6" customFormat="1" ht="15" customHeight="1" x14ac:dyDescent="0.25">
      <c r="J44" s="91" t="str">
        <f>IF(J1="PRINT","",IF(J42="","RH please ! !",""))</f>
        <v/>
      </c>
      <c r="L44" s="24"/>
      <c r="Q44" s="445">
        <f>IFERROR(ROUND(AVERAGE(Q16:Q39),4),"")</f>
        <v>214.9725</v>
      </c>
      <c r="AH44" s="204" t="s">
        <v>323</v>
      </c>
      <c r="AI44" s="7"/>
    </row>
    <row r="45" spans="1:55" s="6" customFormat="1" ht="15" customHeight="1" x14ac:dyDescent="0.25">
      <c r="L45" s="26" t="s">
        <v>290</v>
      </c>
      <c r="Q45" s="445"/>
      <c r="AH45" s="204" t="s">
        <v>288</v>
      </c>
      <c r="AI45" s="7"/>
    </row>
    <row r="46" spans="1:55" s="6" customFormat="1" ht="15" customHeight="1" x14ac:dyDescent="0.25">
      <c r="D46" s="443" t="s">
        <v>90</v>
      </c>
      <c r="E46" s="448" t="str">
        <f>IF(Schedule!C$13="","",Schedule!C$13)</f>
        <v/>
      </c>
      <c r="G46" s="61"/>
      <c r="H46" s="25" t="str">
        <f>IFERROR(IF(OR(I47="",I48="",I49=""),"WAKTU BELUM DI-ISI LENGKAP",IF(SUM(I48:I49)&lt;=1,"","CEK KEMBALI PENULISAN WAKTU SALAH")),"CEK KEMBALI PENULISAN WAKTU SALAH")</f>
        <v/>
      </c>
      <c r="L46" s="26" t="s">
        <v>22</v>
      </c>
      <c r="M46" s="460">
        <f>IF(Volume!$W12="",$O46,Volume!$W12)</f>
        <v>47.573799999999999</v>
      </c>
      <c r="N46" s="27" t="s">
        <v>1</v>
      </c>
      <c r="O46" s="447">
        <f>IF(O40="","",O40)</f>
        <v>50.8</v>
      </c>
      <c r="P46" s="361" t="s">
        <v>29</v>
      </c>
      <c r="Q46" s="362"/>
      <c r="R46" s="362"/>
      <c r="S46" s="362"/>
      <c r="T46" s="361" t="s">
        <v>30</v>
      </c>
      <c r="U46" s="362"/>
      <c r="V46" s="362"/>
      <c r="AH46" s="204" t="s">
        <v>222</v>
      </c>
    </row>
    <row r="47" spans="1:55" s="6" customFormat="1" ht="15" customHeight="1" x14ac:dyDescent="0.25">
      <c r="D47" s="448"/>
      <c r="E47" s="448"/>
      <c r="H47" s="26" t="s">
        <v>26</v>
      </c>
      <c r="I47" s="56">
        <f>IF(OR(I48="",I49=""),"",1-I48-I49)</f>
        <v>1</v>
      </c>
      <c r="J47" s="27" t="s">
        <v>19</v>
      </c>
      <c r="L47" s="26" t="s">
        <v>23</v>
      </c>
      <c r="M47" s="442">
        <f>IF(Volume!$Y12="",$O47,Volume!$Y12)</f>
        <v>8.5188000000000006</v>
      </c>
      <c r="N47" s="27" t="s">
        <v>14</v>
      </c>
      <c r="O47" s="447">
        <f>IF(P40="","",P40)</f>
        <v>8.8000000000000007</v>
      </c>
      <c r="P47" s="361" t="s">
        <v>211</v>
      </c>
      <c r="Q47" s="362"/>
      <c r="R47" s="362"/>
      <c r="S47" s="362"/>
      <c r="T47" s="361" t="s">
        <v>271</v>
      </c>
      <c r="U47" s="362"/>
      <c r="V47" s="362"/>
      <c r="AH47" s="204" t="s">
        <v>223</v>
      </c>
    </row>
    <row r="48" spans="1:55" s="6" customFormat="1" ht="15" customHeight="1" x14ac:dyDescent="0.25">
      <c r="D48" s="443" t="s">
        <v>91</v>
      </c>
      <c r="E48" s="448" t="str">
        <f>IF(Schedule!D$13="","",Schedule!D$13)</f>
        <v/>
      </c>
      <c r="H48" s="26" t="s">
        <v>37</v>
      </c>
      <c r="I48" s="108">
        <f>IF(OR(COUNT($Q$16:$Q$39)&lt;&gt;0,COUNTA($AD$16:$AD$39)&lt;&gt;0),AB40,"")</f>
        <v>0</v>
      </c>
      <c r="J48" s="27" t="s">
        <v>19</v>
      </c>
      <c r="L48" s="26" t="s">
        <v>24</v>
      </c>
      <c r="M48" s="449">
        <f>IF(N40="","",N40)</f>
        <v>85</v>
      </c>
      <c r="N48" s="27" t="s">
        <v>5</v>
      </c>
      <c r="P48" s="362"/>
      <c r="Q48" s="362"/>
      <c r="R48" s="362"/>
      <c r="S48" s="362"/>
      <c r="T48" s="361" t="s">
        <v>291</v>
      </c>
      <c r="U48" s="362"/>
      <c r="V48" s="362"/>
      <c r="AH48" s="204" t="s">
        <v>324</v>
      </c>
    </row>
    <row r="49" spans="1:34" s="6" customFormat="1" ht="15" customHeight="1" x14ac:dyDescent="0.25">
      <c r="D49" s="448"/>
      <c r="E49" s="448"/>
      <c r="H49" s="26" t="s">
        <v>27</v>
      </c>
      <c r="I49" s="108">
        <f>IF(OR(COUNT($Q$16:$Q$39)&lt;&gt;0,COUNTA($AD$16:$AD$39)&lt;&gt;0),AC40,"")</f>
        <v>0</v>
      </c>
      <c r="J49" s="27" t="s">
        <v>19</v>
      </c>
      <c r="L49" s="26" t="s">
        <v>128</v>
      </c>
      <c r="M49" s="442">
        <f>IF(Volume!$L12="",M51,Volume!$L12)</f>
        <v>201.5</v>
      </c>
      <c r="N49" s="27" t="str">
        <f>IF(Q15="MSCFD","MSCF","MMSCF")</f>
        <v>MSCF</v>
      </c>
      <c r="P49" s="362"/>
      <c r="Q49" s="362"/>
      <c r="R49" s="362"/>
      <c r="S49" s="362"/>
      <c r="T49" s="362"/>
      <c r="U49" s="362"/>
      <c r="V49" s="362"/>
      <c r="AH49" s="204" t="s">
        <v>317</v>
      </c>
    </row>
    <row r="50" spans="1:34" s="6" customFormat="1" ht="15" customHeight="1" x14ac:dyDescent="0.25">
      <c r="D50" s="443" t="s">
        <v>92</v>
      </c>
      <c r="E50" s="448" t="str">
        <f>IF(Schedule!E$13="","",Schedule!E$13)</f>
        <v>Marihot Gustafa S.</v>
      </c>
      <c r="L50" s="443" t="str">
        <f>CONCATENATE(MR!L16," ",":")</f>
        <v>Liquid Gain :</v>
      </c>
      <c r="M50" s="446" t="str">
        <f>IF(R40="","",ROUND(SUM(R16:R39),2))</f>
        <v/>
      </c>
      <c r="N50" s="444" t="str">
        <f>R15</f>
        <v>BPD</v>
      </c>
      <c r="P50" s="362"/>
      <c r="Q50" s="362"/>
      <c r="R50" s="362"/>
      <c r="S50" s="362"/>
      <c r="T50" s="362"/>
      <c r="U50" s="362"/>
      <c r="V50" s="362"/>
      <c r="AH50" s="204" t="s">
        <v>282</v>
      </c>
    </row>
    <row r="51" spans="1:34" s="6" customFormat="1" ht="15" customHeight="1" x14ac:dyDescent="0.25">
      <c r="A51" s="4"/>
      <c r="L51" s="443" t="s">
        <v>286</v>
      </c>
      <c r="M51" s="447">
        <f>IF(Q44="","",IF(SUM(I48:I49)=1,IF(Q44&lt;&gt;0,"Cek Tabel",""),ROUND(Q44*I47,4)))</f>
        <v>214.9725</v>
      </c>
      <c r="N51" s="444" t="str">
        <f>IF(Q15="MSCFD","MSCF","MMSCF")</f>
        <v>MSCF</v>
      </c>
      <c r="P51" s="362"/>
      <c r="Q51" s="362"/>
      <c r="R51" s="362"/>
      <c r="S51" s="362"/>
      <c r="T51" s="362"/>
      <c r="U51" s="362"/>
      <c r="V51" s="362"/>
      <c r="AH51" s="204" t="s">
        <v>325</v>
      </c>
    </row>
    <row r="52" spans="1:34" s="6" customFormat="1" ht="15" customHeight="1" x14ac:dyDescent="0.25">
      <c r="D52" s="26" t="s">
        <v>28</v>
      </c>
      <c r="E52" s="47"/>
      <c r="F52" s="47"/>
      <c r="G52" s="47"/>
      <c r="H52" s="47"/>
      <c r="I52" s="47"/>
      <c r="J52" s="47"/>
      <c r="K52" s="47"/>
      <c r="L52" s="5"/>
      <c r="P52" s="362"/>
      <c r="Q52" s="362"/>
      <c r="R52" s="362"/>
      <c r="S52" s="362"/>
      <c r="T52" s="362"/>
      <c r="U52" s="362"/>
      <c r="V52" s="362"/>
      <c r="AH52" s="204" t="s">
        <v>280</v>
      </c>
    </row>
    <row r="53" spans="1:34" s="6" customFormat="1" ht="15" customHeight="1" x14ac:dyDescent="0.25">
      <c r="D53" s="5"/>
      <c r="E53" s="48"/>
      <c r="F53" s="48"/>
      <c r="G53" s="48"/>
      <c r="H53" s="48"/>
      <c r="I53" s="48"/>
      <c r="J53" s="48"/>
      <c r="K53" s="48"/>
      <c r="L53" s="5"/>
      <c r="P53" s="363" t="str">
        <f>UPPER(E50)</f>
        <v>MARIHOT GUSTAFA S.</v>
      </c>
      <c r="Q53" s="362"/>
      <c r="R53" s="362"/>
      <c r="S53" s="362"/>
      <c r="T53" s="363" t="str">
        <f>IF(Schedule!F$13="","",UPPER(Schedule!F$13))</f>
        <v>BUDI WIDHARTONO</v>
      </c>
      <c r="U53" s="362"/>
      <c r="V53" s="362"/>
      <c r="AH53" s="204" t="s">
        <v>316</v>
      </c>
    </row>
    <row r="54" spans="1:34" s="6" customFormat="1" ht="15" customHeight="1" x14ac:dyDescent="0.25">
      <c r="E54" s="48"/>
      <c r="F54" s="48"/>
      <c r="G54" s="48"/>
      <c r="H54" s="48"/>
      <c r="I54" s="48"/>
      <c r="J54" s="48"/>
      <c r="K54" s="48"/>
      <c r="P54" s="361" t="s">
        <v>107</v>
      </c>
      <c r="Q54" s="362"/>
      <c r="R54" s="362"/>
      <c r="S54" s="362"/>
      <c r="T54" s="361" t="s">
        <v>294</v>
      </c>
      <c r="U54" s="362"/>
      <c r="V54" s="362"/>
      <c r="AH54" s="204" t="s">
        <v>326</v>
      </c>
    </row>
    <row r="55" spans="1:34" s="6" customFormat="1" ht="15" customHeight="1" x14ac:dyDescent="0.25">
      <c r="P55" s="364" t="str">
        <f>CONCATENATE("Date : ",TEXT(K12,"[$-409]d mmm yyyy;@"))</f>
        <v>Date : 9 Jun 2025</v>
      </c>
      <c r="Q55" s="362"/>
      <c r="R55" s="364"/>
      <c r="S55" s="362"/>
      <c r="T55" s="364" t="str">
        <f>CONCATENATE("Date : ",TEXT(K12,"[$-409]d mmm yyyy;@"))</f>
        <v>Date : 9 Jun 2025</v>
      </c>
      <c r="U55" s="362"/>
      <c r="V55" s="362"/>
      <c r="AH55" s="204" t="s">
        <v>327</v>
      </c>
    </row>
    <row r="56" spans="1:34" ht="15" customHeight="1" x14ac:dyDescent="0.25">
      <c r="AH56" s="204" t="s">
        <v>281</v>
      </c>
    </row>
    <row r="57" spans="1:34" ht="15" customHeight="1" x14ac:dyDescent="0.25">
      <c r="AH57" s="204" t="s">
        <v>277</v>
      </c>
    </row>
    <row r="58" spans="1:34" ht="15" customHeight="1" x14ac:dyDescent="0.25">
      <c r="AH58" s="204" t="s">
        <v>328</v>
      </c>
    </row>
    <row r="59" spans="1:34" ht="15" customHeight="1" x14ac:dyDescent="0.25">
      <c r="AH59" s="204" t="s">
        <v>329</v>
      </c>
    </row>
    <row r="60" spans="1:34" ht="15" customHeight="1" x14ac:dyDescent="0.25">
      <c r="AH60" s="204" t="s">
        <v>330</v>
      </c>
    </row>
    <row r="61" spans="1:34" ht="15" customHeight="1" x14ac:dyDescent="0.25">
      <c r="AH61" s="204" t="s">
        <v>331</v>
      </c>
    </row>
    <row r="62" spans="1:34" ht="15" customHeight="1" x14ac:dyDescent="0.25">
      <c r="AH62" s="204" t="s">
        <v>332</v>
      </c>
    </row>
    <row r="63" spans="1:34" ht="15" customHeight="1" x14ac:dyDescent="0.25">
      <c r="AH63" s="204" t="s">
        <v>315</v>
      </c>
    </row>
    <row r="64" spans="1:34" ht="15" customHeight="1" x14ac:dyDescent="0.25">
      <c r="AH64" s="204" t="s">
        <v>333</v>
      </c>
    </row>
    <row r="65" spans="34:34" ht="15" customHeight="1" x14ac:dyDescent="0.25">
      <c r="AH65" s="204" t="s">
        <v>310</v>
      </c>
    </row>
    <row r="66" spans="34:34" ht="15" customHeight="1" x14ac:dyDescent="0.25">
      <c r="AH66" s="204" t="s">
        <v>334</v>
      </c>
    </row>
    <row r="67" spans="34:34" ht="15" customHeight="1" x14ac:dyDescent="0.25">
      <c r="AH67" s="204" t="s">
        <v>335</v>
      </c>
    </row>
    <row r="68" spans="34:34" ht="15" customHeight="1" x14ac:dyDescent="0.25">
      <c r="AH68" s="204" t="s">
        <v>336</v>
      </c>
    </row>
    <row r="69" spans="34:34" ht="15" customHeight="1" x14ac:dyDescent="0.25">
      <c r="AH69" s="204" t="s">
        <v>337</v>
      </c>
    </row>
    <row r="70" spans="34:34" ht="15" customHeight="1" x14ac:dyDescent="0.25">
      <c r="AH70" s="204" t="s">
        <v>338</v>
      </c>
    </row>
    <row r="71" spans="34:34" ht="15" customHeight="1" x14ac:dyDescent="0.25">
      <c r="AH71" s="204" t="s">
        <v>339</v>
      </c>
    </row>
    <row r="72" spans="34:34" ht="15" customHeight="1" x14ac:dyDescent="0.25">
      <c r="AH72" s="204" t="s">
        <v>340</v>
      </c>
    </row>
    <row r="85" spans="34:34" ht="0" hidden="1" customHeight="1" x14ac:dyDescent="0.25">
      <c r="AH85" s="6"/>
    </row>
    <row r="86" spans="34:34" ht="0" hidden="1" customHeight="1" x14ac:dyDescent="0.25">
      <c r="AH86" s="6"/>
    </row>
    <row r="87" spans="34:34" ht="0" hidden="1" customHeight="1" x14ac:dyDescent="0.25">
      <c r="AH87" s="6"/>
    </row>
    <row r="88" spans="34:34" ht="0" hidden="1" customHeight="1" x14ac:dyDescent="0.25">
      <c r="AH88" s="6"/>
    </row>
    <row r="89" spans="34:34" ht="0" hidden="1" customHeight="1" x14ac:dyDescent="0.25">
      <c r="AH89" s="6"/>
    </row>
    <row r="90" spans="34:34" ht="0" hidden="1" customHeight="1" x14ac:dyDescent="0.25">
      <c r="AH90" s="6"/>
    </row>
    <row r="91" spans="34:34" ht="0" hidden="1" customHeight="1" x14ac:dyDescent="0.25">
      <c r="AH91" s="6"/>
    </row>
    <row r="92" spans="34:34" ht="0" hidden="1" customHeight="1" x14ac:dyDescent="0.25">
      <c r="AH92" s="6"/>
    </row>
    <row r="93" spans="34:34" ht="0" hidden="1" customHeight="1" x14ac:dyDescent="0.25">
      <c r="AH93" s="6"/>
    </row>
    <row r="94" spans="34:34" ht="0" hidden="1" customHeight="1" x14ac:dyDescent="0.25">
      <c r="AH94" s="6"/>
    </row>
  </sheetData>
  <sheetProtection algorithmName="SHA-512" hashValue="F7ZwWLs5+DtdYFDPQGWwPcKfDcqSU0HGSnpgW6gOWD04y8ys6xgn0hwLD7A0R9F7D0RnjP4ZbtrgiAZ5XQWrBw==" saltValue="J3vgzljekE+30q3htenX4g==" spinCount="100000" sheet="1" objects="1" scenarios="1" formatColumns="0" formatRows="0" insertColumns="0" insertRows="0" sort="0" autoFilter="0" pivotTables="0"/>
  <mergeCells count="69">
    <mergeCell ref="S37:V37"/>
    <mergeCell ref="S38:V38"/>
    <mergeCell ref="S39:V39"/>
    <mergeCell ref="S40:V40"/>
    <mergeCell ref="S41:V42"/>
    <mergeCell ref="S36:V36"/>
    <mergeCell ref="S25:V25"/>
    <mergeCell ref="S26:V26"/>
    <mergeCell ref="S27:V27"/>
    <mergeCell ref="S28:V28"/>
    <mergeCell ref="S29:V29"/>
    <mergeCell ref="S30:V30"/>
    <mergeCell ref="S31:V31"/>
    <mergeCell ref="S32:V32"/>
    <mergeCell ref="S33:V33"/>
    <mergeCell ref="S34:V34"/>
    <mergeCell ref="S35:V35"/>
    <mergeCell ref="S19:V19"/>
    <mergeCell ref="S20:V20"/>
    <mergeCell ref="S21:V21"/>
    <mergeCell ref="S22:V22"/>
    <mergeCell ref="S23:V23"/>
    <mergeCell ref="S24:V24"/>
    <mergeCell ref="BA14:BA15"/>
    <mergeCell ref="BB14:BB15"/>
    <mergeCell ref="BC14:BC15"/>
    <mergeCell ref="S16:V16"/>
    <mergeCell ref="S17:V17"/>
    <mergeCell ref="S18:V18"/>
    <mergeCell ref="AU14:AU15"/>
    <mergeCell ref="AV14:AV15"/>
    <mergeCell ref="AW14:AW15"/>
    <mergeCell ref="AX14:AX15"/>
    <mergeCell ref="AY14:AY15"/>
    <mergeCell ref="AZ14:AZ15"/>
    <mergeCell ref="AO14:AO15"/>
    <mergeCell ref="AP14:AP15"/>
    <mergeCell ref="AQ14:AQ15"/>
    <mergeCell ref="AR14:AR15"/>
    <mergeCell ref="AS14:AS15"/>
    <mergeCell ref="AT14:AT15"/>
    <mergeCell ref="AD14:AD15"/>
    <mergeCell ref="AJ14:AJ15"/>
    <mergeCell ref="AK14:AK15"/>
    <mergeCell ref="AL14:AL15"/>
    <mergeCell ref="AM14:AM15"/>
    <mergeCell ref="AN14:AN15"/>
    <mergeCell ref="Y14:AC14"/>
    <mergeCell ref="H13:H14"/>
    <mergeCell ref="I13:I14"/>
    <mergeCell ref="J13:J14"/>
    <mergeCell ref="K13:K14"/>
    <mergeCell ref="L13:L14"/>
    <mergeCell ref="M13:N13"/>
    <mergeCell ref="Q13:Q14"/>
    <mergeCell ref="R13:R14"/>
    <mergeCell ref="S13:V15"/>
    <mergeCell ref="O13:O14"/>
    <mergeCell ref="P13:P14"/>
    <mergeCell ref="A10:V10"/>
    <mergeCell ref="A11:V11"/>
    <mergeCell ref="K12:L12"/>
    <mergeCell ref="A13:A15"/>
    <mergeCell ref="B13:B14"/>
    <mergeCell ref="C13:C14"/>
    <mergeCell ref="D13:D14"/>
    <mergeCell ref="E13:E14"/>
    <mergeCell ref="F13:F14"/>
    <mergeCell ref="G13:G14"/>
  </mergeCells>
  <conditionalFormatting sqref="I47">
    <cfRule type="cellIs" dxfId="112" priority="5" operator="lessThan">
      <formula>0</formula>
    </cfRule>
  </conditionalFormatting>
  <conditionalFormatting sqref="Y16:Y39">
    <cfRule type="containsText" dxfId="111" priority="3" operator="containsText" text="STBY">
      <formula>NOT(ISERROR(SEARCH("STBY",Y16)))</formula>
    </cfRule>
    <cfRule type="containsText" dxfId="110" priority="4" operator="containsText" text="SD">
      <formula>NOT(ISERROR(SEARCH("SD",Y16)))</formula>
    </cfRule>
  </conditionalFormatting>
  <conditionalFormatting sqref="B16:B39 D16:R39">
    <cfRule type="expression" dxfId="109" priority="2">
      <formula>ISTEXT(B16)</formula>
    </cfRule>
  </conditionalFormatting>
  <conditionalFormatting sqref="C16:C39">
    <cfRule type="expression" dxfId="108" priority="1">
      <formula>ISTEXT(C16)</formula>
    </cfRule>
  </conditionalFormatting>
  <dataValidations count="2">
    <dataValidation type="list" allowBlank="1" showInputMessage="1" showErrorMessage="1" sqref="Y16:Y39" xr:uid="{2E99F5F3-0174-44C8-9B07-E395EC57C365}">
      <formula1>"SD,STBY"</formula1>
    </dataValidation>
    <dataValidation type="list" allowBlank="1" showInputMessage="1" sqref="AD16:AD39" xr:uid="{A996A983-A0E4-4B4A-B7C8-1D6EF28B26D6}">
      <formula1>$AH$15:$AH$72</formula1>
    </dataValidation>
  </dataValidations>
  <printOptions horizontalCentered="1"/>
  <pageMargins left="0.39370078740157483" right="0.39370078740157483" top="0.59055118110236227" bottom="0.39370078740157483" header="0.31496062992125984" footer="0.31496062992125984"/>
  <pageSetup paperSize="9" scale="57" orientation="landscape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4BBFA-149D-4FAA-B110-E2C45C6D432B}">
  <sheetPr codeName="N10">
    <pageSetUpPr fitToPage="1"/>
  </sheetPr>
  <dimension ref="A1:BC94"/>
  <sheetViews>
    <sheetView topLeftCell="A16" zoomScale="85" zoomScaleNormal="85" workbookViewId="0">
      <selection activeCell="M40" sqref="M40"/>
    </sheetView>
  </sheetViews>
  <sheetFormatPr defaultColWidth="0" defaultRowHeight="0" customHeight="1" zeroHeight="1" x14ac:dyDescent="0.25"/>
  <cols>
    <col min="1" max="1" width="10.7109375" style="7" customWidth="1"/>
    <col min="2" max="3" width="10.7109375" style="7" hidden="1" customWidth="1"/>
    <col min="4" max="14" width="10.7109375" style="7" customWidth="1"/>
    <col min="15" max="17" width="11.7109375" style="7" customWidth="1"/>
    <col min="18" max="18" width="10.7109375" style="7" hidden="1" customWidth="1"/>
    <col min="19" max="22" width="10.7109375" style="7" customWidth="1"/>
    <col min="23" max="23" width="2.7109375" style="7" customWidth="1"/>
    <col min="24" max="29" width="10.7109375" style="7" customWidth="1"/>
    <col min="30" max="30" width="30.7109375" style="7" customWidth="1"/>
    <col min="31" max="33" width="11.7109375" style="7" customWidth="1"/>
    <col min="34" max="34" width="30.7109375" style="7" customWidth="1"/>
    <col min="35" max="35" width="2.7109375" style="7" hidden="1" customWidth="1"/>
    <col min="36" max="55" width="11.7109375" style="7" hidden="1" customWidth="1"/>
    <col min="56" max="16384" width="9.140625" style="7" hidden="1"/>
  </cols>
  <sheetData>
    <row r="1" spans="1:55" ht="15" customHeight="1" x14ac:dyDescent="0.25">
      <c r="A1" s="7" t="s">
        <v>16</v>
      </c>
      <c r="D1" s="11" t="s">
        <v>85</v>
      </c>
      <c r="J1" s="7" t="str">
        <f>IF(MR!U13="Yes","PRINT","No")</f>
        <v>PRINT</v>
      </c>
      <c r="M1" s="191"/>
      <c r="N1" s="191"/>
    </row>
    <row r="2" spans="1:55" ht="15" customHeight="1" thickBot="1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192"/>
      <c r="M2" s="4"/>
      <c r="N2" s="4"/>
      <c r="O2" s="4"/>
      <c r="P2" s="4"/>
      <c r="Q2" s="4"/>
      <c r="R2" s="4"/>
      <c r="S2" s="8"/>
      <c r="T2" s="8"/>
      <c r="U2" s="8"/>
      <c r="V2" s="8"/>
      <c r="X2" s="8"/>
      <c r="Y2" s="8"/>
      <c r="Z2" s="8"/>
      <c r="AA2" s="8"/>
      <c r="AB2" s="8"/>
      <c r="AC2" s="8"/>
      <c r="AD2" s="8"/>
      <c r="AE2" s="8"/>
    </row>
    <row r="3" spans="1:55" ht="15" customHeight="1" x14ac:dyDescent="0.2">
      <c r="A3" s="31"/>
      <c r="B3" s="28"/>
      <c r="C3" s="28"/>
      <c r="D3" s="28"/>
      <c r="E3" s="28"/>
      <c r="F3" s="13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2"/>
      <c r="T3" s="22"/>
      <c r="U3" s="22"/>
      <c r="V3" s="23"/>
      <c r="X3" s="8"/>
      <c r="Y3" s="8"/>
      <c r="Z3" s="8"/>
      <c r="AA3" s="8"/>
      <c r="AB3" s="8"/>
      <c r="AC3" s="8"/>
      <c r="AD3" s="8"/>
      <c r="AE3" s="8"/>
    </row>
    <row r="4" spans="1:55" ht="30" customHeight="1" x14ac:dyDescent="0.25">
      <c r="A4" s="30"/>
      <c r="B4" s="1"/>
      <c r="C4" s="1"/>
      <c r="D4" s="1"/>
      <c r="E4" s="3"/>
      <c r="F4" s="63" t="s">
        <v>210</v>
      </c>
      <c r="G4" s="1"/>
      <c r="H4" s="1"/>
      <c r="I4" s="3"/>
      <c r="J4" s="3"/>
      <c r="K4" s="3"/>
      <c r="L4" s="3"/>
      <c r="M4" s="3"/>
      <c r="N4" s="3"/>
      <c r="O4" s="3"/>
      <c r="P4" s="3"/>
      <c r="Q4" s="3"/>
      <c r="R4" s="3"/>
      <c r="S4" s="1"/>
      <c r="T4" s="1"/>
      <c r="U4" s="1"/>
      <c r="V4" s="2"/>
      <c r="X4" s="5"/>
      <c r="Y4" s="5"/>
      <c r="Z4" s="5"/>
      <c r="AA4" s="5"/>
      <c r="AB4" s="5"/>
      <c r="AC4" s="5"/>
      <c r="AD4" s="5"/>
      <c r="AE4" s="5"/>
    </row>
    <row r="5" spans="1:55" ht="15" customHeight="1" x14ac:dyDescent="0.2">
      <c r="A5" s="32"/>
      <c r="B5" s="33"/>
      <c r="C5" s="33"/>
      <c r="D5" s="12"/>
      <c r="E5" s="3"/>
      <c r="F5" s="10" t="s">
        <v>129</v>
      </c>
      <c r="G5" s="1"/>
      <c r="H5" s="1"/>
      <c r="I5" s="3"/>
      <c r="J5" s="3"/>
      <c r="K5" s="3"/>
      <c r="L5" s="3"/>
      <c r="M5" s="3"/>
      <c r="N5" s="3"/>
      <c r="O5" s="3"/>
      <c r="P5" s="3"/>
      <c r="Q5" s="3"/>
      <c r="R5" s="3"/>
      <c r="S5" s="12"/>
      <c r="T5" s="12"/>
      <c r="U5" s="12"/>
      <c r="V5" s="14"/>
      <c r="X5" s="8"/>
      <c r="Y5" s="8"/>
      <c r="Z5" s="8"/>
      <c r="AA5" s="8"/>
      <c r="AB5" s="8"/>
      <c r="AC5" s="8"/>
      <c r="AD5" s="8"/>
      <c r="AE5" s="8"/>
      <c r="AJ5" s="193" t="s">
        <v>184</v>
      </c>
      <c r="AK5" s="194">
        <f>'V Calc'!B1</f>
        <v>500</v>
      </c>
      <c r="AL5" s="124"/>
    </row>
    <row r="6" spans="1:55" ht="15" customHeight="1" x14ac:dyDescent="0.2">
      <c r="A6" s="32"/>
      <c r="B6" s="33"/>
      <c r="C6" s="33"/>
      <c r="D6" s="12"/>
      <c r="E6" s="3"/>
      <c r="F6" s="10" t="s">
        <v>132</v>
      </c>
      <c r="G6" s="1"/>
      <c r="H6" s="1"/>
      <c r="I6" s="3"/>
      <c r="J6" s="3"/>
      <c r="K6" s="3"/>
      <c r="L6" s="3"/>
      <c r="M6" s="3"/>
      <c r="N6" s="3"/>
      <c r="O6" s="3"/>
      <c r="P6" s="3"/>
      <c r="Q6" s="3"/>
      <c r="R6" s="3"/>
      <c r="S6" s="12"/>
      <c r="T6" s="12"/>
      <c r="U6" s="12"/>
      <c r="V6" s="14"/>
      <c r="X6" s="8"/>
      <c r="Y6" s="8"/>
      <c r="Z6" s="8"/>
      <c r="AA6" s="8"/>
      <c r="AB6" s="8"/>
      <c r="AC6" s="8"/>
      <c r="AD6" s="8"/>
      <c r="AE6" s="8"/>
      <c r="AJ6" s="193" t="s">
        <v>185</v>
      </c>
      <c r="AK6" s="194">
        <f>'V Calc'!B2</f>
        <v>100</v>
      </c>
      <c r="AL6" s="124"/>
    </row>
    <row r="7" spans="1:55" ht="15" customHeight="1" x14ac:dyDescent="0.2">
      <c r="A7" s="32"/>
      <c r="B7" s="33"/>
      <c r="C7" s="33"/>
      <c r="D7" s="12"/>
      <c r="E7" s="3"/>
      <c r="F7" s="10" t="s">
        <v>130</v>
      </c>
      <c r="G7" s="1"/>
      <c r="H7" s="1"/>
      <c r="I7" s="3"/>
      <c r="J7" s="3"/>
      <c r="K7" s="3"/>
      <c r="L7" s="3"/>
      <c r="M7" s="3"/>
      <c r="N7" s="3"/>
      <c r="O7" s="3"/>
      <c r="P7" s="3"/>
      <c r="Q7" s="3"/>
      <c r="R7" s="3"/>
      <c r="S7" s="12"/>
      <c r="T7" s="12"/>
      <c r="U7" s="12"/>
      <c r="V7" s="14"/>
      <c r="X7" s="8"/>
      <c r="Y7" s="8"/>
      <c r="Z7" s="8"/>
      <c r="AA7" s="8"/>
      <c r="AB7" s="8"/>
      <c r="AC7" s="8"/>
      <c r="AD7" s="8"/>
      <c r="AE7" s="8"/>
      <c r="AJ7" s="193" t="s">
        <v>186</v>
      </c>
      <c r="AK7" s="195">
        <f>'V Calc'!B3</f>
        <v>2</v>
      </c>
      <c r="AL7" s="124"/>
    </row>
    <row r="8" spans="1:55" ht="15" customHeight="1" x14ac:dyDescent="0.2">
      <c r="A8" s="32"/>
      <c r="B8" s="33"/>
      <c r="C8" s="33"/>
      <c r="D8" s="12"/>
      <c r="E8" s="3"/>
      <c r="F8" s="10" t="s">
        <v>131</v>
      </c>
      <c r="G8" s="62"/>
      <c r="H8" s="62"/>
      <c r="I8" s="3"/>
      <c r="J8" s="3"/>
      <c r="K8" s="3"/>
      <c r="L8" s="3"/>
      <c r="M8" s="3"/>
      <c r="N8" s="3"/>
      <c r="O8" s="3"/>
      <c r="P8" s="3"/>
      <c r="Q8" s="3"/>
      <c r="R8" s="3"/>
      <c r="S8" s="12"/>
      <c r="T8" s="12"/>
      <c r="U8" s="12"/>
      <c r="V8" s="14"/>
      <c r="X8" s="8"/>
      <c r="Y8" s="8"/>
      <c r="Z8" s="8"/>
      <c r="AA8" s="8"/>
      <c r="AB8" s="8"/>
      <c r="AC8" s="8"/>
      <c r="AD8" s="8"/>
      <c r="AE8" s="8"/>
      <c r="AJ8" s="193" t="s">
        <v>187</v>
      </c>
      <c r="AK8" s="195">
        <f>'V Calc'!B4</f>
        <v>0.875</v>
      </c>
      <c r="AL8" s="124"/>
    </row>
    <row r="9" spans="1:55" ht="15" customHeight="1" thickBot="1" x14ac:dyDescent="0.25">
      <c r="A9" s="34"/>
      <c r="B9" s="29"/>
      <c r="C9" s="29"/>
      <c r="D9" s="29"/>
      <c r="E9" s="29"/>
      <c r="F9" s="15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16"/>
      <c r="T9" s="16"/>
      <c r="U9" s="16"/>
      <c r="V9" s="17"/>
      <c r="X9" s="8"/>
      <c r="Y9" s="8"/>
      <c r="Z9" s="8"/>
      <c r="AA9" s="8"/>
      <c r="AB9" s="8"/>
      <c r="AC9" s="8"/>
      <c r="AD9" s="8"/>
      <c r="AE9" s="8"/>
      <c r="AJ9" s="196" t="s">
        <v>188</v>
      </c>
      <c r="AK9" s="197">
        <f>'V Calc'!B5</f>
        <v>158.47</v>
      </c>
      <c r="AL9" s="198"/>
    </row>
    <row r="10" spans="1:55" s="9" customFormat="1" ht="30" customHeight="1" x14ac:dyDescent="0.2">
      <c r="A10" s="513" t="s">
        <v>20</v>
      </c>
      <c r="B10" s="514"/>
      <c r="C10" s="514"/>
      <c r="D10" s="514"/>
      <c r="E10" s="514"/>
      <c r="F10" s="514"/>
      <c r="G10" s="514"/>
      <c r="H10" s="514"/>
      <c r="I10" s="514"/>
      <c r="J10" s="514"/>
      <c r="K10" s="514"/>
      <c r="L10" s="514"/>
      <c r="M10" s="514"/>
      <c r="N10" s="514"/>
      <c r="O10" s="514"/>
      <c r="P10" s="514"/>
      <c r="Q10" s="514"/>
      <c r="R10" s="514"/>
      <c r="S10" s="514"/>
      <c r="T10" s="514"/>
      <c r="U10" s="514"/>
      <c r="V10" s="515"/>
      <c r="X10" s="96"/>
      <c r="Y10" s="96"/>
      <c r="Z10" s="96"/>
      <c r="AA10" s="96"/>
      <c r="AB10" s="96"/>
      <c r="AC10" s="96"/>
      <c r="AJ10" s="193" t="s">
        <v>189</v>
      </c>
      <c r="AK10" s="199">
        <f>'V Calc'!B6</f>
        <v>0.63607464142166403</v>
      </c>
      <c r="AL10" s="198" t="s">
        <v>190</v>
      </c>
    </row>
    <row r="11" spans="1:55" s="9" customFormat="1" ht="20.100000000000001" customHeight="1" thickBot="1" x14ac:dyDescent="0.25">
      <c r="A11" s="516" t="s">
        <v>21</v>
      </c>
      <c r="B11" s="517"/>
      <c r="C11" s="517"/>
      <c r="D11" s="517"/>
      <c r="E11" s="517"/>
      <c r="F11" s="517"/>
      <c r="G11" s="517"/>
      <c r="H11" s="517"/>
      <c r="I11" s="517"/>
      <c r="J11" s="517"/>
      <c r="K11" s="517"/>
      <c r="L11" s="517"/>
      <c r="M11" s="517"/>
      <c r="N11" s="517"/>
      <c r="O11" s="517"/>
      <c r="P11" s="517"/>
      <c r="Q11" s="517"/>
      <c r="R11" s="517"/>
      <c r="S11" s="517"/>
      <c r="T11" s="517"/>
      <c r="U11" s="517"/>
      <c r="V11" s="518"/>
      <c r="X11" s="97"/>
      <c r="Y11" s="97"/>
      <c r="Z11" s="97"/>
      <c r="AA11" s="97"/>
      <c r="AB11" s="97"/>
      <c r="AC11" s="97"/>
    </row>
    <row r="12" spans="1:55" s="6" customFormat="1" ht="30" customHeight="1" thickBot="1" x14ac:dyDescent="0.3">
      <c r="A12" s="18"/>
      <c r="B12" s="20"/>
      <c r="C12" s="20"/>
      <c r="D12" s="19" t="s">
        <v>121</v>
      </c>
      <c r="E12" s="200" t="str">
        <f>'Day 9'!E12</f>
        <v>MPR 632  RFD</v>
      </c>
      <c r="F12" s="35"/>
      <c r="G12" s="19" t="s">
        <v>120</v>
      </c>
      <c r="H12" s="200" t="str">
        <f>IF(Volume!C$13="","",Volume!C$13)</f>
        <v>FP 65354</v>
      </c>
      <c r="I12" s="20"/>
      <c r="J12" s="19" t="s">
        <v>17</v>
      </c>
      <c r="K12" s="505">
        <f>'Day 9'!K12+1</f>
        <v>45818</v>
      </c>
      <c r="L12" s="505"/>
      <c r="M12" s="100"/>
      <c r="N12" s="19" t="s">
        <v>119</v>
      </c>
      <c r="O12" s="200" t="str">
        <f>IF(Volume!D$13="","",Volume!D$13)</f>
        <v>SP. Tambun - Cluster F</v>
      </c>
      <c r="P12" s="20"/>
      <c r="Q12" s="19" t="s">
        <v>122</v>
      </c>
      <c r="S12" s="201">
        <f>IF(Volume!E$13="","",Volume!E$13)</f>
        <v>1.25</v>
      </c>
      <c r="T12" s="20"/>
      <c r="U12" s="19" t="s">
        <v>126</v>
      </c>
      <c r="V12" s="202" t="str">
        <f>IF(Volume!F$13="","",Volume!F$13)</f>
        <v>4/0</v>
      </c>
    </row>
    <row r="13" spans="1:55" ht="30" customHeight="1" thickBot="1" x14ac:dyDescent="0.3">
      <c r="A13" s="502" t="s">
        <v>0</v>
      </c>
      <c r="B13" s="502" t="s">
        <v>213</v>
      </c>
      <c r="C13" s="502" t="s">
        <v>212</v>
      </c>
      <c r="D13" s="502" t="s">
        <v>31</v>
      </c>
      <c r="E13" s="502" t="s">
        <v>32</v>
      </c>
      <c r="F13" s="502" t="s">
        <v>2</v>
      </c>
      <c r="G13" s="502" t="s">
        <v>33</v>
      </c>
      <c r="H13" s="502" t="s">
        <v>35</v>
      </c>
      <c r="I13" s="502" t="s">
        <v>36</v>
      </c>
      <c r="J13" s="502" t="s">
        <v>110</v>
      </c>
      <c r="K13" s="502" t="s">
        <v>15</v>
      </c>
      <c r="L13" s="502" t="s">
        <v>34</v>
      </c>
      <c r="M13" s="502" t="s">
        <v>10</v>
      </c>
      <c r="N13" s="502"/>
      <c r="O13" s="506" t="s">
        <v>300</v>
      </c>
      <c r="P13" s="506" t="s">
        <v>299</v>
      </c>
      <c r="Q13" s="502" t="s">
        <v>7</v>
      </c>
      <c r="R13" s="502" t="s">
        <v>88</v>
      </c>
      <c r="S13" s="502" t="s">
        <v>8</v>
      </c>
      <c r="T13" s="502"/>
      <c r="U13" s="502"/>
      <c r="V13" s="502"/>
      <c r="X13" s="98"/>
      <c r="Y13" s="98"/>
      <c r="Z13" s="98"/>
      <c r="AA13" s="98"/>
      <c r="AB13" s="98"/>
      <c r="AC13" s="98"/>
    </row>
    <row r="14" spans="1:55" ht="30" customHeight="1" x14ac:dyDescent="0.25">
      <c r="A14" s="504"/>
      <c r="B14" s="504"/>
      <c r="C14" s="504"/>
      <c r="D14" s="504"/>
      <c r="E14" s="504"/>
      <c r="F14" s="504"/>
      <c r="G14" s="504"/>
      <c r="H14" s="504"/>
      <c r="I14" s="504"/>
      <c r="J14" s="504"/>
      <c r="K14" s="504"/>
      <c r="L14" s="504"/>
      <c r="M14" s="94" t="s">
        <v>3</v>
      </c>
      <c r="N14" s="94" t="s">
        <v>4</v>
      </c>
      <c r="O14" s="507"/>
      <c r="P14" s="507"/>
      <c r="Q14" s="504"/>
      <c r="R14" s="504"/>
      <c r="S14" s="504"/>
      <c r="T14" s="504"/>
      <c r="U14" s="504"/>
      <c r="V14" s="504"/>
      <c r="Y14" s="502" t="s">
        <v>230</v>
      </c>
      <c r="Z14" s="502"/>
      <c r="AA14" s="502"/>
      <c r="AB14" s="502"/>
      <c r="AC14" s="502"/>
      <c r="AD14" s="502" t="s">
        <v>231</v>
      </c>
      <c r="AH14" s="203" t="s">
        <v>232</v>
      </c>
      <c r="AJ14" s="520" t="s">
        <v>191</v>
      </c>
      <c r="AK14" s="520" t="s">
        <v>192</v>
      </c>
      <c r="AL14" s="520" t="s">
        <v>193</v>
      </c>
      <c r="AM14" s="520" t="s">
        <v>194</v>
      </c>
      <c r="AN14" s="520" t="s">
        <v>195</v>
      </c>
      <c r="AO14" s="506" t="s">
        <v>196</v>
      </c>
      <c r="AP14" s="506" t="s">
        <v>197</v>
      </c>
      <c r="AQ14" s="506" t="s">
        <v>198</v>
      </c>
      <c r="AR14" s="506" t="s">
        <v>188</v>
      </c>
      <c r="AS14" s="506" t="s">
        <v>199</v>
      </c>
      <c r="AT14" s="506" t="s">
        <v>200</v>
      </c>
      <c r="AU14" s="506" t="s">
        <v>201</v>
      </c>
      <c r="AV14" s="506" t="s">
        <v>202</v>
      </c>
      <c r="AW14" s="506" t="s">
        <v>203</v>
      </c>
      <c r="AX14" s="506" t="s">
        <v>204</v>
      </c>
      <c r="AY14" s="523" t="s">
        <v>205</v>
      </c>
      <c r="AZ14" s="523" t="s">
        <v>206</v>
      </c>
      <c r="BA14" s="523" t="s">
        <v>207</v>
      </c>
      <c r="BB14" s="523" t="s">
        <v>208</v>
      </c>
      <c r="BC14" s="506" t="s">
        <v>197</v>
      </c>
    </row>
    <row r="15" spans="1:55" ht="20.100000000000001" customHeight="1" thickBot="1" x14ac:dyDescent="0.3">
      <c r="A15" s="503"/>
      <c r="B15" s="95" t="s">
        <v>1</v>
      </c>
      <c r="C15" s="95" t="s">
        <v>1</v>
      </c>
      <c r="D15" s="95" t="s">
        <v>1</v>
      </c>
      <c r="E15" s="95" t="s">
        <v>1</v>
      </c>
      <c r="F15" s="95" t="s">
        <v>140</v>
      </c>
      <c r="G15" s="95" t="s">
        <v>1</v>
      </c>
      <c r="H15" s="95" t="s">
        <v>1</v>
      </c>
      <c r="I15" s="95" t="s">
        <v>1</v>
      </c>
      <c r="J15" s="95" t="s">
        <v>18</v>
      </c>
      <c r="K15" s="95" t="s">
        <v>9</v>
      </c>
      <c r="L15" s="95" t="s">
        <v>5</v>
      </c>
      <c r="M15" s="95" t="s">
        <v>5</v>
      </c>
      <c r="N15" s="95" t="s">
        <v>5</v>
      </c>
      <c r="O15" s="95" t="s">
        <v>1</v>
      </c>
      <c r="P15" s="95" t="s">
        <v>14</v>
      </c>
      <c r="Q15" s="95" t="str">
        <f>IF(MR!G17="MSCF","MSCFD","MMSCFD")</f>
        <v>MSCFD</v>
      </c>
      <c r="R15" s="95" t="str">
        <f>MR!L17</f>
        <v>BPD</v>
      </c>
      <c r="S15" s="503"/>
      <c r="T15" s="503"/>
      <c r="U15" s="503"/>
      <c r="V15" s="503"/>
      <c r="X15" s="365"/>
      <c r="Y15" s="95" t="s">
        <v>123</v>
      </c>
      <c r="Z15" s="95" t="s">
        <v>124</v>
      </c>
      <c r="AA15" s="95" t="s">
        <v>125</v>
      </c>
      <c r="AB15" s="95" t="s">
        <v>51</v>
      </c>
      <c r="AC15" s="95" t="s">
        <v>48</v>
      </c>
      <c r="AD15" s="503"/>
      <c r="AH15" s="204" t="s">
        <v>228</v>
      </c>
      <c r="AJ15" s="521"/>
      <c r="AK15" s="521"/>
      <c r="AL15" s="521"/>
      <c r="AM15" s="521"/>
      <c r="AN15" s="521"/>
      <c r="AO15" s="522"/>
      <c r="AP15" s="522"/>
      <c r="AQ15" s="522"/>
      <c r="AR15" s="522"/>
      <c r="AS15" s="522"/>
      <c r="AT15" s="522"/>
      <c r="AU15" s="522"/>
      <c r="AV15" s="522"/>
      <c r="AW15" s="522"/>
      <c r="AX15" s="522"/>
      <c r="AY15" s="524"/>
      <c r="AZ15" s="524"/>
      <c r="BA15" s="524"/>
      <c r="BB15" s="524"/>
      <c r="BC15" s="522"/>
    </row>
    <row r="16" spans="1:55" ht="20.100000000000001" customHeight="1" x14ac:dyDescent="0.2">
      <c r="A16" s="44">
        <v>4.1666666666666664E-2</v>
      </c>
      <c r="B16" s="450"/>
      <c r="C16" s="450"/>
      <c r="D16" s="450">
        <v>6.3</v>
      </c>
      <c r="E16" s="450">
        <v>60.1</v>
      </c>
      <c r="F16" s="40">
        <v>1950</v>
      </c>
      <c r="G16" s="37">
        <v>-5.5</v>
      </c>
      <c r="H16" s="36">
        <v>71.5</v>
      </c>
      <c r="I16" s="36">
        <v>21.9</v>
      </c>
      <c r="J16" s="40">
        <v>296</v>
      </c>
      <c r="K16" s="37">
        <v>13.01</v>
      </c>
      <c r="L16" s="450">
        <v>122</v>
      </c>
      <c r="M16" s="450">
        <v>220</v>
      </c>
      <c r="N16" s="450">
        <v>85</v>
      </c>
      <c r="O16" s="352">
        <v>50</v>
      </c>
      <c r="P16" s="352">
        <v>6</v>
      </c>
      <c r="Q16" s="352">
        <v>177.06</v>
      </c>
      <c r="R16" s="36"/>
      <c r="S16" s="519" t="str">
        <f t="shared" ref="S16:S32" si="0">IF(Z16="",IF(AD16="","",AD16),CONCATENATE(TEXT(Z16,"[hh]:mm"),IF(AA16="",""," - "&amp;TEXT(AA16,"[hh]:mm")),IF(Y16="",""," "&amp;Y16&amp;"/")," "&amp;AD16))</f>
        <v/>
      </c>
      <c r="T16" s="519"/>
      <c r="U16" s="519"/>
      <c r="V16" s="519"/>
      <c r="X16" s="44">
        <v>4.1666666666666664E-2</v>
      </c>
      <c r="Y16" s="105"/>
      <c r="Z16" s="101"/>
      <c r="AA16" s="101"/>
      <c r="AB16" s="44" t="str">
        <f>IF(Y16="STBY",AA16-Z16,"")</f>
        <v/>
      </c>
      <c r="AC16" s="44" t="str">
        <f t="shared" ref="AC16:AC39" si="1">IF(Y16="SD",AA16-Z16,"")</f>
        <v/>
      </c>
      <c r="AD16" s="355"/>
      <c r="AE16" s="9" t="str">
        <f>IF(S16="","",IF(COUNTA(Z16:$Z$39)=1,IF(COUNTA(AD16:$AD$39)=1,""," ; "),IF(COUNTA(AD16:$AD$39)=1,IF(Z16="",""," ; ")," ; ")))</f>
        <v/>
      </c>
      <c r="AF16" s="9" t="str">
        <f t="shared" ref="AF16:AF39" si="2">CONCATENATE(S16,AE16)</f>
        <v/>
      </c>
      <c r="AG16" s="90" t="str">
        <f t="shared" ref="AG16:AG39" si="3">IF(AND(COUNTBLANK(N16:P16)&lt;3,Q16=""),"CEK : Data Flowrate","")</f>
        <v/>
      </c>
      <c r="AH16" s="204" t="s">
        <v>229</v>
      </c>
      <c r="AJ16" s="205">
        <f>AK5</f>
        <v>500</v>
      </c>
      <c r="AK16" s="205">
        <f>AK6</f>
        <v>100</v>
      </c>
      <c r="AL16" s="206">
        <f>AK7</f>
        <v>2</v>
      </c>
      <c r="AM16" s="207">
        <f>AK8</f>
        <v>0.875</v>
      </c>
      <c r="AN16" s="208">
        <f>AK10</f>
        <v>0.63607464142166403</v>
      </c>
      <c r="AO16" s="209">
        <f t="shared" ref="AO16:AO39" si="4">T16^2*AJ16/100-14.7</f>
        <v>-14.7</v>
      </c>
      <c r="AP16" s="210">
        <f t="shared" ref="AP16:AP39" si="5">IF(AO16&lt;100,1,BC16)</f>
        <v>1</v>
      </c>
      <c r="AQ16" s="210">
        <f t="shared" ref="AQ16:AQ39" si="6">(1/AP16)^0.5</f>
        <v>1</v>
      </c>
      <c r="AR16" s="52">
        <f>AK9</f>
        <v>158.47</v>
      </c>
      <c r="AS16" s="210">
        <f t="shared" ref="AS16:AS39" si="7">(520/(460+N16))^0.5</f>
        <v>0.97679498379494789</v>
      </c>
      <c r="AT16" s="210">
        <f t="shared" ref="AT16:AT39" si="8">(1/AN16)^0.5</f>
        <v>1.2538510821608391</v>
      </c>
      <c r="AU16" s="210">
        <f t="shared" ref="AU16:AU39" si="9">0.01*(AJ16*AK16)^0.5</f>
        <v>2.2360679774997898</v>
      </c>
      <c r="AV16" s="211">
        <f t="shared" ref="AV16:AV39" si="10">0.024*AQ16*AR16*AS16*AT16*AU16</f>
        <v>10.415801185754333</v>
      </c>
      <c r="AW16" s="210">
        <f t="shared" ref="AW16:AW39" si="11">(AO16+14.7)/(697.2-43*AN16)</f>
        <v>0</v>
      </c>
      <c r="AX16" s="212">
        <f t="shared" ref="AX16:AX39" si="12">(N16+460)/(315.1*AN16+170.4)</f>
        <v>1.4696875479799241</v>
      </c>
      <c r="AY16" s="210">
        <f t="shared" ref="AY16:AY39" si="13">0.3379*LN(LN(AX16))+1.091</f>
        <v>0.76851414128953044</v>
      </c>
      <c r="AZ16" s="211">
        <f t="shared" ref="AZ16:AZ39" si="14">21.46*AY16-11.9*AY16^2-5.9</f>
        <v>3.5640070462657096</v>
      </c>
      <c r="BA16" s="210">
        <f t="shared" ref="BA16:BA39" si="15">AW16/AZ16</f>
        <v>0</v>
      </c>
      <c r="BB16" s="210">
        <f t="shared" ref="BB16:BB39" si="16">(1.1+0.26*AX16+(1.04-1.42*AX16)*BA16)*2.718^BA16/AX16</f>
        <v>1.0084584063544275</v>
      </c>
      <c r="BC16" s="210">
        <f t="shared" ref="BC16:BC39" si="17">1+(AY16-1)*SIN((90*BA16)/57.29578)^BB16</f>
        <v>1</v>
      </c>
    </row>
    <row r="17" spans="1:55" ht="20.100000000000001" customHeight="1" x14ac:dyDescent="0.2">
      <c r="A17" s="45">
        <v>8.3333333333333301E-2</v>
      </c>
      <c r="B17" s="451"/>
      <c r="C17" s="451"/>
      <c r="D17" s="451">
        <v>6</v>
      </c>
      <c r="E17" s="451">
        <v>57.3</v>
      </c>
      <c r="F17" s="41">
        <v>1946</v>
      </c>
      <c r="G17" s="37">
        <v>-5.5</v>
      </c>
      <c r="H17" s="37">
        <v>71.099999999999994</v>
      </c>
      <c r="I17" s="37">
        <v>21.5</v>
      </c>
      <c r="J17" s="41">
        <v>297</v>
      </c>
      <c r="K17" s="37">
        <v>13.01</v>
      </c>
      <c r="L17" s="451">
        <v>121</v>
      </c>
      <c r="M17" s="451">
        <v>220</v>
      </c>
      <c r="N17" s="451">
        <v>85</v>
      </c>
      <c r="O17" s="353">
        <v>50</v>
      </c>
      <c r="P17" s="353">
        <v>7</v>
      </c>
      <c r="Q17" s="353">
        <v>191.12</v>
      </c>
      <c r="R17" s="37"/>
      <c r="S17" s="508" t="str">
        <f t="shared" si="0"/>
        <v/>
      </c>
      <c r="T17" s="508"/>
      <c r="U17" s="508"/>
      <c r="V17" s="508"/>
      <c r="X17" s="45">
        <v>8.3333333333333301E-2</v>
      </c>
      <c r="Y17" s="106"/>
      <c r="Z17" s="102"/>
      <c r="AA17" s="102"/>
      <c r="AB17" s="45" t="str">
        <f t="shared" ref="AB17:AB39" si="18">IF(Y17="STBY",AA17-Z17,"")</f>
        <v/>
      </c>
      <c r="AC17" s="45" t="str">
        <f t="shared" si="1"/>
        <v/>
      </c>
      <c r="AD17" s="81"/>
      <c r="AE17" s="9" t="str">
        <f>IF(S17="","",IF(COUNTA(Z17:$Z$39)=1,IF(COUNTA(AD17:$AD$39)=1,""," ; "),IF(COUNTA(AD17:$AD$39)=1,IF(Z17="",""," ; ")," ; ")))</f>
        <v/>
      </c>
      <c r="AF17" s="9" t="str">
        <f t="shared" si="2"/>
        <v/>
      </c>
      <c r="AG17" s="90" t="str">
        <f t="shared" si="3"/>
        <v/>
      </c>
      <c r="AH17" s="204" t="s">
        <v>289</v>
      </c>
      <c r="AJ17" s="206">
        <f t="shared" ref="AJ17:AN32" si="19">AJ16</f>
        <v>500</v>
      </c>
      <c r="AK17" s="206">
        <f t="shared" si="19"/>
        <v>100</v>
      </c>
      <c r="AL17" s="206">
        <f>AL16</f>
        <v>2</v>
      </c>
      <c r="AM17" s="213">
        <f>AM16</f>
        <v>0.875</v>
      </c>
      <c r="AN17" s="214">
        <f>AN16</f>
        <v>0.63607464142166403</v>
      </c>
      <c r="AO17" s="215">
        <f t="shared" si="4"/>
        <v>-14.7</v>
      </c>
      <c r="AP17" s="216">
        <f t="shared" si="5"/>
        <v>1</v>
      </c>
      <c r="AQ17" s="216">
        <f t="shared" si="6"/>
        <v>1</v>
      </c>
      <c r="AR17" s="215">
        <f>AR16</f>
        <v>158.47</v>
      </c>
      <c r="AS17" s="216">
        <f t="shared" si="7"/>
        <v>0.97679498379494789</v>
      </c>
      <c r="AT17" s="216">
        <f t="shared" si="8"/>
        <v>1.2538510821608391</v>
      </c>
      <c r="AU17" s="216">
        <f t="shared" si="9"/>
        <v>2.2360679774997898</v>
      </c>
      <c r="AV17" s="217">
        <f t="shared" si="10"/>
        <v>10.415801185754333</v>
      </c>
      <c r="AW17" s="216">
        <f t="shared" si="11"/>
        <v>0</v>
      </c>
      <c r="AX17" s="218">
        <f t="shared" si="12"/>
        <v>1.4696875479799241</v>
      </c>
      <c r="AY17" s="216">
        <f t="shared" si="13"/>
        <v>0.76851414128953044</v>
      </c>
      <c r="AZ17" s="217">
        <f t="shared" si="14"/>
        <v>3.5640070462657096</v>
      </c>
      <c r="BA17" s="216">
        <f t="shared" si="15"/>
        <v>0</v>
      </c>
      <c r="BB17" s="216">
        <f t="shared" si="16"/>
        <v>1.0084584063544275</v>
      </c>
      <c r="BC17" s="216">
        <f t="shared" si="17"/>
        <v>1</v>
      </c>
    </row>
    <row r="18" spans="1:55" ht="20.100000000000001" customHeight="1" x14ac:dyDescent="0.2">
      <c r="A18" s="45">
        <v>0.125</v>
      </c>
      <c r="B18" s="451"/>
      <c r="C18" s="451"/>
      <c r="D18" s="451">
        <v>6.7</v>
      </c>
      <c r="E18" s="451">
        <v>58.9</v>
      </c>
      <c r="F18" s="41">
        <v>1936</v>
      </c>
      <c r="G18" s="37">
        <v>-5.5</v>
      </c>
      <c r="H18" s="37">
        <v>71.599999999999994</v>
      </c>
      <c r="I18" s="37">
        <v>21.8</v>
      </c>
      <c r="J18" s="41">
        <v>298</v>
      </c>
      <c r="K18" s="37">
        <v>13.01</v>
      </c>
      <c r="L18" s="451">
        <v>120</v>
      </c>
      <c r="M18" s="451">
        <v>217</v>
      </c>
      <c r="N18" s="451">
        <v>85</v>
      </c>
      <c r="O18" s="353">
        <v>50</v>
      </c>
      <c r="P18" s="353">
        <v>7</v>
      </c>
      <c r="Q18" s="353">
        <v>191.12</v>
      </c>
      <c r="R18" s="37"/>
      <c r="S18" s="508" t="str">
        <f t="shared" si="0"/>
        <v/>
      </c>
      <c r="T18" s="508"/>
      <c r="U18" s="508"/>
      <c r="V18" s="508"/>
      <c r="X18" s="45">
        <v>0.125</v>
      </c>
      <c r="Y18" s="106"/>
      <c r="Z18" s="102"/>
      <c r="AA18" s="102"/>
      <c r="AB18" s="45" t="str">
        <f t="shared" si="18"/>
        <v/>
      </c>
      <c r="AC18" s="45" t="str">
        <f t="shared" si="1"/>
        <v/>
      </c>
      <c r="AD18" s="81"/>
      <c r="AE18" s="9" t="str">
        <f>IF(S18="","",IF(COUNTA(Z18:$Z$39)=1,IF(COUNTA(AD18:$AD$39)=1,""," ; "),IF(COUNTA(AD18:$AD$39)=1,IF(Z18="",""," ; ")," ; ")))</f>
        <v/>
      </c>
      <c r="AF18" s="9" t="str">
        <f t="shared" si="2"/>
        <v/>
      </c>
      <c r="AG18" s="90" t="str">
        <f t="shared" si="3"/>
        <v/>
      </c>
      <c r="AH18" s="204" t="s">
        <v>321</v>
      </c>
      <c r="AJ18" s="206">
        <f t="shared" si="19"/>
        <v>500</v>
      </c>
      <c r="AK18" s="206">
        <f t="shared" si="19"/>
        <v>100</v>
      </c>
      <c r="AL18" s="206">
        <f t="shared" si="19"/>
        <v>2</v>
      </c>
      <c r="AM18" s="213">
        <f t="shared" si="19"/>
        <v>0.875</v>
      </c>
      <c r="AN18" s="214">
        <f t="shared" si="19"/>
        <v>0.63607464142166403</v>
      </c>
      <c r="AO18" s="215">
        <f t="shared" si="4"/>
        <v>-14.7</v>
      </c>
      <c r="AP18" s="216">
        <f t="shared" si="5"/>
        <v>1</v>
      </c>
      <c r="AQ18" s="216">
        <f t="shared" si="6"/>
        <v>1</v>
      </c>
      <c r="AR18" s="215">
        <f t="shared" ref="AR18:AR39" si="20">AR17</f>
        <v>158.47</v>
      </c>
      <c r="AS18" s="216">
        <f t="shared" si="7"/>
        <v>0.97679498379494789</v>
      </c>
      <c r="AT18" s="216">
        <f t="shared" si="8"/>
        <v>1.2538510821608391</v>
      </c>
      <c r="AU18" s="216">
        <f t="shared" si="9"/>
        <v>2.2360679774997898</v>
      </c>
      <c r="AV18" s="217">
        <f t="shared" si="10"/>
        <v>10.415801185754333</v>
      </c>
      <c r="AW18" s="216">
        <f t="shared" si="11"/>
        <v>0</v>
      </c>
      <c r="AX18" s="218">
        <f t="shared" si="12"/>
        <v>1.4696875479799241</v>
      </c>
      <c r="AY18" s="216">
        <f t="shared" si="13"/>
        <v>0.76851414128953044</v>
      </c>
      <c r="AZ18" s="217">
        <f t="shared" si="14"/>
        <v>3.5640070462657096</v>
      </c>
      <c r="BA18" s="216">
        <f t="shared" si="15"/>
        <v>0</v>
      </c>
      <c r="BB18" s="216">
        <f t="shared" si="16"/>
        <v>1.0084584063544275</v>
      </c>
      <c r="BC18" s="216">
        <f t="shared" si="17"/>
        <v>1</v>
      </c>
    </row>
    <row r="19" spans="1:55" ht="20.100000000000001" customHeight="1" x14ac:dyDescent="0.2">
      <c r="A19" s="45">
        <v>0.16666666666666699</v>
      </c>
      <c r="B19" s="451"/>
      <c r="C19" s="451"/>
      <c r="D19" s="451">
        <v>6.9</v>
      </c>
      <c r="E19" s="451">
        <v>58.5</v>
      </c>
      <c r="F19" s="41">
        <v>1952</v>
      </c>
      <c r="G19" s="37">
        <v>-5.5</v>
      </c>
      <c r="H19" s="37">
        <v>71</v>
      </c>
      <c r="I19" s="37">
        <v>21.3</v>
      </c>
      <c r="J19" s="41">
        <v>299</v>
      </c>
      <c r="K19" s="37">
        <v>13.01</v>
      </c>
      <c r="L19" s="451">
        <v>120</v>
      </c>
      <c r="M19" s="451">
        <v>217</v>
      </c>
      <c r="N19" s="451">
        <v>85</v>
      </c>
      <c r="O19" s="353">
        <v>50</v>
      </c>
      <c r="P19" s="353">
        <v>8</v>
      </c>
      <c r="Q19" s="353">
        <v>204.21</v>
      </c>
      <c r="R19" s="37"/>
      <c r="S19" s="508" t="str">
        <f t="shared" si="0"/>
        <v/>
      </c>
      <c r="T19" s="508"/>
      <c r="U19" s="508"/>
      <c r="V19" s="508"/>
      <c r="X19" s="45">
        <v>0.16666666666666699</v>
      </c>
      <c r="Y19" s="106"/>
      <c r="Z19" s="102"/>
      <c r="AA19" s="102"/>
      <c r="AB19" s="45" t="str">
        <f t="shared" si="18"/>
        <v/>
      </c>
      <c r="AC19" s="45" t="str">
        <f t="shared" si="1"/>
        <v/>
      </c>
      <c r="AD19" s="81"/>
      <c r="AE19" s="9" t="str">
        <f>IF(S19="","",IF(COUNTA(Z19:$Z$39)=1,IF(COUNTA(AD19:$AD$39)=1,""," ; "),IF(COUNTA(AD19:$AD$39)=1,IF(Z19="",""," ; ")," ; ")))</f>
        <v/>
      </c>
      <c r="AF19" s="9" t="str">
        <f t="shared" si="2"/>
        <v/>
      </c>
      <c r="AG19" s="90" t="str">
        <f t="shared" si="3"/>
        <v/>
      </c>
      <c r="AH19" s="204" t="s">
        <v>272</v>
      </c>
      <c r="AJ19" s="206">
        <f t="shared" si="19"/>
        <v>500</v>
      </c>
      <c r="AK19" s="206">
        <f t="shared" si="19"/>
        <v>100</v>
      </c>
      <c r="AL19" s="206">
        <f t="shared" si="19"/>
        <v>2</v>
      </c>
      <c r="AM19" s="213">
        <f t="shared" si="19"/>
        <v>0.875</v>
      </c>
      <c r="AN19" s="214">
        <f t="shared" si="19"/>
        <v>0.63607464142166403</v>
      </c>
      <c r="AO19" s="215">
        <f t="shared" si="4"/>
        <v>-14.7</v>
      </c>
      <c r="AP19" s="216">
        <f t="shared" si="5"/>
        <v>1</v>
      </c>
      <c r="AQ19" s="216">
        <f t="shared" si="6"/>
        <v>1</v>
      </c>
      <c r="AR19" s="215">
        <f t="shared" si="20"/>
        <v>158.47</v>
      </c>
      <c r="AS19" s="216">
        <f t="shared" si="7"/>
        <v>0.97679498379494789</v>
      </c>
      <c r="AT19" s="216">
        <f t="shared" si="8"/>
        <v>1.2538510821608391</v>
      </c>
      <c r="AU19" s="216">
        <f t="shared" si="9"/>
        <v>2.2360679774997898</v>
      </c>
      <c r="AV19" s="217">
        <f t="shared" si="10"/>
        <v>10.415801185754333</v>
      </c>
      <c r="AW19" s="216">
        <f t="shared" si="11"/>
        <v>0</v>
      </c>
      <c r="AX19" s="218">
        <f t="shared" si="12"/>
        <v>1.4696875479799241</v>
      </c>
      <c r="AY19" s="216">
        <f t="shared" si="13"/>
        <v>0.76851414128953044</v>
      </c>
      <c r="AZ19" s="217">
        <f t="shared" si="14"/>
        <v>3.5640070462657096</v>
      </c>
      <c r="BA19" s="216">
        <f t="shared" si="15"/>
        <v>0</v>
      </c>
      <c r="BB19" s="216">
        <f t="shared" si="16"/>
        <v>1.0084584063544275</v>
      </c>
      <c r="BC19" s="216">
        <f t="shared" si="17"/>
        <v>1</v>
      </c>
    </row>
    <row r="20" spans="1:55" ht="20.100000000000001" customHeight="1" x14ac:dyDescent="0.2">
      <c r="A20" s="45">
        <v>0.20833333333333301</v>
      </c>
      <c r="B20" s="451"/>
      <c r="C20" s="451"/>
      <c r="D20" s="451">
        <v>6.2</v>
      </c>
      <c r="E20" s="451">
        <v>57.2</v>
      </c>
      <c r="F20" s="41">
        <v>1970</v>
      </c>
      <c r="G20" s="37">
        <v>-5.5</v>
      </c>
      <c r="H20" s="37">
        <v>71.8</v>
      </c>
      <c r="I20" s="37">
        <v>21.1</v>
      </c>
      <c r="J20" s="41">
        <v>300</v>
      </c>
      <c r="K20" s="37">
        <v>13.01</v>
      </c>
      <c r="L20" s="451">
        <v>120</v>
      </c>
      <c r="M20" s="451">
        <v>217</v>
      </c>
      <c r="N20" s="451">
        <v>85</v>
      </c>
      <c r="O20" s="353">
        <v>50</v>
      </c>
      <c r="P20" s="353">
        <v>8</v>
      </c>
      <c r="Q20" s="353">
        <v>204.21</v>
      </c>
      <c r="R20" s="37"/>
      <c r="S20" s="508" t="str">
        <f t="shared" si="0"/>
        <v/>
      </c>
      <c r="T20" s="508"/>
      <c r="U20" s="508"/>
      <c r="V20" s="508"/>
      <c r="X20" s="45">
        <v>0.20833333333333301</v>
      </c>
      <c r="Y20" s="106"/>
      <c r="Z20" s="102"/>
      <c r="AA20" s="102"/>
      <c r="AB20" s="45" t="str">
        <f t="shared" si="18"/>
        <v/>
      </c>
      <c r="AC20" s="45" t="str">
        <f t="shared" si="1"/>
        <v/>
      </c>
      <c r="AD20" s="81"/>
      <c r="AE20" s="9" t="str">
        <f>IF(S20="","",IF(COUNTA(Z20:$Z$39)=1,IF(COUNTA(AD20:$AD$39)=1,""," ; "),IF(COUNTA(AD20:$AD$39)=1,IF(Z20="",""," ; ")," ; ")))</f>
        <v/>
      </c>
      <c r="AF20" s="9" t="str">
        <f t="shared" si="2"/>
        <v/>
      </c>
      <c r="AG20" s="90" t="str">
        <f t="shared" si="3"/>
        <v/>
      </c>
      <c r="AH20" s="204" t="s">
        <v>275</v>
      </c>
      <c r="AJ20" s="206">
        <f t="shared" si="19"/>
        <v>500</v>
      </c>
      <c r="AK20" s="206">
        <f t="shared" si="19"/>
        <v>100</v>
      </c>
      <c r="AL20" s="206">
        <f t="shared" si="19"/>
        <v>2</v>
      </c>
      <c r="AM20" s="213">
        <f t="shared" si="19"/>
        <v>0.875</v>
      </c>
      <c r="AN20" s="214">
        <f t="shared" si="19"/>
        <v>0.63607464142166403</v>
      </c>
      <c r="AO20" s="215">
        <f t="shared" si="4"/>
        <v>-14.7</v>
      </c>
      <c r="AP20" s="216">
        <f t="shared" si="5"/>
        <v>1</v>
      </c>
      <c r="AQ20" s="216">
        <f t="shared" si="6"/>
        <v>1</v>
      </c>
      <c r="AR20" s="215">
        <f t="shared" si="20"/>
        <v>158.47</v>
      </c>
      <c r="AS20" s="216">
        <f t="shared" si="7"/>
        <v>0.97679498379494789</v>
      </c>
      <c r="AT20" s="216">
        <f t="shared" si="8"/>
        <v>1.2538510821608391</v>
      </c>
      <c r="AU20" s="216">
        <f t="shared" si="9"/>
        <v>2.2360679774997898</v>
      </c>
      <c r="AV20" s="217">
        <f t="shared" si="10"/>
        <v>10.415801185754333</v>
      </c>
      <c r="AW20" s="216">
        <f t="shared" si="11"/>
        <v>0</v>
      </c>
      <c r="AX20" s="218">
        <f t="shared" si="12"/>
        <v>1.4696875479799241</v>
      </c>
      <c r="AY20" s="216">
        <f t="shared" si="13"/>
        <v>0.76851414128953044</v>
      </c>
      <c r="AZ20" s="217">
        <f t="shared" si="14"/>
        <v>3.5640070462657096</v>
      </c>
      <c r="BA20" s="216">
        <f t="shared" si="15"/>
        <v>0</v>
      </c>
      <c r="BB20" s="216">
        <f t="shared" si="16"/>
        <v>1.0084584063544275</v>
      </c>
      <c r="BC20" s="216">
        <f t="shared" si="17"/>
        <v>1</v>
      </c>
    </row>
    <row r="21" spans="1:55" ht="20.100000000000001" customHeight="1" x14ac:dyDescent="0.2">
      <c r="A21" s="45">
        <v>0.25</v>
      </c>
      <c r="B21" s="451"/>
      <c r="C21" s="451"/>
      <c r="D21" s="451">
        <v>6.7</v>
      </c>
      <c r="E21" s="451">
        <v>57.5</v>
      </c>
      <c r="F21" s="41">
        <v>1966</v>
      </c>
      <c r="G21" s="37">
        <v>-5.5</v>
      </c>
      <c r="H21" s="37">
        <v>71.099999999999994</v>
      </c>
      <c r="I21" s="37">
        <v>21.3</v>
      </c>
      <c r="J21" s="41">
        <v>301</v>
      </c>
      <c r="K21" s="37">
        <v>13.01</v>
      </c>
      <c r="L21" s="451">
        <v>122</v>
      </c>
      <c r="M21" s="451">
        <v>218</v>
      </c>
      <c r="N21" s="451">
        <v>85</v>
      </c>
      <c r="O21" s="353">
        <v>50</v>
      </c>
      <c r="P21" s="353">
        <v>9</v>
      </c>
      <c r="Q21" s="353">
        <v>216.49</v>
      </c>
      <c r="R21" s="37"/>
      <c r="S21" s="508" t="str">
        <f t="shared" si="0"/>
        <v/>
      </c>
      <c r="T21" s="508"/>
      <c r="U21" s="508"/>
      <c r="V21" s="508"/>
      <c r="X21" s="45">
        <v>0.25</v>
      </c>
      <c r="Y21" s="106"/>
      <c r="Z21" s="102"/>
      <c r="AA21" s="102"/>
      <c r="AB21" s="45" t="str">
        <f t="shared" si="18"/>
        <v/>
      </c>
      <c r="AC21" s="45" t="str">
        <f t="shared" si="1"/>
        <v/>
      </c>
      <c r="AD21" s="81"/>
      <c r="AE21" s="9" t="str">
        <f>IF(S21="","",IF(COUNTA(Z21:$Z$39)=1,IF(COUNTA(AD21:$AD$39)=1,""," ; "),IF(COUNTA(AD21:$AD$39)=1,IF(Z21="",""," ; ")," ; ")))</f>
        <v/>
      </c>
      <c r="AF21" s="9" t="str">
        <f t="shared" si="2"/>
        <v/>
      </c>
      <c r="AG21" s="90" t="str">
        <f t="shared" si="3"/>
        <v/>
      </c>
      <c r="AH21" s="204" t="s">
        <v>322</v>
      </c>
      <c r="AJ21" s="206">
        <f t="shared" si="19"/>
        <v>500</v>
      </c>
      <c r="AK21" s="206">
        <f t="shared" si="19"/>
        <v>100</v>
      </c>
      <c r="AL21" s="206">
        <f t="shared" si="19"/>
        <v>2</v>
      </c>
      <c r="AM21" s="213">
        <f t="shared" si="19"/>
        <v>0.875</v>
      </c>
      <c r="AN21" s="214">
        <f t="shared" si="19"/>
        <v>0.63607464142166403</v>
      </c>
      <c r="AO21" s="215">
        <f t="shared" si="4"/>
        <v>-14.7</v>
      </c>
      <c r="AP21" s="216">
        <f t="shared" si="5"/>
        <v>1</v>
      </c>
      <c r="AQ21" s="216">
        <f t="shared" si="6"/>
        <v>1</v>
      </c>
      <c r="AR21" s="215">
        <f t="shared" si="20"/>
        <v>158.47</v>
      </c>
      <c r="AS21" s="216">
        <f t="shared" si="7"/>
        <v>0.97679498379494789</v>
      </c>
      <c r="AT21" s="216">
        <f t="shared" si="8"/>
        <v>1.2538510821608391</v>
      </c>
      <c r="AU21" s="216">
        <f t="shared" si="9"/>
        <v>2.2360679774997898</v>
      </c>
      <c r="AV21" s="217">
        <f t="shared" si="10"/>
        <v>10.415801185754333</v>
      </c>
      <c r="AW21" s="216">
        <f t="shared" si="11"/>
        <v>0</v>
      </c>
      <c r="AX21" s="218">
        <f t="shared" si="12"/>
        <v>1.4696875479799241</v>
      </c>
      <c r="AY21" s="216">
        <f t="shared" si="13"/>
        <v>0.76851414128953044</v>
      </c>
      <c r="AZ21" s="217">
        <f t="shared" si="14"/>
        <v>3.5640070462657096</v>
      </c>
      <c r="BA21" s="216">
        <f t="shared" si="15"/>
        <v>0</v>
      </c>
      <c r="BB21" s="216">
        <f t="shared" si="16"/>
        <v>1.0084584063544275</v>
      </c>
      <c r="BC21" s="216">
        <f t="shared" si="17"/>
        <v>1</v>
      </c>
    </row>
    <row r="22" spans="1:55" ht="20.100000000000001" customHeight="1" x14ac:dyDescent="0.2">
      <c r="A22" s="45">
        <v>0.29166666666666702</v>
      </c>
      <c r="B22" s="451"/>
      <c r="C22" s="451"/>
      <c r="D22" s="451">
        <v>6.5</v>
      </c>
      <c r="E22" s="451">
        <v>57.1</v>
      </c>
      <c r="F22" s="41">
        <v>1943</v>
      </c>
      <c r="G22" s="37">
        <v>-5.5</v>
      </c>
      <c r="H22" s="37">
        <v>71.2</v>
      </c>
      <c r="I22" s="37">
        <v>21</v>
      </c>
      <c r="J22" s="41">
        <v>302</v>
      </c>
      <c r="K22" s="37">
        <v>13.01</v>
      </c>
      <c r="L22" s="451">
        <v>123</v>
      </c>
      <c r="M22" s="451">
        <v>220</v>
      </c>
      <c r="N22" s="451">
        <v>85</v>
      </c>
      <c r="O22" s="353">
        <v>50</v>
      </c>
      <c r="P22" s="353">
        <v>9</v>
      </c>
      <c r="Q22" s="353">
        <v>216.49</v>
      </c>
      <c r="R22" s="37"/>
      <c r="S22" s="508" t="str">
        <f t="shared" si="0"/>
        <v/>
      </c>
      <c r="T22" s="508"/>
      <c r="U22" s="508"/>
      <c r="V22" s="508"/>
      <c r="X22" s="45">
        <v>0.29166666666666702</v>
      </c>
      <c r="Y22" s="106"/>
      <c r="Z22" s="102"/>
      <c r="AA22" s="102"/>
      <c r="AB22" s="45" t="str">
        <f t="shared" si="18"/>
        <v/>
      </c>
      <c r="AC22" s="45" t="str">
        <f t="shared" si="1"/>
        <v/>
      </c>
      <c r="AD22" s="81"/>
      <c r="AE22" s="9" t="str">
        <f>IF(S22="","",IF(COUNTA(Z22:$Z$39)=1,IF(COUNTA(AD22:$AD$39)=1,""," ; "),IF(COUNTA(AD22:$AD$39)=1,IF(Z22="",""," ; ")," ; ")))</f>
        <v/>
      </c>
      <c r="AF22" s="9" t="str">
        <f t="shared" si="2"/>
        <v/>
      </c>
      <c r="AG22" s="90" t="str">
        <f t="shared" si="3"/>
        <v/>
      </c>
      <c r="AH22" s="204" t="s">
        <v>279</v>
      </c>
      <c r="AJ22" s="206">
        <f t="shared" si="19"/>
        <v>500</v>
      </c>
      <c r="AK22" s="206">
        <f t="shared" si="19"/>
        <v>100</v>
      </c>
      <c r="AL22" s="206">
        <f t="shared" si="19"/>
        <v>2</v>
      </c>
      <c r="AM22" s="213">
        <f t="shared" si="19"/>
        <v>0.875</v>
      </c>
      <c r="AN22" s="214">
        <f t="shared" si="19"/>
        <v>0.63607464142166403</v>
      </c>
      <c r="AO22" s="215">
        <f t="shared" si="4"/>
        <v>-14.7</v>
      </c>
      <c r="AP22" s="216">
        <f t="shared" si="5"/>
        <v>1</v>
      </c>
      <c r="AQ22" s="216">
        <f t="shared" si="6"/>
        <v>1</v>
      </c>
      <c r="AR22" s="215">
        <f t="shared" si="20"/>
        <v>158.47</v>
      </c>
      <c r="AS22" s="216">
        <f t="shared" si="7"/>
        <v>0.97679498379494789</v>
      </c>
      <c r="AT22" s="216">
        <f t="shared" si="8"/>
        <v>1.2538510821608391</v>
      </c>
      <c r="AU22" s="216">
        <f t="shared" si="9"/>
        <v>2.2360679774997898</v>
      </c>
      <c r="AV22" s="217">
        <f t="shared" si="10"/>
        <v>10.415801185754333</v>
      </c>
      <c r="AW22" s="216">
        <f t="shared" si="11"/>
        <v>0</v>
      </c>
      <c r="AX22" s="218">
        <f t="shared" si="12"/>
        <v>1.4696875479799241</v>
      </c>
      <c r="AY22" s="216">
        <f t="shared" si="13"/>
        <v>0.76851414128953044</v>
      </c>
      <c r="AZ22" s="217">
        <f t="shared" si="14"/>
        <v>3.5640070462657096</v>
      </c>
      <c r="BA22" s="216">
        <f t="shared" si="15"/>
        <v>0</v>
      </c>
      <c r="BB22" s="216">
        <f t="shared" si="16"/>
        <v>1.0084584063544275</v>
      </c>
      <c r="BC22" s="216">
        <f t="shared" si="17"/>
        <v>1</v>
      </c>
    </row>
    <row r="23" spans="1:55" ht="20.100000000000001" customHeight="1" x14ac:dyDescent="0.2">
      <c r="A23" s="45">
        <v>0.33333333333333298</v>
      </c>
      <c r="B23" s="451"/>
      <c r="C23" s="451"/>
      <c r="D23" s="451">
        <v>7.5</v>
      </c>
      <c r="E23" s="451">
        <v>62.6</v>
      </c>
      <c r="F23" s="41">
        <v>1934</v>
      </c>
      <c r="G23" s="37">
        <v>-5.5</v>
      </c>
      <c r="H23" s="37">
        <v>71.599999999999994</v>
      </c>
      <c r="I23" s="37">
        <v>21.5</v>
      </c>
      <c r="J23" s="41">
        <v>303</v>
      </c>
      <c r="K23" s="37">
        <v>13.01</v>
      </c>
      <c r="L23" s="451">
        <v>125</v>
      </c>
      <c r="M23" s="451">
        <v>222</v>
      </c>
      <c r="N23" s="451">
        <v>85</v>
      </c>
      <c r="O23" s="353">
        <v>50</v>
      </c>
      <c r="P23" s="353">
        <v>8</v>
      </c>
      <c r="Q23" s="353">
        <v>203.27</v>
      </c>
      <c r="R23" s="37"/>
      <c r="S23" s="508" t="str">
        <f t="shared" si="0"/>
        <v/>
      </c>
      <c r="T23" s="508"/>
      <c r="U23" s="508"/>
      <c r="V23" s="508"/>
      <c r="X23" s="45">
        <v>0.33333333333333298</v>
      </c>
      <c r="Y23" s="106"/>
      <c r="Z23" s="102"/>
      <c r="AA23" s="102"/>
      <c r="AB23" s="45" t="str">
        <f t="shared" si="18"/>
        <v/>
      </c>
      <c r="AC23" s="45" t="str">
        <f t="shared" si="1"/>
        <v/>
      </c>
      <c r="AD23" s="81"/>
      <c r="AE23" s="9" t="str">
        <f>IF(S23="","",IF(COUNTA(Z23:$Z$39)=1,IF(COUNTA(AD23:$AD$39)=1,""," ; "),IF(COUNTA(AD23:$AD$39)=1,IF(Z23="",""," ; ")," ; ")))</f>
        <v/>
      </c>
      <c r="AF23" s="9" t="str">
        <f t="shared" si="2"/>
        <v/>
      </c>
      <c r="AG23" s="90" t="str">
        <f t="shared" si="3"/>
        <v/>
      </c>
      <c r="AH23" s="204" t="s">
        <v>274</v>
      </c>
      <c r="AJ23" s="206">
        <f t="shared" si="19"/>
        <v>500</v>
      </c>
      <c r="AK23" s="206">
        <f t="shared" si="19"/>
        <v>100</v>
      </c>
      <c r="AL23" s="206">
        <f t="shared" si="19"/>
        <v>2</v>
      </c>
      <c r="AM23" s="213">
        <f t="shared" si="19"/>
        <v>0.875</v>
      </c>
      <c r="AN23" s="214">
        <f t="shared" si="19"/>
        <v>0.63607464142166403</v>
      </c>
      <c r="AO23" s="215">
        <f t="shared" si="4"/>
        <v>-14.7</v>
      </c>
      <c r="AP23" s="216">
        <f t="shared" si="5"/>
        <v>1</v>
      </c>
      <c r="AQ23" s="216">
        <f t="shared" si="6"/>
        <v>1</v>
      </c>
      <c r="AR23" s="215">
        <f t="shared" si="20"/>
        <v>158.47</v>
      </c>
      <c r="AS23" s="216">
        <f t="shared" si="7"/>
        <v>0.97679498379494789</v>
      </c>
      <c r="AT23" s="216">
        <f t="shared" si="8"/>
        <v>1.2538510821608391</v>
      </c>
      <c r="AU23" s="216">
        <f t="shared" si="9"/>
        <v>2.2360679774997898</v>
      </c>
      <c r="AV23" s="217">
        <f t="shared" si="10"/>
        <v>10.415801185754333</v>
      </c>
      <c r="AW23" s="216">
        <f t="shared" si="11"/>
        <v>0</v>
      </c>
      <c r="AX23" s="218">
        <f t="shared" si="12"/>
        <v>1.4696875479799241</v>
      </c>
      <c r="AY23" s="216">
        <f t="shared" si="13"/>
        <v>0.76851414128953044</v>
      </c>
      <c r="AZ23" s="217">
        <f t="shared" si="14"/>
        <v>3.5640070462657096</v>
      </c>
      <c r="BA23" s="216">
        <f t="shared" si="15"/>
        <v>0</v>
      </c>
      <c r="BB23" s="216">
        <f t="shared" si="16"/>
        <v>1.0084584063544275</v>
      </c>
      <c r="BC23" s="216">
        <f t="shared" si="17"/>
        <v>1</v>
      </c>
    </row>
    <row r="24" spans="1:55" ht="20.100000000000001" customHeight="1" x14ac:dyDescent="0.2">
      <c r="A24" s="45">
        <v>0.375</v>
      </c>
      <c r="B24" s="451"/>
      <c r="C24" s="451"/>
      <c r="D24" s="451">
        <v>7.2</v>
      </c>
      <c r="E24" s="451">
        <v>64.2</v>
      </c>
      <c r="F24" s="41">
        <v>1920</v>
      </c>
      <c r="G24" s="37">
        <v>-5.5</v>
      </c>
      <c r="H24" s="37">
        <v>71.2</v>
      </c>
      <c r="I24" s="37">
        <v>21.2</v>
      </c>
      <c r="J24" s="41">
        <v>304</v>
      </c>
      <c r="K24" s="37">
        <v>13.01</v>
      </c>
      <c r="L24" s="451">
        <v>127</v>
      </c>
      <c r="M24" s="451">
        <v>225</v>
      </c>
      <c r="N24" s="451">
        <v>85</v>
      </c>
      <c r="O24" s="353">
        <v>50</v>
      </c>
      <c r="P24" s="353">
        <v>8</v>
      </c>
      <c r="Q24" s="353">
        <v>203.27</v>
      </c>
      <c r="R24" s="37"/>
      <c r="S24" s="508" t="str">
        <f t="shared" si="0"/>
        <v/>
      </c>
      <c r="T24" s="508"/>
      <c r="U24" s="508"/>
      <c r="V24" s="508"/>
      <c r="X24" s="45">
        <v>0.375</v>
      </c>
      <c r="Y24" s="106"/>
      <c r="Z24" s="102"/>
      <c r="AA24" s="102"/>
      <c r="AB24" s="45" t="str">
        <f t="shared" si="18"/>
        <v/>
      </c>
      <c r="AC24" s="45" t="str">
        <f t="shared" si="1"/>
        <v/>
      </c>
      <c r="AD24" s="81"/>
      <c r="AE24" s="9" t="str">
        <f>IF(S24="","",IF(COUNTA(Z24:$Z$39)=1,IF(COUNTA(AD24:$AD$39)=1,""," ; "),IF(COUNTA(AD24:$AD$39)=1,IF(Z24="",""," ; ")," ; ")))</f>
        <v/>
      </c>
      <c r="AF24" s="9" t="str">
        <f t="shared" si="2"/>
        <v/>
      </c>
      <c r="AG24" s="90" t="str">
        <f t="shared" si="3"/>
        <v/>
      </c>
      <c r="AH24" s="204" t="s">
        <v>307</v>
      </c>
      <c r="AJ24" s="206">
        <f t="shared" si="19"/>
        <v>500</v>
      </c>
      <c r="AK24" s="206">
        <f t="shared" si="19"/>
        <v>100</v>
      </c>
      <c r="AL24" s="206">
        <f t="shared" si="19"/>
        <v>2</v>
      </c>
      <c r="AM24" s="213">
        <f t="shared" si="19"/>
        <v>0.875</v>
      </c>
      <c r="AN24" s="214">
        <f t="shared" si="19"/>
        <v>0.63607464142166403</v>
      </c>
      <c r="AO24" s="215">
        <f t="shared" si="4"/>
        <v>-14.7</v>
      </c>
      <c r="AP24" s="216">
        <f t="shared" si="5"/>
        <v>1</v>
      </c>
      <c r="AQ24" s="216">
        <f t="shared" si="6"/>
        <v>1</v>
      </c>
      <c r="AR24" s="215">
        <f t="shared" si="20"/>
        <v>158.47</v>
      </c>
      <c r="AS24" s="216">
        <f t="shared" si="7"/>
        <v>0.97679498379494789</v>
      </c>
      <c r="AT24" s="216">
        <f t="shared" si="8"/>
        <v>1.2538510821608391</v>
      </c>
      <c r="AU24" s="216">
        <f t="shared" si="9"/>
        <v>2.2360679774997898</v>
      </c>
      <c r="AV24" s="217">
        <f t="shared" si="10"/>
        <v>10.415801185754333</v>
      </c>
      <c r="AW24" s="216">
        <f t="shared" si="11"/>
        <v>0</v>
      </c>
      <c r="AX24" s="218">
        <f t="shared" si="12"/>
        <v>1.4696875479799241</v>
      </c>
      <c r="AY24" s="216">
        <f t="shared" si="13"/>
        <v>0.76851414128953044</v>
      </c>
      <c r="AZ24" s="217">
        <f t="shared" si="14"/>
        <v>3.5640070462657096</v>
      </c>
      <c r="BA24" s="216">
        <f t="shared" si="15"/>
        <v>0</v>
      </c>
      <c r="BB24" s="216">
        <f t="shared" si="16"/>
        <v>1.0084584063544275</v>
      </c>
      <c r="BC24" s="216">
        <f t="shared" si="17"/>
        <v>1</v>
      </c>
    </row>
    <row r="25" spans="1:55" ht="20.100000000000001" customHeight="1" x14ac:dyDescent="0.2">
      <c r="A25" s="45">
        <v>0.41666666666666702</v>
      </c>
      <c r="B25" s="451"/>
      <c r="C25" s="451"/>
      <c r="D25" s="451">
        <v>7.6</v>
      </c>
      <c r="E25" s="451">
        <v>78.400000000000006</v>
      </c>
      <c r="F25" s="41">
        <v>1915</v>
      </c>
      <c r="G25" s="37">
        <v>-5.5</v>
      </c>
      <c r="H25" s="37">
        <v>71.400000000000006</v>
      </c>
      <c r="I25" s="37">
        <v>21.9</v>
      </c>
      <c r="J25" s="41">
        <v>305</v>
      </c>
      <c r="K25" s="37">
        <v>13.01</v>
      </c>
      <c r="L25" s="451">
        <v>122</v>
      </c>
      <c r="M25" s="451">
        <v>225</v>
      </c>
      <c r="N25" s="451">
        <v>90</v>
      </c>
      <c r="O25" s="353">
        <v>50</v>
      </c>
      <c r="P25" s="353">
        <v>8</v>
      </c>
      <c r="Q25" s="353">
        <v>203.27</v>
      </c>
      <c r="R25" s="37"/>
      <c r="S25" s="508" t="str">
        <f t="shared" si="0"/>
        <v/>
      </c>
      <c r="T25" s="508"/>
      <c r="U25" s="508"/>
      <c r="V25" s="508"/>
      <c r="X25" s="45">
        <v>0.41666666666666702</v>
      </c>
      <c r="Y25" s="106"/>
      <c r="Z25" s="102"/>
      <c r="AA25" s="102"/>
      <c r="AB25" s="45" t="str">
        <f t="shared" si="18"/>
        <v/>
      </c>
      <c r="AC25" s="45" t="str">
        <f t="shared" si="1"/>
        <v/>
      </c>
      <c r="AD25" s="81"/>
      <c r="AE25" s="9" t="str">
        <f>IF(S25="","",IF(COUNTA(Z25:$Z$39)=1,IF(COUNTA(AD25:$AD$39)=1,""," ; "),IF(COUNTA(AD25:$AD$39)=1,IF(Z25="",""," ; ")," ; ")))</f>
        <v/>
      </c>
      <c r="AF25" s="9" t="str">
        <f t="shared" si="2"/>
        <v/>
      </c>
      <c r="AG25" s="90" t="str">
        <f t="shared" si="3"/>
        <v/>
      </c>
      <c r="AH25" s="204" t="s">
        <v>225</v>
      </c>
      <c r="AJ25" s="206">
        <f t="shared" si="19"/>
        <v>500</v>
      </c>
      <c r="AK25" s="206">
        <f t="shared" si="19"/>
        <v>100</v>
      </c>
      <c r="AL25" s="206">
        <f t="shared" si="19"/>
        <v>2</v>
      </c>
      <c r="AM25" s="213">
        <f t="shared" si="19"/>
        <v>0.875</v>
      </c>
      <c r="AN25" s="214">
        <f t="shared" si="19"/>
        <v>0.63607464142166403</v>
      </c>
      <c r="AO25" s="215">
        <f t="shared" si="4"/>
        <v>-14.7</v>
      </c>
      <c r="AP25" s="216">
        <f t="shared" si="5"/>
        <v>1</v>
      </c>
      <c r="AQ25" s="216">
        <f t="shared" si="6"/>
        <v>1</v>
      </c>
      <c r="AR25" s="215">
        <f t="shared" si="20"/>
        <v>158.47</v>
      </c>
      <c r="AS25" s="216">
        <f t="shared" si="7"/>
        <v>0.9723448696087954</v>
      </c>
      <c r="AT25" s="216">
        <f t="shared" si="8"/>
        <v>1.2538510821608391</v>
      </c>
      <c r="AU25" s="216">
        <f t="shared" si="9"/>
        <v>2.2360679774997898</v>
      </c>
      <c r="AV25" s="217">
        <f t="shared" si="10"/>
        <v>10.368348541764712</v>
      </c>
      <c r="AW25" s="216">
        <f t="shared" si="11"/>
        <v>0</v>
      </c>
      <c r="AX25" s="218">
        <f t="shared" si="12"/>
        <v>1.4831709199797398</v>
      </c>
      <c r="AY25" s="216">
        <f t="shared" si="13"/>
        <v>0.77643477842613629</v>
      </c>
      <c r="AZ25" s="217">
        <f t="shared" si="14"/>
        <v>3.5883638597441294</v>
      </c>
      <c r="BA25" s="216">
        <f t="shared" si="15"/>
        <v>0</v>
      </c>
      <c r="BB25" s="216">
        <f t="shared" si="16"/>
        <v>1.0016542390239327</v>
      </c>
      <c r="BC25" s="216">
        <f t="shared" si="17"/>
        <v>1</v>
      </c>
    </row>
    <row r="26" spans="1:55" ht="20.100000000000001" customHeight="1" x14ac:dyDescent="0.2">
      <c r="A26" s="45">
        <v>0.45833333333333298</v>
      </c>
      <c r="B26" s="451"/>
      <c r="C26" s="451"/>
      <c r="D26" s="451">
        <v>6.4</v>
      </c>
      <c r="E26" s="451">
        <v>70.3</v>
      </c>
      <c r="F26" s="41">
        <v>1944</v>
      </c>
      <c r="G26" s="37">
        <v>-5.5</v>
      </c>
      <c r="H26" s="37">
        <v>71.900000000000006</v>
      </c>
      <c r="I26" s="37">
        <v>21.4</v>
      </c>
      <c r="J26" s="41">
        <v>306</v>
      </c>
      <c r="K26" s="37">
        <v>13.01</v>
      </c>
      <c r="L26" s="451">
        <v>121</v>
      </c>
      <c r="M26" s="451">
        <v>220</v>
      </c>
      <c r="N26" s="451">
        <v>90</v>
      </c>
      <c r="O26" s="353">
        <v>50</v>
      </c>
      <c r="P26" s="353">
        <v>7</v>
      </c>
      <c r="Q26" s="353">
        <v>190.25</v>
      </c>
      <c r="R26" s="37"/>
      <c r="S26" s="508" t="str">
        <f t="shared" si="0"/>
        <v/>
      </c>
      <c r="T26" s="508"/>
      <c r="U26" s="508"/>
      <c r="V26" s="508"/>
      <c r="X26" s="45">
        <v>0.45833333333333298</v>
      </c>
      <c r="Y26" s="106"/>
      <c r="Z26" s="102"/>
      <c r="AA26" s="102"/>
      <c r="AB26" s="45" t="str">
        <f t="shared" si="18"/>
        <v/>
      </c>
      <c r="AC26" s="45" t="str">
        <f t="shared" si="1"/>
        <v/>
      </c>
      <c r="AD26" s="81"/>
      <c r="AE26" s="9" t="str">
        <f>IF(S26="","",IF(COUNTA(Z26:$Z$39)=1,IF(COUNTA(AD26:$AD$39)=1,""," ; "),IF(COUNTA(AD26:$AD$39)=1,IF(Z26="",""," ; ")," ; ")))</f>
        <v/>
      </c>
      <c r="AF26" s="9" t="str">
        <f t="shared" si="2"/>
        <v/>
      </c>
      <c r="AG26" s="90" t="str">
        <f t="shared" si="3"/>
        <v/>
      </c>
      <c r="AH26" s="204" t="s">
        <v>287</v>
      </c>
      <c r="AJ26" s="206">
        <f t="shared" si="19"/>
        <v>500</v>
      </c>
      <c r="AK26" s="206">
        <f t="shared" si="19"/>
        <v>100</v>
      </c>
      <c r="AL26" s="206">
        <f t="shared" si="19"/>
        <v>2</v>
      </c>
      <c r="AM26" s="213">
        <f t="shared" si="19"/>
        <v>0.875</v>
      </c>
      <c r="AN26" s="214">
        <f t="shared" si="19"/>
        <v>0.63607464142166403</v>
      </c>
      <c r="AO26" s="215">
        <f t="shared" si="4"/>
        <v>-14.7</v>
      </c>
      <c r="AP26" s="216">
        <f t="shared" si="5"/>
        <v>1</v>
      </c>
      <c r="AQ26" s="216">
        <f t="shared" si="6"/>
        <v>1</v>
      </c>
      <c r="AR26" s="215">
        <f t="shared" si="20"/>
        <v>158.47</v>
      </c>
      <c r="AS26" s="216">
        <f t="shared" si="7"/>
        <v>0.9723448696087954</v>
      </c>
      <c r="AT26" s="216">
        <f t="shared" si="8"/>
        <v>1.2538510821608391</v>
      </c>
      <c r="AU26" s="216">
        <f t="shared" si="9"/>
        <v>2.2360679774997898</v>
      </c>
      <c r="AV26" s="217">
        <f t="shared" si="10"/>
        <v>10.368348541764712</v>
      </c>
      <c r="AW26" s="216">
        <f t="shared" si="11"/>
        <v>0</v>
      </c>
      <c r="AX26" s="218">
        <f t="shared" si="12"/>
        <v>1.4831709199797398</v>
      </c>
      <c r="AY26" s="216">
        <f t="shared" si="13"/>
        <v>0.77643477842613629</v>
      </c>
      <c r="AZ26" s="217">
        <f t="shared" si="14"/>
        <v>3.5883638597441294</v>
      </c>
      <c r="BA26" s="216">
        <f t="shared" si="15"/>
        <v>0</v>
      </c>
      <c r="BB26" s="216">
        <f t="shared" si="16"/>
        <v>1.0016542390239327</v>
      </c>
      <c r="BC26" s="216">
        <f t="shared" si="17"/>
        <v>1</v>
      </c>
    </row>
    <row r="27" spans="1:55" ht="20.100000000000001" customHeight="1" x14ac:dyDescent="0.2">
      <c r="A27" s="45">
        <v>0.5</v>
      </c>
      <c r="B27" s="451"/>
      <c r="C27" s="451"/>
      <c r="D27" s="451">
        <v>8</v>
      </c>
      <c r="E27" s="451">
        <v>70.599999999999994</v>
      </c>
      <c r="F27" s="41">
        <v>1920</v>
      </c>
      <c r="G27" s="37">
        <v>-5.5</v>
      </c>
      <c r="H27" s="37">
        <v>71.599999999999994</v>
      </c>
      <c r="I27" s="37">
        <v>21.2</v>
      </c>
      <c r="J27" s="41">
        <v>307</v>
      </c>
      <c r="K27" s="37">
        <v>13.01</v>
      </c>
      <c r="L27" s="451">
        <v>127</v>
      </c>
      <c r="M27" s="451">
        <v>222</v>
      </c>
      <c r="N27" s="451">
        <v>90</v>
      </c>
      <c r="O27" s="353">
        <v>50</v>
      </c>
      <c r="P27" s="353">
        <v>7</v>
      </c>
      <c r="Q27" s="353">
        <v>190.25</v>
      </c>
      <c r="R27" s="37"/>
      <c r="S27" s="508" t="str">
        <f t="shared" si="0"/>
        <v/>
      </c>
      <c r="T27" s="508"/>
      <c r="U27" s="508"/>
      <c r="V27" s="508"/>
      <c r="X27" s="45">
        <v>0.5</v>
      </c>
      <c r="Y27" s="106"/>
      <c r="Z27" s="102"/>
      <c r="AA27" s="102"/>
      <c r="AB27" s="45" t="str">
        <f t="shared" si="18"/>
        <v/>
      </c>
      <c r="AC27" s="45" t="str">
        <f t="shared" si="1"/>
        <v/>
      </c>
      <c r="AD27" s="81"/>
      <c r="AE27" s="9" t="str">
        <f>IF(S27="","",IF(COUNTA(Z27:$Z$39)=1,IF(COUNTA(AD27:$AD$39)=1,""," ; "),IF(COUNTA(AD27:$AD$39)=1,IF(Z27="",""," ; ")," ; ")))</f>
        <v/>
      </c>
      <c r="AF27" s="9" t="str">
        <f t="shared" si="2"/>
        <v/>
      </c>
      <c r="AG27" s="90" t="str">
        <f t="shared" si="3"/>
        <v/>
      </c>
      <c r="AH27" s="204" t="s">
        <v>276</v>
      </c>
      <c r="AJ27" s="206">
        <f t="shared" si="19"/>
        <v>500</v>
      </c>
      <c r="AK27" s="206">
        <f t="shared" si="19"/>
        <v>100</v>
      </c>
      <c r="AL27" s="206">
        <f t="shared" si="19"/>
        <v>2</v>
      </c>
      <c r="AM27" s="213">
        <f t="shared" si="19"/>
        <v>0.875</v>
      </c>
      <c r="AN27" s="214">
        <f t="shared" si="19"/>
        <v>0.63607464142166403</v>
      </c>
      <c r="AO27" s="215">
        <f t="shared" si="4"/>
        <v>-14.7</v>
      </c>
      <c r="AP27" s="216">
        <f t="shared" si="5"/>
        <v>1</v>
      </c>
      <c r="AQ27" s="216">
        <f t="shared" si="6"/>
        <v>1</v>
      </c>
      <c r="AR27" s="215">
        <f t="shared" si="20"/>
        <v>158.47</v>
      </c>
      <c r="AS27" s="216">
        <f t="shared" si="7"/>
        <v>0.9723448696087954</v>
      </c>
      <c r="AT27" s="216">
        <f t="shared" si="8"/>
        <v>1.2538510821608391</v>
      </c>
      <c r="AU27" s="216">
        <f t="shared" si="9"/>
        <v>2.2360679774997898</v>
      </c>
      <c r="AV27" s="217">
        <f t="shared" si="10"/>
        <v>10.368348541764712</v>
      </c>
      <c r="AW27" s="216">
        <f t="shared" si="11"/>
        <v>0</v>
      </c>
      <c r="AX27" s="218">
        <f t="shared" si="12"/>
        <v>1.4831709199797398</v>
      </c>
      <c r="AY27" s="216">
        <f t="shared" si="13"/>
        <v>0.77643477842613629</v>
      </c>
      <c r="AZ27" s="217">
        <f t="shared" si="14"/>
        <v>3.5883638597441294</v>
      </c>
      <c r="BA27" s="216">
        <f t="shared" si="15"/>
        <v>0</v>
      </c>
      <c r="BB27" s="216">
        <f t="shared" si="16"/>
        <v>1.0016542390239327</v>
      </c>
      <c r="BC27" s="216">
        <f t="shared" si="17"/>
        <v>1</v>
      </c>
    </row>
    <row r="28" spans="1:55" ht="20.100000000000001" customHeight="1" x14ac:dyDescent="0.2">
      <c r="A28" s="45">
        <v>0.54166666666666696</v>
      </c>
      <c r="B28" s="451"/>
      <c r="C28" s="451"/>
      <c r="D28" s="451">
        <v>7.4</v>
      </c>
      <c r="E28" s="451">
        <v>57.9</v>
      </c>
      <c r="F28" s="41">
        <v>1934</v>
      </c>
      <c r="G28" s="37">
        <v>-5.5</v>
      </c>
      <c r="H28" s="37">
        <v>71.3</v>
      </c>
      <c r="I28" s="37">
        <v>21</v>
      </c>
      <c r="J28" s="41">
        <v>308</v>
      </c>
      <c r="K28" s="37">
        <v>13.01</v>
      </c>
      <c r="L28" s="451">
        <v>120</v>
      </c>
      <c r="M28" s="451">
        <v>225</v>
      </c>
      <c r="N28" s="451">
        <v>90</v>
      </c>
      <c r="O28" s="353">
        <v>50</v>
      </c>
      <c r="P28" s="353">
        <v>6</v>
      </c>
      <c r="Q28" s="353">
        <v>176.25</v>
      </c>
      <c r="R28" s="37"/>
      <c r="S28" s="508" t="str">
        <f t="shared" si="0"/>
        <v/>
      </c>
      <c r="T28" s="508"/>
      <c r="U28" s="508"/>
      <c r="V28" s="508"/>
      <c r="X28" s="45">
        <v>0.54166666666666696</v>
      </c>
      <c r="Y28" s="106"/>
      <c r="Z28" s="102"/>
      <c r="AA28" s="102"/>
      <c r="AB28" s="45" t="str">
        <f t="shared" si="18"/>
        <v/>
      </c>
      <c r="AC28" s="45" t="str">
        <f t="shared" si="1"/>
        <v/>
      </c>
      <c r="AD28" s="81"/>
      <c r="AE28" s="9" t="str">
        <f>IF(S28="","",IF(COUNTA(Z28:$Z$39)=1,IF(COUNTA(AD28:$AD$39)=1,""," ; "),IF(COUNTA(AD28:$AD$39)=1,IF(Z28="",""," ; ")," ; ")))</f>
        <v/>
      </c>
      <c r="AF28" s="9" t="str">
        <f t="shared" si="2"/>
        <v/>
      </c>
      <c r="AG28" s="90" t="str">
        <f t="shared" si="3"/>
        <v/>
      </c>
      <c r="AH28" s="204" t="s">
        <v>278</v>
      </c>
      <c r="AJ28" s="206">
        <f t="shared" si="19"/>
        <v>500</v>
      </c>
      <c r="AK28" s="206">
        <f t="shared" si="19"/>
        <v>100</v>
      </c>
      <c r="AL28" s="206">
        <f t="shared" si="19"/>
        <v>2</v>
      </c>
      <c r="AM28" s="213">
        <f t="shared" si="19"/>
        <v>0.875</v>
      </c>
      <c r="AN28" s="214">
        <f t="shared" si="19"/>
        <v>0.63607464142166403</v>
      </c>
      <c r="AO28" s="215">
        <f t="shared" si="4"/>
        <v>-14.7</v>
      </c>
      <c r="AP28" s="216">
        <f t="shared" si="5"/>
        <v>1</v>
      </c>
      <c r="AQ28" s="216">
        <f t="shared" si="6"/>
        <v>1</v>
      </c>
      <c r="AR28" s="215">
        <f t="shared" si="20"/>
        <v>158.47</v>
      </c>
      <c r="AS28" s="216">
        <f t="shared" si="7"/>
        <v>0.9723448696087954</v>
      </c>
      <c r="AT28" s="216">
        <f t="shared" si="8"/>
        <v>1.2538510821608391</v>
      </c>
      <c r="AU28" s="216">
        <f t="shared" si="9"/>
        <v>2.2360679774997898</v>
      </c>
      <c r="AV28" s="217">
        <f t="shared" si="10"/>
        <v>10.368348541764712</v>
      </c>
      <c r="AW28" s="216">
        <f t="shared" si="11"/>
        <v>0</v>
      </c>
      <c r="AX28" s="218">
        <f t="shared" si="12"/>
        <v>1.4831709199797398</v>
      </c>
      <c r="AY28" s="216">
        <f t="shared" si="13"/>
        <v>0.77643477842613629</v>
      </c>
      <c r="AZ28" s="217">
        <f t="shared" si="14"/>
        <v>3.5883638597441294</v>
      </c>
      <c r="BA28" s="216">
        <f t="shared" si="15"/>
        <v>0</v>
      </c>
      <c r="BB28" s="216">
        <f t="shared" si="16"/>
        <v>1.0016542390239327</v>
      </c>
      <c r="BC28" s="216">
        <f t="shared" si="17"/>
        <v>1</v>
      </c>
    </row>
    <row r="29" spans="1:55" ht="20.100000000000001" customHeight="1" x14ac:dyDescent="0.2">
      <c r="A29" s="45">
        <v>0.58333333333333304</v>
      </c>
      <c r="B29" s="451"/>
      <c r="C29" s="451"/>
      <c r="D29" s="451">
        <v>6.2</v>
      </c>
      <c r="E29" s="451">
        <v>57.6</v>
      </c>
      <c r="F29" s="41">
        <v>1951</v>
      </c>
      <c r="G29" s="37">
        <v>-5.5</v>
      </c>
      <c r="H29" s="37">
        <v>71.2</v>
      </c>
      <c r="I29" s="37">
        <v>21.4</v>
      </c>
      <c r="J29" s="41">
        <v>309</v>
      </c>
      <c r="K29" s="37">
        <v>13.01</v>
      </c>
      <c r="L29" s="451">
        <v>120</v>
      </c>
      <c r="M29" s="451">
        <v>222</v>
      </c>
      <c r="N29" s="451">
        <v>90</v>
      </c>
      <c r="O29" s="353">
        <v>70</v>
      </c>
      <c r="P29" s="353">
        <v>6</v>
      </c>
      <c r="Q29" s="353">
        <v>202.05</v>
      </c>
      <c r="R29" s="37"/>
      <c r="S29" s="508" t="str">
        <f t="shared" si="0"/>
        <v/>
      </c>
      <c r="T29" s="508"/>
      <c r="U29" s="508"/>
      <c r="V29" s="508"/>
      <c r="X29" s="45">
        <v>0.58333333333333304</v>
      </c>
      <c r="Y29" s="106"/>
      <c r="Z29" s="102"/>
      <c r="AA29" s="102"/>
      <c r="AB29" s="45" t="str">
        <f t="shared" si="18"/>
        <v/>
      </c>
      <c r="AC29" s="45" t="str">
        <f t="shared" si="1"/>
        <v/>
      </c>
      <c r="AD29" s="81"/>
      <c r="AE29" s="9" t="str">
        <f>IF(S29="","",IF(COUNTA(Z29:$Z$39)=1,IF(COUNTA(AD29:$AD$39)=1,""," ; "),IF(COUNTA(AD29:$AD$39)=1,IF(Z29="",""," ; ")," ; ")))</f>
        <v/>
      </c>
      <c r="AF29" s="9" t="str">
        <f t="shared" si="2"/>
        <v/>
      </c>
      <c r="AG29" s="90" t="str">
        <f t="shared" si="3"/>
        <v/>
      </c>
      <c r="AH29" s="204" t="s">
        <v>224</v>
      </c>
      <c r="AJ29" s="206">
        <f t="shared" si="19"/>
        <v>500</v>
      </c>
      <c r="AK29" s="206">
        <f t="shared" si="19"/>
        <v>100</v>
      </c>
      <c r="AL29" s="206">
        <f t="shared" si="19"/>
        <v>2</v>
      </c>
      <c r="AM29" s="213">
        <f t="shared" si="19"/>
        <v>0.875</v>
      </c>
      <c r="AN29" s="214">
        <f t="shared" si="19"/>
        <v>0.63607464142166403</v>
      </c>
      <c r="AO29" s="215">
        <f t="shared" si="4"/>
        <v>-14.7</v>
      </c>
      <c r="AP29" s="216">
        <f t="shared" si="5"/>
        <v>1</v>
      </c>
      <c r="AQ29" s="216">
        <f t="shared" si="6"/>
        <v>1</v>
      </c>
      <c r="AR29" s="215">
        <f t="shared" si="20"/>
        <v>158.47</v>
      </c>
      <c r="AS29" s="216">
        <f t="shared" si="7"/>
        <v>0.9723448696087954</v>
      </c>
      <c r="AT29" s="216">
        <f t="shared" si="8"/>
        <v>1.2538510821608391</v>
      </c>
      <c r="AU29" s="216">
        <f t="shared" si="9"/>
        <v>2.2360679774997898</v>
      </c>
      <c r="AV29" s="217">
        <f t="shared" si="10"/>
        <v>10.368348541764712</v>
      </c>
      <c r="AW29" s="216">
        <f t="shared" si="11"/>
        <v>0</v>
      </c>
      <c r="AX29" s="218">
        <f t="shared" si="12"/>
        <v>1.4831709199797398</v>
      </c>
      <c r="AY29" s="216">
        <f t="shared" si="13"/>
        <v>0.77643477842613629</v>
      </c>
      <c r="AZ29" s="217">
        <f t="shared" si="14"/>
        <v>3.5883638597441294</v>
      </c>
      <c r="BA29" s="216">
        <f t="shared" si="15"/>
        <v>0</v>
      </c>
      <c r="BB29" s="216">
        <f t="shared" si="16"/>
        <v>1.0016542390239327</v>
      </c>
      <c r="BC29" s="216">
        <f t="shared" si="17"/>
        <v>1</v>
      </c>
    </row>
    <row r="30" spans="1:55" ht="20.100000000000001" customHeight="1" x14ac:dyDescent="0.2">
      <c r="A30" s="45">
        <v>0.625</v>
      </c>
      <c r="B30" s="451"/>
      <c r="C30" s="451"/>
      <c r="D30" s="451">
        <v>6.6</v>
      </c>
      <c r="E30" s="451">
        <v>58.3</v>
      </c>
      <c r="F30" s="41">
        <v>1927</v>
      </c>
      <c r="G30" s="37">
        <v>-5.5</v>
      </c>
      <c r="H30" s="37">
        <v>71</v>
      </c>
      <c r="I30" s="37">
        <v>21.4</v>
      </c>
      <c r="J30" s="41">
        <v>310</v>
      </c>
      <c r="K30" s="37">
        <v>13.01</v>
      </c>
      <c r="L30" s="451">
        <v>125</v>
      </c>
      <c r="M30" s="451">
        <v>225</v>
      </c>
      <c r="N30" s="451">
        <v>90</v>
      </c>
      <c r="O30" s="353">
        <v>70</v>
      </c>
      <c r="P30" s="353">
        <v>7</v>
      </c>
      <c r="Q30" s="353">
        <v>218.1</v>
      </c>
      <c r="R30" s="37"/>
      <c r="S30" s="508" t="str">
        <f t="shared" si="0"/>
        <v/>
      </c>
      <c r="T30" s="508"/>
      <c r="U30" s="508"/>
      <c r="V30" s="508"/>
      <c r="X30" s="45">
        <v>0.625</v>
      </c>
      <c r="Y30" s="106"/>
      <c r="Z30" s="102"/>
      <c r="AA30" s="102"/>
      <c r="AB30" s="45" t="str">
        <f t="shared" si="18"/>
        <v/>
      </c>
      <c r="AC30" s="45" t="str">
        <f t="shared" si="1"/>
        <v/>
      </c>
      <c r="AD30" s="81"/>
      <c r="AE30" s="9" t="str">
        <f>IF(S30="","",IF(COUNTA(Z30:$Z$39)=1,IF(COUNTA(AD30:$AD$39)=1,""," ; "),IF(COUNTA(AD30:$AD$39)=1,IF(Z30="",""," ; ")," ; ")))</f>
        <v/>
      </c>
      <c r="AF30" s="9" t="str">
        <f t="shared" si="2"/>
        <v/>
      </c>
      <c r="AG30" s="90" t="str">
        <f t="shared" si="3"/>
        <v/>
      </c>
      <c r="AH30" s="204" t="s">
        <v>260</v>
      </c>
      <c r="AJ30" s="206">
        <f t="shared" si="19"/>
        <v>500</v>
      </c>
      <c r="AK30" s="206">
        <f t="shared" si="19"/>
        <v>100</v>
      </c>
      <c r="AL30" s="206">
        <f t="shared" si="19"/>
        <v>2</v>
      </c>
      <c r="AM30" s="213">
        <f t="shared" si="19"/>
        <v>0.875</v>
      </c>
      <c r="AN30" s="214">
        <f t="shared" si="19"/>
        <v>0.63607464142166403</v>
      </c>
      <c r="AO30" s="215">
        <f t="shared" si="4"/>
        <v>-14.7</v>
      </c>
      <c r="AP30" s="216">
        <f t="shared" si="5"/>
        <v>1</v>
      </c>
      <c r="AQ30" s="216">
        <f t="shared" si="6"/>
        <v>1</v>
      </c>
      <c r="AR30" s="215">
        <f t="shared" si="20"/>
        <v>158.47</v>
      </c>
      <c r="AS30" s="216">
        <f t="shared" si="7"/>
        <v>0.9723448696087954</v>
      </c>
      <c r="AT30" s="216">
        <f t="shared" si="8"/>
        <v>1.2538510821608391</v>
      </c>
      <c r="AU30" s="216">
        <f t="shared" si="9"/>
        <v>2.2360679774997898</v>
      </c>
      <c r="AV30" s="217">
        <f t="shared" si="10"/>
        <v>10.368348541764712</v>
      </c>
      <c r="AW30" s="216">
        <f t="shared" si="11"/>
        <v>0</v>
      </c>
      <c r="AX30" s="218">
        <f t="shared" si="12"/>
        <v>1.4831709199797398</v>
      </c>
      <c r="AY30" s="216">
        <f t="shared" si="13"/>
        <v>0.77643477842613629</v>
      </c>
      <c r="AZ30" s="217">
        <f t="shared" si="14"/>
        <v>3.5883638597441294</v>
      </c>
      <c r="BA30" s="216">
        <f t="shared" si="15"/>
        <v>0</v>
      </c>
      <c r="BB30" s="216">
        <f t="shared" si="16"/>
        <v>1.0016542390239327</v>
      </c>
      <c r="BC30" s="216">
        <f t="shared" si="17"/>
        <v>1</v>
      </c>
    </row>
    <row r="31" spans="1:55" ht="20.100000000000001" customHeight="1" x14ac:dyDescent="0.2">
      <c r="A31" s="45">
        <v>0.66666666666666696</v>
      </c>
      <c r="B31" s="451"/>
      <c r="C31" s="451"/>
      <c r="D31" s="451">
        <v>5.9</v>
      </c>
      <c r="E31" s="451">
        <v>56.7</v>
      </c>
      <c r="F31" s="41">
        <v>1936</v>
      </c>
      <c r="G31" s="37">
        <v>-5.5</v>
      </c>
      <c r="H31" s="37">
        <v>71.400000000000006</v>
      </c>
      <c r="I31" s="37">
        <v>21.7</v>
      </c>
      <c r="J31" s="41">
        <v>311</v>
      </c>
      <c r="K31" s="37">
        <v>13.01</v>
      </c>
      <c r="L31" s="451">
        <v>124</v>
      </c>
      <c r="M31" s="451">
        <v>221</v>
      </c>
      <c r="N31" s="451">
        <v>90</v>
      </c>
      <c r="O31" s="353">
        <v>70</v>
      </c>
      <c r="P31" s="353">
        <v>7</v>
      </c>
      <c r="Q31" s="353">
        <v>218.1</v>
      </c>
      <c r="R31" s="37"/>
      <c r="S31" s="508" t="str">
        <f t="shared" si="0"/>
        <v/>
      </c>
      <c r="T31" s="508"/>
      <c r="U31" s="508"/>
      <c r="V31" s="508"/>
      <c r="X31" s="45">
        <v>0.66666666666666696</v>
      </c>
      <c r="Y31" s="106"/>
      <c r="Z31" s="102"/>
      <c r="AA31" s="102"/>
      <c r="AB31" s="45" t="str">
        <f t="shared" si="18"/>
        <v/>
      </c>
      <c r="AC31" s="45" t="str">
        <f t="shared" si="1"/>
        <v/>
      </c>
      <c r="AD31" s="81"/>
      <c r="AE31" s="9" t="str">
        <f>IF(S31="","",IF(COUNTA(Z31:$Z$39)=1,IF(COUNTA(AD31:$AD$39)=1,""," ; "),IF(COUNTA(AD31:$AD$39)=1,IF(Z31="",""," ; ")," ; ")))</f>
        <v/>
      </c>
      <c r="AF31" s="9" t="str">
        <f t="shared" si="2"/>
        <v/>
      </c>
      <c r="AG31" s="90" t="str">
        <f t="shared" si="3"/>
        <v/>
      </c>
      <c r="AH31" s="204" t="s">
        <v>226</v>
      </c>
      <c r="AJ31" s="206">
        <f t="shared" si="19"/>
        <v>500</v>
      </c>
      <c r="AK31" s="206">
        <f t="shared" si="19"/>
        <v>100</v>
      </c>
      <c r="AL31" s="206">
        <f t="shared" si="19"/>
        <v>2</v>
      </c>
      <c r="AM31" s="213">
        <f t="shared" si="19"/>
        <v>0.875</v>
      </c>
      <c r="AN31" s="214">
        <f t="shared" si="19"/>
        <v>0.63607464142166403</v>
      </c>
      <c r="AO31" s="215">
        <f t="shared" si="4"/>
        <v>-14.7</v>
      </c>
      <c r="AP31" s="216">
        <f t="shared" si="5"/>
        <v>1</v>
      </c>
      <c r="AQ31" s="216">
        <f t="shared" si="6"/>
        <v>1</v>
      </c>
      <c r="AR31" s="215">
        <f t="shared" si="20"/>
        <v>158.47</v>
      </c>
      <c r="AS31" s="216">
        <f t="shared" si="7"/>
        <v>0.9723448696087954</v>
      </c>
      <c r="AT31" s="216">
        <f t="shared" si="8"/>
        <v>1.2538510821608391</v>
      </c>
      <c r="AU31" s="216">
        <f t="shared" si="9"/>
        <v>2.2360679774997898</v>
      </c>
      <c r="AV31" s="217">
        <f t="shared" si="10"/>
        <v>10.368348541764712</v>
      </c>
      <c r="AW31" s="216">
        <f t="shared" si="11"/>
        <v>0</v>
      </c>
      <c r="AX31" s="218">
        <f t="shared" si="12"/>
        <v>1.4831709199797398</v>
      </c>
      <c r="AY31" s="216">
        <f t="shared" si="13"/>
        <v>0.77643477842613629</v>
      </c>
      <c r="AZ31" s="217">
        <f t="shared" si="14"/>
        <v>3.5883638597441294</v>
      </c>
      <c r="BA31" s="216">
        <f t="shared" si="15"/>
        <v>0</v>
      </c>
      <c r="BB31" s="216">
        <f t="shared" si="16"/>
        <v>1.0016542390239327</v>
      </c>
      <c r="BC31" s="216">
        <f t="shared" si="17"/>
        <v>1</v>
      </c>
    </row>
    <row r="32" spans="1:55" ht="20.100000000000001" customHeight="1" x14ac:dyDescent="0.2">
      <c r="A32" s="45">
        <v>0.70833333333333304</v>
      </c>
      <c r="B32" s="451"/>
      <c r="C32" s="451"/>
      <c r="D32" s="451">
        <v>7.2</v>
      </c>
      <c r="E32" s="451">
        <v>54.8</v>
      </c>
      <c r="F32" s="41">
        <v>1942</v>
      </c>
      <c r="G32" s="37">
        <v>-5.5</v>
      </c>
      <c r="H32" s="37">
        <v>71.5</v>
      </c>
      <c r="I32" s="37">
        <v>21.6</v>
      </c>
      <c r="J32" s="41">
        <v>312</v>
      </c>
      <c r="K32" s="37">
        <v>13.01</v>
      </c>
      <c r="L32" s="451">
        <v>122</v>
      </c>
      <c r="M32" s="451">
        <v>222</v>
      </c>
      <c r="N32" s="451">
        <v>88</v>
      </c>
      <c r="O32" s="353">
        <v>50</v>
      </c>
      <c r="P32" s="353">
        <v>8</v>
      </c>
      <c r="Q32" s="353">
        <v>203.27</v>
      </c>
      <c r="R32" s="37"/>
      <c r="S32" s="508" t="str">
        <f t="shared" si="0"/>
        <v/>
      </c>
      <c r="T32" s="508"/>
      <c r="U32" s="508"/>
      <c r="V32" s="508"/>
      <c r="X32" s="45">
        <v>0.70833333333333304</v>
      </c>
      <c r="Y32" s="106"/>
      <c r="Z32" s="102"/>
      <c r="AA32" s="102"/>
      <c r="AB32" s="45" t="str">
        <f t="shared" si="18"/>
        <v/>
      </c>
      <c r="AC32" s="45" t="str">
        <f t="shared" si="1"/>
        <v/>
      </c>
      <c r="AD32" s="81"/>
      <c r="AE32" s="9" t="str">
        <f>IF(S32="","",IF(COUNTA(Z32:$Z$39)=1,IF(COUNTA(AD32:$AD$39)=1,""," ; "),IF(COUNTA(AD32:$AD$39)=1,IF(Z32="",""," ; ")," ; ")))</f>
        <v/>
      </c>
      <c r="AF32" s="9" t="str">
        <f t="shared" si="2"/>
        <v/>
      </c>
      <c r="AG32" s="90" t="str">
        <f t="shared" si="3"/>
        <v/>
      </c>
      <c r="AH32" s="204" t="s">
        <v>313</v>
      </c>
      <c r="AJ32" s="206">
        <f t="shared" si="19"/>
        <v>500</v>
      </c>
      <c r="AK32" s="206">
        <f t="shared" si="19"/>
        <v>100</v>
      </c>
      <c r="AL32" s="206">
        <f t="shared" si="19"/>
        <v>2</v>
      </c>
      <c r="AM32" s="213">
        <f t="shared" si="19"/>
        <v>0.875</v>
      </c>
      <c r="AN32" s="214">
        <f t="shared" si="19"/>
        <v>0.63607464142166403</v>
      </c>
      <c r="AO32" s="215">
        <f t="shared" si="4"/>
        <v>-14.7</v>
      </c>
      <c r="AP32" s="216">
        <f t="shared" si="5"/>
        <v>1</v>
      </c>
      <c r="AQ32" s="216">
        <f t="shared" si="6"/>
        <v>1</v>
      </c>
      <c r="AR32" s="215">
        <f t="shared" si="20"/>
        <v>158.47</v>
      </c>
      <c r="AS32" s="216">
        <f t="shared" si="7"/>
        <v>0.97411760557391169</v>
      </c>
      <c r="AT32" s="216">
        <f t="shared" si="8"/>
        <v>1.2538510821608391</v>
      </c>
      <c r="AU32" s="216">
        <f t="shared" si="9"/>
        <v>2.2360679774997898</v>
      </c>
      <c r="AV32" s="217">
        <f t="shared" si="10"/>
        <v>10.387251654161696</v>
      </c>
      <c r="AW32" s="216">
        <f t="shared" si="11"/>
        <v>0</v>
      </c>
      <c r="AX32" s="218">
        <f t="shared" si="12"/>
        <v>1.4777775711798136</v>
      </c>
      <c r="AY32" s="216">
        <f t="shared" si="13"/>
        <v>0.77329742231598331</v>
      </c>
      <c r="AZ32" s="217">
        <f t="shared" si="14"/>
        <v>3.5788947329105252</v>
      </c>
      <c r="BA32" s="216">
        <f t="shared" si="15"/>
        <v>0</v>
      </c>
      <c r="BB32" s="216">
        <f t="shared" si="16"/>
        <v>1.0043610063196404</v>
      </c>
      <c r="BC32" s="216">
        <f t="shared" si="17"/>
        <v>1</v>
      </c>
    </row>
    <row r="33" spans="1:55" ht="20.100000000000001" customHeight="1" x14ac:dyDescent="0.2">
      <c r="A33" s="45">
        <v>0.75</v>
      </c>
      <c r="B33" s="451"/>
      <c r="C33" s="451"/>
      <c r="D33" s="451">
        <v>6</v>
      </c>
      <c r="E33" s="451">
        <v>55.8</v>
      </c>
      <c r="F33" s="41">
        <v>1903</v>
      </c>
      <c r="G33" s="37">
        <v>-5.5</v>
      </c>
      <c r="H33" s="37">
        <v>71.3</v>
      </c>
      <c r="I33" s="37">
        <v>21.9</v>
      </c>
      <c r="J33" s="41">
        <v>313</v>
      </c>
      <c r="K33" s="37">
        <v>13.01</v>
      </c>
      <c r="L33" s="451">
        <v>122</v>
      </c>
      <c r="M33" s="451">
        <v>222</v>
      </c>
      <c r="N33" s="451">
        <v>85</v>
      </c>
      <c r="O33" s="353">
        <v>50</v>
      </c>
      <c r="P33" s="353">
        <v>8</v>
      </c>
      <c r="Q33" s="353">
        <v>203.27</v>
      </c>
      <c r="R33" s="37"/>
      <c r="S33" s="508" t="str">
        <f>IF(Z33="",IF(AD33="","",AD33),CONCATENATE(TEXT(Z33,"[hh]:mm"),IF(AA33="",""," - "&amp;TEXT(AA33,"[hh]:mm")),IF(Y33="",""," "&amp;Y33&amp;"/")," "&amp;AD33))</f>
        <v/>
      </c>
      <c r="T33" s="508"/>
      <c r="U33" s="508"/>
      <c r="V33" s="508"/>
      <c r="X33" s="45">
        <v>0.75</v>
      </c>
      <c r="Y33" s="106"/>
      <c r="Z33" s="102"/>
      <c r="AA33" s="102"/>
      <c r="AB33" s="45" t="str">
        <f t="shared" si="18"/>
        <v/>
      </c>
      <c r="AC33" s="45" t="str">
        <f t="shared" si="1"/>
        <v/>
      </c>
      <c r="AD33" s="81"/>
      <c r="AE33" s="9" t="str">
        <f>IF(S33="","",IF(COUNTA(Z33:$Z$39)=1,IF(COUNTA(AD33:$AD$39)=1,""," ; "),IF(COUNTA(AD33:$AD$39)=1,IF(Z33="",""," ; ")," ; ")))</f>
        <v/>
      </c>
      <c r="AF33" s="9" t="str">
        <f t="shared" si="2"/>
        <v/>
      </c>
      <c r="AG33" s="90" t="str">
        <f t="shared" si="3"/>
        <v/>
      </c>
      <c r="AH33" s="204" t="s">
        <v>308</v>
      </c>
      <c r="AJ33" s="206">
        <f t="shared" ref="AJ33:AN39" si="21">AJ32</f>
        <v>500</v>
      </c>
      <c r="AK33" s="206">
        <f t="shared" si="21"/>
        <v>100</v>
      </c>
      <c r="AL33" s="206">
        <f t="shared" si="21"/>
        <v>2</v>
      </c>
      <c r="AM33" s="213">
        <f t="shared" si="21"/>
        <v>0.875</v>
      </c>
      <c r="AN33" s="214">
        <f t="shared" si="21"/>
        <v>0.63607464142166403</v>
      </c>
      <c r="AO33" s="215">
        <f t="shared" si="4"/>
        <v>-14.7</v>
      </c>
      <c r="AP33" s="216">
        <f t="shared" si="5"/>
        <v>1</v>
      </c>
      <c r="AQ33" s="216">
        <f t="shared" si="6"/>
        <v>1</v>
      </c>
      <c r="AR33" s="215">
        <f t="shared" si="20"/>
        <v>158.47</v>
      </c>
      <c r="AS33" s="216">
        <f t="shared" si="7"/>
        <v>0.97679498379494789</v>
      </c>
      <c r="AT33" s="216">
        <f t="shared" si="8"/>
        <v>1.2538510821608391</v>
      </c>
      <c r="AU33" s="216">
        <f t="shared" si="9"/>
        <v>2.2360679774997898</v>
      </c>
      <c r="AV33" s="217">
        <f t="shared" si="10"/>
        <v>10.415801185754333</v>
      </c>
      <c r="AW33" s="216">
        <f t="shared" si="11"/>
        <v>0</v>
      </c>
      <c r="AX33" s="218">
        <f t="shared" si="12"/>
        <v>1.4696875479799241</v>
      </c>
      <c r="AY33" s="216">
        <f t="shared" si="13"/>
        <v>0.76851414128953044</v>
      </c>
      <c r="AZ33" s="217">
        <f t="shared" si="14"/>
        <v>3.5640070462657096</v>
      </c>
      <c r="BA33" s="216">
        <f t="shared" si="15"/>
        <v>0</v>
      </c>
      <c r="BB33" s="216">
        <f t="shared" si="16"/>
        <v>1.0084584063544275</v>
      </c>
      <c r="BC33" s="216">
        <f t="shared" si="17"/>
        <v>1</v>
      </c>
    </row>
    <row r="34" spans="1:55" ht="20.100000000000001" customHeight="1" x14ac:dyDescent="0.2">
      <c r="A34" s="45">
        <v>0.79166666666666696</v>
      </c>
      <c r="B34" s="451"/>
      <c r="C34" s="451"/>
      <c r="D34" s="451">
        <v>6.4</v>
      </c>
      <c r="E34" s="451">
        <v>56.2</v>
      </c>
      <c r="F34" s="41">
        <v>1915</v>
      </c>
      <c r="G34" s="37">
        <v>-5.5</v>
      </c>
      <c r="H34" s="37">
        <v>71.7</v>
      </c>
      <c r="I34" s="37">
        <v>21.2</v>
      </c>
      <c r="J34" s="41">
        <v>314</v>
      </c>
      <c r="K34" s="37">
        <v>13.01</v>
      </c>
      <c r="L34" s="451">
        <v>121</v>
      </c>
      <c r="M34" s="451">
        <v>222</v>
      </c>
      <c r="N34" s="451">
        <v>85</v>
      </c>
      <c r="O34" s="353">
        <v>50</v>
      </c>
      <c r="P34" s="353">
        <v>7</v>
      </c>
      <c r="Q34" s="353">
        <v>190.25</v>
      </c>
      <c r="R34" s="37"/>
      <c r="S34" s="508" t="str">
        <f t="shared" ref="S34:S39" si="22">IF(Z34="",IF(AD34="","",AD34),CONCATENATE(TEXT(Z34,"[hh]:mm"),IF(AA34="",""," - "&amp;TEXT(AA34,"[hh]:mm")),IF(Y34="",""," "&amp;Y34&amp;"/")," "&amp;AD34))</f>
        <v/>
      </c>
      <c r="T34" s="508"/>
      <c r="U34" s="508"/>
      <c r="V34" s="508"/>
      <c r="X34" s="45">
        <v>0.79166666666666696</v>
      </c>
      <c r="Y34" s="106"/>
      <c r="Z34" s="102"/>
      <c r="AA34" s="102"/>
      <c r="AB34" s="45" t="str">
        <f t="shared" si="18"/>
        <v/>
      </c>
      <c r="AC34" s="45" t="str">
        <f t="shared" si="1"/>
        <v/>
      </c>
      <c r="AD34" s="81"/>
      <c r="AE34" s="9" t="str">
        <f>IF(S34="","",IF(COUNTA(Z34:$Z$39)=1,IF(COUNTA(AD34:$AD$39)=1,""," ; "),IF(COUNTA(AD34:$AD$39)=1,IF(Z34="",""," ; ")," ; ")))</f>
        <v/>
      </c>
      <c r="AF34" s="9" t="str">
        <f t="shared" si="2"/>
        <v/>
      </c>
      <c r="AG34" s="90" t="str">
        <f t="shared" si="3"/>
        <v/>
      </c>
      <c r="AH34" s="204" t="s">
        <v>314</v>
      </c>
      <c r="AJ34" s="206">
        <f t="shared" si="21"/>
        <v>500</v>
      </c>
      <c r="AK34" s="206">
        <f t="shared" si="21"/>
        <v>100</v>
      </c>
      <c r="AL34" s="206">
        <f t="shared" si="21"/>
        <v>2</v>
      </c>
      <c r="AM34" s="213">
        <f t="shared" si="21"/>
        <v>0.875</v>
      </c>
      <c r="AN34" s="214">
        <f t="shared" si="21"/>
        <v>0.63607464142166403</v>
      </c>
      <c r="AO34" s="215">
        <f t="shared" si="4"/>
        <v>-14.7</v>
      </c>
      <c r="AP34" s="216">
        <f t="shared" si="5"/>
        <v>1</v>
      </c>
      <c r="AQ34" s="216">
        <f t="shared" si="6"/>
        <v>1</v>
      </c>
      <c r="AR34" s="215">
        <f t="shared" si="20"/>
        <v>158.47</v>
      </c>
      <c r="AS34" s="216">
        <f t="shared" si="7"/>
        <v>0.97679498379494789</v>
      </c>
      <c r="AT34" s="216">
        <f t="shared" si="8"/>
        <v>1.2538510821608391</v>
      </c>
      <c r="AU34" s="216">
        <f t="shared" si="9"/>
        <v>2.2360679774997898</v>
      </c>
      <c r="AV34" s="217">
        <f t="shared" si="10"/>
        <v>10.415801185754333</v>
      </c>
      <c r="AW34" s="216">
        <f t="shared" si="11"/>
        <v>0</v>
      </c>
      <c r="AX34" s="218">
        <f t="shared" si="12"/>
        <v>1.4696875479799241</v>
      </c>
      <c r="AY34" s="216">
        <f t="shared" si="13"/>
        <v>0.76851414128953044</v>
      </c>
      <c r="AZ34" s="217">
        <f t="shared" si="14"/>
        <v>3.5640070462657096</v>
      </c>
      <c r="BA34" s="216">
        <f t="shared" si="15"/>
        <v>0</v>
      </c>
      <c r="BB34" s="216">
        <f t="shared" si="16"/>
        <v>1.0084584063544275</v>
      </c>
      <c r="BC34" s="216">
        <f t="shared" si="17"/>
        <v>1</v>
      </c>
    </row>
    <row r="35" spans="1:55" ht="20.100000000000001" customHeight="1" x14ac:dyDescent="0.2">
      <c r="A35" s="45">
        <v>0.83333333333333304</v>
      </c>
      <c r="B35" s="451"/>
      <c r="C35" s="451"/>
      <c r="D35" s="451">
        <v>6.9</v>
      </c>
      <c r="E35" s="451">
        <v>58.6</v>
      </c>
      <c r="F35" s="41">
        <v>1930</v>
      </c>
      <c r="G35" s="37">
        <v>-5.5</v>
      </c>
      <c r="H35" s="37">
        <v>71.599999999999994</v>
      </c>
      <c r="I35" s="37">
        <v>21.6</v>
      </c>
      <c r="J35" s="41">
        <v>315</v>
      </c>
      <c r="K35" s="37">
        <v>13.01</v>
      </c>
      <c r="L35" s="451">
        <v>120</v>
      </c>
      <c r="M35" s="451">
        <v>220</v>
      </c>
      <c r="N35" s="451">
        <v>85</v>
      </c>
      <c r="O35" s="353">
        <v>45</v>
      </c>
      <c r="P35" s="353">
        <v>11</v>
      </c>
      <c r="Q35" s="353">
        <v>229.59</v>
      </c>
      <c r="R35" s="37"/>
      <c r="S35" s="508" t="str">
        <f t="shared" si="22"/>
        <v/>
      </c>
      <c r="T35" s="508"/>
      <c r="U35" s="508"/>
      <c r="V35" s="508"/>
      <c r="X35" s="45">
        <v>0.83333333333333304</v>
      </c>
      <c r="Y35" s="106"/>
      <c r="Z35" s="102"/>
      <c r="AA35" s="102"/>
      <c r="AB35" s="45" t="str">
        <f t="shared" si="18"/>
        <v/>
      </c>
      <c r="AC35" s="45" t="str">
        <f t="shared" si="1"/>
        <v/>
      </c>
      <c r="AD35" s="81"/>
      <c r="AE35" s="9" t="str">
        <f>IF(S35="","",IF(COUNTA(Z35:$Z$39)=1,IF(COUNTA(AD35:$AD$39)=1,""," ; "),IF(COUNTA(AD35:$AD$39)=1,IF(Z35="",""," ; ")," ; ")))</f>
        <v/>
      </c>
      <c r="AF35" s="9" t="str">
        <f t="shared" si="2"/>
        <v/>
      </c>
      <c r="AG35" s="90" t="str">
        <f t="shared" si="3"/>
        <v/>
      </c>
      <c r="AH35" s="204" t="s">
        <v>227</v>
      </c>
      <c r="AJ35" s="206">
        <f t="shared" si="21"/>
        <v>500</v>
      </c>
      <c r="AK35" s="206">
        <f t="shared" si="21"/>
        <v>100</v>
      </c>
      <c r="AL35" s="206">
        <f t="shared" si="21"/>
        <v>2</v>
      </c>
      <c r="AM35" s="213">
        <f t="shared" si="21"/>
        <v>0.875</v>
      </c>
      <c r="AN35" s="214">
        <f t="shared" si="21"/>
        <v>0.63607464142166403</v>
      </c>
      <c r="AO35" s="215">
        <f t="shared" si="4"/>
        <v>-14.7</v>
      </c>
      <c r="AP35" s="216">
        <f t="shared" si="5"/>
        <v>1</v>
      </c>
      <c r="AQ35" s="216">
        <f t="shared" si="6"/>
        <v>1</v>
      </c>
      <c r="AR35" s="215">
        <f t="shared" si="20"/>
        <v>158.47</v>
      </c>
      <c r="AS35" s="216">
        <f t="shared" si="7"/>
        <v>0.97679498379494789</v>
      </c>
      <c r="AT35" s="216">
        <f t="shared" si="8"/>
        <v>1.2538510821608391</v>
      </c>
      <c r="AU35" s="216">
        <f t="shared" si="9"/>
        <v>2.2360679774997898</v>
      </c>
      <c r="AV35" s="217">
        <f t="shared" si="10"/>
        <v>10.415801185754333</v>
      </c>
      <c r="AW35" s="216">
        <f t="shared" si="11"/>
        <v>0</v>
      </c>
      <c r="AX35" s="218">
        <f t="shared" si="12"/>
        <v>1.4696875479799241</v>
      </c>
      <c r="AY35" s="216">
        <f t="shared" si="13"/>
        <v>0.76851414128953044</v>
      </c>
      <c r="AZ35" s="217">
        <f t="shared" si="14"/>
        <v>3.5640070462657096</v>
      </c>
      <c r="BA35" s="216">
        <f t="shared" si="15"/>
        <v>0</v>
      </c>
      <c r="BB35" s="216">
        <f t="shared" si="16"/>
        <v>1.0084584063544275</v>
      </c>
      <c r="BC35" s="216">
        <f t="shared" si="17"/>
        <v>1</v>
      </c>
    </row>
    <row r="36" spans="1:55" ht="20.100000000000001" customHeight="1" x14ac:dyDescent="0.2">
      <c r="A36" s="45">
        <v>0.875</v>
      </c>
      <c r="B36" s="451"/>
      <c r="C36" s="451"/>
      <c r="D36" s="451">
        <v>6.3</v>
      </c>
      <c r="E36" s="451">
        <v>58.5</v>
      </c>
      <c r="F36" s="41">
        <v>1943</v>
      </c>
      <c r="G36" s="37">
        <v>-5.5</v>
      </c>
      <c r="H36" s="37">
        <v>71.3</v>
      </c>
      <c r="I36" s="37">
        <v>21</v>
      </c>
      <c r="J36" s="41">
        <v>316</v>
      </c>
      <c r="K36" s="37">
        <v>13.01</v>
      </c>
      <c r="L36" s="451">
        <v>120</v>
      </c>
      <c r="M36" s="451">
        <v>220</v>
      </c>
      <c r="N36" s="451">
        <v>85</v>
      </c>
      <c r="O36" s="353">
        <v>45</v>
      </c>
      <c r="P36" s="353">
        <v>11</v>
      </c>
      <c r="Q36" s="353">
        <v>229.59</v>
      </c>
      <c r="R36" s="37"/>
      <c r="S36" s="508" t="str">
        <f t="shared" si="22"/>
        <v/>
      </c>
      <c r="T36" s="508"/>
      <c r="U36" s="508"/>
      <c r="V36" s="508"/>
      <c r="X36" s="45">
        <v>0.875</v>
      </c>
      <c r="Y36" s="106"/>
      <c r="Z36" s="102"/>
      <c r="AA36" s="102"/>
      <c r="AB36" s="45" t="str">
        <f t="shared" si="18"/>
        <v/>
      </c>
      <c r="AC36" s="45" t="str">
        <f t="shared" si="1"/>
        <v/>
      </c>
      <c r="AD36" s="81"/>
      <c r="AE36" s="9" t="str">
        <f>IF(S36="","",IF(COUNTA(Z36:$Z$39)=1,IF(COUNTA(AD36:$AD$39)=1,""," ; "),IF(COUNTA(AD36:$AD$39)=1,IF(Z36="",""," ; ")," ; ")))</f>
        <v/>
      </c>
      <c r="AF36" s="9" t="str">
        <f t="shared" si="2"/>
        <v/>
      </c>
      <c r="AG36" s="90" t="str">
        <f t="shared" si="3"/>
        <v/>
      </c>
      <c r="AH36" s="204" t="s">
        <v>309</v>
      </c>
      <c r="AJ36" s="206">
        <f t="shared" si="21"/>
        <v>500</v>
      </c>
      <c r="AK36" s="206">
        <f t="shared" si="21"/>
        <v>100</v>
      </c>
      <c r="AL36" s="206">
        <f t="shared" si="21"/>
        <v>2</v>
      </c>
      <c r="AM36" s="213">
        <f t="shared" si="21"/>
        <v>0.875</v>
      </c>
      <c r="AN36" s="214">
        <f t="shared" si="21"/>
        <v>0.63607464142166403</v>
      </c>
      <c r="AO36" s="215">
        <f t="shared" si="4"/>
        <v>-14.7</v>
      </c>
      <c r="AP36" s="216">
        <f t="shared" si="5"/>
        <v>1</v>
      </c>
      <c r="AQ36" s="216">
        <f t="shared" si="6"/>
        <v>1</v>
      </c>
      <c r="AR36" s="215">
        <f t="shared" si="20"/>
        <v>158.47</v>
      </c>
      <c r="AS36" s="216">
        <f t="shared" si="7"/>
        <v>0.97679498379494789</v>
      </c>
      <c r="AT36" s="216">
        <f t="shared" si="8"/>
        <v>1.2538510821608391</v>
      </c>
      <c r="AU36" s="216">
        <f t="shared" si="9"/>
        <v>2.2360679774997898</v>
      </c>
      <c r="AV36" s="217">
        <f t="shared" si="10"/>
        <v>10.415801185754333</v>
      </c>
      <c r="AW36" s="216">
        <f t="shared" si="11"/>
        <v>0</v>
      </c>
      <c r="AX36" s="218">
        <f t="shared" si="12"/>
        <v>1.4696875479799241</v>
      </c>
      <c r="AY36" s="216">
        <f t="shared" si="13"/>
        <v>0.76851414128953044</v>
      </c>
      <c r="AZ36" s="217">
        <f t="shared" si="14"/>
        <v>3.5640070462657096</v>
      </c>
      <c r="BA36" s="216">
        <f t="shared" si="15"/>
        <v>0</v>
      </c>
      <c r="BB36" s="216">
        <f t="shared" si="16"/>
        <v>1.0084584063544275</v>
      </c>
      <c r="BC36" s="216">
        <f t="shared" si="17"/>
        <v>1</v>
      </c>
    </row>
    <row r="37" spans="1:55" ht="20.100000000000001" customHeight="1" x14ac:dyDescent="0.2">
      <c r="A37" s="45">
        <v>0.91666666666666696</v>
      </c>
      <c r="B37" s="451"/>
      <c r="C37" s="451"/>
      <c r="D37" s="451">
        <v>6.5</v>
      </c>
      <c r="E37" s="451">
        <v>58.3</v>
      </c>
      <c r="F37" s="41">
        <v>1956</v>
      </c>
      <c r="G37" s="37">
        <v>-5.5</v>
      </c>
      <c r="H37" s="37">
        <v>71.8</v>
      </c>
      <c r="I37" s="37">
        <v>21.5</v>
      </c>
      <c r="J37" s="41">
        <v>317</v>
      </c>
      <c r="K37" s="37">
        <v>13.01</v>
      </c>
      <c r="L37" s="451">
        <v>122</v>
      </c>
      <c r="M37" s="451">
        <v>221</v>
      </c>
      <c r="N37" s="451">
        <v>85</v>
      </c>
      <c r="O37" s="353">
        <v>45</v>
      </c>
      <c r="P37" s="353">
        <v>9</v>
      </c>
      <c r="Q37" s="353">
        <v>207.85</v>
      </c>
      <c r="R37" s="37"/>
      <c r="S37" s="508" t="str">
        <f t="shared" si="22"/>
        <v/>
      </c>
      <c r="T37" s="508"/>
      <c r="U37" s="508"/>
      <c r="V37" s="508"/>
      <c r="X37" s="45">
        <v>0.91666666666666696</v>
      </c>
      <c r="Y37" s="106"/>
      <c r="Z37" s="102"/>
      <c r="AA37" s="102"/>
      <c r="AB37" s="45" t="str">
        <f t="shared" si="18"/>
        <v/>
      </c>
      <c r="AC37" s="45" t="str">
        <f t="shared" si="1"/>
        <v/>
      </c>
      <c r="AD37" s="81"/>
      <c r="AE37" s="9" t="str">
        <f>IF(S37="","",IF(COUNTA(Z37:$Z$39)=1,IF(COUNTA(AD37:$AD$39)=1,""," ; "),IF(COUNTA(AD37:$AD$39)=1,IF(Z37="",""," ; ")," ; ")))</f>
        <v/>
      </c>
      <c r="AF37" s="9" t="str">
        <f t="shared" si="2"/>
        <v/>
      </c>
      <c r="AG37" s="90" t="str">
        <f t="shared" si="3"/>
        <v/>
      </c>
      <c r="AH37" s="204" t="s">
        <v>319</v>
      </c>
      <c r="AJ37" s="206">
        <f t="shared" si="21"/>
        <v>500</v>
      </c>
      <c r="AK37" s="206">
        <f t="shared" si="21"/>
        <v>100</v>
      </c>
      <c r="AL37" s="206">
        <f t="shared" si="21"/>
        <v>2</v>
      </c>
      <c r="AM37" s="213">
        <f t="shared" si="21"/>
        <v>0.875</v>
      </c>
      <c r="AN37" s="214">
        <f t="shared" si="21"/>
        <v>0.63607464142166403</v>
      </c>
      <c r="AO37" s="215">
        <f t="shared" si="4"/>
        <v>-14.7</v>
      </c>
      <c r="AP37" s="216">
        <f t="shared" si="5"/>
        <v>1</v>
      </c>
      <c r="AQ37" s="216">
        <f t="shared" si="6"/>
        <v>1</v>
      </c>
      <c r="AR37" s="215">
        <f t="shared" si="20"/>
        <v>158.47</v>
      </c>
      <c r="AS37" s="216">
        <f t="shared" si="7"/>
        <v>0.97679498379494789</v>
      </c>
      <c r="AT37" s="216">
        <f t="shared" si="8"/>
        <v>1.2538510821608391</v>
      </c>
      <c r="AU37" s="216">
        <f t="shared" si="9"/>
        <v>2.2360679774997898</v>
      </c>
      <c r="AV37" s="217">
        <f t="shared" si="10"/>
        <v>10.415801185754333</v>
      </c>
      <c r="AW37" s="216">
        <f t="shared" si="11"/>
        <v>0</v>
      </c>
      <c r="AX37" s="218">
        <f t="shared" si="12"/>
        <v>1.4696875479799241</v>
      </c>
      <c r="AY37" s="216">
        <f t="shared" si="13"/>
        <v>0.76851414128953044</v>
      </c>
      <c r="AZ37" s="217">
        <f t="shared" si="14"/>
        <v>3.5640070462657096</v>
      </c>
      <c r="BA37" s="216">
        <f t="shared" si="15"/>
        <v>0</v>
      </c>
      <c r="BB37" s="216">
        <f t="shared" si="16"/>
        <v>1.0084584063544275</v>
      </c>
      <c r="BC37" s="216">
        <f t="shared" si="17"/>
        <v>1</v>
      </c>
    </row>
    <row r="38" spans="1:55" ht="20.100000000000001" customHeight="1" x14ac:dyDescent="0.2">
      <c r="A38" s="45">
        <v>0.95833333333333304</v>
      </c>
      <c r="B38" s="451"/>
      <c r="C38" s="451"/>
      <c r="D38" s="451">
        <v>6.8</v>
      </c>
      <c r="E38" s="451">
        <v>59.9</v>
      </c>
      <c r="F38" s="41">
        <v>1950</v>
      </c>
      <c r="G38" s="37">
        <v>-5.5</v>
      </c>
      <c r="H38" s="37">
        <v>71.400000000000006</v>
      </c>
      <c r="I38" s="37">
        <v>21.3</v>
      </c>
      <c r="J38" s="41">
        <v>318</v>
      </c>
      <c r="K38" s="37">
        <v>13.01</v>
      </c>
      <c r="L38" s="451">
        <v>122</v>
      </c>
      <c r="M38" s="451">
        <v>221</v>
      </c>
      <c r="N38" s="451">
        <v>90</v>
      </c>
      <c r="O38" s="353">
        <v>45</v>
      </c>
      <c r="P38" s="353">
        <v>8</v>
      </c>
      <c r="Q38" s="353">
        <v>195.16</v>
      </c>
      <c r="R38" s="37"/>
      <c r="S38" s="508" t="str">
        <f t="shared" si="22"/>
        <v/>
      </c>
      <c r="T38" s="508"/>
      <c r="U38" s="508"/>
      <c r="V38" s="508"/>
      <c r="X38" s="45">
        <v>0.95833333333333304</v>
      </c>
      <c r="Y38" s="106"/>
      <c r="Z38" s="102"/>
      <c r="AA38" s="102"/>
      <c r="AB38" s="45" t="str">
        <f t="shared" si="18"/>
        <v/>
      </c>
      <c r="AC38" s="45" t="str">
        <f t="shared" si="1"/>
        <v/>
      </c>
      <c r="AD38" s="81"/>
      <c r="AE38" s="9" t="str">
        <f>IF(S38="","",IF(COUNTA(Z38:$Z$39)=1,IF(COUNTA(AD38:$AD$39)=1,""," ; "),IF(COUNTA(AD38:$AD$39)=1,IF(Z38="",""," ; ")," ; ")))</f>
        <v/>
      </c>
      <c r="AF38" s="9" t="str">
        <f t="shared" si="2"/>
        <v/>
      </c>
      <c r="AG38" s="90" t="str">
        <f t="shared" si="3"/>
        <v/>
      </c>
      <c r="AH38" s="204" t="s">
        <v>219</v>
      </c>
      <c r="AJ38" s="206">
        <f t="shared" si="21"/>
        <v>500</v>
      </c>
      <c r="AK38" s="206">
        <f t="shared" si="21"/>
        <v>100</v>
      </c>
      <c r="AL38" s="206">
        <f t="shared" si="21"/>
        <v>2</v>
      </c>
      <c r="AM38" s="213">
        <f t="shared" si="21"/>
        <v>0.875</v>
      </c>
      <c r="AN38" s="214">
        <f t="shared" si="21"/>
        <v>0.63607464142166403</v>
      </c>
      <c r="AO38" s="215">
        <f t="shared" si="4"/>
        <v>-14.7</v>
      </c>
      <c r="AP38" s="216">
        <f t="shared" si="5"/>
        <v>1</v>
      </c>
      <c r="AQ38" s="216">
        <f t="shared" si="6"/>
        <v>1</v>
      </c>
      <c r="AR38" s="215">
        <f t="shared" si="20"/>
        <v>158.47</v>
      </c>
      <c r="AS38" s="216">
        <f t="shared" si="7"/>
        <v>0.9723448696087954</v>
      </c>
      <c r="AT38" s="216">
        <f t="shared" si="8"/>
        <v>1.2538510821608391</v>
      </c>
      <c r="AU38" s="216">
        <f t="shared" si="9"/>
        <v>2.2360679774997898</v>
      </c>
      <c r="AV38" s="217">
        <f t="shared" si="10"/>
        <v>10.368348541764712</v>
      </c>
      <c r="AW38" s="216">
        <f t="shared" si="11"/>
        <v>0</v>
      </c>
      <c r="AX38" s="218">
        <f t="shared" si="12"/>
        <v>1.4831709199797398</v>
      </c>
      <c r="AY38" s="216">
        <f t="shared" si="13"/>
        <v>0.77643477842613629</v>
      </c>
      <c r="AZ38" s="217">
        <f t="shared" si="14"/>
        <v>3.5883638597441294</v>
      </c>
      <c r="BA38" s="216">
        <f t="shared" si="15"/>
        <v>0</v>
      </c>
      <c r="BB38" s="216">
        <f t="shared" si="16"/>
        <v>1.0016542390239327</v>
      </c>
      <c r="BC38" s="216">
        <f t="shared" si="17"/>
        <v>1</v>
      </c>
    </row>
    <row r="39" spans="1:55" ht="20.100000000000001" customHeight="1" thickBot="1" x14ac:dyDescent="0.25">
      <c r="A39" s="46">
        <v>1</v>
      </c>
      <c r="B39" s="451"/>
      <c r="C39" s="451"/>
      <c r="D39" s="451">
        <v>6.6</v>
      </c>
      <c r="E39" s="451">
        <v>59.4</v>
      </c>
      <c r="F39" s="42">
        <v>1935</v>
      </c>
      <c r="G39" s="37">
        <v>-5.5</v>
      </c>
      <c r="H39" s="38">
        <v>71.599999999999994</v>
      </c>
      <c r="I39" s="37">
        <v>21.5</v>
      </c>
      <c r="J39" s="41">
        <v>319</v>
      </c>
      <c r="K39" s="37">
        <v>13.01</v>
      </c>
      <c r="L39" s="452">
        <v>122</v>
      </c>
      <c r="M39" s="452">
        <v>221</v>
      </c>
      <c r="N39" s="451">
        <v>90</v>
      </c>
      <c r="O39" s="353">
        <v>45</v>
      </c>
      <c r="P39" s="353">
        <v>7</v>
      </c>
      <c r="Q39" s="354">
        <v>182.66</v>
      </c>
      <c r="R39" s="38"/>
      <c r="S39" s="512" t="str">
        <f t="shared" si="22"/>
        <v/>
      </c>
      <c r="T39" s="512"/>
      <c r="U39" s="512"/>
      <c r="V39" s="512"/>
      <c r="X39" s="46">
        <v>1</v>
      </c>
      <c r="Y39" s="107"/>
      <c r="Z39" s="103"/>
      <c r="AA39" s="103"/>
      <c r="AB39" s="46" t="str">
        <f t="shared" si="18"/>
        <v/>
      </c>
      <c r="AC39" s="46" t="str">
        <f t="shared" si="1"/>
        <v/>
      </c>
      <c r="AD39" s="82"/>
      <c r="AE39" s="9" t="str">
        <f>IF(S39="","",IF(COUNTA(Z39:$Z$39)=1,IF(COUNTA(AD39:$AD$39)=1,""," ; "),IF(COUNTA(AD39:$AD$39)=1,IF(Z39="",""," ; ")," ; ")))</f>
        <v/>
      </c>
      <c r="AF39" s="9" t="str">
        <f t="shared" si="2"/>
        <v/>
      </c>
      <c r="AG39" s="90" t="str">
        <f t="shared" si="3"/>
        <v/>
      </c>
      <c r="AH39" s="204" t="s">
        <v>220</v>
      </c>
      <c r="AJ39" s="219">
        <f t="shared" si="21"/>
        <v>500</v>
      </c>
      <c r="AK39" s="219">
        <f t="shared" si="21"/>
        <v>100</v>
      </c>
      <c r="AL39" s="219">
        <f t="shared" si="21"/>
        <v>2</v>
      </c>
      <c r="AM39" s="220">
        <f t="shared" si="21"/>
        <v>0.875</v>
      </c>
      <c r="AN39" s="221">
        <f t="shared" si="21"/>
        <v>0.63607464142166403</v>
      </c>
      <c r="AO39" s="222">
        <f t="shared" si="4"/>
        <v>-14.7</v>
      </c>
      <c r="AP39" s="223">
        <f t="shared" si="5"/>
        <v>1</v>
      </c>
      <c r="AQ39" s="223">
        <f t="shared" si="6"/>
        <v>1</v>
      </c>
      <c r="AR39" s="222">
        <f t="shared" si="20"/>
        <v>158.47</v>
      </c>
      <c r="AS39" s="223">
        <f t="shared" si="7"/>
        <v>0.9723448696087954</v>
      </c>
      <c r="AT39" s="223">
        <f t="shared" si="8"/>
        <v>1.2538510821608391</v>
      </c>
      <c r="AU39" s="223">
        <f t="shared" si="9"/>
        <v>2.2360679774997898</v>
      </c>
      <c r="AV39" s="224">
        <f t="shared" si="10"/>
        <v>10.368348541764712</v>
      </c>
      <c r="AW39" s="223">
        <f t="shared" si="11"/>
        <v>0</v>
      </c>
      <c r="AX39" s="225">
        <f t="shared" si="12"/>
        <v>1.4831709199797398</v>
      </c>
      <c r="AY39" s="223">
        <f t="shared" si="13"/>
        <v>0.77643477842613629</v>
      </c>
      <c r="AZ39" s="224">
        <f t="shared" si="14"/>
        <v>3.5883638597441294</v>
      </c>
      <c r="BA39" s="223">
        <f t="shared" si="15"/>
        <v>0</v>
      </c>
      <c r="BB39" s="223">
        <f t="shared" si="16"/>
        <v>1.0016542390239327</v>
      </c>
      <c r="BC39" s="223">
        <f t="shared" si="17"/>
        <v>1</v>
      </c>
    </row>
    <row r="40" spans="1:55" ht="20.100000000000001" customHeight="1" thickBot="1" x14ac:dyDescent="0.3">
      <c r="A40" s="53" t="s">
        <v>11</v>
      </c>
      <c r="B40" s="453" t="str">
        <f>IFERROR(ROUND(AVERAGE(B16:B39),2),"")</f>
        <v/>
      </c>
      <c r="C40" s="453" t="str">
        <f>IFERROR(ROUND(AVERAGE(C16:C39),2),"")</f>
        <v/>
      </c>
      <c r="D40" s="453">
        <f>IFERROR(ROUND(AVERAGE(D16:D39),2),"")</f>
        <v>6.7</v>
      </c>
      <c r="E40" s="453">
        <f>IFERROR(ROUND(AVERAGE(E16:E39),2),"")</f>
        <v>60.2</v>
      </c>
      <c r="F40" s="55">
        <f>IFERROR(ROUND(AVERAGE(F16:F39),0),"")</f>
        <v>1938</v>
      </c>
      <c r="G40" s="54">
        <f>IFERROR(AVERAGE(G16:G39),"")</f>
        <v>-5.5</v>
      </c>
      <c r="H40" s="54">
        <f>IFERROR(AVERAGE(H16:H39),"")</f>
        <v>71.420833333333334</v>
      </c>
      <c r="I40" s="54">
        <f>IFERROR(AVERAGE(I16:I39),"")</f>
        <v>21.425000000000001</v>
      </c>
      <c r="J40" s="71"/>
      <c r="K40" s="111">
        <f>IFERROR(AVERAGE(K16:K39),"")</f>
        <v>13.009999999999996</v>
      </c>
      <c r="L40" s="453">
        <f t="shared" ref="L40:P40" si="23">IFERROR(ROUND(AVERAGE(L16:L39),1),"")</f>
        <v>122.1</v>
      </c>
      <c r="M40" s="453">
        <f t="shared" si="23"/>
        <v>221</v>
      </c>
      <c r="N40" s="453">
        <f t="shared" si="23"/>
        <v>87</v>
      </c>
      <c r="O40" s="456">
        <f t="shared" si="23"/>
        <v>51.5</v>
      </c>
      <c r="P40" s="456">
        <f t="shared" si="23"/>
        <v>7.8</v>
      </c>
      <c r="Q40" s="456">
        <f>IF($I$47=1,$M$49,$Q$44)</f>
        <v>196.1</v>
      </c>
      <c r="R40" s="54" t="str">
        <f>IFERROR(ROUND(AVERAGE(R16:R39),1),"")</f>
        <v/>
      </c>
      <c r="S40" s="509"/>
      <c r="T40" s="510"/>
      <c r="U40" s="510"/>
      <c r="V40" s="511"/>
      <c r="X40" s="99"/>
      <c r="Y40" s="99"/>
      <c r="Z40" s="99"/>
      <c r="AA40" s="99"/>
      <c r="AB40" s="104">
        <f>SUM(AB16:AB39)</f>
        <v>0</v>
      </c>
      <c r="AC40" s="104">
        <f>SUM(AC16:AC39)</f>
        <v>0</v>
      </c>
      <c r="AD40" s="92" t="str">
        <f>IF(OR(COUNTBLANK(D16:E39)+COUNTBLANK(O16:P39)=0,COUNTA(S16:V39)&lt;&gt;0),"","CEK : Blank Data - Remarks")</f>
        <v/>
      </c>
      <c r="AG40" s="90" t="str">
        <f>IF(COUNTIF(AG16:AG39,"")=COUNTA(AG16:AG39),"","CEK : Data Flowrate")</f>
        <v/>
      </c>
      <c r="AH40" s="204" t="s">
        <v>311</v>
      </c>
    </row>
    <row r="41" spans="1:55" ht="20.100000000000001" hidden="1" customHeight="1" thickBot="1" x14ac:dyDescent="0.3">
      <c r="A41" s="49" t="s">
        <v>12</v>
      </c>
      <c r="B41" s="52" t="str">
        <f>IF(COUNT(B16:B39)&gt;0,ROUND(MIN(B16:B39),2),"")</f>
        <v/>
      </c>
      <c r="C41" s="52" t="str">
        <f>IF(COUNT(C16:C39)&gt;0,ROUND(MIN(C16:C39),2),"")</f>
        <v/>
      </c>
      <c r="D41" s="52">
        <f>IF(COUNT(D16:D39)&gt;0,ROUND(MIN(D16:D39),2),"")</f>
        <v>5.9</v>
      </c>
      <c r="E41" s="52">
        <f>IF(COUNT(E16:E39)&gt;0,ROUND(MIN(E16:E39),2),"")</f>
        <v>54.8</v>
      </c>
      <c r="F41" s="51">
        <f>IF(COUNT(F16:F39)&gt;0,ROUND(MIN(F16:F39),0),"")</f>
        <v>1903</v>
      </c>
      <c r="G41" s="50">
        <f>IF(COUNT(G16:G39)&gt;0,MIN(G16:G39),"")</f>
        <v>-5.5</v>
      </c>
      <c r="H41" s="50">
        <f>IF(COUNT(H16:H39)&gt;0,MIN(H16:H39),"")</f>
        <v>71</v>
      </c>
      <c r="I41" s="50">
        <f>IF(COUNT(I16:I39)&gt;0,MIN(I16:I39),"")</f>
        <v>21</v>
      </c>
      <c r="J41" s="72"/>
      <c r="K41" s="50">
        <f>IF(COUNT(K16:K39)&gt;0,MIN(K16:K39),"")</f>
        <v>13.01</v>
      </c>
      <c r="L41" s="52">
        <f>IF(COUNT(L16:L39)&gt;0,ROUND(MIN(L16:L39),1),"")</f>
        <v>120</v>
      </c>
      <c r="M41" s="52">
        <f>IF(COUNT(M16:M39)&gt;0,ROUND(MIN(M16:M39),1),"")</f>
        <v>217</v>
      </c>
      <c r="N41" s="52">
        <f>IF(COUNT(N16:N39)&gt;0,ROUND(MIN(N16:N39),1),"")</f>
        <v>85</v>
      </c>
      <c r="O41" s="440">
        <f>IF(COUNT(O16:O39)&gt;0,ROUND(MIN(O16:O39),1),"")</f>
        <v>45</v>
      </c>
      <c r="P41" s="440">
        <f>IF(COUNT(P16:P39)&gt;0,ROUND(MIN(P16:P39),1),"")</f>
        <v>6</v>
      </c>
      <c r="Q41" s="440">
        <f>IF(COUNT(Q16:Q39)&gt;0,ROUND(MIN(Q16:Q39),4),"")</f>
        <v>176.25</v>
      </c>
      <c r="R41" s="121" t="str">
        <f>IF(COUNT(R16:R39)&gt;0,ROUND(MIN(R16:R39),1),"")</f>
        <v/>
      </c>
      <c r="S41" s="509"/>
      <c r="T41" s="510"/>
      <c r="U41" s="510"/>
      <c r="V41" s="511"/>
      <c r="X41" s="99"/>
      <c r="Y41" s="99"/>
      <c r="Z41" s="99"/>
      <c r="AA41" s="99"/>
      <c r="AB41" s="99"/>
      <c r="AC41" s="99"/>
      <c r="AH41" s="204" t="s">
        <v>318</v>
      </c>
    </row>
    <row r="42" spans="1:55" ht="20.100000000000001" hidden="1" customHeight="1" thickBot="1" x14ac:dyDescent="0.3">
      <c r="A42" s="21" t="s">
        <v>13</v>
      </c>
      <c r="B42" s="454" t="str">
        <f>IF(COUNT(B16:B39)&gt;0,ROUND(MAX(B16:B39),2),"")</f>
        <v/>
      </c>
      <c r="C42" s="454" t="str">
        <f>IF(COUNT(C16:C39)&gt;0,ROUND(MAX(C16:C39),2),"")</f>
        <v/>
      </c>
      <c r="D42" s="454">
        <f>IF(COUNT(D16:D39)&gt;0,ROUND(MAX(D16:D39),2),"")</f>
        <v>8</v>
      </c>
      <c r="E42" s="454">
        <f>IF(COUNT(E16:E39)&gt;0,ROUND(MAX(E16:E39),2),"")</f>
        <v>78.400000000000006</v>
      </c>
      <c r="F42" s="43">
        <f>IF(COUNT(F16:F39)&gt;0,ROUND(MAX(F16:F39),0),"")</f>
        <v>1970</v>
      </c>
      <c r="G42" s="39">
        <f>IF(COUNT(G16:G39)&gt;0,MAX(G16:G39),"")</f>
        <v>-5.5</v>
      </c>
      <c r="H42" s="39">
        <f>IF(COUNT(H16:H39)&gt;0,MAX(H16:H39),"")</f>
        <v>71.900000000000006</v>
      </c>
      <c r="I42" s="39">
        <f>IF(COUNT(I16:I39)&gt;0,MAX(I16:I39),"")</f>
        <v>21.9</v>
      </c>
      <c r="J42" s="43">
        <f>IF(COUNT(J16:J39)&gt;0,MAX(J16:J39),"")</f>
        <v>319</v>
      </c>
      <c r="K42" s="39">
        <f>IF(COUNT(K16:K39)&gt;0,MAX(K16:K39),"")</f>
        <v>13.01</v>
      </c>
      <c r="L42" s="454">
        <f>IF(COUNT(L16:L39)&gt;0,ROUND(MAX(L16:L39),1),"")</f>
        <v>127</v>
      </c>
      <c r="M42" s="454">
        <f>IF(COUNT(M16:M39)&gt;0,ROUND(MAX(M16:M39),1),"")</f>
        <v>225</v>
      </c>
      <c r="N42" s="454">
        <f>IF(COUNT(N16:N39)&gt;0,ROUND(MAX(N16:N39),1),"")</f>
        <v>90</v>
      </c>
      <c r="O42" s="441">
        <f>IF(COUNT(O16:O39)&gt;0,ROUND(MAX(O16:O39),1),"")</f>
        <v>70</v>
      </c>
      <c r="P42" s="441">
        <f>IF(COUNT(P16:P39)&gt;0,ROUND(MAX(P16:P39),1),"")</f>
        <v>11</v>
      </c>
      <c r="Q42" s="441">
        <f>IF(COUNT(Q16:Q39)&gt;0,ROUND(MAX(Q16:Q39),4),"")</f>
        <v>229.59</v>
      </c>
      <c r="R42" s="39" t="str">
        <f>IF(COUNT(R16:R39)&gt;0,ROUND(MAX(R16:R39),1),"")</f>
        <v/>
      </c>
      <c r="S42" s="509"/>
      <c r="T42" s="510"/>
      <c r="U42" s="510"/>
      <c r="V42" s="511"/>
      <c r="X42" s="99"/>
      <c r="Y42" s="99"/>
      <c r="Z42" s="99"/>
      <c r="AA42" s="99"/>
      <c r="AB42" s="99"/>
      <c r="AC42" s="99"/>
      <c r="AH42" s="204" t="s">
        <v>312</v>
      </c>
    </row>
    <row r="43" spans="1:55" ht="20.100000000000001" hidden="1" customHeight="1" x14ac:dyDescent="0.25">
      <c r="A43" s="109"/>
      <c r="B43" s="110">
        <f>COUNT(B16:B39)</f>
        <v>0</v>
      </c>
      <c r="C43" s="110">
        <f>COUNT(C16:C39)</f>
        <v>0</v>
      </c>
      <c r="D43" s="110">
        <f>COUNT(D16:D39)</f>
        <v>24</v>
      </c>
      <c r="E43" s="110">
        <f t="shared" ref="E43:H43" si="24">COUNT(E16:E39)</f>
        <v>24</v>
      </c>
      <c r="F43" s="110">
        <f t="shared" si="24"/>
        <v>24</v>
      </c>
      <c r="G43" s="110">
        <f t="shared" si="24"/>
        <v>24</v>
      </c>
      <c r="H43" s="110">
        <f t="shared" si="24"/>
        <v>24</v>
      </c>
      <c r="I43" s="110"/>
      <c r="J43" s="110"/>
      <c r="K43" s="110"/>
      <c r="L43" s="110">
        <f t="shared" ref="L43:Q43" si="25">COUNT(L16:L39)</f>
        <v>24</v>
      </c>
      <c r="M43" s="110">
        <f t="shared" si="25"/>
        <v>24</v>
      </c>
      <c r="N43" s="110">
        <f t="shared" si="25"/>
        <v>24</v>
      </c>
      <c r="O43" s="110">
        <f t="shared" si="25"/>
        <v>24</v>
      </c>
      <c r="P43" s="110">
        <f t="shared" si="25"/>
        <v>24</v>
      </c>
      <c r="Q43" s="110">
        <f t="shared" si="25"/>
        <v>24</v>
      </c>
      <c r="R43" s="110"/>
      <c r="S43" s="99"/>
      <c r="T43" s="99"/>
      <c r="U43" s="99"/>
      <c r="V43" s="99"/>
      <c r="X43" s="99"/>
      <c r="Y43" s="99"/>
      <c r="Z43" s="99"/>
      <c r="AA43" s="99"/>
      <c r="AB43" s="99"/>
      <c r="AC43" s="99"/>
      <c r="AD43" s="92" t="str">
        <f>IF(AND(D43=E43,D43=F43,D43=G43,D43=H43,D43=L43,D43=M43,D43=N43,D43=O43,D43=P43,D43=Q43),"","CEK : Data Content")</f>
        <v/>
      </c>
      <c r="AH43" s="204" t="s">
        <v>221</v>
      </c>
    </row>
    <row r="44" spans="1:55" s="6" customFormat="1" ht="15" customHeight="1" x14ac:dyDescent="0.25">
      <c r="J44" s="91" t="str">
        <f>IF(J1="PRINT","",IF(J42="","RH please ! !",""))</f>
        <v/>
      </c>
      <c r="L44" s="24"/>
      <c r="Q44" s="445">
        <f>IFERROR(ROUND(AVERAGE(Q16:Q39),4),"")</f>
        <v>201.96459999999999</v>
      </c>
      <c r="AH44" s="204" t="s">
        <v>323</v>
      </c>
      <c r="AI44" s="7"/>
    </row>
    <row r="45" spans="1:55" s="6" customFormat="1" ht="15" customHeight="1" x14ac:dyDescent="0.25">
      <c r="L45" s="26" t="s">
        <v>290</v>
      </c>
      <c r="Q45" s="445"/>
      <c r="AH45" s="204" t="s">
        <v>288</v>
      </c>
      <c r="AI45" s="7"/>
    </row>
    <row r="46" spans="1:55" s="6" customFormat="1" ht="15" customHeight="1" x14ac:dyDescent="0.25">
      <c r="D46" s="443" t="s">
        <v>90</v>
      </c>
      <c r="E46" s="448" t="str">
        <f>IF(Schedule!C$14="","",Schedule!C$14)</f>
        <v/>
      </c>
      <c r="G46" s="61"/>
      <c r="H46" s="25" t="str">
        <f>IFERROR(IF(OR(I47="",I48="",I49=""),"WAKTU BELUM DI-ISI LENGKAP",IF(SUM(I48:I49)&lt;=1,"","CEK KEMBALI PENULISAN WAKTU SALAH")),"CEK KEMBALI PENULISAN WAKTU SALAH")</f>
        <v/>
      </c>
      <c r="L46" s="26" t="s">
        <v>22</v>
      </c>
      <c r="M46" s="460">
        <f>IF(Volume!$W13="",$O46,Volume!$W13)</f>
        <v>48.124400000000001</v>
      </c>
      <c r="N46" s="27" t="s">
        <v>1</v>
      </c>
      <c r="O46" s="447">
        <f>IF(O40="","",O40)</f>
        <v>51.5</v>
      </c>
      <c r="P46" s="361" t="s">
        <v>29</v>
      </c>
      <c r="Q46" s="362"/>
      <c r="R46" s="362"/>
      <c r="S46" s="362"/>
      <c r="T46" s="361" t="s">
        <v>30</v>
      </c>
      <c r="U46" s="362"/>
      <c r="V46" s="362"/>
      <c r="AH46" s="204" t="s">
        <v>222</v>
      </c>
    </row>
    <row r="47" spans="1:55" s="6" customFormat="1" ht="15" customHeight="1" x14ac:dyDescent="0.25">
      <c r="D47" s="448"/>
      <c r="E47" s="448"/>
      <c r="H47" s="26" t="s">
        <v>26</v>
      </c>
      <c r="I47" s="56">
        <f>IF(OR(I48="",I49=""),"",1-I48-I49)</f>
        <v>1</v>
      </c>
      <c r="J47" s="27" t="s">
        <v>19</v>
      </c>
      <c r="L47" s="26" t="s">
        <v>23</v>
      </c>
      <c r="M47" s="442">
        <f>IF(Volume!$Y13="",$O47,Volume!$Y13)</f>
        <v>7.9908000000000001</v>
      </c>
      <c r="N47" s="27" t="s">
        <v>14</v>
      </c>
      <c r="O47" s="447">
        <f>IF(P40="","",P40)</f>
        <v>7.8</v>
      </c>
      <c r="P47" s="361" t="s">
        <v>211</v>
      </c>
      <c r="Q47" s="362"/>
      <c r="R47" s="362"/>
      <c r="S47" s="362"/>
      <c r="T47" s="361" t="s">
        <v>271</v>
      </c>
      <c r="U47" s="362"/>
      <c r="V47" s="362"/>
      <c r="AH47" s="204" t="s">
        <v>223</v>
      </c>
    </row>
    <row r="48" spans="1:55" s="6" customFormat="1" ht="15" customHeight="1" x14ac:dyDescent="0.25">
      <c r="D48" s="443" t="s">
        <v>91</v>
      </c>
      <c r="E48" s="448" t="str">
        <f>IF(Schedule!D$14="","",Schedule!D$14)</f>
        <v/>
      </c>
      <c r="H48" s="26" t="s">
        <v>37</v>
      </c>
      <c r="I48" s="108">
        <f>IF(OR(COUNT($Q$16:$Q$39)&lt;&gt;0,COUNTA($AD$16:$AD$39)&lt;&gt;0),AB40,"")</f>
        <v>0</v>
      </c>
      <c r="J48" s="27" t="s">
        <v>19</v>
      </c>
      <c r="L48" s="26" t="s">
        <v>24</v>
      </c>
      <c r="M48" s="449">
        <f>IF(N40="","",N40)</f>
        <v>87</v>
      </c>
      <c r="N48" s="27" t="s">
        <v>5</v>
      </c>
      <c r="P48" s="362"/>
      <c r="Q48" s="362"/>
      <c r="R48" s="362"/>
      <c r="S48" s="362"/>
      <c r="T48" s="361" t="s">
        <v>291</v>
      </c>
      <c r="U48" s="362"/>
      <c r="V48" s="362"/>
      <c r="AH48" s="204" t="s">
        <v>324</v>
      </c>
    </row>
    <row r="49" spans="1:34" s="6" customFormat="1" ht="15" customHeight="1" x14ac:dyDescent="0.25">
      <c r="D49" s="448"/>
      <c r="E49" s="448"/>
      <c r="H49" s="26" t="s">
        <v>27</v>
      </c>
      <c r="I49" s="108">
        <f>IF(OR(COUNT($Q$16:$Q$39)&lt;&gt;0,COUNTA($AD$16:$AD$39)&lt;&gt;0),AC40,"")</f>
        <v>0</v>
      </c>
      <c r="J49" s="27" t="s">
        <v>19</v>
      </c>
      <c r="L49" s="26" t="s">
        <v>128</v>
      </c>
      <c r="M49" s="442">
        <f>IF(Volume!$L13="",M51,Volume!$L13)</f>
        <v>196.1</v>
      </c>
      <c r="N49" s="27" t="str">
        <f>IF(Q15="MSCFD","MSCF","MMSCF")</f>
        <v>MSCF</v>
      </c>
      <c r="P49" s="362"/>
      <c r="Q49" s="362"/>
      <c r="R49" s="362"/>
      <c r="S49" s="362"/>
      <c r="T49" s="362"/>
      <c r="U49" s="362"/>
      <c r="V49" s="362"/>
      <c r="AH49" s="204" t="s">
        <v>317</v>
      </c>
    </row>
    <row r="50" spans="1:34" s="6" customFormat="1" ht="15" customHeight="1" x14ac:dyDescent="0.25">
      <c r="D50" s="443" t="s">
        <v>92</v>
      </c>
      <c r="E50" s="448" t="str">
        <f>IF(Schedule!E$14="","",Schedule!E$14)</f>
        <v>Marihot Gustafa S.</v>
      </c>
      <c r="L50" s="443" t="str">
        <f>CONCATENATE(MR!L16," ",":")</f>
        <v>Liquid Gain :</v>
      </c>
      <c r="M50" s="446" t="str">
        <f>IF(R40="","",ROUND(SUM(R16:R39),2))</f>
        <v/>
      </c>
      <c r="N50" s="444" t="str">
        <f>R15</f>
        <v>BPD</v>
      </c>
      <c r="P50" s="362"/>
      <c r="Q50" s="362"/>
      <c r="R50" s="362"/>
      <c r="S50" s="362"/>
      <c r="T50" s="362"/>
      <c r="U50" s="362"/>
      <c r="V50" s="362"/>
      <c r="AH50" s="204" t="s">
        <v>282</v>
      </c>
    </row>
    <row r="51" spans="1:34" s="6" customFormat="1" ht="15" customHeight="1" x14ac:dyDescent="0.25">
      <c r="A51" s="4"/>
      <c r="L51" s="443" t="s">
        <v>286</v>
      </c>
      <c r="M51" s="447">
        <f>IF(Q44="","",IF(SUM(I48:I49)=1,IF(Q44&lt;&gt;0,"Cek Tabel",""),ROUND(Q44*I47,4)))</f>
        <v>201.96459999999999</v>
      </c>
      <c r="N51" s="444" t="str">
        <f>IF(Q15="MSCFD","MSCF","MMSCF")</f>
        <v>MSCF</v>
      </c>
      <c r="P51" s="362"/>
      <c r="Q51" s="362"/>
      <c r="R51" s="362"/>
      <c r="S51" s="362"/>
      <c r="T51" s="362"/>
      <c r="U51" s="362"/>
      <c r="V51" s="362"/>
      <c r="AH51" s="204" t="s">
        <v>325</v>
      </c>
    </row>
    <row r="52" spans="1:34" s="6" customFormat="1" ht="15" customHeight="1" x14ac:dyDescent="0.25">
      <c r="D52" s="26" t="s">
        <v>28</v>
      </c>
      <c r="E52" s="47"/>
      <c r="F52" s="47"/>
      <c r="G52" s="47"/>
      <c r="H52" s="47"/>
      <c r="I52" s="47"/>
      <c r="J52" s="47"/>
      <c r="K52" s="47"/>
      <c r="L52" s="5"/>
      <c r="P52" s="362"/>
      <c r="Q52" s="362"/>
      <c r="R52" s="362"/>
      <c r="S52" s="362"/>
      <c r="T52" s="362"/>
      <c r="U52" s="362"/>
      <c r="V52" s="362"/>
      <c r="AH52" s="204" t="s">
        <v>280</v>
      </c>
    </row>
    <row r="53" spans="1:34" s="6" customFormat="1" ht="15" customHeight="1" x14ac:dyDescent="0.25">
      <c r="D53" s="5"/>
      <c r="E53" s="48"/>
      <c r="F53" s="48"/>
      <c r="G53" s="48"/>
      <c r="H53" s="48"/>
      <c r="I53" s="48"/>
      <c r="J53" s="48"/>
      <c r="K53" s="48"/>
      <c r="L53" s="5"/>
      <c r="P53" s="363" t="str">
        <f>UPPER(E50)</f>
        <v>MARIHOT GUSTAFA S.</v>
      </c>
      <c r="Q53" s="362"/>
      <c r="R53" s="362"/>
      <c r="S53" s="362"/>
      <c r="T53" s="363" t="str">
        <f>IF(Schedule!F$14="","",UPPER(Schedule!F$14))</f>
        <v>BUDI WIDHARTONO</v>
      </c>
      <c r="U53" s="362"/>
      <c r="V53" s="362"/>
      <c r="AH53" s="204" t="s">
        <v>316</v>
      </c>
    </row>
    <row r="54" spans="1:34" s="6" customFormat="1" ht="15" customHeight="1" x14ac:dyDescent="0.25">
      <c r="E54" s="48"/>
      <c r="F54" s="48"/>
      <c r="G54" s="48"/>
      <c r="H54" s="48"/>
      <c r="I54" s="48"/>
      <c r="J54" s="48"/>
      <c r="K54" s="48"/>
      <c r="P54" s="361" t="s">
        <v>107</v>
      </c>
      <c r="Q54" s="362"/>
      <c r="R54" s="362"/>
      <c r="S54" s="362"/>
      <c r="T54" s="361" t="s">
        <v>294</v>
      </c>
      <c r="U54" s="362"/>
      <c r="V54" s="362"/>
      <c r="AH54" s="204" t="s">
        <v>326</v>
      </c>
    </row>
    <row r="55" spans="1:34" s="6" customFormat="1" ht="15" customHeight="1" x14ac:dyDescent="0.25">
      <c r="P55" s="364" t="str">
        <f>CONCATENATE("Date : ",TEXT(K12,"[$-409]d mmm yyyy;@"))</f>
        <v>Date : 10 Jun 2025</v>
      </c>
      <c r="Q55" s="362"/>
      <c r="R55" s="364"/>
      <c r="S55" s="362"/>
      <c r="T55" s="364" t="str">
        <f>CONCATENATE("Date : ",TEXT(K12,"[$-409]d mmm yyyy;@"))</f>
        <v>Date : 10 Jun 2025</v>
      </c>
      <c r="U55" s="362"/>
      <c r="V55" s="362"/>
      <c r="AH55" s="204" t="s">
        <v>327</v>
      </c>
    </row>
    <row r="56" spans="1:34" ht="15" customHeight="1" x14ac:dyDescent="0.25">
      <c r="AH56" s="204" t="s">
        <v>281</v>
      </c>
    </row>
    <row r="57" spans="1:34" ht="15" customHeight="1" x14ac:dyDescent="0.25">
      <c r="AH57" s="204" t="s">
        <v>277</v>
      </c>
    </row>
    <row r="58" spans="1:34" ht="15" customHeight="1" x14ac:dyDescent="0.25">
      <c r="AH58" s="204" t="s">
        <v>328</v>
      </c>
    </row>
    <row r="59" spans="1:34" ht="15" customHeight="1" x14ac:dyDescent="0.25">
      <c r="AH59" s="204" t="s">
        <v>329</v>
      </c>
    </row>
    <row r="60" spans="1:34" ht="15" customHeight="1" x14ac:dyDescent="0.25">
      <c r="AH60" s="204" t="s">
        <v>330</v>
      </c>
    </row>
    <row r="61" spans="1:34" ht="15" customHeight="1" x14ac:dyDescent="0.25">
      <c r="AH61" s="204" t="s">
        <v>331</v>
      </c>
    </row>
    <row r="62" spans="1:34" ht="15" customHeight="1" x14ac:dyDescent="0.25">
      <c r="AH62" s="204" t="s">
        <v>332</v>
      </c>
    </row>
    <row r="63" spans="1:34" ht="15" customHeight="1" x14ac:dyDescent="0.25">
      <c r="AH63" s="204" t="s">
        <v>315</v>
      </c>
    </row>
    <row r="64" spans="1:34" ht="15" customHeight="1" x14ac:dyDescent="0.25">
      <c r="AH64" s="204" t="s">
        <v>333</v>
      </c>
    </row>
    <row r="65" spans="34:34" ht="15" customHeight="1" x14ac:dyDescent="0.25">
      <c r="AH65" s="204" t="s">
        <v>310</v>
      </c>
    </row>
    <row r="66" spans="34:34" ht="15" customHeight="1" x14ac:dyDescent="0.25">
      <c r="AH66" s="204" t="s">
        <v>334</v>
      </c>
    </row>
    <row r="67" spans="34:34" ht="15" customHeight="1" x14ac:dyDescent="0.25">
      <c r="AH67" s="204" t="s">
        <v>335</v>
      </c>
    </row>
    <row r="68" spans="34:34" ht="15" customHeight="1" x14ac:dyDescent="0.25">
      <c r="AH68" s="204" t="s">
        <v>336</v>
      </c>
    </row>
    <row r="69" spans="34:34" ht="15" customHeight="1" x14ac:dyDescent="0.25">
      <c r="AH69" s="204" t="s">
        <v>337</v>
      </c>
    </row>
    <row r="70" spans="34:34" ht="15" customHeight="1" x14ac:dyDescent="0.25">
      <c r="AH70" s="204" t="s">
        <v>338</v>
      </c>
    </row>
    <row r="71" spans="34:34" ht="15" customHeight="1" x14ac:dyDescent="0.25">
      <c r="AH71" s="204" t="s">
        <v>339</v>
      </c>
    </row>
    <row r="72" spans="34:34" ht="15" customHeight="1" x14ac:dyDescent="0.25">
      <c r="AH72" s="204" t="s">
        <v>340</v>
      </c>
    </row>
    <row r="85" spans="34:34" ht="0" hidden="1" customHeight="1" x14ac:dyDescent="0.25">
      <c r="AH85" s="6"/>
    </row>
    <row r="86" spans="34:34" ht="0" hidden="1" customHeight="1" x14ac:dyDescent="0.25">
      <c r="AH86" s="6"/>
    </row>
    <row r="87" spans="34:34" ht="0" hidden="1" customHeight="1" x14ac:dyDescent="0.25">
      <c r="AH87" s="6"/>
    </row>
    <row r="88" spans="34:34" ht="0" hidden="1" customHeight="1" x14ac:dyDescent="0.25">
      <c r="AH88" s="6"/>
    </row>
    <row r="89" spans="34:34" ht="0" hidden="1" customHeight="1" x14ac:dyDescent="0.25">
      <c r="AH89" s="6"/>
    </row>
    <row r="90" spans="34:34" ht="0" hidden="1" customHeight="1" x14ac:dyDescent="0.25">
      <c r="AH90" s="6"/>
    </row>
    <row r="91" spans="34:34" ht="0" hidden="1" customHeight="1" x14ac:dyDescent="0.25">
      <c r="AH91" s="6"/>
    </row>
    <row r="92" spans="34:34" ht="0" hidden="1" customHeight="1" x14ac:dyDescent="0.25">
      <c r="AH92" s="6"/>
    </row>
    <row r="93" spans="34:34" ht="0" hidden="1" customHeight="1" x14ac:dyDescent="0.25">
      <c r="AH93" s="6"/>
    </row>
    <row r="94" spans="34:34" ht="0" hidden="1" customHeight="1" x14ac:dyDescent="0.25">
      <c r="AH94" s="6"/>
    </row>
  </sheetData>
  <sheetProtection algorithmName="SHA-512" hashValue="rXxUgmuLGggu6T+GenCtQkB7i3LH5BmvWkA61FV0oqXJwkUaW3nV94R/LlaEDQTrGkKOKwbFwn4Du5FWi6ReJg==" saltValue="5/vA5KbbAtYGu665QVfCbg==" spinCount="100000" sheet="1" objects="1" scenarios="1" formatColumns="0" formatRows="0" insertColumns="0" insertRows="0" sort="0" autoFilter="0" pivotTables="0"/>
  <mergeCells count="69">
    <mergeCell ref="S37:V37"/>
    <mergeCell ref="S38:V38"/>
    <mergeCell ref="S39:V39"/>
    <mergeCell ref="S40:V40"/>
    <mergeCell ref="S41:V42"/>
    <mergeCell ref="S36:V36"/>
    <mergeCell ref="S25:V25"/>
    <mergeCell ref="S26:V26"/>
    <mergeCell ref="S27:V27"/>
    <mergeCell ref="S28:V28"/>
    <mergeCell ref="S29:V29"/>
    <mergeCell ref="S30:V30"/>
    <mergeCell ref="S31:V31"/>
    <mergeCell ref="S32:V32"/>
    <mergeCell ref="S33:V33"/>
    <mergeCell ref="S34:V34"/>
    <mergeCell ref="S35:V35"/>
    <mergeCell ref="S19:V19"/>
    <mergeCell ref="S20:V20"/>
    <mergeCell ref="S21:V21"/>
    <mergeCell ref="S22:V22"/>
    <mergeCell ref="S23:V23"/>
    <mergeCell ref="S24:V24"/>
    <mergeCell ref="BA14:BA15"/>
    <mergeCell ref="BB14:BB15"/>
    <mergeCell ref="BC14:BC15"/>
    <mergeCell ref="S16:V16"/>
    <mergeCell ref="S17:V17"/>
    <mergeCell ref="S18:V18"/>
    <mergeCell ref="AU14:AU15"/>
    <mergeCell ref="AV14:AV15"/>
    <mergeCell ref="AW14:AW15"/>
    <mergeCell ref="AX14:AX15"/>
    <mergeCell ref="AY14:AY15"/>
    <mergeCell ref="AZ14:AZ15"/>
    <mergeCell ref="AO14:AO15"/>
    <mergeCell ref="AP14:AP15"/>
    <mergeCell ref="AQ14:AQ15"/>
    <mergeCell ref="AR14:AR15"/>
    <mergeCell ref="AS14:AS15"/>
    <mergeCell ref="AT14:AT15"/>
    <mergeCell ref="AD14:AD15"/>
    <mergeCell ref="AJ14:AJ15"/>
    <mergeCell ref="AK14:AK15"/>
    <mergeCell ref="AL14:AL15"/>
    <mergeCell ref="AM14:AM15"/>
    <mergeCell ref="AN14:AN15"/>
    <mergeCell ref="Y14:AC14"/>
    <mergeCell ref="H13:H14"/>
    <mergeCell ref="I13:I14"/>
    <mergeCell ref="J13:J14"/>
    <mergeCell ref="K13:K14"/>
    <mergeCell ref="L13:L14"/>
    <mergeCell ref="M13:N13"/>
    <mergeCell ref="Q13:Q14"/>
    <mergeCell ref="R13:R14"/>
    <mergeCell ref="S13:V15"/>
    <mergeCell ref="O13:O14"/>
    <mergeCell ref="P13:P14"/>
    <mergeCell ref="A10:V10"/>
    <mergeCell ref="A11:V11"/>
    <mergeCell ref="K12:L12"/>
    <mergeCell ref="A13:A15"/>
    <mergeCell ref="B13:B14"/>
    <mergeCell ref="C13:C14"/>
    <mergeCell ref="D13:D14"/>
    <mergeCell ref="E13:E14"/>
    <mergeCell ref="F13:F14"/>
    <mergeCell ref="G13:G14"/>
  </mergeCells>
  <conditionalFormatting sqref="I47">
    <cfRule type="cellIs" dxfId="107" priority="5" operator="lessThan">
      <formula>0</formula>
    </cfRule>
  </conditionalFormatting>
  <conditionalFormatting sqref="Y16:Y39">
    <cfRule type="containsText" dxfId="106" priority="3" operator="containsText" text="STBY">
      <formula>NOT(ISERROR(SEARCH("STBY",Y16)))</formula>
    </cfRule>
    <cfRule type="containsText" dxfId="105" priority="4" operator="containsText" text="SD">
      <formula>NOT(ISERROR(SEARCH("SD",Y16)))</formula>
    </cfRule>
  </conditionalFormatting>
  <conditionalFormatting sqref="B16:B39 D16:R39">
    <cfRule type="expression" dxfId="104" priority="2">
      <formula>ISTEXT(B16)</formula>
    </cfRule>
  </conditionalFormatting>
  <conditionalFormatting sqref="C16:C39">
    <cfRule type="expression" dxfId="103" priority="1">
      <formula>ISTEXT(C16)</formula>
    </cfRule>
  </conditionalFormatting>
  <dataValidations count="2">
    <dataValidation type="list" allowBlank="1" showInputMessage="1" showErrorMessage="1" sqref="Y16:Y39" xr:uid="{9404660C-A4D0-4073-AE4C-0A5BD9A0F761}">
      <formula1>"SD,STBY"</formula1>
    </dataValidation>
    <dataValidation type="list" allowBlank="1" showInputMessage="1" sqref="AD16:AD39" xr:uid="{6C6924B6-70BE-4A43-A8DB-2C6771045076}">
      <formula1>$AH$15:$AH$72</formula1>
    </dataValidation>
  </dataValidations>
  <printOptions horizontalCentered="1"/>
  <pageMargins left="0.39370078740157483" right="0.39370078740157483" top="0.59055118110236227" bottom="0.39370078740157483" header="0.31496062992125984" footer="0.31496062992125984"/>
  <pageSetup paperSize="9" scale="57" orientation="landscape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F9EDE-49FC-45BA-8616-51E1088C1EC3}">
  <sheetPr codeName="N11">
    <pageSetUpPr fitToPage="1"/>
  </sheetPr>
  <dimension ref="A1:BC94"/>
  <sheetViews>
    <sheetView topLeftCell="A16" zoomScale="85" zoomScaleNormal="85" workbookViewId="0">
      <selection activeCell="L35" sqref="L35"/>
    </sheetView>
  </sheetViews>
  <sheetFormatPr defaultColWidth="0" defaultRowHeight="0" customHeight="1" zeroHeight="1" x14ac:dyDescent="0.25"/>
  <cols>
    <col min="1" max="1" width="10.7109375" style="7" customWidth="1"/>
    <col min="2" max="3" width="10.7109375" style="7" hidden="1" customWidth="1"/>
    <col min="4" max="14" width="10.7109375" style="7" customWidth="1"/>
    <col min="15" max="17" width="11.7109375" style="7" customWidth="1"/>
    <col min="18" max="18" width="10.7109375" style="7" hidden="1" customWidth="1"/>
    <col min="19" max="22" width="10.7109375" style="7" customWidth="1"/>
    <col min="23" max="23" width="2.7109375" style="7" customWidth="1"/>
    <col min="24" max="29" width="10.7109375" style="7" customWidth="1"/>
    <col min="30" max="30" width="30.7109375" style="7" customWidth="1"/>
    <col min="31" max="33" width="11.7109375" style="7" customWidth="1"/>
    <col min="34" max="34" width="30.7109375" style="7" customWidth="1"/>
    <col min="35" max="35" width="2.7109375" style="7" hidden="1" customWidth="1"/>
    <col min="36" max="55" width="11.7109375" style="7" hidden="1" customWidth="1"/>
    <col min="56" max="16384" width="9.140625" style="7" hidden="1"/>
  </cols>
  <sheetData>
    <row r="1" spans="1:55" ht="15" customHeight="1" x14ac:dyDescent="0.25">
      <c r="A1" s="7" t="s">
        <v>16</v>
      </c>
      <c r="D1" s="11" t="s">
        <v>85</v>
      </c>
      <c r="J1" s="7" t="str">
        <f>IF(MR!U13="Yes","PRINT","No")</f>
        <v>PRINT</v>
      </c>
      <c r="M1" s="191"/>
      <c r="N1" s="191"/>
    </row>
    <row r="2" spans="1:55" ht="15" customHeight="1" thickBot="1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192"/>
      <c r="M2" s="4"/>
      <c r="N2" s="4"/>
      <c r="O2" s="4"/>
      <c r="P2" s="4"/>
      <c r="Q2" s="4"/>
      <c r="R2" s="4"/>
      <c r="S2" s="8"/>
      <c r="T2" s="8"/>
      <c r="U2" s="8"/>
      <c r="V2" s="8"/>
      <c r="X2" s="8"/>
      <c r="Y2" s="8"/>
      <c r="Z2" s="8"/>
      <c r="AA2" s="8"/>
      <c r="AB2" s="8"/>
      <c r="AC2" s="8"/>
      <c r="AD2" s="8"/>
      <c r="AE2" s="8"/>
    </row>
    <row r="3" spans="1:55" ht="15" customHeight="1" x14ac:dyDescent="0.2">
      <c r="A3" s="31"/>
      <c r="B3" s="28"/>
      <c r="C3" s="28"/>
      <c r="D3" s="28"/>
      <c r="E3" s="28"/>
      <c r="F3" s="13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2"/>
      <c r="T3" s="22"/>
      <c r="U3" s="22"/>
      <c r="V3" s="23"/>
      <c r="X3" s="8"/>
      <c r="Y3" s="8"/>
      <c r="Z3" s="8"/>
      <c r="AA3" s="8"/>
      <c r="AB3" s="8"/>
      <c r="AC3" s="8"/>
      <c r="AD3" s="8"/>
      <c r="AE3" s="8"/>
    </row>
    <row r="4" spans="1:55" ht="30" customHeight="1" x14ac:dyDescent="0.25">
      <c r="A4" s="30"/>
      <c r="B4" s="1"/>
      <c r="C4" s="1"/>
      <c r="D4" s="1"/>
      <c r="E4" s="3"/>
      <c r="F4" s="63" t="s">
        <v>210</v>
      </c>
      <c r="G4" s="1"/>
      <c r="H4" s="1"/>
      <c r="I4" s="3"/>
      <c r="J4" s="3"/>
      <c r="K4" s="3"/>
      <c r="L4" s="3"/>
      <c r="M4" s="3"/>
      <c r="N4" s="3"/>
      <c r="O4" s="3"/>
      <c r="P4" s="3"/>
      <c r="Q4" s="3"/>
      <c r="R4" s="3"/>
      <c r="S4" s="1"/>
      <c r="T4" s="1"/>
      <c r="U4" s="1"/>
      <c r="V4" s="2"/>
      <c r="X4" s="5"/>
      <c r="Y4" s="5"/>
      <c r="Z4" s="5"/>
      <c r="AA4" s="5"/>
      <c r="AB4" s="5"/>
      <c r="AC4" s="5"/>
      <c r="AD4" s="5"/>
      <c r="AE4" s="5"/>
    </row>
    <row r="5" spans="1:55" ht="15" customHeight="1" x14ac:dyDescent="0.2">
      <c r="A5" s="32"/>
      <c r="B5" s="33"/>
      <c r="C5" s="33"/>
      <c r="D5" s="12"/>
      <c r="E5" s="3"/>
      <c r="F5" s="10" t="s">
        <v>129</v>
      </c>
      <c r="G5" s="1"/>
      <c r="H5" s="1"/>
      <c r="I5" s="3"/>
      <c r="J5" s="3"/>
      <c r="K5" s="3"/>
      <c r="L5" s="3"/>
      <c r="M5" s="3"/>
      <c r="N5" s="3"/>
      <c r="O5" s="3"/>
      <c r="P5" s="3"/>
      <c r="Q5" s="3"/>
      <c r="R5" s="3"/>
      <c r="S5" s="12"/>
      <c r="T5" s="12"/>
      <c r="U5" s="12"/>
      <c r="V5" s="14"/>
      <c r="X5" s="8"/>
      <c r="Y5" s="8"/>
      <c r="Z5" s="8"/>
      <c r="AA5" s="8"/>
      <c r="AB5" s="8"/>
      <c r="AC5" s="8"/>
      <c r="AD5" s="8"/>
      <c r="AE5" s="8"/>
      <c r="AJ5" s="193" t="s">
        <v>184</v>
      </c>
      <c r="AK5" s="194">
        <f>'V Calc'!B1</f>
        <v>500</v>
      </c>
      <c r="AL5" s="124"/>
    </row>
    <row r="6" spans="1:55" ht="15" customHeight="1" x14ac:dyDescent="0.2">
      <c r="A6" s="32"/>
      <c r="B6" s="33"/>
      <c r="C6" s="33"/>
      <c r="D6" s="12"/>
      <c r="E6" s="3"/>
      <c r="F6" s="10" t="s">
        <v>132</v>
      </c>
      <c r="G6" s="1"/>
      <c r="H6" s="1"/>
      <c r="I6" s="3"/>
      <c r="J6" s="3"/>
      <c r="K6" s="3"/>
      <c r="L6" s="3"/>
      <c r="M6" s="3"/>
      <c r="N6" s="3"/>
      <c r="O6" s="3"/>
      <c r="P6" s="3"/>
      <c r="Q6" s="3"/>
      <c r="R6" s="3"/>
      <c r="S6" s="12"/>
      <c r="T6" s="12"/>
      <c r="U6" s="12"/>
      <c r="V6" s="14"/>
      <c r="X6" s="8"/>
      <c r="Y6" s="8"/>
      <c r="Z6" s="8"/>
      <c r="AA6" s="8"/>
      <c r="AB6" s="8"/>
      <c r="AC6" s="8"/>
      <c r="AD6" s="8"/>
      <c r="AE6" s="8"/>
      <c r="AJ6" s="193" t="s">
        <v>185</v>
      </c>
      <c r="AK6" s="194">
        <f>'V Calc'!B2</f>
        <v>100</v>
      </c>
      <c r="AL6" s="124"/>
    </row>
    <row r="7" spans="1:55" ht="15" customHeight="1" x14ac:dyDescent="0.2">
      <c r="A7" s="32"/>
      <c r="B7" s="33"/>
      <c r="C7" s="33"/>
      <c r="D7" s="12"/>
      <c r="E7" s="3"/>
      <c r="F7" s="10" t="s">
        <v>130</v>
      </c>
      <c r="G7" s="1"/>
      <c r="H7" s="1"/>
      <c r="I7" s="3"/>
      <c r="J7" s="3"/>
      <c r="K7" s="3"/>
      <c r="L7" s="3"/>
      <c r="M7" s="3"/>
      <c r="N7" s="3"/>
      <c r="O7" s="3"/>
      <c r="P7" s="3"/>
      <c r="Q7" s="3"/>
      <c r="R7" s="3"/>
      <c r="S7" s="12"/>
      <c r="T7" s="12"/>
      <c r="U7" s="12"/>
      <c r="V7" s="14"/>
      <c r="X7" s="8"/>
      <c r="Y7" s="8"/>
      <c r="Z7" s="8"/>
      <c r="AA7" s="8"/>
      <c r="AB7" s="8"/>
      <c r="AC7" s="8"/>
      <c r="AD7" s="8"/>
      <c r="AE7" s="8"/>
      <c r="AJ7" s="193" t="s">
        <v>186</v>
      </c>
      <c r="AK7" s="195">
        <f>'V Calc'!B3</f>
        <v>2</v>
      </c>
      <c r="AL7" s="124"/>
    </row>
    <row r="8" spans="1:55" ht="15" customHeight="1" x14ac:dyDescent="0.2">
      <c r="A8" s="32"/>
      <c r="B8" s="33"/>
      <c r="C8" s="33"/>
      <c r="D8" s="12"/>
      <c r="E8" s="3"/>
      <c r="F8" s="10" t="s">
        <v>131</v>
      </c>
      <c r="G8" s="62"/>
      <c r="H8" s="62"/>
      <c r="I8" s="3"/>
      <c r="J8" s="3"/>
      <c r="K8" s="3"/>
      <c r="L8" s="3"/>
      <c r="M8" s="3"/>
      <c r="N8" s="3"/>
      <c r="O8" s="3"/>
      <c r="P8" s="3"/>
      <c r="Q8" s="3"/>
      <c r="R8" s="3"/>
      <c r="S8" s="12"/>
      <c r="T8" s="12"/>
      <c r="U8" s="12"/>
      <c r="V8" s="14"/>
      <c r="X8" s="8"/>
      <c r="Y8" s="8"/>
      <c r="Z8" s="8"/>
      <c r="AA8" s="8"/>
      <c r="AB8" s="8"/>
      <c r="AC8" s="8"/>
      <c r="AD8" s="8"/>
      <c r="AE8" s="8"/>
      <c r="AJ8" s="193" t="s">
        <v>187</v>
      </c>
      <c r="AK8" s="195">
        <f>'V Calc'!B4</f>
        <v>0.875</v>
      </c>
      <c r="AL8" s="124"/>
    </row>
    <row r="9" spans="1:55" ht="15" customHeight="1" thickBot="1" x14ac:dyDescent="0.25">
      <c r="A9" s="34"/>
      <c r="B9" s="29"/>
      <c r="C9" s="29"/>
      <c r="D9" s="29"/>
      <c r="E9" s="29"/>
      <c r="F9" s="15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16"/>
      <c r="T9" s="16"/>
      <c r="U9" s="16"/>
      <c r="V9" s="17"/>
      <c r="X9" s="8"/>
      <c r="Y9" s="8"/>
      <c r="Z9" s="8"/>
      <c r="AA9" s="8"/>
      <c r="AB9" s="8"/>
      <c r="AC9" s="8"/>
      <c r="AD9" s="8"/>
      <c r="AE9" s="8"/>
      <c r="AJ9" s="196" t="s">
        <v>188</v>
      </c>
      <c r="AK9" s="197">
        <f>'V Calc'!B5</f>
        <v>158.47</v>
      </c>
      <c r="AL9" s="198"/>
    </row>
    <row r="10" spans="1:55" s="9" customFormat="1" ht="30" customHeight="1" x14ac:dyDescent="0.2">
      <c r="A10" s="513" t="s">
        <v>20</v>
      </c>
      <c r="B10" s="514"/>
      <c r="C10" s="514"/>
      <c r="D10" s="514"/>
      <c r="E10" s="514"/>
      <c r="F10" s="514"/>
      <c r="G10" s="514"/>
      <c r="H10" s="514"/>
      <c r="I10" s="514"/>
      <c r="J10" s="514"/>
      <c r="K10" s="514"/>
      <c r="L10" s="514"/>
      <c r="M10" s="514"/>
      <c r="N10" s="514"/>
      <c r="O10" s="514"/>
      <c r="P10" s="514"/>
      <c r="Q10" s="514"/>
      <c r="R10" s="514"/>
      <c r="S10" s="514"/>
      <c r="T10" s="514"/>
      <c r="U10" s="514"/>
      <c r="V10" s="515"/>
      <c r="X10" s="96"/>
      <c r="Y10" s="96"/>
      <c r="Z10" s="96"/>
      <c r="AA10" s="96"/>
      <c r="AB10" s="96"/>
      <c r="AC10" s="96"/>
      <c r="AJ10" s="193" t="s">
        <v>189</v>
      </c>
      <c r="AK10" s="199">
        <f>'V Calc'!B6</f>
        <v>0.63607464142166403</v>
      </c>
      <c r="AL10" s="198" t="s">
        <v>190</v>
      </c>
    </row>
    <row r="11" spans="1:55" s="9" customFormat="1" ht="20.100000000000001" customHeight="1" thickBot="1" x14ac:dyDescent="0.25">
      <c r="A11" s="516" t="s">
        <v>21</v>
      </c>
      <c r="B11" s="517"/>
      <c r="C11" s="517"/>
      <c r="D11" s="517"/>
      <c r="E11" s="517"/>
      <c r="F11" s="517"/>
      <c r="G11" s="517"/>
      <c r="H11" s="517"/>
      <c r="I11" s="517"/>
      <c r="J11" s="517"/>
      <c r="K11" s="517"/>
      <c r="L11" s="517"/>
      <c r="M11" s="517"/>
      <c r="N11" s="517"/>
      <c r="O11" s="517"/>
      <c r="P11" s="517"/>
      <c r="Q11" s="517"/>
      <c r="R11" s="517"/>
      <c r="S11" s="517"/>
      <c r="T11" s="517"/>
      <c r="U11" s="517"/>
      <c r="V11" s="518"/>
      <c r="X11" s="97"/>
      <c r="Y11" s="97"/>
      <c r="Z11" s="97"/>
      <c r="AA11" s="97"/>
      <c r="AB11" s="97"/>
      <c r="AC11" s="97"/>
    </row>
    <row r="12" spans="1:55" s="6" customFormat="1" ht="30" customHeight="1" thickBot="1" x14ac:dyDescent="0.3">
      <c r="A12" s="18"/>
      <c r="B12" s="20"/>
      <c r="C12" s="20"/>
      <c r="D12" s="19" t="s">
        <v>121</v>
      </c>
      <c r="E12" s="200" t="str">
        <f>'Day 10'!E12</f>
        <v>MPR 632  RFD</v>
      </c>
      <c r="F12" s="35"/>
      <c r="G12" s="19" t="s">
        <v>120</v>
      </c>
      <c r="H12" s="200" t="str">
        <f>IF(Volume!C$14="","",Volume!C$14)</f>
        <v>FP 65354</v>
      </c>
      <c r="I12" s="20"/>
      <c r="J12" s="19" t="s">
        <v>17</v>
      </c>
      <c r="K12" s="505">
        <f>'Day 10'!K12+1</f>
        <v>45819</v>
      </c>
      <c r="L12" s="505"/>
      <c r="M12" s="100"/>
      <c r="N12" s="19" t="s">
        <v>119</v>
      </c>
      <c r="O12" s="200" t="str">
        <f>IF(Volume!D$14="","",Volume!D$14)</f>
        <v>SP. Tambun - Cluster F</v>
      </c>
      <c r="P12" s="20"/>
      <c r="Q12" s="19" t="s">
        <v>122</v>
      </c>
      <c r="S12" s="201">
        <f>IF(Volume!E$14="","",Volume!E$14)</f>
        <v>1.25</v>
      </c>
      <c r="T12" s="20"/>
      <c r="U12" s="19" t="s">
        <v>126</v>
      </c>
      <c r="V12" s="202" t="str">
        <f>IF(Volume!F$14="","",Volume!F$14)</f>
        <v>4/0</v>
      </c>
    </row>
    <row r="13" spans="1:55" ht="30" customHeight="1" thickBot="1" x14ac:dyDescent="0.3">
      <c r="A13" s="502" t="s">
        <v>0</v>
      </c>
      <c r="B13" s="502" t="s">
        <v>213</v>
      </c>
      <c r="C13" s="502" t="s">
        <v>212</v>
      </c>
      <c r="D13" s="502" t="s">
        <v>31</v>
      </c>
      <c r="E13" s="502" t="s">
        <v>32</v>
      </c>
      <c r="F13" s="502" t="s">
        <v>2</v>
      </c>
      <c r="G13" s="502" t="s">
        <v>33</v>
      </c>
      <c r="H13" s="502" t="s">
        <v>35</v>
      </c>
      <c r="I13" s="502" t="s">
        <v>36</v>
      </c>
      <c r="J13" s="502" t="s">
        <v>110</v>
      </c>
      <c r="K13" s="502" t="s">
        <v>15</v>
      </c>
      <c r="L13" s="502" t="s">
        <v>34</v>
      </c>
      <c r="M13" s="502" t="s">
        <v>10</v>
      </c>
      <c r="N13" s="502"/>
      <c r="O13" s="506" t="s">
        <v>300</v>
      </c>
      <c r="P13" s="506" t="s">
        <v>299</v>
      </c>
      <c r="Q13" s="502" t="s">
        <v>7</v>
      </c>
      <c r="R13" s="502" t="s">
        <v>88</v>
      </c>
      <c r="S13" s="502" t="s">
        <v>8</v>
      </c>
      <c r="T13" s="502"/>
      <c r="U13" s="502"/>
      <c r="V13" s="502"/>
      <c r="X13" s="98"/>
      <c r="Y13" s="98"/>
      <c r="Z13" s="98"/>
      <c r="AA13" s="98"/>
      <c r="AB13" s="98"/>
      <c r="AC13" s="98"/>
    </row>
    <row r="14" spans="1:55" ht="30" customHeight="1" x14ac:dyDescent="0.25">
      <c r="A14" s="504"/>
      <c r="B14" s="504"/>
      <c r="C14" s="504"/>
      <c r="D14" s="504"/>
      <c r="E14" s="504"/>
      <c r="F14" s="504"/>
      <c r="G14" s="504"/>
      <c r="H14" s="504"/>
      <c r="I14" s="504"/>
      <c r="J14" s="504"/>
      <c r="K14" s="504"/>
      <c r="L14" s="504"/>
      <c r="M14" s="94" t="s">
        <v>3</v>
      </c>
      <c r="N14" s="94" t="s">
        <v>4</v>
      </c>
      <c r="O14" s="507"/>
      <c r="P14" s="507"/>
      <c r="Q14" s="504"/>
      <c r="R14" s="504"/>
      <c r="S14" s="504"/>
      <c r="T14" s="504"/>
      <c r="U14" s="504"/>
      <c r="V14" s="504"/>
      <c r="Y14" s="502" t="s">
        <v>230</v>
      </c>
      <c r="Z14" s="502"/>
      <c r="AA14" s="502"/>
      <c r="AB14" s="502"/>
      <c r="AC14" s="502"/>
      <c r="AD14" s="502" t="s">
        <v>231</v>
      </c>
      <c r="AH14" s="203" t="s">
        <v>232</v>
      </c>
      <c r="AJ14" s="520" t="s">
        <v>191</v>
      </c>
      <c r="AK14" s="520" t="s">
        <v>192</v>
      </c>
      <c r="AL14" s="520" t="s">
        <v>193</v>
      </c>
      <c r="AM14" s="520" t="s">
        <v>194</v>
      </c>
      <c r="AN14" s="520" t="s">
        <v>195</v>
      </c>
      <c r="AO14" s="506" t="s">
        <v>196</v>
      </c>
      <c r="AP14" s="506" t="s">
        <v>197</v>
      </c>
      <c r="AQ14" s="506" t="s">
        <v>198</v>
      </c>
      <c r="AR14" s="506" t="s">
        <v>188</v>
      </c>
      <c r="AS14" s="506" t="s">
        <v>199</v>
      </c>
      <c r="AT14" s="506" t="s">
        <v>200</v>
      </c>
      <c r="AU14" s="506" t="s">
        <v>201</v>
      </c>
      <c r="AV14" s="506" t="s">
        <v>202</v>
      </c>
      <c r="AW14" s="506" t="s">
        <v>203</v>
      </c>
      <c r="AX14" s="506" t="s">
        <v>204</v>
      </c>
      <c r="AY14" s="523" t="s">
        <v>205</v>
      </c>
      <c r="AZ14" s="523" t="s">
        <v>206</v>
      </c>
      <c r="BA14" s="523" t="s">
        <v>207</v>
      </c>
      <c r="BB14" s="523" t="s">
        <v>208</v>
      </c>
      <c r="BC14" s="506" t="s">
        <v>197</v>
      </c>
    </row>
    <row r="15" spans="1:55" ht="20.100000000000001" customHeight="1" thickBot="1" x14ac:dyDescent="0.3">
      <c r="A15" s="503"/>
      <c r="B15" s="95" t="s">
        <v>1</v>
      </c>
      <c r="C15" s="95" t="s">
        <v>1</v>
      </c>
      <c r="D15" s="95" t="s">
        <v>1</v>
      </c>
      <c r="E15" s="95" t="s">
        <v>1</v>
      </c>
      <c r="F15" s="95" t="s">
        <v>140</v>
      </c>
      <c r="G15" s="95" t="s">
        <v>1</v>
      </c>
      <c r="H15" s="95" t="s">
        <v>1</v>
      </c>
      <c r="I15" s="95" t="s">
        <v>1</v>
      </c>
      <c r="J15" s="95" t="s">
        <v>18</v>
      </c>
      <c r="K15" s="95" t="s">
        <v>9</v>
      </c>
      <c r="L15" s="95" t="s">
        <v>5</v>
      </c>
      <c r="M15" s="95" t="s">
        <v>5</v>
      </c>
      <c r="N15" s="95" t="s">
        <v>5</v>
      </c>
      <c r="O15" s="95" t="s">
        <v>1</v>
      </c>
      <c r="P15" s="95" t="s">
        <v>14</v>
      </c>
      <c r="Q15" s="95" t="str">
        <f>IF(MR!G17="MSCF","MSCFD","MMSCFD")</f>
        <v>MSCFD</v>
      </c>
      <c r="R15" s="95" t="str">
        <f>MR!L17</f>
        <v>BPD</v>
      </c>
      <c r="S15" s="503"/>
      <c r="T15" s="503"/>
      <c r="U15" s="503"/>
      <c r="V15" s="503"/>
      <c r="X15" s="365"/>
      <c r="Y15" s="95" t="s">
        <v>123</v>
      </c>
      <c r="Z15" s="95" t="s">
        <v>124</v>
      </c>
      <c r="AA15" s="95" t="s">
        <v>125</v>
      </c>
      <c r="AB15" s="95" t="s">
        <v>51</v>
      </c>
      <c r="AC15" s="95" t="s">
        <v>48</v>
      </c>
      <c r="AD15" s="503"/>
      <c r="AH15" s="204" t="s">
        <v>228</v>
      </c>
      <c r="AJ15" s="521"/>
      <c r="AK15" s="521"/>
      <c r="AL15" s="521"/>
      <c r="AM15" s="521"/>
      <c r="AN15" s="521"/>
      <c r="AO15" s="522"/>
      <c r="AP15" s="522"/>
      <c r="AQ15" s="522"/>
      <c r="AR15" s="522"/>
      <c r="AS15" s="522"/>
      <c r="AT15" s="522"/>
      <c r="AU15" s="522"/>
      <c r="AV15" s="522"/>
      <c r="AW15" s="522"/>
      <c r="AX15" s="522"/>
      <c r="AY15" s="524"/>
      <c r="AZ15" s="524"/>
      <c r="BA15" s="524"/>
      <c r="BB15" s="524"/>
      <c r="BC15" s="522"/>
    </row>
    <row r="16" spans="1:55" ht="20.100000000000001" customHeight="1" x14ac:dyDescent="0.2">
      <c r="A16" s="44">
        <v>4.1666666666666664E-2</v>
      </c>
      <c r="B16" s="450"/>
      <c r="C16" s="450"/>
      <c r="D16" s="450">
        <v>6.3</v>
      </c>
      <c r="E16" s="450">
        <v>59.6</v>
      </c>
      <c r="F16" s="40">
        <v>1930</v>
      </c>
      <c r="G16" s="37">
        <v>-5.5</v>
      </c>
      <c r="H16" s="36">
        <v>71.599999999999994</v>
      </c>
      <c r="I16" s="36">
        <v>21.9</v>
      </c>
      <c r="J16" s="40">
        <v>320</v>
      </c>
      <c r="K16" s="37">
        <v>13</v>
      </c>
      <c r="L16" s="450">
        <v>129</v>
      </c>
      <c r="M16" s="450">
        <v>220</v>
      </c>
      <c r="N16" s="451">
        <v>90</v>
      </c>
      <c r="O16" s="352">
        <v>30</v>
      </c>
      <c r="P16" s="352">
        <v>9</v>
      </c>
      <c r="Q16" s="352">
        <v>178.77</v>
      </c>
      <c r="R16" s="36"/>
      <c r="S16" s="519" t="str">
        <f t="shared" ref="S16:S32" si="0">IF(Z16="",IF(AD16="","",AD16),CONCATENATE(TEXT(Z16,"[hh]:mm"),IF(AA16="",""," - "&amp;TEXT(AA16,"[hh]:mm")),IF(Y16="",""," "&amp;Y16&amp;"/")," "&amp;AD16))</f>
        <v/>
      </c>
      <c r="T16" s="519"/>
      <c r="U16" s="519"/>
      <c r="V16" s="519"/>
      <c r="X16" s="44">
        <v>4.1666666666666664E-2</v>
      </c>
      <c r="Y16" s="105"/>
      <c r="Z16" s="101"/>
      <c r="AA16" s="101"/>
      <c r="AB16" s="44" t="str">
        <f>IF(Y16="STBY",AA16-Z16,"")</f>
        <v/>
      </c>
      <c r="AC16" s="44" t="str">
        <f t="shared" ref="AC16:AC39" si="1">IF(Y16="SD",AA16-Z16,"")</f>
        <v/>
      </c>
      <c r="AD16" s="355"/>
      <c r="AE16" s="9" t="str">
        <f>IF(S16="","",IF(COUNTA(Z16:$Z$39)=1,IF(COUNTA(AD16:$AD$39)=1,""," ; "),IF(COUNTA(AD16:$AD$39)=1,IF(Z16="",""," ; ")," ; ")))</f>
        <v/>
      </c>
      <c r="AF16" s="9" t="str">
        <f t="shared" ref="AF16:AF39" si="2">CONCATENATE(S16,AE16)</f>
        <v/>
      </c>
      <c r="AG16" s="90" t="str">
        <f t="shared" ref="AG16:AG39" si="3">IF(AND(COUNTBLANK(N16:P16)&lt;3,Q16=""),"CEK : Data Flowrate","")</f>
        <v/>
      </c>
      <c r="AH16" s="204" t="s">
        <v>229</v>
      </c>
      <c r="AJ16" s="205">
        <f>AK5</f>
        <v>500</v>
      </c>
      <c r="AK16" s="205">
        <f>AK6</f>
        <v>100</v>
      </c>
      <c r="AL16" s="206">
        <f>AK7</f>
        <v>2</v>
      </c>
      <c r="AM16" s="207">
        <f>AK8</f>
        <v>0.875</v>
      </c>
      <c r="AN16" s="208">
        <f>AK10</f>
        <v>0.63607464142166403</v>
      </c>
      <c r="AO16" s="209">
        <f t="shared" ref="AO16:AO39" si="4">T16^2*AJ16/100-14.7</f>
        <v>-14.7</v>
      </c>
      <c r="AP16" s="210">
        <f t="shared" ref="AP16:AP39" si="5">IF(AO16&lt;100,1,BC16)</f>
        <v>1</v>
      </c>
      <c r="AQ16" s="210">
        <f t="shared" ref="AQ16:AQ39" si="6">(1/AP16)^0.5</f>
        <v>1</v>
      </c>
      <c r="AR16" s="52">
        <f>AK9</f>
        <v>158.47</v>
      </c>
      <c r="AS16" s="210">
        <f t="shared" ref="AS16:AS39" si="7">(520/(460+N16))^0.5</f>
        <v>0.9723448696087954</v>
      </c>
      <c r="AT16" s="210">
        <f t="shared" ref="AT16:AT39" si="8">(1/AN16)^0.5</f>
        <v>1.2538510821608391</v>
      </c>
      <c r="AU16" s="210">
        <f t="shared" ref="AU16:AU39" si="9">0.01*(AJ16*AK16)^0.5</f>
        <v>2.2360679774997898</v>
      </c>
      <c r="AV16" s="211">
        <f t="shared" ref="AV16:AV39" si="10">0.024*AQ16*AR16*AS16*AT16*AU16</f>
        <v>10.368348541764712</v>
      </c>
      <c r="AW16" s="210">
        <f t="shared" ref="AW16:AW39" si="11">(AO16+14.7)/(697.2-43*AN16)</f>
        <v>0</v>
      </c>
      <c r="AX16" s="212">
        <f t="shared" ref="AX16:AX39" si="12">(N16+460)/(315.1*AN16+170.4)</f>
        <v>1.4831709199797398</v>
      </c>
      <c r="AY16" s="210">
        <f t="shared" ref="AY16:AY39" si="13">0.3379*LN(LN(AX16))+1.091</f>
        <v>0.77643477842613629</v>
      </c>
      <c r="AZ16" s="211">
        <f t="shared" ref="AZ16:AZ39" si="14">21.46*AY16-11.9*AY16^2-5.9</f>
        <v>3.5883638597441294</v>
      </c>
      <c r="BA16" s="210">
        <f t="shared" ref="BA16:BA39" si="15">AW16/AZ16</f>
        <v>0</v>
      </c>
      <c r="BB16" s="210">
        <f t="shared" ref="BB16:BB39" si="16">(1.1+0.26*AX16+(1.04-1.42*AX16)*BA16)*2.718^BA16/AX16</f>
        <v>1.0016542390239327</v>
      </c>
      <c r="BC16" s="210">
        <f t="shared" ref="BC16:BC39" si="17">1+(AY16-1)*SIN((90*BA16)/57.29578)^BB16</f>
        <v>1</v>
      </c>
    </row>
    <row r="17" spans="1:55" ht="20.100000000000001" customHeight="1" x14ac:dyDescent="0.2">
      <c r="A17" s="45">
        <v>8.3333333333333301E-2</v>
      </c>
      <c r="B17" s="451"/>
      <c r="C17" s="451"/>
      <c r="D17" s="451">
        <v>6.6</v>
      </c>
      <c r="E17" s="451">
        <v>59</v>
      </c>
      <c r="F17" s="41">
        <v>1936</v>
      </c>
      <c r="G17" s="37">
        <v>-5.5</v>
      </c>
      <c r="H17" s="37">
        <v>71.3</v>
      </c>
      <c r="I17" s="37">
        <v>21</v>
      </c>
      <c r="J17" s="41">
        <v>321</v>
      </c>
      <c r="K17" s="37">
        <v>13</v>
      </c>
      <c r="L17" s="451">
        <v>127</v>
      </c>
      <c r="M17" s="451">
        <v>220</v>
      </c>
      <c r="N17" s="451">
        <v>90</v>
      </c>
      <c r="O17" s="353">
        <v>30</v>
      </c>
      <c r="P17" s="353">
        <v>8</v>
      </c>
      <c r="Q17" s="353">
        <v>168.64</v>
      </c>
      <c r="R17" s="37"/>
      <c r="S17" s="508" t="str">
        <f t="shared" si="0"/>
        <v/>
      </c>
      <c r="T17" s="508"/>
      <c r="U17" s="508"/>
      <c r="V17" s="508"/>
      <c r="X17" s="45">
        <v>8.3333333333333301E-2</v>
      </c>
      <c r="Y17" s="106"/>
      <c r="Z17" s="102"/>
      <c r="AA17" s="102"/>
      <c r="AB17" s="45" t="str">
        <f t="shared" ref="AB17:AB39" si="18">IF(Y17="STBY",AA17-Z17,"")</f>
        <v/>
      </c>
      <c r="AC17" s="45" t="str">
        <f t="shared" si="1"/>
        <v/>
      </c>
      <c r="AD17" s="81"/>
      <c r="AE17" s="9" t="str">
        <f>IF(S17="","",IF(COUNTA(Z17:$Z$39)=1,IF(COUNTA(AD17:$AD$39)=1,""," ; "),IF(COUNTA(AD17:$AD$39)=1,IF(Z17="",""," ; ")," ; ")))</f>
        <v/>
      </c>
      <c r="AF17" s="9" t="str">
        <f t="shared" si="2"/>
        <v/>
      </c>
      <c r="AG17" s="90" t="str">
        <f t="shared" si="3"/>
        <v/>
      </c>
      <c r="AH17" s="204" t="s">
        <v>289</v>
      </c>
      <c r="AJ17" s="206">
        <f t="shared" ref="AJ17:AN32" si="19">AJ16</f>
        <v>500</v>
      </c>
      <c r="AK17" s="206">
        <f t="shared" si="19"/>
        <v>100</v>
      </c>
      <c r="AL17" s="206">
        <f>AL16</f>
        <v>2</v>
      </c>
      <c r="AM17" s="213">
        <f>AM16</f>
        <v>0.875</v>
      </c>
      <c r="AN17" s="214">
        <f>AN16</f>
        <v>0.63607464142166403</v>
      </c>
      <c r="AO17" s="215">
        <f t="shared" si="4"/>
        <v>-14.7</v>
      </c>
      <c r="AP17" s="216">
        <f t="shared" si="5"/>
        <v>1</v>
      </c>
      <c r="AQ17" s="216">
        <f t="shared" si="6"/>
        <v>1</v>
      </c>
      <c r="AR17" s="215">
        <f>AR16</f>
        <v>158.47</v>
      </c>
      <c r="AS17" s="216">
        <f t="shared" si="7"/>
        <v>0.9723448696087954</v>
      </c>
      <c r="AT17" s="216">
        <f t="shared" si="8"/>
        <v>1.2538510821608391</v>
      </c>
      <c r="AU17" s="216">
        <f t="shared" si="9"/>
        <v>2.2360679774997898</v>
      </c>
      <c r="AV17" s="217">
        <f t="shared" si="10"/>
        <v>10.368348541764712</v>
      </c>
      <c r="AW17" s="216">
        <f t="shared" si="11"/>
        <v>0</v>
      </c>
      <c r="AX17" s="218">
        <f t="shared" si="12"/>
        <v>1.4831709199797398</v>
      </c>
      <c r="AY17" s="216">
        <f t="shared" si="13"/>
        <v>0.77643477842613629</v>
      </c>
      <c r="AZ17" s="217">
        <f t="shared" si="14"/>
        <v>3.5883638597441294</v>
      </c>
      <c r="BA17" s="216">
        <f t="shared" si="15"/>
        <v>0</v>
      </c>
      <c r="BB17" s="216">
        <f t="shared" si="16"/>
        <v>1.0016542390239327</v>
      </c>
      <c r="BC17" s="216">
        <f t="shared" si="17"/>
        <v>1</v>
      </c>
    </row>
    <row r="18" spans="1:55" ht="20.100000000000001" customHeight="1" x14ac:dyDescent="0.2">
      <c r="A18" s="45">
        <v>0.125</v>
      </c>
      <c r="B18" s="451"/>
      <c r="C18" s="451"/>
      <c r="D18" s="451">
        <v>6.9</v>
      </c>
      <c r="E18" s="451">
        <v>57.1</v>
      </c>
      <c r="F18" s="41">
        <v>1943</v>
      </c>
      <c r="G18" s="37">
        <v>-5.5</v>
      </c>
      <c r="H18" s="37">
        <v>71.900000000000006</v>
      </c>
      <c r="I18" s="37">
        <v>21.5</v>
      </c>
      <c r="J18" s="41">
        <v>322</v>
      </c>
      <c r="K18" s="37">
        <v>13</v>
      </c>
      <c r="L18" s="451">
        <v>127</v>
      </c>
      <c r="M18" s="451">
        <v>221</v>
      </c>
      <c r="N18" s="451">
        <v>90</v>
      </c>
      <c r="O18" s="353">
        <v>30</v>
      </c>
      <c r="P18" s="353">
        <v>8</v>
      </c>
      <c r="Q18" s="353">
        <v>168.64</v>
      </c>
      <c r="R18" s="37"/>
      <c r="S18" s="508" t="str">
        <f t="shared" si="0"/>
        <v/>
      </c>
      <c r="T18" s="508"/>
      <c r="U18" s="508"/>
      <c r="V18" s="508"/>
      <c r="X18" s="45">
        <v>0.125</v>
      </c>
      <c r="Y18" s="106"/>
      <c r="Z18" s="102"/>
      <c r="AA18" s="102"/>
      <c r="AB18" s="45" t="str">
        <f t="shared" si="18"/>
        <v/>
      </c>
      <c r="AC18" s="45" t="str">
        <f t="shared" si="1"/>
        <v/>
      </c>
      <c r="AD18" s="81"/>
      <c r="AE18" s="9" t="str">
        <f>IF(S18="","",IF(COUNTA(Z18:$Z$39)=1,IF(COUNTA(AD18:$AD$39)=1,""," ; "),IF(COUNTA(AD18:$AD$39)=1,IF(Z18="",""," ; ")," ; ")))</f>
        <v/>
      </c>
      <c r="AF18" s="9" t="str">
        <f t="shared" si="2"/>
        <v/>
      </c>
      <c r="AG18" s="90" t="str">
        <f t="shared" si="3"/>
        <v/>
      </c>
      <c r="AH18" s="204" t="s">
        <v>321</v>
      </c>
      <c r="AJ18" s="206">
        <f t="shared" si="19"/>
        <v>500</v>
      </c>
      <c r="AK18" s="206">
        <f t="shared" si="19"/>
        <v>100</v>
      </c>
      <c r="AL18" s="206">
        <f t="shared" si="19"/>
        <v>2</v>
      </c>
      <c r="AM18" s="213">
        <f t="shared" si="19"/>
        <v>0.875</v>
      </c>
      <c r="AN18" s="214">
        <f t="shared" si="19"/>
        <v>0.63607464142166403</v>
      </c>
      <c r="AO18" s="215">
        <f t="shared" si="4"/>
        <v>-14.7</v>
      </c>
      <c r="AP18" s="216">
        <f t="shared" si="5"/>
        <v>1</v>
      </c>
      <c r="AQ18" s="216">
        <f t="shared" si="6"/>
        <v>1</v>
      </c>
      <c r="AR18" s="215">
        <f t="shared" ref="AR18:AR39" si="20">AR17</f>
        <v>158.47</v>
      </c>
      <c r="AS18" s="216">
        <f t="shared" si="7"/>
        <v>0.9723448696087954</v>
      </c>
      <c r="AT18" s="216">
        <f t="shared" si="8"/>
        <v>1.2538510821608391</v>
      </c>
      <c r="AU18" s="216">
        <f t="shared" si="9"/>
        <v>2.2360679774997898</v>
      </c>
      <c r="AV18" s="217">
        <f t="shared" si="10"/>
        <v>10.368348541764712</v>
      </c>
      <c r="AW18" s="216">
        <f t="shared" si="11"/>
        <v>0</v>
      </c>
      <c r="AX18" s="218">
        <f t="shared" si="12"/>
        <v>1.4831709199797398</v>
      </c>
      <c r="AY18" s="216">
        <f t="shared" si="13"/>
        <v>0.77643477842613629</v>
      </c>
      <c r="AZ18" s="217">
        <f t="shared" si="14"/>
        <v>3.5883638597441294</v>
      </c>
      <c r="BA18" s="216">
        <f t="shared" si="15"/>
        <v>0</v>
      </c>
      <c r="BB18" s="216">
        <f t="shared" si="16"/>
        <v>1.0016542390239327</v>
      </c>
      <c r="BC18" s="216">
        <f t="shared" si="17"/>
        <v>1</v>
      </c>
    </row>
    <row r="19" spans="1:55" ht="20.100000000000001" customHeight="1" x14ac:dyDescent="0.2">
      <c r="A19" s="45">
        <v>0.16666666666666699</v>
      </c>
      <c r="B19" s="451"/>
      <c r="C19" s="451"/>
      <c r="D19" s="451">
        <v>6.3</v>
      </c>
      <c r="E19" s="451">
        <v>57.3</v>
      </c>
      <c r="F19" s="41">
        <v>1956</v>
      </c>
      <c r="G19" s="37">
        <v>-5.5</v>
      </c>
      <c r="H19" s="37">
        <v>71</v>
      </c>
      <c r="I19" s="37">
        <v>21.3</v>
      </c>
      <c r="J19" s="41">
        <v>323</v>
      </c>
      <c r="K19" s="37">
        <v>13</v>
      </c>
      <c r="L19" s="451">
        <v>125</v>
      </c>
      <c r="M19" s="451">
        <v>218</v>
      </c>
      <c r="N19" s="451">
        <v>90</v>
      </c>
      <c r="O19" s="353">
        <v>30</v>
      </c>
      <c r="P19" s="353">
        <v>8</v>
      </c>
      <c r="Q19" s="353">
        <v>168.64</v>
      </c>
      <c r="R19" s="37"/>
      <c r="S19" s="508" t="str">
        <f t="shared" si="0"/>
        <v/>
      </c>
      <c r="T19" s="508"/>
      <c r="U19" s="508"/>
      <c r="V19" s="508"/>
      <c r="X19" s="45">
        <v>0.16666666666666699</v>
      </c>
      <c r="Y19" s="106"/>
      <c r="Z19" s="102"/>
      <c r="AA19" s="102"/>
      <c r="AB19" s="45" t="str">
        <f t="shared" si="18"/>
        <v/>
      </c>
      <c r="AC19" s="45" t="str">
        <f t="shared" si="1"/>
        <v/>
      </c>
      <c r="AD19" s="81"/>
      <c r="AE19" s="9" t="str">
        <f>IF(S19="","",IF(COUNTA(Z19:$Z$39)=1,IF(COUNTA(AD19:$AD$39)=1,""," ; "),IF(COUNTA(AD19:$AD$39)=1,IF(Z19="",""," ; ")," ; ")))</f>
        <v/>
      </c>
      <c r="AF19" s="9" t="str">
        <f t="shared" si="2"/>
        <v/>
      </c>
      <c r="AG19" s="90" t="str">
        <f t="shared" si="3"/>
        <v/>
      </c>
      <c r="AH19" s="204" t="s">
        <v>272</v>
      </c>
      <c r="AJ19" s="206">
        <f t="shared" si="19"/>
        <v>500</v>
      </c>
      <c r="AK19" s="206">
        <f t="shared" si="19"/>
        <v>100</v>
      </c>
      <c r="AL19" s="206">
        <f t="shared" si="19"/>
        <v>2</v>
      </c>
      <c r="AM19" s="213">
        <f t="shared" si="19"/>
        <v>0.875</v>
      </c>
      <c r="AN19" s="214">
        <f t="shared" si="19"/>
        <v>0.63607464142166403</v>
      </c>
      <c r="AO19" s="215">
        <f t="shared" si="4"/>
        <v>-14.7</v>
      </c>
      <c r="AP19" s="216">
        <f t="shared" si="5"/>
        <v>1</v>
      </c>
      <c r="AQ19" s="216">
        <f t="shared" si="6"/>
        <v>1</v>
      </c>
      <c r="AR19" s="215">
        <f t="shared" si="20"/>
        <v>158.47</v>
      </c>
      <c r="AS19" s="216">
        <f t="shared" si="7"/>
        <v>0.9723448696087954</v>
      </c>
      <c r="AT19" s="216">
        <f t="shared" si="8"/>
        <v>1.2538510821608391</v>
      </c>
      <c r="AU19" s="216">
        <f t="shared" si="9"/>
        <v>2.2360679774997898</v>
      </c>
      <c r="AV19" s="217">
        <f t="shared" si="10"/>
        <v>10.368348541764712</v>
      </c>
      <c r="AW19" s="216">
        <f t="shared" si="11"/>
        <v>0</v>
      </c>
      <c r="AX19" s="218">
        <f t="shared" si="12"/>
        <v>1.4831709199797398</v>
      </c>
      <c r="AY19" s="216">
        <f t="shared" si="13"/>
        <v>0.77643477842613629</v>
      </c>
      <c r="AZ19" s="217">
        <f t="shared" si="14"/>
        <v>3.5883638597441294</v>
      </c>
      <c r="BA19" s="216">
        <f t="shared" si="15"/>
        <v>0</v>
      </c>
      <c r="BB19" s="216">
        <f t="shared" si="16"/>
        <v>1.0016542390239327</v>
      </c>
      <c r="BC19" s="216">
        <f t="shared" si="17"/>
        <v>1</v>
      </c>
    </row>
    <row r="20" spans="1:55" ht="20.100000000000001" customHeight="1" x14ac:dyDescent="0.2">
      <c r="A20" s="45">
        <v>0.20833333333333301</v>
      </c>
      <c r="B20" s="451"/>
      <c r="C20" s="451"/>
      <c r="D20" s="451">
        <v>6.4</v>
      </c>
      <c r="E20" s="451">
        <v>57.6</v>
      </c>
      <c r="F20" s="41">
        <v>1985</v>
      </c>
      <c r="G20" s="37">
        <v>-5.5</v>
      </c>
      <c r="H20" s="37">
        <v>71.5</v>
      </c>
      <c r="I20" s="37">
        <v>21.5</v>
      </c>
      <c r="J20" s="41">
        <v>324</v>
      </c>
      <c r="K20" s="37">
        <v>13</v>
      </c>
      <c r="L20" s="451">
        <v>125</v>
      </c>
      <c r="M20" s="451">
        <v>218</v>
      </c>
      <c r="N20" s="451">
        <v>90</v>
      </c>
      <c r="O20" s="353">
        <v>30</v>
      </c>
      <c r="P20" s="353">
        <v>8</v>
      </c>
      <c r="Q20" s="353">
        <v>168.64</v>
      </c>
      <c r="R20" s="37"/>
      <c r="S20" s="508" t="str">
        <f t="shared" si="0"/>
        <v/>
      </c>
      <c r="T20" s="508"/>
      <c r="U20" s="508"/>
      <c r="V20" s="508"/>
      <c r="X20" s="45">
        <v>0.20833333333333301</v>
      </c>
      <c r="Y20" s="106"/>
      <c r="Z20" s="102"/>
      <c r="AA20" s="102"/>
      <c r="AB20" s="45" t="str">
        <f t="shared" si="18"/>
        <v/>
      </c>
      <c r="AC20" s="45" t="str">
        <f t="shared" si="1"/>
        <v/>
      </c>
      <c r="AD20" s="81"/>
      <c r="AE20" s="9" t="str">
        <f>IF(S20="","",IF(COUNTA(Z20:$Z$39)=1,IF(COUNTA(AD20:$AD$39)=1,""," ; "),IF(COUNTA(AD20:$AD$39)=1,IF(Z20="",""," ; ")," ; ")))</f>
        <v/>
      </c>
      <c r="AF20" s="9" t="str">
        <f t="shared" si="2"/>
        <v/>
      </c>
      <c r="AG20" s="90" t="str">
        <f t="shared" si="3"/>
        <v/>
      </c>
      <c r="AH20" s="204" t="s">
        <v>275</v>
      </c>
      <c r="AJ20" s="206">
        <f t="shared" si="19"/>
        <v>500</v>
      </c>
      <c r="AK20" s="206">
        <f t="shared" si="19"/>
        <v>100</v>
      </c>
      <c r="AL20" s="206">
        <f t="shared" si="19"/>
        <v>2</v>
      </c>
      <c r="AM20" s="213">
        <f t="shared" si="19"/>
        <v>0.875</v>
      </c>
      <c r="AN20" s="214">
        <f t="shared" si="19"/>
        <v>0.63607464142166403</v>
      </c>
      <c r="AO20" s="215">
        <f t="shared" si="4"/>
        <v>-14.7</v>
      </c>
      <c r="AP20" s="216">
        <f t="shared" si="5"/>
        <v>1</v>
      </c>
      <c r="AQ20" s="216">
        <f t="shared" si="6"/>
        <v>1</v>
      </c>
      <c r="AR20" s="215">
        <f t="shared" si="20"/>
        <v>158.47</v>
      </c>
      <c r="AS20" s="216">
        <f t="shared" si="7"/>
        <v>0.9723448696087954</v>
      </c>
      <c r="AT20" s="216">
        <f t="shared" si="8"/>
        <v>1.2538510821608391</v>
      </c>
      <c r="AU20" s="216">
        <f t="shared" si="9"/>
        <v>2.2360679774997898</v>
      </c>
      <c r="AV20" s="217">
        <f t="shared" si="10"/>
        <v>10.368348541764712</v>
      </c>
      <c r="AW20" s="216">
        <f t="shared" si="11"/>
        <v>0</v>
      </c>
      <c r="AX20" s="218">
        <f t="shared" si="12"/>
        <v>1.4831709199797398</v>
      </c>
      <c r="AY20" s="216">
        <f t="shared" si="13"/>
        <v>0.77643477842613629</v>
      </c>
      <c r="AZ20" s="217">
        <f t="shared" si="14"/>
        <v>3.5883638597441294</v>
      </c>
      <c r="BA20" s="216">
        <f t="shared" si="15"/>
        <v>0</v>
      </c>
      <c r="BB20" s="216">
        <f t="shared" si="16"/>
        <v>1.0016542390239327</v>
      </c>
      <c r="BC20" s="216">
        <f t="shared" si="17"/>
        <v>1</v>
      </c>
    </row>
    <row r="21" spans="1:55" ht="20.100000000000001" customHeight="1" x14ac:dyDescent="0.2">
      <c r="A21" s="45">
        <v>0.25</v>
      </c>
      <c r="B21" s="451"/>
      <c r="C21" s="451"/>
      <c r="D21" s="451">
        <v>6.1</v>
      </c>
      <c r="E21" s="451">
        <v>58.9</v>
      </c>
      <c r="F21" s="41">
        <v>1963</v>
      </c>
      <c r="G21" s="37">
        <v>-5.5</v>
      </c>
      <c r="H21" s="37">
        <v>71.3</v>
      </c>
      <c r="I21" s="37">
        <v>21.3</v>
      </c>
      <c r="J21" s="41">
        <v>325</v>
      </c>
      <c r="K21" s="37">
        <v>13</v>
      </c>
      <c r="L21" s="451">
        <v>126</v>
      </c>
      <c r="M21" s="451">
        <v>220</v>
      </c>
      <c r="N21" s="451">
        <v>90</v>
      </c>
      <c r="O21" s="353">
        <v>30</v>
      </c>
      <c r="P21" s="353">
        <v>11</v>
      </c>
      <c r="Q21" s="353">
        <v>197.46</v>
      </c>
      <c r="R21" s="37"/>
      <c r="S21" s="508" t="str">
        <f t="shared" si="0"/>
        <v/>
      </c>
      <c r="T21" s="508"/>
      <c r="U21" s="508"/>
      <c r="V21" s="508"/>
      <c r="X21" s="45">
        <v>0.25</v>
      </c>
      <c r="Y21" s="106"/>
      <c r="Z21" s="102"/>
      <c r="AA21" s="102"/>
      <c r="AB21" s="45" t="str">
        <f t="shared" si="18"/>
        <v/>
      </c>
      <c r="AC21" s="45" t="str">
        <f t="shared" si="1"/>
        <v/>
      </c>
      <c r="AD21" s="81"/>
      <c r="AE21" s="9" t="str">
        <f>IF(S21="","",IF(COUNTA(Z21:$Z$39)=1,IF(COUNTA(AD21:$AD$39)=1,""," ; "),IF(COUNTA(AD21:$AD$39)=1,IF(Z21="",""," ; ")," ; ")))</f>
        <v/>
      </c>
      <c r="AF21" s="9" t="str">
        <f t="shared" si="2"/>
        <v/>
      </c>
      <c r="AG21" s="90" t="str">
        <f t="shared" si="3"/>
        <v/>
      </c>
      <c r="AH21" s="204" t="s">
        <v>322</v>
      </c>
      <c r="AJ21" s="206">
        <f t="shared" si="19"/>
        <v>500</v>
      </c>
      <c r="AK21" s="206">
        <f t="shared" si="19"/>
        <v>100</v>
      </c>
      <c r="AL21" s="206">
        <f t="shared" si="19"/>
        <v>2</v>
      </c>
      <c r="AM21" s="213">
        <f t="shared" si="19"/>
        <v>0.875</v>
      </c>
      <c r="AN21" s="214">
        <f t="shared" si="19"/>
        <v>0.63607464142166403</v>
      </c>
      <c r="AO21" s="215">
        <f t="shared" si="4"/>
        <v>-14.7</v>
      </c>
      <c r="AP21" s="216">
        <f t="shared" si="5"/>
        <v>1</v>
      </c>
      <c r="AQ21" s="216">
        <f t="shared" si="6"/>
        <v>1</v>
      </c>
      <c r="AR21" s="215">
        <f t="shared" si="20"/>
        <v>158.47</v>
      </c>
      <c r="AS21" s="216">
        <f t="shared" si="7"/>
        <v>0.9723448696087954</v>
      </c>
      <c r="AT21" s="216">
        <f t="shared" si="8"/>
        <v>1.2538510821608391</v>
      </c>
      <c r="AU21" s="216">
        <f t="shared" si="9"/>
        <v>2.2360679774997898</v>
      </c>
      <c r="AV21" s="217">
        <f t="shared" si="10"/>
        <v>10.368348541764712</v>
      </c>
      <c r="AW21" s="216">
        <f t="shared" si="11"/>
        <v>0</v>
      </c>
      <c r="AX21" s="218">
        <f t="shared" si="12"/>
        <v>1.4831709199797398</v>
      </c>
      <c r="AY21" s="216">
        <f t="shared" si="13"/>
        <v>0.77643477842613629</v>
      </c>
      <c r="AZ21" s="217">
        <f t="shared" si="14"/>
        <v>3.5883638597441294</v>
      </c>
      <c r="BA21" s="216">
        <f t="shared" si="15"/>
        <v>0</v>
      </c>
      <c r="BB21" s="216">
        <f t="shared" si="16"/>
        <v>1.0016542390239327</v>
      </c>
      <c r="BC21" s="216">
        <f t="shared" si="17"/>
        <v>1</v>
      </c>
    </row>
    <row r="22" spans="1:55" ht="20.100000000000001" customHeight="1" x14ac:dyDescent="0.2">
      <c r="A22" s="45">
        <v>0.29166666666666702</v>
      </c>
      <c r="B22" s="451"/>
      <c r="C22" s="451"/>
      <c r="D22" s="451">
        <v>6.3</v>
      </c>
      <c r="E22" s="451">
        <v>58.5</v>
      </c>
      <c r="F22" s="41">
        <v>1951</v>
      </c>
      <c r="G22" s="37">
        <v>-5.5</v>
      </c>
      <c r="H22" s="37">
        <v>71.599999999999994</v>
      </c>
      <c r="I22" s="37">
        <v>21.6</v>
      </c>
      <c r="J22" s="41">
        <v>326</v>
      </c>
      <c r="K22" s="37">
        <v>13</v>
      </c>
      <c r="L22" s="451">
        <v>126</v>
      </c>
      <c r="M22" s="451">
        <v>220</v>
      </c>
      <c r="N22" s="451">
        <v>90</v>
      </c>
      <c r="O22" s="353">
        <v>50</v>
      </c>
      <c r="P22" s="353">
        <v>7</v>
      </c>
      <c r="Q22" s="353">
        <v>190.25</v>
      </c>
      <c r="R22" s="37"/>
      <c r="S22" s="508" t="str">
        <f t="shared" si="0"/>
        <v/>
      </c>
      <c r="T22" s="508"/>
      <c r="U22" s="508"/>
      <c r="V22" s="508"/>
      <c r="X22" s="45">
        <v>0.29166666666666702</v>
      </c>
      <c r="Y22" s="106"/>
      <c r="Z22" s="102"/>
      <c r="AA22" s="102"/>
      <c r="AB22" s="45" t="str">
        <f t="shared" si="18"/>
        <v/>
      </c>
      <c r="AC22" s="45" t="str">
        <f t="shared" si="1"/>
        <v/>
      </c>
      <c r="AD22" s="81"/>
      <c r="AE22" s="9" t="str">
        <f>IF(S22="","",IF(COUNTA(Z22:$Z$39)=1,IF(COUNTA(AD22:$AD$39)=1,""," ; "),IF(COUNTA(AD22:$AD$39)=1,IF(Z22="",""," ; ")," ; ")))</f>
        <v/>
      </c>
      <c r="AF22" s="9" t="str">
        <f t="shared" si="2"/>
        <v/>
      </c>
      <c r="AG22" s="90" t="str">
        <f t="shared" si="3"/>
        <v/>
      </c>
      <c r="AH22" s="204" t="s">
        <v>279</v>
      </c>
      <c r="AJ22" s="206">
        <f t="shared" si="19"/>
        <v>500</v>
      </c>
      <c r="AK22" s="206">
        <f t="shared" si="19"/>
        <v>100</v>
      </c>
      <c r="AL22" s="206">
        <f t="shared" si="19"/>
        <v>2</v>
      </c>
      <c r="AM22" s="213">
        <f t="shared" si="19"/>
        <v>0.875</v>
      </c>
      <c r="AN22" s="214">
        <f t="shared" si="19"/>
        <v>0.63607464142166403</v>
      </c>
      <c r="AO22" s="215">
        <f t="shared" si="4"/>
        <v>-14.7</v>
      </c>
      <c r="AP22" s="216">
        <f t="shared" si="5"/>
        <v>1</v>
      </c>
      <c r="AQ22" s="216">
        <f t="shared" si="6"/>
        <v>1</v>
      </c>
      <c r="AR22" s="215">
        <f t="shared" si="20"/>
        <v>158.47</v>
      </c>
      <c r="AS22" s="216">
        <f t="shared" si="7"/>
        <v>0.9723448696087954</v>
      </c>
      <c r="AT22" s="216">
        <f t="shared" si="8"/>
        <v>1.2538510821608391</v>
      </c>
      <c r="AU22" s="216">
        <f t="shared" si="9"/>
        <v>2.2360679774997898</v>
      </c>
      <c r="AV22" s="217">
        <f t="shared" si="10"/>
        <v>10.368348541764712</v>
      </c>
      <c r="AW22" s="216">
        <f t="shared" si="11"/>
        <v>0</v>
      </c>
      <c r="AX22" s="218">
        <f t="shared" si="12"/>
        <v>1.4831709199797398</v>
      </c>
      <c r="AY22" s="216">
        <f t="shared" si="13"/>
        <v>0.77643477842613629</v>
      </c>
      <c r="AZ22" s="217">
        <f t="shared" si="14"/>
        <v>3.5883638597441294</v>
      </c>
      <c r="BA22" s="216">
        <f t="shared" si="15"/>
        <v>0</v>
      </c>
      <c r="BB22" s="216">
        <f t="shared" si="16"/>
        <v>1.0016542390239327</v>
      </c>
      <c r="BC22" s="216">
        <f t="shared" si="17"/>
        <v>1</v>
      </c>
    </row>
    <row r="23" spans="1:55" ht="20.100000000000001" customHeight="1" x14ac:dyDescent="0.2">
      <c r="A23" s="45">
        <v>0.33333333333333298</v>
      </c>
      <c r="B23" s="451"/>
      <c r="C23" s="451"/>
      <c r="D23" s="451">
        <v>8.4</v>
      </c>
      <c r="E23" s="451">
        <v>57.2</v>
      </c>
      <c r="F23" s="41">
        <v>1933</v>
      </c>
      <c r="G23" s="37">
        <v>-5.5</v>
      </c>
      <c r="H23" s="37">
        <v>71.2</v>
      </c>
      <c r="I23" s="37">
        <v>21.7</v>
      </c>
      <c r="J23" s="41">
        <v>327</v>
      </c>
      <c r="K23" s="37">
        <v>13</v>
      </c>
      <c r="L23" s="451">
        <v>127</v>
      </c>
      <c r="M23" s="451">
        <v>222</v>
      </c>
      <c r="N23" s="451">
        <v>90</v>
      </c>
      <c r="O23" s="353">
        <v>50</v>
      </c>
      <c r="P23" s="353">
        <v>8</v>
      </c>
      <c r="Q23" s="353">
        <v>203.27</v>
      </c>
      <c r="R23" s="37"/>
      <c r="S23" s="508" t="str">
        <f t="shared" si="0"/>
        <v/>
      </c>
      <c r="T23" s="508"/>
      <c r="U23" s="508"/>
      <c r="V23" s="508"/>
      <c r="X23" s="45">
        <v>0.33333333333333298</v>
      </c>
      <c r="Y23" s="106"/>
      <c r="Z23" s="102"/>
      <c r="AA23" s="102"/>
      <c r="AB23" s="45" t="str">
        <f t="shared" si="18"/>
        <v/>
      </c>
      <c r="AC23" s="45" t="str">
        <f t="shared" si="1"/>
        <v/>
      </c>
      <c r="AD23" s="81"/>
      <c r="AE23" s="9" t="str">
        <f>IF(S23="","",IF(COUNTA(Z23:$Z$39)=1,IF(COUNTA(AD23:$AD$39)=1,""," ; "),IF(COUNTA(AD23:$AD$39)=1,IF(Z23="",""," ; ")," ; ")))</f>
        <v/>
      </c>
      <c r="AF23" s="9" t="str">
        <f t="shared" si="2"/>
        <v/>
      </c>
      <c r="AG23" s="90" t="str">
        <f t="shared" si="3"/>
        <v/>
      </c>
      <c r="AH23" s="204" t="s">
        <v>274</v>
      </c>
      <c r="AJ23" s="206">
        <f t="shared" si="19"/>
        <v>500</v>
      </c>
      <c r="AK23" s="206">
        <f t="shared" si="19"/>
        <v>100</v>
      </c>
      <c r="AL23" s="206">
        <f t="shared" si="19"/>
        <v>2</v>
      </c>
      <c r="AM23" s="213">
        <f t="shared" si="19"/>
        <v>0.875</v>
      </c>
      <c r="AN23" s="214">
        <f t="shared" si="19"/>
        <v>0.63607464142166403</v>
      </c>
      <c r="AO23" s="215">
        <f t="shared" si="4"/>
        <v>-14.7</v>
      </c>
      <c r="AP23" s="216">
        <f t="shared" si="5"/>
        <v>1</v>
      </c>
      <c r="AQ23" s="216">
        <f t="shared" si="6"/>
        <v>1</v>
      </c>
      <c r="AR23" s="215">
        <f t="shared" si="20"/>
        <v>158.47</v>
      </c>
      <c r="AS23" s="216">
        <f t="shared" si="7"/>
        <v>0.9723448696087954</v>
      </c>
      <c r="AT23" s="216">
        <f t="shared" si="8"/>
        <v>1.2538510821608391</v>
      </c>
      <c r="AU23" s="216">
        <f t="shared" si="9"/>
        <v>2.2360679774997898</v>
      </c>
      <c r="AV23" s="217">
        <f t="shared" si="10"/>
        <v>10.368348541764712</v>
      </c>
      <c r="AW23" s="216">
        <f t="shared" si="11"/>
        <v>0</v>
      </c>
      <c r="AX23" s="218">
        <f t="shared" si="12"/>
        <v>1.4831709199797398</v>
      </c>
      <c r="AY23" s="216">
        <f t="shared" si="13"/>
        <v>0.77643477842613629</v>
      </c>
      <c r="AZ23" s="217">
        <f t="shared" si="14"/>
        <v>3.5883638597441294</v>
      </c>
      <c r="BA23" s="216">
        <f t="shared" si="15"/>
        <v>0</v>
      </c>
      <c r="BB23" s="216">
        <f t="shared" si="16"/>
        <v>1.0016542390239327</v>
      </c>
      <c r="BC23" s="216">
        <f t="shared" si="17"/>
        <v>1</v>
      </c>
    </row>
    <row r="24" spans="1:55" ht="20.100000000000001" customHeight="1" x14ac:dyDescent="0.2">
      <c r="A24" s="45">
        <v>0.375</v>
      </c>
      <c r="B24" s="451"/>
      <c r="C24" s="451"/>
      <c r="D24" s="451">
        <v>8.1999999999999993</v>
      </c>
      <c r="E24" s="451">
        <v>56.7</v>
      </c>
      <c r="F24" s="41">
        <v>1915</v>
      </c>
      <c r="G24" s="37">
        <v>-5.5</v>
      </c>
      <c r="H24" s="37">
        <v>71.599999999999994</v>
      </c>
      <c r="I24" s="37">
        <v>21.7</v>
      </c>
      <c r="J24" s="41">
        <v>328</v>
      </c>
      <c r="K24" s="37">
        <v>13</v>
      </c>
      <c r="L24" s="451">
        <v>122</v>
      </c>
      <c r="M24" s="451">
        <v>221</v>
      </c>
      <c r="N24" s="451">
        <v>90</v>
      </c>
      <c r="O24" s="353">
        <v>50</v>
      </c>
      <c r="P24" s="353">
        <v>8</v>
      </c>
      <c r="Q24" s="353">
        <v>203.27</v>
      </c>
      <c r="R24" s="37"/>
      <c r="S24" s="508" t="str">
        <f t="shared" si="0"/>
        <v/>
      </c>
      <c r="T24" s="508"/>
      <c r="U24" s="508"/>
      <c r="V24" s="508"/>
      <c r="X24" s="45">
        <v>0.375</v>
      </c>
      <c r="Y24" s="106"/>
      <c r="Z24" s="102"/>
      <c r="AA24" s="102"/>
      <c r="AB24" s="45" t="str">
        <f t="shared" si="18"/>
        <v/>
      </c>
      <c r="AC24" s="45" t="str">
        <f t="shared" si="1"/>
        <v/>
      </c>
      <c r="AD24" s="81"/>
      <c r="AE24" s="9" t="str">
        <f>IF(S24="","",IF(COUNTA(Z24:$Z$39)=1,IF(COUNTA(AD24:$AD$39)=1,""," ; "),IF(COUNTA(AD24:$AD$39)=1,IF(Z24="",""," ; ")," ; ")))</f>
        <v/>
      </c>
      <c r="AF24" s="9" t="str">
        <f t="shared" si="2"/>
        <v/>
      </c>
      <c r="AG24" s="90" t="str">
        <f t="shared" si="3"/>
        <v/>
      </c>
      <c r="AH24" s="204" t="s">
        <v>307</v>
      </c>
      <c r="AJ24" s="206">
        <f t="shared" si="19"/>
        <v>500</v>
      </c>
      <c r="AK24" s="206">
        <f t="shared" si="19"/>
        <v>100</v>
      </c>
      <c r="AL24" s="206">
        <f t="shared" si="19"/>
        <v>2</v>
      </c>
      <c r="AM24" s="213">
        <f t="shared" si="19"/>
        <v>0.875</v>
      </c>
      <c r="AN24" s="214">
        <f t="shared" si="19"/>
        <v>0.63607464142166403</v>
      </c>
      <c r="AO24" s="215">
        <f t="shared" si="4"/>
        <v>-14.7</v>
      </c>
      <c r="AP24" s="216">
        <f t="shared" si="5"/>
        <v>1</v>
      </c>
      <c r="AQ24" s="216">
        <f t="shared" si="6"/>
        <v>1</v>
      </c>
      <c r="AR24" s="215">
        <f t="shared" si="20"/>
        <v>158.47</v>
      </c>
      <c r="AS24" s="216">
        <f t="shared" si="7"/>
        <v>0.9723448696087954</v>
      </c>
      <c r="AT24" s="216">
        <f t="shared" si="8"/>
        <v>1.2538510821608391</v>
      </c>
      <c r="AU24" s="216">
        <f t="shared" si="9"/>
        <v>2.2360679774997898</v>
      </c>
      <c r="AV24" s="217">
        <f t="shared" si="10"/>
        <v>10.368348541764712</v>
      </c>
      <c r="AW24" s="216">
        <f t="shared" si="11"/>
        <v>0</v>
      </c>
      <c r="AX24" s="218">
        <f t="shared" si="12"/>
        <v>1.4831709199797398</v>
      </c>
      <c r="AY24" s="216">
        <f t="shared" si="13"/>
        <v>0.77643477842613629</v>
      </c>
      <c r="AZ24" s="217">
        <f t="shared" si="14"/>
        <v>3.5883638597441294</v>
      </c>
      <c r="BA24" s="216">
        <f t="shared" si="15"/>
        <v>0</v>
      </c>
      <c r="BB24" s="216">
        <f t="shared" si="16"/>
        <v>1.0016542390239327</v>
      </c>
      <c r="BC24" s="216">
        <f t="shared" si="17"/>
        <v>1</v>
      </c>
    </row>
    <row r="25" spans="1:55" ht="20.100000000000001" customHeight="1" x14ac:dyDescent="0.2">
      <c r="A25" s="45">
        <v>0.41666666666666702</v>
      </c>
      <c r="B25" s="451"/>
      <c r="C25" s="451"/>
      <c r="D25" s="451">
        <v>9</v>
      </c>
      <c r="E25" s="451">
        <v>70</v>
      </c>
      <c r="F25" s="41">
        <v>1915</v>
      </c>
      <c r="G25" s="37">
        <v>-5.5</v>
      </c>
      <c r="H25" s="37">
        <v>71.400000000000006</v>
      </c>
      <c r="I25" s="37">
        <v>21.4</v>
      </c>
      <c r="J25" s="41">
        <v>329</v>
      </c>
      <c r="K25" s="37">
        <v>13</v>
      </c>
      <c r="L25" s="451">
        <v>124</v>
      </c>
      <c r="M25" s="451">
        <v>221</v>
      </c>
      <c r="N25" s="451">
        <v>90</v>
      </c>
      <c r="O25" s="353">
        <v>50</v>
      </c>
      <c r="P25" s="353">
        <v>8</v>
      </c>
      <c r="Q25" s="353">
        <v>203.27</v>
      </c>
      <c r="R25" s="37"/>
      <c r="S25" s="508" t="str">
        <f t="shared" si="0"/>
        <v/>
      </c>
      <c r="T25" s="508"/>
      <c r="U25" s="508"/>
      <c r="V25" s="508"/>
      <c r="X25" s="45">
        <v>0.41666666666666702</v>
      </c>
      <c r="Y25" s="106"/>
      <c r="Z25" s="102"/>
      <c r="AA25" s="102"/>
      <c r="AB25" s="45" t="str">
        <f t="shared" si="18"/>
        <v/>
      </c>
      <c r="AC25" s="45" t="str">
        <f t="shared" si="1"/>
        <v/>
      </c>
      <c r="AD25" s="81"/>
      <c r="AE25" s="9" t="str">
        <f>IF(S25="","",IF(COUNTA(Z25:$Z$39)=1,IF(COUNTA(AD25:$AD$39)=1,""," ; "),IF(COUNTA(AD25:$AD$39)=1,IF(Z25="",""," ; ")," ; ")))</f>
        <v/>
      </c>
      <c r="AF25" s="9" t="str">
        <f t="shared" si="2"/>
        <v/>
      </c>
      <c r="AG25" s="90" t="str">
        <f t="shared" si="3"/>
        <v/>
      </c>
      <c r="AH25" s="204" t="s">
        <v>225</v>
      </c>
      <c r="AJ25" s="206">
        <f t="shared" si="19"/>
        <v>500</v>
      </c>
      <c r="AK25" s="206">
        <f t="shared" si="19"/>
        <v>100</v>
      </c>
      <c r="AL25" s="206">
        <f t="shared" si="19"/>
        <v>2</v>
      </c>
      <c r="AM25" s="213">
        <f t="shared" si="19"/>
        <v>0.875</v>
      </c>
      <c r="AN25" s="214">
        <f t="shared" si="19"/>
        <v>0.63607464142166403</v>
      </c>
      <c r="AO25" s="215">
        <f t="shared" si="4"/>
        <v>-14.7</v>
      </c>
      <c r="AP25" s="216">
        <f t="shared" si="5"/>
        <v>1</v>
      </c>
      <c r="AQ25" s="216">
        <f t="shared" si="6"/>
        <v>1</v>
      </c>
      <c r="AR25" s="215">
        <f t="shared" si="20"/>
        <v>158.47</v>
      </c>
      <c r="AS25" s="216">
        <f t="shared" si="7"/>
        <v>0.9723448696087954</v>
      </c>
      <c r="AT25" s="216">
        <f t="shared" si="8"/>
        <v>1.2538510821608391</v>
      </c>
      <c r="AU25" s="216">
        <f t="shared" si="9"/>
        <v>2.2360679774997898</v>
      </c>
      <c r="AV25" s="217">
        <f t="shared" si="10"/>
        <v>10.368348541764712</v>
      </c>
      <c r="AW25" s="216">
        <f t="shared" si="11"/>
        <v>0</v>
      </c>
      <c r="AX25" s="218">
        <f t="shared" si="12"/>
        <v>1.4831709199797398</v>
      </c>
      <c r="AY25" s="216">
        <f t="shared" si="13"/>
        <v>0.77643477842613629</v>
      </c>
      <c r="AZ25" s="217">
        <f t="shared" si="14"/>
        <v>3.5883638597441294</v>
      </c>
      <c r="BA25" s="216">
        <f t="shared" si="15"/>
        <v>0</v>
      </c>
      <c r="BB25" s="216">
        <f t="shared" si="16"/>
        <v>1.0016542390239327</v>
      </c>
      <c r="BC25" s="216">
        <f t="shared" si="17"/>
        <v>1</v>
      </c>
    </row>
    <row r="26" spans="1:55" ht="20.100000000000001" customHeight="1" x14ac:dyDescent="0.2">
      <c r="A26" s="45">
        <v>0.45833333333333298</v>
      </c>
      <c r="B26" s="451"/>
      <c r="C26" s="451"/>
      <c r="D26" s="451">
        <v>8.1999999999999993</v>
      </c>
      <c r="E26" s="451">
        <v>59.6</v>
      </c>
      <c r="F26" s="41">
        <v>1922</v>
      </c>
      <c r="G26" s="37">
        <v>-5.5</v>
      </c>
      <c r="H26" s="37">
        <v>71.8</v>
      </c>
      <c r="I26" s="37">
        <v>21.6</v>
      </c>
      <c r="J26" s="41">
        <v>330</v>
      </c>
      <c r="K26" s="37">
        <v>13</v>
      </c>
      <c r="L26" s="451">
        <v>126</v>
      </c>
      <c r="M26" s="451">
        <v>225</v>
      </c>
      <c r="N26" s="451">
        <v>90</v>
      </c>
      <c r="O26" s="353">
        <v>50</v>
      </c>
      <c r="P26" s="353">
        <v>8</v>
      </c>
      <c r="Q26" s="353">
        <v>203.27</v>
      </c>
      <c r="R26" s="37"/>
      <c r="S26" s="508" t="str">
        <f t="shared" si="0"/>
        <v/>
      </c>
      <c r="T26" s="508"/>
      <c r="U26" s="508"/>
      <c r="V26" s="508"/>
      <c r="X26" s="45">
        <v>0.45833333333333298</v>
      </c>
      <c r="Y26" s="106"/>
      <c r="Z26" s="102"/>
      <c r="AA26" s="102"/>
      <c r="AB26" s="45" t="str">
        <f t="shared" si="18"/>
        <v/>
      </c>
      <c r="AC26" s="45" t="str">
        <f t="shared" si="1"/>
        <v/>
      </c>
      <c r="AD26" s="81"/>
      <c r="AE26" s="9" t="str">
        <f>IF(S26="","",IF(COUNTA(Z26:$Z$39)=1,IF(COUNTA(AD26:$AD$39)=1,""," ; "),IF(COUNTA(AD26:$AD$39)=1,IF(Z26="",""," ; ")," ; ")))</f>
        <v/>
      </c>
      <c r="AF26" s="9" t="str">
        <f t="shared" si="2"/>
        <v/>
      </c>
      <c r="AG26" s="90" t="str">
        <f t="shared" si="3"/>
        <v/>
      </c>
      <c r="AH26" s="204" t="s">
        <v>287</v>
      </c>
      <c r="AJ26" s="206">
        <f t="shared" si="19"/>
        <v>500</v>
      </c>
      <c r="AK26" s="206">
        <f t="shared" si="19"/>
        <v>100</v>
      </c>
      <c r="AL26" s="206">
        <f t="shared" si="19"/>
        <v>2</v>
      </c>
      <c r="AM26" s="213">
        <f t="shared" si="19"/>
        <v>0.875</v>
      </c>
      <c r="AN26" s="214">
        <f t="shared" si="19"/>
        <v>0.63607464142166403</v>
      </c>
      <c r="AO26" s="215">
        <f t="shared" si="4"/>
        <v>-14.7</v>
      </c>
      <c r="AP26" s="216">
        <f t="shared" si="5"/>
        <v>1</v>
      </c>
      <c r="AQ26" s="216">
        <f t="shared" si="6"/>
        <v>1</v>
      </c>
      <c r="AR26" s="215">
        <f t="shared" si="20"/>
        <v>158.47</v>
      </c>
      <c r="AS26" s="216">
        <f t="shared" si="7"/>
        <v>0.9723448696087954</v>
      </c>
      <c r="AT26" s="216">
        <f t="shared" si="8"/>
        <v>1.2538510821608391</v>
      </c>
      <c r="AU26" s="216">
        <f t="shared" si="9"/>
        <v>2.2360679774997898</v>
      </c>
      <c r="AV26" s="217">
        <f t="shared" si="10"/>
        <v>10.368348541764712</v>
      </c>
      <c r="AW26" s="216">
        <f t="shared" si="11"/>
        <v>0</v>
      </c>
      <c r="AX26" s="218">
        <f t="shared" si="12"/>
        <v>1.4831709199797398</v>
      </c>
      <c r="AY26" s="216">
        <f t="shared" si="13"/>
        <v>0.77643477842613629</v>
      </c>
      <c r="AZ26" s="217">
        <f t="shared" si="14"/>
        <v>3.5883638597441294</v>
      </c>
      <c r="BA26" s="216">
        <f t="shared" si="15"/>
        <v>0</v>
      </c>
      <c r="BB26" s="216">
        <f t="shared" si="16"/>
        <v>1.0016542390239327</v>
      </c>
      <c r="BC26" s="216">
        <f t="shared" si="17"/>
        <v>1</v>
      </c>
    </row>
    <row r="27" spans="1:55" ht="20.100000000000001" customHeight="1" x14ac:dyDescent="0.2">
      <c r="A27" s="45">
        <v>0.5</v>
      </c>
      <c r="B27" s="451"/>
      <c r="C27" s="451"/>
      <c r="D27" s="451">
        <v>7.4</v>
      </c>
      <c r="E27" s="451">
        <v>65.7</v>
      </c>
      <c r="F27" s="41">
        <v>1944</v>
      </c>
      <c r="G27" s="37">
        <v>-5.5</v>
      </c>
      <c r="H27" s="37">
        <v>71.3</v>
      </c>
      <c r="I27" s="37">
        <v>21.6</v>
      </c>
      <c r="J27" s="41">
        <v>331</v>
      </c>
      <c r="K27" s="37">
        <v>13</v>
      </c>
      <c r="L27" s="451">
        <v>126</v>
      </c>
      <c r="M27" s="451">
        <v>220</v>
      </c>
      <c r="N27" s="451">
        <v>90</v>
      </c>
      <c r="O27" s="353">
        <v>50</v>
      </c>
      <c r="P27" s="353">
        <v>8</v>
      </c>
      <c r="Q27" s="353">
        <v>203.27</v>
      </c>
      <c r="R27" s="37"/>
      <c r="S27" s="508" t="str">
        <f t="shared" si="0"/>
        <v/>
      </c>
      <c r="T27" s="508"/>
      <c r="U27" s="508"/>
      <c r="V27" s="508"/>
      <c r="X27" s="45">
        <v>0.5</v>
      </c>
      <c r="Y27" s="106"/>
      <c r="Z27" s="102"/>
      <c r="AA27" s="102"/>
      <c r="AB27" s="45" t="str">
        <f t="shared" si="18"/>
        <v/>
      </c>
      <c r="AC27" s="45" t="str">
        <f t="shared" si="1"/>
        <v/>
      </c>
      <c r="AD27" s="81"/>
      <c r="AE27" s="9" t="str">
        <f>IF(S27="","",IF(COUNTA(Z27:$Z$39)=1,IF(COUNTA(AD27:$AD$39)=1,""," ; "),IF(COUNTA(AD27:$AD$39)=1,IF(Z27="",""," ; ")," ; ")))</f>
        <v/>
      </c>
      <c r="AF27" s="9" t="str">
        <f t="shared" si="2"/>
        <v/>
      </c>
      <c r="AG27" s="90" t="str">
        <f t="shared" si="3"/>
        <v/>
      </c>
      <c r="AH27" s="204" t="s">
        <v>276</v>
      </c>
      <c r="AJ27" s="206">
        <f t="shared" si="19"/>
        <v>500</v>
      </c>
      <c r="AK27" s="206">
        <f t="shared" si="19"/>
        <v>100</v>
      </c>
      <c r="AL27" s="206">
        <f t="shared" si="19"/>
        <v>2</v>
      </c>
      <c r="AM27" s="213">
        <f t="shared" si="19"/>
        <v>0.875</v>
      </c>
      <c r="AN27" s="214">
        <f t="shared" si="19"/>
        <v>0.63607464142166403</v>
      </c>
      <c r="AO27" s="215">
        <f t="shared" si="4"/>
        <v>-14.7</v>
      </c>
      <c r="AP27" s="216">
        <f t="shared" si="5"/>
        <v>1</v>
      </c>
      <c r="AQ27" s="216">
        <f t="shared" si="6"/>
        <v>1</v>
      </c>
      <c r="AR27" s="215">
        <f t="shared" si="20"/>
        <v>158.47</v>
      </c>
      <c r="AS27" s="216">
        <f t="shared" si="7"/>
        <v>0.9723448696087954</v>
      </c>
      <c r="AT27" s="216">
        <f t="shared" si="8"/>
        <v>1.2538510821608391</v>
      </c>
      <c r="AU27" s="216">
        <f t="shared" si="9"/>
        <v>2.2360679774997898</v>
      </c>
      <c r="AV27" s="217">
        <f t="shared" si="10"/>
        <v>10.368348541764712</v>
      </c>
      <c r="AW27" s="216">
        <f t="shared" si="11"/>
        <v>0</v>
      </c>
      <c r="AX27" s="218">
        <f t="shared" si="12"/>
        <v>1.4831709199797398</v>
      </c>
      <c r="AY27" s="216">
        <f t="shared" si="13"/>
        <v>0.77643477842613629</v>
      </c>
      <c r="AZ27" s="217">
        <f t="shared" si="14"/>
        <v>3.5883638597441294</v>
      </c>
      <c r="BA27" s="216">
        <f t="shared" si="15"/>
        <v>0</v>
      </c>
      <c r="BB27" s="216">
        <f t="shared" si="16"/>
        <v>1.0016542390239327</v>
      </c>
      <c r="BC27" s="216">
        <f t="shared" si="17"/>
        <v>1</v>
      </c>
    </row>
    <row r="28" spans="1:55" ht="20.100000000000001" customHeight="1" x14ac:dyDescent="0.2">
      <c r="A28" s="45">
        <v>0.54166666666666696</v>
      </c>
      <c r="B28" s="451"/>
      <c r="C28" s="451"/>
      <c r="D28" s="451">
        <v>6.3</v>
      </c>
      <c r="E28" s="451">
        <v>57.4</v>
      </c>
      <c r="F28" s="41">
        <v>1930</v>
      </c>
      <c r="G28" s="37">
        <v>-5.5</v>
      </c>
      <c r="H28" s="37">
        <v>71</v>
      </c>
      <c r="I28" s="37">
        <v>21.2</v>
      </c>
      <c r="J28" s="41">
        <v>332</v>
      </c>
      <c r="K28" s="37">
        <v>13</v>
      </c>
      <c r="L28" s="451">
        <v>123</v>
      </c>
      <c r="M28" s="451">
        <v>222</v>
      </c>
      <c r="N28" s="451">
        <v>90</v>
      </c>
      <c r="O28" s="353">
        <v>50</v>
      </c>
      <c r="P28" s="353">
        <v>8</v>
      </c>
      <c r="Q28" s="353">
        <v>203.27</v>
      </c>
      <c r="R28" s="37"/>
      <c r="S28" s="508" t="str">
        <f t="shared" si="0"/>
        <v/>
      </c>
      <c r="T28" s="508"/>
      <c r="U28" s="508"/>
      <c r="V28" s="508"/>
      <c r="X28" s="45">
        <v>0.54166666666666696</v>
      </c>
      <c r="Y28" s="106"/>
      <c r="Z28" s="102"/>
      <c r="AA28" s="102"/>
      <c r="AB28" s="45" t="str">
        <f t="shared" si="18"/>
        <v/>
      </c>
      <c r="AC28" s="45" t="str">
        <f t="shared" si="1"/>
        <v/>
      </c>
      <c r="AD28" s="81"/>
      <c r="AE28" s="9" t="str">
        <f>IF(S28="","",IF(COUNTA(Z28:$Z$39)=1,IF(COUNTA(AD28:$AD$39)=1,""," ; "),IF(COUNTA(AD28:$AD$39)=1,IF(Z28="",""," ; ")," ; ")))</f>
        <v/>
      </c>
      <c r="AF28" s="9" t="str">
        <f t="shared" si="2"/>
        <v/>
      </c>
      <c r="AG28" s="90" t="str">
        <f t="shared" si="3"/>
        <v/>
      </c>
      <c r="AH28" s="204" t="s">
        <v>278</v>
      </c>
      <c r="AJ28" s="206">
        <f t="shared" si="19"/>
        <v>500</v>
      </c>
      <c r="AK28" s="206">
        <f t="shared" si="19"/>
        <v>100</v>
      </c>
      <c r="AL28" s="206">
        <f t="shared" si="19"/>
        <v>2</v>
      </c>
      <c r="AM28" s="213">
        <f t="shared" si="19"/>
        <v>0.875</v>
      </c>
      <c r="AN28" s="214">
        <f t="shared" si="19"/>
        <v>0.63607464142166403</v>
      </c>
      <c r="AO28" s="215">
        <f t="shared" si="4"/>
        <v>-14.7</v>
      </c>
      <c r="AP28" s="216">
        <f t="shared" si="5"/>
        <v>1</v>
      </c>
      <c r="AQ28" s="216">
        <f t="shared" si="6"/>
        <v>1</v>
      </c>
      <c r="AR28" s="215">
        <f t="shared" si="20"/>
        <v>158.47</v>
      </c>
      <c r="AS28" s="216">
        <f t="shared" si="7"/>
        <v>0.9723448696087954</v>
      </c>
      <c r="AT28" s="216">
        <f t="shared" si="8"/>
        <v>1.2538510821608391</v>
      </c>
      <c r="AU28" s="216">
        <f t="shared" si="9"/>
        <v>2.2360679774997898</v>
      </c>
      <c r="AV28" s="217">
        <f t="shared" si="10"/>
        <v>10.368348541764712</v>
      </c>
      <c r="AW28" s="216">
        <f t="shared" si="11"/>
        <v>0</v>
      </c>
      <c r="AX28" s="218">
        <f t="shared" si="12"/>
        <v>1.4831709199797398</v>
      </c>
      <c r="AY28" s="216">
        <f t="shared" si="13"/>
        <v>0.77643477842613629</v>
      </c>
      <c r="AZ28" s="217">
        <f t="shared" si="14"/>
        <v>3.5883638597441294</v>
      </c>
      <c r="BA28" s="216">
        <f t="shared" si="15"/>
        <v>0</v>
      </c>
      <c r="BB28" s="216">
        <f t="shared" si="16"/>
        <v>1.0016542390239327</v>
      </c>
      <c r="BC28" s="216">
        <f t="shared" si="17"/>
        <v>1</v>
      </c>
    </row>
    <row r="29" spans="1:55" ht="20.100000000000001" customHeight="1" x14ac:dyDescent="0.2">
      <c r="A29" s="45">
        <v>0.58333333333333304</v>
      </c>
      <c r="B29" s="451"/>
      <c r="C29" s="451"/>
      <c r="D29" s="451">
        <v>6.7</v>
      </c>
      <c r="E29" s="451">
        <v>52.6</v>
      </c>
      <c r="F29" s="41">
        <v>1952</v>
      </c>
      <c r="G29" s="37">
        <v>-5.5</v>
      </c>
      <c r="H29" s="37">
        <v>71.900000000000006</v>
      </c>
      <c r="I29" s="37">
        <v>21.3</v>
      </c>
      <c r="J29" s="41">
        <v>333</v>
      </c>
      <c r="K29" s="37">
        <v>13</v>
      </c>
      <c r="L29" s="451">
        <v>121</v>
      </c>
      <c r="M29" s="451">
        <v>222</v>
      </c>
      <c r="N29" s="451">
        <v>90</v>
      </c>
      <c r="O29" s="353">
        <v>30</v>
      </c>
      <c r="P29" s="353">
        <v>8</v>
      </c>
      <c r="Q29" s="353">
        <v>168.64</v>
      </c>
      <c r="R29" s="37"/>
      <c r="S29" s="508" t="str">
        <f t="shared" si="0"/>
        <v/>
      </c>
      <c r="T29" s="508"/>
      <c r="U29" s="508"/>
      <c r="V29" s="508"/>
      <c r="X29" s="45">
        <v>0.58333333333333304</v>
      </c>
      <c r="Y29" s="106"/>
      <c r="Z29" s="102"/>
      <c r="AA29" s="102"/>
      <c r="AB29" s="45" t="str">
        <f t="shared" si="18"/>
        <v/>
      </c>
      <c r="AC29" s="45" t="str">
        <f t="shared" si="1"/>
        <v/>
      </c>
      <c r="AD29" s="81"/>
      <c r="AE29" s="9" t="str">
        <f>IF(S29="","",IF(COUNTA(Z29:$Z$39)=1,IF(COUNTA(AD29:$AD$39)=1,""," ; "),IF(COUNTA(AD29:$AD$39)=1,IF(Z29="",""," ; ")," ; ")))</f>
        <v/>
      </c>
      <c r="AF29" s="9" t="str">
        <f t="shared" si="2"/>
        <v/>
      </c>
      <c r="AG29" s="90" t="str">
        <f t="shared" si="3"/>
        <v/>
      </c>
      <c r="AH29" s="204" t="s">
        <v>224</v>
      </c>
      <c r="AJ29" s="206">
        <f t="shared" si="19"/>
        <v>500</v>
      </c>
      <c r="AK29" s="206">
        <f t="shared" si="19"/>
        <v>100</v>
      </c>
      <c r="AL29" s="206">
        <f t="shared" si="19"/>
        <v>2</v>
      </c>
      <c r="AM29" s="213">
        <f t="shared" si="19"/>
        <v>0.875</v>
      </c>
      <c r="AN29" s="214">
        <f t="shared" si="19"/>
        <v>0.63607464142166403</v>
      </c>
      <c r="AO29" s="215">
        <f t="shared" si="4"/>
        <v>-14.7</v>
      </c>
      <c r="AP29" s="216">
        <f t="shared" si="5"/>
        <v>1</v>
      </c>
      <c r="AQ29" s="216">
        <f t="shared" si="6"/>
        <v>1</v>
      </c>
      <c r="AR29" s="215">
        <f t="shared" si="20"/>
        <v>158.47</v>
      </c>
      <c r="AS29" s="216">
        <f t="shared" si="7"/>
        <v>0.9723448696087954</v>
      </c>
      <c r="AT29" s="216">
        <f t="shared" si="8"/>
        <v>1.2538510821608391</v>
      </c>
      <c r="AU29" s="216">
        <f t="shared" si="9"/>
        <v>2.2360679774997898</v>
      </c>
      <c r="AV29" s="217">
        <f t="shared" si="10"/>
        <v>10.368348541764712</v>
      </c>
      <c r="AW29" s="216">
        <f t="shared" si="11"/>
        <v>0</v>
      </c>
      <c r="AX29" s="218">
        <f t="shared" si="12"/>
        <v>1.4831709199797398</v>
      </c>
      <c r="AY29" s="216">
        <f t="shared" si="13"/>
        <v>0.77643477842613629</v>
      </c>
      <c r="AZ29" s="217">
        <f t="shared" si="14"/>
        <v>3.5883638597441294</v>
      </c>
      <c r="BA29" s="216">
        <f t="shared" si="15"/>
        <v>0</v>
      </c>
      <c r="BB29" s="216">
        <f t="shared" si="16"/>
        <v>1.0016542390239327</v>
      </c>
      <c r="BC29" s="216">
        <f t="shared" si="17"/>
        <v>1</v>
      </c>
    </row>
    <row r="30" spans="1:55" ht="20.100000000000001" customHeight="1" x14ac:dyDescent="0.2">
      <c r="A30" s="45">
        <v>0.625</v>
      </c>
      <c r="B30" s="451"/>
      <c r="C30" s="451"/>
      <c r="D30" s="451">
        <v>6.6</v>
      </c>
      <c r="E30" s="451">
        <v>57.4</v>
      </c>
      <c r="F30" s="41">
        <v>1946</v>
      </c>
      <c r="G30" s="37">
        <v>-5.5</v>
      </c>
      <c r="H30" s="37">
        <v>71.8</v>
      </c>
      <c r="I30" s="37">
        <v>21.6</v>
      </c>
      <c r="J30" s="41">
        <v>334</v>
      </c>
      <c r="K30" s="37">
        <v>13</v>
      </c>
      <c r="L30" s="451">
        <v>121</v>
      </c>
      <c r="M30" s="451">
        <v>223</v>
      </c>
      <c r="N30" s="451">
        <v>90</v>
      </c>
      <c r="O30" s="353">
        <v>30</v>
      </c>
      <c r="P30" s="353">
        <v>10</v>
      </c>
      <c r="Q30" s="353">
        <v>188.35</v>
      </c>
      <c r="R30" s="37"/>
      <c r="S30" s="508" t="str">
        <f t="shared" si="0"/>
        <v/>
      </c>
      <c r="T30" s="508"/>
      <c r="U30" s="508"/>
      <c r="V30" s="508"/>
      <c r="X30" s="45">
        <v>0.625</v>
      </c>
      <c r="Y30" s="106"/>
      <c r="Z30" s="102"/>
      <c r="AA30" s="102"/>
      <c r="AB30" s="45" t="str">
        <f t="shared" si="18"/>
        <v/>
      </c>
      <c r="AC30" s="45" t="str">
        <f t="shared" si="1"/>
        <v/>
      </c>
      <c r="AD30" s="81"/>
      <c r="AE30" s="9" t="str">
        <f>IF(S30="","",IF(COUNTA(Z30:$Z$39)=1,IF(COUNTA(AD30:$AD$39)=1,""," ; "),IF(COUNTA(AD30:$AD$39)=1,IF(Z30="",""," ; ")," ; ")))</f>
        <v/>
      </c>
      <c r="AF30" s="9" t="str">
        <f t="shared" si="2"/>
        <v/>
      </c>
      <c r="AG30" s="90" t="str">
        <f t="shared" si="3"/>
        <v/>
      </c>
      <c r="AH30" s="204" t="s">
        <v>260</v>
      </c>
      <c r="AJ30" s="206">
        <f t="shared" si="19"/>
        <v>500</v>
      </c>
      <c r="AK30" s="206">
        <f t="shared" si="19"/>
        <v>100</v>
      </c>
      <c r="AL30" s="206">
        <f t="shared" si="19"/>
        <v>2</v>
      </c>
      <c r="AM30" s="213">
        <f t="shared" si="19"/>
        <v>0.875</v>
      </c>
      <c r="AN30" s="214">
        <f t="shared" si="19"/>
        <v>0.63607464142166403</v>
      </c>
      <c r="AO30" s="215">
        <f t="shared" si="4"/>
        <v>-14.7</v>
      </c>
      <c r="AP30" s="216">
        <f t="shared" si="5"/>
        <v>1</v>
      </c>
      <c r="AQ30" s="216">
        <f t="shared" si="6"/>
        <v>1</v>
      </c>
      <c r="AR30" s="215">
        <f t="shared" si="20"/>
        <v>158.47</v>
      </c>
      <c r="AS30" s="216">
        <f t="shared" si="7"/>
        <v>0.9723448696087954</v>
      </c>
      <c r="AT30" s="216">
        <f t="shared" si="8"/>
        <v>1.2538510821608391</v>
      </c>
      <c r="AU30" s="216">
        <f t="shared" si="9"/>
        <v>2.2360679774997898</v>
      </c>
      <c r="AV30" s="217">
        <f t="shared" si="10"/>
        <v>10.368348541764712</v>
      </c>
      <c r="AW30" s="216">
        <f t="shared" si="11"/>
        <v>0</v>
      </c>
      <c r="AX30" s="218">
        <f t="shared" si="12"/>
        <v>1.4831709199797398</v>
      </c>
      <c r="AY30" s="216">
        <f t="shared" si="13"/>
        <v>0.77643477842613629</v>
      </c>
      <c r="AZ30" s="217">
        <f t="shared" si="14"/>
        <v>3.5883638597441294</v>
      </c>
      <c r="BA30" s="216">
        <f t="shared" si="15"/>
        <v>0</v>
      </c>
      <c r="BB30" s="216">
        <f t="shared" si="16"/>
        <v>1.0016542390239327</v>
      </c>
      <c r="BC30" s="216">
        <f t="shared" si="17"/>
        <v>1</v>
      </c>
    </row>
    <row r="31" spans="1:55" ht="20.100000000000001" customHeight="1" x14ac:dyDescent="0.2">
      <c r="A31" s="45">
        <v>0.66666666666666696</v>
      </c>
      <c r="B31" s="451"/>
      <c r="C31" s="451"/>
      <c r="D31" s="451">
        <v>7.7</v>
      </c>
      <c r="E31" s="451">
        <v>58.3</v>
      </c>
      <c r="F31" s="41">
        <v>1952</v>
      </c>
      <c r="G31" s="37">
        <v>-5.5</v>
      </c>
      <c r="H31" s="37">
        <v>71.5</v>
      </c>
      <c r="I31" s="37">
        <v>21.4</v>
      </c>
      <c r="J31" s="41">
        <v>335</v>
      </c>
      <c r="K31" s="37">
        <v>13</v>
      </c>
      <c r="L31" s="451">
        <v>127</v>
      </c>
      <c r="M31" s="451">
        <v>225</v>
      </c>
      <c r="N31" s="451">
        <v>90</v>
      </c>
      <c r="O31" s="353">
        <v>30</v>
      </c>
      <c r="P31" s="353">
        <v>18</v>
      </c>
      <c r="Q31" s="353">
        <v>252.03</v>
      </c>
      <c r="R31" s="37"/>
      <c r="S31" s="508" t="str">
        <f t="shared" si="0"/>
        <v/>
      </c>
      <c r="T31" s="508"/>
      <c r="U31" s="508"/>
      <c r="V31" s="508"/>
      <c r="X31" s="45">
        <v>0.66666666666666696</v>
      </c>
      <c r="Y31" s="106"/>
      <c r="Z31" s="102"/>
      <c r="AA31" s="102"/>
      <c r="AB31" s="45" t="str">
        <f t="shared" si="18"/>
        <v/>
      </c>
      <c r="AC31" s="45" t="str">
        <f t="shared" si="1"/>
        <v/>
      </c>
      <c r="AD31" s="81"/>
      <c r="AE31" s="9" t="str">
        <f>IF(S31="","",IF(COUNTA(Z31:$Z$39)=1,IF(COUNTA(AD31:$AD$39)=1,""," ; "),IF(COUNTA(AD31:$AD$39)=1,IF(Z31="",""," ; ")," ; ")))</f>
        <v/>
      </c>
      <c r="AF31" s="9" t="str">
        <f t="shared" si="2"/>
        <v/>
      </c>
      <c r="AG31" s="90" t="str">
        <f t="shared" si="3"/>
        <v/>
      </c>
      <c r="AH31" s="204" t="s">
        <v>226</v>
      </c>
      <c r="AJ31" s="206">
        <f t="shared" si="19"/>
        <v>500</v>
      </c>
      <c r="AK31" s="206">
        <f t="shared" si="19"/>
        <v>100</v>
      </c>
      <c r="AL31" s="206">
        <f t="shared" si="19"/>
        <v>2</v>
      </c>
      <c r="AM31" s="213">
        <f t="shared" si="19"/>
        <v>0.875</v>
      </c>
      <c r="AN31" s="214">
        <f t="shared" si="19"/>
        <v>0.63607464142166403</v>
      </c>
      <c r="AO31" s="215">
        <f t="shared" si="4"/>
        <v>-14.7</v>
      </c>
      <c r="AP31" s="216">
        <f t="shared" si="5"/>
        <v>1</v>
      </c>
      <c r="AQ31" s="216">
        <f t="shared" si="6"/>
        <v>1</v>
      </c>
      <c r="AR31" s="215">
        <f t="shared" si="20"/>
        <v>158.47</v>
      </c>
      <c r="AS31" s="216">
        <f t="shared" si="7"/>
        <v>0.9723448696087954</v>
      </c>
      <c r="AT31" s="216">
        <f t="shared" si="8"/>
        <v>1.2538510821608391</v>
      </c>
      <c r="AU31" s="216">
        <f t="shared" si="9"/>
        <v>2.2360679774997898</v>
      </c>
      <c r="AV31" s="217">
        <f t="shared" si="10"/>
        <v>10.368348541764712</v>
      </c>
      <c r="AW31" s="216">
        <f t="shared" si="11"/>
        <v>0</v>
      </c>
      <c r="AX31" s="218">
        <f t="shared" si="12"/>
        <v>1.4831709199797398</v>
      </c>
      <c r="AY31" s="216">
        <f t="shared" si="13"/>
        <v>0.77643477842613629</v>
      </c>
      <c r="AZ31" s="217">
        <f t="shared" si="14"/>
        <v>3.5883638597441294</v>
      </c>
      <c r="BA31" s="216">
        <f t="shared" si="15"/>
        <v>0</v>
      </c>
      <c r="BB31" s="216">
        <f t="shared" si="16"/>
        <v>1.0016542390239327</v>
      </c>
      <c r="BC31" s="216">
        <f t="shared" si="17"/>
        <v>1</v>
      </c>
    </row>
    <row r="32" spans="1:55" ht="20.100000000000001" customHeight="1" x14ac:dyDescent="0.2">
      <c r="A32" s="45">
        <v>0.70833333333333304</v>
      </c>
      <c r="B32" s="451"/>
      <c r="C32" s="451"/>
      <c r="D32" s="451">
        <v>7</v>
      </c>
      <c r="E32" s="451">
        <v>56.7</v>
      </c>
      <c r="F32" s="41">
        <v>1944</v>
      </c>
      <c r="G32" s="37">
        <v>-5.5</v>
      </c>
      <c r="H32" s="37">
        <v>71.8</v>
      </c>
      <c r="I32" s="37">
        <v>20.3</v>
      </c>
      <c r="J32" s="41">
        <v>336</v>
      </c>
      <c r="K32" s="37">
        <v>13</v>
      </c>
      <c r="L32" s="451">
        <v>127</v>
      </c>
      <c r="M32" s="451">
        <v>220</v>
      </c>
      <c r="N32" s="451">
        <v>90</v>
      </c>
      <c r="O32" s="353">
        <v>30</v>
      </c>
      <c r="P32" s="353">
        <v>18</v>
      </c>
      <c r="Q32" s="353">
        <v>252.03</v>
      </c>
      <c r="R32" s="37"/>
      <c r="S32" s="508" t="str">
        <f t="shared" si="0"/>
        <v/>
      </c>
      <c r="T32" s="508"/>
      <c r="U32" s="508"/>
      <c r="V32" s="508"/>
      <c r="X32" s="45">
        <v>0.70833333333333304</v>
      </c>
      <c r="Y32" s="106"/>
      <c r="Z32" s="102"/>
      <c r="AA32" s="102"/>
      <c r="AB32" s="45" t="str">
        <f t="shared" si="18"/>
        <v/>
      </c>
      <c r="AC32" s="45" t="str">
        <f t="shared" si="1"/>
        <v/>
      </c>
      <c r="AD32" s="81"/>
      <c r="AE32" s="9" t="str">
        <f>IF(S32="","",IF(COUNTA(Z32:$Z$39)=1,IF(COUNTA(AD32:$AD$39)=1,""," ; "),IF(COUNTA(AD32:$AD$39)=1,IF(Z32="",""," ; ")," ; ")))</f>
        <v/>
      </c>
      <c r="AF32" s="9" t="str">
        <f t="shared" si="2"/>
        <v/>
      </c>
      <c r="AG32" s="90" t="str">
        <f t="shared" si="3"/>
        <v/>
      </c>
      <c r="AH32" s="204" t="s">
        <v>313</v>
      </c>
      <c r="AJ32" s="206">
        <f t="shared" si="19"/>
        <v>500</v>
      </c>
      <c r="AK32" s="206">
        <f t="shared" si="19"/>
        <v>100</v>
      </c>
      <c r="AL32" s="206">
        <f t="shared" si="19"/>
        <v>2</v>
      </c>
      <c r="AM32" s="213">
        <f t="shared" si="19"/>
        <v>0.875</v>
      </c>
      <c r="AN32" s="214">
        <f t="shared" si="19"/>
        <v>0.63607464142166403</v>
      </c>
      <c r="AO32" s="215">
        <f t="shared" si="4"/>
        <v>-14.7</v>
      </c>
      <c r="AP32" s="216">
        <f t="shared" si="5"/>
        <v>1</v>
      </c>
      <c r="AQ32" s="216">
        <f t="shared" si="6"/>
        <v>1</v>
      </c>
      <c r="AR32" s="215">
        <f t="shared" si="20"/>
        <v>158.47</v>
      </c>
      <c r="AS32" s="216">
        <f t="shared" si="7"/>
        <v>0.9723448696087954</v>
      </c>
      <c r="AT32" s="216">
        <f t="shared" si="8"/>
        <v>1.2538510821608391</v>
      </c>
      <c r="AU32" s="216">
        <f t="shared" si="9"/>
        <v>2.2360679774997898</v>
      </c>
      <c r="AV32" s="217">
        <f t="shared" si="10"/>
        <v>10.368348541764712</v>
      </c>
      <c r="AW32" s="216">
        <f t="shared" si="11"/>
        <v>0</v>
      </c>
      <c r="AX32" s="218">
        <f t="shared" si="12"/>
        <v>1.4831709199797398</v>
      </c>
      <c r="AY32" s="216">
        <f t="shared" si="13"/>
        <v>0.77643477842613629</v>
      </c>
      <c r="AZ32" s="217">
        <f t="shared" si="14"/>
        <v>3.5883638597441294</v>
      </c>
      <c r="BA32" s="216">
        <f t="shared" si="15"/>
        <v>0</v>
      </c>
      <c r="BB32" s="216">
        <f t="shared" si="16"/>
        <v>1.0016542390239327</v>
      </c>
      <c r="BC32" s="216">
        <f t="shared" si="17"/>
        <v>1</v>
      </c>
    </row>
    <row r="33" spans="1:55" ht="20.100000000000001" customHeight="1" x14ac:dyDescent="0.2">
      <c r="A33" s="45">
        <v>0.75</v>
      </c>
      <c r="B33" s="451"/>
      <c r="C33" s="451"/>
      <c r="D33" s="451">
        <v>5.9</v>
      </c>
      <c r="E33" s="451">
        <v>53.8</v>
      </c>
      <c r="F33" s="41">
        <v>1909</v>
      </c>
      <c r="G33" s="37">
        <v>-5.5</v>
      </c>
      <c r="H33" s="37">
        <v>71.400000000000006</v>
      </c>
      <c r="I33" s="37">
        <v>21.8</v>
      </c>
      <c r="J33" s="41">
        <v>337</v>
      </c>
      <c r="K33" s="37">
        <v>13</v>
      </c>
      <c r="L33" s="451">
        <v>125</v>
      </c>
      <c r="M33" s="451">
        <v>220</v>
      </c>
      <c r="N33" s="451">
        <v>90</v>
      </c>
      <c r="O33" s="353">
        <v>30</v>
      </c>
      <c r="P33" s="353">
        <v>18</v>
      </c>
      <c r="Q33" s="353">
        <v>252.03</v>
      </c>
      <c r="R33" s="37"/>
      <c r="S33" s="508" t="str">
        <f>IF(Z33="",IF(AD33="","",AD33),CONCATENATE(TEXT(Z33,"[hh]:mm"),IF(AA33="",""," - "&amp;TEXT(AA33,"[hh]:mm")),IF(Y33="",""," "&amp;Y33&amp;"/")," "&amp;AD33))</f>
        <v/>
      </c>
      <c r="T33" s="508"/>
      <c r="U33" s="508"/>
      <c r="V33" s="508"/>
      <c r="X33" s="45">
        <v>0.75</v>
      </c>
      <c r="Y33" s="106"/>
      <c r="Z33" s="102"/>
      <c r="AA33" s="102"/>
      <c r="AB33" s="45" t="str">
        <f t="shared" si="18"/>
        <v/>
      </c>
      <c r="AC33" s="45" t="str">
        <f t="shared" si="1"/>
        <v/>
      </c>
      <c r="AD33" s="81"/>
      <c r="AE33" s="9" t="str">
        <f>IF(S33="","",IF(COUNTA(Z33:$Z$39)=1,IF(COUNTA(AD33:$AD$39)=1,""," ; "),IF(COUNTA(AD33:$AD$39)=1,IF(Z33="",""," ; ")," ; ")))</f>
        <v/>
      </c>
      <c r="AF33" s="9" t="str">
        <f t="shared" si="2"/>
        <v/>
      </c>
      <c r="AG33" s="90" t="str">
        <f t="shared" si="3"/>
        <v/>
      </c>
      <c r="AH33" s="204" t="s">
        <v>308</v>
      </c>
      <c r="AJ33" s="206">
        <f t="shared" ref="AJ33:AN39" si="21">AJ32</f>
        <v>500</v>
      </c>
      <c r="AK33" s="206">
        <f t="shared" si="21"/>
        <v>100</v>
      </c>
      <c r="AL33" s="206">
        <f t="shared" si="21"/>
        <v>2</v>
      </c>
      <c r="AM33" s="213">
        <f t="shared" si="21"/>
        <v>0.875</v>
      </c>
      <c r="AN33" s="214">
        <f t="shared" si="21"/>
        <v>0.63607464142166403</v>
      </c>
      <c r="AO33" s="215">
        <f t="shared" si="4"/>
        <v>-14.7</v>
      </c>
      <c r="AP33" s="216">
        <f t="shared" si="5"/>
        <v>1</v>
      </c>
      <c r="AQ33" s="216">
        <f t="shared" si="6"/>
        <v>1</v>
      </c>
      <c r="AR33" s="215">
        <f t="shared" si="20"/>
        <v>158.47</v>
      </c>
      <c r="AS33" s="216">
        <f t="shared" si="7"/>
        <v>0.9723448696087954</v>
      </c>
      <c r="AT33" s="216">
        <f t="shared" si="8"/>
        <v>1.2538510821608391</v>
      </c>
      <c r="AU33" s="216">
        <f t="shared" si="9"/>
        <v>2.2360679774997898</v>
      </c>
      <c r="AV33" s="217">
        <f t="shared" si="10"/>
        <v>10.368348541764712</v>
      </c>
      <c r="AW33" s="216">
        <f t="shared" si="11"/>
        <v>0</v>
      </c>
      <c r="AX33" s="218">
        <f t="shared" si="12"/>
        <v>1.4831709199797398</v>
      </c>
      <c r="AY33" s="216">
        <f t="shared" si="13"/>
        <v>0.77643477842613629</v>
      </c>
      <c r="AZ33" s="217">
        <f t="shared" si="14"/>
        <v>3.5883638597441294</v>
      </c>
      <c r="BA33" s="216">
        <f t="shared" si="15"/>
        <v>0</v>
      </c>
      <c r="BB33" s="216">
        <f t="shared" si="16"/>
        <v>1.0016542390239327</v>
      </c>
      <c r="BC33" s="216">
        <f t="shared" si="17"/>
        <v>1</v>
      </c>
    </row>
    <row r="34" spans="1:55" ht="20.100000000000001" customHeight="1" x14ac:dyDescent="0.2">
      <c r="A34" s="45">
        <v>0.79166666666666696</v>
      </c>
      <c r="B34" s="451"/>
      <c r="C34" s="451"/>
      <c r="D34" s="451">
        <v>5.6</v>
      </c>
      <c r="E34" s="451">
        <v>54.3</v>
      </c>
      <c r="F34" s="41">
        <v>1915</v>
      </c>
      <c r="G34" s="37">
        <v>-5.5</v>
      </c>
      <c r="H34" s="37">
        <v>71.2</v>
      </c>
      <c r="I34" s="37">
        <v>21.5</v>
      </c>
      <c r="J34" s="41">
        <v>338</v>
      </c>
      <c r="K34" s="37">
        <v>13</v>
      </c>
      <c r="L34" s="451">
        <v>126</v>
      </c>
      <c r="M34" s="451">
        <v>221</v>
      </c>
      <c r="N34" s="451">
        <v>90</v>
      </c>
      <c r="O34" s="353">
        <v>30</v>
      </c>
      <c r="P34" s="353">
        <v>18</v>
      </c>
      <c r="Q34" s="353">
        <v>252.03</v>
      </c>
      <c r="R34" s="37"/>
      <c r="S34" s="508" t="str">
        <f t="shared" ref="S34:S39" si="22">IF(Z34="",IF(AD34="","",AD34),CONCATENATE(TEXT(Z34,"[hh]:mm"),IF(AA34="",""," - "&amp;TEXT(AA34,"[hh]:mm")),IF(Y34="",""," "&amp;Y34&amp;"/")," "&amp;AD34))</f>
        <v/>
      </c>
      <c r="T34" s="508"/>
      <c r="U34" s="508"/>
      <c r="V34" s="508"/>
      <c r="X34" s="45">
        <v>0.79166666666666696</v>
      </c>
      <c r="Y34" s="106"/>
      <c r="Z34" s="102"/>
      <c r="AA34" s="102"/>
      <c r="AB34" s="45" t="str">
        <f t="shared" si="18"/>
        <v/>
      </c>
      <c r="AC34" s="45" t="str">
        <f t="shared" si="1"/>
        <v/>
      </c>
      <c r="AD34" s="81"/>
      <c r="AE34" s="9" t="str">
        <f>IF(S34="","",IF(COUNTA(Z34:$Z$39)=1,IF(COUNTA(AD34:$AD$39)=1,""," ; "),IF(COUNTA(AD34:$AD$39)=1,IF(Z34="",""," ; ")," ; ")))</f>
        <v/>
      </c>
      <c r="AF34" s="9" t="str">
        <f t="shared" si="2"/>
        <v/>
      </c>
      <c r="AG34" s="90" t="str">
        <f t="shared" si="3"/>
        <v/>
      </c>
      <c r="AH34" s="204" t="s">
        <v>314</v>
      </c>
      <c r="AJ34" s="206">
        <f t="shared" si="21"/>
        <v>500</v>
      </c>
      <c r="AK34" s="206">
        <f t="shared" si="21"/>
        <v>100</v>
      </c>
      <c r="AL34" s="206">
        <f t="shared" si="21"/>
        <v>2</v>
      </c>
      <c r="AM34" s="213">
        <f t="shared" si="21"/>
        <v>0.875</v>
      </c>
      <c r="AN34" s="214">
        <f t="shared" si="21"/>
        <v>0.63607464142166403</v>
      </c>
      <c r="AO34" s="215">
        <f t="shared" si="4"/>
        <v>-14.7</v>
      </c>
      <c r="AP34" s="216">
        <f t="shared" si="5"/>
        <v>1</v>
      </c>
      <c r="AQ34" s="216">
        <f t="shared" si="6"/>
        <v>1</v>
      </c>
      <c r="AR34" s="215">
        <f t="shared" si="20"/>
        <v>158.47</v>
      </c>
      <c r="AS34" s="216">
        <f t="shared" si="7"/>
        <v>0.9723448696087954</v>
      </c>
      <c r="AT34" s="216">
        <f t="shared" si="8"/>
        <v>1.2538510821608391</v>
      </c>
      <c r="AU34" s="216">
        <f t="shared" si="9"/>
        <v>2.2360679774997898</v>
      </c>
      <c r="AV34" s="217">
        <f t="shared" si="10"/>
        <v>10.368348541764712</v>
      </c>
      <c r="AW34" s="216">
        <f t="shared" si="11"/>
        <v>0</v>
      </c>
      <c r="AX34" s="218">
        <f t="shared" si="12"/>
        <v>1.4831709199797398</v>
      </c>
      <c r="AY34" s="216">
        <f t="shared" si="13"/>
        <v>0.77643477842613629</v>
      </c>
      <c r="AZ34" s="217">
        <f t="shared" si="14"/>
        <v>3.5883638597441294</v>
      </c>
      <c r="BA34" s="216">
        <f t="shared" si="15"/>
        <v>0</v>
      </c>
      <c r="BB34" s="216">
        <f t="shared" si="16"/>
        <v>1.0016542390239327</v>
      </c>
      <c r="BC34" s="216">
        <f t="shared" si="17"/>
        <v>1</v>
      </c>
    </row>
    <row r="35" spans="1:55" ht="20.100000000000001" customHeight="1" x14ac:dyDescent="0.2">
      <c r="A35" s="45">
        <v>0.83333333333333304</v>
      </c>
      <c r="B35" s="451"/>
      <c r="C35" s="451"/>
      <c r="D35" s="451">
        <v>6.9</v>
      </c>
      <c r="E35" s="451">
        <v>56.3</v>
      </c>
      <c r="F35" s="41">
        <v>1955</v>
      </c>
      <c r="G35" s="37">
        <v>-5.5</v>
      </c>
      <c r="H35" s="37">
        <v>71.599999999999994</v>
      </c>
      <c r="I35" s="37">
        <v>21.3</v>
      </c>
      <c r="J35" s="41">
        <v>339</v>
      </c>
      <c r="K35" s="37">
        <v>13</v>
      </c>
      <c r="L35" s="451">
        <v>124</v>
      </c>
      <c r="M35" s="451">
        <v>222</v>
      </c>
      <c r="N35" s="451">
        <v>90</v>
      </c>
      <c r="O35" s="353">
        <v>40</v>
      </c>
      <c r="P35" s="353">
        <v>12</v>
      </c>
      <c r="Q35" s="353">
        <v>228.29</v>
      </c>
      <c r="R35" s="37"/>
      <c r="S35" s="508" t="str">
        <f t="shared" si="22"/>
        <v/>
      </c>
      <c r="T35" s="508"/>
      <c r="U35" s="508"/>
      <c r="V35" s="508"/>
      <c r="X35" s="45">
        <v>0.83333333333333304</v>
      </c>
      <c r="Y35" s="106"/>
      <c r="Z35" s="102"/>
      <c r="AA35" s="102"/>
      <c r="AB35" s="45" t="str">
        <f t="shared" si="18"/>
        <v/>
      </c>
      <c r="AC35" s="45" t="str">
        <f t="shared" si="1"/>
        <v/>
      </c>
      <c r="AD35" s="81"/>
      <c r="AE35" s="9" t="str">
        <f>IF(S35="","",IF(COUNTA(Z35:$Z$39)=1,IF(COUNTA(AD35:$AD$39)=1,""," ; "),IF(COUNTA(AD35:$AD$39)=1,IF(Z35="",""," ; ")," ; ")))</f>
        <v/>
      </c>
      <c r="AF35" s="9" t="str">
        <f t="shared" si="2"/>
        <v/>
      </c>
      <c r="AG35" s="90" t="str">
        <f t="shared" si="3"/>
        <v/>
      </c>
      <c r="AH35" s="204" t="s">
        <v>227</v>
      </c>
      <c r="AJ35" s="206">
        <f t="shared" si="21"/>
        <v>500</v>
      </c>
      <c r="AK35" s="206">
        <f t="shared" si="21"/>
        <v>100</v>
      </c>
      <c r="AL35" s="206">
        <f t="shared" si="21"/>
        <v>2</v>
      </c>
      <c r="AM35" s="213">
        <f t="shared" si="21"/>
        <v>0.875</v>
      </c>
      <c r="AN35" s="214">
        <f t="shared" si="21"/>
        <v>0.63607464142166403</v>
      </c>
      <c r="AO35" s="215">
        <f t="shared" si="4"/>
        <v>-14.7</v>
      </c>
      <c r="AP35" s="216">
        <f t="shared" si="5"/>
        <v>1</v>
      </c>
      <c r="AQ35" s="216">
        <f t="shared" si="6"/>
        <v>1</v>
      </c>
      <c r="AR35" s="215">
        <f t="shared" si="20"/>
        <v>158.47</v>
      </c>
      <c r="AS35" s="216">
        <f t="shared" si="7"/>
        <v>0.9723448696087954</v>
      </c>
      <c r="AT35" s="216">
        <f t="shared" si="8"/>
        <v>1.2538510821608391</v>
      </c>
      <c r="AU35" s="216">
        <f t="shared" si="9"/>
        <v>2.2360679774997898</v>
      </c>
      <c r="AV35" s="217">
        <f t="shared" si="10"/>
        <v>10.368348541764712</v>
      </c>
      <c r="AW35" s="216">
        <f t="shared" si="11"/>
        <v>0</v>
      </c>
      <c r="AX35" s="218">
        <f t="shared" si="12"/>
        <v>1.4831709199797398</v>
      </c>
      <c r="AY35" s="216">
        <f t="shared" si="13"/>
        <v>0.77643477842613629</v>
      </c>
      <c r="AZ35" s="217">
        <f t="shared" si="14"/>
        <v>3.5883638597441294</v>
      </c>
      <c r="BA35" s="216">
        <f t="shared" si="15"/>
        <v>0</v>
      </c>
      <c r="BB35" s="216">
        <f t="shared" si="16"/>
        <v>1.0016542390239327</v>
      </c>
      <c r="BC35" s="216">
        <f t="shared" si="17"/>
        <v>1</v>
      </c>
    </row>
    <row r="36" spans="1:55" ht="20.100000000000001" customHeight="1" x14ac:dyDescent="0.2">
      <c r="A36" s="45">
        <v>0.875</v>
      </c>
      <c r="B36" s="451"/>
      <c r="C36" s="451"/>
      <c r="D36" s="451">
        <v>6.8</v>
      </c>
      <c r="E36" s="451">
        <v>56.6</v>
      </c>
      <c r="F36" s="41">
        <v>1943</v>
      </c>
      <c r="G36" s="37">
        <v>-5.5</v>
      </c>
      <c r="H36" s="37">
        <v>71.3</v>
      </c>
      <c r="I36" s="37">
        <v>21</v>
      </c>
      <c r="J36" s="41">
        <v>340</v>
      </c>
      <c r="K36" s="37">
        <v>13</v>
      </c>
      <c r="L36" s="451">
        <v>124</v>
      </c>
      <c r="M36" s="451">
        <v>222</v>
      </c>
      <c r="N36" s="451">
        <v>90</v>
      </c>
      <c r="O36" s="353">
        <v>40</v>
      </c>
      <c r="P36" s="353">
        <v>13</v>
      </c>
      <c r="Q36" s="353">
        <v>237.53</v>
      </c>
      <c r="R36" s="37"/>
      <c r="S36" s="508" t="str">
        <f t="shared" si="22"/>
        <v/>
      </c>
      <c r="T36" s="508"/>
      <c r="U36" s="508"/>
      <c r="V36" s="508"/>
      <c r="X36" s="45">
        <v>0.875</v>
      </c>
      <c r="Y36" s="106"/>
      <c r="Z36" s="102"/>
      <c r="AA36" s="102"/>
      <c r="AB36" s="45" t="str">
        <f t="shared" si="18"/>
        <v/>
      </c>
      <c r="AC36" s="45" t="str">
        <f t="shared" si="1"/>
        <v/>
      </c>
      <c r="AD36" s="81"/>
      <c r="AE36" s="9" t="str">
        <f>IF(S36="","",IF(COUNTA(Z36:$Z$39)=1,IF(COUNTA(AD36:$AD$39)=1,""," ; "),IF(COUNTA(AD36:$AD$39)=1,IF(Z36="",""," ; ")," ; ")))</f>
        <v/>
      </c>
      <c r="AF36" s="9" t="str">
        <f t="shared" si="2"/>
        <v/>
      </c>
      <c r="AG36" s="90" t="str">
        <f t="shared" si="3"/>
        <v/>
      </c>
      <c r="AH36" s="204" t="s">
        <v>309</v>
      </c>
      <c r="AJ36" s="206">
        <f t="shared" si="21"/>
        <v>500</v>
      </c>
      <c r="AK36" s="206">
        <f t="shared" si="21"/>
        <v>100</v>
      </c>
      <c r="AL36" s="206">
        <f t="shared" si="21"/>
        <v>2</v>
      </c>
      <c r="AM36" s="213">
        <f t="shared" si="21"/>
        <v>0.875</v>
      </c>
      <c r="AN36" s="214">
        <f t="shared" si="21"/>
        <v>0.63607464142166403</v>
      </c>
      <c r="AO36" s="215">
        <f t="shared" si="4"/>
        <v>-14.7</v>
      </c>
      <c r="AP36" s="216">
        <f t="shared" si="5"/>
        <v>1</v>
      </c>
      <c r="AQ36" s="216">
        <f t="shared" si="6"/>
        <v>1</v>
      </c>
      <c r="AR36" s="215">
        <f t="shared" si="20"/>
        <v>158.47</v>
      </c>
      <c r="AS36" s="216">
        <f t="shared" si="7"/>
        <v>0.9723448696087954</v>
      </c>
      <c r="AT36" s="216">
        <f t="shared" si="8"/>
        <v>1.2538510821608391</v>
      </c>
      <c r="AU36" s="216">
        <f t="shared" si="9"/>
        <v>2.2360679774997898</v>
      </c>
      <c r="AV36" s="217">
        <f t="shared" si="10"/>
        <v>10.368348541764712</v>
      </c>
      <c r="AW36" s="216">
        <f t="shared" si="11"/>
        <v>0</v>
      </c>
      <c r="AX36" s="218">
        <f t="shared" si="12"/>
        <v>1.4831709199797398</v>
      </c>
      <c r="AY36" s="216">
        <f t="shared" si="13"/>
        <v>0.77643477842613629</v>
      </c>
      <c r="AZ36" s="217">
        <f t="shared" si="14"/>
        <v>3.5883638597441294</v>
      </c>
      <c r="BA36" s="216">
        <f t="shared" si="15"/>
        <v>0</v>
      </c>
      <c r="BB36" s="216">
        <f t="shared" si="16"/>
        <v>1.0016542390239327</v>
      </c>
      <c r="BC36" s="216">
        <f t="shared" si="17"/>
        <v>1</v>
      </c>
    </row>
    <row r="37" spans="1:55" ht="20.100000000000001" customHeight="1" x14ac:dyDescent="0.2">
      <c r="A37" s="45">
        <v>0.91666666666666696</v>
      </c>
      <c r="B37" s="451"/>
      <c r="C37" s="451"/>
      <c r="D37" s="451">
        <v>6.6</v>
      </c>
      <c r="E37" s="451">
        <v>56.9</v>
      </c>
      <c r="F37" s="41">
        <v>1961</v>
      </c>
      <c r="G37" s="37">
        <v>-5.5</v>
      </c>
      <c r="H37" s="37">
        <v>71.900000000000006</v>
      </c>
      <c r="I37" s="37">
        <v>21.5</v>
      </c>
      <c r="J37" s="41">
        <v>341</v>
      </c>
      <c r="K37" s="37">
        <v>13</v>
      </c>
      <c r="L37" s="451">
        <v>125</v>
      </c>
      <c r="M37" s="451">
        <v>222</v>
      </c>
      <c r="N37" s="451">
        <v>90</v>
      </c>
      <c r="O37" s="353">
        <v>40</v>
      </c>
      <c r="P37" s="353">
        <v>13</v>
      </c>
      <c r="Q37" s="353">
        <v>237.53</v>
      </c>
      <c r="R37" s="37"/>
      <c r="S37" s="508" t="str">
        <f t="shared" si="22"/>
        <v/>
      </c>
      <c r="T37" s="508"/>
      <c r="U37" s="508"/>
      <c r="V37" s="508"/>
      <c r="X37" s="45">
        <v>0.91666666666666696</v>
      </c>
      <c r="Y37" s="106"/>
      <c r="Z37" s="102"/>
      <c r="AA37" s="102"/>
      <c r="AB37" s="45" t="str">
        <f t="shared" si="18"/>
        <v/>
      </c>
      <c r="AC37" s="45" t="str">
        <f t="shared" si="1"/>
        <v/>
      </c>
      <c r="AD37" s="81"/>
      <c r="AE37" s="9" t="str">
        <f>IF(S37="","",IF(COUNTA(Z37:$Z$39)=1,IF(COUNTA(AD37:$AD$39)=1,""," ; "),IF(COUNTA(AD37:$AD$39)=1,IF(Z37="",""," ; ")," ; ")))</f>
        <v/>
      </c>
      <c r="AF37" s="9" t="str">
        <f t="shared" si="2"/>
        <v/>
      </c>
      <c r="AG37" s="90" t="str">
        <f t="shared" si="3"/>
        <v/>
      </c>
      <c r="AH37" s="204" t="s">
        <v>319</v>
      </c>
      <c r="AJ37" s="206">
        <f t="shared" si="21"/>
        <v>500</v>
      </c>
      <c r="AK37" s="206">
        <f t="shared" si="21"/>
        <v>100</v>
      </c>
      <c r="AL37" s="206">
        <f t="shared" si="21"/>
        <v>2</v>
      </c>
      <c r="AM37" s="213">
        <f t="shared" si="21"/>
        <v>0.875</v>
      </c>
      <c r="AN37" s="214">
        <f t="shared" si="21"/>
        <v>0.63607464142166403</v>
      </c>
      <c r="AO37" s="215">
        <f t="shared" si="4"/>
        <v>-14.7</v>
      </c>
      <c r="AP37" s="216">
        <f t="shared" si="5"/>
        <v>1</v>
      </c>
      <c r="AQ37" s="216">
        <f t="shared" si="6"/>
        <v>1</v>
      </c>
      <c r="AR37" s="215">
        <f t="shared" si="20"/>
        <v>158.47</v>
      </c>
      <c r="AS37" s="216">
        <f t="shared" si="7"/>
        <v>0.9723448696087954</v>
      </c>
      <c r="AT37" s="216">
        <f t="shared" si="8"/>
        <v>1.2538510821608391</v>
      </c>
      <c r="AU37" s="216">
        <f t="shared" si="9"/>
        <v>2.2360679774997898</v>
      </c>
      <c r="AV37" s="217">
        <f t="shared" si="10"/>
        <v>10.368348541764712</v>
      </c>
      <c r="AW37" s="216">
        <f t="shared" si="11"/>
        <v>0</v>
      </c>
      <c r="AX37" s="218">
        <f t="shared" si="12"/>
        <v>1.4831709199797398</v>
      </c>
      <c r="AY37" s="216">
        <f t="shared" si="13"/>
        <v>0.77643477842613629</v>
      </c>
      <c r="AZ37" s="217">
        <f t="shared" si="14"/>
        <v>3.5883638597441294</v>
      </c>
      <c r="BA37" s="216">
        <f t="shared" si="15"/>
        <v>0</v>
      </c>
      <c r="BB37" s="216">
        <f t="shared" si="16"/>
        <v>1.0016542390239327</v>
      </c>
      <c r="BC37" s="216">
        <f t="shared" si="17"/>
        <v>1</v>
      </c>
    </row>
    <row r="38" spans="1:55" ht="20.100000000000001" customHeight="1" x14ac:dyDescent="0.2">
      <c r="A38" s="45">
        <v>0.95833333333333304</v>
      </c>
      <c r="B38" s="451"/>
      <c r="C38" s="451"/>
      <c r="D38" s="451">
        <v>6.5</v>
      </c>
      <c r="E38" s="451">
        <v>58.4</v>
      </c>
      <c r="F38" s="41">
        <v>1950</v>
      </c>
      <c r="G38" s="37">
        <v>-5.5</v>
      </c>
      <c r="H38" s="37">
        <v>71.3</v>
      </c>
      <c r="I38" s="37">
        <v>21.6</v>
      </c>
      <c r="J38" s="41">
        <v>342</v>
      </c>
      <c r="K38" s="37">
        <v>13</v>
      </c>
      <c r="L38" s="451">
        <v>125</v>
      </c>
      <c r="M38" s="451">
        <v>220</v>
      </c>
      <c r="N38" s="451">
        <v>90</v>
      </c>
      <c r="O38" s="353">
        <v>40</v>
      </c>
      <c r="P38" s="353">
        <v>18</v>
      </c>
      <c r="Q38" s="353">
        <v>279.13</v>
      </c>
      <c r="R38" s="37"/>
      <c r="S38" s="508" t="str">
        <f t="shared" si="22"/>
        <v/>
      </c>
      <c r="T38" s="508"/>
      <c r="U38" s="508"/>
      <c r="V38" s="508"/>
      <c r="X38" s="45">
        <v>0.95833333333333304</v>
      </c>
      <c r="Y38" s="106"/>
      <c r="Z38" s="102"/>
      <c r="AA38" s="102"/>
      <c r="AB38" s="45" t="str">
        <f t="shared" si="18"/>
        <v/>
      </c>
      <c r="AC38" s="45" t="str">
        <f t="shared" si="1"/>
        <v/>
      </c>
      <c r="AD38" s="81"/>
      <c r="AE38" s="9" t="str">
        <f>IF(S38="","",IF(COUNTA(Z38:$Z$39)=1,IF(COUNTA(AD38:$AD$39)=1,""," ; "),IF(COUNTA(AD38:$AD$39)=1,IF(Z38="",""," ; ")," ; ")))</f>
        <v/>
      </c>
      <c r="AF38" s="9" t="str">
        <f t="shared" si="2"/>
        <v/>
      </c>
      <c r="AG38" s="90" t="str">
        <f t="shared" si="3"/>
        <v/>
      </c>
      <c r="AH38" s="204" t="s">
        <v>219</v>
      </c>
      <c r="AJ38" s="206">
        <f t="shared" si="21"/>
        <v>500</v>
      </c>
      <c r="AK38" s="206">
        <f t="shared" si="21"/>
        <v>100</v>
      </c>
      <c r="AL38" s="206">
        <f t="shared" si="21"/>
        <v>2</v>
      </c>
      <c r="AM38" s="213">
        <f t="shared" si="21"/>
        <v>0.875</v>
      </c>
      <c r="AN38" s="214">
        <f t="shared" si="21"/>
        <v>0.63607464142166403</v>
      </c>
      <c r="AO38" s="215">
        <f t="shared" si="4"/>
        <v>-14.7</v>
      </c>
      <c r="AP38" s="216">
        <f t="shared" si="5"/>
        <v>1</v>
      </c>
      <c r="AQ38" s="216">
        <f t="shared" si="6"/>
        <v>1</v>
      </c>
      <c r="AR38" s="215">
        <f t="shared" si="20"/>
        <v>158.47</v>
      </c>
      <c r="AS38" s="216">
        <f t="shared" si="7"/>
        <v>0.9723448696087954</v>
      </c>
      <c r="AT38" s="216">
        <f t="shared" si="8"/>
        <v>1.2538510821608391</v>
      </c>
      <c r="AU38" s="216">
        <f t="shared" si="9"/>
        <v>2.2360679774997898</v>
      </c>
      <c r="AV38" s="217">
        <f t="shared" si="10"/>
        <v>10.368348541764712</v>
      </c>
      <c r="AW38" s="216">
        <f t="shared" si="11"/>
        <v>0</v>
      </c>
      <c r="AX38" s="218">
        <f t="shared" si="12"/>
        <v>1.4831709199797398</v>
      </c>
      <c r="AY38" s="216">
        <f t="shared" si="13"/>
        <v>0.77643477842613629</v>
      </c>
      <c r="AZ38" s="217">
        <f t="shared" si="14"/>
        <v>3.5883638597441294</v>
      </c>
      <c r="BA38" s="216">
        <f t="shared" si="15"/>
        <v>0</v>
      </c>
      <c r="BB38" s="216">
        <f t="shared" si="16"/>
        <v>1.0016542390239327</v>
      </c>
      <c r="BC38" s="216">
        <f t="shared" si="17"/>
        <v>1</v>
      </c>
    </row>
    <row r="39" spans="1:55" ht="20.100000000000001" customHeight="1" thickBot="1" x14ac:dyDescent="0.25">
      <c r="A39" s="46">
        <v>1</v>
      </c>
      <c r="B39" s="451"/>
      <c r="C39" s="451"/>
      <c r="D39" s="452">
        <v>6.8</v>
      </c>
      <c r="E39" s="451">
        <v>58.6</v>
      </c>
      <c r="F39" s="42">
        <v>1920</v>
      </c>
      <c r="G39" s="37">
        <v>-5.5</v>
      </c>
      <c r="H39" s="37">
        <v>71.3</v>
      </c>
      <c r="I39" s="37">
        <v>21.1</v>
      </c>
      <c r="J39" s="41">
        <v>343</v>
      </c>
      <c r="K39" s="37">
        <v>13</v>
      </c>
      <c r="L39" s="451">
        <v>125</v>
      </c>
      <c r="M39" s="452">
        <v>220</v>
      </c>
      <c r="N39" s="451">
        <v>90</v>
      </c>
      <c r="O39" s="353">
        <v>30</v>
      </c>
      <c r="P39" s="353">
        <v>18</v>
      </c>
      <c r="Q39" s="354">
        <v>252.03</v>
      </c>
      <c r="R39" s="38"/>
      <c r="S39" s="512" t="str">
        <f t="shared" si="22"/>
        <v/>
      </c>
      <c r="T39" s="512"/>
      <c r="U39" s="512"/>
      <c r="V39" s="512"/>
      <c r="X39" s="46">
        <v>1</v>
      </c>
      <c r="Y39" s="107"/>
      <c r="Z39" s="103"/>
      <c r="AA39" s="103"/>
      <c r="AB39" s="46" t="str">
        <f t="shared" si="18"/>
        <v/>
      </c>
      <c r="AC39" s="46" t="str">
        <f t="shared" si="1"/>
        <v/>
      </c>
      <c r="AD39" s="82"/>
      <c r="AE39" s="9" t="str">
        <f>IF(S39="","",IF(COUNTA(Z39:$Z$39)=1,IF(COUNTA(AD39:$AD$39)=1,""," ; "),IF(COUNTA(AD39:$AD$39)=1,IF(Z39="",""," ; ")," ; ")))</f>
        <v/>
      </c>
      <c r="AF39" s="9" t="str">
        <f t="shared" si="2"/>
        <v/>
      </c>
      <c r="AG39" s="90" t="str">
        <f t="shared" si="3"/>
        <v/>
      </c>
      <c r="AH39" s="204" t="s">
        <v>220</v>
      </c>
      <c r="AJ39" s="219">
        <f t="shared" si="21"/>
        <v>500</v>
      </c>
      <c r="AK39" s="219">
        <f t="shared" si="21"/>
        <v>100</v>
      </c>
      <c r="AL39" s="219">
        <f t="shared" si="21"/>
        <v>2</v>
      </c>
      <c r="AM39" s="220">
        <f t="shared" si="21"/>
        <v>0.875</v>
      </c>
      <c r="AN39" s="221">
        <f t="shared" si="21"/>
        <v>0.63607464142166403</v>
      </c>
      <c r="AO39" s="222">
        <f t="shared" si="4"/>
        <v>-14.7</v>
      </c>
      <c r="AP39" s="223">
        <f t="shared" si="5"/>
        <v>1</v>
      </c>
      <c r="AQ39" s="223">
        <f t="shared" si="6"/>
        <v>1</v>
      </c>
      <c r="AR39" s="222">
        <f t="shared" si="20"/>
        <v>158.47</v>
      </c>
      <c r="AS39" s="223">
        <f t="shared" si="7"/>
        <v>0.9723448696087954</v>
      </c>
      <c r="AT39" s="223">
        <f t="shared" si="8"/>
        <v>1.2538510821608391</v>
      </c>
      <c r="AU39" s="223">
        <f t="shared" si="9"/>
        <v>2.2360679774997898</v>
      </c>
      <c r="AV39" s="224">
        <f t="shared" si="10"/>
        <v>10.368348541764712</v>
      </c>
      <c r="AW39" s="223">
        <f t="shared" si="11"/>
        <v>0</v>
      </c>
      <c r="AX39" s="225">
        <f t="shared" si="12"/>
        <v>1.4831709199797398</v>
      </c>
      <c r="AY39" s="223">
        <f t="shared" si="13"/>
        <v>0.77643477842613629</v>
      </c>
      <c r="AZ39" s="224">
        <f t="shared" si="14"/>
        <v>3.5883638597441294</v>
      </c>
      <c r="BA39" s="223">
        <f t="shared" si="15"/>
        <v>0</v>
      </c>
      <c r="BB39" s="223">
        <f t="shared" si="16"/>
        <v>1.0016542390239327</v>
      </c>
      <c r="BC39" s="223">
        <f t="shared" si="17"/>
        <v>1</v>
      </c>
    </row>
    <row r="40" spans="1:55" ht="20.100000000000001" customHeight="1" thickBot="1" x14ac:dyDescent="0.3">
      <c r="A40" s="53" t="s">
        <v>11</v>
      </c>
      <c r="B40" s="453" t="str">
        <f>IFERROR(ROUND(AVERAGE(B16:B39),2),"")</f>
        <v/>
      </c>
      <c r="C40" s="453" t="str">
        <f>IFERROR(ROUND(AVERAGE(C16:C39),2),"")</f>
        <v/>
      </c>
      <c r="D40" s="453">
        <f>IFERROR(ROUND(AVERAGE(D16:D39),2),"")</f>
        <v>6.9</v>
      </c>
      <c r="E40" s="453">
        <f>IFERROR(ROUND(AVERAGE(E16:E39),2),"")</f>
        <v>58.1</v>
      </c>
      <c r="F40" s="55">
        <f>IFERROR(ROUND(AVERAGE(F16:F39),0),"")</f>
        <v>1940</v>
      </c>
      <c r="G40" s="54">
        <f>IFERROR(AVERAGE(G16:G39),"")</f>
        <v>-5.5</v>
      </c>
      <c r="H40" s="54">
        <f>IFERROR(AVERAGE(H16:H39),"")</f>
        <v>71.479166666666657</v>
      </c>
      <c r="I40" s="54">
        <f>IFERROR(AVERAGE(I16:I39),"")</f>
        <v>21.404166666666669</v>
      </c>
      <c r="J40" s="71"/>
      <c r="K40" s="111">
        <f>IFERROR(AVERAGE(K16:K39),"")</f>
        <v>13</v>
      </c>
      <c r="L40" s="453">
        <f t="shared" ref="L40:P40" si="23">IFERROR(ROUND(AVERAGE(L16:L39),1),"")</f>
        <v>125.1</v>
      </c>
      <c r="M40" s="453">
        <f t="shared" si="23"/>
        <v>221</v>
      </c>
      <c r="N40" s="453">
        <f t="shared" si="23"/>
        <v>90</v>
      </c>
      <c r="O40" s="456">
        <f t="shared" si="23"/>
        <v>37.5</v>
      </c>
      <c r="P40" s="456">
        <f t="shared" si="23"/>
        <v>11.3</v>
      </c>
      <c r="Q40" s="456">
        <f>IF($I$47=1,$M$49,$Q$44)</f>
        <v>211.2</v>
      </c>
      <c r="R40" s="54" t="str">
        <f>IFERROR(ROUND(AVERAGE(R16:R39),1),"")</f>
        <v/>
      </c>
      <c r="S40" s="509"/>
      <c r="T40" s="510"/>
      <c r="U40" s="510"/>
      <c r="V40" s="511"/>
      <c r="X40" s="99"/>
      <c r="Y40" s="99"/>
      <c r="Z40" s="99"/>
      <c r="AA40" s="99"/>
      <c r="AB40" s="104">
        <f>SUM(AB16:AB39)</f>
        <v>0</v>
      </c>
      <c r="AC40" s="104">
        <f>SUM(AC16:AC39)</f>
        <v>0</v>
      </c>
      <c r="AD40" s="92" t="str">
        <f>IF(OR(COUNTBLANK(D16:E39)+COUNTBLANK(O16:P39)=0,COUNTA(S16:V39)&lt;&gt;0),"","CEK : Blank Data - Remarks")</f>
        <v/>
      </c>
      <c r="AG40" s="90" t="str">
        <f>IF(COUNTIF(AG16:AG39,"")=COUNTA(AG16:AG39),"","CEK : Data Flowrate")</f>
        <v/>
      </c>
      <c r="AH40" s="204" t="s">
        <v>311</v>
      </c>
    </row>
    <row r="41" spans="1:55" ht="20.100000000000001" hidden="1" customHeight="1" thickBot="1" x14ac:dyDescent="0.3">
      <c r="A41" s="49" t="s">
        <v>12</v>
      </c>
      <c r="B41" s="52" t="str">
        <f>IF(COUNT(B16:B39)&gt;0,ROUND(MIN(B16:B39),2),"")</f>
        <v/>
      </c>
      <c r="C41" s="52" t="str">
        <f>IF(COUNT(C16:C39)&gt;0,ROUND(MIN(C16:C39),2),"")</f>
        <v/>
      </c>
      <c r="D41" s="52">
        <f>IF(COUNT(D16:D39)&gt;0,ROUND(MIN(D16:D39),2),"")</f>
        <v>5.6</v>
      </c>
      <c r="E41" s="52">
        <f>IF(COUNT(E16:E39)&gt;0,ROUND(MIN(E16:E39),2),"")</f>
        <v>52.6</v>
      </c>
      <c r="F41" s="51">
        <f>IF(COUNT(F16:F39)&gt;0,ROUND(MIN(F16:F39),0),"")</f>
        <v>1909</v>
      </c>
      <c r="G41" s="50">
        <f>IF(COUNT(G16:G39)&gt;0,MIN(G16:G39),"")</f>
        <v>-5.5</v>
      </c>
      <c r="H41" s="50">
        <f>IF(COUNT(H16:H39)&gt;0,MIN(H16:H39),"")</f>
        <v>71</v>
      </c>
      <c r="I41" s="50">
        <f>IF(COUNT(I16:I39)&gt;0,MIN(I16:I39),"")</f>
        <v>20.3</v>
      </c>
      <c r="J41" s="72"/>
      <c r="K41" s="50">
        <f>IF(COUNT(K16:K39)&gt;0,MIN(K16:K39),"")</f>
        <v>13</v>
      </c>
      <c r="L41" s="52">
        <f>IF(COUNT(L16:L39)&gt;0,ROUND(MIN(L16:L39),1),"")</f>
        <v>121</v>
      </c>
      <c r="M41" s="52">
        <f>IF(COUNT(M16:M39)&gt;0,ROUND(MIN(M16:M39),1),"")</f>
        <v>218</v>
      </c>
      <c r="N41" s="52">
        <f>IF(COUNT(N16:N39)&gt;0,ROUND(MIN(N16:N39),1),"")</f>
        <v>90</v>
      </c>
      <c r="O41" s="440">
        <f>IF(COUNT(O16:O39)&gt;0,ROUND(MIN(O16:O39),1),"")</f>
        <v>30</v>
      </c>
      <c r="P41" s="440">
        <f>IF(COUNT(P16:P39)&gt;0,ROUND(MIN(P16:P39),1),"")</f>
        <v>7</v>
      </c>
      <c r="Q41" s="440">
        <f>IF(COUNT(Q16:Q39)&gt;0,ROUND(MIN(Q16:Q39),4),"")</f>
        <v>168.64</v>
      </c>
      <c r="R41" s="121" t="str">
        <f>IF(COUNT(R16:R39)&gt;0,ROUND(MIN(R16:R39),1),"")</f>
        <v/>
      </c>
      <c r="S41" s="509"/>
      <c r="T41" s="510"/>
      <c r="U41" s="510"/>
      <c r="V41" s="511"/>
      <c r="X41" s="99"/>
      <c r="Y41" s="99"/>
      <c r="Z41" s="99"/>
      <c r="AA41" s="99"/>
      <c r="AB41" s="99"/>
      <c r="AC41" s="99"/>
      <c r="AH41" s="204" t="s">
        <v>318</v>
      </c>
    </row>
    <row r="42" spans="1:55" ht="20.100000000000001" hidden="1" customHeight="1" thickBot="1" x14ac:dyDescent="0.3">
      <c r="A42" s="21" t="s">
        <v>13</v>
      </c>
      <c r="B42" s="454" t="str">
        <f>IF(COUNT(B16:B39)&gt;0,ROUND(MAX(B16:B39),2),"")</f>
        <v/>
      </c>
      <c r="C42" s="454" t="str">
        <f>IF(COUNT(C16:C39)&gt;0,ROUND(MAX(C16:C39),2),"")</f>
        <v/>
      </c>
      <c r="D42" s="454">
        <f>IF(COUNT(D16:D39)&gt;0,ROUND(MAX(D16:D39),2),"")</f>
        <v>9</v>
      </c>
      <c r="E42" s="454">
        <f>IF(COUNT(E16:E39)&gt;0,ROUND(MAX(E16:E39),2),"")</f>
        <v>70</v>
      </c>
      <c r="F42" s="43">
        <f>IF(COUNT(F16:F39)&gt;0,ROUND(MAX(F16:F39),0),"")</f>
        <v>1985</v>
      </c>
      <c r="G42" s="39">
        <f>IF(COUNT(G16:G39)&gt;0,MAX(G16:G39),"")</f>
        <v>-5.5</v>
      </c>
      <c r="H42" s="39">
        <f>IF(COUNT(H16:H39)&gt;0,MAX(H16:H39),"")</f>
        <v>71.900000000000006</v>
      </c>
      <c r="I42" s="39">
        <f>IF(COUNT(I16:I39)&gt;0,MAX(I16:I39),"")</f>
        <v>21.9</v>
      </c>
      <c r="J42" s="43">
        <f>IF(COUNT(J16:J39)&gt;0,MAX(J16:J39),"")</f>
        <v>343</v>
      </c>
      <c r="K42" s="39">
        <f>IF(COUNT(K16:K39)&gt;0,MAX(K16:K39),"")</f>
        <v>13</v>
      </c>
      <c r="L42" s="454">
        <f>IF(COUNT(L16:L39)&gt;0,ROUND(MAX(L16:L39),1),"")</f>
        <v>129</v>
      </c>
      <c r="M42" s="454">
        <f>IF(COUNT(M16:M39)&gt;0,ROUND(MAX(M16:M39),1),"")</f>
        <v>225</v>
      </c>
      <c r="N42" s="454">
        <f>IF(COUNT(N16:N39)&gt;0,ROUND(MAX(N16:N39),1),"")</f>
        <v>90</v>
      </c>
      <c r="O42" s="441">
        <f>IF(COUNT(O16:O39)&gt;0,ROUND(MAX(O16:O39),1),"")</f>
        <v>50</v>
      </c>
      <c r="P42" s="441">
        <f>IF(COUNT(P16:P39)&gt;0,ROUND(MAX(P16:P39),1),"")</f>
        <v>18</v>
      </c>
      <c r="Q42" s="441">
        <f>IF(COUNT(Q16:Q39)&gt;0,ROUND(MAX(Q16:Q39),4),"")</f>
        <v>279.13</v>
      </c>
      <c r="R42" s="39" t="str">
        <f>IF(COUNT(R16:R39)&gt;0,ROUND(MAX(R16:R39),1),"")</f>
        <v/>
      </c>
      <c r="S42" s="509"/>
      <c r="T42" s="510"/>
      <c r="U42" s="510"/>
      <c r="V42" s="511"/>
      <c r="X42" s="99"/>
      <c r="Y42" s="99"/>
      <c r="Z42" s="99"/>
      <c r="AA42" s="99"/>
      <c r="AB42" s="99"/>
      <c r="AC42" s="99"/>
      <c r="AH42" s="204" t="s">
        <v>312</v>
      </c>
    </row>
    <row r="43" spans="1:55" ht="20.100000000000001" hidden="1" customHeight="1" x14ac:dyDescent="0.25">
      <c r="A43" s="109"/>
      <c r="B43" s="110">
        <f>COUNT(B16:B39)</f>
        <v>0</v>
      </c>
      <c r="C43" s="110">
        <f>COUNT(C16:C39)</f>
        <v>0</v>
      </c>
      <c r="D43" s="110">
        <f>COUNT(D16:D39)</f>
        <v>24</v>
      </c>
      <c r="E43" s="110">
        <f t="shared" ref="E43:H43" si="24">COUNT(E16:E39)</f>
        <v>24</v>
      </c>
      <c r="F43" s="110">
        <f t="shared" si="24"/>
        <v>24</v>
      </c>
      <c r="G43" s="110">
        <f t="shared" si="24"/>
        <v>24</v>
      </c>
      <c r="H43" s="110">
        <f t="shared" si="24"/>
        <v>24</v>
      </c>
      <c r="I43" s="110"/>
      <c r="J43" s="110"/>
      <c r="K43" s="110"/>
      <c r="L43" s="110">
        <f t="shared" ref="L43:Q43" si="25">COUNT(L16:L39)</f>
        <v>24</v>
      </c>
      <c r="M43" s="110">
        <f t="shared" si="25"/>
        <v>24</v>
      </c>
      <c r="N43" s="110">
        <f t="shared" si="25"/>
        <v>24</v>
      </c>
      <c r="O43" s="110">
        <f t="shared" si="25"/>
        <v>24</v>
      </c>
      <c r="P43" s="110">
        <f t="shared" si="25"/>
        <v>24</v>
      </c>
      <c r="Q43" s="110">
        <f t="shared" si="25"/>
        <v>24</v>
      </c>
      <c r="R43" s="110"/>
      <c r="S43" s="99"/>
      <c r="T43" s="99"/>
      <c r="U43" s="99"/>
      <c r="V43" s="99"/>
      <c r="X43" s="99"/>
      <c r="Y43" s="99"/>
      <c r="Z43" s="99"/>
      <c r="AA43" s="99"/>
      <c r="AB43" s="99"/>
      <c r="AC43" s="99"/>
      <c r="AD43" s="92" t="str">
        <f>IF(AND(D43=E43,D43=F43,D43=G43,D43=H43,D43=L43,D43=M43,D43=N43,D43=O43,D43=P43,D43=Q43),"","CEK : Data Content")</f>
        <v/>
      </c>
      <c r="AH43" s="204" t="s">
        <v>221</v>
      </c>
    </row>
    <row r="44" spans="1:55" s="6" customFormat="1" ht="15" customHeight="1" x14ac:dyDescent="0.25">
      <c r="J44" s="91" t="str">
        <f>IF(J1="PRINT","",IF(J42="","RH please ! !",""))</f>
        <v/>
      </c>
      <c r="L44" s="24"/>
      <c r="Q44" s="445">
        <f>IFERROR(ROUND(AVERAGE(Q16:Q39),4),"")</f>
        <v>210.845</v>
      </c>
      <c r="AH44" s="204" t="s">
        <v>323</v>
      </c>
      <c r="AI44" s="7"/>
    </row>
    <row r="45" spans="1:55" s="6" customFormat="1" ht="15" customHeight="1" x14ac:dyDescent="0.25">
      <c r="L45" s="26" t="s">
        <v>290</v>
      </c>
      <c r="Q45" s="445"/>
      <c r="AH45" s="204" t="s">
        <v>288</v>
      </c>
      <c r="AI45" s="7"/>
    </row>
    <row r="46" spans="1:55" s="6" customFormat="1" ht="15" customHeight="1" x14ac:dyDescent="0.25">
      <c r="D46" s="443" t="s">
        <v>90</v>
      </c>
      <c r="E46" s="448" t="str">
        <f>IF(Schedule!C$15="","",Schedule!C$15)</f>
        <v/>
      </c>
      <c r="G46" s="61"/>
      <c r="H46" s="25" t="str">
        <f>IFERROR(IF(OR(I47="",I48="",I49=""),"WAKTU BELUM DI-ISI LENGKAP",IF(SUM(I48:I49)&lt;=1,"","CEK KEMBALI PENULISAN WAKTU SALAH")),"CEK KEMBALI PENULISAN WAKTU SALAH")</f>
        <v/>
      </c>
      <c r="L46" s="26" t="s">
        <v>22</v>
      </c>
      <c r="M46" s="460">
        <f>IF(Volume!$W14="",$O46,Volume!$W14)</f>
        <v>43.459400000000002</v>
      </c>
      <c r="N46" s="27" t="s">
        <v>1</v>
      </c>
      <c r="O46" s="447">
        <f>IF(O40="","",O40)</f>
        <v>37.5</v>
      </c>
      <c r="P46" s="361" t="s">
        <v>29</v>
      </c>
      <c r="Q46" s="362"/>
      <c r="R46" s="362"/>
      <c r="S46" s="362"/>
      <c r="T46" s="361" t="s">
        <v>30</v>
      </c>
      <c r="U46" s="362"/>
      <c r="V46" s="362"/>
      <c r="AH46" s="204" t="s">
        <v>222</v>
      </c>
    </row>
    <row r="47" spans="1:55" s="6" customFormat="1" ht="15" customHeight="1" x14ac:dyDescent="0.25">
      <c r="D47" s="448"/>
      <c r="E47" s="448"/>
      <c r="H47" s="26" t="s">
        <v>26</v>
      </c>
      <c r="I47" s="56">
        <f>IF(OR(I48="",I49=""),"",1-I48-I49)</f>
        <v>1</v>
      </c>
      <c r="J47" s="27" t="s">
        <v>19</v>
      </c>
      <c r="L47" s="26" t="s">
        <v>23</v>
      </c>
      <c r="M47" s="442">
        <f>IF(Volume!$Y14="",$O47,Volume!$Y14)</f>
        <v>10.0388</v>
      </c>
      <c r="N47" s="27" t="s">
        <v>14</v>
      </c>
      <c r="O47" s="447">
        <f>IF(P40="","",P40)</f>
        <v>11.3</v>
      </c>
      <c r="P47" s="361" t="s">
        <v>211</v>
      </c>
      <c r="Q47" s="362"/>
      <c r="R47" s="362"/>
      <c r="S47" s="362"/>
      <c r="T47" s="361" t="s">
        <v>271</v>
      </c>
      <c r="U47" s="362"/>
      <c r="V47" s="362"/>
      <c r="AH47" s="204" t="s">
        <v>223</v>
      </c>
    </row>
    <row r="48" spans="1:55" s="6" customFormat="1" ht="15" customHeight="1" x14ac:dyDescent="0.25">
      <c r="D48" s="443" t="s">
        <v>91</v>
      </c>
      <c r="E48" s="448" t="str">
        <f>IF(Schedule!D$15="","",Schedule!D$15)</f>
        <v/>
      </c>
      <c r="H48" s="26" t="s">
        <v>37</v>
      </c>
      <c r="I48" s="108">
        <f>IF(OR(COUNT($Q$16:$Q$39)&lt;&gt;0,COUNTA($AD$16:$AD$39)&lt;&gt;0),AB40,"")</f>
        <v>0</v>
      </c>
      <c r="J48" s="27" t="s">
        <v>19</v>
      </c>
      <c r="L48" s="26" t="s">
        <v>24</v>
      </c>
      <c r="M48" s="449">
        <f>IF(N40="","",N40)</f>
        <v>90</v>
      </c>
      <c r="N48" s="27" t="s">
        <v>5</v>
      </c>
      <c r="P48" s="362"/>
      <c r="Q48" s="362"/>
      <c r="R48" s="362"/>
      <c r="S48" s="362"/>
      <c r="T48" s="361" t="s">
        <v>291</v>
      </c>
      <c r="U48" s="362"/>
      <c r="V48" s="362"/>
      <c r="AH48" s="204" t="s">
        <v>324</v>
      </c>
    </row>
    <row r="49" spans="1:34" s="6" customFormat="1" ht="15" customHeight="1" x14ac:dyDescent="0.25">
      <c r="D49" s="448"/>
      <c r="E49" s="448"/>
      <c r="H49" s="26" t="s">
        <v>27</v>
      </c>
      <c r="I49" s="108">
        <f>IF(OR(COUNT($Q$16:$Q$39)&lt;&gt;0,COUNTA($AD$16:$AD$39)&lt;&gt;0),AC40,"")</f>
        <v>0</v>
      </c>
      <c r="J49" s="27" t="s">
        <v>19</v>
      </c>
      <c r="L49" s="26" t="s">
        <v>128</v>
      </c>
      <c r="M49" s="442">
        <f>IF(Volume!$L14="",M51,Volume!$L14)</f>
        <v>211.2</v>
      </c>
      <c r="N49" s="27" t="str">
        <f>IF(Q15="MSCFD","MSCF","MMSCF")</f>
        <v>MSCF</v>
      </c>
      <c r="P49" s="362"/>
      <c r="Q49" s="362"/>
      <c r="R49" s="362"/>
      <c r="S49" s="362"/>
      <c r="T49" s="362"/>
      <c r="U49" s="362"/>
      <c r="V49" s="362"/>
      <c r="AH49" s="204" t="s">
        <v>317</v>
      </c>
    </row>
    <row r="50" spans="1:34" s="6" customFormat="1" ht="15" customHeight="1" x14ac:dyDescent="0.25">
      <c r="D50" s="443" t="s">
        <v>92</v>
      </c>
      <c r="E50" s="448" t="str">
        <f>IF(Schedule!E$15="","",Schedule!E$15)</f>
        <v>Marihot Gustafa S.</v>
      </c>
      <c r="L50" s="443" t="str">
        <f>CONCATENATE(MR!L16," ",":")</f>
        <v>Liquid Gain :</v>
      </c>
      <c r="M50" s="446" t="str">
        <f>IF(R40="","",ROUND(SUM(R16:R39),2))</f>
        <v/>
      </c>
      <c r="N50" s="444" t="str">
        <f>R15</f>
        <v>BPD</v>
      </c>
      <c r="P50" s="362"/>
      <c r="Q50" s="362"/>
      <c r="R50" s="362"/>
      <c r="S50" s="362"/>
      <c r="T50" s="362"/>
      <c r="U50" s="362"/>
      <c r="V50" s="362"/>
      <c r="AH50" s="204" t="s">
        <v>282</v>
      </c>
    </row>
    <row r="51" spans="1:34" s="6" customFormat="1" ht="15" customHeight="1" x14ac:dyDescent="0.25">
      <c r="A51" s="4"/>
      <c r="L51" s="443" t="s">
        <v>286</v>
      </c>
      <c r="M51" s="447">
        <f>IF(Q44="","",IF(SUM(I48:I49)=1,IF(Q44&lt;&gt;0,"Cek Tabel",""),ROUND(Q44*I47,4)))</f>
        <v>210.845</v>
      </c>
      <c r="N51" s="444" t="str">
        <f>IF(Q15="MSCFD","MSCF","MMSCF")</f>
        <v>MSCF</v>
      </c>
      <c r="P51" s="362"/>
      <c r="Q51" s="362"/>
      <c r="R51" s="362"/>
      <c r="S51" s="362"/>
      <c r="T51" s="362"/>
      <c r="U51" s="362"/>
      <c r="V51" s="362"/>
      <c r="AH51" s="204" t="s">
        <v>325</v>
      </c>
    </row>
    <row r="52" spans="1:34" s="6" customFormat="1" ht="15" customHeight="1" x14ac:dyDescent="0.25">
      <c r="D52" s="26" t="s">
        <v>28</v>
      </c>
      <c r="E52" s="47"/>
      <c r="F52" s="47"/>
      <c r="G52" s="47"/>
      <c r="H52" s="47"/>
      <c r="I52" s="47"/>
      <c r="J52" s="47"/>
      <c r="K52" s="47"/>
      <c r="L52" s="5"/>
      <c r="P52" s="362"/>
      <c r="Q52" s="362"/>
      <c r="R52" s="362"/>
      <c r="S52" s="362"/>
      <c r="T52" s="362"/>
      <c r="U52" s="362"/>
      <c r="V52" s="362"/>
      <c r="AH52" s="204" t="s">
        <v>280</v>
      </c>
    </row>
    <row r="53" spans="1:34" s="6" customFormat="1" ht="15" customHeight="1" x14ac:dyDescent="0.25">
      <c r="D53" s="5"/>
      <c r="E53" s="48"/>
      <c r="F53" s="48"/>
      <c r="G53" s="48"/>
      <c r="H53" s="48"/>
      <c r="I53" s="48"/>
      <c r="J53" s="48"/>
      <c r="K53" s="48"/>
      <c r="L53" s="5"/>
      <c r="P53" s="363" t="str">
        <f>UPPER(E50)</f>
        <v>MARIHOT GUSTAFA S.</v>
      </c>
      <c r="Q53" s="362"/>
      <c r="R53" s="362"/>
      <c r="S53" s="362"/>
      <c r="T53" s="363" t="str">
        <f>IF(Schedule!F$15="","",UPPER(Schedule!F$15))</f>
        <v>M. NANANG WAHYU S</v>
      </c>
      <c r="U53" s="362"/>
      <c r="V53" s="362"/>
      <c r="AH53" s="204" t="s">
        <v>316</v>
      </c>
    </row>
    <row r="54" spans="1:34" s="6" customFormat="1" ht="15" customHeight="1" x14ac:dyDescent="0.25">
      <c r="E54" s="48"/>
      <c r="F54" s="48"/>
      <c r="G54" s="48"/>
      <c r="H54" s="48"/>
      <c r="I54" s="48"/>
      <c r="J54" s="48"/>
      <c r="K54" s="48"/>
      <c r="P54" s="361" t="s">
        <v>107</v>
      </c>
      <c r="Q54" s="362"/>
      <c r="R54" s="362"/>
      <c r="S54" s="362"/>
      <c r="T54" s="361" t="s">
        <v>294</v>
      </c>
      <c r="U54" s="362"/>
      <c r="V54" s="362"/>
      <c r="AH54" s="204" t="s">
        <v>326</v>
      </c>
    </row>
    <row r="55" spans="1:34" s="6" customFormat="1" ht="15" customHeight="1" x14ac:dyDescent="0.25">
      <c r="P55" s="364" t="str">
        <f>CONCATENATE("Date : ",TEXT(K12,"[$-409]d mmm yyyy;@"))</f>
        <v>Date : 11 Jun 2025</v>
      </c>
      <c r="Q55" s="362"/>
      <c r="R55" s="364"/>
      <c r="S55" s="362"/>
      <c r="T55" s="364" t="str">
        <f>CONCATENATE("Date : ",TEXT(K12,"[$-409]d mmm yyyy;@"))</f>
        <v>Date : 11 Jun 2025</v>
      </c>
      <c r="U55" s="362"/>
      <c r="V55" s="362"/>
      <c r="AH55" s="204" t="s">
        <v>327</v>
      </c>
    </row>
    <row r="56" spans="1:34" ht="15" customHeight="1" x14ac:dyDescent="0.25">
      <c r="AH56" s="204" t="s">
        <v>281</v>
      </c>
    </row>
    <row r="57" spans="1:34" ht="15" customHeight="1" x14ac:dyDescent="0.25">
      <c r="AH57" s="204" t="s">
        <v>277</v>
      </c>
    </row>
    <row r="58" spans="1:34" ht="15" customHeight="1" x14ac:dyDescent="0.25">
      <c r="AH58" s="204" t="s">
        <v>328</v>
      </c>
    </row>
    <row r="59" spans="1:34" ht="15" customHeight="1" x14ac:dyDescent="0.25">
      <c r="AH59" s="204" t="s">
        <v>329</v>
      </c>
    </row>
    <row r="60" spans="1:34" ht="15" customHeight="1" x14ac:dyDescent="0.25">
      <c r="AH60" s="204" t="s">
        <v>330</v>
      </c>
    </row>
    <row r="61" spans="1:34" ht="15" customHeight="1" x14ac:dyDescent="0.25">
      <c r="AH61" s="204" t="s">
        <v>331</v>
      </c>
    </row>
    <row r="62" spans="1:34" ht="15" customHeight="1" x14ac:dyDescent="0.25">
      <c r="AH62" s="204" t="s">
        <v>332</v>
      </c>
    </row>
    <row r="63" spans="1:34" ht="15" customHeight="1" x14ac:dyDescent="0.25">
      <c r="AH63" s="204" t="s">
        <v>315</v>
      </c>
    </row>
    <row r="64" spans="1:34" ht="15" customHeight="1" x14ac:dyDescent="0.25">
      <c r="AH64" s="204" t="s">
        <v>333</v>
      </c>
    </row>
    <row r="65" spans="34:34" ht="15" customHeight="1" x14ac:dyDescent="0.25">
      <c r="AH65" s="204" t="s">
        <v>310</v>
      </c>
    </row>
    <row r="66" spans="34:34" ht="15" customHeight="1" x14ac:dyDescent="0.25">
      <c r="AH66" s="204" t="s">
        <v>334</v>
      </c>
    </row>
    <row r="67" spans="34:34" ht="15" customHeight="1" x14ac:dyDescent="0.25">
      <c r="AH67" s="204" t="s">
        <v>335</v>
      </c>
    </row>
    <row r="68" spans="34:34" ht="15" customHeight="1" x14ac:dyDescent="0.25">
      <c r="AH68" s="204" t="s">
        <v>336</v>
      </c>
    </row>
    <row r="69" spans="34:34" ht="15" customHeight="1" x14ac:dyDescent="0.25">
      <c r="AH69" s="204" t="s">
        <v>337</v>
      </c>
    </row>
    <row r="70" spans="34:34" ht="15" customHeight="1" x14ac:dyDescent="0.25">
      <c r="AH70" s="204" t="s">
        <v>338</v>
      </c>
    </row>
    <row r="71" spans="34:34" ht="15" customHeight="1" x14ac:dyDescent="0.25">
      <c r="AH71" s="204" t="s">
        <v>339</v>
      </c>
    </row>
    <row r="72" spans="34:34" ht="15" customHeight="1" x14ac:dyDescent="0.25">
      <c r="AH72" s="204" t="s">
        <v>340</v>
      </c>
    </row>
    <row r="85" spans="34:34" ht="0" hidden="1" customHeight="1" x14ac:dyDescent="0.25">
      <c r="AH85" s="6"/>
    </row>
    <row r="86" spans="34:34" ht="0" hidden="1" customHeight="1" x14ac:dyDescent="0.25">
      <c r="AH86" s="6"/>
    </row>
    <row r="87" spans="34:34" ht="0" hidden="1" customHeight="1" x14ac:dyDescent="0.25">
      <c r="AH87" s="6"/>
    </row>
    <row r="88" spans="34:34" ht="0" hidden="1" customHeight="1" x14ac:dyDescent="0.25">
      <c r="AH88" s="6"/>
    </row>
    <row r="89" spans="34:34" ht="0" hidden="1" customHeight="1" x14ac:dyDescent="0.25">
      <c r="AH89" s="6"/>
    </row>
    <row r="90" spans="34:34" ht="0" hidden="1" customHeight="1" x14ac:dyDescent="0.25">
      <c r="AH90" s="6"/>
    </row>
    <row r="91" spans="34:34" ht="0" hidden="1" customHeight="1" x14ac:dyDescent="0.25">
      <c r="AH91" s="6"/>
    </row>
    <row r="92" spans="34:34" ht="0" hidden="1" customHeight="1" x14ac:dyDescent="0.25">
      <c r="AH92" s="6"/>
    </row>
    <row r="93" spans="34:34" ht="0" hidden="1" customHeight="1" x14ac:dyDescent="0.25">
      <c r="AH93" s="6"/>
    </row>
    <row r="94" spans="34:34" ht="0" hidden="1" customHeight="1" x14ac:dyDescent="0.25">
      <c r="AH94" s="6"/>
    </row>
  </sheetData>
  <sheetProtection algorithmName="SHA-512" hashValue="0YFEdxhojwbgaNxNUjjU3f3kXK0H7z8ZOkwEhxsULO9WHvhUQAvPyVIUUyTS/WSDANMBCDcIy9BQ4Tu1l8WZhw==" saltValue="7WX0gnbB5HE61czLRb/tIQ==" spinCount="100000" sheet="1" objects="1" scenarios="1" formatColumns="0" formatRows="0" insertColumns="0" insertRows="0" sort="0" autoFilter="0" pivotTables="0"/>
  <mergeCells count="69">
    <mergeCell ref="S37:V37"/>
    <mergeCell ref="S38:V38"/>
    <mergeCell ref="S39:V39"/>
    <mergeCell ref="S40:V40"/>
    <mergeCell ref="S41:V42"/>
    <mergeCell ref="S36:V36"/>
    <mergeCell ref="S25:V25"/>
    <mergeCell ref="S26:V26"/>
    <mergeCell ref="S27:V27"/>
    <mergeCell ref="S28:V28"/>
    <mergeCell ref="S29:V29"/>
    <mergeCell ref="S30:V30"/>
    <mergeCell ref="S31:V31"/>
    <mergeCell ref="S32:V32"/>
    <mergeCell ref="S33:V33"/>
    <mergeCell ref="S34:V34"/>
    <mergeCell ref="S35:V35"/>
    <mergeCell ref="S19:V19"/>
    <mergeCell ref="S20:V20"/>
    <mergeCell ref="S21:V21"/>
    <mergeCell ref="S22:V22"/>
    <mergeCell ref="S23:V23"/>
    <mergeCell ref="S24:V24"/>
    <mergeCell ref="BA14:BA15"/>
    <mergeCell ref="BB14:BB15"/>
    <mergeCell ref="BC14:BC15"/>
    <mergeCell ref="S16:V16"/>
    <mergeCell ref="S17:V17"/>
    <mergeCell ref="S18:V18"/>
    <mergeCell ref="AU14:AU15"/>
    <mergeCell ref="AV14:AV15"/>
    <mergeCell ref="AW14:AW15"/>
    <mergeCell ref="AX14:AX15"/>
    <mergeCell ref="AY14:AY15"/>
    <mergeCell ref="AZ14:AZ15"/>
    <mergeCell ref="AO14:AO15"/>
    <mergeCell ref="AP14:AP15"/>
    <mergeCell ref="AQ14:AQ15"/>
    <mergeCell ref="AR14:AR15"/>
    <mergeCell ref="AS14:AS15"/>
    <mergeCell ref="AT14:AT15"/>
    <mergeCell ref="AD14:AD15"/>
    <mergeCell ref="AJ14:AJ15"/>
    <mergeCell ref="AK14:AK15"/>
    <mergeCell ref="AL14:AL15"/>
    <mergeCell ref="AM14:AM15"/>
    <mergeCell ref="AN14:AN15"/>
    <mergeCell ref="Y14:AC14"/>
    <mergeCell ref="H13:H14"/>
    <mergeCell ref="I13:I14"/>
    <mergeCell ref="J13:J14"/>
    <mergeCell ref="K13:K14"/>
    <mergeCell ref="L13:L14"/>
    <mergeCell ref="M13:N13"/>
    <mergeCell ref="Q13:Q14"/>
    <mergeCell ref="R13:R14"/>
    <mergeCell ref="S13:V15"/>
    <mergeCell ref="O13:O14"/>
    <mergeCell ref="P13:P14"/>
    <mergeCell ref="A10:V10"/>
    <mergeCell ref="A11:V11"/>
    <mergeCell ref="K12:L12"/>
    <mergeCell ref="A13:A15"/>
    <mergeCell ref="B13:B14"/>
    <mergeCell ref="C13:C14"/>
    <mergeCell ref="D13:D14"/>
    <mergeCell ref="E13:E14"/>
    <mergeCell ref="F13:F14"/>
    <mergeCell ref="G13:G14"/>
  </mergeCells>
  <conditionalFormatting sqref="I47">
    <cfRule type="cellIs" dxfId="102" priority="5" operator="lessThan">
      <formula>0</formula>
    </cfRule>
  </conditionalFormatting>
  <conditionalFormatting sqref="Y16:Y39">
    <cfRule type="containsText" dxfId="101" priority="3" operator="containsText" text="STBY">
      <formula>NOT(ISERROR(SEARCH("STBY",Y16)))</formula>
    </cfRule>
    <cfRule type="containsText" dxfId="100" priority="4" operator="containsText" text="SD">
      <formula>NOT(ISERROR(SEARCH("SD",Y16)))</formula>
    </cfRule>
  </conditionalFormatting>
  <conditionalFormatting sqref="B16:B39 D16:R39">
    <cfRule type="expression" dxfId="99" priority="2">
      <formula>ISTEXT(B16)</formula>
    </cfRule>
  </conditionalFormatting>
  <conditionalFormatting sqref="C16:C39">
    <cfRule type="expression" dxfId="98" priority="1">
      <formula>ISTEXT(C16)</formula>
    </cfRule>
  </conditionalFormatting>
  <dataValidations count="2">
    <dataValidation type="list" allowBlank="1" showInputMessage="1" showErrorMessage="1" sqref="Y16:Y39" xr:uid="{170609A2-0ABE-4243-8AAF-A363C57DBECF}">
      <formula1>"SD,STBY"</formula1>
    </dataValidation>
    <dataValidation type="list" allowBlank="1" showInputMessage="1" sqref="AD16:AD39" xr:uid="{BB6B31DF-372A-442D-993A-0655DD6FD7DB}">
      <formula1>$AH$15:$AH$72</formula1>
    </dataValidation>
  </dataValidations>
  <printOptions horizontalCentered="1"/>
  <pageMargins left="0.39370078740157483" right="0.39370078740157483" top="0.59055118110236227" bottom="0.39370078740157483" header="0.31496062992125984" footer="0.31496062992125984"/>
  <pageSetup paperSize="9" scale="57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82644-9EB9-442C-B327-0F9299D829A8}">
  <sheetPr codeName="N12">
    <pageSetUpPr fitToPage="1"/>
  </sheetPr>
  <dimension ref="A1:BC94"/>
  <sheetViews>
    <sheetView topLeftCell="O16" zoomScale="85" zoomScaleNormal="85" workbookViewId="0">
      <selection activeCell="AD29" sqref="AD29"/>
    </sheetView>
  </sheetViews>
  <sheetFormatPr defaultColWidth="0" defaultRowHeight="0" customHeight="1" zeroHeight="1" x14ac:dyDescent="0.25"/>
  <cols>
    <col min="1" max="1" width="10.7109375" style="7" customWidth="1"/>
    <col min="2" max="3" width="10.7109375" style="7" hidden="1" customWidth="1"/>
    <col min="4" max="14" width="10.7109375" style="7" customWidth="1"/>
    <col min="15" max="17" width="11.7109375" style="7" customWidth="1"/>
    <col min="18" max="18" width="10.7109375" style="7" hidden="1" customWidth="1"/>
    <col min="19" max="22" width="10.7109375" style="7" customWidth="1"/>
    <col min="23" max="23" width="2.7109375" style="7" customWidth="1"/>
    <col min="24" max="29" width="10.7109375" style="7" customWidth="1"/>
    <col min="30" max="30" width="30.7109375" style="7" customWidth="1"/>
    <col min="31" max="33" width="11.7109375" style="7" customWidth="1"/>
    <col min="34" max="34" width="30.7109375" style="7" customWidth="1"/>
    <col min="35" max="35" width="2.7109375" style="7" hidden="1" customWidth="1"/>
    <col min="36" max="55" width="11.7109375" style="7" hidden="1" customWidth="1"/>
    <col min="56" max="16384" width="9.140625" style="7" hidden="1"/>
  </cols>
  <sheetData>
    <row r="1" spans="1:55" ht="15" customHeight="1" x14ac:dyDescent="0.25">
      <c r="A1" s="7" t="s">
        <v>16</v>
      </c>
      <c r="D1" s="11" t="s">
        <v>85</v>
      </c>
      <c r="J1" s="7" t="str">
        <f>IF(MR!U13="Yes","PRINT","No")</f>
        <v>PRINT</v>
      </c>
      <c r="M1" s="191"/>
      <c r="N1" s="191"/>
    </row>
    <row r="2" spans="1:55" ht="15" customHeight="1" thickBot="1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192"/>
      <c r="M2" s="4"/>
      <c r="N2" s="4"/>
      <c r="O2" s="4"/>
      <c r="P2" s="4"/>
      <c r="Q2" s="4"/>
      <c r="R2" s="4"/>
      <c r="S2" s="8"/>
      <c r="T2" s="8"/>
      <c r="U2" s="8"/>
      <c r="V2" s="8"/>
      <c r="X2" s="8"/>
      <c r="Y2" s="8"/>
      <c r="Z2" s="8"/>
      <c r="AA2" s="8"/>
      <c r="AB2" s="8"/>
      <c r="AC2" s="8"/>
      <c r="AD2" s="8"/>
      <c r="AE2" s="8"/>
    </row>
    <row r="3" spans="1:55" ht="15" customHeight="1" x14ac:dyDescent="0.2">
      <c r="A3" s="31"/>
      <c r="B3" s="28"/>
      <c r="C3" s="28"/>
      <c r="D3" s="28"/>
      <c r="E3" s="28"/>
      <c r="F3" s="13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2"/>
      <c r="T3" s="22"/>
      <c r="U3" s="22"/>
      <c r="V3" s="23"/>
      <c r="X3" s="8"/>
      <c r="Y3" s="8"/>
      <c r="Z3" s="8"/>
      <c r="AA3" s="8"/>
      <c r="AB3" s="8"/>
      <c r="AC3" s="8"/>
      <c r="AD3" s="8"/>
      <c r="AE3" s="8"/>
    </row>
    <row r="4" spans="1:55" ht="30" customHeight="1" x14ac:dyDescent="0.25">
      <c r="A4" s="30"/>
      <c r="B4" s="1"/>
      <c r="C4" s="1"/>
      <c r="D4" s="1"/>
      <c r="E4" s="3"/>
      <c r="F4" s="63" t="s">
        <v>210</v>
      </c>
      <c r="G4" s="1"/>
      <c r="H4" s="1"/>
      <c r="I4" s="3"/>
      <c r="J4" s="3"/>
      <c r="K4" s="3"/>
      <c r="L4" s="3"/>
      <c r="M4" s="3"/>
      <c r="N4" s="3"/>
      <c r="O4" s="3"/>
      <c r="P4" s="3"/>
      <c r="Q4" s="3"/>
      <c r="R4" s="3"/>
      <c r="S4" s="1"/>
      <c r="T4" s="1"/>
      <c r="U4" s="1"/>
      <c r="V4" s="2"/>
      <c r="X4" s="5"/>
      <c r="Y4" s="5"/>
      <c r="Z4" s="5"/>
      <c r="AA4" s="5"/>
      <c r="AB4" s="5"/>
      <c r="AC4" s="5"/>
      <c r="AD4" s="5"/>
      <c r="AE4" s="5"/>
    </row>
    <row r="5" spans="1:55" ht="15" customHeight="1" x14ac:dyDescent="0.2">
      <c r="A5" s="32"/>
      <c r="B5" s="33"/>
      <c r="C5" s="33"/>
      <c r="D5" s="12"/>
      <c r="E5" s="3"/>
      <c r="F5" s="10" t="s">
        <v>129</v>
      </c>
      <c r="G5" s="1"/>
      <c r="H5" s="1"/>
      <c r="I5" s="3"/>
      <c r="J5" s="3"/>
      <c r="K5" s="3"/>
      <c r="L5" s="3"/>
      <c r="M5" s="3"/>
      <c r="N5" s="3"/>
      <c r="O5" s="3"/>
      <c r="P5" s="3"/>
      <c r="Q5" s="3"/>
      <c r="R5" s="3"/>
      <c r="S5" s="12"/>
      <c r="T5" s="12"/>
      <c r="U5" s="12"/>
      <c r="V5" s="14"/>
      <c r="X5" s="8"/>
      <c r="Y5" s="8"/>
      <c r="Z5" s="8"/>
      <c r="AA5" s="8"/>
      <c r="AB5" s="8"/>
      <c r="AC5" s="8"/>
      <c r="AD5" s="8"/>
      <c r="AE5" s="8"/>
      <c r="AJ5" s="193" t="s">
        <v>184</v>
      </c>
      <c r="AK5" s="194">
        <f>'V Calc'!B1</f>
        <v>500</v>
      </c>
      <c r="AL5" s="124"/>
    </row>
    <row r="6" spans="1:55" ht="15" customHeight="1" x14ac:dyDescent="0.2">
      <c r="A6" s="32"/>
      <c r="B6" s="33"/>
      <c r="C6" s="33"/>
      <c r="D6" s="12"/>
      <c r="E6" s="3"/>
      <c r="F6" s="10" t="s">
        <v>132</v>
      </c>
      <c r="G6" s="1"/>
      <c r="H6" s="1"/>
      <c r="I6" s="3"/>
      <c r="J6" s="3"/>
      <c r="K6" s="3"/>
      <c r="L6" s="3"/>
      <c r="M6" s="3"/>
      <c r="N6" s="3"/>
      <c r="O6" s="3"/>
      <c r="P6" s="3"/>
      <c r="Q6" s="3"/>
      <c r="R6" s="3"/>
      <c r="S6" s="12"/>
      <c r="T6" s="12"/>
      <c r="U6" s="12"/>
      <c r="V6" s="14"/>
      <c r="X6" s="8"/>
      <c r="Y6" s="8"/>
      <c r="Z6" s="8"/>
      <c r="AA6" s="8"/>
      <c r="AB6" s="8"/>
      <c r="AC6" s="8"/>
      <c r="AD6" s="8"/>
      <c r="AE6" s="8"/>
      <c r="AJ6" s="193" t="s">
        <v>185</v>
      </c>
      <c r="AK6" s="194">
        <f>'V Calc'!B2</f>
        <v>100</v>
      </c>
      <c r="AL6" s="124"/>
    </row>
    <row r="7" spans="1:55" ht="15" customHeight="1" x14ac:dyDescent="0.2">
      <c r="A7" s="32"/>
      <c r="B7" s="33"/>
      <c r="C7" s="33"/>
      <c r="D7" s="12"/>
      <c r="E7" s="3"/>
      <c r="F7" s="10" t="s">
        <v>130</v>
      </c>
      <c r="G7" s="1"/>
      <c r="H7" s="1"/>
      <c r="I7" s="3"/>
      <c r="J7" s="3"/>
      <c r="K7" s="3"/>
      <c r="L7" s="3"/>
      <c r="M7" s="3"/>
      <c r="N7" s="3"/>
      <c r="O7" s="3"/>
      <c r="P7" s="3"/>
      <c r="Q7" s="3"/>
      <c r="R7" s="3"/>
      <c r="S7" s="12"/>
      <c r="T7" s="12"/>
      <c r="U7" s="12"/>
      <c r="V7" s="14"/>
      <c r="X7" s="8"/>
      <c r="Y7" s="8"/>
      <c r="Z7" s="8"/>
      <c r="AA7" s="8"/>
      <c r="AB7" s="8"/>
      <c r="AC7" s="8"/>
      <c r="AD7" s="8"/>
      <c r="AE7" s="8"/>
      <c r="AJ7" s="193" t="s">
        <v>186</v>
      </c>
      <c r="AK7" s="195">
        <f>'V Calc'!B3</f>
        <v>2</v>
      </c>
      <c r="AL7" s="124"/>
    </row>
    <row r="8" spans="1:55" ht="15" customHeight="1" x14ac:dyDescent="0.2">
      <c r="A8" s="32"/>
      <c r="B8" s="33"/>
      <c r="C8" s="33"/>
      <c r="D8" s="12"/>
      <c r="E8" s="3"/>
      <c r="F8" s="10" t="s">
        <v>131</v>
      </c>
      <c r="G8" s="62"/>
      <c r="H8" s="62"/>
      <c r="I8" s="3"/>
      <c r="J8" s="3"/>
      <c r="K8" s="3"/>
      <c r="L8" s="3"/>
      <c r="M8" s="3"/>
      <c r="N8" s="3"/>
      <c r="O8" s="3"/>
      <c r="P8" s="3"/>
      <c r="Q8" s="3"/>
      <c r="R8" s="3"/>
      <c r="S8" s="12"/>
      <c r="T8" s="12"/>
      <c r="U8" s="12"/>
      <c r="V8" s="14"/>
      <c r="X8" s="8"/>
      <c r="Y8" s="8"/>
      <c r="Z8" s="8"/>
      <c r="AA8" s="8"/>
      <c r="AB8" s="8"/>
      <c r="AC8" s="8"/>
      <c r="AD8" s="8"/>
      <c r="AE8" s="8"/>
      <c r="AJ8" s="193" t="s">
        <v>187</v>
      </c>
      <c r="AK8" s="195">
        <f>'V Calc'!B4</f>
        <v>0.875</v>
      </c>
      <c r="AL8" s="124"/>
    </row>
    <row r="9" spans="1:55" ht="15" customHeight="1" thickBot="1" x14ac:dyDescent="0.25">
      <c r="A9" s="34"/>
      <c r="B9" s="29"/>
      <c r="C9" s="29"/>
      <c r="D9" s="29"/>
      <c r="E9" s="29"/>
      <c r="F9" s="15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16"/>
      <c r="T9" s="16"/>
      <c r="U9" s="16"/>
      <c r="V9" s="17"/>
      <c r="X9" s="8"/>
      <c r="Y9" s="8"/>
      <c r="Z9" s="8"/>
      <c r="AA9" s="8"/>
      <c r="AB9" s="8"/>
      <c r="AC9" s="8"/>
      <c r="AD9" s="8"/>
      <c r="AE9" s="8"/>
      <c r="AJ9" s="196" t="s">
        <v>188</v>
      </c>
      <c r="AK9" s="197">
        <f>'V Calc'!B5</f>
        <v>158.47</v>
      </c>
      <c r="AL9" s="198"/>
    </row>
    <row r="10" spans="1:55" s="9" customFormat="1" ht="30" customHeight="1" x14ac:dyDescent="0.2">
      <c r="A10" s="513" t="s">
        <v>20</v>
      </c>
      <c r="B10" s="514"/>
      <c r="C10" s="514"/>
      <c r="D10" s="514"/>
      <c r="E10" s="514"/>
      <c r="F10" s="514"/>
      <c r="G10" s="514"/>
      <c r="H10" s="514"/>
      <c r="I10" s="514"/>
      <c r="J10" s="514"/>
      <c r="K10" s="514"/>
      <c r="L10" s="514"/>
      <c r="M10" s="514"/>
      <c r="N10" s="514"/>
      <c r="O10" s="514"/>
      <c r="P10" s="514"/>
      <c r="Q10" s="514"/>
      <c r="R10" s="514"/>
      <c r="S10" s="514"/>
      <c r="T10" s="514"/>
      <c r="U10" s="514"/>
      <c r="V10" s="515"/>
      <c r="X10" s="96"/>
      <c r="Y10" s="96"/>
      <c r="Z10" s="96"/>
      <c r="AA10" s="96"/>
      <c r="AB10" s="96"/>
      <c r="AC10" s="96"/>
      <c r="AJ10" s="193" t="s">
        <v>189</v>
      </c>
      <c r="AK10" s="199">
        <f>'V Calc'!B6</f>
        <v>0.63607464142166403</v>
      </c>
      <c r="AL10" s="198" t="s">
        <v>190</v>
      </c>
    </row>
    <row r="11" spans="1:55" s="9" customFormat="1" ht="20.100000000000001" customHeight="1" thickBot="1" x14ac:dyDescent="0.25">
      <c r="A11" s="516" t="s">
        <v>21</v>
      </c>
      <c r="B11" s="517"/>
      <c r="C11" s="517"/>
      <c r="D11" s="517"/>
      <c r="E11" s="517"/>
      <c r="F11" s="517"/>
      <c r="G11" s="517"/>
      <c r="H11" s="517"/>
      <c r="I11" s="517"/>
      <c r="J11" s="517"/>
      <c r="K11" s="517"/>
      <c r="L11" s="517"/>
      <c r="M11" s="517"/>
      <c r="N11" s="517"/>
      <c r="O11" s="517"/>
      <c r="P11" s="517"/>
      <c r="Q11" s="517"/>
      <c r="R11" s="517"/>
      <c r="S11" s="517"/>
      <c r="T11" s="517"/>
      <c r="U11" s="517"/>
      <c r="V11" s="518"/>
      <c r="X11" s="97"/>
      <c r="Y11" s="97"/>
      <c r="Z11" s="97"/>
      <c r="AA11" s="97"/>
      <c r="AB11" s="97"/>
      <c r="AC11" s="97"/>
    </row>
    <row r="12" spans="1:55" s="6" customFormat="1" ht="30" customHeight="1" thickBot="1" x14ac:dyDescent="0.3">
      <c r="A12" s="18"/>
      <c r="B12" s="20"/>
      <c r="C12" s="20"/>
      <c r="D12" s="19" t="s">
        <v>121</v>
      </c>
      <c r="E12" s="200" t="str">
        <f>'Day 11'!E12</f>
        <v>MPR 632  RFD</v>
      </c>
      <c r="F12" s="35"/>
      <c r="G12" s="19" t="s">
        <v>120</v>
      </c>
      <c r="H12" s="200" t="str">
        <f>IF(Volume!C$15="","",Volume!C$15)</f>
        <v>FP 65354</v>
      </c>
      <c r="I12" s="20"/>
      <c r="J12" s="19" t="s">
        <v>17</v>
      </c>
      <c r="K12" s="505">
        <f>'Day 11'!K12+1</f>
        <v>45820</v>
      </c>
      <c r="L12" s="505"/>
      <c r="M12" s="100"/>
      <c r="N12" s="19" t="s">
        <v>119</v>
      </c>
      <c r="O12" s="200" t="str">
        <f>IF(Volume!D$15="","",Volume!D$15)</f>
        <v>SP. Tambun - Cluster F</v>
      </c>
      <c r="P12" s="20"/>
      <c r="Q12" s="19" t="s">
        <v>122</v>
      </c>
      <c r="S12" s="201">
        <f>IF(Volume!E$15="","",Volume!E$15)</f>
        <v>1.25</v>
      </c>
      <c r="T12" s="20"/>
      <c r="U12" s="19" t="s">
        <v>126</v>
      </c>
      <c r="V12" s="202" t="str">
        <f>IF(Volume!F$15="","",Volume!F$15)</f>
        <v>4/0</v>
      </c>
    </row>
    <row r="13" spans="1:55" ht="30" customHeight="1" thickBot="1" x14ac:dyDescent="0.3">
      <c r="A13" s="502" t="s">
        <v>0</v>
      </c>
      <c r="B13" s="502" t="s">
        <v>213</v>
      </c>
      <c r="C13" s="502" t="s">
        <v>212</v>
      </c>
      <c r="D13" s="502" t="s">
        <v>31</v>
      </c>
      <c r="E13" s="502" t="s">
        <v>32</v>
      </c>
      <c r="F13" s="502" t="s">
        <v>2</v>
      </c>
      <c r="G13" s="502" t="s">
        <v>33</v>
      </c>
      <c r="H13" s="502" t="s">
        <v>35</v>
      </c>
      <c r="I13" s="502" t="s">
        <v>36</v>
      </c>
      <c r="J13" s="502" t="s">
        <v>110</v>
      </c>
      <c r="K13" s="502" t="s">
        <v>15</v>
      </c>
      <c r="L13" s="502" t="s">
        <v>34</v>
      </c>
      <c r="M13" s="502" t="s">
        <v>10</v>
      </c>
      <c r="N13" s="502"/>
      <c r="O13" s="506" t="s">
        <v>300</v>
      </c>
      <c r="P13" s="506" t="s">
        <v>299</v>
      </c>
      <c r="Q13" s="502" t="s">
        <v>7</v>
      </c>
      <c r="R13" s="502" t="s">
        <v>88</v>
      </c>
      <c r="S13" s="502" t="s">
        <v>8</v>
      </c>
      <c r="T13" s="502"/>
      <c r="U13" s="502"/>
      <c r="V13" s="502"/>
      <c r="X13" s="98"/>
      <c r="Y13" s="98"/>
      <c r="Z13" s="98"/>
      <c r="AA13" s="98"/>
      <c r="AB13" s="98"/>
      <c r="AC13" s="98"/>
    </row>
    <row r="14" spans="1:55" ht="30" customHeight="1" x14ac:dyDescent="0.25">
      <c r="A14" s="504"/>
      <c r="B14" s="504"/>
      <c r="C14" s="504"/>
      <c r="D14" s="504"/>
      <c r="E14" s="504"/>
      <c r="F14" s="504"/>
      <c r="G14" s="504"/>
      <c r="H14" s="504"/>
      <c r="I14" s="504"/>
      <c r="J14" s="504"/>
      <c r="K14" s="504"/>
      <c r="L14" s="504"/>
      <c r="M14" s="94" t="s">
        <v>3</v>
      </c>
      <c r="N14" s="94" t="s">
        <v>4</v>
      </c>
      <c r="O14" s="507"/>
      <c r="P14" s="507"/>
      <c r="Q14" s="504"/>
      <c r="R14" s="504"/>
      <c r="S14" s="504"/>
      <c r="T14" s="504"/>
      <c r="U14" s="504"/>
      <c r="V14" s="504"/>
      <c r="Y14" s="502" t="s">
        <v>230</v>
      </c>
      <c r="Z14" s="502"/>
      <c r="AA14" s="502"/>
      <c r="AB14" s="502"/>
      <c r="AC14" s="502"/>
      <c r="AD14" s="502" t="s">
        <v>231</v>
      </c>
      <c r="AH14" s="203" t="s">
        <v>232</v>
      </c>
      <c r="AJ14" s="520" t="s">
        <v>191</v>
      </c>
      <c r="AK14" s="520" t="s">
        <v>192</v>
      </c>
      <c r="AL14" s="520" t="s">
        <v>193</v>
      </c>
      <c r="AM14" s="520" t="s">
        <v>194</v>
      </c>
      <c r="AN14" s="520" t="s">
        <v>195</v>
      </c>
      <c r="AO14" s="506" t="s">
        <v>196</v>
      </c>
      <c r="AP14" s="506" t="s">
        <v>197</v>
      </c>
      <c r="AQ14" s="506" t="s">
        <v>198</v>
      </c>
      <c r="AR14" s="506" t="s">
        <v>188</v>
      </c>
      <c r="AS14" s="506" t="s">
        <v>199</v>
      </c>
      <c r="AT14" s="506" t="s">
        <v>200</v>
      </c>
      <c r="AU14" s="506" t="s">
        <v>201</v>
      </c>
      <c r="AV14" s="506" t="s">
        <v>202</v>
      </c>
      <c r="AW14" s="506" t="s">
        <v>203</v>
      </c>
      <c r="AX14" s="506" t="s">
        <v>204</v>
      </c>
      <c r="AY14" s="523" t="s">
        <v>205</v>
      </c>
      <c r="AZ14" s="523" t="s">
        <v>206</v>
      </c>
      <c r="BA14" s="523" t="s">
        <v>207</v>
      </c>
      <c r="BB14" s="523" t="s">
        <v>208</v>
      </c>
      <c r="BC14" s="506" t="s">
        <v>197</v>
      </c>
    </row>
    <row r="15" spans="1:55" ht="20.100000000000001" customHeight="1" thickBot="1" x14ac:dyDescent="0.3">
      <c r="A15" s="503"/>
      <c r="B15" s="95" t="s">
        <v>1</v>
      </c>
      <c r="C15" s="95" t="s">
        <v>1</v>
      </c>
      <c r="D15" s="95" t="s">
        <v>1</v>
      </c>
      <c r="E15" s="95" t="s">
        <v>1</v>
      </c>
      <c r="F15" s="95" t="s">
        <v>140</v>
      </c>
      <c r="G15" s="95" t="s">
        <v>1</v>
      </c>
      <c r="H15" s="95" t="s">
        <v>1</v>
      </c>
      <c r="I15" s="95" t="s">
        <v>1</v>
      </c>
      <c r="J15" s="95" t="s">
        <v>18</v>
      </c>
      <c r="K15" s="95" t="s">
        <v>9</v>
      </c>
      <c r="L15" s="95" t="s">
        <v>5</v>
      </c>
      <c r="M15" s="95" t="s">
        <v>5</v>
      </c>
      <c r="N15" s="95" t="s">
        <v>5</v>
      </c>
      <c r="O15" s="95" t="s">
        <v>1</v>
      </c>
      <c r="P15" s="95" t="s">
        <v>14</v>
      </c>
      <c r="Q15" s="95" t="str">
        <f>IF(MR!G17="MSCF","MSCFD","MMSCFD")</f>
        <v>MSCFD</v>
      </c>
      <c r="R15" s="95" t="str">
        <f>MR!L17</f>
        <v>BPD</v>
      </c>
      <c r="S15" s="503"/>
      <c r="T15" s="503"/>
      <c r="U15" s="503"/>
      <c r="V15" s="503"/>
      <c r="X15" s="365"/>
      <c r="Y15" s="95" t="s">
        <v>123</v>
      </c>
      <c r="Z15" s="95" t="s">
        <v>124</v>
      </c>
      <c r="AA15" s="95" t="s">
        <v>125</v>
      </c>
      <c r="AB15" s="95" t="s">
        <v>51</v>
      </c>
      <c r="AC15" s="95" t="s">
        <v>48</v>
      </c>
      <c r="AD15" s="503"/>
      <c r="AH15" s="204" t="s">
        <v>228</v>
      </c>
      <c r="AJ15" s="521"/>
      <c r="AK15" s="521"/>
      <c r="AL15" s="521"/>
      <c r="AM15" s="521"/>
      <c r="AN15" s="521"/>
      <c r="AO15" s="522"/>
      <c r="AP15" s="522"/>
      <c r="AQ15" s="522"/>
      <c r="AR15" s="522"/>
      <c r="AS15" s="522"/>
      <c r="AT15" s="522"/>
      <c r="AU15" s="522"/>
      <c r="AV15" s="522"/>
      <c r="AW15" s="522"/>
      <c r="AX15" s="522"/>
      <c r="AY15" s="524"/>
      <c r="AZ15" s="524"/>
      <c r="BA15" s="524"/>
      <c r="BB15" s="524"/>
      <c r="BC15" s="522"/>
    </row>
    <row r="16" spans="1:55" ht="20.100000000000001" customHeight="1" x14ac:dyDescent="0.2">
      <c r="A16" s="44">
        <v>4.1666666666666664E-2</v>
      </c>
      <c r="B16" s="450"/>
      <c r="C16" s="450"/>
      <c r="D16" s="450">
        <v>7.3</v>
      </c>
      <c r="E16" s="450">
        <v>59.6</v>
      </c>
      <c r="F16" s="40">
        <v>1965</v>
      </c>
      <c r="G16" s="36">
        <v>-5.6</v>
      </c>
      <c r="H16" s="36">
        <v>72.3</v>
      </c>
      <c r="I16" s="36">
        <v>22</v>
      </c>
      <c r="J16" s="40">
        <v>344</v>
      </c>
      <c r="K16" s="36">
        <v>13</v>
      </c>
      <c r="L16" s="450">
        <v>128</v>
      </c>
      <c r="M16" s="450">
        <v>222</v>
      </c>
      <c r="N16" s="450">
        <v>85</v>
      </c>
      <c r="O16" s="352">
        <v>55</v>
      </c>
      <c r="P16" s="352">
        <v>6</v>
      </c>
      <c r="Q16" s="352">
        <v>183.87</v>
      </c>
      <c r="R16" s="36"/>
      <c r="S16" s="519" t="str">
        <f t="shared" ref="S16:S32" si="0">IF(Z16="",IF(AD16="","",AD16),CONCATENATE(TEXT(Z16,"[hh]:mm"),IF(AA16="",""," - "&amp;TEXT(AA16,"[hh]:mm")),IF(Y16="",""," "&amp;Y16&amp;"/")," "&amp;AD16))</f>
        <v/>
      </c>
      <c r="T16" s="519"/>
      <c r="U16" s="519"/>
      <c r="V16" s="519"/>
      <c r="X16" s="44">
        <v>4.1666666666666664E-2</v>
      </c>
      <c r="Y16" s="105"/>
      <c r="Z16" s="101"/>
      <c r="AA16" s="101"/>
      <c r="AB16" s="44" t="str">
        <f>IF(Y16="STBY",AA16-Z16,"")</f>
        <v/>
      </c>
      <c r="AC16" s="44" t="str">
        <f t="shared" ref="AC16:AC39" si="1">IF(Y16="SD",AA16-Z16,"")</f>
        <v/>
      </c>
      <c r="AD16" s="355"/>
      <c r="AE16" s="9" t="str">
        <f>IF(S16="","",IF(COUNTA(Z16:$Z$39)=1,IF(COUNTA(AD16:$AD$39)=1,""," ; "),IF(COUNTA(AD16:$AD$39)=1,IF(Z16="",""," ; ")," ; ")))</f>
        <v/>
      </c>
      <c r="AF16" s="9" t="str">
        <f t="shared" ref="AF16:AF39" si="2">CONCATENATE(S16,AE16)</f>
        <v/>
      </c>
      <c r="AG16" s="90" t="str">
        <f t="shared" ref="AG16:AG39" si="3">IF(AND(COUNTBLANK(N16:P16)&lt;3,Q16=""),"CEK : Data Flowrate","")</f>
        <v/>
      </c>
      <c r="AH16" s="204" t="s">
        <v>229</v>
      </c>
      <c r="AJ16" s="205">
        <f>AK5</f>
        <v>500</v>
      </c>
      <c r="AK16" s="205">
        <f>AK6</f>
        <v>100</v>
      </c>
      <c r="AL16" s="206">
        <f>AK7</f>
        <v>2</v>
      </c>
      <c r="AM16" s="207">
        <f>AK8</f>
        <v>0.875</v>
      </c>
      <c r="AN16" s="208">
        <f>AK10</f>
        <v>0.63607464142166403</v>
      </c>
      <c r="AO16" s="209">
        <f t="shared" ref="AO16:AO39" si="4">T16^2*AJ16/100-14.7</f>
        <v>-14.7</v>
      </c>
      <c r="AP16" s="210">
        <f t="shared" ref="AP16:AP39" si="5">IF(AO16&lt;100,1,BC16)</f>
        <v>1</v>
      </c>
      <c r="AQ16" s="210">
        <f t="shared" ref="AQ16:AQ39" si="6">(1/AP16)^0.5</f>
        <v>1</v>
      </c>
      <c r="AR16" s="52">
        <f>AK9</f>
        <v>158.47</v>
      </c>
      <c r="AS16" s="210">
        <f t="shared" ref="AS16:AS39" si="7">(520/(460+N16))^0.5</f>
        <v>0.97679498379494789</v>
      </c>
      <c r="AT16" s="210">
        <f t="shared" ref="AT16:AT39" si="8">(1/AN16)^0.5</f>
        <v>1.2538510821608391</v>
      </c>
      <c r="AU16" s="210">
        <f t="shared" ref="AU16:AU39" si="9">0.01*(AJ16*AK16)^0.5</f>
        <v>2.2360679774997898</v>
      </c>
      <c r="AV16" s="211">
        <f t="shared" ref="AV16:AV39" si="10">0.024*AQ16*AR16*AS16*AT16*AU16</f>
        <v>10.415801185754333</v>
      </c>
      <c r="AW16" s="210">
        <f t="shared" ref="AW16:AW39" si="11">(AO16+14.7)/(697.2-43*AN16)</f>
        <v>0</v>
      </c>
      <c r="AX16" s="212">
        <f t="shared" ref="AX16:AX39" si="12">(N16+460)/(315.1*AN16+170.4)</f>
        <v>1.4696875479799241</v>
      </c>
      <c r="AY16" s="210">
        <f t="shared" ref="AY16:AY39" si="13">0.3379*LN(LN(AX16))+1.091</f>
        <v>0.76851414128953044</v>
      </c>
      <c r="AZ16" s="211">
        <f t="shared" ref="AZ16:AZ39" si="14">21.46*AY16-11.9*AY16^2-5.9</f>
        <v>3.5640070462657096</v>
      </c>
      <c r="BA16" s="210">
        <f t="shared" ref="BA16:BA39" si="15">AW16/AZ16</f>
        <v>0</v>
      </c>
      <c r="BB16" s="210">
        <f t="shared" ref="BB16:BB39" si="16">(1.1+0.26*AX16+(1.04-1.42*AX16)*BA16)*2.718^BA16/AX16</f>
        <v>1.0084584063544275</v>
      </c>
      <c r="BC16" s="210">
        <f t="shared" ref="BC16:BC39" si="17">1+(AY16-1)*SIN((90*BA16)/57.29578)^BB16</f>
        <v>1</v>
      </c>
    </row>
    <row r="17" spans="1:55" ht="20.100000000000001" customHeight="1" x14ac:dyDescent="0.2">
      <c r="A17" s="45">
        <v>8.3333333333333301E-2</v>
      </c>
      <c r="B17" s="451"/>
      <c r="C17" s="451"/>
      <c r="D17" s="451">
        <v>7.6</v>
      </c>
      <c r="E17" s="451">
        <v>59.5</v>
      </c>
      <c r="F17" s="41">
        <v>1956</v>
      </c>
      <c r="G17" s="37">
        <v>-5.6</v>
      </c>
      <c r="H17" s="37">
        <v>72.599999999999994</v>
      </c>
      <c r="I17" s="37">
        <v>22.3</v>
      </c>
      <c r="J17" s="41">
        <v>345</v>
      </c>
      <c r="K17" s="37">
        <v>13</v>
      </c>
      <c r="L17" s="451">
        <v>125</v>
      </c>
      <c r="M17" s="451">
        <v>222</v>
      </c>
      <c r="N17" s="451">
        <v>85</v>
      </c>
      <c r="O17" s="353">
        <v>55</v>
      </c>
      <c r="P17" s="353">
        <v>8</v>
      </c>
      <c r="Q17" s="353">
        <v>212.06</v>
      </c>
      <c r="R17" s="37"/>
      <c r="S17" s="508" t="str">
        <f t="shared" si="0"/>
        <v/>
      </c>
      <c r="T17" s="508"/>
      <c r="U17" s="508"/>
      <c r="V17" s="508"/>
      <c r="X17" s="45">
        <v>8.3333333333333301E-2</v>
      </c>
      <c r="Y17" s="106"/>
      <c r="Z17" s="102"/>
      <c r="AA17" s="102"/>
      <c r="AB17" s="45" t="str">
        <f t="shared" ref="AB17:AB39" si="18">IF(Y17="STBY",AA17-Z17,"")</f>
        <v/>
      </c>
      <c r="AC17" s="45" t="str">
        <f t="shared" si="1"/>
        <v/>
      </c>
      <c r="AD17" s="81"/>
      <c r="AE17" s="9" t="str">
        <f>IF(S17="","",IF(COUNTA(Z17:$Z$39)=1,IF(COUNTA(AD17:$AD$39)=1,""," ; "),IF(COUNTA(AD17:$AD$39)=1,IF(Z17="",""," ; ")," ; ")))</f>
        <v/>
      </c>
      <c r="AF17" s="9" t="str">
        <f t="shared" si="2"/>
        <v/>
      </c>
      <c r="AG17" s="90" t="str">
        <f t="shared" si="3"/>
        <v/>
      </c>
      <c r="AH17" s="204" t="s">
        <v>289</v>
      </c>
      <c r="AJ17" s="206">
        <f t="shared" ref="AJ17:AN32" si="19">AJ16</f>
        <v>500</v>
      </c>
      <c r="AK17" s="206">
        <f t="shared" si="19"/>
        <v>100</v>
      </c>
      <c r="AL17" s="206">
        <f>AL16</f>
        <v>2</v>
      </c>
      <c r="AM17" s="213">
        <f>AM16</f>
        <v>0.875</v>
      </c>
      <c r="AN17" s="214">
        <f>AN16</f>
        <v>0.63607464142166403</v>
      </c>
      <c r="AO17" s="215">
        <f t="shared" si="4"/>
        <v>-14.7</v>
      </c>
      <c r="AP17" s="216">
        <f t="shared" si="5"/>
        <v>1</v>
      </c>
      <c r="AQ17" s="216">
        <f t="shared" si="6"/>
        <v>1</v>
      </c>
      <c r="AR17" s="215">
        <f>AR16</f>
        <v>158.47</v>
      </c>
      <c r="AS17" s="216">
        <f t="shared" si="7"/>
        <v>0.97679498379494789</v>
      </c>
      <c r="AT17" s="216">
        <f t="shared" si="8"/>
        <v>1.2538510821608391</v>
      </c>
      <c r="AU17" s="216">
        <f t="shared" si="9"/>
        <v>2.2360679774997898</v>
      </c>
      <c r="AV17" s="217">
        <f t="shared" si="10"/>
        <v>10.415801185754333</v>
      </c>
      <c r="AW17" s="216">
        <f t="shared" si="11"/>
        <v>0</v>
      </c>
      <c r="AX17" s="218">
        <f t="shared" si="12"/>
        <v>1.4696875479799241</v>
      </c>
      <c r="AY17" s="216">
        <f t="shared" si="13"/>
        <v>0.76851414128953044</v>
      </c>
      <c r="AZ17" s="217">
        <f t="shared" si="14"/>
        <v>3.5640070462657096</v>
      </c>
      <c r="BA17" s="216">
        <f t="shared" si="15"/>
        <v>0</v>
      </c>
      <c r="BB17" s="216">
        <f t="shared" si="16"/>
        <v>1.0084584063544275</v>
      </c>
      <c r="BC17" s="216">
        <f t="shared" si="17"/>
        <v>1</v>
      </c>
    </row>
    <row r="18" spans="1:55" ht="20.100000000000001" customHeight="1" x14ac:dyDescent="0.2">
      <c r="A18" s="45">
        <v>0.125</v>
      </c>
      <c r="B18" s="451"/>
      <c r="C18" s="451"/>
      <c r="D18" s="451">
        <v>7</v>
      </c>
      <c r="E18" s="451">
        <v>63.3</v>
      </c>
      <c r="F18" s="41">
        <v>1983</v>
      </c>
      <c r="G18" s="37">
        <v>-5.6</v>
      </c>
      <c r="H18" s="37">
        <v>72.5</v>
      </c>
      <c r="I18" s="37">
        <v>22.6</v>
      </c>
      <c r="J18" s="41">
        <v>346</v>
      </c>
      <c r="K18" s="37">
        <v>13</v>
      </c>
      <c r="L18" s="451">
        <v>125</v>
      </c>
      <c r="M18" s="451">
        <v>222</v>
      </c>
      <c r="N18" s="451">
        <v>85</v>
      </c>
      <c r="O18" s="353">
        <v>50</v>
      </c>
      <c r="P18" s="353">
        <v>8</v>
      </c>
      <c r="Q18" s="353">
        <v>204.21</v>
      </c>
      <c r="R18" s="37"/>
      <c r="S18" s="508" t="str">
        <f t="shared" si="0"/>
        <v/>
      </c>
      <c r="T18" s="508"/>
      <c r="U18" s="508"/>
      <c r="V18" s="508"/>
      <c r="X18" s="45">
        <v>0.125</v>
      </c>
      <c r="Y18" s="106"/>
      <c r="Z18" s="102"/>
      <c r="AA18" s="102"/>
      <c r="AB18" s="45" t="str">
        <f t="shared" si="18"/>
        <v/>
      </c>
      <c r="AC18" s="45" t="str">
        <f t="shared" si="1"/>
        <v/>
      </c>
      <c r="AD18" s="81"/>
      <c r="AE18" s="9" t="str">
        <f>IF(S18="","",IF(COUNTA(Z18:$Z$39)=1,IF(COUNTA(AD18:$AD$39)=1,""," ; "),IF(COUNTA(AD18:$AD$39)=1,IF(Z18="",""," ; ")," ; ")))</f>
        <v/>
      </c>
      <c r="AF18" s="9" t="str">
        <f t="shared" si="2"/>
        <v/>
      </c>
      <c r="AG18" s="90" t="str">
        <f t="shared" si="3"/>
        <v/>
      </c>
      <c r="AH18" s="204" t="s">
        <v>321</v>
      </c>
      <c r="AJ18" s="206">
        <f t="shared" si="19"/>
        <v>500</v>
      </c>
      <c r="AK18" s="206">
        <f t="shared" si="19"/>
        <v>100</v>
      </c>
      <c r="AL18" s="206">
        <f t="shared" si="19"/>
        <v>2</v>
      </c>
      <c r="AM18" s="213">
        <f t="shared" si="19"/>
        <v>0.875</v>
      </c>
      <c r="AN18" s="214">
        <f t="shared" si="19"/>
        <v>0.63607464142166403</v>
      </c>
      <c r="AO18" s="215">
        <f t="shared" si="4"/>
        <v>-14.7</v>
      </c>
      <c r="AP18" s="216">
        <f t="shared" si="5"/>
        <v>1</v>
      </c>
      <c r="AQ18" s="216">
        <f t="shared" si="6"/>
        <v>1</v>
      </c>
      <c r="AR18" s="215">
        <f t="shared" ref="AR18:AR39" si="20">AR17</f>
        <v>158.47</v>
      </c>
      <c r="AS18" s="216">
        <f t="shared" si="7"/>
        <v>0.97679498379494789</v>
      </c>
      <c r="AT18" s="216">
        <f t="shared" si="8"/>
        <v>1.2538510821608391</v>
      </c>
      <c r="AU18" s="216">
        <f t="shared" si="9"/>
        <v>2.2360679774997898</v>
      </c>
      <c r="AV18" s="217">
        <f t="shared" si="10"/>
        <v>10.415801185754333</v>
      </c>
      <c r="AW18" s="216">
        <f t="shared" si="11"/>
        <v>0</v>
      </c>
      <c r="AX18" s="218">
        <f t="shared" si="12"/>
        <v>1.4696875479799241</v>
      </c>
      <c r="AY18" s="216">
        <f t="shared" si="13"/>
        <v>0.76851414128953044</v>
      </c>
      <c r="AZ18" s="217">
        <f t="shared" si="14"/>
        <v>3.5640070462657096</v>
      </c>
      <c r="BA18" s="216">
        <f t="shared" si="15"/>
        <v>0</v>
      </c>
      <c r="BB18" s="216">
        <f t="shared" si="16"/>
        <v>1.0084584063544275</v>
      </c>
      <c r="BC18" s="216">
        <f t="shared" si="17"/>
        <v>1</v>
      </c>
    </row>
    <row r="19" spans="1:55" ht="20.100000000000001" customHeight="1" x14ac:dyDescent="0.2">
      <c r="A19" s="45">
        <v>0.16666666666666699</v>
      </c>
      <c r="B19" s="451"/>
      <c r="C19" s="451"/>
      <c r="D19" s="451">
        <v>7.5</v>
      </c>
      <c r="E19" s="451">
        <v>63.6</v>
      </c>
      <c r="F19" s="41">
        <v>1945</v>
      </c>
      <c r="G19" s="37">
        <v>-5.6</v>
      </c>
      <c r="H19" s="37">
        <v>72.3</v>
      </c>
      <c r="I19" s="37">
        <v>22.9</v>
      </c>
      <c r="J19" s="41">
        <v>347</v>
      </c>
      <c r="K19" s="37">
        <v>13</v>
      </c>
      <c r="L19" s="451">
        <v>123</v>
      </c>
      <c r="M19" s="451">
        <v>220</v>
      </c>
      <c r="N19" s="451">
        <v>85</v>
      </c>
      <c r="O19" s="353">
        <v>35</v>
      </c>
      <c r="P19" s="353">
        <v>10</v>
      </c>
      <c r="Q19" s="353">
        <v>199.61</v>
      </c>
      <c r="R19" s="37"/>
      <c r="S19" s="508" t="str">
        <f t="shared" si="0"/>
        <v/>
      </c>
      <c r="T19" s="508"/>
      <c r="U19" s="508"/>
      <c r="V19" s="508"/>
      <c r="X19" s="45">
        <v>0.16666666666666699</v>
      </c>
      <c r="Y19" s="106"/>
      <c r="Z19" s="102"/>
      <c r="AA19" s="102"/>
      <c r="AB19" s="45" t="str">
        <f t="shared" si="18"/>
        <v/>
      </c>
      <c r="AC19" s="45" t="str">
        <f t="shared" si="1"/>
        <v/>
      </c>
      <c r="AD19" s="81"/>
      <c r="AE19" s="9" t="str">
        <f>IF(S19="","",IF(COUNTA(Z19:$Z$39)=1,IF(COUNTA(AD19:$AD$39)=1,""," ; "),IF(COUNTA(AD19:$AD$39)=1,IF(Z19="",""," ; ")," ; ")))</f>
        <v/>
      </c>
      <c r="AF19" s="9" t="str">
        <f t="shared" si="2"/>
        <v/>
      </c>
      <c r="AG19" s="90" t="str">
        <f t="shared" si="3"/>
        <v/>
      </c>
      <c r="AH19" s="204" t="s">
        <v>272</v>
      </c>
      <c r="AJ19" s="206">
        <f t="shared" si="19"/>
        <v>500</v>
      </c>
      <c r="AK19" s="206">
        <f t="shared" si="19"/>
        <v>100</v>
      </c>
      <c r="AL19" s="206">
        <f t="shared" si="19"/>
        <v>2</v>
      </c>
      <c r="AM19" s="213">
        <f t="shared" si="19"/>
        <v>0.875</v>
      </c>
      <c r="AN19" s="214">
        <f t="shared" si="19"/>
        <v>0.63607464142166403</v>
      </c>
      <c r="AO19" s="215">
        <f t="shared" si="4"/>
        <v>-14.7</v>
      </c>
      <c r="AP19" s="216">
        <f t="shared" si="5"/>
        <v>1</v>
      </c>
      <c r="AQ19" s="216">
        <f t="shared" si="6"/>
        <v>1</v>
      </c>
      <c r="AR19" s="215">
        <f t="shared" si="20"/>
        <v>158.47</v>
      </c>
      <c r="AS19" s="216">
        <f t="shared" si="7"/>
        <v>0.97679498379494789</v>
      </c>
      <c r="AT19" s="216">
        <f t="shared" si="8"/>
        <v>1.2538510821608391</v>
      </c>
      <c r="AU19" s="216">
        <f t="shared" si="9"/>
        <v>2.2360679774997898</v>
      </c>
      <c r="AV19" s="217">
        <f t="shared" si="10"/>
        <v>10.415801185754333</v>
      </c>
      <c r="AW19" s="216">
        <f t="shared" si="11"/>
        <v>0</v>
      </c>
      <c r="AX19" s="218">
        <f t="shared" si="12"/>
        <v>1.4696875479799241</v>
      </c>
      <c r="AY19" s="216">
        <f t="shared" si="13"/>
        <v>0.76851414128953044</v>
      </c>
      <c r="AZ19" s="217">
        <f t="shared" si="14"/>
        <v>3.5640070462657096</v>
      </c>
      <c r="BA19" s="216">
        <f t="shared" si="15"/>
        <v>0</v>
      </c>
      <c r="BB19" s="216">
        <f t="shared" si="16"/>
        <v>1.0084584063544275</v>
      </c>
      <c r="BC19" s="216">
        <f t="shared" si="17"/>
        <v>1</v>
      </c>
    </row>
    <row r="20" spans="1:55" ht="20.100000000000001" customHeight="1" x14ac:dyDescent="0.2">
      <c r="A20" s="45">
        <v>0.20833333333333301</v>
      </c>
      <c r="B20" s="451"/>
      <c r="C20" s="451"/>
      <c r="D20" s="451">
        <v>7.3</v>
      </c>
      <c r="E20" s="451">
        <v>63.9</v>
      </c>
      <c r="F20" s="41">
        <v>1961</v>
      </c>
      <c r="G20" s="37">
        <v>-5.6</v>
      </c>
      <c r="H20" s="37">
        <v>72</v>
      </c>
      <c r="I20" s="37">
        <v>22.5</v>
      </c>
      <c r="J20" s="41">
        <v>348</v>
      </c>
      <c r="K20" s="37">
        <v>13</v>
      </c>
      <c r="L20" s="451">
        <v>123</v>
      </c>
      <c r="M20" s="451">
        <v>220</v>
      </c>
      <c r="N20" s="451">
        <v>85</v>
      </c>
      <c r="O20" s="353">
        <v>35</v>
      </c>
      <c r="P20" s="353">
        <v>10</v>
      </c>
      <c r="Q20" s="353">
        <v>199.61</v>
      </c>
      <c r="R20" s="37"/>
      <c r="S20" s="508" t="str">
        <f t="shared" si="0"/>
        <v/>
      </c>
      <c r="T20" s="508"/>
      <c r="U20" s="508"/>
      <c r="V20" s="508"/>
      <c r="X20" s="45">
        <v>0.20833333333333301</v>
      </c>
      <c r="Y20" s="106"/>
      <c r="Z20" s="102"/>
      <c r="AA20" s="102"/>
      <c r="AB20" s="45" t="str">
        <f t="shared" si="18"/>
        <v/>
      </c>
      <c r="AC20" s="45" t="str">
        <f t="shared" si="1"/>
        <v/>
      </c>
      <c r="AD20" s="81"/>
      <c r="AE20" s="9" t="str">
        <f>IF(S20="","",IF(COUNTA(Z20:$Z$39)=1,IF(COUNTA(AD20:$AD$39)=1,""," ; "),IF(COUNTA(AD20:$AD$39)=1,IF(Z20="",""," ; ")," ; ")))</f>
        <v/>
      </c>
      <c r="AF20" s="9" t="str">
        <f t="shared" si="2"/>
        <v/>
      </c>
      <c r="AG20" s="90" t="str">
        <f t="shared" si="3"/>
        <v/>
      </c>
      <c r="AH20" s="204" t="s">
        <v>275</v>
      </c>
      <c r="AJ20" s="206">
        <f t="shared" si="19"/>
        <v>500</v>
      </c>
      <c r="AK20" s="206">
        <f t="shared" si="19"/>
        <v>100</v>
      </c>
      <c r="AL20" s="206">
        <f t="shared" si="19"/>
        <v>2</v>
      </c>
      <c r="AM20" s="213">
        <f t="shared" si="19"/>
        <v>0.875</v>
      </c>
      <c r="AN20" s="214">
        <f t="shared" si="19"/>
        <v>0.63607464142166403</v>
      </c>
      <c r="AO20" s="215">
        <f t="shared" si="4"/>
        <v>-14.7</v>
      </c>
      <c r="AP20" s="216">
        <f t="shared" si="5"/>
        <v>1</v>
      </c>
      <c r="AQ20" s="216">
        <f t="shared" si="6"/>
        <v>1</v>
      </c>
      <c r="AR20" s="215">
        <f t="shared" si="20"/>
        <v>158.47</v>
      </c>
      <c r="AS20" s="216">
        <f t="shared" si="7"/>
        <v>0.97679498379494789</v>
      </c>
      <c r="AT20" s="216">
        <f t="shared" si="8"/>
        <v>1.2538510821608391</v>
      </c>
      <c r="AU20" s="216">
        <f t="shared" si="9"/>
        <v>2.2360679774997898</v>
      </c>
      <c r="AV20" s="217">
        <f t="shared" si="10"/>
        <v>10.415801185754333</v>
      </c>
      <c r="AW20" s="216">
        <f t="shared" si="11"/>
        <v>0</v>
      </c>
      <c r="AX20" s="218">
        <f t="shared" si="12"/>
        <v>1.4696875479799241</v>
      </c>
      <c r="AY20" s="216">
        <f t="shared" si="13"/>
        <v>0.76851414128953044</v>
      </c>
      <c r="AZ20" s="217">
        <f t="shared" si="14"/>
        <v>3.5640070462657096</v>
      </c>
      <c r="BA20" s="216">
        <f t="shared" si="15"/>
        <v>0</v>
      </c>
      <c r="BB20" s="216">
        <f t="shared" si="16"/>
        <v>1.0084584063544275</v>
      </c>
      <c r="BC20" s="216">
        <f t="shared" si="17"/>
        <v>1</v>
      </c>
    </row>
    <row r="21" spans="1:55" ht="20.100000000000001" customHeight="1" x14ac:dyDescent="0.2">
      <c r="A21" s="45">
        <v>0.25</v>
      </c>
      <c r="B21" s="451"/>
      <c r="C21" s="451"/>
      <c r="D21" s="451">
        <v>7.6</v>
      </c>
      <c r="E21" s="451">
        <v>58.2</v>
      </c>
      <c r="F21" s="41">
        <v>1980</v>
      </c>
      <c r="G21" s="37">
        <v>-5.6</v>
      </c>
      <c r="H21" s="37">
        <v>72.5</v>
      </c>
      <c r="I21" s="37">
        <v>22.3</v>
      </c>
      <c r="J21" s="41">
        <v>349</v>
      </c>
      <c r="K21" s="37">
        <v>13</v>
      </c>
      <c r="L21" s="451">
        <v>125</v>
      </c>
      <c r="M21" s="451">
        <v>220</v>
      </c>
      <c r="N21" s="451">
        <v>85</v>
      </c>
      <c r="O21" s="353">
        <v>35</v>
      </c>
      <c r="P21" s="353">
        <v>11</v>
      </c>
      <c r="Q21" s="353">
        <v>209.26</v>
      </c>
      <c r="R21" s="37"/>
      <c r="S21" s="508" t="str">
        <f t="shared" si="0"/>
        <v/>
      </c>
      <c r="T21" s="508"/>
      <c r="U21" s="508"/>
      <c r="V21" s="508"/>
      <c r="X21" s="45">
        <v>0.25</v>
      </c>
      <c r="Y21" s="106"/>
      <c r="Z21" s="102"/>
      <c r="AA21" s="102"/>
      <c r="AB21" s="45" t="str">
        <f t="shared" si="18"/>
        <v/>
      </c>
      <c r="AC21" s="45" t="str">
        <f t="shared" si="1"/>
        <v/>
      </c>
      <c r="AD21" s="81"/>
      <c r="AE21" s="9" t="str">
        <f>IF(S21="","",IF(COUNTA(Z21:$Z$39)=1,IF(COUNTA(AD21:$AD$39)=1,""," ; "),IF(COUNTA(AD21:$AD$39)=1,IF(Z21="",""," ; ")," ; ")))</f>
        <v/>
      </c>
      <c r="AF21" s="9" t="str">
        <f t="shared" si="2"/>
        <v/>
      </c>
      <c r="AG21" s="90" t="str">
        <f t="shared" si="3"/>
        <v/>
      </c>
      <c r="AH21" s="204" t="s">
        <v>322</v>
      </c>
      <c r="AJ21" s="206">
        <f t="shared" si="19"/>
        <v>500</v>
      </c>
      <c r="AK21" s="206">
        <f t="shared" si="19"/>
        <v>100</v>
      </c>
      <c r="AL21" s="206">
        <f t="shared" si="19"/>
        <v>2</v>
      </c>
      <c r="AM21" s="213">
        <f t="shared" si="19"/>
        <v>0.875</v>
      </c>
      <c r="AN21" s="214">
        <f t="shared" si="19"/>
        <v>0.63607464142166403</v>
      </c>
      <c r="AO21" s="215">
        <f t="shared" si="4"/>
        <v>-14.7</v>
      </c>
      <c r="AP21" s="216">
        <f t="shared" si="5"/>
        <v>1</v>
      </c>
      <c r="AQ21" s="216">
        <f t="shared" si="6"/>
        <v>1</v>
      </c>
      <c r="AR21" s="215">
        <f t="shared" si="20"/>
        <v>158.47</v>
      </c>
      <c r="AS21" s="216">
        <f t="shared" si="7"/>
        <v>0.97679498379494789</v>
      </c>
      <c r="AT21" s="216">
        <f t="shared" si="8"/>
        <v>1.2538510821608391</v>
      </c>
      <c r="AU21" s="216">
        <f t="shared" si="9"/>
        <v>2.2360679774997898</v>
      </c>
      <c r="AV21" s="217">
        <f t="shared" si="10"/>
        <v>10.415801185754333</v>
      </c>
      <c r="AW21" s="216">
        <f t="shared" si="11"/>
        <v>0</v>
      </c>
      <c r="AX21" s="218">
        <f t="shared" si="12"/>
        <v>1.4696875479799241</v>
      </c>
      <c r="AY21" s="216">
        <f t="shared" si="13"/>
        <v>0.76851414128953044</v>
      </c>
      <c r="AZ21" s="217">
        <f t="shared" si="14"/>
        <v>3.5640070462657096</v>
      </c>
      <c r="BA21" s="216">
        <f t="shared" si="15"/>
        <v>0</v>
      </c>
      <c r="BB21" s="216">
        <f t="shared" si="16"/>
        <v>1.0084584063544275</v>
      </c>
      <c r="BC21" s="216">
        <f t="shared" si="17"/>
        <v>1</v>
      </c>
    </row>
    <row r="22" spans="1:55" ht="20.100000000000001" customHeight="1" x14ac:dyDescent="0.2">
      <c r="A22" s="45">
        <v>0.29166666666666702</v>
      </c>
      <c r="B22" s="451"/>
      <c r="C22" s="451"/>
      <c r="D22" s="451">
        <v>7.4</v>
      </c>
      <c r="E22" s="451">
        <v>58.4</v>
      </c>
      <c r="F22" s="41">
        <v>1973</v>
      </c>
      <c r="G22" s="37">
        <v>-5.6</v>
      </c>
      <c r="H22" s="37">
        <v>72.900000000000006</v>
      </c>
      <c r="I22" s="37">
        <v>22.6</v>
      </c>
      <c r="J22" s="41">
        <v>350</v>
      </c>
      <c r="K22" s="37">
        <v>13</v>
      </c>
      <c r="L22" s="451">
        <v>125</v>
      </c>
      <c r="M22" s="451">
        <v>221</v>
      </c>
      <c r="N22" s="451">
        <v>85</v>
      </c>
      <c r="O22" s="353">
        <v>35</v>
      </c>
      <c r="P22" s="353">
        <v>12</v>
      </c>
      <c r="Q22" s="353">
        <v>218.49</v>
      </c>
      <c r="R22" s="37"/>
      <c r="S22" s="508" t="str">
        <f t="shared" si="0"/>
        <v/>
      </c>
      <c r="T22" s="508"/>
      <c r="U22" s="508"/>
      <c r="V22" s="508"/>
      <c r="X22" s="45">
        <v>0.29166666666666702</v>
      </c>
      <c r="Y22" s="106"/>
      <c r="Z22" s="102"/>
      <c r="AA22" s="102"/>
      <c r="AB22" s="45" t="str">
        <f t="shared" si="18"/>
        <v/>
      </c>
      <c r="AC22" s="45" t="str">
        <f t="shared" si="1"/>
        <v/>
      </c>
      <c r="AD22" s="81"/>
      <c r="AE22" s="9" t="str">
        <f>IF(S22="","",IF(COUNTA(Z22:$Z$39)=1,IF(COUNTA(AD22:$AD$39)=1,""," ; "),IF(COUNTA(AD22:$AD$39)=1,IF(Z22="",""," ; ")," ; ")))</f>
        <v/>
      </c>
      <c r="AF22" s="9" t="str">
        <f t="shared" si="2"/>
        <v/>
      </c>
      <c r="AG22" s="90" t="str">
        <f t="shared" si="3"/>
        <v/>
      </c>
      <c r="AH22" s="204" t="s">
        <v>279</v>
      </c>
      <c r="AJ22" s="206">
        <f t="shared" si="19"/>
        <v>500</v>
      </c>
      <c r="AK22" s="206">
        <f t="shared" si="19"/>
        <v>100</v>
      </c>
      <c r="AL22" s="206">
        <f t="shared" si="19"/>
        <v>2</v>
      </c>
      <c r="AM22" s="213">
        <f t="shared" si="19"/>
        <v>0.875</v>
      </c>
      <c r="AN22" s="214">
        <f t="shared" si="19"/>
        <v>0.63607464142166403</v>
      </c>
      <c r="AO22" s="215">
        <f t="shared" si="4"/>
        <v>-14.7</v>
      </c>
      <c r="AP22" s="216">
        <f t="shared" si="5"/>
        <v>1</v>
      </c>
      <c r="AQ22" s="216">
        <f t="shared" si="6"/>
        <v>1</v>
      </c>
      <c r="AR22" s="215">
        <f t="shared" si="20"/>
        <v>158.47</v>
      </c>
      <c r="AS22" s="216">
        <f t="shared" si="7"/>
        <v>0.97679498379494789</v>
      </c>
      <c r="AT22" s="216">
        <f t="shared" si="8"/>
        <v>1.2538510821608391</v>
      </c>
      <c r="AU22" s="216">
        <f t="shared" si="9"/>
        <v>2.2360679774997898</v>
      </c>
      <c r="AV22" s="217">
        <f t="shared" si="10"/>
        <v>10.415801185754333</v>
      </c>
      <c r="AW22" s="216">
        <f t="shared" si="11"/>
        <v>0</v>
      </c>
      <c r="AX22" s="218">
        <f t="shared" si="12"/>
        <v>1.4696875479799241</v>
      </c>
      <c r="AY22" s="216">
        <f t="shared" si="13"/>
        <v>0.76851414128953044</v>
      </c>
      <c r="AZ22" s="217">
        <f t="shared" si="14"/>
        <v>3.5640070462657096</v>
      </c>
      <c r="BA22" s="216">
        <f t="shared" si="15"/>
        <v>0</v>
      </c>
      <c r="BB22" s="216">
        <f t="shared" si="16"/>
        <v>1.0084584063544275</v>
      </c>
      <c r="BC22" s="216">
        <f t="shared" si="17"/>
        <v>1</v>
      </c>
    </row>
    <row r="23" spans="1:55" ht="20.100000000000001" customHeight="1" x14ac:dyDescent="0.2">
      <c r="A23" s="45">
        <v>0.33333333333333298</v>
      </c>
      <c r="B23" s="451"/>
      <c r="C23" s="451"/>
      <c r="D23" s="451">
        <v>6.7</v>
      </c>
      <c r="E23" s="451">
        <v>54.6</v>
      </c>
      <c r="F23" s="41">
        <v>1925</v>
      </c>
      <c r="G23" s="37">
        <v>-5.6</v>
      </c>
      <c r="H23" s="37">
        <v>72.5</v>
      </c>
      <c r="I23" s="37">
        <v>22.5</v>
      </c>
      <c r="J23" s="41">
        <v>351</v>
      </c>
      <c r="K23" s="37">
        <v>13</v>
      </c>
      <c r="L23" s="451">
        <v>122</v>
      </c>
      <c r="M23" s="451">
        <v>220</v>
      </c>
      <c r="N23" s="451">
        <v>85</v>
      </c>
      <c r="O23" s="353">
        <v>40</v>
      </c>
      <c r="P23" s="353">
        <v>12</v>
      </c>
      <c r="Q23" s="353">
        <v>229.34</v>
      </c>
      <c r="R23" s="37"/>
      <c r="S23" s="508" t="str">
        <f t="shared" si="0"/>
        <v/>
      </c>
      <c r="T23" s="508"/>
      <c r="U23" s="508"/>
      <c r="V23" s="508"/>
      <c r="X23" s="45">
        <v>0.33333333333333298</v>
      </c>
      <c r="Y23" s="106"/>
      <c r="Z23" s="102"/>
      <c r="AA23" s="102"/>
      <c r="AB23" s="45" t="str">
        <f t="shared" si="18"/>
        <v/>
      </c>
      <c r="AC23" s="45" t="str">
        <f t="shared" si="1"/>
        <v/>
      </c>
      <c r="AD23" s="81"/>
      <c r="AE23" s="9" t="str">
        <f>IF(S23="","",IF(COUNTA(Z23:$Z$39)=1,IF(COUNTA(AD23:$AD$39)=1,""," ; "),IF(COUNTA(AD23:$AD$39)=1,IF(Z23="",""," ; ")," ; ")))</f>
        <v/>
      </c>
      <c r="AF23" s="9" t="str">
        <f t="shared" si="2"/>
        <v/>
      </c>
      <c r="AG23" s="90" t="str">
        <f t="shared" si="3"/>
        <v/>
      </c>
      <c r="AH23" s="204" t="s">
        <v>274</v>
      </c>
      <c r="AJ23" s="206">
        <f t="shared" si="19"/>
        <v>500</v>
      </c>
      <c r="AK23" s="206">
        <f t="shared" si="19"/>
        <v>100</v>
      </c>
      <c r="AL23" s="206">
        <f t="shared" si="19"/>
        <v>2</v>
      </c>
      <c r="AM23" s="213">
        <f t="shared" si="19"/>
        <v>0.875</v>
      </c>
      <c r="AN23" s="214">
        <f t="shared" si="19"/>
        <v>0.63607464142166403</v>
      </c>
      <c r="AO23" s="215">
        <f t="shared" si="4"/>
        <v>-14.7</v>
      </c>
      <c r="AP23" s="216">
        <f t="shared" si="5"/>
        <v>1</v>
      </c>
      <c r="AQ23" s="216">
        <f t="shared" si="6"/>
        <v>1</v>
      </c>
      <c r="AR23" s="215">
        <f t="shared" si="20"/>
        <v>158.47</v>
      </c>
      <c r="AS23" s="216">
        <f t="shared" si="7"/>
        <v>0.97679498379494789</v>
      </c>
      <c r="AT23" s="216">
        <f t="shared" si="8"/>
        <v>1.2538510821608391</v>
      </c>
      <c r="AU23" s="216">
        <f t="shared" si="9"/>
        <v>2.2360679774997898</v>
      </c>
      <c r="AV23" s="217">
        <f t="shared" si="10"/>
        <v>10.415801185754333</v>
      </c>
      <c r="AW23" s="216">
        <f t="shared" si="11"/>
        <v>0</v>
      </c>
      <c r="AX23" s="218">
        <f t="shared" si="12"/>
        <v>1.4696875479799241</v>
      </c>
      <c r="AY23" s="216">
        <f t="shared" si="13"/>
        <v>0.76851414128953044</v>
      </c>
      <c r="AZ23" s="217">
        <f t="shared" si="14"/>
        <v>3.5640070462657096</v>
      </c>
      <c r="BA23" s="216">
        <f t="shared" si="15"/>
        <v>0</v>
      </c>
      <c r="BB23" s="216">
        <f t="shared" si="16"/>
        <v>1.0084584063544275</v>
      </c>
      <c r="BC23" s="216">
        <f t="shared" si="17"/>
        <v>1</v>
      </c>
    </row>
    <row r="24" spans="1:55" ht="20.100000000000001" customHeight="1" x14ac:dyDescent="0.2">
      <c r="A24" s="45">
        <v>0.375</v>
      </c>
      <c r="B24" s="451"/>
      <c r="C24" s="451"/>
      <c r="D24" s="451">
        <v>7.2</v>
      </c>
      <c r="E24" s="451">
        <v>58.2</v>
      </c>
      <c r="F24" s="41">
        <v>1930</v>
      </c>
      <c r="G24" s="37">
        <v>-5.6</v>
      </c>
      <c r="H24" s="37">
        <v>72.2</v>
      </c>
      <c r="I24" s="37">
        <v>22.7</v>
      </c>
      <c r="J24" s="41">
        <v>352</v>
      </c>
      <c r="K24" s="37">
        <v>13</v>
      </c>
      <c r="L24" s="451">
        <v>127</v>
      </c>
      <c r="M24" s="451">
        <v>220</v>
      </c>
      <c r="N24" s="451">
        <v>85</v>
      </c>
      <c r="O24" s="353">
        <v>40</v>
      </c>
      <c r="P24" s="353">
        <v>12</v>
      </c>
      <c r="Q24" s="353">
        <v>229.34</v>
      </c>
      <c r="R24" s="37"/>
      <c r="S24" s="508" t="str">
        <f t="shared" si="0"/>
        <v/>
      </c>
      <c r="T24" s="508"/>
      <c r="U24" s="508"/>
      <c r="V24" s="508"/>
      <c r="X24" s="45">
        <v>0.375</v>
      </c>
      <c r="Y24" s="106"/>
      <c r="Z24" s="102"/>
      <c r="AA24" s="102"/>
      <c r="AB24" s="45" t="str">
        <f t="shared" si="18"/>
        <v/>
      </c>
      <c r="AC24" s="45" t="str">
        <f t="shared" si="1"/>
        <v/>
      </c>
      <c r="AD24" s="81"/>
      <c r="AE24" s="9" t="str">
        <f>IF(S24="","",IF(COUNTA(Z24:$Z$39)=1,IF(COUNTA(AD24:$AD$39)=1,""," ; "),IF(COUNTA(AD24:$AD$39)=1,IF(Z24="",""," ; ")," ; ")))</f>
        <v/>
      </c>
      <c r="AF24" s="9" t="str">
        <f t="shared" si="2"/>
        <v/>
      </c>
      <c r="AG24" s="90" t="str">
        <f t="shared" si="3"/>
        <v/>
      </c>
      <c r="AH24" s="204" t="s">
        <v>307</v>
      </c>
      <c r="AJ24" s="206">
        <f t="shared" si="19"/>
        <v>500</v>
      </c>
      <c r="AK24" s="206">
        <f t="shared" si="19"/>
        <v>100</v>
      </c>
      <c r="AL24" s="206">
        <f t="shared" si="19"/>
        <v>2</v>
      </c>
      <c r="AM24" s="213">
        <f t="shared" si="19"/>
        <v>0.875</v>
      </c>
      <c r="AN24" s="214">
        <f t="shared" si="19"/>
        <v>0.63607464142166403</v>
      </c>
      <c r="AO24" s="215">
        <f t="shared" si="4"/>
        <v>-14.7</v>
      </c>
      <c r="AP24" s="216">
        <f t="shared" si="5"/>
        <v>1</v>
      </c>
      <c r="AQ24" s="216">
        <f t="shared" si="6"/>
        <v>1</v>
      </c>
      <c r="AR24" s="215">
        <f t="shared" si="20"/>
        <v>158.47</v>
      </c>
      <c r="AS24" s="216">
        <f t="shared" si="7"/>
        <v>0.97679498379494789</v>
      </c>
      <c r="AT24" s="216">
        <f t="shared" si="8"/>
        <v>1.2538510821608391</v>
      </c>
      <c r="AU24" s="216">
        <f t="shared" si="9"/>
        <v>2.2360679774997898</v>
      </c>
      <c r="AV24" s="217">
        <f t="shared" si="10"/>
        <v>10.415801185754333</v>
      </c>
      <c r="AW24" s="216">
        <f t="shared" si="11"/>
        <v>0</v>
      </c>
      <c r="AX24" s="218">
        <f t="shared" si="12"/>
        <v>1.4696875479799241</v>
      </c>
      <c r="AY24" s="216">
        <f t="shared" si="13"/>
        <v>0.76851414128953044</v>
      </c>
      <c r="AZ24" s="217">
        <f t="shared" si="14"/>
        <v>3.5640070462657096</v>
      </c>
      <c r="BA24" s="216">
        <f t="shared" si="15"/>
        <v>0</v>
      </c>
      <c r="BB24" s="216">
        <f t="shared" si="16"/>
        <v>1.0084584063544275</v>
      </c>
      <c r="BC24" s="216">
        <f t="shared" si="17"/>
        <v>1</v>
      </c>
    </row>
    <row r="25" spans="1:55" ht="20.100000000000001" customHeight="1" x14ac:dyDescent="0.2">
      <c r="A25" s="45">
        <v>0.41666666666666702</v>
      </c>
      <c r="B25" s="451"/>
      <c r="C25" s="451"/>
      <c r="D25" s="451">
        <v>5.9</v>
      </c>
      <c r="E25" s="451">
        <v>63.8</v>
      </c>
      <c r="F25" s="41">
        <v>1915</v>
      </c>
      <c r="G25" s="37">
        <v>-5.6</v>
      </c>
      <c r="H25" s="37">
        <v>72.599999999999994</v>
      </c>
      <c r="I25" s="37">
        <v>22.4</v>
      </c>
      <c r="J25" s="41">
        <v>353</v>
      </c>
      <c r="K25" s="37">
        <v>13</v>
      </c>
      <c r="L25" s="451">
        <v>120</v>
      </c>
      <c r="M25" s="451">
        <v>220</v>
      </c>
      <c r="N25" s="451">
        <v>85</v>
      </c>
      <c r="O25" s="353">
        <v>40</v>
      </c>
      <c r="P25" s="353">
        <v>12</v>
      </c>
      <c r="Q25" s="353">
        <v>229.34</v>
      </c>
      <c r="R25" s="37"/>
      <c r="S25" s="508" t="str">
        <f t="shared" si="0"/>
        <v/>
      </c>
      <c r="T25" s="508"/>
      <c r="U25" s="508"/>
      <c r="V25" s="508"/>
      <c r="X25" s="45">
        <v>0.41666666666666702</v>
      </c>
      <c r="Y25" s="106"/>
      <c r="Z25" s="102"/>
      <c r="AA25" s="102"/>
      <c r="AB25" s="45" t="str">
        <f t="shared" si="18"/>
        <v/>
      </c>
      <c r="AC25" s="45" t="str">
        <f t="shared" si="1"/>
        <v/>
      </c>
      <c r="AD25" s="81"/>
      <c r="AE25" s="9" t="str">
        <f>IF(S25="","",IF(COUNTA(Z25:$Z$39)=1,IF(COUNTA(AD25:$AD$39)=1,""," ; "),IF(COUNTA(AD25:$AD$39)=1,IF(Z25="",""," ; ")," ; ")))</f>
        <v/>
      </c>
      <c r="AF25" s="9" t="str">
        <f t="shared" si="2"/>
        <v/>
      </c>
      <c r="AG25" s="90" t="str">
        <f t="shared" si="3"/>
        <v/>
      </c>
      <c r="AH25" s="204" t="s">
        <v>225</v>
      </c>
      <c r="AJ25" s="206">
        <f t="shared" si="19"/>
        <v>500</v>
      </c>
      <c r="AK25" s="206">
        <f t="shared" si="19"/>
        <v>100</v>
      </c>
      <c r="AL25" s="206">
        <f t="shared" si="19"/>
        <v>2</v>
      </c>
      <c r="AM25" s="213">
        <f t="shared" si="19"/>
        <v>0.875</v>
      </c>
      <c r="AN25" s="214">
        <f t="shared" si="19"/>
        <v>0.63607464142166403</v>
      </c>
      <c r="AO25" s="215">
        <f t="shared" si="4"/>
        <v>-14.7</v>
      </c>
      <c r="AP25" s="216">
        <f t="shared" si="5"/>
        <v>1</v>
      </c>
      <c r="AQ25" s="216">
        <f t="shared" si="6"/>
        <v>1</v>
      </c>
      <c r="AR25" s="215">
        <f t="shared" si="20"/>
        <v>158.47</v>
      </c>
      <c r="AS25" s="216">
        <f t="shared" si="7"/>
        <v>0.97679498379494789</v>
      </c>
      <c r="AT25" s="216">
        <f t="shared" si="8"/>
        <v>1.2538510821608391</v>
      </c>
      <c r="AU25" s="216">
        <f t="shared" si="9"/>
        <v>2.2360679774997898</v>
      </c>
      <c r="AV25" s="217">
        <f t="shared" si="10"/>
        <v>10.415801185754333</v>
      </c>
      <c r="AW25" s="216">
        <f t="shared" si="11"/>
        <v>0</v>
      </c>
      <c r="AX25" s="218">
        <f t="shared" si="12"/>
        <v>1.4696875479799241</v>
      </c>
      <c r="AY25" s="216">
        <f t="shared" si="13"/>
        <v>0.76851414128953044</v>
      </c>
      <c r="AZ25" s="217">
        <f t="shared" si="14"/>
        <v>3.5640070462657096</v>
      </c>
      <c r="BA25" s="216">
        <f t="shared" si="15"/>
        <v>0</v>
      </c>
      <c r="BB25" s="216">
        <f t="shared" si="16"/>
        <v>1.0084584063544275</v>
      </c>
      <c r="BC25" s="216">
        <f t="shared" si="17"/>
        <v>1</v>
      </c>
    </row>
    <row r="26" spans="1:55" ht="20.100000000000001" customHeight="1" x14ac:dyDescent="0.2">
      <c r="A26" s="45">
        <v>0.45833333333333298</v>
      </c>
      <c r="B26" s="451"/>
      <c r="C26" s="451"/>
      <c r="D26" s="451">
        <v>5</v>
      </c>
      <c r="E26" s="451">
        <v>63.7</v>
      </c>
      <c r="F26" s="41">
        <v>1922</v>
      </c>
      <c r="G26" s="37">
        <v>-5.6</v>
      </c>
      <c r="H26" s="37">
        <v>72.099999999999994</v>
      </c>
      <c r="I26" s="37">
        <v>22.2</v>
      </c>
      <c r="J26" s="41">
        <v>354</v>
      </c>
      <c r="K26" s="37">
        <v>13</v>
      </c>
      <c r="L26" s="451">
        <v>125</v>
      </c>
      <c r="M26" s="451">
        <v>221</v>
      </c>
      <c r="N26" s="451">
        <v>85</v>
      </c>
      <c r="O26" s="353">
        <v>40</v>
      </c>
      <c r="P26" s="353">
        <v>12</v>
      </c>
      <c r="Q26" s="353">
        <v>229.34</v>
      </c>
      <c r="R26" s="37"/>
      <c r="S26" s="508" t="str">
        <f t="shared" si="0"/>
        <v/>
      </c>
      <c r="T26" s="508"/>
      <c r="U26" s="508"/>
      <c r="V26" s="508"/>
      <c r="X26" s="45">
        <v>0.45833333333333298</v>
      </c>
      <c r="Y26" s="106"/>
      <c r="Z26" s="102"/>
      <c r="AA26" s="102"/>
      <c r="AB26" s="45" t="str">
        <f t="shared" si="18"/>
        <v/>
      </c>
      <c r="AC26" s="45" t="str">
        <f t="shared" si="1"/>
        <v/>
      </c>
      <c r="AD26" s="81"/>
      <c r="AE26" s="9" t="str">
        <f>IF(S26="","",IF(COUNTA(Z26:$Z$39)=1,IF(COUNTA(AD26:$AD$39)=1,""," ; "),IF(COUNTA(AD26:$AD$39)=1,IF(Z26="",""," ; ")," ; ")))</f>
        <v/>
      </c>
      <c r="AF26" s="9" t="str">
        <f t="shared" si="2"/>
        <v/>
      </c>
      <c r="AG26" s="90" t="str">
        <f t="shared" si="3"/>
        <v/>
      </c>
      <c r="AH26" s="204" t="s">
        <v>287</v>
      </c>
      <c r="AJ26" s="206">
        <f t="shared" si="19"/>
        <v>500</v>
      </c>
      <c r="AK26" s="206">
        <f t="shared" si="19"/>
        <v>100</v>
      </c>
      <c r="AL26" s="206">
        <f t="shared" si="19"/>
        <v>2</v>
      </c>
      <c r="AM26" s="213">
        <f t="shared" si="19"/>
        <v>0.875</v>
      </c>
      <c r="AN26" s="214">
        <f t="shared" si="19"/>
        <v>0.63607464142166403</v>
      </c>
      <c r="AO26" s="215">
        <f t="shared" si="4"/>
        <v>-14.7</v>
      </c>
      <c r="AP26" s="216">
        <f t="shared" si="5"/>
        <v>1</v>
      </c>
      <c r="AQ26" s="216">
        <f t="shared" si="6"/>
        <v>1</v>
      </c>
      <c r="AR26" s="215">
        <f t="shared" si="20"/>
        <v>158.47</v>
      </c>
      <c r="AS26" s="216">
        <f t="shared" si="7"/>
        <v>0.97679498379494789</v>
      </c>
      <c r="AT26" s="216">
        <f t="shared" si="8"/>
        <v>1.2538510821608391</v>
      </c>
      <c r="AU26" s="216">
        <f t="shared" si="9"/>
        <v>2.2360679774997898</v>
      </c>
      <c r="AV26" s="217">
        <f t="shared" si="10"/>
        <v>10.415801185754333</v>
      </c>
      <c r="AW26" s="216">
        <f t="shared" si="11"/>
        <v>0</v>
      </c>
      <c r="AX26" s="218">
        <f t="shared" si="12"/>
        <v>1.4696875479799241</v>
      </c>
      <c r="AY26" s="216">
        <f t="shared" si="13"/>
        <v>0.76851414128953044</v>
      </c>
      <c r="AZ26" s="217">
        <f t="shared" si="14"/>
        <v>3.5640070462657096</v>
      </c>
      <c r="BA26" s="216">
        <f t="shared" si="15"/>
        <v>0</v>
      </c>
      <c r="BB26" s="216">
        <f t="shared" si="16"/>
        <v>1.0084584063544275</v>
      </c>
      <c r="BC26" s="216">
        <f t="shared" si="17"/>
        <v>1</v>
      </c>
    </row>
    <row r="27" spans="1:55" ht="20.100000000000001" customHeight="1" x14ac:dyDescent="0.2">
      <c r="A27" s="45">
        <v>0.5</v>
      </c>
      <c r="B27" s="451"/>
      <c r="C27" s="451"/>
      <c r="D27" s="451">
        <v>7</v>
      </c>
      <c r="E27" s="451">
        <v>60.4</v>
      </c>
      <c r="F27" s="41">
        <v>1930</v>
      </c>
      <c r="G27" s="37">
        <v>-5.6</v>
      </c>
      <c r="H27" s="37">
        <v>72.400000000000006</v>
      </c>
      <c r="I27" s="37">
        <v>22.7</v>
      </c>
      <c r="J27" s="41">
        <v>355</v>
      </c>
      <c r="K27" s="37">
        <v>13</v>
      </c>
      <c r="L27" s="451">
        <v>125</v>
      </c>
      <c r="M27" s="451">
        <v>220</v>
      </c>
      <c r="N27" s="451">
        <v>85</v>
      </c>
      <c r="O27" s="353">
        <v>40</v>
      </c>
      <c r="P27" s="353">
        <v>12</v>
      </c>
      <c r="Q27" s="353">
        <v>229.34</v>
      </c>
      <c r="R27" s="37"/>
      <c r="S27" s="508" t="str">
        <f t="shared" si="0"/>
        <v/>
      </c>
      <c r="T27" s="508"/>
      <c r="U27" s="508"/>
      <c r="V27" s="508"/>
      <c r="X27" s="45">
        <v>0.5</v>
      </c>
      <c r="Y27" s="106"/>
      <c r="Z27" s="102"/>
      <c r="AA27" s="102"/>
      <c r="AB27" s="45" t="str">
        <f t="shared" si="18"/>
        <v/>
      </c>
      <c r="AC27" s="45" t="str">
        <f t="shared" si="1"/>
        <v/>
      </c>
      <c r="AD27" s="81"/>
      <c r="AE27" s="9" t="str">
        <f>IF(S27="","",IF(COUNTA(Z27:$Z$39)=1,IF(COUNTA(AD27:$AD$39)=1,""," ; "),IF(COUNTA(AD27:$AD$39)=1,IF(Z27="",""," ; ")," ; ")))</f>
        <v/>
      </c>
      <c r="AF27" s="9" t="str">
        <f t="shared" si="2"/>
        <v/>
      </c>
      <c r="AG27" s="90" t="str">
        <f t="shared" si="3"/>
        <v/>
      </c>
      <c r="AH27" s="204" t="s">
        <v>276</v>
      </c>
      <c r="AJ27" s="206">
        <f t="shared" si="19"/>
        <v>500</v>
      </c>
      <c r="AK27" s="206">
        <f t="shared" si="19"/>
        <v>100</v>
      </c>
      <c r="AL27" s="206">
        <f t="shared" si="19"/>
        <v>2</v>
      </c>
      <c r="AM27" s="213">
        <f t="shared" si="19"/>
        <v>0.875</v>
      </c>
      <c r="AN27" s="214">
        <f t="shared" si="19"/>
        <v>0.63607464142166403</v>
      </c>
      <c r="AO27" s="215">
        <f t="shared" si="4"/>
        <v>-14.7</v>
      </c>
      <c r="AP27" s="216">
        <f t="shared" si="5"/>
        <v>1</v>
      </c>
      <c r="AQ27" s="216">
        <f t="shared" si="6"/>
        <v>1</v>
      </c>
      <c r="AR27" s="215">
        <f t="shared" si="20"/>
        <v>158.47</v>
      </c>
      <c r="AS27" s="216">
        <f t="shared" si="7"/>
        <v>0.97679498379494789</v>
      </c>
      <c r="AT27" s="216">
        <f t="shared" si="8"/>
        <v>1.2538510821608391</v>
      </c>
      <c r="AU27" s="216">
        <f t="shared" si="9"/>
        <v>2.2360679774997898</v>
      </c>
      <c r="AV27" s="217">
        <f t="shared" si="10"/>
        <v>10.415801185754333</v>
      </c>
      <c r="AW27" s="216">
        <f t="shared" si="11"/>
        <v>0</v>
      </c>
      <c r="AX27" s="218">
        <f t="shared" si="12"/>
        <v>1.4696875479799241</v>
      </c>
      <c r="AY27" s="216">
        <f t="shared" si="13"/>
        <v>0.76851414128953044</v>
      </c>
      <c r="AZ27" s="217">
        <f t="shared" si="14"/>
        <v>3.5640070462657096</v>
      </c>
      <c r="BA27" s="216">
        <f t="shared" si="15"/>
        <v>0</v>
      </c>
      <c r="BB27" s="216">
        <f t="shared" si="16"/>
        <v>1.0084584063544275</v>
      </c>
      <c r="BC27" s="216">
        <f t="shared" si="17"/>
        <v>1</v>
      </c>
    </row>
    <row r="28" spans="1:55" ht="20.100000000000001" customHeight="1" x14ac:dyDescent="0.2">
      <c r="A28" s="45">
        <v>0.54166666666666696</v>
      </c>
      <c r="B28" s="451"/>
      <c r="C28" s="451"/>
      <c r="D28" s="451">
        <v>7.3</v>
      </c>
      <c r="E28" s="451">
        <v>54.9</v>
      </c>
      <c r="F28" s="41">
        <v>1942</v>
      </c>
      <c r="G28" s="37">
        <v>-5.6</v>
      </c>
      <c r="H28" s="37">
        <v>72.599999999999994</v>
      </c>
      <c r="I28" s="37">
        <v>22.1</v>
      </c>
      <c r="J28" s="41">
        <v>356</v>
      </c>
      <c r="K28" s="37">
        <v>13</v>
      </c>
      <c r="L28" s="451">
        <v>123</v>
      </c>
      <c r="M28" s="451">
        <v>220</v>
      </c>
      <c r="N28" s="451">
        <v>85</v>
      </c>
      <c r="O28" s="353"/>
      <c r="P28" s="353"/>
      <c r="Q28" s="353"/>
      <c r="R28" s="37"/>
      <c r="S28" s="508" t="str">
        <f t="shared" si="0"/>
        <v>13:00 - 18:00 Barton calibration</v>
      </c>
      <c r="T28" s="508"/>
      <c r="U28" s="508"/>
      <c r="V28" s="508"/>
      <c r="X28" s="45">
        <v>0.54166666666666696</v>
      </c>
      <c r="Y28" s="106"/>
      <c r="Z28" s="102">
        <v>0.54166666666666663</v>
      </c>
      <c r="AA28" s="102">
        <v>0.75</v>
      </c>
      <c r="AB28" s="45" t="str">
        <f t="shared" si="18"/>
        <v/>
      </c>
      <c r="AC28" s="45" t="str">
        <f t="shared" si="1"/>
        <v/>
      </c>
      <c r="AD28" s="81" t="s">
        <v>358</v>
      </c>
      <c r="AE28" s="9" t="str">
        <f>IF(S28="","",IF(COUNTA(Z28:$Z$39)=1,IF(COUNTA(AD28:$AD$39)=1,""," ; "),IF(COUNTA(AD28:$AD$39)=1,IF(Z28="",""," ; ")," ; ")))</f>
        <v/>
      </c>
      <c r="AF28" s="9" t="str">
        <f t="shared" si="2"/>
        <v>13:00 - 18:00 Barton calibration</v>
      </c>
      <c r="AG28" s="90" t="str">
        <f t="shared" si="3"/>
        <v>CEK : Data Flowrate</v>
      </c>
      <c r="AH28" s="204" t="s">
        <v>278</v>
      </c>
      <c r="AJ28" s="206">
        <f t="shared" si="19"/>
        <v>500</v>
      </c>
      <c r="AK28" s="206">
        <f t="shared" si="19"/>
        <v>100</v>
      </c>
      <c r="AL28" s="206">
        <f t="shared" si="19"/>
        <v>2</v>
      </c>
      <c r="AM28" s="213">
        <f t="shared" si="19"/>
        <v>0.875</v>
      </c>
      <c r="AN28" s="214">
        <f t="shared" si="19"/>
        <v>0.63607464142166403</v>
      </c>
      <c r="AO28" s="215">
        <f t="shared" si="4"/>
        <v>-14.7</v>
      </c>
      <c r="AP28" s="216">
        <f t="shared" si="5"/>
        <v>1</v>
      </c>
      <c r="AQ28" s="216">
        <f t="shared" si="6"/>
        <v>1</v>
      </c>
      <c r="AR28" s="215">
        <f t="shared" si="20"/>
        <v>158.47</v>
      </c>
      <c r="AS28" s="216">
        <f t="shared" si="7"/>
        <v>0.97679498379494789</v>
      </c>
      <c r="AT28" s="216">
        <f t="shared" si="8"/>
        <v>1.2538510821608391</v>
      </c>
      <c r="AU28" s="216">
        <f t="shared" si="9"/>
        <v>2.2360679774997898</v>
      </c>
      <c r="AV28" s="217">
        <f t="shared" si="10"/>
        <v>10.415801185754333</v>
      </c>
      <c r="AW28" s="216">
        <f t="shared" si="11"/>
        <v>0</v>
      </c>
      <c r="AX28" s="218">
        <f t="shared" si="12"/>
        <v>1.4696875479799241</v>
      </c>
      <c r="AY28" s="216">
        <f t="shared" si="13"/>
        <v>0.76851414128953044</v>
      </c>
      <c r="AZ28" s="217">
        <f t="shared" si="14"/>
        <v>3.5640070462657096</v>
      </c>
      <c r="BA28" s="216">
        <f t="shared" si="15"/>
        <v>0</v>
      </c>
      <c r="BB28" s="216">
        <f t="shared" si="16"/>
        <v>1.0084584063544275</v>
      </c>
      <c r="BC28" s="216">
        <f t="shared" si="17"/>
        <v>1</v>
      </c>
    </row>
    <row r="29" spans="1:55" ht="20.100000000000001" customHeight="1" x14ac:dyDescent="0.2">
      <c r="A29" s="45">
        <v>0.58333333333333304</v>
      </c>
      <c r="B29" s="451"/>
      <c r="C29" s="451"/>
      <c r="D29" s="451">
        <v>5.4</v>
      </c>
      <c r="E29" s="451">
        <v>58.7</v>
      </c>
      <c r="F29" s="41">
        <v>1952</v>
      </c>
      <c r="G29" s="37">
        <v>-5.6</v>
      </c>
      <c r="H29" s="37">
        <v>72.099999999999994</v>
      </c>
      <c r="I29" s="37">
        <v>22.5</v>
      </c>
      <c r="J29" s="41">
        <v>357</v>
      </c>
      <c r="K29" s="37">
        <v>13</v>
      </c>
      <c r="L29" s="451">
        <v>120</v>
      </c>
      <c r="M29" s="451">
        <v>222</v>
      </c>
      <c r="N29" s="451">
        <v>85</v>
      </c>
      <c r="O29" s="353"/>
      <c r="P29" s="353"/>
      <c r="Q29" s="353"/>
      <c r="R29" s="37"/>
      <c r="S29" s="508" t="str">
        <f t="shared" si="0"/>
        <v/>
      </c>
      <c r="T29" s="508"/>
      <c r="U29" s="508"/>
      <c r="V29" s="508"/>
      <c r="X29" s="45">
        <v>0.58333333333333304</v>
      </c>
      <c r="Y29" s="106"/>
      <c r="Z29" s="102"/>
      <c r="AA29" s="102"/>
      <c r="AB29" s="45" t="str">
        <f t="shared" si="18"/>
        <v/>
      </c>
      <c r="AC29" s="45" t="str">
        <f t="shared" si="1"/>
        <v/>
      </c>
      <c r="AD29" s="81"/>
      <c r="AE29" s="9" t="str">
        <f>IF(S29="","",IF(COUNTA(Z29:$Z$39)=1,IF(COUNTA(AD29:$AD$39)=1,""," ; "),IF(COUNTA(AD29:$AD$39)=1,IF(Z29="",""," ; ")," ; ")))</f>
        <v/>
      </c>
      <c r="AF29" s="9" t="str">
        <f t="shared" si="2"/>
        <v/>
      </c>
      <c r="AG29" s="90" t="str">
        <f t="shared" si="3"/>
        <v>CEK : Data Flowrate</v>
      </c>
      <c r="AH29" s="204" t="s">
        <v>224</v>
      </c>
      <c r="AJ29" s="206">
        <f t="shared" si="19"/>
        <v>500</v>
      </c>
      <c r="AK29" s="206">
        <f t="shared" si="19"/>
        <v>100</v>
      </c>
      <c r="AL29" s="206">
        <f t="shared" si="19"/>
        <v>2</v>
      </c>
      <c r="AM29" s="213">
        <f t="shared" si="19"/>
        <v>0.875</v>
      </c>
      <c r="AN29" s="214">
        <f t="shared" si="19"/>
        <v>0.63607464142166403</v>
      </c>
      <c r="AO29" s="215">
        <f t="shared" si="4"/>
        <v>-14.7</v>
      </c>
      <c r="AP29" s="216">
        <f t="shared" si="5"/>
        <v>1</v>
      </c>
      <c r="AQ29" s="216">
        <f t="shared" si="6"/>
        <v>1</v>
      </c>
      <c r="AR29" s="215">
        <f t="shared" si="20"/>
        <v>158.47</v>
      </c>
      <c r="AS29" s="216">
        <f t="shared" si="7"/>
        <v>0.97679498379494789</v>
      </c>
      <c r="AT29" s="216">
        <f t="shared" si="8"/>
        <v>1.2538510821608391</v>
      </c>
      <c r="AU29" s="216">
        <f t="shared" si="9"/>
        <v>2.2360679774997898</v>
      </c>
      <c r="AV29" s="217">
        <f t="shared" si="10"/>
        <v>10.415801185754333</v>
      </c>
      <c r="AW29" s="216">
        <f t="shared" si="11"/>
        <v>0</v>
      </c>
      <c r="AX29" s="218">
        <f t="shared" si="12"/>
        <v>1.4696875479799241</v>
      </c>
      <c r="AY29" s="216">
        <f t="shared" si="13"/>
        <v>0.76851414128953044</v>
      </c>
      <c r="AZ29" s="217">
        <f t="shared" si="14"/>
        <v>3.5640070462657096</v>
      </c>
      <c r="BA29" s="216">
        <f t="shared" si="15"/>
        <v>0</v>
      </c>
      <c r="BB29" s="216">
        <f t="shared" si="16"/>
        <v>1.0084584063544275</v>
      </c>
      <c r="BC29" s="216">
        <f t="shared" si="17"/>
        <v>1</v>
      </c>
    </row>
    <row r="30" spans="1:55" ht="20.100000000000001" customHeight="1" x14ac:dyDescent="0.2">
      <c r="A30" s="45">
        <v>0.625</v>
      </c>
      <c r="B30" s="451"/>
      <c r="C30" s="451"/>
      <c r="D30" s="451">
        <v>6.2</v>
      </c>
      <c r="E30" s="451">
        <v>56.2</v>
      </c>
      <c r="F30" s="41">
        <v>1944</v>
      </c>
      <c r="G30" s="37">
        <v>-5.6</v>
      </c>
      <c r="H30" s="37">
        <v>72.400000000000006</v>
      </c>
      <c r="I30" s="37">
        <v>22.7</v>
      </c>
      <c r="J30" s="41">
        <v>358</v>
      </c>
      <c r="K30" s="37">
        <v>13</v>
      </c>
      <c r="L30" s="451">
        <v>127</v>
      </c>
      <c r="M30" s="451">
        <v>222</v>
      </c>
      <c r="N30" s="451">
        <v>85</v>
      </c>
      <c r="O30" s="353"/>
      <c r="P30" s="353"/>
      <c r="Q30" s="353"/>
      <c r="R30" s="37"/>
      <c r="S30" s="508" t="str">
        <f t="shared" si="0"/>
        <v/>
      </c>
      <c r="T30" s="508"/>
      <c r="U30" s="508"/>
      <c r="V30" s="508"/>
      <c r="X30" s="45">
        <v>0.625</v>
      </c>
      <c r="Y30" s="106"/>
      <c r="Z30" s="102"/>
      <c r="AA30" s="102"/>
      <c r="AB30" s="45" t="str">
        <f t="shared" si="18"/>
        <v/>
      </c>
      <c r="AC30" s="45" t="str">
        <f t="shared" si="1"/>
        <v/>
      </c>
      <c r="AD30" s="81"/>
      <c r="AE30" s="9" t="str">
        <f>IF(S30="","",IF(COUNTA(Z30:$Z$39)=1,IF(COUNTA(AD30:$AD$39)=1,""," ; "),IF(COUNTA(AD30:$AD$39)=1,IF(Z30="",""," ; ")," ; ")))</f>
        <v/>
      </c>
      <c r="AF30" s="9" t="str">
        <f t="shared" si="2"/>
        <v/>
      </c>
      <c r="AG30" s="90" t="str">
        <f t="shared" si="3"/>
        <v>CEK : Data Flowrate</v>
      </c>
      <c r="AH30" s="204" t="s">
        <v>260</v>
      </c>
      <c r="AJ30" s="206">
        <f t="shared" si="19"/>
        <v>500</v>
      </c>
      <c r="AK30" s="206">
        <f t="shared" si="19"/>
        <v>100</v>
      </c>
      <c r="AL30" s="206">
        <f t="shared" si="19"/>
        <v>2</v>
      </c>
      <c r="AM30" s="213">
        <f t="shared" si="19"/>
        <v>0.875</v>
      </c>
      <c r="AN30" s="214">
        <f t="shared" si="19"/>
        <v>0.63607464142166403</v>
      </c>
      <c r="AO30" s="215">
        <f t="shared" si="4"/>
        <v>-14.7</v>
      </c>
      <c r="AP30" s="216">
        <f t="shared" si="5"/>
        <v>1</v>
      </c>
      <c r="AQ30" s="216">
        <f t="shared" si="6"/>
        <v>1</v>
      </c>
      <c r="AR30" s="215">
        <f t="shared" si="20"/>
        <v>158.47</v>
      </c>
      <c r="AS30" s="216">
        <f t="shared" si="7"/>
        <v>0.97679498379494789</v>
      </c>
      <c r="AT30" s="216">
        <f t="shared" si="8"/>
        <v>1.2538510821608391</v>
      </c>
      <c r="AU30" s="216">
        <f t="shared" si="9"/>
        <v>2.2360679774997898</v>
      </c>
      <c r="AV30" s="217">
        <f t="shared" si="10"/>
        <v>10.415801185754333</v>
      </c>
      <c r="AW30" s="216">
        <f t="shared" si="11"/>
        <v>0</v>
      </c>
      <c r="AX30" s="218">
        <f t="shared" si="12"/>
        <v>1.4696875479799241</v>
      </c>
      <c r="AY30" s="216">
        <f t="shared" si="13"/>
        <v>0.76851414128953044</v>
      </c>
      <c r="AZ30" s="217">
        <f t="shared" si="14"/>
        <v>3.5640070462657096</v>
      </c>
      <c r="BA30" s="216">
        <f t="shared" si="15"/>
        <v>0</v>
      </c>
      <c r="BB30" s="216">
        <f t="shared" si="16"/>
        <v>1.0084584063544275</v>
      </c>
      <c r="BC30" s="216">
        <f t="shared" si="17"/>
        <v>1</v>
      </c>
    </row>
    <row r="31" spans="1:55" ht="20.100000000000001" customHeight="1" x14ac:dyDescent="0.2">
      <c r="A31" s="45">
        <v>0.66666666666666696</v>
      </c>
      <c r="B31" s="451"/>
      <c r="C31" s="451"/>
      <c r="D31" s="451">
        <v>6.7</v>
      </c>
      <c r="E31" s="451">
        <v>58.1</v>
      </c>
      <c r="F31" s="41">
        <v>1951</v>
      </c>
      <c r="G31" s="37">
        <v>-5.6</v>
      </c>
      <c r="H31" s="37">
        <v>72.3</v>
      </c>
      <c r="I31" s="37">
        <v>22</v>
      </c>
      <c r="J31" s="41">
        <v>359</v>
      </c>
      <c r="K31" s="37">
        <v>13</v>
      </c>
      <c r="L31" s="451">
        <v>123</v>
      </c>
      <c r="M31" s="451">
        <v>222</v>
      </c>
      <c r="N31" s="451">
        <v>85</v>
      </c>
      <c r="O31" s="353"/>
      <c r="P31" s="353"/>
      <c r="Q31" s="353"/>
      <c r="R31" s="37"/>
      <c r="S31" s="508" t="str">
        <f t="shared" si="0"/>
        <v/>
      </c>
      <c r="T31" s="508"/>
      <c r="U31" s="508"/>
      <c r="V31" s="508"/>
      <c r="X31" s="45">
        <v>0.66666666666666696</v>
      </c>
      <c r="Y31" s="106"/>
      <c r="Z31" s="102"/>
      <c r="AA31" s="102"/>
      <c r="AB31" s="45" t="str">
        <f t="shared" si="18"/>
        <v/>
      </c>
      <c r="AC31" s="45" t="str">
        <f t="shared" si="1"/>
        <v/>
      </c>
      <c r="AD31" s="81"/>
      <c r="AE31" s="9" t="str">
        <f>IF(S31="","",IF(COUNTA(Z31:$Z$39)=1,IF(COUNTA(AD31:$AD$39)=1,""," ; "),IF(COUNTA(AD31:$AD$39)=1,IF(Z31="",""," ; ")," ; ")))</f>
        <v/>
      </c>
      <c r="AF31" s="9" t="str">
        <f t="shared" si="2"/>
        <v/>
      </c>
      <c r="AG31" s="90" t="str">
        <f t="shared" si="3"/>
        <v>CEK : Data Flowrate</v>
      </c>
      <c r="AH31" s="204" t="s">
        <v>226</v>
      </c>
      <c r="AJ31" s="206">
        <f t="shared" si="19"/>
        <v>500</v>
      </c>
      <c r="AK31" s="206">
        <f t="shared" si="19"/>
        <v>100</v>
      </c>
      <c r="AL31" s="206">
        <f t="shared" si="19"/>
        <v>2</v>
      </c>
      <c r="AM31" s="213">
        <f t="shared" si="19"/>
        <v>0.875</v>
      </c>
      <c r="AN31" s="214">
        <f t="shared" si="19"/>
        <v>0.63607464142166403</v>
      </c>
      <c r="AO31" s="215">
        <f t="shared" si="4"/>
        <v>-14.7</v>
      </c>
      <c r="AP31" s="216">
        <f t="shared" si="5"/>
        <v>1</v>
      </c>
      <c r="AQ31" s="216">
        <f t="shared" si="6"/>
        <v>1</v>
      </c>
      <c r="AR31" s="215">
        <f t="shared" si="20"/>
        <v>158.47</v>
      </c>
      <c r="AS31" s="216">
        <f t="shared" si="7"/>
        <v>0.97679498379494789</v>
      </c>
      <c r="AT31" s="216">
        <f t="shared" si="8"/>
        <v>1.2538510821608391</v>
      </c>
      <c r="AU31" s="216">
        <f t="shared" si="9"/>
        <v>2.2360679774997898</v>
      </c>
      <c r="AV31" s="217">
        <f t="shared" si="10"/>
        <v>10.415801185754333</v>
      </c>
      <c r="AW31" s="216">
        <f t="shared" si="11"/>
        <v>0</v>
      </c>
      <c r="AX31" s="218">
        <f t="shared" si="12"/>
        <v>1.4696875479799241</v>
      </c>
      <c r="AY31" s="216">
        <f t="shared" si="13"/>
        <v>0.76851414128953044</v>
      </c>
      <c r="AZ31" s="217">
        <f t="shared" si="14"/>
        <v>3.5640070462657096</v>
      </c>
      <c r="BA31" s="216">
        <f t="shared" si="15"/>
        <v>0</v>
      </c>
      <c r="BB31" s="216">
        <f t="shared" si="16"/>
        <v>1.0084584063544275</v>
      </c>
      <c r="BC31" s="216">
        <f t="shared" si="17"/>
        <v>1</v>
      </c>
    </row>
    <row r="32" spans="1:55" ht="20.100000000000001" customHeight="1" x14ac:dyDescent="0.2">
      <c r="A32" s="45">
        <v>0.70833333333333304</v>
      </c>
      <c r="B32" s="451"/>
      <c r="C32" s="451"/>
      <c r="D32" s="451">
        <v>6.2</v>
      </c>
      <c r="E32" s="451">
        <v>59.6</v>
      </c>
      <c r="F32" s="41">
        <v>1947</v>
      </c>
      <c r="G32" s="37">
        <v>-5.6</v>
      </c>
      <c r="H32" s="37">
        <v>72.8</v>
      </c>
      <c r="I32" s="37">
        <v>22.1</v>
      </c>
      <c r="J32" s="41">
        <v>360</v>
      </c>
      <c r="K32" s="37">
        <v>13</v>
      </c>
      <c r="L32" s="451">
        <v>122</v>
      </c>
      <c r="M32" s="451">
        <v>220</v>
      </c>
      <c r="N32" s="451">
        <v>85</v>
      </c>
      <c r="O32" s="353"/>
      <c r="P32" s="353"/>
      <c r="Q32" s="353"/>
      <c r="R32" s="37"/>
      <c r="S32" s="508" t="str">
        <f t="shared" si="0"/>
        <v/>
      </c>
      <c r="T32" s="508"/>
      <c r="U32" s="508"/>
      <c r="V32" s="508"/>
      <c r="X32" s="45">
        <v>0.70833333333333304</v>
      </c>
      <c r="Y32" s="106"/>
      <c r="Z32" s="102"/>
      <c r="AA32" s="102"/>
      <c r="AB32" s="45" t="str">
        <f t="shared" si="18"/>
        <v/>
      </c>
      <c r="AC32" s="45" t="str">
        <f t="shared" si="1"/>
        <v/>
      </c>
      <c r="AD32" s="81"/>
      <c r="AE32" s="9" t="str">
        <f>IF(S32="","",IF(COUNTA(Z32:$Z$39)=1,IF(COUNTA(AD32:$AD$39)=1,""," ; "),IF(COUNTA(AD32:$AD$39)=1,IF(Z32="",""," ; ")," ; ")))</f>
        <v/>
      </c>
      <c r="AF32" s="9" t="str">
        <f t="shared" si="2"/>
        <v/>
      </c>
      <c r="AG32" s="90" t="str">
        <f t="shared" si="3"/>
        <v>CEK : Data Flowrate</v>
      </c>
      <c r="AH32" s="204" t="s">
        <v>313</v>
      </c>
      <c r="AJ32" s="206">
        <f t="shared" si="19"/>
        <v>500</v>
      </c>
      <c r="AK32" s="206">
        <f t="shared" si="19"/>
        <v>100</v>
      </c>
      <c r="AL32" s="206">
        <f t="shared" si="19"/>
        <v>2</v>
      </c>
      <c r="AM32" s="213">
        <f t="shared" si="19"/>
        <v>0.875</v>
      </c>
      <c r="AN32" s="214">
        <f t="shared" si="19"/>
        <v>0.63607464142166403</v>
      </c>
      <c r="AO32" s="215">
        <f t="shared" si="4"/>
        <v>-14.7</v>
      </c>
      <c r="AP32" s="216">
        <f t="shared" si="5"/>
        <v>1</v>
      </c>
      <c r="AQ32" s="216">
        <f t="shared" si="6"/>
        <v>1</v>
      </c>
      <c r="AR32" s="215">
        <f t="shared" si="20"/>
        <v>158.47</v>
      </c>
      <c r="AS32" s="216">
        <f t="shared" si="7"/>
        <v>0.97679498379494789</v>
      </c>
      <c r="AT32" s="216">
        <f t="shared" si="8"/>
        <v>1.2538510821608391</v>
      </c>
      <c r="AU32" s="216">
        <f t="shared" si="9"/>
        <v>2.2360679774997898</v>
      </c>
      <c r="AV32" s="217">
        <f t="shared" si="10"/>
        <v>10.415801185754333</v>
      </c>
      <c r="AW32" s="216">
        <f t="shared" si="11"/>
        <v>0</v>
      </c>
      <c r="AX32" s="218">
        <f t="shared" si="12"/>
        <v>1.4696875479799241</v>
      </c>
      <c r="AY32" s="216">
        <f t="shared" si="13"/>
        <v>0.76851414128953044</v>
      </c>
      <c r="AZ32" s="217">
        <f t="shared" si="14"/>
        <v>3.5640070462657096</v>
      </c>
      <c r="BA32" s="216">
        <f t="shared" si="15"/>
        <v>0</v>
      </c>
      <c r="BB32" s="216">
        <f t="shared" si="16"/>
        <v>1.0084584063544275</v>
      </c>
      <c r="BC32" s="216">
        <f t="shared" si="17"/>
        <v>1</v>
      </c>
    </row>
    <row r="33" spans="1:55" ht="20.100000000000001" customHeight="1" x14ac:dyDescent="0.2">
      <c r="A33" s="45">
        <v>0.75</v>
      </c>
      <c r="B33" s="451"/>
      <c r="C33" s="451"/>
      <c r="D33" s="451">
        <v>5.9</v>
      </c>
      <c r="E33" s="451">
        <v>53.8</v>
      </c>
      <c r="F33" s="41">
        <v>1909</v>
      </c>
      <c r="G33" s="37">
        <v>-5.6</v>
      </c>
      <c r="H33" s="37">
        <v>72.5</v>
      </c>
      <c r="I33" s="37">
        <v>22.5</v>
      </c>
      <c r="J33" s="41">
        <v>361</v>
      </c>
      <c r="K33" s="37">
        <v>13</v>
      </c>
      <c r="L33" s="451">
        <v>124</v>
      </c>
      <c r="M33" s="451">
        <v>221</v>
      </c>
      <c r="N33" s="451">
        <v>85</v>
      </c>
      <c r="O33" s="353"/>
      <c r="P33" s="353"/>
      <c r="Q33" s="353"/>
      <c r="R33" s="37"/>
      <c r="S33" s="508" t="str">
        <f>IF(Z33="",IF(AD33="","",AD33),CONCATENATE(TEXT(Z33,"[hh]:mm"),IF(AA33="",""," - "&amp;TEXT(AA33,"[hh]:mm")),IF(Y33="",""," "&amp;Y33&amp;"/")," "&amp;AD33))</f>
        <v/>
      </c>
      <c r="T33" s="508"/>
      <c r="U33" s="508"/>
      <c r="V33" s="508"/>
      <c r="X33" s="45">
        <v>0.75</v>
      </c>
      <c r="Y33" s="106"/>
      <c r="Z33" s="102"/>
      <c r="AA33" s="102"/>
      <c r="AB33" s="45" t="str">
        <f t="shared" si="18"/>
        <v/>
      </c>
      <c r="AC33" s="45" t="str">
        <f t="shared" si="1"/>
        <v/>
      </c>
      <c r="AD33" s="81"/>
      <c r="AE33" s="9" t="str">
        <f>IF(S33="","",IF(COUNTA(Z33:$Z$39)=1,IF(COUNTA(AD33:$AD$39)=1,""," ; "),IF(COUNTA(AD33:$AD$39)=1,IF(Z33="",""," ; ")," ; ")))</f>
        <v/>
      </c>
      <c r="AF33" s="9" t="str">
        <f t="shared" si="2"/>
        <v/>
      </c>
      <c r="AG33" s="90" t="str">
        <f t="shared" si="3"/>
        <v>CEK : Data Flowrate</v>
      </c>
      <c r="AH33" s="204" t="s">
        <v>308</v>
      </c>
      <c r="AJ33" s="206">
        <f t="shared" ref="AJ33:AN39" si="21">AJ32</f>
        <v>500</v>
      </c>
      <c r="AK33" s="206">
        <f t="shared" si="21"/>
        <v>100</v>
      </c>
      <c r="AL33" s="206">
        <f t="shared" si="21"/>
        <v>2</v>
      </c>
      <c r="AM33" s="213">
        <f t="shared" si="21"/>
        <v>0.875</v>
      </c>
      <c r="AN33" s="214">
        <f t="shared" si="21"/>
        <v>0.63607464142166403</v>
      </c>
      <c r="AO33" s="215">
        <f t="shared" si="4"/>
        <v>-14.7</v>
      </c>
      <c r="AP33" s="216">
        <f t="shared" si="5"/>
        <v>1</v>
      </c>
      <c r="AQ33" s="216">
        <f t="shared" si="6"/>
        <v>1</v>
      </c>
      <c r="AR33" s="215">
        <f t="shared" si="20"/>
        <v>158.47</v>
      </c>
      <c r="AS33" s="216">
        <f t="shared" si="7"/>
        <v>0.97679498379494789</v>
      </c>
      <c r="AT33" s="216">
        <f t="shared" si="8"/>
        <v>1.2538510821608391</v>
      </c>
      <c r="AU33" s="216">
        <f t="shared" si="9"/>
        <v>2.2360679774997898</v>
      </c>
      <c r="AV33" s="217">
        <f t="shared" si="10"/>
        <v>10.415801185754333</v>
      </c>
      <c r="AW33" s="216">
        <f t="shared" si="11"/>
        <v>0</v>
      </c>
      <c r="AX33" s="218">
        <f t="shared" si="12"/>
        <v>1.4696875479799241</v>
      </c>
      <c r="AY33" s="216">
        <f t="shared" si="13"/>
        <v>0.76851414128953044</v>
      </c>
      <c r="AZ33" s="217">
        <f t="shared" si="14"/>
        <v>3.5640070462657096</v>
      </c>
      <c r="BA33" s="216">
        <f t="shared" si="15"/>
        <v>0</v>
      </c>
      <c r="BB33" s="216">
        <f t="shared" si="16"/>
        <v>1.0084584063544275</v>
      </c>
      <c r="BC33" s="216">
        <f t="shared" si="17"/>
        <v>1</v>
      </c>
    </row>
    <row r="34" spans="1:55" ht="20.100000000000001" customHeight="1" x14ac:dyDescent="0.2">
      <c r="A34" s="45">
        <v>0.79166666666666696</v>
      </c>
      <c r="B34" s="451"/>
      <c r="C34" s="451"/>
      <c r="D34" s="451">
        <v>6.2</v>
      </c>
      <c r="E34" s="451">
        <v>56.7</v>
      </c>
      <c r="F34" s="41">
        <v>1915</v>
      </c>
      <c r="G34" s="37">
        <v>-5.6</v>
      </c>
      <c r="H34" s="37">
        <v>72.3</v>
      </c>
      <c r="I34" s="37">
        <v>22.4</v>
      </c>
      <c r="J34" s="41">
        <v>362</v>
      </c>
      <c r="K34" s="37">
        <v>13</v>
      </c>
      <c r="L34" s="451">
        <v>124</v>
      </c>
      <c r="M34" s="451">
        <v>221</v>
      </c>
      <c r="N34" s="451">
        <v>85</v>
      </c>
      <c r="O34" s="353">
        <v>40</v>
      </c>
      <c r="P34" s="353">
        <v>17</v>
      </c>
      <c r="Q34" s="353">
        <v>272.58</v>
      </c>
      <c r="R34" s="37"/>
      <c r="S34" s="508" t="str">
        <f t="shared" ref="S34:S39" si="22">IF(Z34="",IF(AD34="","",AD34),CONCATENATE(TEXT(Z34,"[hh]:mm"),IF(AA34="",""," - "&amp;TEXT(AA34,"[hh]:mm")),IF(Y34="",""," "&amp;Y34&amp;"/")," "&amp;AD34))</f>
        <v/>
      </c>
      <c r="T34" s="508"/>
      <c r="U34" s="508"/>
      <c r="V34" s="508"/>
      <c r="X34" s="45">
        <v>0.79166666666666696</v>
      </c>
      <c r="Y34" s="106"/>
      <c r="Z34" s="102"/>
      <c r="AA34" s="102"/>
      <c r="AB34" s="45" t="str">
        <f t="shared" si="18"/>
        <v/>
      </c>
      <c r="AC34" s="45" t="str">
        <f t="shared" si="1"/>
        <v/>
      </c>
      <c r="AD34" s="81"/>
      <c r="AE34" s="9" t="str">
        <f>IF(S34="","",IF(COUNTA(Z34:$Z$39)=1,IF(COUNTA(AD34:$AD$39)=1,""," ; "),IF(COUNTA(AD34:$AD$39)=1,IF(Z34="",""," ; ")," ; ")))</f>
        <v/>
      </c>
      <c r="AF34" s="9" t="str">
        <f t="shared" si="2"/>
        <v/>
      </c>
      <c r="AG34" s="90" t="str">
        <f t="shared" si="3"/>
        <v/>
      </c>
      <c r="AH34" s="204" t="s">
        <v>314</v>
      </c>
      <c r="AJ34" s="206">
        <f t="shared" si="21"/>
        <v>500</v>
      </c>
      <c r="AK34" s="206">
        <f t="shared" si="21"/>
        <v>100</v>
      </c>
      <c r="AL34" s="206">
        <f t="shared" si="21"/>
        <v>2</v>
      </c>
      <c r="AM34" s="213">
        <f t="shared" si="21"/>
        <v>0.875</v>
      </c>
      <c r="AN34" s="214">
        <f t="shared" si="21"/>
        <v>0.63607464142166403</v>
      </c>
      <c r="AO34" s="215">
        <f t="shared" si="4"/>
        <v>-14.7</v>
      </c>
      <c r="AP34" s="216">
        <f t="shared" si="5"/>
        <v>1</v>
      </c>
      <c r="AQ34" s="216">
        <f t="shared" si="6"/>
        <v>1</v>
      </c>
      <c r="AR34" s="215">
        <f t="shared" si="20"/>
        <v>158.47</v>
      </c>
      <c r="AS34" s="216">
        <f t="shared" si="7"/>
        <v>0.97679498379494789</v>
      </c>
      <c r="AT34" s="216">
        <f t="shared" si="8"/>
        <v>1.2538510821608391</v>
      </c>
      <c r="AU34" s="216">
        <f t="shared" si="9"/>
        <v>2.2360679774997898</v>
      </c>
      <c r="AV34" s="217">
        <f t="shared" si="10"/>
        <v>10.415801185754333</v>
      </c>
      <c r="AW34" s="216">
        <f t="shared" si="11"/>
        <v>0</v>
      </c>
      <c r="AX34" s="218">
        <f t="shared" si="12"/>
        <v>1.4696875479799241</v>
      </c>
      <c r="AY34" s="216">
        <f t="shared" si="13"/>
        <v>0.76851414128953044</v>
      </c>
      <c r="AZ34" s="217">
        <f t="shared" si="14"/>
        <v>3.5640070462657096</v>
      </c>
      <c r="BA34" s="216">
        <f t="shared" si="15"/>
        <v>0</v>
      </c>
      <c r="BB34" s="216">
        <f t="shared" si="16"/>
        <v>1.0084584063544275</v>
      </c>
      <c r="BC34" s="216">
        <f t="shared" si="17"/>
        <v>1</v>
      </c>
    </row>
    <row r="35" spans="1:55" ht="20.100000000000001" customHeight="1" x14ac:dyDescent="0.2">
      <c r="A35" s="45">
        <v>0.83333333333333304</v>
      </c>
      <c r="B35" s="451"/>
      <c r="C35" s="451"/>
      <c r="D35" s="451">
        <v>6.3</v>
      </c>
      <c r="E35" s="451">
        <v>58.6</v>
      </c>
      <c r="F35" s="41">
        <v>1930</v>
      </c>
      <c r="G35" s="37">
        <v>-5.6</v>
      </c>
      <c r="H35" s="37">
        <v>72.3</v>
      </c>
      <c r="I35" s="37">
        <v>22.6</v>
      </c>
      <c r="J35" s="41">
        <v>363</v>
      </c>
      <c r="K35" s="37">
        <v>13</v>
      </c>
      <c r="L35" s="451">
        <v>123</v>
      </c>
      <c r="M35" s="451">
        <v>220</v>
      </c>
      <c r="N35" s="451">
        <v>85</v>
      </c>
      <c r="O35" s="353">
        <v>40</v>
      </c>
      <c r="P35" s="353">
        <v>15</v>
      </c>
      <c r="Q35" s="353">
        <v>256.17</v>
      </c>
      <c r="R35" s="37"/>
      <c r="S35" s="508" t="str">
        <f t="shared" si="22"/>
        <v/>
      </c>
      <c r="T35" s="508"/>
      <c r="U35" s="508"/>
      <c r="V35" s="508"/>
      <c r="X35" s="45">
        <v>0.83333333333333304</v>
      </c>
      <c r="Y35" s="106"/>
      <c r="Z35" s="102"/>
      <c r="AA35" s="102"/>
      <c r="AB35" s="45" t="str">
        <f t="shared" si="18"/>
        <v/>
      </c>
      <c r="AC35" s="45" t="str">
        <f t="shared" si="1"/>
        <v/>
      </c>
      <c r="AD35" s="81"/>
      <c r="AE35" s="9" t="str">
        <f>IF(S35="","",IF(COUNTA(Z35:$Z$39)=1,IF(COUNTA(AD35:$AD$39)=1,""," ; "),IF(COUNTA(AD35:$AD$39)=1,IF(Z35="",""," ; ")," ; ")))</f>
        <v/>
      </c>
      <c r="AF35" s="9" t="str">
        <f t="shared" si="2"/>
        <v/>
      </c>
      <c r="AG35" s="90" t="str">
        <f t="shared" si="3"/>
        <v/>
      </c>
      <c r="AH35" s="204" t="s">
        <v>227</v>
      </c>
      <c r="AJ35" s="206">
        <f t="shared" si="21"/>
        <v>500</v>
      </c>
      <c r="AK35" s="206">
        <f t="shared" si="21"/>
        <v>100</v>
      </c>
      <c r="AL35" s="206">
        <f t="shared" si="21"/>
        <v>2</v>
      </c>
      <c r="AM35" s="213">
        <f t="shared" si="21"/>
        <v>0.875</v>
      </c>
      <c r="AN35" s="214">
        <f t="shared" si="21"/>
        <v>0.63607464142166403</v>
      </c>
      <c r="AO35" s="215">
        <f t="shared" si="4"/>
        <v>-14.7</v>
      </c>
      <c r="AP35" s="216">
        <f t="shared" si="5"/>
        <v>1</v>
      </c>
      <c r="AQ35" s="216">
        <f t="shared" si="6"/>
        <v>1</v>
      </c>
      <c r="AR35" s="215">
        <f t="shared" si="20"/>
        <v>158.47</v>
      </c>
      <c r="AS35" s="216">
        <f t="shared" si="7"/>
        <v>0.97679498379494789</v>
      </c>
      <c r="AT35" s="216">
        <f t="shared" si="8"/>
        <v>1.2538510821608391</v>
      </c>
      <c r="AU35" s="216">
        <f t="shared" si="9"/>
        <v>2.2360679774997898</v>
      </c>
      <c r="AV35" s="217">
        <f t="shared" si="10"/>
        <v>10.415801185754333</v>
      </c>
      <c r="AW35" s="216">
        <f t="shared" si="11"/>
        <v>0</v>
      </c>
      <c r="AX35" s="218">
        <f t="shared" si="12"/>
        <v>1.4696875479799241</v>
      </c>
      <c r="AY35" s="216">
        <f t="shared" si="13"/>
        <v>0.76851414128953044</v>
      </c>
      <c r="AZ35" s="217">
        <f t="shared" si="14"/>
        <v>3.5640070462657096</v>
      </c>
      <c r="BA35" s="216">
        <f t="shared" si="15"/>
        <v>0</v>
      </c>
      <c r="BB35" s="216">
        <f t="shared" si="16"/>
        <v>1.0084584063544275</v>
      </c>
      <c r="BC35" s="216">
        <f t="shared" si="17"/>
        <v>1</v>
      </c>
    </row>
    <row r="36" spans="1:55" ht="20.100000000000001" customHeight="1" x14ac:dyDescent="0.2">
      <c r="A36" s="45">
        <v>0.875</v>
      </c>
      <c r="B36" s="451"/>
      <c r="C36" s="451"/>
      <c r="D36" s="451">
        <v>6.6</v>
      </c>
      <c r="E36" s="451">
        <v>58.3</v>
      </c>
      <c r="F36" s="41">
        <v>1956</v>
      </c>
      <c r="G36" s="37">
        <v>-5.6</v>
      </c>
      <c r="H36" s="37">
        <v>72</v>
      </c>
      <c r="I36" s="37">
        <v>22.3</v>
      </c>
      <c r="J36" s="41">
        <v>364</v>
      </c>
      <c r="K36" s="37">
        <v>13</v>
      </c>
      <c r="L36" s="451">
        <v>123</v>
      </c>
      <c r="M36" s="451">
        <v>220</v>
      </c>
      <c r="N36" s="451">
        <v>85</v>
      </c>
      <c r="O36" s="353">
        <v>40</v>
      </c>
      <c r="P36" s="353">
        <v>16</v>
      </c>
      <c r="Q36" s="353">
        <v>264.5</v>
      </c>
      <c r="R36" s="37"/>
      <c r="S36" s="508" t="str">
        <f t="shared" si="22"/>
        <v/>
      </c>
      <c r="T36" s="508"/>
      <c r="U36" s="508"/>
      <c r="V36" s="508"/>
      <c r="X36" s="45">
        <v>0.875</v>
      </c>
      <c r="Y36" s="106"/>
      <c r="Z36" s="102"/>
      <c r="AA36" s="102"/>
      <c r="AB36" s="45" t="str">
        <f t="shared" si="18"/>
        <v/>
      </c>
      <c r="AC36" s="45" t="str">
        <f t="shared" si="1"/>
        <v/>
      </c>
      <c r="AD36" s="81"/>
      <c r="AE36" s="9" t="str">
        <f>IF(S36="","",IF(COUNTA(Z36:$Z$39)=1,IF(COUNTA(AD36:$AD$39)=1,""," ; "),IF(COUNTA(AD36:$AD$39)=1,IF(Z36="",""," ; ")," ; ")))</f>
        <v/>
      </c>
      <c r="AF36" s="9" t="str">
        <f t="shared" si="2"/>
        <v/>
      </c>
      <c r="AG36" s="90" t="str">
        <f t="shared" si="3"/>
        <v/>
      </c>
      <c r="AH36" s="204" t="s">
        <v>309</v>
      </c>
      <c r="AJ36" s="206">
        <f t="shared" si="21"/>
        <v>500</v>
      </c>
      <c r="AK36" s="206">
        <f t="shared" si="21"/>
        <v>100</v>
      </c>
      <c r="AL36" s="206">
        <f t="shared" si="21"/>
        <v>2</v>
      </c>
      <c r="AM36" s="213">
        <f t="shared" si="21"/>
        <v>0.875</v>
      </c>
      <c r="AN36" s="214">
        <f t="shared" si="21"/>
        <v>0.63607464142166403</v>
      </c>
      <c r="AO36" s="215">
        <f t="shared" si="4"/>
        <v>-14.7</v>
      </c>
      <c r="AP36" s="216">
        <f t="shared" si="5"/>
        <v>1</v>
      </c>
      <c r="AQ36" s="216">
        <f t="shared" si="6"/>
        <v>1</v>
      </c>
      <c r="AR36" s="215">
        <f t="shared" si="20"/>
        <v>158.47</v>
      </c>
      <c r="AS36" s="216">
        <f t="shared" si="7"/>
        <v>0.97679498379494789</v>
      </c>
      <c r="AT36" s="216">
        <f t="shared" si="8"/>
        <v>1.2538510821608391</v>
      </c>
      <c r="AU36" s="216">
        <f t="shared" si="9"/>
        <v>2.2360679774997898</v>
      </c>
      <c r="AV36" s="217">
        <f t="shared" si="10"/>
        <v>10.415801185754333</v>
      </c>
      <c r="AW36" s="216">
        <f t="shared" si="11"/>
        <v>0</v>
      </c>
      <c r="AX36" s="218">
        <f t="shared" si="12"/>
        <v>1.4696875479799241</v>
      </c>
      <c r="AY36" s="216">
        <f t="shared" si="13"/>
        <v>0.76851414128953044</v>
      </c>
      <c r="AZ36" s="217">
        <f t="shared" si="14"/>
        <v>3.5640070462657096</v>
      </c>
      <c r="BA36" s="216">
        <f t="shared" si="15"/>
        <v>0</v>
      </c>
      <c r="BB36" s="216">
        <f t="shared" si="16"/>
        <v>1.0084584063544275</v>
      </c>
      <c r="BC36" s="216">
        <f t="shared" si="17"/>
        <v>1</v>
      </c>
    </row>
    <row r="37" spans="1:55" ht="20.100000000000001" customHeight="1" x14ac:dyDescent="0.2">
      <c r="A37" s="45">
        <v>0.91666666666666696</v>
      </c>
      <c r="B37" s="451"/>
      <c r="C37" s="451"/>
      <c r="D37" s="451">
        <v>6.9</v>
      </c>
      <c r="E37" s="451">
        <v>56.5</v>
      </c>
      <c r="F37" s="41">
        <v>1936</v>
      </c>
      <c r="G37" s="37">
        <v>-5.6</v>
      </c>
      <c r="H37" s="37">
        <v>72.5</v>
      </c>
      <c r="I37" s="37">
        <v>22.9</v>
      </c>
      <c r="J37" s="41">
        <v>365</v>
      </c>
      <c r="K37" s="37">
        <v>13</v>
      </c>
      <c r="L37" s="451">
        <v>121</v>
      </c>
      <c r="M37" s="451">
        <v>222</v>
      </c>
      <c r="N37" s="451">
        <v>85</v>
      </c>
      <c r="O37" s="353">
        <v>40</v>
      </c>
      <c r="P37" s="353">
        <v>15</v>
      </c>
      <c r="Q37" s="353">
        <v>256.17</v>
      </c>
      <c r="R37" s="37"/>
      <c r="S37" s="508" t="str">
        <f t="shared" si="22"/>
        <v/>
      </c>
      <c r="T37" s="508"/>
      <c r="U37" s="508"/>
      <c r="V37" s="508"/>
      <c r="X37" s="45">
        <v>0.91666666666666696</v>
      </c>
      <c r="Y37" s="106"/>
      <c r="Z37" s="102"/>
      <c r="AA37" s="102"/>
      <c r="AB37" s="45" t="str">
        <f t="shared" si="18"/>
        <v/>
      </c>
      <c r="AC37" s="45" t="str">
        <f t="shared" si="1"/>
        <v/>
      </c>
      <c r="AD37" s="81"/>
      <c r="AE37" s="9" t="str">
        <f>IF(S37="","",IF(COUNTA(Z37:$Z$39)=1,IF(COUNTA(AD37:$AD$39)=1,""," ; "),IF(COUNTA(AD37:$AD$39)=1,IF(Z37="",""," ; ")," ; ")))</f>
        <v/>
      </c>
      <c r="AF37" s="9" t="str">
        <f t="shared" si="2"/>
        <v/>
      </c>
      <c r="AG37" s="90" t="str">
        <f t="shared" si="3"/>
        <v/>
      </c>
      <c r="AH37" s="204" t="s">
        <v>319</v>
      </c>
      <c r="AJ37" s="206">
        <f t="shared" si="21"/>
        <v>500</v>
      </c>
      <c r="AK37" s="206">
        <f t="shared" si="21"/>
        <v>100</v>
      </c>
      <c r="AL37" s="206">
        <f t="shared" si="21"/>
        <v>2</v>
      </c>
      <c r="AM37" s="213">
        <f t="shared" si="21"/>
        <v>0.875</v>
      </c>
      <c r="AN37" s="214">
        <f t="shared" si="21"/>
        <v>0.63607464142166403</v>
      </c>
      <c r="AO37" s="215">
        <f t="shared" si="4"/>
        <v>-14.7</v>
      </c>
      <c r="AP37" s="216">
        <f t="shared" si="5"/>
        <v>1</v>
      </c>
      <c r="AQ37" s="216">
        <f t="shared" si="6"/>
        <v>1</v>
      </c>
      <c r="AR37" s="215">
        <f t="shared" si="20"/>
        <v>158.47</v>
      </c>
      <c r="AS37" s="216">
        <f t="shared" si="7"/>
        <v>0.97679498379494789</v>
      </c>
      <c r="AT37" s="216">
        <f t="shared" si="8"/>
        <v>1.2538510821608391</v>
      </c>
      <c r="AU37" s="216">
        <f t="shared" si="9"/>
        <v>2.2360679774997898</v>
      </c>
      <c r="AV37" s="217">
        <f t="shared" si="10"/>
        <v>10.415801185754333</v>
      </c>
      <c r="AW37" s="216">
        <f t="shared" si="11"/>
        <v>0</v>
      </c>
      <c r="AX37" s="218">
        <f t="shared" si="12"/>
        <v>1.4696875479799241</v>
      </c>
      <c r="AY37" s="216">
        <f t="shared" si="13"/>
        <v>0.76851414128953044</v>
      </c>
      <c r="AZ37" s="217">
        <f t="shared" si="14"/>
        <v>3.5640070462657096</v>
      </c>
      <c r="BA37" s="216">
        <f t="shared" si="15"/>
        <v>0</v>
      </c>
      <c r="BB37" s="216">
        <f t="shared" si="16"/>
        <v>1.0084584063544275</v>
      </c>
      <c r="BC37" s="216">
        <f t="shared" si="17"/>
        <v>1</v>
      </c>
    </row>
    <row r="38" spans="1:55" ht="20.100000000000001" customHeight="1" x14ac:dyDescent="0.2">
      <c r="A38" s="45">
        <v>0.95833333333333304</v>
      </c>
      <c r="B38" s="451"/>
      <c r="C38" s="451"/>
      <c r="D38" s="451">
        <v>5.5</v>
      </c>
      <c r="E38" s="451">
        <v>56.1</v>
      </c>
      <c r="F38" s="41">
        <v>1950</v>
      </c>
      <c r="G38" s="37">
        <v>-5.6</v>
      </c>
      <c r="H38" s="37">
        <v>72.599999999999994</v>
      </c>
      <c r="I38" s="37">
        <v>22.5</v>
      </c>
      <c r="J38" s="41">
        <v>366</v>
      </c>
      <c r="K38" s="37">
        <v>13</v>
      </c>
      <c r="L38" s="451">
        <v>121</v>
      </c>
      <c r="M38" s="451">
        <v>222</v>
      </c>
      <c r="N38" s="451">
        <v>85</v>
      </c>
      <c r="O38" s="353">
        <v>35</v>
      </c>
      <c r="P38" s="353">
        <v>12</v>
      </c>
      <c r="Q38" s="353">
        <v>218.49</v>
      </c>
      <c r="R38" s="37"/>
      <c r="S38" s="508" t="str">
        <f t="shared" si="22"/>
        <v/>
      </c>
      <c r="T38" s="508"/>
      <c r="U38" s="508"/>
      <c r="V38" s="508"/>
      <c r="X38" s="45">
        <v>0.95833333333333304</v>
      </c>
      <c r="Y38" s="106"/>
      <c r="Z38" s="102"/>
      <c r="AA38" s="102"/>
      <c r="AB38" s="45" t="str">
        <f t="shared" si="18"/>
        <v/>
      </c>
      <c r="AC38" s="45" t="str">
        <f t="shared" si="1"/>
        <v/>
      </c>
      <c r="AD38" s="81"/>
      <c r="AE38" s="9" t="str">
        <f>IF(S38="","",IF(COUNTA(Z38:$Z$39)=1,IF(COUNTA(AD38:$AD$39)=1,""," ; "),IF(COUNTA(AD38:$AD$39)=1,IF(Z38="",""," ; ")," ; ")))</f>
        <v/>
      </c>
      <c r="AF38" s="9" t="str">
        <f t="shared" si="2"/>
        <v/>
      </c>
      <c r="AG38" s="90" t="str">
        <f t="shared" si="3"/>
        <v/>
      </c>
      <c r="AH38" s="204" t="s">
        <v>219</v>
      </c>
      <c r="AJ38" s="206">
        <f t="shared" si="21"/>
        <v>500</v>
      </c>
      <c r="AK38" s="206">
        <f t="shared" si="21"/>
        <v>100</v>
      </c>
      <c r="AL38" s="206">
        <f t="shared" si="21"/>
        <v>2</v>
      </c>
      <c r="AM38" s="213">
        <f t="shared" si="21"/>
        <v>0.875</v>
      </c>
      <c r="AN38" s="214">
        <f t="shared" si="21"/>
        <v>0.63607464142166403</v>
      </c>
      <c r="AO38" s="215">
        <f t="shared" si="4"/>
        <v>-14.7</v>
      </c>
      <c r="AP38" s="216">
        <f t="shared" si="5"/>
        <v>1</v>
      </c>
      <c r="AQ38" s="216">
        <f t="shared" si="6"/>
        <v>1</v>
      </c>
      <c r="AR38" s="215">
        <f t="shared" si="20"/>
        <v>158.47</v>
      </c>
      <c r="AS38" s="216">
        <f t="shared" si="7"/>
        <v>0.97679498379494789</v>
      </c>
      <c r="AT38" s="216">
        <f t="shared" si="8"/>
        <v>1.2538510821608391</v>
      </c>
      <c r="AU38" s="216">
        <f t="shared" si="9"/>
        <v>2.2360679774997898</v>
      </c>
      <c r="AV38" s="217">
        <f t="shared" si="10"/>
        <v>10.415801185754333</v>
      </c>
      <c r="AW38" s="216">
        <f t="shared" si="11"/>
        <v>0</v>
      </c>
      <c r="AX38" s="218">
        <f t="shared" si="12"/>
        <v>1.4696875479799241</v>
      </c>
      <c r="AY38" s="216">
        <f t="shared" si="13"/>
        <v>0.76851414128953044</v>
      </c>
      <c r="AZ38" s="217">
        <f t="shared" si="14"/>
        <v>3.5640070462657096</v>
      </c>
      <c r="BA38" s="216">
        <f t="shared" si="15"/>
        <v>0</v>
      </c>
      <c r="BB38" s="216">
        <f t="shared" si="16"/>
        <v>1.0084584063544275</v>
      </c>
      <c r="BC38" s="216">
        <f t="shared" si="17"/>
        <v>1</v>
      </c>
    </row>
    <row r="39" spans="1:55" ht="20.100000000000001" customHeight="1" thickBot="1" x14ac:dyDescent="0.25">
      <c r="A39" s="46">
        <v>1</v>
      </c>
      <c r="B39" s="451"/>
      <c r="C39" s="451"/>
      <c r="D39" s="452">
        <v>5.8</v>
      </c>
      <c r="E39" s="452">
        <v>56.5</v>
      </c>
      <c r="F39" s="42">
        <v>1963</v>
      </c>
      <c r="G39" s="37">
        <v>-5.6</v>
      </c>
      <c r="H39" s="38">
        <v>72.5</v>
      </c>
      <c r="I39" s="37">
        <v>22.3</v>
      </c>
      <c r="J39" s="41">
        <v>367</v>
      </c>
      <c r="K39" s="37">
        <v>13</v>
      </c>
      <c r="L39" s="452">
        <v>122</v>
      </c>
      <c r="M39" s="452">
        <v>224</v>
      </c>
      <c r="N39" s="451">
        <v>85</v>
      </c>
      <c r="O39" s="353">
        <v>35</v>
      </c>
      <c r="P39" s="353">
        <v>12</v>
      </c>
      <c r="Q39" s="354">
        <v>218.49</v>
      </c>
      <c r="R39" s="38"/>
      <c r="S39" s="512" t="str">
        <f t="shared" si="22"/>
        <v/>
      </c>
      <c r="T39" s="512"/>
      <c r="U39" s="512"/>
      <c r="V39" s="512"/>
      <c r="X39" s="46">
        <v>1</v>
      </c>
      <c r="Y39" s="107"/>
      <c r="Z39" s="103"/>
      <c r="AA39" s="103"/>
      <c r="AB39" s="46" t="str">
        <f t="shared" si="18"/>
        <v/>
      </c>
      <c r="AC39" s="46" t="str">
        <f t="shared" si="1"/>
        <v/>
      </c>
      <c r="AD39" s="82"/>
      <c r="AE39" s="9" t="str">
        <f>IF(S39="","",IF(COUNTA(Z39:$Z$39)=1,IF(COUNTA(AD39:$AD$39)=1,""," ; "),IF(COUNTA(AD39:$AD$39)=1,IF(Z39="",""," ; ")," ; ")))</f>
        <v/>
      </c>
      <c r="AF39" s="9" t="str">
        <f t="shared" si="2"/>
        <v/>
      </c>
      <c r="AG39" s="90" t="str">
        <f t="shared" si="3"/>
        <v/>
      </c>
      <c r="AH39" s="204" t="s">
        <v>220</v>
      </c>
      <c r="AJ39" s="219">
        <f t="shared" si="21"/>
        <v>500</v>
      </c>
      <c r="AK39" s="219">
        <f t="shared" si="21"/>
        <v>100</v>
      </c>
      <c r="AL39" s="219">
        <f t="shared" si="21"/>
        <v>2</v>
      </c>
      <c r="AM39" s="220">
        <f t="shared" si="21"/>
        <v>0.875</v>
      </c>
      <c r="AN39" s="221">
        <f t="shared" si="21"/>
        <v>0.63607464142166403</v>
      </c>
      <c r="AO39" s="222">
        <f t="shared" si="4"/>
        <v>-14.7</v>
      </c>
      <c r="AP39" s="223">
        <f t="shared" si="5"/>
        <v>1</v>
      </c>
      <c r="AQ39" s="223">
        <f t="shared" si="6"/>
        <v>1</v>
      </c>
      <c r="AR39" s="222">
        <f t="shared" si="20"/>
        <v>158.47</v>
      </c>
      <c r="AS39" s="223">
        <f t="shared" si="7"/>
        <v>0.97679498379494789</v>
      </c>
      <c r="AT39" s="223">
        <f t="shared" si="8"/>
        <v>1.2538510821608391</v>
      </c>
      <c r="AU39" s="223">
        <f t="shared" si="9"/>
        <v>2.2360679774997898</v>
      </c>
      <c r="AV39" s="224">
        <f t="shared" si="10"/>
        <v>10.415801185754333</v>
      </c>
      <c r="AW39" s="223">
        <f t="shared" si="11"/>
        <v>0</v>
      </c>
      <c r="AX39" s="225">
        <f t="shared" si="12"/>
        <v>1.4696875479799241</v>
      </c>
      <c r="AY39" s="223">
        <f t="shared" si="13"/>
        <v>0.76851414128953044</v>
      </c>
      <c r="AZ39" s="224">
        <f t="shared" si="14"/>
        <v>3.5640070462657096</v>
      </c>
      <c r="BA39" s="223">
        <f t="shared" si="15"/>
        <v>0</v>
      </c>
      <c r="BB39" s="223">
        <f t="shared" si="16"/>
        <v>1.0084584063544275</v>
      </c>
      <c r="BC39" s="223">
        <f t="shared" si="17"/>
        <v>1</v>
      </c>
    </row>
    <row r="40" spans="1:55" ht="20.100000000000001" customHeight="1" thickBot="1" x14ac:dyDescent="0.3">
      <c r="A40" s="53" t="s">
        <v>11</v>
      </c>
      <c r="B40" s="453" t="str">
        <f>IFERROR(ROUND(AVERAGE(B16:B39),2),"")</f>
        <v/>
      </c>
      <c r="C40" s="453" t="str">
        <f>IFERROR(ROUND(AVERAGE(C16:C39),2),"")</f>
        <v/>
      </c>
      <c r="D40" s="453">
        <f>IFERROR(ROUND(AVERAGE(D16:D39),2),"")</f>
        <v>6.6</v>
      </c>
      <c r="E40" s="453">
        <f>IFERROR(ROUND(AVERAGE(E16:E39),2),"")</f>
        <v>58.8</v>
      </c>
      <c r="F40" s="55">
        <f>IFERROR(ROUND(AVERAGE(F16:F39),0),"")</f>
        <v>1945</v>
      </c>
      <c r="G40" s="54">
        <f>IFERROR(AVERAGE(G16:G39),"")</f>
        <v>-5.5999999999999979</v>
      </c>
      <c r="H40" s="54">
        <f>IFERROR(AVERAGE(H16:H39),"")</f>
        <v>72.408333333333331</v>
      </c>
      <c r="I40" s="54">
        <f>IFERROR(AVERAGE(I16:I39),"")</f>
        <v>22.441666666666663</v>
      </c>
      <c r="J40" s="71"/>
      <c r="K40" s="111">
        <f>IFERROR(AVERAGE(K16:K39),"")</f>
        <v>13</v>
      </c>
      <c r="L40" s="453">
        <f t="shared" ref="L40:P40" si="23">IFERROR(ROUND(AVERAGE(L16:L39),1),"")</f>
        <v>123.6</v>
      </c>
      <c r="M40" s="453">
        <f t="shared" si="23"/>
        <v>221</v>
      </c>
      <c r="N40" s="453">
        <f t="shared" si="23"/>
        <v>85</v>
      </c>
      <c r="O40" s="456">
        <f t="shared" si="23"/>
        <v>40.6</v>
      </c>
      <c r="P40" s="456">
        <f t="shared" si="23"/>
        <v>11.8</v>
      </c>
      <c r="Q40" s="456">
        <f>IF($I$47=1,$M$49,$Q$44)</f>
        <v>214.3</v>
      </c>
      <c r="R40" s="54" t="str">
        <f>IFERROR(ROUND(AVERAGE(R16:R39),1),"")</f>
        <v/>
      </c>
      <c r="S40" s="509"/>
      <c r="T40" s="510"/>
      <c r="U40" s="510"/>
      <c r="V40" s="511"/>
      <c r="X40" s="99"/>
      <c r="Y40" s="99"/>
      <c r="Z40" s="99"/>
      <c r="AA40" s="99"/>
      <c r="AB40" s="104">
        <f>SUM(AB16:AB39)</f>
        <v>0</v>
      </c>
      <c r="AC40" s="104">
        <f>SUM(AC16:AC39)</f>
        <v>0</v>
      </c>
      <c r="AD40" s="92" t="str">
        <f>IF(OR(COUNTBLANK(D16:E39)+COUNTBLANK(O16:P39)=0,COUNTA(S16:V39)&lt;&gt;0),"","CEK : Blank Data - Remarks")</f>
        <v/>
      </c>
      <c r="AG40" s="90" t="str">
        <f>IF(COUNTIF(AG16:AG39,"")=COUNTA(AG16:AG39),"","CEK : Data Flowrate")</f>
        <v>CEK : Data Flowrate</v>
      </c>
      <c r="AH40" s="204" t="s">
        <v>311</v>
      </c>
    </row>
    <row r="41" spans="1:55" ht="20.100000000000001" hidden="1" customHeight="1" thickBot="1" x14ac:dyDescent="0.3">
      <c r="A41" s="49" t="s">
        <v>12</v>
      </c>
      <c r="B41" s="52" t="str">
        <f>IF(COUNT(B16:B39)&gt;0,ROUND(MIN(B16:B39),2),"")</f>
        <v/>
      </c>
      <c r="C41" s="52" t="str">
        <f>IF(COUNT(C16:C39)&gt;0,ROUND(MIN(C16:C39),2),"")</f>
        <v/>
      </c>
      <c r="D41" s="52">
        <f>IF(COUNT(D16:D39)&gt;0,ROUND(MIN(D16:D39),2),"")</f>
        <v>5</v>
      </c>
      <c r="E41" s="52">
        <f>IF(COUNT(E16:E39)&gt;0,ROUND(MIN(E16:E39),2),"")</f>
        <v>53.8</v>
      </c>
      <c r="F41" s="51">
        <f>IF(COUNT(F16:F39)&gt;0,ROUND(MIN(F16:F39),0),"")</f>
        <v>1909</v>
      </c>
      <c r="G41" s="50">
        <f>IF(COUNT(G16:G39)&gt;0,MIN(G16:G39),"")</f>
        <v>-5.6</v>
      </c>
      <c r="H41" s="50">
        <f>IF(COUNT(H16:H39)&gt;0,MIN(H16:H39),"")</f>
        <v>72</v>
      </c>
      <c r="I41" s="50">
        <f>IF(COUNT(I16:I39)&gt;0,MIN(I16:I39),"")</f>
        <v>22</v>
      </c>
      <c r="J41" s="72"/>
      <c r="K41" s="50">
        <f>IF(COUNT(K16:K39)&gt;0,MIN(K16:K39),"")</f>
        <v>13</v>
      </c>
      <c r="L41" s="52">
        <f>IF(COUNT(L16:L39)&gt;0,ROUND(MIN(L16:L39),1),"")</f>
        <v>120</v>
      </c>
      <c r="M41" s="52">
        <f>IF(COUNT(M16:M39)&gt;0,ROUND(MIN(M16:M39),1),"")</f>
        <v>220</v>
      </c>
      <c r="N41" s="52">
        <f>IF(COUNT(N16:N39)&gt;0,ROUND(MIN(N16:N39),1),"")</f>
        <v>85</v>
      </c>
      <c r="O41" s="440">
        <f>IF(COUNT(O16:O39)&gt;0,ROUND(MIN(O16:O39),1),"")</f>
        <v>35</v>
      </c>
      <c r="P41" s="440">
        <f>IF(COUNT(P16:P39)&gt;0,ROUND(MIN(P16:P39),1),"")</f>
        <v>6</v>
      </c>
      <c r="Q41" s="440">
        <f>IF(COUNT(Q16:Q39)&gt;0,ROUND(MIN(Q16:Q39),4),"")</f>
        <v>183.87</v>
      </c>
      <c r="R41" s="121" t="str">
        <f>IF(COUNT(R16:R39)&gt;0,ROUND(MIN(R16:R39),1),"")</f>
        <v/>
      </c>
      <c r="S41" s="509"/>
      <c r="T41" s="510"/>
      <c r="U41" s="510"/>
      <c r="V41" s="511"/>
      <c r="X41" s="99"/>
      <c r="Y41" s="99"/>
      <c r="Z41" s="99"/>
      <c r="AA41" s="99"/>
      <c r="AB41" s="99"/>
      <c r="AC41" s="99"/>
      <c r="AH41" s="204" t="s">
        <v>318</v>
      </c>
    </row>
    <row r="42" spans="1:55" ht="20.100000000000001" hidden="1" customHeight="1" thickBot="1" x14ac:dyDescent="0.3">
      <c r="A42" s="21" t="s">
        <v>13</v>
      </c>
      <c r="B42" s="454" t="str">
        <f>IF(COUNT(B16:B39)&gt;0,ROUND(MAX(B16:B39),2),"")</f>
        <v/>
      </c>
      <c r="C42" s="454" t="str">
        <f>IF(COUNT(C16:C39)&gt;0,ROUND(MAX(C16:C39),2),"")</f>
        <v/>
      </c>
      <c r="D42" s="454">
        <f>IF(COUNT(D16:D39)&gt;0,ROUND(MAX(D16:D39),2),"")</f>
        <v>7.6</v>
      </c>
      <c r="E42" s="454">
        <f>IF(COUNT(E16:E39)&gt;0,ROUND(MAX(E16:E39),2),"")</f>
        <v>63.9</v>
      </c>
      <c r="F42" s="43">
        <f>IF(COUNT(F16:F39)&gt;0,ROUND(MAX(F16:F39),0),"")</f>
        <v>1983</v>
      </c>
      <c r="G42" s="39">
        <f>IF(COUNT(G16:G39)&gt;0,MAX(G16:G39),"")</f>
        <v>-5.6</v>
      </c>
      <c r="H42" s="39">
        <f>IF(COUNT(H16:H39)&gt;0,MAX(H16:H39),"")</f>
        <v>72.900000000000006</v>
      </c>
      <c r="I42" s="39">
        <f>IF(COUNT(I16:I39)&gt;0,MAX(I16:I39),"")</f>
        <v>22.9</v>
      </c>
      <c r="J42" s="43">
        <f>IF(COUNT(J16:J39)&gt;0,MAX(J16:J39),"")</f>
        <v>367</v>
      </c>
      <c r="K42" s="39">
        <f>IF(COUNT(K16:K39)&gt;0,MAX(K16:K39),"")</f>
        <v>13</v>
      </c>
      <c r="L42" s="454">
        <f>IF(COUNT(L16:L39)&gt;0,ROUND(MAX(L16:L39),1),"")</f>
        <v>128</v>
      </c>
      <c r="M42" s="454">
        <f>IF(COUNT(M16:M39)&gt;0,ROUND(MAX(M16:M39),1),"")</f>
        <v>224</v>
      </c>
      <c r="N42" s="454">
        <f>IF(COUNT(N16:N39)&gt;0,ROUND(MAX(N16:N39),1),"")</f>
        <v>85</v>
      </c>
      <c r="O42" s="441">
        <f>IF(COUNT(O16:O39)&gt;0,ROUND(MAX(O16:O39),1),"")</f>
        <v>55</v>
      </c>
      <c r="P42" s="441">
        <f>IF(COUNT(P16:P39)&gt;0,ROUND(MAX(P16:P39),1),"")</f>
        <v>17</v>
      </c>
      <c r="Q42" s="441">
        <f>IF(COUNT(Q16:Q39)&gt;0,ROUND(MAX(Q16:Q39),4),"")</f>
        <v>272.58</v>
      </c>
      <c r="R42" s="39" t="str">
        <f>IF(COUNT(R16:R39)&gt;0,ROUND(MAX(R16:R39),1),"")</f>
        <v/>
      </c>
      <c r="S42" s="509"/>
      <c r="T42" s="510"/>
      <c r="U42" s="510"/>
      <c r="V42" s="511"/>
      <c r="X42" s="99"/>
      <c r="Y42" s="99"/>
      <c r="Z42" s="99"/>
      <c r="AA42" s="99"/>
      <c r="AB42" s="99"/>
      <c r="AC42" s="99"/>
      <c r="AH42" s="204" t="s">
        <v>312</v>
      </c>
    </row>
    <row r="43" spans="1:55" ht="20.100000000000001" hidden="1" customHeight="1" x14ac:dyDescent="0.25">
      <c r="A43" s="109"/>
      <c r="B43" s="110">
        <f>COUNT(B16:B39)</f>
        <v>0</v>
      </c>
      <c r="C43" s="110">
        <f>COUNT(C16:C39)</f>
        <v>0</v>
      </c>
      <c r="D43" s="110">
        <f>COUNT(D16:D39)</f>
        <v>24</v>
      </c>
      <c r="E43" s="110">
        <f t="shared" ref="E43:H43" si="24">COUNT(E16:E39)</f>
        <v>24</v>
      </c>
      <c r="F43" s="110">
        <f t="shared" si="24"/>
        <v>24</v>
      </c>
      <c r="G43" s="110">
        <f t="shared" si="24"/>
        <v>24</v>
      </c>
      <c r="H43" s="110">
        <f t="shared" si="24"/>
        <v>24</v>
      </c>
      <c r="I43" s="110"/>
      <c r="J43" s="110"/>
      <c r="K43" s="110"/>
      <c r="L43" s="110">
        <f t="shared" ref="L43:Q43" si="25">COUNT(L16:L39)</f>
        <v>24</v>
      </c>
      <c r="M43" s="110">
        <f t="shared" si="25"/>
        <v>24</v>
      </c>
      <c r="N43" s="110">
        <f t="shared" si="25"/>
        <v>24</v>
      </c>
      <c r="O43" s="110">
        <f t="shared" si="25"/>
        <v>18</v>
      </c>
      <c r="P43" s="110">
        <f t="shared" si="25"/>
        <v>18</v>
      </c>
      <c r="Q43" s="110">
        <f t="shared" si="25"/>
        <v>18</v>
      </c>
      <c r="R43" s="110"/>
      <c r="S43" s="99"/>
      <c r="T43" s="99"/>
      <c r="U43" s="99"/>
      <c r="V43" s="99"/>
      <c r="X43" s="99"/>
      <c r="Y43" s="99"/>
      <c r="Z43" s="99"/>
      <c r="AA43" s="99"/>
      <c r="AB43" s="99"/>
      <c r="AC43" s="99"/>
      <c r="AD43" s="92" t="str">
        <f>IF(AND(D43=E43,D43=F43,D43=G43,D43=H43,D43=L43,D43=M43,D43=N43,D43=O43,D43=P43,D43=Q43),"","CEK : Data Content")</f>
        <v>CEK : Data Content</v>
      </c>
      <c r="AH43" s="204" t="s">
        <v>221</v>
      </c>
    </row>
    <row r="44" spans="1:55" s="6" customFormat="1" ht="15" customHeight="1" x14ac:dyDescent="0.25">
      <c r="J44" s="91" t="str">
        <f>IF(J1="PRINT","",IF(J42="","RH please ! !",""))</f>
        <v/>
      </c>
      <c r="L44" s="24"/>
      <c r="Q44" s="445">
        <f>IFERROR(ROUND(AVERAGE(Q16:Q39),4),"")</f>
        <v>225.56720000000001</v>
      </c>
      <c r="AH44" s="204" t="s">
        <v>323</v>
      </c>
      <c r="AI44" s="7"/>
    </row>
    <row r="45" spans="1:55" s="6" customFormat="1" ht="15" customHeight="1" x14ac:dyDescent="0.25">
      <c r="L45" s="26" t="s">
        <v>290</v>
      </c>
      <c r="Q45" s="445"/>
      <c r="AH45" s="204" t="s">
        <v>288</v>
      </c>
      <c r="AI45" s="7"/>
    </row>
    <row r="46" spans="1:55" s="6" customFormat="1" ht="15" customHeight="1" x14ac:dyDescent="0.25">
      <c r="D46" s="443" t="s">
        <v>90</v>
      </c>
      <c r="E46" s="448" t="str">
        <f>IF(Schedule!C$16="","",Schedule!C$16)</f>
        <v/>
      </c>
      <c r="G46" s="61"/>
      <c r="H46" s="25" t="str">
        <f>IFERROR(IF(OR(I47="",I48="",I49=""),"WAKTU BELUM DI-ISI LENGKAP",IF(SUM(I48:I49)&lt;=1,"","CEK KEMBALI PENULISAN WAKTU SALAH")),"CEK KEMBALI PENULISAN WAKTU SALAH")</f>
        <v/>
      </c>
      <c r="L46" s="26" t="s">
        <v>22</v>
      </c>
      <c r="M46" s="460">
        <f>IF(Volume!$W15="",$O46,Volume!$W15)</f>
        <v>43.065300000000001</v>
      </c>
      <c r="N46" s="27" t="s">
        <v>1</v>
      </c>
      <c r="O46" s="447">
        <f>IF(O40="","",O40)</f>
        <v>40.6</v>
      </c>
      <c r="P46" s="361" t="s">
        <v>29</v>
      </c>
      <c r="Q46" s="362"/>
      <c r="R46" s="362"/>
      <c r="S46" s="362"/>
      <c r="T46" s="361" t="s">
        <v>30</v>
      </c>
      <c r="U46" s="362"/>
      <c r="V46" s="362"/>
      <c r="AH46" s="204" t="s">
        <v>222</v>
      </c>
    </row>
    <row r="47" spans="1:55" s="6" customFormat="1" ht="15" customHeight="1" x14ac:dyDescent="0.25">
      <c r="D47" s="448"/>
      <c r="E47" s="448"/>
      <c r="H47" s="26" t="s">
        <v>26</v>
      </c>
      <c r="I47" s="56">
        <f>IF(OR(I48="",I49=""),"",1-I48-I49)</f>
        <v>1</v>
      </c>
      <c r="J47" s="27" t="s">
        <v>19</v>
      </c>
      <c r="L47" s="26" t="s">
        <v>23</v>
      </c>
      <c r="M47" s="442">
        <f>IF(Volume!$Y15="",$O47,Volume!$Y15)</f>
        <v>10.409700000000001</v>
      </c>
      <c r="N47" s="27" t="s">
        <v>14</v>
      </c>
      <c r="O47" s="447">
        <f>IF(P40="","",P40)</f>
        <v>11.8</v>
      </c>
      <c r="P47" s="361" t="s">
        <v>211</v>
      </c>
      <c r="Q47" s="362"/>
      <c r="R47" s="362"/>
      <c r="S47" s="362"/>
      <c r="T47" s="361" t="s">
        <v>271</v>
      </c>
      <c r="U47" s="362"/>
      <c r="V47" s="362"/>
      <c r="AH47" s="204" t="s">
        <v>223</v>
      </c>
    </row>
    <row r="48" spans="1:55" s="6" customFormat="1" ht="15" customHeight="1" x14ac:dyDescent="0.25">
      <c r="D48" s="443" t="s">
        <v>91</v>
      </c>
      <c r="E48" s="448" t="str">
        <f>IF(Schedule!D$16="","",Schedule!D$16)</f>
        <v/>
      </c>
      <c r="H48" s="26" t="s">
        <v>37</v>
      </c>
      <c r="I48" s="108">
        <f>IF(OR(COUNT($Q$16:$Q$39)&lt;&gt;0,COUNTA($AD$16:$AD$39)&lt;&gt;0),AB40,"")</f>
        <v>0</v>
      </c>
      <c r="J48" s="27" t="s">
        <v>19</v>
      </c>
      <c r="L48" s="26" t="s">
        <v>24</v>
      </c>
      <c r="M48" s="449">
        <f>IF(N40="","",N40)</f>
        <v>85</v>
      </c>
      <c r="N48" s="27" t="s">
        <v>5</v>
      </c>
      <c r="P48" s="362"/>
      <c r="Q48" s="362"/>
      <c r="R48" s="362"/>
      <c r="S48" s="362"/>
      <c r="T48" s="361" t="s">
        <v>291</v>
      </c>
      <c r="U48" s="362"/>
      <c r="V48" s="362"/>
      <c r="AH48" s="204" t="s">
        <v>324</v>
      </c>
    </row>
    <row r="49" spans="1:34" s="6" customFormat="1" ht="15" customHeight="1" x14ac:dyDescent="0.25">
      <c r="D49" s="448"/>
      <c r="E49" s="448"/>
      <c r="H49" s="26" t="s">
        <v>27</v>
      </c>
      <c r="I49" s="108">
        <f>IF(OR(COUNT($Q$16:$Q$39)&lt;&gt;0,COUNTA($AD$16:$AD$39)&lt;&gt;0),AC40,"")</f>
        <v>0</v>
      </c>
      <c r="J49" s="27" t="s">
        <v>19</v>
      </c>
      <c r="L49" s="26" t="s">
        <v>128</v>
      </c>
      <c r="M49" s="442">
        <f>IF(Volume!$L15="",M51,Volume!$L15)</f>
        <v>214.3</v>
      </c>
      <c r="N49" s="27" t="str">
        <f>IF(Q15="MSCFD","MSCF","MMSCF")</f>
        <v>MSCF</v>
      </c>
      <c r="P49" s="362"/>
      <c r="Q49" s="362"/>
      <c r="R49" s="362"/>
      <c r="S49" s="362"/>
      <c r="T49" s="362"/>
      <c r="U49" s="362"/>
      <c r="V49" s="362"/>
      <c r="AH49" s="204" t="s">
        <v>317</v>
      </c>
    </row>
    <row r="50" spans="1:34" s="6" customFormat="1" ht="15" customHeight="1" x14ac:dyDescent="0.25">
      <c r="D50" s="443" t="s">
        <v>92</v>
      </c>
      <c r="E50" s="448" t="str">
        <f>IF(Schedule!E$16="","",Schedule!E$16)</f>
        <v>Marihot Gustafa S.</v>
      </c>
      <c r="L50" s="443" t="str">
        <f>CONCATENATE(MR!L16," ",":")</f>
        <v>Liquid Gain :</v>
      </c>
      <c r="M50" s="446" t="str">
        <f>IF(R40="","",ROUND(SUM(R16:R39),2))</f>
        <v/>
      </c>
      <c r="N50" s="444" t="str">
        <f>R15</f>
        <v>BPD</v>
      </c>
      <c r="P50" s="362"/>
      <c r="Q50" s="362"/>
      <c r="R50" s="362"/>
      <c r="S50" s="362"/>
      <c r="T50" s="362"/>
      <c r="U50" s="362"/>
      <c r="V50" s="362"/>
      <c r="AH50" s="204" t="s">
        <v>282</v>
      </c>
    </row>
    <row r="51" spans="1:34" s="6" customFormat="1" ht="15" customHeight="1" x14ac:dyDescent="0.25">
      <c r="A51" s="4"/>
      <c r="L51" s="443" t="s">
        <v>286</v>
      </c>
      <c r="M51" s="447">
        <f>IF(Q44="","",IF(SUM(I48:I49)=1,IF(Q44&lt;&gt;0,"Cek Tabel",""),ROUND(Q44*I47,4)))</f>
        <v>225.56720000000001</v>
      </c>
      <c r="N51" s="444" t="str">
        <f>IF(Q15="MSCFD","MSCF","MMSCF")</f>
        <v>MSCF</v>
      </c>
      <c r="P51" s="362"/>
      <c r="Q51" s="362"/>
      <c r="R51" s="362"/>
      <c r="S51" s="362"/>
      <c r="T51" s="362"/>
      <c r="U51" s="362"/>
      <c r="V51" s="362"/>
      <c r="AH51" s="204" t="s">
        <v>325</v>
      </c>
    </row>
    <row r="52" spans="1:34" s="6" customFormat="1" ht="15" customHeight="1" x14ac:dyDescent="0.25">
      <c r="D52" s="26" t="s">
        <v>28</v>
      </c>
      <c r="E52" s="47"/>
      <c r="F52" s="47"/>
      <c r="G52" s="47"/>
      <c r="H52" s="47"/>
      <c r="I52" s="47"/>
      <c r="J52" s="47"/>
      <c r="K52" s="47"/>
      <c r="L52" s="5"/>
      <c r="P52" s="362"/>
      <c r="Q52" s="362"/>
      <c r="R52" s="362"/>
      <c r="S52" s="362"/>
      <c r="T52" s="362"/>
      <c r="U52" s="362"/>
      <c r="V52" s="362"/>
      <c r="AH52" s="204" t="s">
        <v>280</v>
      </c>
    </row>
    <row r="53" spans="1:34" s="6" customFormat="1" ht="15" customHeight="1" x14ac:dyDescent="0.25">
      <c r="D53" s="5"/>
      <c r="E53" s="48"/>
      <c r="F53" s="48"/>
      <c r="G53" s="48"/>
      <c r="H53" s="48"/>
      <c r="I53" s="48"/>
      <c r="J53" s="48"/>
      <c r="K53" s="48"/>
      <c r="L53" s="5"/>
      <c r="P53" s="363" t="str">
        <f>UPPER(E50)</f>
        <v>MARIHOT GUSTAFA S.</v>
      </c>
      <c r="Q53" s="362"/>
      <c r="R53" s="362"/>
      <c r="S53" s="362"/>
      <c r="T53" s="363" t="str">
        <f>IF(Schedule!F$16="","",UPPER(Schedule!F$16))</f>
        <v>M. NANANG WAHYU S</v>
      </c>
      <c r="U53" s="362"/>
      <c r="V53" s="362"/>
      <c r="AH53" s="204" t="s">
        <v>316</v>
      </c>
    </row>
    <row r="54" spans="1:34" s="6" customFormat="1" ht="15" customHeight="1" x14ac:dyDescent="0.25">
      <c r="E54" s="48"/>
      <c r="F54" s="48"/>
      <c r="G54" s="48"/>
      <c r="H54" s="48"/>
      <c r="I54" s="48"/>
      <c r="J54" s="48"/>
      <c r="K54" s="48"/>
      <c r="P54" s="361" t="s">
        <v>107</v>
      </c>
      <c r="Q54" s="362"/>
      <c r="R54" s="362"/>
      <c r="S54" s="362"/>
      <c r="T54" s="361" t="s">
        <v>294</v>
      </c>
      <c r="U54" s="362"/>
      <c r="V54" s="362"/>
      <c r="AH54" s="204" t="s">
        <v>326</v>
      </c>
    </row>
    <row r="55" spans="1:34" s="6" customFormat="1" ht="15" customHeight="1" x14ac:dyDescent="0.25">
      <c r="P55" s="364" t="str">
        <f>CONCATENATE("Date : ",TEXT(K12,"[$-409]d mmm yyyy;@"))</f>
        <v>Date : 12 Jun 2025</v>
      </c>
      <c r="Q55" s="362"/>
      <c r="R55" s="364"/>
      <c r="S55" s="362"/>
      <c r="T55" s="364" t="str">
        <f>CONCATENATE("Date : ",TEXT(K12,"[$-409]d mmm yyyy;@"))</f>
        <v>Date : 12 Jun 2025</v>
      </c>
      <c r="U55" s="362"/>
      <c r="V55" s="362"/>
      <c r="AH55" s="204" t="s">
        <v>327</v>
      </c>
    </row>
    <row r="56" spans="1:34" ht="15" customHeight="1" x14ac:dyDescent="0.25">
      <c r="AH56" s="204" t="s">
        <v>281</v>
      </c>
    </row>
    <row r="57" spans="1:34" ht="15" customHeight="1" x14ac:dyDescent="0.25">
      <c r="AH57" s="204" t="s">
        <v>277</v>
      </c>
    </row>
    <row r="58" spans="1:34" ht="15" customHeight="1" x14ac:dyDescent="0.25">
      <c r="AH58" s="204" t="s">
        <v>328</v>
      </c>
    </row>
    <row r="59" spans="1:34" ht="15" customHeight="1" x14ac:dyDescent="0.25">
      <c r="AH59" s="204" t="s">
        <v>329</v>
      </c>
    </row>
    <row r="60" spans="1:34" ht="15" customHeight="1" x14ac:dyDescent="0.25">
      <c r="AH60" s="204" t="s">
        <v>330</v>
      </c>
    </row>
    <row r="61" spans="1:34" ht="15" customHeight="1" x14ac:dyDescent="0.25">
      <c r="AH61" s="204" t="s">
        <v>331</v>
      </c>
    </row>
    <row r="62" spans="1:34" ht="15" customHeight="1" x14ac:dyDescent="0.25">
      <c r="AH62" s="204" t="s">
        <v>332</v>
      </c>
    </row>
    <row r="63" spans="1:34" ht="15" customHeight="1" x14ac:dyDescent="0.25">
      <c r="AH63" s="204" t="s">
        <v>315</v>
      </c>
    </row>
    <row r="64" spans="1:34" ht="15" customHeight="1" x14ac:dyDescent="0.25">
      <c r="AH64" s="204" t="s">
        <v>333</v>
      </c>
    </row>
    <row r="65" spans="34:34" ht="15" customHeight="1" x14ac:dyDescent="0.25">
      <c r="AH65" s="204" t="s">
        <v>310</v>
      </c>
    </row>
    <row r="66" spans="34:34" ht="15" customHeight="1" x14ac:dyDescent="0.25">
      <c r="AH66" s="204" t="s">
        <v>334</v>
      </c>
    </row>
    <row r="67" spans="34:34" ht="15" customHeight="1" x14ac:dyDescent="0.25">
      <c r="AH67" s="204" t="s">
        <v>335</v>
      </c>
    </row>
    <row r="68" spans="34:34" ht="15" customHeight="1" x14ac:dyDescent="0.25">
      <c r="AH68" s="204" t="s">
        <v>336</v>
      </c>
    </row>
    <row r="69" spans="34:34" ht="15" customHeight="1" x14ac:dyDescent="0.25">
      <c r="AH69" s="204" t="s">
        <v>337</v>
      </c>
    </row>
    <row r="70" spans="34:34" ht="15" customHeight="1" x14ac:dyDescent="0.25">
      <c r="AH70" s="204" t="s">
        <v>338</v>
      </c>
    </row>
    <row r="71" spans="34:34" ht="15" customHeight="1" x14ac:dyDescent="0.25">
      <c r="AH71" s="204" t="s">
        <v>339</v>
      </c>
    </row>
    <row r="72" spans="34:34" ht="15" customHeight="1" x14ac:dyDescent="0.25">
      <c r="AH72" s="204" t="s">
        <v>340</v>
      </c>
    </row>
    <row r="85" spans="34:34" ht="0" hidden="1" customHeight="1" x14ac:dyDescent="0.25">
      <c r="AH85" s="6"/>
    </row>
    <row r="86" spans="34:34" ht="0" hidden="1" customHeight="1" x14ac:dyDescent="0.25">
      <c r="AH86" s="6"/>
    </row>
    <row r="87" spans="34:34" ht="0" hidden="1" customHeight="1" x14ac:dyDescent="0.25">
      <c r="AH87" s="6"/>
    </row>
    <row r="88" spans="34:34" ht="0" hidden="1" customHeight="1" x14ac:dyDescent="0.25">
      <c r="AH88" s="6"/>
    </row>
    <row r="89" spans="34:34" ht="0" hidden="1" customHeight="1" x14ac:dyDescent="0.25">
      <c r="AH89" s="6"/>
    </row>
    <row r="90" spans="34:34" ht="0" hidden="1" customHeight="1" x14ac:dyDescent="0.25">
      <c r="AH90" s="6"/>
    </row>
    <row r="91" spans="34:34" ht="0" hidden="1" customHeight="1" x14ac:dyDescent="0.25">
      <c r="AH91" s="6"/>
    </row>
    <row r="92" spans="34:34" ht="0" hidden="1" customHeight="1" x14ac:dyDescent="0.25">
      <c r="AH92" s="6"/>
    </row>
    <row r="93" spans="34:34" ht="0" hidden="1" customHeight="1" x14ac:dyDescent="0.25">
      <c r="AH93" s="6"/>
    </row>
    <row r="94" spans="34:34" ht="0" hidden="1" customHeight="1" x14ac:dyDescent="0.25">
      <c r="AH94" s="6"/>
    </row>
  </sheetData>
  <sheetProtection algorithmName="SHA-512" hashValue="pd6SooDPLWfqhzwWn1jcxgShaTw9IAV96uin7diVW4u8bo4VG44CUasKr6L62uJKEK/oNm0lE4a4hlPp7UzMLw==" saltValue="VlQxw0LcmhtX2wGC8ys+CA==" spinCount="100000" sheet="1" objects="1" scenarios="1" formatColumns="0" formatRows="0" insertColumns="0" insertRows="0" sort="0" autoFilter="0" pivotTables="0"/>
  <mergeCells count="69">
    <mergeCell ref="S37:V37"/>
    <mergeCell ref="S38:V38"/>
    <mergeCell ref="S39:V39"/>
    <mergeCell ref="S40:V40"/>
    <mergeCell ref="S41:V42"/>
    <mergeCell ref="S36:V36"/>
    <mergeCell ref="S25:V25"/>
    <mergeCell ref="S26:V26"/>
    <mergeCell ref="S27:V27"/>
    <mergeCell ref="S28:V28"/>
    <mergeCell ref="S29:V29"/>
    <mergeCell ref="S30:V30"/>
    <mergeCell ref="S31:V31"/>
    <mergeCell ref="S32:V32"/>
    <mergeCell ref="S33:V33"/>
    <mergeCell ref="S34:V34"/>
    <mergeCell ref="S35:V35"/>
    <mergeCell ref="S19:V19"/>
    <mergeCell ref="S20:V20"/>
    <mergeCell ref="S21:V21"/>
    <mergeCell ref="S22:V22"/>
    <mergeCell ref="S23:V23"/>
    <mergeCell ref="S24:V24"/>
    <mergeCell ref="BA14:BA15"/>
    <mergeCell ref="BB14:BB15"/>
    <mergeCell ref="BC14:BC15"/>
    <mergeCell ref="S16:V16"/>
    <mergeCell ref="S17:V17"/>
    <mergeCell ref="S18:V18"/>
    <mergeCell ref="AU14:AU15"/>
    <mergeCell ref="AV14:AV15"/>
    <mergeCell ref="AW14:AW15"/>
    <mergeCell ref="AX14:AX15"/>
    <mergeCell ref="AY14:AY15"/>
    <mergeCell ref="AZ14:AZ15"/>
    <mergeCell ref="AO14:AO15"/>
    <mergeCell ref="AP14:AP15"/>
    <mergeCell ref="AQ14:AQ15"/>
    <mergeCell ref="AR14:AR15"/>
    <mergeCell ref="AS14:AS15"/>
    <mergeCell ref="AT14:AT15"/>
    <mergeCell ref="AD14:AD15"/>
    <mergeCell ref="AJ14:AJ15"/>
    <mergeCell ref="AK14:AK15"/>
    <mergeCell ref="AL14:AL15"/>
    <mergeCell ref="AM14:AM15"/>
    <mergeCell ref="AN14:AN15"/>
    <mergeCell ref="Y14:AC14"/>
    <mergeCell ref="H13:H14"/>
    <mergeCell ref="I13:I14"/>
    <mergeCell ref="J13:J14"/>
    <mergeCell ref="K13:K14"/>
    <mergeCell ref="L13:L14"/>
    <mergeCell ref="M13:N13"/>
    <mergeCell ref="Q13:Q14"/>
    <mergeCell ref="R13:R14"/>
    <mergeCell ref="S13:V15"/>
    <mergeCell ref="O13:O14"/>
    <mergeCell ref="P13:P14"/>
    <mergeCell ref="A10:V10"/>
    <mergeCell ref="A11:V11"/>
    <mergeCell ref="K12:L12"/>
    <mergeCell ref="A13:A15"/>
    <mergeCell ref="B13:B14"/>
    <mergeCell ref="C13:C14"/>
    <mergeCell ref="D13:D14"/>
    <mergeCell ref="E13:E14"/>
    <mergeCell ref="F13:F14"/>
    <mergeCell ref="G13:G14"/>
  </mergeCells>
  <conditionalFormatting sqref="I47">
    <cfRule type="cellIs" dxfId="97" priority="5" operator="lessThan">
      <formula>0</formula>
    </cfRule>
  </conditionalFormatting>
  <conditionalFormatting sqref="Y16:Y39">
    <cfRule type="containsText" dxfId="96" priority="3" operator="containsText" text="STBY">
      <formula>NOT(ISERROR(SEARCH("STBY",Y16)))</formula>
    </cfRule>
    <cfRule type="containsText" dxfId="95" priority="4" operator="containsText" text="SD">
      <formula>NOT(ISERROR(SEARCH("SD",Y16)))</formula>
    </cfRule>
  </conditionalFormatting>
  <conditionalFormatting sqref="B16:B39 D16:R39">
    <cfRule type="expression" dxfId="94" priority="2">
      <formula>ISTEXT(B16)</formula>
    </cfRule>
  </conditionalFormatting>
  <conditionalFormatting sqref="C16:C39">
    <cfRule type="expression" dxfId="93" priority="1">
      <formula>ISTEXT(C16)</formula>
    </cfRule>
  </conditionalFormatting>
  <dataValidations count="2">
    <dataValidation type="list" allowBlank="1" showInputMessage="1" showErrorMessage="1" sqref="Y16:Y39" xr:uid="{72C8BB7A-E241-4028-9AE6-06EB9997DA1F}">
      <formula1>"SD,STBY"</formula1>
    </dataValidation>
    <dataValidation type="list" allowBlank="1" showInputMessage="1" sqref="AD16:AD39" xr:uid="{BE0B02EE-DB83-4602-8172-681DDF8E1B4D}">
      <formula1>$AH$15:$AH$72</formula1>
    </dataValidation>
  </dataValidations>
  <printOptions horizontalCentered="1"/>
  <pageMargins left="0.39370078740157483" right="0.39370078740157483" top="0.59055118110236227" bottom="0.39370078740157483" header="0.31496062992125984" footer="0.31496062992125984"/>
  <pageSetup paperSize="9" scale="57" orientation="landscape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F0759-8E2B-436B-B064-1C1D0A9FB9A2}">
  <sheetPr codeName="N13">
    <pageSetUpPr fitToPage="1"/>
  </sheetPr>
  <dimension ref="A1:BC94"/>
  <sheetViews>
    <sheetView topLeftCell="A16" zoomScale="85" zoomScaleNormal="85" workbookViewId="0">
      <selection activeCell="Q24" sqref="Q24"/>
    </sheetView>
  </sheetViews>
  <sheetFormatPr defaultColWidth="0" defaultRowHeight="0" customHeight="1" zeroHeight="1" x14ac:dyDescent="0.25"/>
  <cols>
    <col min="1" max="1" width="10.7109375" style="7" customWidth="1"/>
    <col min="2" max="3" width="10.7109375" style="7" hidden="1" customWidth="1"/>
    <col min="4" max="14" width="10.7109375" style="7" customWidth="1"/>
    <col min="15" max="17" width="11.7109375" style="7" customWidth="1"/>
    <col min="18" max="18" width="10.7109375" style="7" hidden="1" customWidth="1"/>
    <col min="19" max="22" width="10.7109375" style="7" customWidth="1"/>
    <col min="23" max="23" width="2.7109375" style="7" customWidth="1"/>
    <col min="24" max="29" width="10.7109375" style="7" customWidth="1"/>
    <col min="30" max="30" width="30.7109375" style="7" customWidth="1"/>
    <col min="31" max="33" width="11.7109375" style="7" customWidth="1"/>
    <col min="34" max="34" width="30.7109375" style="7" customWidth="1"/>
    <col min="35" max="35" width="2.7109375" style="7" hidden="1" customWidth="1"/>
    <col min="36" max="55" width="11.7109375" style="7" hidden="1" customWidth="1"/>
    <col min="56" max="16384" width="9.140625" style="7" hidden="1"/>
  </cols>
  <sheetData>
    <row r="1" spans="1:55" ht="15" customHeight="1" x14ac:dyDescent="0.25">
      <c r="A1" s="7" t="s">
        <v>16</v>
      </c>
      <c r="D1" s="11" t="s">
        <v>85</v>
      </c>
      <c r="J1" s="7" t="str">
        <f>IF(MR!U13="Yes","PRINT","No")</f>
        <v>PRINT</v>
      </c>
      <c r="M1" s="191"/>
      <c r="N1" s="191"/>
    </row>
    <row r="2" spans="1:55" ht="15" customHeight="1" thickBot="1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192"/>
      <c r="M2" s="4"/>
      <c r="N2" s="4"/>
      <c r="O2" s="4"/>
      <c r="P2" s="4"/>
      <c r="Q2" s="4"/>
      <c r="R2" s="4"/>
      <c r="S2" s="8"/>
      <c r="T2" s="8"/>
      <c r="U2" s="8"/>
      <c r="V2" s="8"/>
      <c r="X2" s="8"/>
      <c r="Y2" s="8"/>
      <c r="Z2" s="8"/>
      <c r="AA2" s="8"/>
      <c r="AB2" s="8"/>
      <c r="AC2" s="8"/>
      <c r="AD2" s="8"/>
      <c r="AE2" s="8"/>
    </row>
    <row r="3" spans="1:55" ht="15" customHeight="1" x14ac:dyDescent="0.2">
      <c r="A3" s="31"/>
      <c r="B3" s="28"/>
      <c r="C3" s="28"/>
      <c r="D3" s="28"/>
      <c r="E3" s="28"/>
      <c r="F3" s="13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2"/>
      <c r="T3" s="22"/>
      <c r="U3" s="22"/>
      <c r="V3" s="23"/>
      <c r="X3" s="8"/>
      <c r="Y3" s="8"/>
      <c r="Z3" s="8"/>
      <c r="AA3" s="8"/>
      <c r="AB3" s="8"/>
      <c r="AC3" s="8"/>
      <c r="AD3" s="8"/>
      <c r="AE3" s="8"/>
    </row>
    <row r="4" spans="1:55" ht="30" customHeight="1" x14ac:dyDescent="0.25">
      <c r="A4" s="30"/>
      <c r="B4" s="1"/>
      <c r="C4" s="1"/>
      <c r="D4" s="1"/>
      <c r="E4" s="3"/>
      <c r="F4" s="63" t="s">
        <v>210</v>
      </c>
      <c r="G4" s="1"/>
      <c r="H4" s="1"/>
      <c r="I4" s="3"/>
      <c r="J4" s="3"/>
      <c r="K4" s="3"/>
      <c r="L4" s="3"/>
      <c r="M4" s="3"/>
      <c r="N4" s="3"/>
      <c r="O4" s="3"/>
      <c r="P4" s="3"/>
      <c r="Q4" s="3"/>
      <c r="R4" s="3"/>
      <c r="S4" s="1"/>
      <c r="T4" s="1"/>
      <c r="U4" s="1"/>
      <c r="V4" s="2"/>
      <c r="X4" s="5"/>
      <c r="Y4" s="5"/>
      <c r="Z4" s="5"/>
      <c r="AA4" s="5"/>
      <c r="AB4" s="5"/>
      <c r="AC4" s="5"/>
      <c r="AD4" s="5"/>
      <c r="AE4" s="5"/>
    </row>
    <row r="5" spans="1:55" ht="15" customHeight="1" x14ac:dyDescent="0.2">
      <c r="A5" s="32"/>
      <c r="B5" s="33"/>
      <c r="C5" s="33"/>
      <c r="D5" s="12"/>
      <c r="E5" s="3"/>
      <c r="F5" s="10" t="s">
        <v>129</v>
      </c>
      <c r="G5" s="1"/>
      <c r="H5" s="1"/>
      <c r="I5" s="3"/>
      <c r="J5" s="3"/>
      <c r="K5" s="3"/>
      <c r="L5" s="3"/>
      <c r="M5" s="3"/>
      <c r="N5" s="3"/>
      <c r="O5" s="3"/>
      <c r="P5" s="3"/>
      <c r="Q5" s="3"/>
      <c r="R5" s="3"/>
      <c r="S5" s="12"/>
      <c r="T5" s="12"/>
      <c r="U5" s="12"/>
      <c r="V5" s="14"/>
      <c r="X5" s="8"/>
      <c r="Y5" s="8"/>
      <c r="Z5" s="8"/>
      <c r="AA5" s="8"/>
      <c r="AB5" s="8"/>
      <c r="AC5" s="8"/>
      <c r="AD5" s="8"/>
      <c r="AE5" s="8"/>
      <c r="AJ5" s="193" t="s">
        <v>184</v>
      </c>
      <c r="AK5" s="194">
        <f>'V Calc'!B1</f>
        <v>500</v>
      </c>
      <c r="AL5" s="124"/>
    </row>
    <row r="6" spans="1:55" ht="15" customHeight="1" x14ac:dyDescent="0.2">
      <c r="A6" s="32"/>
      <c r="B6" s="33"/>
      <c r="C6" s="33"/>
      <c r="D6" s="12"/>
      <c r="E6" s="3"/>
      <c r="F6" s="10" t="s">
        <v>132</v>
      </c>
      <c r="G6" s="1"/>
      <c r="H6" s="1"/>
      <c r="I6" s="3"/>
      <c r="J6" s="3"/>
      <c r="K6" s="3"/>
      <c r="L6" s="3"/>
      <c r="M6" s="3"/>
      <c r="N6" s="3"/>
      <c r="O6" s="3"/>
      <c r="P6" s="3"/>
      <c r="Q6" s="3"/>
      <c r="R6" s="3"/>
      <c r="S6" s="12"/>
      <c r="T6" s="12"/>
      <c r="U6" s="12"/>
      <c r="V6" s="14"/>
      <c r="X6" s="8"/>
      <c r="Y6" s="8"/>
      <c r="Z6" s="8"/>
      <c r="AA6" s="8"/>
      <c r="AB6" s="8"/>
      <c r="AC6" s="8"/>
      <c r="AD6" s="8"/>
      <c r="AE6" s="8"/>
      <c r="AJ6" s="193" t="s">
        <v>185</v>
      </c>
      <c r="AK6" s="194">
        <f>'V Calc'!B2</f>
        <v>100</v>
      </c>
      <c r="AL6" s="124"/>
    </row>
    <row r="7" spans="1:55" ht="15" customHeight="1" x14ac:dyDescent="0.2">
      <c r="A7" s="32"/>
      <c r="B7" s="33"/>
      <c r="C7" s="33"/>
      <c r="D7" s="12"/>
      <c r="E7" s="3"/>
      <c r="F7" s="10" t="s">
        <v>130</v>
      </c>
      <c r="G7" s="1"/>
      <c r="H7" s="1"/>
      <c r="I7" s="3"/>
      <c r="J7" s="3"/>
      <c r="K7" s="3"/>
      <c r="L7" s="3"/>
      <c r="M7" s="3"/>
      <c r="N7" s="3"/>
      <c r="O7" s="3"/>
      <c r="P7" s="3"/>
      <c r="Q7" s="3"/>
      <c r="R7" s="3"/>
      <c r="S7" s="12"/>
      <c r="T7" s="12"/>
      <c r="U7" s="12"/>
      <c r="V7" s="14"/>
      <c r="X7" s="8"/>
      <c r="Y7" s="8"/>
      <c r="Z7" s="8"/>
      <c r="AA7" s="8"/>
      <c r="AB7" s="8"/>
      <c r="AC7" s="8"/>
      <c r="AD7" s="8"/>
      <c r="AE7" s="8"/>
      <c r="AJ7" s="193" t="s">
        <v>186</v>
      </c>
      <c r="AK7" s="195">
        <f>'V Calc'!B3</f>
        <v>2</v>
      </c>
      <c r="AL7" s="124"/>
    </row>
    <row r="8" spans="1:55" ht="15" customHeight="1" x14ac:dyDescent="0.2">
      <c r="A8" s="32"/>
      <c r="B8" s="33"/>
      <c r="C8" s="33"/>
      <c r="D8" s="12"/>
      <c r="E8" s="3"/>
      <c r="F8" s="10" t="s">
        <v>131</v>
      </c>
      <c r="G8" s="62"/>
      <c r="H8" s="62"/>
      <c r="I8" s="3"/>
      <c r="J8" s="3"/>
      <c r="K8" s="3"/>
      <c r="L8" s="3"/>
      <c r="M8" s="3"/>
      <c r="N8" s="3"/>
      <c r="O8" s="3"/>
      <c r="P8" s="3"/>
      <c r="Q8" s="3"/>
      <c r="R8" s="3"/>
      <c r="S8" s="12"/>
      <c r="T8" s="12"/>
      <c r="U8" s="12"/>
      <c r="V8" s="14"/>
      <c r="X8" s="8"/>
      <c r="Y8" s="8"/>
      <c r="Z8" s="8"/>
      <c r="AA8" s="8"/>
      <c r="AB8" s="8"/>
      <c r="AC8" s="8"/>
      <c r="AD8" s="8"/>
      <c r="AE8" s="8"/>
      <c r="AJ8" s="193" t="s">
        <v>187</v>
      </c>
      <c r="AK8" s="195">
        <f>'V Calc'!B4</f>
        <v>0.875</v>
      </c>
      <c r="AL8" s="124"/>
    </row>
    <row r="9" spans="1:55" ht="15" customHeight="1" thickBot="1" x14ac:dyDescent="0.25">
      <c r="A9" s="34"/>
      <c r="B9" s="29"/>
      <c r="C9" s="29"/>
      <c r="D9" s="29"/>
      <c r="E9" s="29"/>
      <c r="F9" s="15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16"/>
      <c r="T9" s="16"/>
      <c r="U9" s="16"/>
      <c r="V9" s="17"/>
      <c r="X9" s="8"/>
      <c r="Y9" s="8"/>
      <c r="Z9" s="8"/>
      <c r="AA9" s="8"/>
      <c r="AB9" s="8"/>
      <c r="AC9" s="8"/>
      <c r="AD9" s="8"/>
      <c r="AE9" s="8"/>
      <c r="AJ9" s="196" t="s">
        <v>188</v>
      </c>
      <c r="AK9" s="197">
        <f>'V Calc'!B5</f>
        <v>158.47</v>
      </c>
      <c r="AL9" s="198"/>
    </row>
    <row r="10" spans="1:55" s="9" customFormat="1" ht="30" customHeight="1" x14ac:dyDescent="0.2">
      <c r="A10" s="513" t="s">
        <v>20</v>
      </c>
      <c r="B10" s="514"/>
      <c r="C10" s="514"/>
      <c r="D10" s="514"/>
      <c r="E10" s="514"/>
      <c r="F10" s="514"/>
      <c r="G10" s="514"/>
      <c r="H10" s="514"/>
      <c r="I10" s="514"/>
      <c r="J10" s="514"/>
      <c r="K10" s="514"/>
      <c r="L10" s="514"/>
      <c r="M10" s="514"/>
      <c r="N10" s="514"/>
      <c r="O10" s="514"/>
      <c r="P10" s="514"/>
      <c r="Q10" s="514"/>
      <c r="R10" s="514"/>
      <c r="S10" s="514"/>
      <c r="T10" s="514"/>
      <c r="U10" s="514"/>
      <c r="V10" s="515"/>
      <c r="X10" s="96"/>
      <c r="Y10" s="96"/>
      <c r="Z10" s="96"/>
      <c r="AA10" s="96"/>
      <c r="AB10" s="96"/>
      <c r="AC10" s="96"/>
      <c r="AJ10" s="193" t="s">
        <v>189</v>
      </c>
      <c r="AK10" s="199">
        <f>'V Calc'!B6</f>
        <v>0.63607464142166403</v>
      </c>
      <c r="AL10" s="198" t="s">
        <v>190</v>
      </c>
    </row>
    <row r="11" spans="1:55" s="9" customFormat="1" ht="20.100000000000001" customHeight="1" thickBot="1" x14ac:dyDescent="0.25">
      <c r="A11" s="516" t="s">
        <v>21</v>
      </c>
      <c r="B11" s="517"/>
      <c r="C11" s="517"/>
      <c r="D11" s="517"/>
      <c r="E11" s="517"/>
      <c r="F11" s="517"/>
      <c r="G11" s="517"/>
      <c r="H11" s="517"/>
      <c r="I11" s="517"/>
      <c r="J11" s="517"/>
      <c r="K11" s="517"/>
      <c r="L11" s="517"/>
      <c r="M11" s="517"/>
      <c r="N11" s="517"/>
      <c r="O11" s="517"/>
      <c r="P11" s="517"/>
      <c r="Q11" s="517"/>
      <c r="R11" s="517"/>
      <c r="S11" s="517"/>
      <c r="T11" s="517"/>
      <c r="U11" s="517"/>
      <c r="V11" s="518"/>
      <c r="X11" s="97"/>
      <c r="Y11" s="97"/>
      <c r="Z11" s="97"/>
      <c r="AA11" s="97"/>
      <c r="AB11" s="97"/>
      <c r="AC11" s="97"/>
    </row>
    <row r="12" spans="1:55" s="6" customFormat="1" ht="30" customHeight="1" thickBot="1" x14ac:dyDescent="0.3">
      <c r="A12" s="18"/>
      <c r="B12" s="20"/>
      <c r="C12" s="20"/>
      <c r="D12" s="19" t="s">
        <v>121</v>
      </c>
      <c r="E12" s="200" t="str">
        <f>'Day 12'!E12</f>
        <v>MPR 632  RFD</v>
      </c>
      <c r="F12" s="35"/>
      <c r="G12" s="19" t="s">
        <v>120</v>
      </c>
      <c r="H12" s="200" t="str">
        <f>IF(Volume!C$16="","",Volume!C$16)</f>
        <v>FP 65354</v>
      </c>
      <c r="I12" s="20"/>
      <c r="J12" s="19" t="s">
        <v>17</v>
      </c>
      <c r="K12" s="505">
        <f>'Day 12'!K12+1</f>
        <v>45821</v>
      </c>
      <c r="L12" s="505"/>
      <c r="M12" s="100"/>
      <c r="N12" s="19" t="s">
        <v>119</v>
      </c>
      <c r="O12" s="200" t="str">
        <f>IF(Volume!D$16="","",Volume!D$16)</f>
        <v>SP. Tambun - Cluster F</v>
      </c>
      <c r="P12" s="20"/>
      <c r="Q12" s="19" t="s">
        <v>122</v>
      </c>
      <c r="S12" s="201">
        <f>IF(Volume!E$16="","",Volume!E$16)</f>
        <v>1.25</v>
      </c>
      <c r="T12" s="20"/>
      <c r="U12" s="19" t="s">
        <v>126</v>
      </c>
      <c r="V12" s="202" t="str">
        <f>IF(Volume!F$16="","",Volume!F$16)</f>
        <v>4/0</v>
      </c>
    </row>
    <row r="13" spans="1:55" ht="30" customHeight="1" thickBot="1" x14ac:dyDescent="0.3">
      <c r="A13" s="502" t="s">
        <v>0</v>
      </c>
      <c r="B13" s="502" t="s">
        <v>213</v>
      </c>
      <c r="C13" s="502" t="s">
        <v>212</v>
      </c>
      <c r="D13" s="502" t="s">
        <v>31</v>
      </c>
      <c r="E13" s="502" t="s">
        <v>32</v>
      </c>
      <c r="F13" s="502" t="s">
        <v>2</v>
      </c>
      <c r="G13" s="502" t="s">
        <v>33</v>
      </c>
      <c r="H13" s="502" t="s">
        <v>35</v>
      </c>
      <c r="I13" s="502" t="s">
        <v>36</v>
      </c>
      <c r="J13" s="502" t="s">
        <v>110</v>
      </c>
      <c r="K13" s="502" t="s">
        <v>15</v>
      </c>
      <c r="L13" s="502" t="s">
        <v>34</v>
      </c>
      <c r="M13" s="502" t="s">
        <v>10</v>
      </c>
      <c r="N13" s="502"/>
      <c r="O13" s="506" t="s">
        <v>300</v>
      </c>
      <c r="P13" s="506" t="s">
        <v>299</v>
      </c>
      <c r="Q13" s="502" t="s">
        <v>7</v>
      </c>
      <c r="R13" s="502" t="s">
        <v>88</v>
      </c>
      <c r="S13" s="502" t="s">
        <v>8</v>
      </c>
      <c r="T13" s="502"/>
      <c r="U13" s="502"/>
      <c r="V13" s="502"/>
      <c r="X13" s="98"/>
      <c r="Y13" s="98"/>
      <c r="Z13" s="98"/>
      <c r="AA13" s="98"/>
      <c r="AB13" s="98"/>
      <c r="AC13" s="98"/>
    </row>
    <row r="14" spans="1:55" ht="30" customHeight="1" x14ac:dyDescent="0.25">
      <c r="A14" s="504"/>
      <c r="B14" s="504"/>
      <c r="C14" s="504"/>
      <c r="D14" s="504"/>
      <c r="E14" s="504"/>
      <c r="F14" s="504"/>
      <c r="G14" s="504"/>
      <c r="H14" s="504"/>
      <c r="I14" s="504"/>
      <c r="J14" s="504"/>
      <c r="K14" s="504"/>
      <c r="L14" s="504"/>
      <c r="M14" s="94" t="s">
        <v>3</v>
      </c>
      <c r="N14" s="94" t="s">
        <v>4</v>
      </c>
      <c r="O14" s="507"/>
      <c r="P14" s="507"/>
      <c r="Q14" s="504"/>
      <c r="R14" s="504"/>
      <c r="S14" s="504"/>
      <c r="T14" s="504"/>
      <c r="U14" s="504"/>
      <c r="V14" s="504"/>
      <c r="Y14" s="502" t="s">
        <v>230</v>
      </c>
      <c r="Z14" s="502"/>
      <c r="AA14" s="502"/>
      <c r="AB14" s="502"/>
      <c r="AC14" s="502"/>
      <c r="AD14" s="502" t="s">
        <v>231</v>
      </c>
      <c r="AH14" s="203" t="s">
        <v>232</v>
      </c>
      <c r="AJ14" s="520" t="s">
        <v>191</v>
      </c>
      <c r="AK14" s="520" t="s">
        <v>192</v>
      </c>
      <c r="AL14" s="520" t="s">
        <v>193</v>
      </c>
      <c r="AM14" s="520" t="s">
        <v>194</v>
      </c>
      <c r="AN14" s="520" t="s">
        <v>195</v>
      </c>
      <c r="AO14" s="506" t="s">
        <v>196</v>
      </c>
      <c r="AP14" s="506" t="s">
        <v>197</v>
      </c>
      <c r="AQ14" s="506" t="s">
        <v>198</v>
      </c>
      <c r="AR14" s="506" t="s">
        <v>188</v>
      </c>
      <c r="AS14" s="506" t="s">
        <v>199</v>
      </c>
      <c r="AT14" s="506" t="s">
        <v>200</v>
      </c>
      <c r="AU14" s="506" t="s">
        <v>201</v>
      </c>
      <c r="AV14" s="506" t="s">
        <v>202</v>
      </c>
      <c r="AW14" s="506" t="s">
        <v>203</v>
      </c>
      <c r="AX14" s="506" t="s">
        <v>204</v>
      </c>
      <c r="AY14" s="523" t="s">
        <v>205</v>
      </c>
      <c r="AZ14" s="523" t="s">
        <v>206</v>
      </c>
      <c r="BA14" s="523" t="s">
        <v>207</v>
      </c>
      <c r="BB14" s="523" t="s">
        <v>208</v>
      </c>
      <c r="BC14" s="506" t="s">
        <v>197</v>
      </c>
    </row>
    <row r="15" spans="1:55" ht="20.100000000000001" customHeight="1" thickBot="1" x14ac:dyDescent="0.3">
      <c r="A15" s="503"/>
      <c r="B15" s="95" t="s">
        <v>1</v>
      </c>
      <c r="C15" s="95" t="s">
        <v>1</v>
      </c>
      <c r="D15" s="95" t="s">
        <v>1</v>
      </c>
      <c r="E15" s="95" t="s">
        <v>1</v>
      </c>
      <c r="F15" s="95" t="s">
        <v>140</v>
      </c>
      <c r="G15" s="95" t="s">
        <v>1</v>
      </c>
      <c r="H15" s="95" t="s">
        <v>1</v>
      </c>
      <c r="I15" s="95" t="s">
        <v>1</v>
      </c>
      <c r="J15" s="95" t="s">
        <v>18</v>
      </c>
      <c r="K15" s="95" t="s">
        <v>9</v>
      </c>
      <c r="L15" s="95" t="s">
        <v>5</v>
      </c>
      <c r="M15" s="95" t="s">
        <v>5</v>
      </c>
      <c r="N15" s="95" t="s">
        <v>5</v>
      </c>
      <c r="O15" s="95" t="s">
        <v>1</v>
      </c>
      <c r="P15" s="95" t="s">
        <v>14</v>
      </c>
      <c r="Q15" s="95" t="str">
        <f>IF(MR!G17="MSCF","MSCFD","MMSCFD")</f>
        <v>MSCFD</v>
      </c>
      <c r="R15" s="95" t="str">
        <f>MR!L17</f>
        <v>BPD</v>
      </c>
      <c r="S15" s="503"/>
      <c r="T15" s="503"/>
      <c r="U15" s="503"/>
      <c r="V15" s="503"/>
      <c r="X15" s="365"/>
      <c r="Y15" s="95" t="s">
        <v>123</v>
      </c>
      <c r="Z15" s="95" t="s">
        <v>124</v>
      </c>
      <c r="AA15" s="95" t="s">
        <v>125</v>
      </c>
      <c r="AB15" s="95" t="s">
        <v>51</v>
      </c>
      <c r="AC15" s="95" t="s">
        <v>48</v>
      </c>
      <c r="AD15" s="503"/>
      <c r="AH15" s="204" t="s">
        <v>228</v>
      </c>
      <c r="AJ15" s="521"/>
      <c r="AK15" s="521"/>
      <c r="AL15" s="521"/>
      <c r="AM15" s="521"/>
      <c r="AN15" s="521"/>
      <c r="AO15" s="522"/>
      <c r="AP15" s="522"/>
      <c r="AQ15" s="522"/>
      <c r="AR15" s="522"/>
      <c r="AS15" s="522"/>
      <c r="AT15" s="522"/>
      <c r="AU15" s="522"/>
      <c r="AV15" s="522"/>
      <c r="AW15" s="522"/>
      <c r="AX15" s="522"/>
      <c r="AY15" s="524"/>
      <c r="AZ15" s="524"/>
      <c r="BA15" s="524"/>
      <c r="BB15" s="524"/>
      <c r="BC15" s="522"/>
    </row>
    <row r="16" spans="1:55" ht="20.100000000000001" customHeight="1" x14ac:dyDescent="0.2">
      <c r="A16" s="44">
        <v>4.1666666666666664E-2</v>
      </c>
      <c r="B16" s="450"/>
      <c r="C16" s="450"/>
      <c r="D16" s="450">
        <v>5.9</v>
      </c>
      <c r="E16" s="450">
        <v>58.6</v>
      </c>
      <c r="F16" s="40">
        <v>1930</v>
      </c>
      <c r="G16" s="36">
        <v>-5.6</v>
      </c>
      <c r="H16" s="36">
        <v>71.900000000000006</v>
      </c>
      <c r="I16" s="36">
        <v>21.3</v>
      </c>
      <c r="J16" s="40">
        <v>368</v>
      </c>
      <c r="K16" s="37">
        <v>13</v>
      </c>
      <c r="L16" s="450">
        <v>132</v>
      </c>
      <c r="M16" s="450">
        <v>220</v>
      </c>
      <c r="N16" s="451">
        <v>85</v>
      </c>
      <c r="O16" s="353">
        <v>50</v>
      </c>
      <c r="P16" s="352">
        <v>10</v>
      </c>
      <c r="Q16" s="352">
        <v>228.1</v>
      </c>
      <c r="R16" s="36"/>
      <c r="S16" s="519" t="str">
        <f t="shared" ref="S16:S32" si="0">IF(Z16="",IF(AD16="","",AD16),CONCATENATE(TEXT(Z16,"[hh]:mm"),IF(AA16="",""," - "&amp;TEXT(AA16,"[hh]:mm")),IF(Y16="",""," "&amp;Y16&amp;"/")," "&amp;AD16))</f>
        <v/>
      </c>
      <c r="T16" s="519"/>
      <c r="U16" s="519"/>
      <c r="V16" s="519"/>
      <c r="X16" s="44">
        <v>4.1666666666666664E-2</v>
      </c>
      <c r="Y16" s="105"/>
      <c r="Z16" s="101"/>
      <c r="AA16" s="101"/>
      <c r="AB16" s="44" t="str">
        <f>IF(Y16="STBY",AA16-Z16,"")</f>
        <v/>
      </c>
      <c r="AC16" s="44" t="str">
        <f t="shared" ref="AC16:AC39" si="1">IF(Y16="SD",AA16-Z16,"")</f>
        <v/>
      </c>
      <c r="AD16" s="355"/>
      <c r="AE16" s="9" t="str">
        <f>IF(S16="","",IF(COUNTA(Z16:$Z$39)=1,IF(COUNTA(AD16:$AD$39)=1,""," ; "),IF(COUNTA(AD16:$AD$39)=1,IF(Z16="",""," ; ")," ; ")))</f>
        <v/>
      </c>
      <c r="AF16" s="9" t="str">
        <f t="shared" ref="AF16:AF39" si="2">CONCATENATE(S16,AE16)</f>
        <v/>
      </c>
      <c r="AG16" s="90" t="str">
        <f t="shared" ref="AG16:AG39" si="3">IF(AND(COUNTBLANK(N16:P16)&lt;3,Q16=""),"CEK : Data Flowrate","")</f>
        <v/>
      </c>
      <c r="AH16" s="204" t="s">
        <v>229</v>
      </c>
      <c r="AJ16" s="205">
        <f>AK5</f>
        <v>500</v>
      </c>
      <c r="AK16" s="205">
        <f>AK6</f>
        <v>100</v>
      </c>
      <c r="AL16" s="206">
        <f>AK7</f>
        <v>2</v>
      </c>
      <c r="AM16" s="207">
        <f>AK8</f>
        <v>0.875</v>
      </c>
      <c r="AN16" s="208">
        <f>AK10</f>
        <v>0.63607464142166403</v>
      </c>
      <c r="AO16" s="209">
        <f t="shared" ref="AO16:AO39" si="4">T16^2*AJ16/100-14.7</f>
        <v>-14.7</v>
      </c>
      <c r="AP16" s="210">
        <f t="shared" ref="AP16:AP39" si="5">IF(AO16&lt;100,1,BC16)</f>
        <v>1</v>
      </c>
      <c r="AQ16" s="210">
        <f t="shared" ref="AQ16:AQ39" si="6">(1/AP16)^0.5</f>
        <v>1</v>
      </c>
      <c r="AR16" s="52">
        <f>AK9</f>
        <v>158.47</v>
      </c>
      <c r="AS16" s="210">
        <f t="shared" ref="AS16:AS39" si="7">(520/(460+N16))^0.5</f>
        <v>0.97679498379494789</v>
      </c>
      <c r="AT16" s="210">
        <f t="shared" ref="AT16:AT39" si="8">(1/AN16)^0.5</f>
        <v>1.2538510821608391</v>
      </c>
      <c r="AU16" s="210">
        <f t="shared" ref="AU16:AU39" si="9">0.01*(AJ16*AK16)^0.5</f>
        <v>2.2360679774997898</v>
      </c>
      <c r="AV16" s="211">
        <f t="shared" ref="AV16:AV39" si="10">0.024*AQ16*AR16*AS16*AT16*AU16</f>
        <v>10.415801185754333</v>
      </c>
      <c r="AW16" s="210">
        <f t="shared" ref="AW16:AW39" si="11">(AO16+14.7)/(697.2-43*AN16)</f>
        <v>0</v>
      </c>
      <c r="AX16" s="212">
        <f t="shared" ref="AX16:AX39" si="12">(N16+460)/(315.1*AN16+170.4)</f>
        <v>1.4696875479799241</v>
      </c>
      <c r="AY16" s="210">
        <f t="shared" ref="AY16:AY39" si="13">0.3379*LN(LN(AX16))+1.091</f>
        <v>0.76851414128953044</v>
      </c>
      <c r="AZ16" s="211">
        <f t="shared" ref="AZ16:AZ39" si="14">21.46*AY16-11.9*AY16^2-5.9</f>
        <v>3.5640070462657096</v>
      </c>
      <c r="BA16" s="210">
        <f t="shared" ref="BA16:BA39" si="15">AW16/AZ16</f>
        <v>0</v>
      </c>
      <c r="BB16" s="210">
        <f t="shared" ref="BB16:BB39" si="16">(1.1+0.26*AX16+(1.04-1.42*AX16)*BA16)*2.718^BA16/AX16</f>
        <v>1.0084584063544275</v>
      </c>
      <c r="BC16" s="210">
        <f t="shared" ref="BC16:BC39" si="17">1+(AY16-1)*SIN((90*BA16)/57.29578)^BB16</f>
        <v>1</v>
      </c>
    </row>
    <row r="17" spans="1:55" ht="20.100000000000001" customHeight="1" x14ac:dyDescent="0.2">
      <c r="A17" s="45">
        <v>8.3333333333333301E-2</v>
      </c>
      <c r="B17" s="451"/>
      <c r="C17" s="451"/>
      <c r="D17" s="451">
        <v>5.6</v>
      </c>
      <c r="E17" s="451">
        <v>58.3</v>
      </c>
      <c r="F17" s="41">
        <v>1952</v>
      </c>
      <c r="G17" s="37">
        <v>-5.6</v>
      </c>
      <c r="H17" s="37">
        <v>71.3</v>
      </c>
      <c r="I17" s="37">
        <v>21.6</v>
      </c>
      <c r="J17" s="41">
        <v>369</v>
      </c>
      <c r="K17" s="37">
        <v>13</v>
      </c>
      <c r="L17" s="451">
        <v>130</v>
      </c>
      <c r="M17" s="451">
        <v>220</v>
      </c>
      <c r="N17" s="451">
        <v>85</v>
      </c>
      <c r="O17" s="353">
        <v>50</v>
      </c>
      <c r="P17" s="353">
        <v>12</v>
      </c>
      <c r="Q17" s="353">
        <v>249.69</v>
      </c>
      <c r="R17" s="37"/>
      <c r="S17" s="508" t="str">
        <f t="shared" si="0"/>
        <v/>
      </c>
      <c r="T17" s="508"/>
      <c r="U17" s="508"/>
      <c r="V17" s="508"/>
      <c r="X17" s="45">
        <v>8.3333333333333301E-2</v>
      </c>
      <c r="Y17" s="106"/>
      <c r="Z17" s="102"/>
      <c r="AA17" s="102"/>
      <c r="AB17" s="45" t="str">
        <f t="shared" ref="AB17:AB39" si="18">IF(Y17="STBY",AA17-Z17,"")</f>
        <v/>
      </c>
      <c r="AC17" s="45" t="str">
        <f t="shared" si="1"/>
        <v/>
      </c>
      <c r="AD17" s="81"/>
      <c r="AE17" s="9" t="str">
        <f>IF(S17="","",IF(COUNTA(Z17:$Z$39)=1,IF(COUNTA(AD17:$AD$39)=1,""," ; "),IF(COUNTA(AD17:$AD$39)=1,IF(Z17="",""," ; ")," ; ")))</f>
        <v/>
      </c>
      <c r="AF17" s="9" t="str">
        <f t="shared" si="2"/>
        <v/>
      </c>
      <c r="AG17" s="90" t="str">
        <f t="shared" si="3"/>
        <v/>
      </c>
      <c r="AH17" s="204" t="s">
        <v>289</v>
      </c>
      <c r="AJ17" s="206">
        <f t="shared" ref="AJ17:AN32" si="19">AJ16</f>
        <v>500</v>
      </c>
      <c r="AK17" s="206">
        <f t="shared" si="19"/>
        <v>100</v>
      </c>
      <c r="AL17" s="206">
        <f>AL16</f>
        <v>2</v>
      </c>
      <c r="AM17" s="213">
        <f>AM16</f>
        <v>0.875</v>
      </c>
      <c r="AN17" s="214">
        <f>AN16</f>
        <v>0.63607464142166403</v>
      </c>
      <c r="AO17" s="215">
        <f t="shared" si="4"/>
        <v>-14.7</v>
      </c>
      <c r="AP17" s="216">
        <f t="shared" si="5"/>
        <v>1</v>
      </c>
      <c r="AQ17" s="216">
        <f t="shared" si="6"/>
        <v>1</v>
      </c>
      <c r="AR17" s="215">
        <f>AR16</f>
        <v>158.47</v>
      </c>
      <c r="AS17" s="216">
        <f t="shared" si="7"/>
        <v>0.97679498379494789</v>
      </c>
      <c r="AT17" s="216">
        <f t="shared" si="8"/>
        <v>1.2538510821608391</v>
      </c>
      <c r="AU17" s="216">
        <f t="shared" si="9"/>
        <v>2.2360679774997898</v>
      </c>
      <c r="AV17" s="217">
        <f t="shared" si="10"/>
        <v>10.415801185754333</v>
      </c>
      <c r="AW17" s="216">
        <f t="shared" si="11"/>
        <v>0</v>
      </c>
      <c r="AX17" s="218">
        <f t="shared" si="12"/>
        <v>1.4696875479799241</v>
      </c>
      <c r="AY17" s="216">
        <f t="shared" si="13"/>
        <v>0.76851414128953044</v>
      </c>
      <c r="AZ17" s="217">
        <f t="shared" si="14"/>
        <v>3.5640070462657096</v>
      </c>
      <c r="BA17" s="216">
        <f t="shared" si="15"/>
        <v>0</v>
      </c>
      <c r="BB17" s="216">
        <f t="shared" si="16"/>
        <v>1.0084584063544275</v>
      </c>
      <c r="BC17" s="216">
        <f t="shared" si="17"/>
        <v>1</v>
      </c>
    </row>
    <row r="18" spans="1:55" ht="20.100000000000001" customHeight="1" x14ac:dyDescent="0.2">
      <c r="A18" s="45">
        <v>0.125</v>
      </c>
      <c r="B18" s="451"/>
      <c r="C18" s="451"/>
      <c r="D18" s="451">
        <v>6.3</v>
      </c>
      <c r="E18" s="451">
        <v>60.9</v>
      </c>
      <c r="F18" s="41">
        <v>1963</v>
      </c>
      <c r="G18" s="37">
        <v>-5.6</v>
      </c>
      <c r="H18" s="37">
        <v>71.599999999999994</v>
      </c>
      <c r="I18" s="37">
        <v>21.9</v>
      </c>
      <c r="J18" s="41">
        <v>370</v>
      </c>
      <c r="K18" s="37">
        <v>13</v>
      </c>
      <c r="L18" s="451">
        <v>130</v>
      </c>
      <c r="M18" s="451">
        <v>220</v>
      </c>
      <c r="N18" s="451">
        <v>85</v>
      </c>
      <c r="O18" s="353">
        <v>50</v>
      </c>
      <c r="P18" s="353">
        <v>11</v>
      </c>
      <c r="Q18" s="353">
        <v>239.14</v>
      </c>
      <c r="R18" s="37"/>
      <c r="S18" s="508" t="str">
        <f t="shared" si="0"/>
        <v/>
      </c>
      <c r="T18" s="508"/>
      <c r="U18" s="508"/>
      <c r="V18" s="508"/>
      <c r="X18" s="45">
        <v>0.125</v>
      </c>
      <c r="Y18" s="106"/>
      <c r="Z18" s="102"/>
      <c r="AA18" s="102"/>
      <c r="AB18" s="45" t="str">
        <f t="shared" si="18"/>
        <v/>
      </c>
      <c r="AC18" s="45" t="str">
        <f t="shared" si="1"/>
        <v/>
      </c>
      <c r="AD18" s="81"/>
      <c r="AE18" s="9" t="str">
        <f>IF(S18="","",IF(COUNTA(Z18:$Z$39)=1,IF(COUNTA(AD18:$AD$39)=1,""," ; "),IF(COUNTA(AD18:$AD$39)=1,IF(Z18="",""," ; ")," ; ")))</f>
        <v/>
      </c>
      <c r="AF18" s="9" t="str">
        <f t="shared" si="2"/>
        <v/>
      </c>
      <c r="AG18" s="90" t="str">
        <f t="shared" si="3"/>
        <v/>
      </c>
      <c r="AH18" s="204" t="s">
        <v>321</v>
      </c>
      <c r="AJ18" s="206">
        <f t="shared" si="19"/>
        <v>500</v>
      </c>
      <c r="AK18" s="206">
        <f t="shared" si="19"/>
        <v>100</v>
      </c>
      <c r="AL18" s="206">
        <f t="shared" si="19"/>
        <v>2</v>
      </c>
      <c r="AM18" s="213">
        <f t="shared" si="19"/>
        <v>0.875</v>
      </c>
      <c r="AN18" s="214">
        <f t="shared" si="19"/>
        <v>0.63607464142166403</v>
      </c>
      <c r="AO18" s="215">
        <f t="shared" si="4"/>
        <v>-14.7</v>
      </c>
      <c r="AP18" s="216">
        <f t="shared" si="5"/>
        <v>1</v>
      </c>
      <c r="AQ18" s="216">
        <f t="shared" si="6"/>
        <v>1</v>
      </c>
      <c r="AR18" s="215">
        <f t="shared" ref="AR18:AR39" si="20">AR17</f>
        <v>158.47</v>
      </c>
      <c r="AS18" s="216">
        <f t="shared" si="7"/>
        <v>0.97679498379494789</v>
      </c>
      <c r="AT18" s="216">
        <f t="shared" si="8"/>
        <v>1.2538510821608391</v>
      </c>
      <c r="AU18" s="216">
        <f t="shared" si="9"/>
        <v>2.2360679774997898</v>
      </c>
      <c r="AV18" s="217">
        <f t="shared" si="10"/>
        <v>10.415801185754333</v>
      </c>
      <c r="AW18" s="216">
        <f t="shared" si="11"/>
        <v>0</v>
      </c>
      <c r="AX18" s="218">
        <f t="shared" si="12"/>
        <v>1.4696875479799241</v>
      </c>
      <c r="AY18" s="216">
        <f t="shared" si="13"/>
        <v>0.76851414128953044</v>
      </c>
      <c r="AZ18" s="217">
        <f t="shared" si="14"/>
        <v>3.5640070462657096</v>
      </c>
      <c r="BA18" s="216">
        <f t="shared" si="15"/>
        <v>0</v>
      </c>
      <c r="BB18" s="216">
        <f t="shared" si="16"/>
        <v>1.0084584063544275</v>
      </c>
      <c r="BC18" s="216">
        <f t="shared" si="17"/>
        <v>1</v>
      </c>
    </row>
    <row r="19" spans="1:55" ht="20.100000000000001" customHeight="1" x14ac:dyDescent="0.2">
      <c r="A19" s="45">
        <v>0.16666666666666699</v>
      </c>
      <c r="B19" s="451"/>
      <c r="C19" s="451"/>
      <c r="D19" s="451">
        <v>6.9</v>
      </c>
      <c r="E19" s="451">
        <v>60.5</v>
      </c>
      <c r="F19" s="41">
        <v>1943</v>
      </c>
      <c r="G19" s="37">
        <v>-5.6</v>
      </c>
      <c r="H19" s="37">
        <v>71.099999999999994</v>
      </c>
      <c r="I19" s="37">
        <v>21.3</v>
      </c>
      <c r="J19" s="41">
        <v>371</v>
      </c>
      <c r="K19" s="37">
        <v>13</v>
      </c>
      <c r="L19" s="451">
        <v>128</v>
      </c>
      <c r="M19" s="451">
        <v>218</v>
      </c>
      <c r="N19" s="451">
        <v>85</v>
      </c>
      <c r="O19" s="353">
        <v>45</v>
      </c>
      <c r="P19" s="353">
        <v>11</v>
      </c>
      <c r="Q19" s="353">
        <v>229.59</v>
      </c>
      <c r="R19" s="37"/>
      <c r="S19" s="508" t="str">
        <f t="shared" si="0"/>
        <v/>
      </c>
      <c r="T19" s="508"/>
      <c r="U19" s="508"/>
      <c r="V19" s="508"/>
      <c r="X19" s="45">
        <v>0.16666666666666699</v>
      </c>
      <c r="Y19" s="106"/>
      <c r="Z19" s="102"/>
      <c r="AA19" s="102"/>
      <c r="AB19" s="45" t="str">
        <f t="shared" si="18"/>
        <v/>
      </c>
      <c r="AC19" s="45" t="str">
        <f t="shared" si="1"/>
        <v/>
      </c>
      <c r="AD19" s="81"/>
      <c r="AE19" s="9" t="str">
        <f>IF(S19="","",IF(COUNTA(Z19:$Z$39)=1,IF(COUNTA(AD19:$AD$39)=1,""," ; "),IF(COUNTA(AD19:$AD$39)=1,IF(Z19="",""," ; ")," ; ")))</f>
        <v/>
      </c>
      <c r="AF19" s="9" t="str">
        <f t="shared" si="2"/>
        <v/>
      </c>
      <c r="AG19" s="90" t="str">
        <f t="shared" si="3"/>
        <v/>
      </c>
      <c r="AH19" s="204" t="s">
        <v>272</v>
      </c>
      <c r="AJ19" s="206">
        <f t="shared" si="19"/>
        <v>500</v>
      </c>
      <c r="AK19" s="206">
        <f t="shared" si="19"/>
        <v>100</v>
      </c>
      <c r="AL19" s="206">
        <f t="shared" si="19"/>
        <v>2</v>
      </c>
      <c r="AM19" s="213">
        <f t="shared" si="19"/>
        <v>0.875</v>
      </c>
      <c r="AN19" s="214">
        <f t="shared" si="19"/>
        <v>0.63607464142166403</v>
      </c>
      <c r="AO19" s="215">
        <f t="shared" si="4"/>
        <v>-14.7</v>
      </c>
      <c r="AP19" s="216">
        <f t="shared" si="5"/>
        <v>1</v>
      </c>
      <c r="AQ19" s="216">
        <f t="shared" si="6"/>
        <v>1</v>
      </c>
      <c r="AR19" s="215">
        <f t="shared" si="20"/>
        <v>158.47</v>
      </c>
      <c r="AS19" s="216">
        <f t="shared" si="7"/>
        <v>0.97679498379494789</v>
      </c>
      <c r="AT19" s="216">
        <f t="shared" si="8"/>
        <v>1.2538510821608391</v>
      </c>
      <c r="AU19" s="216">
        <f t="shared" si="9"/>
        <v>2.2360679774997898</v>
      </c>
      <c r="AV19" s="217">
        <f t="shared" si="10"/>
        <v>10.415801185754333</v>
      </c>
      <c r="AW19" s="216">
        <f t="shared" si="11"/>
        <v>0</v>
      </c>
      <c r="AX19" s="218">
        <f t="shared" si="12"/>
        <v>1.4696875479799241</v>
      </c>
      <c r="AY19" s="216">
        <f t="shared" si="13"/>
        <v>0.76851414128953044</v>
      </c>
      <c r="AZ19" s="217">
        <f t="shared" si="14"/>
        <v>3.5640070462657096</v>
      </c>
      <c r="BA19" s="216">
        <f t="shared" si="15"/>
        <v>0</v>
      </c>
      <c r="BB19" s="216">
        <f t="shared" si="16"/>
        <v>1.0084584063544275</v>
      </c>
      <c r="BC19" s="216">
        <f t="shared" si="17"/>
        <v>1</v>
      </c>
    </row>
    <row r="20" spans="1:55" ht="20.100000000000001" customHeight="1" x14ac:dyDescent="0.2">
      <c r="A20" s="45">
        <v>0.20833333333333301</v>
      </c>
      <c r="B20" s="451"/>
      <c r="C20" s="451"/>
      <c r="D20" s="451">
        <v>5.7</v>
      </c>
      <c r="E20" s="451">
        <v>60.8</v>
      </c>
      <c r="F20" s="41">
        <v>1936</v>
      </c>
      <c r="G20" s="37">
        <v>-5.6</v>
      </c>
      <c r="H20" s="37">
        <v>71.3</v>
      </c>
      <c r="I20" s="37">
        <v>21.9</v>
      </c>
      <c r="J20" s="41">
        <v>372</v>
      </c>
      <c r="K20" s="37">
        <v>13</v>
      </c>
      <c r="L20" s="451">
        <v>128</v>
      </c>
      <c r="M20" s="451">
        <v>218</v>
      </c>
      <c r="N20" s="451">
        <v>85</v>
      </c>
      <c r="O20" s="353">
        <v>45</v>
      </c>
      <c r="P20" s="353">
        <v>12</v>
      </c>
      <c r="Q20" s="353">
        <v>239.72</v>
      </c>
      <c r="R20" s="37"/>
      <c r="S20" s="508" t="str">
        <f t="shared" si="0"/>
        <v/>
      </c>
      <c r="T20" s="508"/>
      <c r="U20" s="508"/>
      <c r="V20" s="508"/>
      <c r="X20" s="45">
        <v>0.20833333333333301</v>
      </c>
      <c r="Y20" s="106"/>
      <c r="Z20" s="102"/>
      <c r="AA20" s="102"/>
      <c r="AB20" s="45" t="str">
        <f t="shared" si="18"/>
        <v/>
      </c>
      <c r="AC20" s="45" t="str">
        <f t="shared" si="1"/>
        <v/>
      </c>
      <c r="AD20" s="81"/>
      <c r="AE20" s="9" t="str">
        <f>IF(S20="","",IF(COUNTA(Z20:$Z$39)=1,IF(COUNTA(AD20:$AD$39)=1,""," ; "),IF(COUNTA(AD20:$AD$39)=1,IF(Z20="",""," ; ")," ; ")))</f>
        <v/>
      </c>
      <c r="AF20" s="9" t="str">
        <f t="shared" si="2"/>
        <v/>
      </c>
      <c r="AG20" s="90" t="str">
        <f t="shared" si="3"/>
        <v/>
      </c>
      <c r="AH20" s="204" t="s">
        <v>275</v>
      </c>
      <c r="AJ20" s="206">
        <f t="shared" si="19"/>
        <v>500</v>
      </c>
      <c r="AK20" s="206">
        <f t="shared" si="19"/>
        <v>100</v>
      </c>
      <c r="AL20" s="206">
        <f t="shared" si="19"/>
        <v>2</v>
      </c>
      <c r="AM20" s="213">
        <f t="shared" si="19"/>
        <v>0.875</v>
      </c>
      <c r="AN20" s="214">
        <f t="shared" si="19"/>
        <v>0.63607464142166403</v>
      </c>
      <c r="AO20" s="215">
        <f t="shared" si="4"/>
        <v>-14.7</v>
      </c>
      <c r="AP20" s="216">
        <f t="shared" si="5"/>
        <v>1</v>
      </c>
      <c r="AQ20" s="216">
        <f t="shared" si="6"/>
        <v>1</v>
      </c>
      <c r="AR20" s="215">
        <f t="shared" si="20"/>
        <v>158.47</v>
      </c>
      <c r="AS20" s="216">
        <f t="shared" si="7"/>
        <v>0.97679498379494789</v>
      </c>
      <c r="AT20" s="216">
        <f t="shared" si="8"/>
        <v>1.2538510821608391</v>
      </c>
      <c r="AU20" s="216">
        <f t="shared" si="9"/>
        <v>2.2360679774997898</v>
      </c>
      <c r="AV20" s="217">
        <f t="shared" si="10"/>
        <v>10.415801185754333</v>
      </c>
      <c r="AW20" s="216">
        <f t="shared" si="11"/>
        <v>0</v>
      </c>
      <c r="AX20" s="218">
        <f t="shared" si="12"/>
        <v>1.4696875479799241</v>
      </c>
      <c r="AY20" s="216">
        <f t="shared" si="13"/>
        <v>0.76851414128953044</v>
      </c>
      <c r="AZ20" s="217">
        <f t="shared" si="14"/>
        <v>3.5640070462657096</v>
      </c>
      <c r="BA20" s="216">
        <f t="shared" si="15"/>
        <v>0</v>
      </c>
      <c r="BB20" s="216">
        <f t="shared" si="16"/>
        <v>1.0084584063544275</v>
      </c>
      <c r="BC20" s="216">
        <f t="shared" si="17"/>
        <v>1</v>
      </c>
    </row>
    <row r="21" spans="1:55" ht="20.100000000000001" customHeight="1" x14ac:dyDescent="0.2">
      <c r="A21" s="45">
        <v>0.25</v>
      </c>
      <c r="B21" s="451"/>
      <c r="C21" s="451"/>
      <c r="D21" s="451">
        <v>5.6</v>
      </c>
      <c r="E21" s="451">
        <v>60.1</v>
      </c>
      <c r="F21" s="41">
        <v>1950</v>
      </c>
      <c r="G21" s="37">
        <v>-5.6</v>
      </c>
      <c r="H21" s="37">
        <v>71</v>
      </c>
      <c r="I21" s="37">
        <v>21.8</v>
      </c>
      <c r="J21" s="41">
        <v>373</v>
      </c>
      <c r="K21" s="37">
        <v>13</v>
      </c>
      <c r="L21" s="451">
        <v>128</v>
      </c>
      <c r="M21" s="451">
        <v>221</v>
      </c>
      <c r="N21" s="451">
        <v>85</v>
      </c>
      <c r="O21" s="353">
        <v>45</v>
      </c>
      <c r="P21" s="353">
        <v>13</v>
      </c>
      <c r="Q21" s="353">
        <v>249.43</v>
      </c>
      <c r="R21" s="37"/>
      <c r="S21" s="508" t="str">
        <f t="shared" si="0"/>
        <v/>
      </c>
      <c r="T21" s="508"/>
      <c r="U21" s="508"/>
      <c r="V21" s="508"/>
      <c r="X21" s="45">
        <v>0.25</v>
      </c>
      <c r="Y21" s="106"/>
      <c r="Z21" s="102"/>
      <c r="AA21" s="102"/>
      <c r="AB21" s="45" t="str">
        <f t="shared" si="18"/>
        <v/>
      </c>
      <c r="AC21" s="45" t="str">
        <f t="shared" si="1"/>
        <v/>
      </c>
      <c r="AD21" s="81"/>
      <c r="AE21" s="9" t="str">
        <f>IF(S21="","",IF(COUNTA(Z21:$Z$39)=1,IF(COUNTA(AD21:$AD$39)=1,""," ; "),IF(COUNTA(AD21:$AD$39)=1,IF(Z21="",""," ; ")," ; ")))</f>
        <v/>
      </c>
      <c r="AF21" s="9" t="str">
        <f t="shared" si="2"/>
        <v/>
      </c>
      <c r="AG21" s="90" t="str">
        <f t="shared" si="3"/>
        <v/>
      </c>
      <c r="AH21" s="204" t="s">
        <v>322</v>
      </c>
      <c r="AJ21" s="206">
        <f t="shared" si="19"/>
        <v>500</v>
      </c>
      <c r="AK21" s="206">
        <f t="shared" si="19"/>
        <v>100</v>
      </c>
      <c r="AL21" s="206">
        <f t="shared" si="19"/>
        <v>2</v>
      </c>
      <c r="AM21" s="213">
        <f t="shared" si="19"/>
        <v>0.875</v>
      </c>
      <c r="AN21" s="214">
        <f t="shared" si="19"/>
        <v>0.63607464142166403</v>
      </c>
      <c r="AO21" s="215">
        <f t="shared" si="4"/>
        <v>-14.7</v>
      </c>
      <c r="AP21" s="216">
        <f t="shared" si="5"/>
        <v>1</v>
      </c>
      <c r="AQ21" s="216">
        <f t="shared" si="6"/>
        <v>1</v>
      </c>
      <c r="AR21" s="215">
        <f t="shared" si="20"/>
        <v>158.47</v>
      </c>
      <c r="AS21" s="216">
        <f t="shared" si="7"/>
        <v>0.97679498379494789</v>
      </c>
      <c r="AT21" s="216">
        <f t="shared" si="8"/>
        <v>1.2538510821608391</v>
      </c>
      <c r="AU21" s="216">
        <f t="shared" si="9"/>
        <v>2.2360679774997898</v>
      </c>
      <c r="AV21" s="217">
        <f t="shared" si="10"/>
        <v>10.415801185754333</v>
      </c>
      <c r="AW21" s="216">
        <f t="shared" si="11"/>
        <v>0</v>
      </c>
      <c r="AX21" s="218">
        <f t="shared" si="12"/>
        <v>1.4696875479799241</v>
      </c>
      <c r="AY21" s="216">
        <f t="shared" si="13"/>
        <v>0.76851414128953044</v>
      </c>
      <c r="AZ21" s="217">
        <f t="shared" si="14"/>
        <v>3.5640070462657096</v>
      </c>
      <c r="BA21" s="216">
        <f t="shared" si="15"/>
        <v>0</v>
      </c>
      <c r="BB21" s="216">
        <f t="shared" si="16"/>
        <v>1.0084584063544275</v>
      </c>
      <c r="BC21" s="216">
        <f t="shared" si="17"/>
        <v>1</v>
      </c>
    </row>
    <row r="22" spans="1:55" ht="20.100000000000001" customHeight="1" x14ac:dyDescent="0.2">
      <c r="A22" s="45">
        <v>0.29166666666666702</v>
      </c>
      <c r="B22" s="451"/>
      <c r="C22" s="451"/>
      <c r="D22" s="451">
        <v>6.8</v>
      </c>
      <c r="E22" s="451">
        <v>63.5</v>
      </c>
      <c r="F22" s="41">
        <v>1982</v>
      </c>
      <c r="G22" s="37">
        <v>-5.6</v>
      </c>
      <c r="H22" s="37">
        <v>71.3</v>
      </c>
      <c r="I22" s="37">
        <v>21.5</v>
      </c>
      <c r="J22" s="41">
        <v>374</v>
      </c>
      <c r="K22" s="37">
        <v>13</v>
      </c>
      <c r="L22" s="451">
        <v>129</v>
      </c>
      <c r="M22" s="451">
        <v>221</v>
      </c>
      <c r="N22" s="451">
        <v>85</v>
      </c>
      <c r="O22" s="353">
        <v>45</v>
      </c>
      <c r="P22" s="353">
        <v>10</v>
      </c>
      <c r="Q22" s="353">
        <v>219</v>
      </c>
      <c r="R22" s="37"/>
      <c r="S22" s="508" t="str">
        <f t="shared" si="0"/>
        <v/>
      </c>
      <c r="T22" s="508"/>
      <c r="U22" s="508"/>
      <c r="V22" s="508"/>
      <c r="X22" s="45">
        <v>0.29166666666666702</v>
      </c>
      <c r="Y22" s="106"/>
      <c r="Z22" s="102"/>
      <c r="AA22" s="102"/>
      <c r="AB22" s="45" t="str">
        <f t="shared" si="18"/>
        <v/>
      </c>
      <c r="AC22" s="45" t="str">
        <f t="shared" si="1"/>
        <v/>
      </c>
      <c r="AD22" s="81"/>
      <c r="AE22" s="9" t="str">
        <f>IF(S22="","",IF(COUNTA(Z22:$Z$39)=1,IF(COUNTA(AD22:$AD$39)=1,""," ; "),IF(COUNTA(AD22:$AD$39)=1,IF(Z22="",""," ; ")," ; ")))</f>
        <v/>
      </c>
      <c r="AF22" s="9" t="str">
        <f t="shared" si="2"/>
        <v/>
      </c>
      <c r="AG22" s="90" t="str">
        <f t="shared" si="3"/>
        <v/>
      </c>
      <c r="AH22" s="204" t="s">
        <v>279</v>
      </c>
      <c r="AJ22" s="206">
        <f t="shared" si="19"/>
        <v>500</v>
      </c>
      <c r="AK22" s="206">
        <f t="shared" si="19"/>
        <v>100</v>
      </c>
      <c r="AL22" s="206">
        <f t="shared" si="19"/>
        <v>2</v>
      </c>
      <c r="AM22" s="213">
        <f t="shared" si="19"/>
        <v>0.875</v>
      </c>
      <c r="AN22" s="214">
        <f t="shared" si="19"/>
        <v>0.63607464142166403</v>
      </c>
      <c r="AO22" s="215">
        <f t="shared" si="4"/>
        <v>-14.7</v>
      </c>
      <c r="AP22" s="216">
        <f t="shared" si="5"/>
        <v>1</v>
      </c>
      <c r="AQ22" s="216">
        <f t="shared" si="6"/>
        <v>1</v>
      </c>
      <c r="AR22" s="215">
        <f t="shared" si="20"/>
        <v>158.47</v>
      </c>
      <c r="AS22" s="216">
        <f t="shared" si="7"/>
        <v>0.97679498379494789</v>
      </c>
      <c r="AT22" s="216">
        <f t="shared" si="8"/>
        <v>1.2538510821608391</v>
      </c>
      <c r="AU22" s="216">
        <f t="shared" si="9"/>
        <v>2.2360679774997898</v>
      </c>
      <c r="AV22" s="217">
        <f t="shared" si="10"/>
        <v>10.415801185754333</v>
      </c>
      <c r="AW22" s="216">
        <f t="shared" si="11"/>
        <v>0</v>
      </c>
      <c r="AX22" s="218">
        <f t="shared" si="12"/>
        <v>1.4696875479799241</v>
      </c>
      <c r="AY22" s="216">
        <f t="shared" si="13"/>
        <v>0.76851414128953044</v>
      </c>
      <c r="AZ22" s="217">
        <f t="shared" si="14"/>
        <v>3.5640070462657096</v>
      </c>
      <c r="BA22" s="216">
        <f t="shared" si="15"/>
        <v>0</v>
      </c>
      <c r="BB22" s="216">
        <f t="shared" si="16"/>
        <v>1.0084584063544275</v>
      </c>
      <c r="BC22" s="216">
        <f t="shared" si="17"/>
        <v>1</v>
      </c>
    </row>
    <row r="23" spans="1:55" ht="20.100000000000001" customHeight="1" x14ac:dyDescent="0.2">
      <c r="A23" s="45">
        <v>0.33333333333333298</v>
      </c>
      <c r="B23" s="451"/>
      <c r="C23" s="451"/>
      <c r="D23" s="451">
        <v>6.9</v>
      </c>
      <c r="E23" s="451">
        <v>62.1</v>
      </c>
      <c r="F23" s="41">
        <v>1966</v>
      </c>
      <c r="G23" s="37">
        <v>-5.6</v>
      </c>
      <c r="H23" s="37">
        <v>71</v>
      </c>
      <c r="I23" s="37">
        <v>21</v>
      </c>
      <c r="J23" s="41">
        <v>375</v>
      </c>
      <c r="K23" s="37">
        <v>13</v>
      </c>
      <c r="L23" s="451">
        <v>131</v>
      </c>
      <c r="M23" s="451">
        <v>222</v>
      </c>
      <c r="N23" s="451">
        <v>85</v>
      </c>
      <c r="O23" s="353">
        <v>45</v>
      </c>
      <c r="P23" s="353">
        <v>10</v>
      </c>
      <c r="Q23" s="353">
        <v>219</v>
      </c>
      <c r="R23" s="37"/>
      <c r="S23" s="508" t="str">
        <f t="shared" si="0"/>
        <v/>
      </c>
      <c r="T23" s="508"/>
      <c r="U23" s="508"/>
      <c r="V23" s="508"/>
      <c r="X23" s="45">
        <v>0.33333333333333298</v>
      </c>
      <c r="Y23" s="106"/>
      <c r="Z23" s="102"/>
      <c r="AA23" s="102"/>
      <c r="AB23" s="45" t="str">
        <f t="shared" si="18"/>
        <v/>
      </c>
      <c r="AC23" s="45" t="str">
        <f t="shared" si="1"/>
        <v/>
      </c>
      <c r="AD23" s="81"/>
      <c r="AE23" s="9" t="str">
        <f>IF(S23="","",IF(COUNTA(Z23:$Z$39)=1,IF(COUNTA(AD23:$AD$39)=1,""," ; "),IF(COUNTA(AD23:$AD$39)=1,IF(Z23="",""," ; ")," ; ")))</f>
        <v/>
      </c>
      <c r="AF23" s="9" t="str">
        <f t="shared" si="2"/>
        <v/>
      </c>
      <c r="AG23" s="90" t="str">
        <f t="shared" si="3"/>
        <v/>
      </c>
      <c r="AH23" s="204" t="s">
        <v>274</v>
      </c>
      <c r="AJ23" s="206">
        <f t="shared" si="19"/>
        <v>500</v>
      </c>
      <c r="AK23" s="206">
        <f t="shared" si="19"/>
        <v>100</v>
      </c>
      <c r="AL23" s="206">
        <f t="shared" si="19"/>
        <v>2</v>
      </c>
      <c r="AM23" s="213">
        <f t="shared" si="19"/>
        <v>0.875</v>
      </c>
      <c r="AN23" s="214">
        <f t="shared" si="19"/>
        <v>0.63607464142166403</v>
      </c>
      <c r="AO23" s="215">
        <f t="shared" si="4"/>
        <v>-14.7</v>
      </c>
      <c r="AP23" s="216">
        <f t="shared" si="5"/>
        <v>1</v>
      </c>
      <c r="AQ23" s="216">
        <f t="shared" si="6"/>
        <v>1</v>
      </c>
      <c r="AR23" s="215">
        <f t="shared" si="20"/>
        <v>158.47</v>
      </c>
      <c r="AS23" s="216">
        <f t="shared" si="7"/>
        <v>0.97679498379494789</v>
      </c>
      <c r="AT23" s="216">
        <f t="shared" si="8"/>
        <v>1.2538510821608391</v>
      </c>
      <c r="AU23" s="216">
        <f t="shared" si="9"/>
        <v>2.2360679774997898</v>
      </c>
      <c r="AV23" s="217">
        <f t="shared" si="10"/>
        <v>10.415801185754333</v>
      </c>
      <c r="AW23" s="216">
        <f t="shared" si="11"/>
        <v>0</v>
      </c>
      <c r="AX23" s="218">
        <f t="shared" si="12"/>
        <v>1.4696875479799241</v>
      </c>
      <c r="AY23" s="216">
        <f t="shared" si="13"/>
        <v>0.76851414128953044</v>
      </c>
      <c r="AZ23" s="217">
        <f t="shared" si="14"/>
        <v>3.5640070462657096</v>
      </c>
      <c r="BA23" s="216">
        <f t="shared" si="15"/>
        <v>0</v>
      </c>
      <c r="BB23" s="216">
        <f t="shared" si="16"/>
        <v>1.0084584063544275</v>
      </c>
      <c r="BC23" s="216">
        <f t="shared" si="17"/>
        <v>1</v>
      </c>
    </row>
    <row r="24" spans="1:55" ht="20.100000000000001" customHeight="1" x14ac:dyDescent="0.2">
      <c r="A24" s="45">
        <v>0.375</v>
      </c>
      <c r="B24" s="451"/>
      <c r="C24" s="451"/>
      <c r="D24" s="451">
        <v>6.2</v>
      </c>
      <c r="E24" s="451">
        <v>62.8</v>
      </c>
      <c r="F24" s="41">
        <v>1970</v>
      </c>
      <c r="G24" s="37">
        <v>-5.6</v>
      </c>
      <c r="H24" s="37">
        <v>71.8</v>
      </c>
      <c r="I24" s="37">
        <v>21.3</v>
      </c>
      <c r="J24" s="41">
        <v>376</v>
      </c>
      <c r="K24" s="37">
        <v>13</v>
      </c>
      <c r="L24" s="451">
        <v>132</v>
      </c>
      <c r="M24" s="451">
        <v>223</v>
      </c>
      <c r="N24" s="451">
        <v>85</v>
      </c>
      <c r="O24" s="353">
        <v>45</v>
      </c>
      <c r="P24" s="353">
        <v>11</v>
      </c>
      <c r="Q24" s="353">
        <v>229.59</v>
      </c>
      <c r="R24" s="37"/>
      <c r="S24" s="508" t="str">
        <f t="shared" si="0"/>
        <v/>
      </c>
      <c r="T24" s="508"/>
      <c r="U24" s="508"/>
      <c r="V24" s="508"/>
      <c r="X24" s="45">
        <v>0.375</v>
      </c>
      <c r="Y24" s="106"/>
      <c r="Z24" s="102"/>
      <c r="AA24" s="102"/>
      <c r="AB24" s="45" t="str">
        <f t="shared" si="18"/>
        <v/>
      </c>
      <c r="AC24" s="45" t="str">
        <f t="shared" si="1"/>
        <v/>
      </c>
      <c r="AD24" s="81"/>
      <c r="AE24" s="9" t="str">
        <f>IF(S24="","",IF(COUNTA(Z24:$Z$39)=1,IF(COUNTA(AD24:$AD$39)=1,""," ; "),IF(COUNTA(AD24:$AD$39)=1,IF(Z24="",""," ; ")," ; ")))</f>
        <v/>
      </c>
      <c r="AF24" s="9" t="str">
        <f t="shared" si="2"/>
        <v/>
      </c>
      <c r="AG24" s="90" t="str">
        <f t="shared" si="3"/>
        <v/>
      </c>
      <c r="AH24" s="204" t="s">
        <v>307</v>
      </c>
      <c r="AJ24" s="206">
        <f t="shared" si="19"/>
        <v>500</v>
      </c>
      <c r="AK24" s="206">
        <f t="shared" si="19"/>
        <v>100</v>
      </c>
      <c r="AL24" s="206">
        <f t="shared" si="19"/>
        <v>2</v>
      </c>
      <c r="AM24" s="213">
        <f t="shared" si="19"/>
        <v>0.875</v>
      </c>
      <c r="AN24" s="214">
        <f t="shared" si="19"/>
        <v>0.63607464142166403</v>
      </c>
      <c r="AO24" s="215">
        <f t="shared" si="4"/>
        <v>-14.7</v>
      </c>
      <c r="AP24" s="216">
        <f t="shared" si="5"/>
        <v>1</v>
      </c>
      <c r="AQ24" s="216">
        <f t="shared" si="6"/>
        <v>1</v>
      </c>
      <c r="AR24" s="215">
        <f t="shared" si="20"/>
        <v>158.47</v>
      </c>
      <c r="AS24" s="216">
        <f t="shared" si="7"/>
        <v>0.97679498379494789</v>
      </c>
      <c r="AT24" s="216">
        <f t="shared" si="8"/>
        <v>1.2538510821608391</v>
      </c>
      <c r="AU24" s="216">
        <f t="shared" si="9"/>
        <v>2.2360679774997898</v>
      </c>
      <c r="AV24" s="217">
        <f t="shared" si="10"/>
        <v>10.415801185754333</v>
      </c>
      <c r="AW24" s="216">
        <f t="shared" si="11"/>
        <v>0</v>
      </c>
      <c r="AX24" s="218">
        <f t="shared" si="12"/>
        <v>1.4696875479799241</v>
      </c>
      <c r="AY24" s="216">
        <f t="shared" si="13"/>
        <v>0.76851414128953044</v>
      </c>
      <c r="AZ24" s="217">
        <f t="shared" si="14"/>
        <v>3.5640070462657096</v>
      </c>
      <c r="BA24" s="216">
        <f t="shared" si="15"/>
        <v>0</v>
      </c>
      <c r="BB24" s="216">
        <f t="shared" si="16"/>
        <v>1.0084584063544275</v>
      </c>
      <c r="BC24" s="216">
        <f t="shared" si="17"/>
        <v>1</v>
      </c>
    </row>
    <row r="25" spans="1:55" ht="20.100000000000001" customHeight="1" x14ac:dyDescent="0.2">
      <c r="A25" s="45">
        <v>0.41666666666666702</v>
      </c>
      <c r="B25" s="451"/>
      <c r="C25" s="451"/>
      <c r="D25" s="451">
        <v>6.8</v>
      </c>
      <c r="E25" s="451">
        <v>62</v>
      </c>
      <c r="F25" s="41">
        <v>1985</v>
      </c>
      <c r="G25" s="37">
        <v>-5.6</v>
      </c>
      <c r="H25" s="37">
        <v>71.2</v>
      </c>
      <c r="I25" s="37">
        <v>21.8</v>
      </c>
      <c r="J25" s="41">
        <v>377</v>
      </c>
      <c r="K25" s="37">
        <v>13</v>
      </c>
      <c r="L25" s="451">
        <v>132</v>
      </c>
      <c r="M25" s="451">
        <v>224</v>
      </c>
      <c r="N25" s="451">
        <v>85</v>
      </c>
      <c r="O25" s="353">
        <v>45</v>
      </c>
      <c r="P25" s="353">
        <v>11</v>
      </c>
      <c r="Q25" s="353">
        <v>229.59</v>
      </c>
      <c r="R25" s="37"/>
      <c r="S25" s="508" t="str">
        <f t="shared" si="0"/>
        <v/>
      </c>
      <c r="T25" s="508"/>
      <c r="U25" s="508"/>
      <c r="V25" s="508"/>
      <c r="X25" s="45">
        <v>0.41666666666666702</v>
      </c>
      <c r="Y25" s="106"/>
      <c r="Z25" s="102"/>
      <c r="AA25" s="102"/>
      <c r="AB25" s="45" t="str">
        <f t="shared" si="18"/>
        <v/>
      </c>
      <c r="AC25" s="45" t="str">
        <f t="shared" si="1"/>
        <v/>
      </c>
      <c r="AD25" s="81"/>
      <c r="AE25" s="9" t="str">
        <f>IF(S25="","",IF(COUNTA(Z25:$Z$39)=1,IF(COUNTA(AD25:$AD$39)=1,""," ; "),IF(COUNTA(AD25:$AD$39)=1,IF(Z25="",""," ; ")," ; ")))</f>
        <v/>
      </c>
      <c r="AF25" s="9" t="str">
        <f t="shared" si="2"/>
        <v/>
      </c>
      <c r="AG25" s="90" t="str">
        <f t="shared" si="3"/>
        <v/>
      </c>
      <c r="AH25" s="204" t="s">
        <v>225</v>
      </c>
      <c r="AJ25" s="206">
        <f t="shared" si="19"/>
        <v>500</v>
      </c>
      <c r="AK25" s="206">
        <f t="shared" si="19"/>
        <v>100</v>
      </c>
      <c r="AL25" s="206">
        <f t="shared" si="19"/>
        <v>2</v>
      </c>
      <c r="AM25" s="213">
        <f t="shared" si="19"/>
        <v>0.875</v>
      </c>
      <c r="AN25" s="214">
        <f t="shared" si="19"/>
        <v>0.63607464142166403</v>
      </c>
      <c r="AO25" s="215">
        <f t="shared" si="4"/>
        <v>-14.7</v>
      </c>
      <c r="AP25" s="216">
        <f t="shared" si="5"/>
        <v>1</v>
      </c>
      <c r="AQ25" s="216">
        <f t="shared" si="6"/>
        <v>1</v>
      </c>
      <c r="AR25" s="215">
        <f t="shared" si="20"/>
        <v>158.47</v>
      </c>
      <c r="AS25" s="216">
        <f t="shared" si="7"/>
        <v>0.97679498379494789</v>
      </c>
      <c r="AT25" s="216">
        <f t="shared" si="8"/>
        <v>1.2538510821608391</v>
      </c>
      <c r="AU25" s="216">
        <f t="shared" si="9"/>
        <v>2.2360679774997898</v>
      </c>
      <c r="AV25" s="217">
        <f t="shared" si="10"/>
        <v>10.415801185754333</v>
      </c>
      <c r="AW25" s="216">
        <f t="shared" si="11"/>
        <v>0</v>
      </c>
      <c r="AX25" s="218">
        <f t="shared" si="12"/>
        <v>1.4696875479799241</v>
      </c>
      <c r="AY25" s="216">
        <f t="shared" si="13"/>
        <v>0.76851414128953044</v>
      </c>
      <c r="AZ25" s="217">
        <f t="shared" si="14"/>
        <v>3.5640070462657096</v>
      </c>
      <c r="BA25" s="216">
        <f t="shared" si="15"/>
        <v>0</v>
      </c>
      <c r="BB25" s="216">
        <f t="shared" si="16"/>
        <v>1.0084584063544275</v>
      </c>
      <c r="BC25" s="216">
        <f t="shared" si="17"/>
        <v>1</v>
      </c>
    </row>
    <row r="26" spans="1:55" ht="20.100000000000001" customHeight="1" x14ac:dyDescent="0.2">
      <c r="A26" s="45">
        <v>0.45833333333333298</v>
      </c>
      <c r="B26" s="451"/>
      <c r="C26" s="451"/>
      <c r="D26" s="451">
        <v>7.2</v>
      </c>
      <c r="E26" s="451">
        <v>62.5</v>
      </c>
      <c r="F26" s="41">
        <v>1940</v>
      </c>
      <c r="G26" s="37">
        <v>-5.6</v>
      </c>
      <c r="H26" s="37">
        <v>71.5</v>
      </c>
      <c r="I26" s="37">
        <v>21.2</v>
      </c>
      <c r="J26" s="41">
        <v>378</v>
      </c>
      <c r="K26" s="37">
        <v>13</v>
      </c>
      <c r="L26" s="451">
        <v>133</v>
      </c>
      <c r="M26" s="451">
        <v>224</v>
      </c>
      <c r="N26" s="451">
        <v>90</v>
      </c>
      <c r="O26" s="353">
        <v>45</v>
      </c>
      <c r="P26" s="353">
        <v>10</v>
      </c>
      <c r="Q26" s="353">
        <v>217.99</v>
      </c>
      <c r="R26" s="37"/>
      <c r="S26" s="508" t="str">
        <f t="shared" si="0"/>
        <v/>
      </c>
      <c r="T26" s="508"/>
      <c r="U26" s="508"/>
      <c r="V26" s="508"/>
      <c r="X26" s="45">
        <v>0.45833333333333298</v>
      </c>
      <c r="Y26" s="106"/>
      <c r="Z26" s="102"/>
      <c r="AA26" s="102"/>
      <c r="AB26" s="45" t="str">
        <f t="shared" si="18"/>
        <v/>
      </c>
      <c r="AC26" s="45" t="str">
        <f t="shared" si="1"/>
        <v/>
      </c>
      <c r="AD26" s="81"/>
      <c r="AE26" s="9" t="str">
        <f>IF(S26="","",IF(COUNTA(Z26:$Z$39)=1,IF(COUNTA(AD26:$AD$39)=1,""," ; "),IF(COUNTA(AD26:$AD$39)=1,IF(Z26="",""," ; ")," ; ")))</f>
        <v/>
      </c>
      <c r="AF26" s="9" t="str">
        <f t="shared" si="2"/>
        <v/>
      </c>
      <c r="AG26" s="90" t="str">
        <f t="shared" si="3"/>
        <v/>
      </c>
      <c r="AH26" s="204" t="s">
        <v>287</v>
      </c>
      <c r="AJ26" s="206">
        <f t="shared" si="19"/>
        <v>500</v>
      </c>
      <c r="AK26" s="206">
        <f t="shared" si="19"/>
        <v>100</v>
      </c>
      <c r="AL26" s="206">
        <f t="shared" si="19"/>
        <v>2</v>
      </c>
      <c r="AM26" s="213">
        <f t="shared" si="19"/>
        <v>0.875</v>
      </c>
      <c r="AN26" s="214">
        <f t="shared" si="19"/>
        <v>0.63607464142166403</v>
      </c>
      <c r="AO26" s="215">
        <f t="shared" si="4"/>
        <v>-14.7</v>
      </c>
      <c r="AP26" s="216">
        <f t="shared" si="5"/>
        <v>1</v>
      </c>
      <c r="AQ26" s="216">
        <f t="shared" si="6"/>
        <v>1</v>
      </c>
      <c r="AR26" s="215">
        <f t="shared" si="20"/>
        <v>158.47</v>
      </c>
      <c r="AS26" s="216">
        <f t="shared" si="7"/>
        <v>0.9723448696087954</v>
      </c>
      <c r="AT26" s="216">
        <f t="shared" si="8"/>
        <v>1.2538510821608391</v>
      </c>
      <c r="AU26" s="216">
        <f t="shared" si="9"/>
        <v>2.2360679774997898</v>
      </c>
      <c r="AV26" s="217">
        <f t="shared" si="10"/>
        <v>10.368348541764712</v>
      </c>
      <c r="AW26" s="216">
        <f t="shared" si="11"/>
        <v>0</v>
      </c>
      <c r="AX26" s="218">
        <f t="shared" si="12"/>
        <v>1.4831709199797398</v>
      </c>
      <c r="AY26" s="216">
        <f t="shared" si="13"/>
        <v>0.77643477842613629</v>
      </c>
      <c r="AZ26" s="217">
        <f t="shared" si="14"/>
        <v>3.5883638597441294</v>
      </c>
      <c r="BA26" s="216">
        <f t="shared" si="15"/>
        <v>0</v>
      </c>
      <c r="BB26" s="216">
        <f t="shared" si="16"/>
        <v>1.0016542390239327</v>
      </c>
      <c r="BC26" s="216">
        <f t="shared" si="17"/>
        <v>1</v>
      </c>
    </row>
    <row r="27" spans="1:55" ht="20.100000000000001" customHeight="1" x14ac:dyDescent="0.2">
      <c r="A27" s="45">
        <v>0.5</v>
      </c>
      <c r="B27" s="451"/>
      <c r="C27" s="451"/>
      <c r="D27" s="451">
        <v>7.9</v>
      </c>
      <c r="E27" s="451">
        <v>63.7</v>
      </c>
      <c r="F27" s="41">
        <v>1966</v>
      </c>
      <c r="G27" s="37">
        <v>-5.6</v>
      </c>
      <c r="H27" s="37">
        <v>71.099999999999994</v>
      </c>
      <c r="I27" s="37">
        <v>21.7</v>
      </c>
      <c r="J27" s="41">
        <v>379</v>
      </c>
      <c r="K27" s="37">
        <v>13</v>
      </c>
      <c r="L27" s="451">
        <v>134</v>
      </c>
      <c r="M27" s="451">
        <v>225</v>
      </c>
      <c r="N27" s="451">
        <v>90</v>
      </c>
      <c r="O27" s="353">
        <v>45</v>
      </c>
      <c r="P27" s="353">
        <v>10</v>
      </c>
      <c r="Q27" s="353">
        <v>217.99</v>
      </c>
      <c r="R27" s="37"/>
      <c r="S27" s="508" t="str">
        <f t="shared" si="0"/>
        <v/>
      </c>
      <c r="T27" s="508"/>
      <c r="U27" s="508"/>
      <c r="V27" s="508"/>
      <c r="X27" s="45">
        <v>0.5</v>
      </c>
      <c r="Y27" s="106"/>
      <c r="Z27" s="102"/>
      <c r="AA27" s="102"/>
      <c r="AB27" s="45" t="str">
        <f t="shared" si="18"/>
        <v/>
      </c>
      <c r="AC27" s="45" t="str">
        <f t="shared" si="1"/>
        <v/>
      </c>
      <c r="AD27" s="81"/>
      <c r="AE27" s="9" t="str">
        <f>IF(S27="","",IF(COUNTA(Z27:$Z$39)=1,IF(COUNTA(AD27:$AD$39)=1,""," ; "),IF(COUNTA(AD27:$AD$39)=1,IF(Z27="",""," ; ")," ; ")))</f>
        <v/>
      </c>
      <c r="AF27" s="9" t="str">
        <f t="shared" si="2"/>
        <v/>
      </c>
      <c r="AG27" s="90" t="str">
        <f t="shared" si="3"/>
        <v/>
      </c>
      <c r="AH27" s="204" t="s">
        <v>276</v>
      </c>
      <c r="AJ27" s="206">
        <f t="shared" si="19"/>
        <v>500</v>
      </c>
      <c r="AK27" s="206">
        <f t="shared" si="19"/>
        <v>100</v>
      </c>
      <c r="AL27" s="206">
        <f t="shared" si="19"/>
        <v>2</v>
      </c>
      <c r="AM27" s="213">
        <f t="shared" si="19"/>
        <v>0.875</v>
      </c>
      <c r="AN27" s="214">
        <f t="shared" si="19"/>
        <v>0.63607464142166403</v>
      </c>
      <c r="AO27" s="215">
        <f t="shared" si="4"/>
        <v>-14.7</v>
      </c>
      <c r="AP27" s="216">
        <f t="shared" si="5"/>
        <v>1</v>
      </c>
      <c r="AQ27" s="216">
        <f t="shared" si="6"/>
        <v>1</v>
      </c>
      <c r="AR27" s="215">
        <f t="shared" si="20"/>
        <v>158.47</v>
      </c>
      <c r="AS27" s="216">
        <f t="shared" si="7"/>
        <v>0.9723448696087954</v>
      </c>
      <c r="AT27" s="216">
        <f t="shared" si="8"/>
        <v>1.2538510821608391</v>
      </c>
      <c r="AU27" s="216">
        <f t="shared" si="9"/>
        <v>2.2360679774997898</v>
      </c>
      <c r="AV27" s="217">
        <f t="shared" si="10"/>
        <v>10.368348541764712</v>
      </c>
      <c r="AW27" s="216">
        <f t="shared" si="11"/>
        <v>0</v>
      </c>
      <c r="AX27" s="218">
        <f t="shared" si="12"/>
        <v>1.4831709199797398</v>
      </c>
      <c r="AY27" s="216">
        <f t="shared" si="13"/>
        <v>0.77643477842613629</v>
      </c>
      <c r="AZ27" s="217">
        <f t="shared" si="14"/>
        <v>3.5883638597441294</v>
      </c>
      <c r="BA27" s="216">
        <f t="shared" si="15"/>
        <v>0</v>
      </c>
      <c r="BB27" s="216">
        <f t="shared" si="16"/>
        <v>1.0016542390239327</v>
      </c>
      <c r="BC27" s="216">
        <f t="shared" si="17"/>
        <v>1</v>
      </c>
    </row>
    <row r="28" spans="1:55" ht="20.100000000000001" customHeight="1" x14ac:dyDescent="0.2">
      <c r="A28" s="45">
        <v>0.54166666666666696</v>
      </c>
      <c r="B28" s="451"/>
      <c r="C28" s="451"/>
      <c r="D28" s="451">
        <v>7.5</v>
      </c>
      <c r="E28" s="451">
        <v>62</v>
      </c>
      <c r="F28" s="41">
        <v>1941</v>
      </c>
      <c r="G28" s="37">
        <v>-5.6</v>
      </c>
      <c r="H28" s="37">
        <v>71.2</v>
      </c>
      <c r="I28" s="37">
        <v>21</v>
      </c>
      <c r="J28" s="41">
        <v>380</v>
      </c>
      <c r="K28" s="37">
        <v>13</v>
      </c>
      <c r="L28" s="451">
        <v>135</v>
      </c>
      <c r="M28" s="451">
        <v>225</v>
      </c>
      <c r="N28" s="451">
        <v>90</v>
      </c>
      <c r="O28" s="353">
        <v>45</v>
      </c>
      <c r="P28" s="353">
        <v>11</v>
      </c>
      <c r="Q28" s="353">
        <v>228.54</v>
      </c>
      <c r="R28" s="37"/>
      <c r="S28" s="508" t="str">
        <f t="shared" si="0"/>
        <v/>
      </c>
      <c r="T28" s="508"/>
      <c r="U28" s="508"/>
      <c r="V28" s="508"/>
      <c r="X28" s="45">
        <v>0.54166666666666696</v>
      </c>
      <c r="Y28" s="106"/>
      <c r="Z28" s="102"/>
      <c r="AA28" s="102"/>
      <c r="AB28" s="45" t="str">
        <f t="shared" si="18"/>
        <v/>
      </c>
      <c r="AC28" s="45" t="str">
        <f t="shared" si="1"/>
        <v/>
      </c>
      <c r="AD28" s="81"/>
      <c r="AE28" s="9" t="str">
        <f>IF(S28="","",IF(COUNTA(Z28:$Z$39)=1,IF(COUNTA(AD28:$AD$39)=1,""," ; "),IF(COUNTA(AD28:$AD$39)=1,IF(Z28="",""," ; ")," ; ")))</f>
        <v/>
      </c>
      <c r="AF28" s="9" t="str">
        <f t="shared" si="2"/>
        <v/>
      </c>
      <c r="AG28" s="90" t="str">
        <f t="shared" si="3"/>
        <v/>
      </c>
      <c r="AH28" s="204" t="s">
        <v>278</v>
      </c>
      <c r="AJ28" s="206">
        <f t="shared" si="19"/>
        <v>500</v>
      </c>
      <c r="AK28" s="206">
        <f t="shared" si="19"/>
        <v>100</v>
      </c>
      <c r="AL28" s="206">
        <f t="shared" si="19"/>
        <v>2</v>
      </c>
      <c r="AM28" s="213">
        <f t="shared" si="19"/>
        <v>0.875</v>
      </c>
      <c r="AN28" s="214">
        <f t="shared" si="19"/>
        <v>0.63607464142166403</v>
      </c>
      <c r="AO28" s="215">
        <f t="shared" si="4"/>
        <v>-14.7</v>
      </c>
      <c r="AP28" s="216">
        <f t="shared" si="5"/>
        <v>1</v>
      </c>
      <c r="AQ28" s="216">
        <f t="shared" si="6"/>
        <v>1</v>
      </c>
      <c r="AR28" s="215">
        <f t="shared" si="20"/>
        <v>158.47</v>
      </c>
      <c r="AS28" s="216">
        <f t="shared" si="7"/>
        <v>0.9723448696087954</v>
      </c>
      <c r="AT28" s="216">
        <f t="shared" si="8"/>
        <v>1.2538510821608391</v>
      </c>
      <c r="AU28" s="216">
        <f t="shared" si="9"/>
        <v>2.2360679774997898</v>
      </c>
      <c r="AV28" s="217">
        <f t="shared" si="10"/>
        <v>10.368348541764712</v>
      </c>
      <c r="AW28" s="216">
        <f t="shared" si="11"/>
        <v>0</v>
      </c>
      <c r="AX28" s="218">
        <f t="shared" si="12"/>
        <v>1.4831709199797398</v>
      </c>
      <c r="AY28" s="216">
        <f t="shared" si="13"/>
        <v>0.77643477842613629</v>
      </c>
      <c r="AZ28" s="217">
        <f t="shared" si="14"/>
        <v>3.5883638597441294</v>
      </c>
      <c r="BA28" s="216">
        <f t="shared" si="15"/>
        <v>0</v>
      </c>
      <c r="BB28" s="216">
        <f t="shared" si="16"/>
        <v>1.0016542390239327</v>
      </c>
      <c r="BC28" s="216">
        <f t="shared" si="17"/>
        <v>1</v>
      </c>
    </row>
    <row r="29" spans="1:55" ht="20.100000000000001" customHeight="1" x14ac:dyDescent="0.2">
      <c r="A29" s="45">
        <v>0.58333333333333304</v>
      </c>
      <c r="B29" s="451"/>
      <c r="C29" s="451"/>
      <c r="D29" s="451">
        <v>7.9</v>
      </c>
      <c r="E29" s="451">
        <v>63</v>
      </c>
      <c r="F29" s="41">
        <v>1966</v>
      </c>
      <c r="G29" s="37">
        <v>-5.6</v>
      </c>
      <c r="H29" s="37">
        <v>71.900000000000006</v>
      </c>
      <c r="I29" s="37">
        <v>21.7</v>
      </c>
      <c r="J29" s="41">
        <v>381</v>
      </c>
      <c r="K29" s="37">
        <v>13</v>
      </c>
      <c r="L29" s="451">
        <v>136</v>
      </c>
      <c r="M29" s="451">
        <v>226</v>
      </c>
      <c r="N29" s="451">
        <v>90</v>
      </c>
      <c r="O29" s="353">
        <v>45</v>
      </c>
      <c r="P29" s="353">
        <v>15</v>
      </c>
      <c r="Q29" s="353">
        <v>266.55</v>
      </c>
      <c r="R29" s="37"/>
      <c r="S29" s="508" t="str">
        <f t="shared" si="0"/>
        <v/>
      </c>
      <c r="T29" s="508"/>
      <c r="U29" s="508"/>
      <c r="V29" s="508"/>
      <c r="X29" s="45">
        <v>0.58333333333333304</v>
      </c>
      <c r="Y29" s="106"/>
      <c r="Z29" s="102"/>
      <c r="AA29" s="102"/>
      <c r="AB29" s="45" t="str">
        <f t="shared" si="18"/>
        <v/>
      </c>
      <c r="AC29" s="45" t="str">
        <f t="shared" si="1"/>
        <v/>
      </c>
      <c r="AD29" s="81"/>
      <c r="AE29" s="9" t="str">
        <f>IF(S29="","",IF(COUNTA(Z29:$Z$39)=1,IF(COUNTA(AD29:$AD$39)=1,""," ; "),IF(COUNTA(AD29:$AD$39)=1,IF(Z29="",""," ; ")," ; ")))</f>
        <v/>
      </c>
      <c r="AF29" s="9" t="str">
        <f t="shared" si="2"/>
        <v/>
      </c>
      <c r="AG29" s="90" t="str">
        <f t="shared" si="3"/>
        <v/>
      </c>
      <c r="AH29" s="204" t="s">
        <v>224</v>
      </c>
      <c r="AJ29" s="206">
        <f t="shared" si="19"/>
        <v>500</v>
      </c>
      <c r="AK29" s="206">
        <f t="shared" si="19"/>
        <v>100</v>
      </c>
      <c r="AL29" s="206">
        <f t="shared" si="19"/>
        <v>2</v>
      </c>
      <c r="AM29" s="213">
        <f t="shared" si="19"/>
        <v>0.875</v>
      </c>
      <c r="AN29" s="214">
        <f t="shared" si="19"/>
        <v>0.63607464142166403</v>
      </c>
      <c r="AO29" s="215">
        <f t="shared" si="4"/>
        <v>-14.7</v>
      </c>
      <c r="AP29" s="216">
        <f t="shared" si="5"/>
        <v>1</v>
      </c>
      <c r="AQ29" s="216">
        <f t="shared" si="6"/>
        <v>1</v>
      </c>
      <c r="AR29" s="215">
        <f t="shared" si="20"/>
        <v>158.47</v>
      </c>
      <c r="AS29" s="216">
        <f t="shared" si="7"/>
        <v>0.9723448696087954</v>
      </c>
      <c r="AT29" s="216">
        <f t="shared" si="8"/>
        <v>1.2538510821608391</v>
      </c>
      <c r="AU29" s="216">
        <f t="shared" si="9"/>
        <v>2.2360679774997898</v>
      </c>
      <c r="AV29" s="217">
        <f t="shared" si="10"/>
        <v>10.368348541764712</v>
      </c>
      <c r="AW29" s="216">
        <f t="shared" si="11"/>
        <v>0</v>
      </c>
      <c r="AX29" s="218">
        <f t="shared" si="12"/>
        <v>1.4831709199797398</v>
      </c>
      <c r="AY29" s="216">
        <f t="shared" si="13"/>
        <v>0.77643477842613629</v>
      </c>
      <c r="AZ29" s="217">
        <f t="shared" si="14"/>
        <v>3.5883638597441294</v>
      </c>
      <c r="BA29" s="216">
        <f t="shared" si="15"/>
        <v>0</v>
      </c>
      <c r="BB29" s="216">
        <f t="shared" si="16"/>
        <v>1.0016542390239327</v>
      </c>
      <c r="BC29" s="216">
        <f t="shared" si="17"/>
        <v>1</v>
      </c>
    </row>
    <row r="30" spans="1:55" ht="20.100000000000001" customHeight="1" x14ac:dyDescent="0.2">
      <c r="A30" s="45">
        <v>0.625</v>
      </c>
      <c r="B30" s="451"/>
      <c r="C30" s="451"/>
      <c r="D30" s="451">
        <v>7.5</v>
      </c>
      <c r="E30" s="451">
        <v>61.1</v>
      </c>
      <c r="F30" s="41">
        <v>1941</v>
      </c>
      <c r="G30" s="37">
        <v>-5.6</v>
      </c>
      <c r="H30" s="37">
        <v>71</v>
      </c>
      <c r="I30" s="37">
        <v>21</v>
      </c>
      <c r="J30" s="41">
        <v>382</v>
      </c>
      <c r="K30" s="37">
        <v>13</v>
      </c>
      <c r="L30" s="451">
        <v>137</v>
      </c>
      <c r="M30" s="451">
        <v>227</v>
      </c>
      <c r="N30" s="451">
        <v>90</v>
      </c>
      <c r="O30" s="353">
        <v>40</v>
      </c>
      <c r="P30" s="353">
        <v>14</v>
      </c>
      <c r="Q30" s="353">
        <v>246.42</v>
      </c>
      <c r="R30" s="37"/>
      <c r="S30" s="508" t="str">
        <f t="shared" si="0"/>
        <v/>
      </c>
      <c r="T30" s="508"/>
      <c r="U30" s="508"/>
      <c r="V30" s="508"/>
      <c r="X30" s="45">
        <v>0.625</v>
      </c>
      <c r="Y30" s="106"/>
      <c r="Z30" s="102"/>
      <c r="AA30" s="102"/>
      <c r="AB30" s="45" t="str">
        <f t="shared" si="18"/>
        <v/>
      </c>
      <c r="AC30" s="45" t="str">
        <f t="shared" si="1"/>
        <v/>
      </c>
      <c r="AD30" s="81"/>
      <c r="AE30" s="9" t="str">
        <f>IF(S30="","",IF(COUNTA(Z30:$Z$39)=1,IF(COUNTA(AD30:$AD$39)=1,""," ; "),IF(COUNTA(AD30:$AD$39)=1,IF(Z30="",""," ; ")," ; ")))</f>
        <v/>
      </c>
      <c r="AF30" s="9" t="str">
        <f t="shared" si="2"/>
        <v/>
      </c>
      <c r="AG30" s="90" t="str">
        <f t="shared" si="3"/>
        <v/>
      </c>
      <c r="AH30" s="204" t="s">
        <v>260</v>
      </c>
      <c r="AJ30" s="206">
        <f t="shared" si="19"/>
        <v>500</v>
      </c>
      <c r="AK30" s="206">
        <f t="shared" si="19"/>
        <v>100</v>
      </c>
      <c r="AL30" s="206">
        <f t="shared" si="19"/>
        <v>2</v>
      </c>
      <c r="AM30" s="213">
        <f t="shared" si="19"/>
        <v>0.875</v>
      </c>
      <c r="AN30" s="214">
        <f t="shared" si="19"/>
        <v>0.63607464142166403</v>
      </c>
      <c r="AO30" s="215">
        <f t="shared" si="4"/>
        <v>-14.7</v>
      </c>
      <c r="AP30" s="216">
        <f t="shared" si="5"/>
        <v>1</v>
      </c>
      <c r="AQ30" s="216">
        <f t="shared" si="6"/>
        <v>1</v>
      </c>
      <c r="AR30" s="215">
        <f t="shared" si="20"/>
        <v>158.47</v>
      </c>
      <c r="AS30" s="216">
        <f t="shared" si="7"/>
        <v>0.9723448696087954</v>
      </c>
      <c r="AT30" s="216">
        <f t="shared" si="8"/>
        <v>1.2538510821608391</v>
      </c>
      <c r="AU30" s="216">
        <f t="shared" si="9"/>
        <v>2.2360679774997898</v>
      </c>
      <c r="AV30" s="217">
        <f t="shared" si="10"/>
        <v>10.368348541764712</v>
      </c>
      <c r="AW30" s="216">
        <f t="shared" si="11"/>
        <v>0</v>
      </c>
      <c r="AX30" s="218">
        <f t="shared" si="12"/>
        <v>1.4831709199797398</v>
      </c>
      <c r="AY30" s="216">
        <f t="shared" si="13"/>
        <v>0.77643477842613629</v>
      </c>
      <c r="AZ30" s="217">
        <f t="shared" si="14"/>
        <v>3.5883638597441294</v>
      </c>
      <c r="BA30" s="216">
        <f t="shared" si="15"/>
        <v>0</v>
      </c>
      <c r="BB30" s="216">
        <f t="shared" si="16"/>
        <v>1.0016542390239327</v>
      </c>
      <c r="BC30" s="216">
        <f t="shared" si="17"/>
        <v>1</v>
      </c>
    </row>
    <row r="31" spans="1:55" ht="20.100000000000001" customHeight="1" x14ac:dyDescent="0.2">
      <c r="A31" s="45">
        <v>0.66666666666666696</v>
      </c>
      <c r="B31" s="451"/>
      <c r="C31" s="451"/>
      <c r="D31" s="451">
        <v>7.2</v>
      </c>
      <c r="E31" s="451">
        <v>62.9</v>
      </c>
      <c r="F31" s="41">
        <v>1955</v>
      </c>
      <c r="G31" s="37">
        <v>-5.6</v>
      </c>
      <c r="H31" s="37">
        <v>71.8</v>
      </c>
      <c r="I31" s="37">
        <v>21.3</v>
      </c>
      <c r="J31" s="41">
        <v>383</v>
      </c>
      <c r="K31" s="37">
        <v>13</v>
      </c>
      <c r="L31" s="451">
        <v>137</v>
      </c>
      <c r="M31" s="451">
        <v>227</v>
      </c>
      <c r="N31" s="451">
        <v>90</v>
      </c>
      <c r="O31" s="353">
        <v>45</v>
      </c>
      <c r="P31" s="353">
        <v>12</v>
      </c>
      <c r="Q31" s="353">
        <v>238.62</v>
      </c>
      <c r="R31" s="37"/>
      <c r="S31" s="508" t="str">
        <f t="shared" si="0"/>
        <v/>
      </c>
      <c r="T31" s="508"/>
      <c r="U31" s="508"/>
      <c r="V31" s="508"/>
      <c r="X31" s="45">
        <v>0.66666666666666696</v>
      </c>
      <c r="Y31" s="106"/>
      <c r="Z31" s="102"/>
      <c r="AA31" s="102"/>
      <c r="AB31" s="45" t="str">
        <f t="shared" si="18"/>
        <v/>
      </c>
      <c r="AC31" s="45" t="str">
        <f t="shared" si="1"/>
        <v/>
      </c>
      <c r="AD31" s="81"/>
      <c r="AE31" s="9" t="str">
        <f>IF(S31="","",IF(COUNTA(Z31:$Z$39)=1,IF(COUNTA(AD31:$AD$39)=1,""," ; "),IF(COUNTA(AD31:$AD$39)=1,IF(Z31="",""," ; ")," ; ")))</f>
        <v/>
      </c>
      <c r="AF31" s="9" t="str">
        <f t="shared" si="2"/>
        <v/>
      </c>
      <c r="AG31" s="90" t="str">
        <f t="shared" si="3"/>
        <v/>
      </c>
      <c r="AH31" s="204" t="s">
        <v>226</v>
      </c>
      <c r="AJ31" s="206">
        <f t="shared" si="19"/>
        <v>500</v>
      </c>
      <c r="AK31" s="206">
        <f t="shared" si="19"/>
        <v>100</v>
      </c>
      <c r="AL31" s="206">
        <f t="shared" si="19"/>
        <v>2</v>
      </c>
      <c r="AM31" s="213">
        <f t="shared" si="19"/>
        <v>0.875</v>
      </c>
      <c r="AN31" s="214">
        <f t="shared" si="19"/>
        <v>0.63607464142166403</v>
      </c>
      <c r="AO31" s="215">
        <f t="shared" si="4"/>
        <v>-14.7</v>
      </c>
      <c r="AP31" s="216">
        <f t="shared" si="5"/>
        <v>1</v>
      </c>
      <c r="AQ31" s="216">
        <f t="shared" si="6"/>
        <v>1</v>
      </c>
      <c r="AR31" s="215">
        <f t="shared" si="20"/>
        <v>158.47</v>
      </c>
      <c r="AS31" s="216">
        <f t="shared" si="7"/>
        <v>0.9723448696087954</v>
      </c>
      <c r="AT31" s="216">
        <f t="shared" si="8"/>
        <v>1.2538510821608391</v>
      </c>
      <c r="AU31" s="216">
        <f t="shared" si="9"/>
        <v>2.2360679774997898</v>
      </c>
      <c r="AV31" s="217">
        <f t="shared" si="10"/>
        <v>10.368348541764712</v>
      </c>
      <c r="AW31" s="216">
        <f t="shared" si="11"/>
        <v>0</v>
      </c>
      <c r="AX31" s="218">
        <f t="shared" si="12"/>
        <v>1.4831709199797398</v>
      </c>
      <c r="AY31" s="216">
        <f t="shared" si="13"/>
        <v>0.77643477842613629</v>
      </c>
      <c r="AZ31" s="217">
        <f t="shared" si="14"/>
        <v>3.5883638597441294</v>
      </c>
      <c r="BA31" s="216">
        <f t="shared" si="15"/>
        <v>0</v>
      </c>
      <c r="BB31" s="216">
        <f t="shared" si="16"/>
        <v>1.0016542390239327</v>
      </c>
      <c r="BC31" s="216">
        <f t="shared" si="17"/>
        <v>1</v>
      </c>
    </row>
    <row r="32" spans="1:55" ht="20.100000000000001" customHeight="1" x14ac:dyDescent="0.2">
      <c r="A32" s="45">
        <v>0.70833333333333304</v>
      </c>
      <c r="B32" s="451"/>
      <c r="C32" s="451"/>
      <c r="D32" s="451">
        <v>7.4</v>
      </c>
      <c r="E32" s="451">
        <v>62.3</v>
      </c>
      <c r="F32" s="41">
        <v>1966</v>
      </c>
      <c r="G32" s="37">
        <v>-5.6</v>
      </c>
      <c r="H32" s="37">
        <v>71</v>
      </c>
      <c r="I32" s="37">
        <v>21.1</v>
      </c>
      <c r="J32" s="41">
        <v>384</v>
      </c>
      <c r="K32" s="37">
        <v>13</v>
      </c>
      <c r="L32" s="451">
        <v>136</v>
      </c>
      <c r="M32" s="451">
        <v>227</v>
      </c>
      <c r="N32" s="451">
        <v>90</v>
      </c>
      <c r="O32" s="353">
        <v>45</v>
      </c>
      <c r="P32" s="353">
        <v>14</v>
      </c>
      <c r="Q32" s="353">
        <v>257.58</v>
      </c>
      <c r="R32" s="37"/>
      <c r="S32" s="508" t="str">
        <f t="shared" si="0"/>
        <v/>
      </c>
      <c r="T32" s="508"/>
      <c r="U32" s="508"/>
      <c r="V32" s="508"/>
      <c r="X32" s="45">
        <v>0.70833333333333304</v>
      </c>
      <c r="Y32" s="106"/>
      <c r="Z32" s="102"/>
      <c r="AA32" s="102"/>
      <c r="AB32" s="45" t="str">
        <f t="shared" si="18"/>
        <v/>
      </c>
      <c r="AC32" s="45" t="str">
        <f t="shared" si="1"/>
        <v/>
      </c>
      <c r="AD32" s="81"/>
      <c r="AE32" s="9" t="str">
        <f>IF(S32="","",IF(COUNTA(Z32:$Z$39)=1,IF(COUNTA(AD32:$AD$39)=1,""," ; "),IF(COUNTA(AD32:$AD$39)=1,IF(Z32="",""," ; ")," ; ")))</f>
        <v/>
      </c>
      <c r="AF32" s="9" t="str">
        <f t="shared" si="2"/>
        <v/>
      </c>
      <c r="AG32" s="90" t="str">
        <f t="shared" si="3"/>
        <v/>
      </c>
      <c r="AH32" s="204" t="s">
        <v>313</v>
      </c>
      <c r="AJ32" s="206">
        <f t="shared" si="19"/>
        <v>500</v>
      </c>
      <c r="AK32" s="206">
        <f t="shared" si="19"/>
        <v>100</v>
      </c>
      <c r="AL32" s="206">
        <f t="shared" si="19"/>
        <v>2</v>
      </c>
      <c r="AM32" s="213">
        <f t="shared" si="19"/>
        <v>0.875</v>
      </c>
      <c r="AN32" s="214">
        <f t="shared" si="19"/>
        <v>0.63607464142166403</v>
      </c>
      <c r="AO32" s="215">
        <f t="shared" si="4"/>
        <v>-14.7</v>
      </c>
      <c r="AP32" s="216">
        <f t="shared" si="5"/>
        <v>1</v>
      </c>
      <c r="AQ32" s="216">
        <f t="shared" si="6"/>
        <v>1</v>
      </c>
      <c r="AR32" s="215">
        <f t="shared" si="20"/>
        <v>158.47</v>
      </c>
      <c r="AS32" s="216">
        <f t="shared" si="7"/>
        <v>0.9723448696087954</v>
      </c>
      <c r="AT32" s="216">
        <f t="shared" si="8"/>
        <v>1.2538510821608391</v>
      </c>
      <c r="AU32" s="216">
        <f t="shared" si="9"/>
        <v>2.2360679774997898</v>
      </c>
      <c r="AV32" s="217">
        <f t="shared" si="10"/>
        <v>10.368348541764712</v>
      </c>
      <c r="AW32" s="216">
        <f t="shared" si="11"/>
        <v>0</v>
      </c>
      <c r="AX32" s="218">
        <f t="shared" si="12"/>
        <v>1.4831709199797398</v>
      </c>
      <c r="AY32" s="216">
        <f t="shared" si="13"/>
        <v>0.77643477842613629</v>
      </c>
      <c r="AZ32" s="217">
        <f t="shared" si="14"/>
        <v>3.5883638597441294</v>
      </c>
      <c r="BA32" s="216">
        <f t="shared" si="15"/>
        <v>0</v>
      </c>
      <c r="BB32" s="216">
        <f t="shared" si="16"/>
        <v>1.0016542390239327</v>
      </c>
      <c r="BC32" s="216">
        <f t="shared" si="17"/>
        <v>1</v>
      </c>
    </row>
    <row r="33" spans="1:55" ht="20.100000000000001" customHeight="1" x14ac:dyDescent="0.2">
      <c r="A33" s="45">
        <v>0.75</v>
      </c>
      <c r="B33" s="451"/>
      <c r="C33" s="451"/>
      <c r="D33" s="451">
        <v>6.5</v>
      </c>
      <c r="E33" s="451">
        <v>61.7</v>
      </c>
      <c r="F33" s="41">
        <v>1941</v>
      </c>
      <c r="G33" s="37">
        <v>-5.6</v>
      </c>
      <c r="H33" s="37">
        <v>71.3</v>
      </c>
      <c r="I33" s="37">
        <v>21.3</v>
      </c>
      <c r="J33" s="41">
        <v>385</v>
      </c>
      <c r="K33" s="37">
        <v>13</v>
      </c>
      <c r="L33" s="451">
        <v>135</v>
      </c>
      <c r="M33" s="451">
        <v>226</v>
      </c>
      <c r="N33" s="451">
        <v>90</v>
      </c>
      <c r="O33" s="353">
        <v>50</v>
      </c>
      <c r="P33" s="353">
        <v>13</v>
      </c>
      <c r="Q33" s="353">
        <v>258.61</v>
      </c>
      <c r="R33" s="37"/>
      <c r="S33" s="508" t="str">
        <f>IF(Z33="",IF(AD33="","",AD33),CONCATENATE(TEXT(Z33,"[hh]:mm"),IF(AA33="",""," - "&amp;TEXT(AA33,"[hh]:mm")),IF(Y33="",""," "&amp;Y33&amp;"/")," "&amp;AD33))</f>
        <v/>
      </c>
      <c r="T33" s="508"/>
      <c r="U33" s="508"/>
      <c r="V33" s="508"/>
      <c r="X33" s="45">
        <v>0.75</v>
      </c>
      <c r="Y33" s="106"/>
      <c r="Z33" s="102"/>
      <c r="AA33" s="102"/>
      <c r="AB33" s="45" t="str">
        <f t="shared" si="18"/>
        <v/>
      </c>
      <c r="AC33" s="45" t="str">
        <f t="shared" si="1"/>
        <v/>
      </c>
      <c r="AD33" s="81"/>
      <c r="AE33" s="9" t="str">
        <f>IF(S33="","",IF(COUNTA(Z33:$Z$39)=1,IF(COUNTA(AD33:$AD$39)=1,""," ; "),IF(COUNTA(AD33:$AD$39)=1,IF(Z33="",""," ; ")," ; ")))</f>
        <v/>
      </c>
      <c r="AF33" s="9" t="str">
        <f t="shared" si="2"/>
        <v/>
      </c>
      <c r="AG33" s="90" t="str">
        <f t="shared" si="3"/>
        <v/>
      </c>
      <c r="AH33" s="204" t="s">
        <v>308</v>
      </c>
      <c r="AJ33" s="206">
        <f t="shared" ref="AJ33:AN39" si="21">AJ32</f>
        <v>500</v>
      </c>
      <c r="AK33" s="206">
        <f t="shared" si="21"/>
        <v>100</v>
      </c>
      <c r="AL33" s="206">
        <f t="shared" si="21"/>
        <v>2</v>
      </c>
      <c r="AM33" s="213">
        <f t="shared" si="21"/>
        <v>0.875</v>
      </c>
      <c r="AN33" s="214">
        <f t="shared" si="21"/>
        <v>0.63607464142166403</v>
      </c>
      <c r="AO33" s="215">
        <f t="shared" si="4"/>
        <v>-14.7</v>
      </c>
      <c r="AP33" s="216">
        <f t="shared" si="5"/>
        <v>1</v>
      </c>
      <c r="AQ33" s="216">
        <f t="shared" si="6"/>
        <v>1</v>
      </c>
      <c r="AR33" s="215">
        <f t="shared" si="20"/>
        <v>158.47</v>
      </c>
      <c r="AS33" s="216">
        <f t="shared" si="7"/>
        <v>0.9723448696087954</v>
      </c>
      <c r="AT33" s="216">
        <f t="shared" si="8"/>
        <v>1.2538510821608391</v>
      </c>
      <c r="AU33" s="216">
        <f t="shared" si="9"/>
        <v>2.2360679774997898</v>
      </c>
      <c r="AV33" s="217">
        <f t="shared" si="10"/>
        <v>10.368348541764712</v>
      </c>
      <c r="AW33" s="216">
        <f t="shared" si="11"/>
        <v>0</v>
      </c>
      <c r="AX33" s="218">
        <f t="shared" si="12"/>
        <v>1.4831709199797398</v>
      </c>
      <c r="AY33" s="216">
        <f t="shared" si="13"/>
        <v>0.77643477842613629</v>
      </c>
      <c r="AZ33" s="217">
        <f t="shared" si="14"/>
        <v>3.5883638597441294</v>
      </c>
      <c r="BA33" s="216">
        <f t="shared" si="15"/>
        <v>0</v>
      </c>
      <c r="BB33" s="216">
        <f t="shared" si="16"/>
        <v>1.0016542390239327</v>
      </c>
      <c r="BC33" s="216">
        <f t="shared" si="17"/>
        <v>1</v>
      </c>
    </row>
    <row r="34" spans="1:55" ht="20.100000000000001" customHeight="1" x14ac:dyDescent="0.2">
      <c r="A34" s="45">
        <v>0.79166666666666696</v>
      </c>
      <c r="B34" s="451"/>
      <c r="C34" s="451"/>
      <c r="D34" s="451">
        <v>6.2</v>
      </c>
      <c r="E34" s="451">
        <v>61.5</v>
      </c>
      <c r="F34" s="41">
        <v>1950</v>
      </c>
      <c r="G34" s="37">
        <v>-5.6</v>
      </c>
      <c r="H34" s="37">
        <v>71.2</v>
      </c>
      <c r="I34" s="37">
        <v>21</v>
      </c>
      <c r="J34" s="41">
        <v>386</v>
      </c>
      <c r="K34" s="37">
        <v>13</v>
      </c>
      <c r="L34" s="451">
        <v>135</v>
      </c>
      <c r="M34" s="451">
        <v>226</v>
      </c>
      <c r="N34" s="451">
        <v>90</v>
      </c>
      <c r="O34" s="353">
        <v>50</v>
      </c>
      <c r="P34" s="353">
        <v>12</v>
      </c>
      <c r="Q34" s="353">
        <v>248.54</v>
      </c>
      <c r="R34" s="37"/>
      <c r="S34" s="508" t="str">
        <f t="shared" ref="S34:S39" si="22">IF(Z34="",IF(AD34="","",AD34),CONCATENATE(TEXT(Z34,"[hh]:mm"),IF(AA34="",""," - "&amp;TEXT(AA34,"[hh]:mm")),IF(Y34="",""," "&amp;Y34&amp;"/")," "&amp;AD34))</f>
        <v/>
      </c>
      <c r="T34" s="508"/>
      <c r="U34" s="508"/>
      <c r="V34" s="508"/>
      <c r="X34" s="45">
        <v>0.79166666666666696</v>
      </c>
      <c r="Y34" s="106"/>
      <c r="Z34" s="102"/>
      <c r="AA34" s="102"/>
      <c r="AB34" s="45" t="str">
        <f t="shared" si="18"/>
        <v/>
      </c>
      <c r="AC34" s="45" t="str">
        <f t="shared" si="1"/>
        <v/>
      </c>
      <c r="AD34" s="81"/>
      <c r="AE34" s="9" t="str">
        <f>IF(S34="","",IF(COUNTA(Z34:$Z$39)=1,IF(COUNTA(AD34:$AD$39)=1,""," ; "),IF(COUNTA(AD34:$AD$39)=1,IF(Z34="",""," ; ")," ; ")))</f>
        <v/>
      </c>
      <c r="AF34" s="9" t="str">
        <f t="shared" si="2"/>
        <v/>
      </c>
      <c r="AG34" s="90" t="str">
        <f t="shared" si="3"/>
        <v/>
      </c>
      <c r="AH34" s="204" t="s">
        <v>314</v>
      </c>
      <c r="AJ34" s="206">
        <f t="shared" si="21"/>
        <v>500</v>
      </c>
      <c r="AK34" s="206">
        <f t="shared" si="21"/>
        <v>100</v>
      </c>
      <c r="AL34" s="206">
        <f t="shared" si="21"/>
        <v>2</v>
      </c>
      <c r="AM34" s="213">
        <f t="shared" si="21"/>
        <v>0.875</v>
      </c>
      <c r="AN34" s="214">
        <f t="shared" si="21"/>
        <v>0.63607464142166403</v>
      </c>
      <c r="AO34" s="215">
        <f t="shared" si="4"/>
        <v>-14.7</v>
      </c>
      <c r="AP34" s="216">
        <f t="shared" si="5"/>
        <v>1</v>
      </c>
      <c r="AQ34" s="216">
        <f t="shared" si="6"/>
        <v>1</v>
      </c>
      <c r="AR34" s="215">
        <f t="shared" si="20"/>
        <v>158.47</v>
      </c>
      <c r="AS34" s="216">
        <f t="shared" si="7"/>
        <v>0.9723448696087954</v>
      </c>
      <c r="AT34" s="216">
        <f t="shared" si="8"/>
        <v>1.2538510821608391</v>
      </c>
      <c r="AU34" s="216">
        <f t="shared" si="9"/>
        <v>2.2360679774997898</v>
      </c>
      <c r="AV34" s="217">
        <f t="shared" si="10"/>
        <v>10.368348541764712</v>
      </c>
      <c r="AW34" s="216">
        <f t="shared" si="11"/>
        <v>0</v>
      </c>
      <c r="AX34" s="218">
        <f t="shared" si="12"/>
        <v>1.4831709199797398</v>
      </c>
      <c r="AY34" s="216">
        <f t="shared" si="13"/>
        <v>0.77643477842613629</v>
      </c>
      <c r="AZ34" s="217">
        <f t="shared" si="14"/>
        <v>3.5883638597441294</v>
      </c>
      <c r="BA34" s="216">
        <f t="shared" si="15"/>
        <v>0</v>
      </c>
      <c r="BB34" s="216">
        <f t="shared" si="16"/>
        <v>1.0016542390239327</v>
      </c>
      <c r="BC34" s="216">
        <f t="shared" si="17"/>
        <v>1</v>
      </c>
    </row>
    <row r="35" spans="1:55" ht="20.100000000000001" customHeight="1" x14ac:dyDescent="0.2">
      <c r="A35" s="45">
        <v>0.83333333333333304</v>
      </c>
      <c r="B35" s="451"/>
      <c r="C35" s="451"/>
      <c r="D35" s="451">
        <v>6.6</v>
      </c>
      <c r="E35" s="451">
        <v>60.3</v>
      </c>
      <c r="F35" s="41">
        <v>1931</v>
      </c>
      <c r="G35" s="37">
        <v>-5.6</v>
      </c>
      <c r="H35" s="37">
        <v>71.3</v>
      </c>
      <c r="I35" s="37">
        <v>21.3</v>
      </c>
      <c r="J35" s="41">
        <v>387</v>
      </c>
      <c r="K35" s="37">
        <v>13</v>
      </c>
      <c r="L35" s="451">
        <v>133</v>
      </c>
      <c r="M35" s="451">
        <v>224</v>
      </c>
      <c r="N35" s="451">
        <v>87</v>
      </c>
      <c r="O35" s="353">
        <v>35</v>
      </c>
      <c r="P35" s="353">
        <v>14</v>
      </c>
      <c r="Q35" s="353">
        <v>235.41</v>
      </c>
      <c r="R35" s="37"/>
      <c r="S35" s="508" t="str">
        <f t="shared" si="22"/>
        <v/>
      </c>
      <c r="T35" s="508"/>
      <c r="U35" s="508"/>
      <c r="V35" s="508"/>
      <c r="X35" s="45">
        <v>0.83333333333333304</v>
      </c>
      <c r="Y35" s="106"/>
      <c r="Z35" s="102"/>
      <c r="AA35" s="102"/>
      <c r="AB35" s="45" t="str">
        <f t="shared" si="18"/>
        <v/>
      </c>
      <c r="AC35" s="45" t="str">
        <f t="shared" si="1"/>
        <v/>
      </c>
      <c r="AD35" s="81"/>
      <c r="AE35" s="9" t="str">
        <f>IF(S35="","",IF(COUNTA(Z35:$Z$39)=1,IF(COUNTA(AD35:$AD$39)=1,""," ; "),IF(COUNTA(AD35:$AD$39)=1,IF(Z35="",""," ; ")," ; ")))</f>
        <v/>
      </c>
      <c r="AF35" s="9" t="str">
        <f t="shared" si="2"/>
        <v/>
      </c>
      <c r="AG35" s="90" t="str">
        <f t="shared" si="3"/>
        <v/>
      </c>
      <c r="AH35" s="204" t="s">
        <v>227</v>
      </c>
      <c r="AJ35" s="206">
        <f t="shared" si="21"/>
        <v>500</v>
      </c>
      <c r="AK35" s="206">
        <f t="shared" si="21"/>
        <v>100</v>
      </c>
      <c r="AL35" s="206">
        <f t="shared" si="21"/>
        <v>2</v>
      </c>
      <c r="AM35" s="213">
        <f t="shared" si="21"/>
        <v>0.875</v>
      </c>
      <c r="AN35" s="214">
        <f t="shared" si="21"/>
        <v>0.63607464142166403</v>
      </c>
      <c r="AO35" s="215">
        <f t="shared" si="4"/>
        <v>-14.7</v>
      </c>
      <c r="AP35" s="216">
        <f t="shared" si="5"/>
        <v>1</v>
      </c>
      <c r="AQ35" s="216">
        <f t="shared" si="6"/>
        <v>1</v>
      </c>
      <c r="AR35" s="215">
        <f t="shared" si="20"/>
        <v>158.47</v>
      </c>
      <c r="AS35" s="216">
        <f t="shared" si="7"/>
        <v>0.9750076172767651</v>
      </c>
      <c r="AT35" s="216">
        <f t="shared" si="8"/>
        <v>1.2538510821608391</v>
      </c>
      <c r="AU35" s="216">
        <f t="shared" si="9"/>
        <v>2.2360679774997898</v>
      </c>
      <c r="AV35" s="217">
        <f t="shared" si="10"/>
        <v>10.396742064231065</v>
      </c>
      <c r="AW35" s="216">
        <f t="shared" si="11"/>
        <v>0</v>
      </c>
      <c r="AX35" s="218">
        <f t="shared" si="12"/>
        <v>1.4750808967798503</v>
      </c>
      <c r="AY35" s="216">
        <f t="shared" si="13"/>
        <v>0.7717134157777843</v>
      </c>
      <c r="AZ35" s="217">
        <f t="shared" si="14"/>
        <v>3.5740249091034091</v>
      </c>
      <c r="BA35" s="216">
        <f t="shared" si="15"/>
        <v>0</v>
      </c>
      <c r="BB35" s="216">
        <f t="shared" si="16"/>
        <v>1.0057218125469158</v>
      </c>
      <c r="BC35" s="216">
        <f t="shared" si="17"/>
        <v>1</v>
      </c>
    </row>
    <row r="36" spans="1:55" ht="20.100000000000001" customHeight="1" x14ac:dyDescent="0.2">
      <c r="A36" s="45">
        <v>0.875</v>
      </c>
      <c r="B36" s="451"/>
      <c r="C36" s="451"/>
      <c r="D36" s="451">
        <v>6.3</v>
      </c>
      <c r="E36" s="451">
        <v>60.5</v>
      </c>
      <c r="F36" s="41">
        <v>1935</v>
      </c>
      <c r="G36" s="37">
        <v>-5.6</v>
      </c>
      <c r="H36" s="37">
        <v>71.599999999999994</v>
      </c>
      <c r="I36" s="37">
        <v>21</v>
      </c>
      <c r="J36" s="41">
        <v>388</v>
      </c>
      <c r="K36" s="37">
        <v>13</v>
      </c>
      <c r="L36" s="451">
        <v>133</v>
      </c>
      <c r="M36" s="451">
        <v>222</v>
      </c>
      <c r="N36" s="451">
        <v>85</v>
      </c>
      <c r="O36" s="353">
        <v>35</v>
      </c>
      <c r="P36" s="353">
        <v>14</v>
      </c>
      <c r="Q36" s="353">
        <v>235.84</v>
      </c>
      <c r="R36" s="37"/>
      <c r="S36" s="508" t="str">
        <f t="shared" si="22"/>
        <v/>
      </c>
      <c r="T36" s="508"/>
      <c r="U36" s="508"/>
      <c r="V36" s="508"/>
      <c r="X36" s="45">
        <v>0.875</v>
      </c>
      <c r="Y36" s="106"/>
      <c r="Z36" s="102"/>
      <c r="AA36" s="102"/>
      <c r="AB36" s="45" t="str">
        <f t="shared" si="18"/>
        <v/>
      </c>
      <c r="AC36" s="45" t="str">
        <f t="shared" si="1"/>
        <v/>
      </c>
      <c r="AD36" s="81"/>
      <c r="AE36" s="9" t="str">
        <f>IF(S36="","",IF(COUNTA(Z36:$Z$39)=1,IF(COUNTA(AD36:$AD$39)=1,""," ; "),IF(COUNTA(AD36:$AD$39)=1,IF(Z36="",""," ; ")," ; ")))</f>
        <v/>
      </c>
      <c r="AF36" s="9" t="str">
        <f t="shared" si="2"/>
        <v/>
      </c>
      <c r="AG36" s="90" t="str">
        <f t="shared" si="3"/>
        <v/>
      </c>
      <c r="AH36" s="204" t="s">
        <v>309</v>
      </c>
      <c r="AJ36" s="206">
        <f t="shared" si="21"/>
        <v>500</v>
      </c>
      <c r="AK36" s="206">
        <f t="shared" si="21"/>
        <v>100</v>
      </c>
      <c r="AL36" s="206">
        <f t="shared" si="21"/>
        <v>2</v>
      </c>
      <c r="AM36" s="213">
        <f t="shared" si="21"/>
        <v>0.875</v>
      </c>
      <c r="AN36" s="214">
        <f t="shared" si="21"/>
        <v>0.63607464142166403</v>
      </c>
      <c r="AO36" s="215">
        <f t="shared" si="4"/>
        <v>-14.7</v>
      </c>
      <c r="AP36" s="216">
        <f t="shared" si="5"/>
        <v>1</v>
      </c>
      <c r="AQ36" s="216">
        <f t="shared" si="6"/>
        <v>1</v>
      </c>
      <c r="AR36" s="215">
        <f t="shared" si="20"/>
        <v>158.47</v>
      </c>
      <c r="AS36" s="216">
        <f t="shared" si="7"/>
        <v>0.97679498379494789</v>
      </c>
      <c r="AT36" s="216">
        <f t="shared" si="8"/>
        <v>1.2538510821608391</v>
      </c>
      <c r="AU36" s="216">
        <f t="shared" si="9"/>
        <v>2.2360679774997898</v>
      </c>
      <c r="AV36" s="217">
        <f t="shared" si="10"/>
        <v>10.415801185754333</v>
      </c>
      <c r="AW36" s="216">
        <f t="shared" si="11"/>
        <v>0</v>
      </c>
      <c r="AX36" s="218">
        <f t="shared" si="12"/>
        <v>1.4696875479799241</v>
      </c>
      <c r="AY36" s="216">
        <f t="shared" si="13"/>
        <v>0.76851414128953044</v>
      </c>
      <c r="AZ36" s="217">
        <f t="shared" si="14"/>
        <v>3.5640070462657096</v>
      </c>
      <c r="BA36" s="216">
        <f t="shared" si="15"/>
        <v>0</v>
      </c>
      <c r="BB36" s="216">
        <f t="shared" si="16"/>
        <v>1.0084584063544275</v>
      </c>
      <c r="BC36" s="216">
        <f t="shared" si="17"/>
        <v>1</v>
      </c>
    </row>
    <row r="37" spans="1:55" ht="20.100000000000001" customHeight="1" x14ac:dyDescent="0.2">
      <c r="A37" s="45">
        <v>0.91666666666666696</v>
      </c>
      <c r="B37" s="451"/>
      <c r="C37" s="451"/>
      <c r="D37" s="451">
        <v>6.9</v>
      </c>
      <c r="E37" s="451">
        <v>60.3</v>
      </c>
      <c r="F37" s="41">
        <v>1952</v>
      </c>
      <c r="G37" s="37">
        <v>-5.6</v>
      </c>
      <c r="H37" s="37">
        <v>71.900000000000006</v>
      </c>
      <c r="I37" s="37">
        <v>21.5</v>
      </c>
      <c r="J37" s="41">
        <v>389</v>
      </c>
      <c r="K37" s="37">
        <v>13</v>
      </c>
      <c r="L37" s="451">
        <v>131</v>
      </c>
      <c r="M37" s="451">
        <v>222</v>
      </c>
      <c r="N37" s="451">
        <v>85</v>
      </c>
      <c r="O37" s="353">
        <v>35</v>
      </c>
      <c r="P37" s="353">
        <v>12</v>
      </c>
      <c r="Q37" s="353">
        <v>218.49</v>
      </c>
      <c r="R37" s="37"/>
      <c r="S37" s="508" t="str">
        <f t="shared" si="22"/>
        <v/>
      </c>
      <c r="T37" s="508"/>
      <c r="U37" s="508"/>
      <c r="V37" s="508"/>
      <c r="X37" s="45">
        <v>0.91666666666666696</v>
      </c>
      <c r="Y37" s="106"/>
      <c r="Z37" s="102"/>
      <c r="AA37" s="102"/>
      <c r="AB37" s="45" t="str">
        <f t="shared" si="18"/>
        <v/>
      </c>
      <c r="AC37" s="45" t="str">
        <f t="shared" si="1"/>
        <v/>
      </c>
      <c r="AD37" s="81"/>
      <c r="AE37" s="9" t="str">
        <f>IF(S37="","",IF(COUNTA(Z37:$Z$39)=1,IF(COUNTA(AD37:$AD$39)=1,""," ; "),IF(COUNTA(AD37:$AD$39)=1,IF(Z37="",""," ; ")," ; ")))</f>
        <v/>
      </c>
      <c r="AF37" s="9" t="str">
        <f t="shared" si="2"/>
        <v/>
      </c>
      <c r="AG37" s="90" t="str">
        <f t="shared" si="3"/>
        <v/>
      </c>
      <c r="AH37" s="204" t="s">
        <v>319</v>
      </c>
      <c r="AJ37" s="206">
        <f t="shared" si="21"/>
        <v>500</v>
      </c>
      <c r="AK37" s="206">
        <f t="shared" si="21"/>
        <v>100</v>
      </c>
      <c r="AL37" s="206">
        <f t="shared" si="21"/>
        <v>2</v>
      </c>
      <c r="AM37" s="213">
        <f t="shared" si="21"/>
        <v>0.875</v>
      </c>
      <c r="AN37" s="214">
        <f t="shared" si="21"/>
        <v>0.63607464142166403</v>
      </c>
      <c r="AO37" s="215">
        <f t="shared" si="4"/>
        <v>-14.7</v>
      </c>
      <c r="AP37" s="216">
        <f t="shared" si="5"/>
        <v>1</v>
      </c>
      <c r="AQ37" s="216">
        <f t="shared" si="6"/>
        <v>1</v>
      </c>
      <c r="AR37" s="215">
        <f t="shared" si="20"/>
        <v>158.47</v>
      </c>
      <c r="AS37" s="216">
        <f t="shared" si="7"/>
        <v>0.97679498379494789</v>
      </c>
      <c r="AT37" s="216">
        <f t="shared" si="8"/>
        <v>1.2538510821608391</v>
      </c>
      <c r="AU37" s="216">
        <f t="shared" si="9"/>
        <v>2.2360679774997898</v>
      </c>
      <c r="AV37" s="217">
        <f t="shared" si="10"/>
        <v>10.415801185754333</v>
      </c>
      <c r="AW37" s="216">
        <f t="shared" si="11"/>
        <v>0</v>
      </c>
      <c r="AX37" s="218">
        <f t="shared" si="12"/>
        <v>1.4696875479799241</v>
      </c>
      <c r="AY37" s="216">
        <f t="shared" si="13"/>
        <v>0.76851414128953044</v>
      </c>
      <c r="AZ37" s="217">
        <f t="shared" si="14"/>
        <v>3.5640070462657096</v>
      </c>
      <c r="BA37" s="216">
        <f t="shared" si="15"/>
        <v>0</v>
      </c>
      <c r="BB37" s="216">
        <f t="shared" si="16"/>
        <v>1.0084584063544275</v>
      </c>
      <c r="BC37" s="216">
        <f t="shared" si="17"/>
        <v>1</v>
      </c>
    </row>
    <row r="38" spans="1:55" ht="20.100000000000001" customHeight="1" x14ac:dyDescent="0.2">
      <c r="A38" s="45">
        <v>0.95833333333333304</v>
      </c>
      <c r="B38" s="451"/>
      <c r="C38" s="451"/>
      <c r="D38" s="451">
        <v>6.3</v>
      </c>
      <c r="E38" s="451">
        <v>62.11</v>
      </c>
      <c r="F38" s="41">
        <v>1965</v>
      </c>
      <c r="G38" s="37">
        <v>-5.6</v>
      </c>
      <c r="H38" s="37">
        <v>71.3</v>
      </c>
      <c r="I38" s="37">
        <v>21.9</v>
      </c>
      <c r="J38" s="41">
        <v>390</v>
      </c>
      <c r="K38" s="37">
        <v>13</v>
      </c>
      <c r="L38" s="451">
        <v>131</v>
      </c>
      <c r="M38" s="451">
        <v>223</v>
      </c>
      <c r="N38" s="451">
        <v>85</v>
      </c>
      <c r="O38" s="353">
        <v>40</v>
      </c>
      <c r="P38" s="353">
        <v>11</v>
      </c>
      <c r="Q38" s="353">
        <v>219.65</v>
      </c>
      <c r="R38" s="37"/>
      <c r="S38" s="508" t="str">
        <f t="shared" si="22"/>
        <v/>
      </c>
      <c r="T38" s="508"/>
      <c r="U38" s="508"/>
      <c r="V38" s="508"/>
      <c r="X38" s="45">
        <v>0.95833333333333304</v>
      </c>
      <c r="Y38" s="106"/>
      <c r="Z38" s="102"/>
      <c r="AA38" s="102"/>
      <c r="AB38" s="45" t="str">
        <f t="shared" si="18"/>
        <v/>
      </c>
      <c r="AC38" s="45" t="str">
        <f t="shared" si="1"/>
        <v/>
      </c>
      <c r="AD38" s="81"/>
      <c r="AE38" s="9" t="str">
        <f>IF(S38="","",IF(COUNTA(Z38:$Z$39)=1,IF(COUNTA(AD38:$AD$39)=1,""," ; "),IF(COUNTA(AD38:$AD$39)=1,IF(Z38="",""," ; ")," ; ")))</f>
        <v/>
      </c>
      <c r="AF38" s="9" t="str">
        <f t="shared" si="2"/>
        <v/>
      </c>
      <c r="AG38" s="90" t="str">
        <f t="shared" si="3"/>
        <v/>
      </c>
      <c r="AH38" s="204" t="s">
        <v>219</v>
      </c>
      <c r="AJ38" s="206">
        <f t="shared" si="21"/>
        <v>500</v>
      </c>
      <c r="AK38" s="206">
        <f t="shared" si="21"/>
        <v>100</v>
      </c>
      <c r="AL38" s="206">
        <f t="shared" si="21"/>
        <v>2</v>
      </c>
      <c r="AM38" s="213">
        <f t="shared" si="21"/>
        <v>0.875</v>
      </c>
      <c r="AN38" s="214">
        <f t="shared" si="21"/>
        <v>0.63607464142166403</v>
      </c>
      <c r="AO38" s="215">
        <f t="shared" si="4"/>
        <v>-14.7</v>
      </c>
      <c r="AP38" s="216">
        <f t="shared" si="5"/>
        <v>1</v>
      </c>
      <c r="AQ38" s="216">
        <f t="shared" si="6"/>
        <v>1</v>
      </c>
      <c r="AR38" s="215">
        <f t="shared" si="20"/>
        <v>158.47</v>
      </c>
      <c r="AS38" s="216">
        <f t="shared" si="7"/>
        <v>0.97679498379494789</v>
      </c>
      <c r="AT38" s="216">
        <f t="shared" si="8"/>
        <v>1.2538510821608391</v>
      </c>
      <c r="AU38" s="216">
        <f t="shared" si="9"/>
        <v>2.2360679774997898</v>
      </c>
      <c r="AV38" s="217">
        <f t="shared" si="10"/>
        <v>10.415801185754333</v>
      </c>
      <c r="AW38" s="216">
        <f t="shared" si="11"/>
        <v>0</v>
      </c>
      <c r="AX38" s="218">
        <f t="shared" si="12"/>
        <v>1.4696875479799241</v>
      </c>
      <c r="AY38" s="216">
        <f t="shared" si="13"/>
        <v>0.76851414128953044</v>
      </c>
      <c r="AZ38" s="217">
        <f t="shared" si="14"/>
        <v>3.5640070462657096</v>
      </c>
      <c r="BA38" s="216">
        <f t="shared" si="15"/>
        <v>0</v>
      </c>
      <c r="BB38" s="216">
        <f t="shared" si="16"/>
        <v>1.0084584063544275</v>
      </c>
      <c r="BC38" s="216">
        <f t="shared" si="17"/>
        <v>1</v>
      </c>
    </row>
    <row r="39" spans="1:55" ht="20.100000000000001" customHeight="1" thickBot="1" x14ac:dyDescent="0.25">
      <c r="A39" s="46">
        <v>1</v>
      </c>
      <c r="B39" s="451"/>
      <c r="C39" s="451"/>
      <c r="D39" s="451">
        <v>6.8</v>
      </c>
      <c r="E39" s="452">
        <v>62.6</v>
      </c>
      <c r="F39" s="42">
        <v>1930</v>
      </c>
      <c r="G39" s="37">
        <v>-5.6</v>
      </c>
      <c r="H39" s="38">
        <v>71.5</v>
      </c>
      <c r="I39" s="37">
        <v>21.8</v>
      </c>
      <c r="J39" s="41">
        <v>391</v>
      </c>
      <c r="K39" s="37">
        <v>13</v>
      </c>
      <c r="L39" s="452">
        <v>132</v>
      </c>
      <c r="M39" s="452">
        <v>222</v>
      </c>
      <c r="N39" s="451">
        <v>85</v>
      </c>
      <c r="O39" s="353">
        <v>40</v>
      </c>
      <c r="P39" s="353">
        <v>11</v>
      </c>
      <c r="Q39" s="354">
        <v>219.65</v>
      </c>
      <c r="R39" s="38"/>
      <c r="S39" s="512" t="str">
        <f t="shared" si="22"/>
        <v/>
      </c>
      <c r="T39" s="512"/>
      <c r="U39" s="512"/>
      <c r="V39" s="512"/>
      <c r="X39" s="46">
        <v>1</v>
      </c>
      <c r="Y39" s="107"/>
      <c r="Z39" s="103"/>
      <c r="AA39" s="103"/>
      <c r="AB39" s="46" t="str">
        <f t="shared" si="18"/>
        <v/>
      </c>
      <c r="AC39" s="46" t="str">
        <f t="shared" si="1"/>
        <v/>
      </c>
      <c r="AD39" s="82"/>
      <c r="AE39" s="9" t="str">
        <f>IF(S39="","",IF(COUNTA(Z39:$Z$39)=1,IF(COUNTA(AD39:$AD$39)=1,""," ; "),IF(COUNTA(AD39:$AD$39)=1,IF(Z39="",""," ; ")," ; ")))</f>
        <v/>
      </c>
      <c r="AF39" s="9" t="str">
        <f t="shared" si="2"/>
        <v/>
      </c>
      <c r="AG39" s="90" t="str">
        <f t="shared" si="3"/>
        <v/>
      </c>
      <c r="AH39" s="204" t="s">
        <v>220</v>
      </c>
      <c r="AJ39" s="219">
        <f t="shared" si="21"/>
        <v>500</v>
      </c>
      <c r="AK39" s="219">
        <f t="shared" si="21"/>
        <v>100</v>
      </c>
      <c r="AL39" s="219">
        <f t="shared" si="21"/>
        <v>2</v>
      </c>
      <c r="AM39" s="220">
        <f t="shared" si="21"/>
        <v>0.875</v>
      </c>
      <c r="AN39" s="221">
        <f t="shared" si="21"/>
        <v>0.63607464142166403</v>
      </c>
      <c r="AO39" s="222">
        <f t="shared" si="4"/>
        <v>-14.7</v>
      </c>
      <c r="AP39" s="223">
        <f t="shared" si="5"/>
        <v>1</v>
      </c>
      <c r="AQ39" s="223">
        <f t="shared" si="6"/>
        <v>1</v>
      </c>
      <c r="AR39" s="222">
        <f t="shared" si="20"/>
        <v>158.47</v>
      </c>
      <c r="AS39" s="223">
        <f t="shared" si="7"/>
        <v>0.97679498379494789</v>
      </c>
      <c r="AT39" s="223">
        <f t="shared" si="8"/>
        <v>1.2538510821608391</v>
      </c>
      <c r="AU39" s="223">
        <f t="shared" si="9"/>
        <v>2.2360679774997898</v>
      </c>
      <c r="AV39" s="224">
        <f t="shared" si="10"/>
        <v>10.415801185754333</v>
      </c>
      <c r="AW39" s="223">
        <f t="shared" si="11"/>
        <v>0</v>
      </c>
      <c r="AX39" s="225">
        <f t="shared" si="12"/>
        <v>1.4696875479799241</v>
      </c>
      <c r="AY39" s="223">
        <f t="shared" si="13"/>
        <v>0.76851414128953044</v>
      </c>
      <c r="AZ39" s="224">
        <f t="shared" si="14"/>
        <v>3.5640070462657096</v>
      </c>
      <c r="BA39" s="223">
        <f t="shared" si="15"/>
        <v>0</v>
      </c>
      <c r="BB39" s="223">
        <f t="shared" si="16"/>
        <v>1.0084584063544275</v>
      </c>
      <c r="BC39" s="223">
        <f t="shared" si="17"/>
        <v>1</v>
      </c>
    </row>
    <row r="40" spans="1:55" ht="20.100000000000001" customHeight="1" thickBot="1" x14ac:dyDescent="0.3">
      <c r="A40" s="53" t="s">
        <v>11</v>
      </c>
      <c r="B40" s="453" t="str">
        <f>IFERROR(ROUND(AVERAGE(B16:B39),2),"")</f>
        <v/>
      </c>
      <c r="C40" s="453" t="str">
        <f>IFERROR(ROUND(AVERAGE(C16:C39),2),"")</f>
        <v/>
      </c>
      <c r="D40" s="453">
        <f>IFERROR(ROUND(AVERAGE(D16:D39),2),"")</f>
        <v>6.7</v>
      </c>
      <c r="E40" s="453">
        <f>IFERROR(ROUND(AVERAGE(E16:E39),2),"")</f>
        <v>61.5</v>
      </c>
      <c r="F40" s="55">
        <f>IFERROR(ROUND(AVERAGE(F16:F39),0),"")</f>
        <v>1952</v>
      </c>
      <c r="G40" s="54">
        <f>IFERROR(AVERAGE(G16:G39),"")</f>
        <v>-5.5999999999999979</v>
      </c>
      <c r="H40" s="54">
        <f>IFERROR(AVERAGE(H16:H39),"")</f>
        <v>71.379166666666663</v>
      </c>
      <c r="I40" s="54">
        <f>IFERROR(AVERAGE(I16:I39),"")</f>
        <v>21.425000000000001</v>
      </c>
      <c r="J40" s="71"/>
      <c r="K40" s="111">
        <f>IFERROR(AVERAGE(K16:K39),"")</f>
        <v>13</v>
      </c>
      <c r="L40" s="453">
        <f t="shared" ref="L40:P40" si="23">IFERROR(ROUND(AVERAGE(L16:L39),1),"")</f>
        <v>132.4</v>
      </c>
      <c r="M40" s="453">
        <f t="shared" si="23"/>
        <v>223</v>
      </c>
      <c r="N40" s="453">
        <f t="shared" si="23"/>
        <v>87</v>
      </c>
      <c r="O40" s="456">
        <f t="shared" si="23"/>
        <v>44.2</v>
      </c>
      <c r="P40" s="456">
        <f t="shared" si="23"/>
        <v>11.8</v>
      </c>
      <c r="Q40" s="456">
        <f>IF($I$47=1,$M$49,$Q$44)</f>
        <v>217.9</v>
      </c>
      <c r="R40" s="54" t="str">
        <f>IFERROR(ROUND(AVERAGE(R16:R39),1),"")</f>
        <v/>
      </c>
      <c r="S40" s="509"/>
      <c r="T40" s="510"/>
      <c r="U40" s="510"/>
      <c r="V40" s="511"/>
      <c r="X40" s="99"/>
      <c r="Y40" s="99"/>
      <c r="Z40" s="99"/>
      <c r="AA40" s="99"/>
      <c r="AB40" s="104">
        <f>SUM(AB16:AB39)</f>
        <v>0</v>
      </c>
      <c r="AC40" s="104">
        <f>SUM(AC16:AC39)</f>
        <v>0</v>
      </c>
      <c r="AD40" s="92" t="str">
        <f>IF(OR(COUNTBLANK(D16:E39)+COUNTBLANK(O16:P39)=0,COUNTA(S16:V39)&lt;&gt;0),"","CEK : Blank Data - Remarks")</f>
        <v/>
      </c>
      <c r="AG40" s="90" t="str">
        <f>IF(COUNTIF(AG16:AG39,"")=COUNTA(AG16:AG39),"","CEK : Data Flowrate")</f>
        <v/>
      </c>
      <c r="AH40" s="204" t="s">
        <v>311</v>
      </c>
    </row>
    <row r="41" spans="1:55" ht="20.100000000000001" hidden="1" customHeight="1" thickBot="1" x14ac:dyDescent="0.3">
      <c r="A41" s="49" t="s">
        <v>12</v>
      </c>
      <c r="B41" s="52" t="str">
        <f>IF(COUNT(B16:B39)&gt;0,ROUND(MIN(B16:B39),2),"")</f>
        <v/>
      </c>
      <c r="C41" s="52" t="str">
        <f>IF(COUNT(C16:C39)&gt;0,ROUND(MIN(C16:C39),2),"")</f>
        <v/>
      </c>
      <c r="D41" s="52">
        <f>IF(COUNT(D16:D39)&gt;0,ROUND(MIN(D16:D39),2),"")</f>
        <v>5.6</v>
      </c>
      <c r="E41" s="52">
        <f>IF(COUNT(E16:E39)&gt;0,ROUND(MIN(E16:E39),2),"")</f>
        <v>58.3</v>
      </c>
      <c r="F41" s="51">
        <f>IF(COUNT(F16:F39)&gt;0,ROUND(MIN(F16:F39),0),"")</f>
        <v>1930</v>
      </c>
      <c r="G41" s="50">
        <f>IF(COUNT(G16:G39)&gt;0,MIN(G16:G39),"")</f>
        <v>-5.6</v>
      </c>
      <c r="H41" s="50">
        <f>IF(COUNT(H16:H39)&gt;0,MIN(H16:H39),"")</f>
        <v>71</v>
      </c>
      <c r="I41" s="50">
        <f>IF(COUNT(I16:I39)&gt;0,MIN(I16:I39),"")</f>
        <v>21</v>
      </c>
      <c r="J41" s="72"/>
      <c r="K41" s="50">
        <f>IF(COUNT(K16:K39)&gt;0,MIN(K16:K39),"")</f>
        <v>13</v>
      </c>
      <c r="L41" s="52">
        <f>IF(COUNT(L16:L39)&gt;0,ROUND(MIN(L16:L39),1),"")</f>
        <v>128</v>
      </c>
      <c r="M41" s="52">
        <f>IF(COUNT(M16:M39)&gt;0,ROUND(MIN(M16:M39),1),"")</f>
        <v>218</v>
      </c>
      <c r="N41" s="52">
        <f>IF(COUNT(N16:N39)&gt;0,ROUND(MIN(N16:N39),1),"")</f>
        <v>85</v>
      </c>
      <c r="O41" s="440">
        <f>IF(COUNT(O16:O39)&gt;0,ROUND(MIN(O16:O39),1),"")</f>
        <v>35</v>
      </c>
      <c r="P41" s="440">
        <f>IF(COUNT(P16:P39)&gt;0,ROUND(MIN(P16:P39),1),"")</f>
        <v>10</v>
      </c>
      <c r="Q41" s="440">
        <f>IF(COUNT(Q16:Q39)&gt;0,ROUND(MIN(Q16:Q39),4),"")</f>
        <v>217.99</v>
      </c>
      <c r="R41" s="121" t="str">
        <f>IF(COUNT(R16:R39)&gt;0,ROUND(MIN(R16:R39),1),"")</f>
        <v/>
      </c>
      <c r="S41" s="509"/>
      <c r="T41" s="510"/>
      <c r="U41" s="510"/>
      <c r="V41" s="511"/>
      <c r="X41" s="99"/>
      <c r="Y41" s="99"/>
      <c r="Z41" s="99"/>
      <c r="AA41" s="99"/>
      <c r="AB41" s="99"/>
      <c r="AC41" s="99"/>
      <c r="AH41" s="204" t="s">
        <v>318</v>
      </c>
    </row>
    <row r="42" spans="1:55" ht="20.100000000000001" hidden="1" customHeight="1" thickBot="1" x14ac:dyDescent="0.3">
      <c r="A42" s="21" t="s">
        <v>13</v>
      </c>
      <c r="B42" s="454" t="str">
        <f>IF(COUNT(B16:B39)&gt;0,ROUND(MAX(B16:B39),2),"")</f>
        <v/>
      </c>
      <c r="C42" s="454" t="str">
        <f>IF(COUNT(C16:C39)&gt;0,ROUND(MAX(C16:C39),2),"")</f>
        <v/>
      </c>
      <c r="D42" s="454">
        <f>IF(COUNT(D16:D39)&gt;0,ROUND(MAX(D16:D39),2),"")</f>
        <v>7.9</v>
      </c>
      <c r="E42" s="454">
        <f>IF(COUNT(E16:E39)&gt;0,ROUND(MAX(E16:E39),2),"")</f>
        <v>63.7</v>
      </c>
      <c r="F42" s="43">
        <f>IF(COUNT(F16:F39)&gt;0,ROUND(MAX(F16:F39),0),"")</f>
        <v>1985</v>
      </c>
      <c r="G42" s="39">
        <f>IF(COUNT(G16:G39)&gt;0,MAX(G16:G39),"")</f>
        <v>-5.6</v>
      </c>
      <c r="H42" s="39">
        <f>IF(COUNT(H16:H39)&gt;0,MAX(H16:H39),"")</f>
        <v>71.900000000000006</v>
      </c>
      <c r="I42" s="39">
        <f>IF(COUNT(I16:I39)&gt;0,MAX(I16:I39),"")</f>
        <v>21.9</v>
      </c>
      <c r="J42" s="43">
        <f>IF(COUNT(J16:J39)&gt;0,MAX(J16:J39),"")</f>
        <v>391</v>
      </c>
      <c r="K42" s="39">
        <f>IF(COUNT(K16:K39)&gt;0,MAX(K16:K39),"")</f>
        <v>13</v>
      </c>
      <c r="L42" s="454">
        <f>IF(COUNT(L16:L39)&gt;0,ROUND(MAX(L16:L39),1),"")</f>
        <v>137</v>
      </c>
      <c r="M42" s="454">
        <f>IF(COUNT(M16:M39)&gt;0,ROUND(MAX(M16:M39),1),"")</f>
        <v>227</v>
      </c>
      <c r="N42" s="454">
        <f>IF(COUNT(N16:N39)&gt;0,ROUND(MAX(N16:N39),1),"")</f>
        <v>90</v>
      </c>
      <c r="O42" s="441">
        <f>IF(COUNT(O16:O39)&gt;0,ROUND(MAX(O16:O39),1),"")</f>
        <v>50</v>
      </c>
      <c r="P42" s="441">
        <f>IF(COUNT(P16:P39)&gt;0,ROUND(MAX(P16:P39),1),"")</f>
        <v>15</v>
      </c>
      <c r="Q42" s="441">
        <f>IF(COUNT(Q16:Q39)&gt;0,ROUND(MAX(Q16:Q39),4),"")</f>
        <v>266.55</v>
      </c>
      <c r="R42" s="39" t="str">
        <f>IF(COUNT(R16:R39)&gt;0,ROUND(MAX(R16:R39),1),"")</f>
        <v/>
      </c>
      <c r="S42" s="509"/>
      <c r="T42" s="510"/>
      <c r="U42" s="510"/>
      <c r="V42" s="511"/>
      <c r="X42" s="99"/>
      <c r="Y42" s="99"/>
      <c r="Z42" s="99"/>
      <c r="AA42" s="99"/>
      <c r="AB42" s="99"/>
      <c r="AC42" s="99"/>
      <c r="AH42" s="204" t="s">
        <v>312</v>
      </c>
    </row>
    <row r="43" spans="1:55" ht="20.100000000000001" hidden="1" customHeight="1" x14ac:dyDescent="0.25">
      <c r="A43" s="109"/>
      <c r="B43" s="110">
        <f>COUNT(B16:B39)</f>
        <v>0</v>
      </c>
      <c r="C43" s="110">
        <f>COUNT(C16:C39)</f>
        <v>0</v>
      </c>
      <c r="D43" s="110">
        <f>COUNT(D16:D39)</f>
        <v>24</v>
      </c>
      <c r="E43" s="110">
        <f t="shared" ref="E43:H43" si="24">COUNT(E16:E39)</f>
        <v>24</v>
      </c>
      <c r="F43" s="110">
        <f t="shared" si="24"/>
        <v>24</v>
      </c>
      <c r="G43" s="110">
        <f t="shared" si="24"/>
        <v>24</v>
      </c>
      <c r="H43" s="110">
        <f t="shared" si="24"/>
        <v>24</v>
      </c>
      <c r="I43" s="110"/>
      <c r="J43" s="110"/>
      <c r="K43" s="110"/>
      <c r="L43" s="110">
        <f t="shared" ref="L43:Q43" si="25">COUNT(L16:L39)</f>
        <v>24</v>
      </c>
      <c r="M43" s="110">
        <f t="shared" si="25"/>
        <v>24</v>
      </c>
      <c r="N43" s="110">
        <f t="shared" si="25"/>
        <v>24</v>
      </c>
      <c r="O43" s="110">
        <f t="shared" si="25"/>
        <v>24</v>
      </c>
      <c r="P43" s="110">
        <f t="shared" si="25"/>
        <v>24</v>
      </c>
      <c r="Q43" s="110">
        <f t="shared" si="25"/>
        <v>24</v>
      </c>
      <c r="R43" s="110"/>
      <c r="S43" s="99"/>
      <c r="T43" s="99"/>
      <c r="U43" s="99"/>
      <c r="V43" s="99"/>
      <c r="X43" s="99"/>
      <c r="Y43" s="99"/>
      <c r="Z43" s="99"/>
      <c r="AA43" s="99"/>
      <c r="AB43" s="99"/>
      <c r="AC43" s="99"/>
      <c r="AD43" s="92" t="str">
        <f>IF(AND(D43=E43,D43=F43,D43=G43,D43=H43,D43=L43,D43=M43,D43=N43,D43=O43,D43=P43,D43=Q43),"","CEK : Data Content")</f>
        <v/>
      </c>
      <c r="AH43" s="204" t="s">
        <v>221</v>
      </c>
    </row>
    <row r="44" spans="1:55" s="6" customFormat="1" ht="15" customHeight="1" x14ac:dyDescent="0.25">
      <c r="J44" s="91" t="str">
        <f>IF(J1="PRINT","",IF(J42="","RH please ! !",""))</f>
        <v/>
      </c>
      <c r="L44" s="24"/>
      <c r="Q44" s="445">
        <f>IFERROR(ROUND(AVERAGE(Q16:Q39),4),"")</f>
        <v>235.1138</v>
      </c>
      <c r="AH44" s="204" t="s">
        <v>323</v>
      </c>
      <c r="AI44" s="7"/>
    </row>
    <row r="45" spans="1:55" s="6" customFormat="1" ht="15" customHeight="1" x14ac:dyDescent="0.25">
      <c r="L45" s="26" t="s">
        <v>290</v>
      </c>
      <c r="Q45" s="445"/>
      <c r="AH45" s="204" t="s">
        <v>288</v>
      </c>
      <c r="AI45" s="7"/>
    </row>
    <row r="46" spans="1:55" s="6" customFormat="1" ht="15" customHeight="1" x14ac:dyDescent="0.25">
      <c r="D46" s="443" t="s">
        <v>90</v>
      </c>
      <c r="E46" s="448" t="str">
        <f>IF(Schedule!C$17="","",Schedule!C$17)</f>
        <v/>
      </c>
      <c r="G46" s="61"/>
      <c r="H46" s="25" t="str">
        <f>IFERROR(IF(OR(I47="",I48="",I49=""),"WAKTU BELUM DI-ISI LENGKAP",IF(SUM(I48:I49)&lt;=1,"","CEK KEMBALI PENULISAN WAKTU SALAH")),"CEK KEMBALI PENULISAN WAKTU SALAH")</f>
        <v/>
      </c>
      <c r="L46" s="26" t="s">
        <v>22</v>
      </c>
      <c r="M46" s="460">
        <f>IF(Volume!$W16="",$O46,Volume!$W16)</f>
        <v>43.979799999999997</v>
      </c>
      <c r="N46" s="27" t="s">
        <v>1</v>
      </c>
      <c r="O46" s="447">
        <f>IF(O40="","",O40)</f>
        <v>44.2</v>
      </c>
      <c r="P46" s="361" t="s">
        <v>29</v>
      </c>
      <c r="Q46" s="362"/>
      <c r="R46" s="362"/>
      <c r="S46" s="362"/>
      <c r="T46" s="361" t="s">
        <v>30</v>
      </c>
      <c r="U46" s="362"/>
      <c r="V46" s="362"/>
      <c r="AH46" s="204" t="s">
        <v>222</v>
      </c>
    </row>
    <row r="47" spans="1:55" s="6" customFormat="1" ht="15" customHeight="1" x14ac:dyDescent="0.25">
      <c r="D47" s="448"/>
      <c r="E47" s="448"/>
      <c r="H47" s="26" t="s">
        <v>26</v>
      </c>
      <c r="I47" s="56">
        <f>IF(OR(I48="",I49=""),"",1-I48-I49)</f>
        <v>1</v>
      </c>
      <c r="J47" s="27" t="s">
        <v>19</v>
      </c>
      <c r="L47" s="26" t="s">
        <v>23</v>
      </c>
      <c r="M47" s="442">
        <f>IF(Volume!$Y16="",$O47,Volume!$Y16)</f>
        <v>10.5937</v>
      </c>
      <c r="N47" s="27" t="s">
        <v>14</v>
      </c>
      <c r="O47" s="447">
        <f>IF(P40="","",P40)</f>
        <v>11.8</v>
      </c>
      <c r="P47" s="361" t="s">
        <v>211</v>
      </c>
      <c r="Q47" s="362"/>
      <c r="R47" s="362"/>
      <c r="S47" s="362"/>
      <c r="T47" s="361" t="s">
        <v>271</v>
      </c>
      <c r="U47" s="362"/>
      <c r="V47" s="362"/>
      <c r="AH47" s="204" t="s">
        <v>223</v>
      </c>
    </row>
    <row r="48" spans="1:55" s="6" customFormat="1" ht="15" customHeight="1" x14ac:dyDescent="0.25">
      <c r="D48" s="443" t="s">
        <v>91</v>
      </c>
      <c r="E48" s="448" t="str">
        <f>IF(Schedule!D$17="","",Schedule!D$17)</f>
        <v/>
      </c>
      <c r="H48" s="26" t="s">
        <v>37</v>
      </c>
      <c r="I48" s="108">
        <f>IF(OR(COUNT($Q$16:$Q$39)&lt;&gt;0,COUNTA($AD$16:$AD$39)&lt;&gt;0),AB40,"")</f>
        <v>0</v>
      </c>
      <c r="J48" s="27" t="s">
        <v>19</v>
      </c>
      <c r="L48" s="26" t="s">
        <v>24</v>
      </c>
      <c r="M48" s="449">
        <f>IF(N40="","",N40)</f>
        <v>87</v>
      </c>
      <c r="N48" s="27" t="s">
        <v>5</v>
      </c>
      <c r="P48" s="362"/>
      <c r="Q48" s="362"/>
      <c r="R48" s="362"/>
      <c r="S48" s="362"/>
      <c r="T48" s="361" t="s">
        <v>291</v>
      </c>
      <c r="U48" s="362"/>
      <c r="V48" s="362"/>
      <c r="AH48" s="204" t="s">
        <v>324</v>
      </c>
    </row>
    <row r="49" spans="1:34" s="6" customFormat="1" ht="15" customHeight="1" x14ac:dyDescent="0.25">
      <c r="D49" s="448"/>
      <c r="E49" s="448"/>
      <c r="H49" s="26" t="s">
        <v>27</v>
      </c>
      <c r="I49" s="108">
        <f>IF(OR(COUNT($Q$16:$Q$39)&lt;&gt;0,COUNTA($AD$16:$AD$39)&lt;&gt;0),AC40,"")</f>
        <v>0</v>
      </c>
      <c r="J49" s="27" t="s">
        <v>19</v>
      </c>
      <c r="L49" s="26" t="s">
        <v>128</v>
      </c>
      <c r="M49" s="442">
        <f>IF(Volume!$L16="",M51,Volume!$L16)</f>
        <v>217.9</v>
      </c>
      <c r="N49" s="27" t="str">
        <f>IF(Q15="MSCFD","MSCF","MMSCF")</f>
        <v>MSCF</v>
      </c>
      <c r="P49" s="362"/>
      <c r="Q49" s="362"/>
      <c r="R49" s="362"/>
      <c r="S49" s="362"/>
      <c r="T49" s="362"/>
      <c r="U49" s="362"/>
      <c r="V49" s="362"/>
      <c r="AH49" s="204" t="s">
        <v>317</v>
      </c>
    </row>
    <row r="50" spans="1:34" s="6" customFormat="1" ht="15" customHeight="1" x14ac:dyDescent="0.25">
      <c r="D50" s="443" t="s">
        <v>92</v>
      </c>
      <c r="E50" s="448" t="str">
        <f>IF(Schedule!E$17="","",Schedule!E$17)</f>
        <v>Marihot Gustafa S.</v>
      </c>
      <c r="L50" s="443" t="str">
        <f>CONCATENATE(MR!L16," ",":")</f>
        <v>Liquid Gain :</v>
      </c>
      <c r="M50" s="446" t="str">
        <f>IF(R40="","",ROUND(SUM(R16:R39),2))</f>
        <v/>
      </c>
      <c r="N50" s="444" t="str">
        <f>R15</f>
        <v>BPD</v>
      </c>
      <c r="P50" s="362"/>
      <c r="Q50" s="362"/>
      <c r="R50" s="362"/>
      <c r="S50" s="362"/>
      <c r="T50" s="362"/>
      <c r="U50" s="362"/>
      <c r="V50" s="362"/>
      <c r="AH50" s="204" t="s">
        <v>282</v>
      </c>
    </row>
    <row r="51" spans="1:34" s="6" customFormat="1" ht="15" customHeight="1" x14ac:dyDescent="0.25">
      <c r="A51" s="4"/>
      <c r="L51" s="443" t="s">
        <v>286</v>
      </c>
      <c r="M51" s="447">
        <f>IF(Q44="","",IF(SUM(I48:I49)=1,IF(Q44&lt;&gt;0,"Cek Tabel",""),ROUND(Q44*I47,4)))</f>
        <v>235.1138</v>
      </c>
      <c r="N51" s="444" t="str">
        <f>IF(Q15="MSCFD","MSCF","MMSCF")</f>
        <v>MSCF</v>
      </c>
      <c r="P51" s="362"/>
      <c r="Q51" s="362"/>
      <c r="R51" s="362"/>
      <c r="S51" s="362"/>
      <c r="T51" s="362"/>
      <c r="U51" s="362"/>
      <c r="V51" s="362"/>
      <c r="AH51" s="204" t="s">
        <v>325</v>
      </c>
    </row>
    <row r="52" spans="1:34" s="6" customFormat="1" ht="15" customHeight="1" x14ac:dyDescent="0.25">
      <c r="D52" s="26" t="s">
        <v>28</v>
      </c>
      <c r="E52" s="47"/>
      <c r="F52" s="47"/>
      <c r="G52" s="47"/>
      <c r="H52" s="47"/>
      <c r="I52" s="47"/>
      <c r="J52" s="47"/>
      <c r="K52" s="47"/>
      <c r="L52" s="5"/>
      <c r="P52" s="362"/>
      <c r="Q52" s="362"/>
      <c r="R52" s="362"/>
      <c r="S52" s="362"/>
      <c r="T52" s="362"/>
      <c r="U52" s="362"/>
      <c r="V52" s="362"/>
      <c r="AH52" s="204" t="s">
        <v>280</v>
      </c>
    </row>
    <row r="53" spans="1:34" s="6" customFormat="1" ht="15" customHeight="1" x14ac:dyDescent="0.25">
      <c r="D53" s="5"/>
      <c r="E53" s="48"/>
      <c r="F53" s="48"/>
      <c r="G53" s="48"/>
      <c r="H53" s="48"/>
      <c r="I53" s="48"/>
      <c r="J53" s="48"/>
      <c r="K53" s="48"/>
      <c r="L53" s="5"/>
      <c r="P53" s="363" t="str">
        <f>UPPER(E50)</f>
        <v>MARIHOT GUSTAFA S.</v>
      </c>
      <c r="Q53" s="362"/>
      <c r="R53" s="362"/>
      <c r="S53" s="362"/>
      <c r="T53" s="363" t="str">
        <f>IF(Schedule!F$17="","",UPPER(Schedule!F$17))</f>
        <v>M. NANANG WAHYU S</v>
      </c>
      <c r="U53" s="362"/>
      <c r="V53" s="362"/>
      <c r="AH53" s="204" t="s">
        <v>316</v>
      </c>
    </row>
    <row r="54" spans="1:34" s="6" customFormat="1" ht="15" customHeight="1" x14ac:dyDescent="0.25">
      <c r="E54" s="48"/>
      <c r="F54" s="48"/>
      <c r="G54" s="48"/>
      <c r="H54" s="48"/>
      <c r="I54" s="48"/>
      <c r="J54" s="48"/>
      <c r="K54" s="48"/>
      <c r="P54" s="361" t="s">
        <v>107</v>
      </c>
      <c r="Q54" s="362"/>
      <c r="R54" s="362"/>
      <c r="S54" s="362"/>
      <c r="T54" s="361" t="s">
        <v>294</v>
      </c>
      <c r="U54" s="362"/>
      <c r="V54" s="362"/>
      <c r="AH54" s="204" t="s">
        <v>326</v>
      </c>
    </row>
    <row r="55" spans="1:34" s="6" customFormat="1" ht="15" customHeight="1" x14ac:dyDescent="0.25">
      <c r="P55" s="364" t="str">
        <f>CONCATENATE("Date : ",TEXT(K12,"[$-409]d mmm yyyy;@"))</f>
        <v>Date : 13 Jun 2025</v>
      </c>
      <c r="Q55" s="362"/>
      <c r="R55" s="364"/>
      <c r="S55" s="362"/>
      <c r="T55" s="364" t="str">
        <f>CONCATENATE("Date : ",TEXT(K12,"[$-409]d mmm yyyy;@"))</f>
        <v>Date : 13 Jun 2025</v>
      </c>
      <c r="U55" s="362"/>
      <c r="V55" s="362"/>
      <c r="AH55" s="204" t="s">
        <v>327</v>
      </c>
    </row>
    <row r="56" spans="1:34" ht="15" customHeight="1" x14ac:dyDescent="0.25">
      <c r="AH56" s="204" t="s">
        <v>281</v>
      </c>
    </row>
    <row r="57" spans="1:34" ht="15" customHeight="1" x14ac:dyDescent="0.25">
      <c r="AH57" s="204" t="s">
        <v>277</v>
      </c>
    </row>
    <row r="58" spans="1:34" ht="15" customHeight="1" x14ac:dyDescent="0.25">
      <c r="AH58" s="204" t="s">
        <v>328</v>
      </c>
    </row>
    <row r="59" spans="1:34" ht="15" customHeight="1" x14ac:dyDescent="0.25">
      <c r="AH59" s="204" t="s">
        <v>329</v>
      </c>
    </row>
    <row r="60" spans="1:34" ht="15" customHeight="1" x14ac:dyDescent="0.25">
      <c r="AH60" s="204" t="s">
        <v>330</v>
      </c>
    </row>
    <row r="61" spans="1:34" ht="15" customHeight="1" x14ac:dyDescent="0.25">
      <c r="AH61" s="204" t="s">
        <v>331</v>
      </c>
    </row>
    <row r="62" spans="1:34" ht="15" customHeight="1" x14ac:dyDescent="0.25">
      <c r="AH62" s="204" t="s">
        <v>332</v>
      </c>
    </row>
    <row r="63" spans="1:34" ht="15" customHeight="1" x14ac:dyDescent="0.25">
      <c r="AH63" s="204" t="s">
        <v>315</v>
      </c>
    </row>
    <row r="64" spans="1:34" ht="15" customHeight="1" x14ac:dyDescent="0.25">
      <c r="AH64" s="204" t="s">
        <v>333</v>
      </c>
    </row>
    <row r="65" spans="34:34" ht="15" customHeight="1" x14ac:dyDescent="0.25">
      <c r="AH65" s="204" t="s">
        <v>310</v>
      </c>
    </row>
    <row r="66" spans="34:34" ht="15" customHeight="1" x14ac:dyDescent="0.25">
      <c r="AH66" s="204" t="s">
        <v>334</v>
      </c>
    </row>
    <row r="67" spans="34:34" ht="15" customHeight="1" x14ac:dyDescent="0.25">
      <c r="AH67" s="204" t="s">
        <v>335</v>
      </c>
    </row>
    <row r="68" spans="34:34" ht="15" customHeight="1" x14ac:dyDescent="0.25">
      <c r="AH68" s="204" t="s">
        <v>336</v>
      </c>
    </row>
    <row r="69" spans="34:34" ht="15" customHeight="1" x14ac:dyDescent="0.25">
      <c r="AH69" s="204" t="s">
        <v>337</v>
      </c>
    </row>
    <row r="70" spans="34:34" ht="15" customHeight="1" x14ac:dyDescent="0.25">
      <c r="AH70" s="204" t="s">
        <v>338</v>
      </c>
    </row>
    <row r="71" spans="34:34" ht="15" customHeight="1" x14ac:dyDescent="0.25">
      <c r="AH71" s="204" t="s">
        <v>339</v>
      </c>
    </row>
    <row r="72" spans="34:34" ht="15" customHeight="1" x14ac:dyDescent="0.25">
      <c r="AH72" s="204" t="s">
        <v>340</v>
      </c>
    </row>
    <row r="85" spans="34:34" ht="0" hidden="1" customHeight="1" x14ac:dyDescent="0.25">
      <c r="AH85" s="6"/>
    </row>
    <row r="86" spans="34:34" ht="0" hidden="1" customHeight="1" x14ac:dyDescent="0.25">
      <c r="AH86" s="6"/>
    </row>
    <row r="87" spans="34:34" ht="0" hidden="1" customHeight="1" x14ac:dyDescent="0.25">
      <c r="AH87" s="6"/>
    </row>
    <row r="88" spans="34:34" ht="0" hidden="1" customHeight="1" x14ac:dyDescent="0.25">
      <c r="AH88" s="6"/>
    </row>
    <row r="89" spans="34:34" ht="0" hidden="1" customHeight="1" x14ac:dyDescent="0.25">
      <c r="AH89" s="6"/>
    </row>
    <row r="90" spans="34:34" ht="0" hidden="1" customHeight="1" x14ac:dyDescent="0.25">
      <c r="AH90" s="6"/>
    </row>
    <row r="91" spans="34:34" ht="0" hidden="1" customHeight="1" x14ac:dyDescent="0.25">
      <c r="AH91" s="6"/>
    </row>
    <row r="92" spans="34:34" ht="0" hidden="1" customHeight="1" x14ac:dyDescent="0.25">
      <c r="AH92" s="6"/>
    </row>
    <row r="93" spans="34:34" ht="0" hidden="1" customHeight="1" x14ac:dyDescent="0.25">
      <c r="AH93" s="6"/>
    </row>
    <row r="94" spans="34:34" ht="0" hidden="1" customHeight="1" x14ac:dyDescent="0.25">
      <c r="AH94" s="6"/>
    </row>
  </sheetData>
  <sheetProtection algorithmName="SHA-512" hashValue="U0YpgDBIioFNR1tCk5H6Fk/Uq4xU3F5migrFHkGsa4isWZPCEAtYG+ICTJ5iOsZ9A8uVQt8nVkuZQUds7tar8Q==" saltValue="/fv8fmhrwrNqhwTulAU6xA==" spinCount="100000" sheet="1" objects="1" scenarios="1" formatColumns="0" formatRows="0" insertColumns="0" insertRows="0" sort="0" autoFilter="0" pivotTables="0"/>
  <mergeCells count="69">
    <mergeCell ref="S37:V37"/>
    <mergeCell ref="S38:V38"/>
    <mergeCell ref="S39:V39"/>
    <mergeCell ref="S40:V40"/>
    <mergeCell ref="S41:V42"/>
    <mergeCell ref="S36:V36"/>
    <mergeCell ref="S25:V25"/>
    <mergeCell ref="S26:V26"/>
    <mergeCell ref="S27:V27"/>
    <mergeCell ref="S28:V28"/>
    <mergeCell ref="S29:V29"/>
    <mergeCell ref="S30:V30"/>
    <mergeCell ref="S31:V31"/>
    <mergeCell ref="S32:V32"/>
    <mergeCell ref="S33:V33"/>
    <mergeCell ref="S34:V34"/>
    <mergeCell ref="S35:V35"/>
    <mergeCell ref="S19:V19"/>
    <mergeCell ref="S20:V20"/>
    <mergeCell ref="S21:V21"/>
    <mergeCell ref="S22:V22"/>
    <mergeCell ref="S23:V23"/>
    <mergeCell ref="S24:V24"/>
    <mergeCell ref="BA14:BA15"/>
    <mergeCell ref="BB14:BB15"/>
    <mergeCell ref="BC14:BC15"/>
    <mergeCell ref="S16:V16"/>
    <mergeCell ref="S17:V17"/>
    <mergeCell ref="S18:V18"/>
    <mergeCell ref="AU14:AU15"/>
    <mergeCell ref="AV14:AV15"/>
    <mergeCell ref="AW14:AW15"/>
    <mergeCell ref="AX14:AX15"/>
    <mergeCell ref="AY14:AY15"/>
    <mergeCell ref="AZ14:AZ15"/>
    <mergeCell ref="AO14:AO15"/>
    <mergeCell ref="AP14:AP15"/>
    <mergeCell ref="AQ14:AQ15"/>
    <mergeCell ref="AR14:AR15"/>
    <mergeCell ref="AS14:AS15"/>
    <mergeCell ref="AT14:AT15"/>
    <mergeCell ref="AD14:AD15"/>
    <mergeCell ref="AJ14:AJ15"/>
    <mergeCell ref="AK14:AK15"/>
    <mergeCell ref="AL14:AL15"/>
    <mergeCell ref="AM14:AM15"/>
    <mergeCell ref="AN14:AN15"/>
    <mergeCell ref="Y14:AC14"/>
    <mergeCell ref="H13:H14"/>
    <mergeCell ref="I13:I14"/>
    <mergeCell ref="J13:J14"/>
    <mergeCell ref="K13:K14"/>
    <mergeCell ref="L13:L14"/>
    <mergeCell ref="M13:N13"/>
    <mergeCell ref="Q13:Q14"/>
    <mergeCell ref="R13:R14"/>
    <mergeCell ref="S13:V15"/>
    <mergeCell ref="O13:O14"/>
    <mergeCell ref="P13:P14"/>
    <mergeCell ref="A10:V10"/>
    <mergeCell ref="A11:V11"/>
    <mergeCell ref="K12:L12"/>
    <mergeCell ref="A13:A15"/>
    <mergeCell ref="B13:B14"/>
    <mergeCell ref="C13:C14"/>
    <mergeCell ref="D13:D14"/>
    <mergeCell ref="E13:E14"/>
    <mergeCell ref="F13:F14"/>
    <mergeCell ref="G13:G14"/>
  </mergeCells>
  <conditionalFormatting sqref="I47">
    <cfRule type="cellIs" dxfId="92" priority="5" operator="lessThan">
      <formula>0</formula>
    </cfRule>
  </conditionalFormatting>
  <conditionalFormatting sqref="Y16:Y39">
    <cfRule type="containsText" dxfId="91" priority="3" operator="containsText" text="STBY">
      <formula>NOT(ISERROR(SEARCH("STBY",Y16)))</formula>
    </cfRule>
    <cfRule type="containsText" dxfId="90" priority="4" operator="containsText" text="SD">
      <formula>NOT(ISERROR(SEARCH("SD",Y16)))</formula>
    </cfRule>
  </conditionalFormatting>
  <conditionalFormatting sqref="B16:B39 D16:R39">
    <cfRule type="expression" dxfId="89" priority="2">
      <formula>ISTEXT(B16)</formula>
    </cfRule>
  </conditionalFormatting>
  <conditionalFormatting sqref="C16:C39">
    <cfRule type="expression" dxfId="88" priority="1">
      <formula>ISTEXT(C16)</formula>
    </cfRule>
  </conditionalFormatting>
  <dataValidations count="2">
    <dataValidation type="list" allowBlank="1" showInputMessage="1" showErrorMessage="1" sqref="Y16:Y39" xr:uid="{3BDBB465-1658-4321-BC5F-19DA42DFC5D0}">
      <formula1>"SD,STBY"</formula1>
    </dataValidation>
    <dataValidation type="list" allowBlank="1" showInputMessage="1" sqref="AD16:AD39" xr:uid="{4768E137-C64F-4BFA-B42B-425863D8335F}">
      <formula1>$AH$15:$AH$72</formula1>
    </dataValidation>
  </dataValidations>
  <printOptions horizontalCentered="1"/>
  <pageMargins left="0.39370078740157483" right="0.39370078740157483" top="0.59055118110236227" bottom="0.39370078740157483" header="0.31496062992125984" footer="0.31496062992125984"/>
  <pageSetup paperSize="9" scale="57" orientation="landscape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F00F8-4599-4E03-8839-EACAA02018FC}">
  <sheetPr codeName="N14">
    <pageSetUpPr fitToPage="1"/>
  </sheetPr>
  <dimension ref="A1:BC94"/>
  <sheetViews>
    <sheetView topLeftCell="A19" zoomScale="85" zoomScaleNormal="85" workbookViewId="0">
      <selection activeCell="Q28" sqref="Q28"/>
    </sheetView>
  </sheetViews>
  <sheetFormatPr defaultColWidth="0" defaultRowHeight="0" customHeight="1" zeroHeight="1" x14ac:dyDescent="0.25"/>
  <cols>
    <col min="1" max="1" width="10.7109375" style="7" customWidth="1"/>
    <col min="2" max="3" width="10.7109375" style="7" hidden="1" customWidth="1"/>
    <col min="4" max="14" width="10.7109375" style="7" customWidth="1"/>
    <col min="15" max="17" width="11.7109375" style="7" customWidth="1"/>
    <col min="18" max="18" width="10.7109375" style="7" hidden="1" customWidth="1"/>
    <col min="19" max="22" width="10.7109375" style="7" customWidth="1"/>
    <col min="23" max="23" width="2.7109375" style="7" customWidth="1"/>
    <col min="24" max="29" width="10.7109375" style="7" customWidth="1"/>
    <col min="30" max="30" width="30.7109375" style="7" customWidth="1"/>
    <col min="31" max="33" width="11.7109375" style="7" customWidth="1"/>
    <col min="34" max="34" width="30.7109375" style="7" customWidth="1"/>
    <col min="35" max="35" width="2.7109375" style="7" hidden="1" customWidth="1"/>
    <col min="36" max="55" width="11.7109375" style="7" hidden="1" customWidth="1"/>
    <col min="56" max="16384" width="9.140625" style="7" hidden="1"/>
  </cols>
  <sheetData>
    <row r="1" spans="1:55" ht="15" customHeight="1" x14ac:dyDescent="0.25">
      <c r="A1" s="7" t="s">
        <v>16</v>
      </c>
      <c r="D1" s="11" t="s">
        <v>85</v>
      </c>
      <c r="J1" s="7" t="str">
        <f>IF(MR!U13="Yes","PRINT","No")</f>
        <v>PRINT</v>
      </c>
      <c r="M1" s="191"/>
      <c r="N1" s="191"/>
    </row>
    <row r="2" spans="1:55" ht="15" customHeight="1" thickBot="1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192"/>
      <c r="M2" s="4"/>
      <c r="N2" s="4"/>
      <c r="O2" s="4"/>
      <c r="P2" s="4"/>
      <c r="Q2" s="4"/>
      <c r="R2" s="4"/>
      <c r="S2" s="8"/>
      <c r="T2" s="8"/>
      <c r="U2" s="8"/>
      <c r="V2" s="8"/>
      <c r="X2" s="8"/>
      <c r="Y2" s="8"/>
      <c r="Z2" s="8"/>
      <c r="AA2" s="8"/>
      <c r="AB2" s="8"/>
      <c r="AC2" s="8"/>
      <c r="AD2" s="8"/>
      <c r="AE2" s="8"/>
    </row>
    <row r="3" spans="1:55" ht="15" customHeight="1" x14ac:dyDescent="0.2">
      <c r="A3" s="31"/>
      <c r="B3" s="28"/>
      <c r="C3" s="28"/>
      <c r="D3" s="28"/>
      <c r="E3" s="28"/>
      <c r="F3" s="13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2"/>
      <c r="T3" s="22"/>
      <c r="U3" s="22"/>
      <c r="V3" s="23"/>
      <c r="X3" s="8"/>
      <c r="Y3" s="8"/>
      <c r="Z3" s="8"/>
      <c r="AA3" s="8"/>
      <c r="AB3" s="8"/>
      <c r="AC3" s="8"/>
      <c r="AD3" s="8"/>
      <c r="AE3" s="8"/>
    </row>
    <row r="4" spans="1:55" ht="30" customHeight="1" x14ac:dyDescent="0.25">
      <c r="A4" s="30"/>
      <c r="B4" s="1"/>
      <c r="C4" s="1"/>
      <c r="D4" s="1"/>
      <c r="E4" s="3"/>
      <c r="F4" s="63" t="s">
        <v>210</v>
      </c>
      <c r="G4" s="1"/>
      <c r="H4" s="1"/>
      <c r="I4" s="3"/>
      <c r="J4" s="3"/>
      <c r="K4" s="3"/>
      <c r="L4" s="3"/>
      <c r="M4" s="3"/>
      <c r="N4" s="3"/>
      <c r="O4" s="3"/>
      <c r="P4" s="3"/>
      <c r="Q4" s="3"/>
      <c r="R4" s="3"/>
      <c r="S4" s="1"/>
      <c r="T4" s="1"/>
      <c r="U4" s="1"/>
      <c r="V4" s="2"/>
      <c r="X4" s="5"/>
      <c r="Y4" s="5"/>
      <c r="Z4" s="5"/>
      <c r="AA4" s="5"/>
      <c r="AB4" s="5"/>
      <c r="AC4" s="5"/>
      <c r="AD4" s="5"/>
      <c r="AE4" s="5"/>
    </row>
    <row r="5" spans="1:55" ht="15" customHeight="1" x14ac:dyDescent="0.2">
      <c r="A5" s="32"/>
      <c r="B5" s="33"/>
      <c r="C5" s="33"/>
      <c r="D5" s="12"/>
      <c r="E5" s="3"/>
      <c r="F5" s="10" t="s">
        <v>129</v>
      </c>
      <c r="G5" s="1"/>
      <c r="H5" s="1"/>
      <c r="I5" s="3"/>
      <c r="J5" s="3"/>
      <c r="K5" s="3"/>
      <c r="L5" s="3"/>
      <c r="M5" s="3"/>
      <c r="N5" s="3"/>
      <c r="O5" s="3"/>
      <c r="P5" s="3"/>
      <c r="Q5" s="3"/>
      <c r="R5" s="3"/>
      <c r="S5" s="12"/>
      <c r="T5" s="12"/>
      <c r="U5" s="12"/>
      <c r="V5" s="14"/>
      <c r="X5" s="8"/>
      <c r="Y5" s="8"/>
      <c r="Z5" s="8"/>
      <c r="AA5" s="8"/>
      <c r="AB5" s="8"/>
      <c r="AC5" s="8"/>
      <c r="AD5" s="8"/>
      <c r="AE5" s="8"/>
      <c r="AJ5" s="193" t="s">
        <v>184</v>
      </c>
      <c r="AK5" s="194">
        <f>'V Calc'!B1</f>
        <v>500</v>
      </c>
      <c r="AL5" s="124"/>
    </row>
    <row r="6" spans="1:55" ht="15" customHeight="1" x14ac:dyDescent="0.2">
      <c r="A6" s="32"/>
      <c r="B6" s="33"/>
      <c r="C6" s="33"/>
      <c r="D6" s="12"/>
      <c r="E6" s="3"/>
      <c r="F6" s="10" t="s">
        <v>132</v>
      </c>
      <c r="G6" s="1"/>
      <c r="H6" s="1"/>
      <c r="I6" s="3"/>
      <c r="J6" s="3"/>
      <c r="K6" s="3"/>
      <c r="L6" s="3"/>
      <c r="M6" s="3"/>
      <c r="N6" s="3"/>
      <c r="O6" s="3"/>
      <c r="P6" s="3"/>
      <c r="Q6" s="3"/>
      <c r="R6" s="3"/>
      <c r="S6" s="12"/>
      <c r="T6" s="12"/>
      <c r="U6" s="12"/>
      <c r="V6" s="14"/>
      <c r="X6" s="8"/>
      <c r="Y6" s="8"/>
      <c r="Z6" s="8"/>
      <c r="AA6" s="8"/>
      <c r="AB6" s="8"/>
      <c r="AC6" s="8"/>
      <c r="AD6" s="8"/>
      <c r="AE6" s="8"/>
      <c r="AJ6" s="193" t="s">
        <v>185</v>
      </c>
      <c r="AK6" s="194">
        <f>'V Calc'!B2</f>
        <v>100</v>
      </c>
      <c r="AL6" s="124"/>
    </row>
    <row r="7" spans="1:55" ht="15" customHeight="1" x14ac:dyDescent="0.2">
      <c r="A7" s="32"/>
      <c r="B7" s="33"/>
      <c r="C7" s="33"/>
      <c r="D7" s="12"/>
      <c r="E7" s="3"/>
      <c r="F7" s="10" t="s">
        <v>130</v>
      </c>
      <c r="G7" s="1"/>
      <c r="H7" s="1"/>
      <c r="I7" s="3"/>
      <c r="J7" s="3"/>
      <c r="K7" s="3"/>
      <c r="L7" s="3"/>
      <c r="M7" s="3"/>
      <c r="N7" s="3"/>
      <c r="O7" s="3"/>
      <c r="P7" s="3"/>
      <c r="Q7" s="3"/>
      <c r="R7" s="3"/>
      <c r="S7" s="12"/>
      <c r="T7" s="12"/>
      <c r="U7" s="12"/>
      <c r="V7" s="14"/>
      <c r="X7" s="8"/>
      <c r="Y7" s="8"/>
      <c r="Z7" s="8"/>
      <c r="AA7" s="8"/>
      <c r="AB7" s="8"/>
      <c r="AC7" s="8"/>
      <c r="AD7" s="8"/>
      <c r="AE7" s="8"/>
      <c r="AJ7" s="193" t="s">
        <v>186</v>
      </c>
      <c r="AK7" s="195">
        <f>'V Calc'!B3</f>
        <v>2</v>
      </c>
      <c r="AL7" s="124"/>
    </row>
    <row r="8" spans="1:55" ht="15" customHeight="1" x14ac:dyDescent="0.2">
      <c r="A8" s="32"/>
      <c r="B8" s="33"/>
      <c r="C8" s="33"/>
      <c r="D8" s="12"/>
      <c r="E8" s="3"/>
      <c r="F8" s="10" t="s">
        <v>131</v>
      </c>
      <c r="G8" s="62"/>
      <c r="H8" s="62"/>
      <c r="I8" s="3"/>
      <c r="J8" s="3"/>
      <c r="K8" s="3"/>
      <c r="L8" s="3"/>
      <c r="M8" s="3"/>
      <c r="N8" s="3"/>
      <c r="O8" s="3"/>
      <c r="P8" s="3"/>
      <c r="Q8" s="3"/>
      <c r="R8" s="3"/>
      <c r="S8" s="12"/>
      <c r="T8" s="12"/>
      <c r="U8" s="12"/>
      <c r="V8" s="14"/>
      <c r="X8" s="8"/>
      <c r="Y8" s="8"/>
      <c r="Z8" s="8"/>
      <c r="AA8" s="8"/>
      <c r="AB8" s="8"/>
      <c r="AC8" s="8"/>
      <c r="AD8" s="8"/>
      <c r="AE8" s="8"/>
      <c r="AJ8" s="193" t="s">
        <v>187</v>
      </c>
      <c r="AK8" s="195">
        <f>'V Calc'!B4</f>
        <v>0.875</v>
      </c>
      <c r="AL8" s="124"/>
    </row>
    <row r="9" spans="1:55" ht="15" customHeight="1" thickBot="1" x14ac:dyDescent="0.25">
      <c r="A9" s="34"/>
      <c r="B9" s="29"/>
      <c r="C9" s="29"/>
      <c r="D9" s="29"/>
      <c r="E9" s="29"/>
      <c r="F9" s="15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16"/>
      <c r="T9" s="16"/>
      <c r="U9" s="16"/>
      <c r="V9" s="17"/>
      <c r="X9" s="8"/>
      <c r="Y9" s="8"/>
      <c r="Z9" s="8"/>
      <c r="AA9" s="8"/>
      <c r="AB9" s="8"/>
      <c r="AC9" s="8"/>
      <c r="AD9" s="8"/>
      <c r="AE9" s="8"/>
      <c r="AJ9" s="196" t="s">
        <v>188</v>
      </c>
      <c r="AK9" s="197">
        <f>'V Calc'!B5</f>
        <v>158.47</v>
      </c>
      <c r="AL9" s="198"/>
    </row>
    <row r="10" spans="1:55" s="9" customFormat="1" ht="30" customHeight="1" x14ac:dyDescent="0.2">
      <c r="A10" s="513" t="s">
        <v>20</v>
      </c>
      <c r="B10" s="514"/>
      <c r="C10" s="514"/>
      <c r="D10" s="514"/>
      <c r="E10" s="514"/>
      <c r="F10" s="514"/>
      <c r="G10" s="514"/>
      <c r="H10" s="514"/>
      <c r="I10" s="514"/>
      <c r="J10" s="514"/>
      <c r="K10" s="514"/>
      <c r="L10" s="514"/>
      <c r="M10" s="514"/>
      <c r="N10" s="514"/>
      <c r="O10" s="514"/>
      <c r="P10" s="514"/>
      <c r="Q10" s="514"/>
      <c r="R10" s="514"/>
      <c r="S10" s="514"/>
      <c r="T10" s="514"/>
      <c r="U10" s="514"/>
      <c r="V10" s="515"/>
      <c r="X10" s="96"/>
      <c r="Y10" s="96"/>
      <c r="Z10" s="96"/>
      <c r="AA10" s="96"/>
      <c r="AB10" s="96"/>
      <c r="AC10" s="96"/>
      <c r="AJ10" s="193" t="s">
        <v>189</v>
      </c>
      <c r="AK10" s="199">
        <f>'V Calc'!B6</f>
        <v>0.63607464142166403</v>
      </c>
      <c r="AL10" s="198" t="s">
        <v>190</v>
      </c>
    </row>
    <row r="11" spans="1:55" s="9" customFormat="1" ht="20.100000000000001" customHeight="1" thickBot="1" x14ac:dyDescent="0.25">
      <c r="A11" s="516" t="s">
        <v>21</v>
      </c>
      <c r="B11" s="517"/>
      <c r="C11" s="517"/>
      <c r="D11" s="517"/>
      <c r="E11" s="517"/>
      <c r="F11" s="517"/>
      <c r="G11" s="517"/>
      <c r="H11" s="517"/>
      <c r="I11" s="517"/>
      <c r="J11" s="517"/>
      <c r="K11" s="517"/>
      <c r="L11" s="517"/>
      <c r="M11" s="517"/>
      <c r="N11" s="517"/>
      <c r="O11" s="517"/>
      <c r="P11" s="517"/>
      <c r="Q11" s="517"/>
      <c r="R11" s="517"/>
      <c r="S11" s="517"/>
      <c r="T11" s="517"/>
      <c r="U11" s="517"/>
      <c r="V11" s="518"/>
      <c r="X11" s="97"/>
      <c r="Y11" s="97"/>
      <c r="Z11" s="97"/>
      <c r="AA11" s="97"/>
      <c r="AB11" s="97"/>
      <c r="AC11" s="97"/>
    </row>
    <row r="12" spans="1:55" s="6" customFormat="1" ht="30" customHeight="1" thickBot="1" x14ac:dyDescent="0.3">
      <c r="A12" s="18"/>
      <c r="B12" s="20"/>
      <c r="C12" s="20"/>
      <c r="D12" s="19" t="s">
        <v>121</v>
      </c>
      <c r="E12" s="200" t="str">
        <f>'Day 13'!E12</f>
        <v>MPR 632  RFD</v>
      </c>
      <c r="F12" s="35"/>
      <c r="G12" s="19" t="s">
        <v>120</v>
      </c>
      <c r="H12" s="200" t="str">
        <f>IF(Volume!C$17="","",Volume!C$17)</f>
        <v>FP 65354</v>
      </c>
      <c r="I12" s="20"/>
      <c r="J12" s="19" t="s">
        <v>17</v>
      </c>
      <c r="K12" s="505">
        <f>'Day 13'!K12+1</f>
        <v>45822</v>
      </c>
      <c r="L12" s="505"/>
      <c r="M12" s="100"/>
      <c r="N12" s="19" t="s">
        <v>119</v>
      </c>
      <c r="O12" s="200" t="str">
        <f>IF(Volume!D$17="","",Volume!D$17)</f>
        <v>SP. Tambun - Cluster F</v>
      </c>
      <c r="P12" s="20"/>
      <c r="Q12" s="19" t="s">
        <v>122</v>
      </c>
      <c r="S12" s="201">
        <f>IF(Volume!E$17="","",Volume!E$17)</f>
        <v>1.25</v>
      </c>
      <c r="T12" s="20"/>
      <c r="U12" s="19" t="s">
        <v>126</v>
      </c>
      <c r="V12" s="202" t="str">
        <f>IF(Volume!F$17="","",Volume!F$17)</f>
        <v>4/0</v>
      </c>
    </row>
    <row r="13" spans="1:55" ht="30" customHeight="1" thickBot="1" x14ac:dyDescent="0.3">
      <c r="A13" s="502" t="s">
        <v>0</v>
      </c>
      <c r="B13" s="502" t="s">
        <v>213</v>
      </c>
      <c r="C13" s="502" t="s">
        <v>212</v>
      </c>
      <c r="D13" s="502" t="s">
        <v>31</v>
      </c>
      <c r="E13" s="502" t="s">
        <v>32</v>
      </c>
      <c r="F13" s="502" t="s">
        <v>2</v>
      </c>
      <c r="G13" s="502" t="s">
        <v>33</v>
      </c>
      <c r="H13" s="502" t="s">
        <v>35</v>
      </c>
      <c r="I13" s="502" t="s">
        <v>36</v>
      </c>
      <c r="J13" s="502" t="s">
        <v>110</v>
      </c>
      <c r="K13" s="502" t="s">
        <v>15</v>
      </c>
      <c r="L13" s="502" t="s">
        <v>34</v>
      </c>
      <c r="M13" s="502" t="s">
        <v>10</v>
      </c>
      <c r="N13" s="502"/>
      <c r="O13" s="506" t="s">
        <v>300</v>
      </c>
      <c r="P13" s="506" t="s">
        <v>299</v>
      </c>
      <c r="Q13" s="502" t="s">
        <v>7</v>
      </c>
      <c r="R13" s="502" t="s">
        <v>88</v>
      </c>
      <c r="S13" s="502" t="s">
        <v>8</v>
      </c>
      <c r="T13" s="502"/>
      <c r="U13" s="502"/>
      <c r="V13" s="502"/>
      <c r="X13" s="98"/>
      <c r="Y13" s="98"/>
      <c r="Z13" s="98"/>
      <c r="AA13" s="98"/>
      <c r="AB13" s="98"/>
      <c r="AC13" s="98"/>
    </row>
    <row r="14" spans="1:55" ht="30" customHeight="1" x14ac:dyDescent="0.25">
      <c r="A14" s="504"/>
      <c r="B14" s="504"/>
      <c r="C14" s="504"/>
      <c r="D14" s="504"/>
      <c r="E14" s="504"/>
      <c r="F14" s="504"/>
      <c r="G14" s="504"/>
      <c r="H14" s="504"/>
      <c r="I14" s="504"/>
      <c r="J14" s="504"/>
      <c r="K14" s="504"/>
      <c r="L14" s="504"/>
      <c r="M14" s="94" t="s">
        <v>3</v>
      </c>
      <c r="N14" s="94" t="s">
        <v>4</v>
      </c>
      <c r="O14" s="507"/>
      <c r="P14" s="507"/>
      <c r="Q14" s="504"/>
      <c r="R14" s="504"/>
      <c r="S14" s="504"/>
      <c r="T14" s="504"/>
      <c r="U14" s="504"/>
      <c r="V14" s="504"/>
      <c r="Y14" s="502" t="s">
        <v>230</v>
      </c>
      <c r="Z14" s="502"/>
      <c r="AA14" s="502"/>
      <c r="AB14" s="502"/>
      <c r="AC14" s="502"/>
      <c r="AD14" s="502" t="s">
        <v>231</v>
      </c>
      <c r="AH14" s="203" t="s">
        <v>232</v>
      </c>
      <c r="AJ14" s="520" t="s">
        <v>191</v>
      </c>
      <c r="AK14" s="520" t="s">
        <v>192</v>
      </c>
      <c r="AL14" s="520" t="s">
        <v>193</v>
      </c>
      <c r="AM14" s="520" t="s">
        <v>194</v>
      </c>
      <c r="AN14" s="520" t="s">
        <v>195</v>
      </c>
      <c r="AO14" s="506" t="s">
        <v>196</v>
      </c>
      <c r="AP14" s="506" t="s">
        <v>197</v>
      </c>
      <c r="AQ14" s="506" t="s">
        <v>198</v>
      </c>
      <c r="AR14" s="506" t="s">
        <v>188</v>
      </c>
      <c r="AS14" s="506" t="s">
        <v>199</v>
      </c>
      <c r="AT14" s="506" t="s">
        <v>200</v>
      </c>
      <c r="AU14" s="506" t="s">
        <v>201</v>
      </c>
      <c r="AV14" s="506" t="s">
        <v>202</v>
      </c>
      <c r="AW14" s="506" t="s">
        <v>203</v>
      </c>
      <c r="AX14" s="506" t="s">
        <v>204</v>
      </c>
      <c r="AY14" s="523" t="s">
        <v>205</v>
      </c>
      <c r="AZ14" s="523" t="s">
        <v>206</v>
      </c>
      <c r="BA14" s="523" t="s">
        <v>207</v>
      </c>
      <c r="BB14" s="523" t="s">
        <v>208</v>
      </c>
      <c r="BC14" s="506" t="s">
        <v>197</v>
      </c>
    </row>
    <row r="15" spans="1:55" ht="20.100000000000001" customHeight="1" thickBot="1" x14ac:dyDescent="0.3">
      <c r="A15" s="503"/>
      <c r="B15" s="95" t="s">
        <v>1</v>
      </c>
      <c r="C15" s="95" t="s">
        <v>1</v>
      </c>
      <c r="D15" s="95" t="s">
        <v>1</v>
      </c>
      <c r="E15" s="95" t="s">
        <v>1</v>
      </c>
      <c r="F15" s="95" t="s">
        <v>140</v>
      </c>
      <c r="G15" s="95" t="s">
        <v>1</v>
      </c>
      <c r="H15" s="95" t="s">
        <v>1</v>
      </c>
      <c r="I15" s="95" t="s">
        <v>1</v>
      </c>
      <c r="J15" s="95" t="s">
        <v>18</v>
      </c>
      <c r="K15" s="95" t="s">
        <v>9</v>
      </c>
      <c r="L15" s="95" t="s">
        <v>5</v>
      </c>
      <c r="M15" s="95" t="s">
        <v>5</v>
      </c>
      <c r="N15" s="95" t="s">
        <v>5</v>
      </c>
      <c r="O15" s="95" t="s">
        <v>1</v>
      </c>
      <c r="P15" s="95" t="s">
        <v>14</v>
      </c>
      <c r="Q15" s="95" t="str">
        <f>IF(MR!G17="MSCF","MSCFD","MMSCFD")</f>
        <v>MSCFD</v>
      </c>
      <c r="R15" s="95" t="str">
        <f>MR!L17</f>
        <v>BPD</v>
      </c>
      <c r="S15" s="503"/>
      <c r="T15" s="503"/>
      <c r="U15" s="503"/>
      <c r="V15" s="503"/>
      <c r="X15" s="365"/>
      <c r="Y15" s="95" t="s">
        <v>123</v>
      </c>
      <c r="Z15" s="95" t="s">
        <v>124</v>
      </c>
      <c r="AA15" s="95" t="s">
        <v>125</v>
      </c>
      <c r="AB15" s="95" t="s">
        <v>51</v>
      </c>
      <c r="AC15" s="95" t="s">
        <v>48</v>
      </c>
      <c r="AD15" s="503"/>
      <c r="AH15" s="204" t="s">
        <v>228</v>
      </c>
      <c r="AJ15" s="521"/>
      <c r="AK15" s="521"/>
      <c r="AL15" s="521"/>
      <c r="AM15" s="521"/>
      <c r="AN15" s="521"/>
      <c r="AO15" s="522"/>
      <c r="AP15" s="522"/>
      <c r="AQ15" s="522"/>
      <c r="AR15" s="522"/>
      <c r="AS15" s="522"/>
      <c r="AT15" s="522"/>
      <c r="AU15" s="522"/>
      <c r="AV15" s="522"/>
      <c r="AW15" s="522"/>
      <c r="AX15" s="522"/>
      <c r="AY15" s="524"/>
      <c r="AZ15" s="524"/>
      <c r="BA15" s="524"/>
      <c r="BB15" s="524"/>
      <c r="BC15" s="522"/>
    </row>
    <row r="16" spans="1:55" ht="20.100000000000001" customHeight="1" x14ac:dyDescent="0.2">
      <c r="A16" s="44">
        <v>4.1666666666666664E-2</v>
      </c>
      <c r="B16" s="450"/>
      <c r="C16" s="450"/>
      <c r="D16" s="450">
        <v>7.5</v>
      </c>
      <c r="E16" s="450">
        <v>63.3</v>
      </c>
      <c r="F16" s="40">
        <v>1930</v>
      </c>
      <c r="G16" s="37">
        <v>-5.6</v>
      </c>
      <c r="H16" s="37">
        <v>72.599999999999994</v>
      </c>
      <c r="I16" s="37">
        <v>21.3</v>
      </c>
      <c r="J16" s="40">
        <v>392</v>
      </c>
      <c r="K16" s="37">
        <v>13</v>
      </c>
      <c r="L16" s="450">
        <v>135</v>
      </c>
      <c r="M16" s="450">
        <v>221</v>
      </c>
      <c r="N16" s="451">
        <v>90</v>
      </c>
      <c r="O16" s="353">
        <v>40</v>
      </c>
      <c r="P16" s="352">
        <v>11</v>
      </c>
      <c r="Q16" s="352">
        <v>218.65</v>
      </c>
      <c r="R16" s="36"/>
      <c r="S16" s="519" t="str">
        <f t="shared" ref="S16:S32" si="0">IF(Z16="",IF(AD16="","",AD16),CONCATENATE(TEXT(Z16,"[hh]:mm"),IF(AA16="",""," - "&amp;TEXT(AA16,"[hh]:mm")),IF(Y16="",""," "&amp;Y16&amp;"/")," "&amp;AD16))</f>
        <v/>
      </c>
      <c r="T16" s="519"/>
      <c r="U16" s="519"/>
      <c r="V16" s="519"/>
      <c r="X16" s="44">
        <v>4.1666666666666664E-2</v>
      </c>
      <c r="Y16" s="105"/>
      <c r="Z16" s="101"/>
      <c r="AA16" s="101"/>
      <c r="AB16" s="44" t="str">
        <f>IF(Y16="STBY",AA16-Z16,"")</f>
        <v/>
      </c>
      <c r="AC16" s="44" t="str">
        <f t="shared" ref="AC16:AC39" si="1">IF(Y16="SD",AA16-Z16,"")</f>
        <v/>
      </c>
      <c r="AD16" s="355"/>
      <c r="AE16" s="9" t="str">
        <f>IF(S16="","",IF(COUNTA(Z16:$Z$39)=1,IF(COUNTA(AD16:$AD$39)=1,""," ; "),IF(COUNTA(AD16:$AD$39)=1,IF(Z16="",""," ; ")," ; ")))</f>
        <v/>
      </c>
      <c r="AF16" s="9" t="str">
        <f t="shared" ref="AF16:AF39" si="2">CONCATENATE(S16,AE16)</f>
        <v/>
      </c>
      <c r="AG16" s="90" t="str">
        <f t="shared" ref="AG16:AG39" si="3">IF(AND(COUNTBLANK(N16:P16)&lt;3,Q16=""),"CEK : Data Flowrate","")</f>
        <v/>
      </c>
      <c r="AH16" s="204" t="s">
        <v>229</v>
      </c>
      <c r="AJ16" s="205">
        <f>AK5</f>
        <v>500</v>
      </c>
      <c r="AK16" s="205">
        <f>AK6</f>
        <v>100</v>
      </c>
      <c r="AL16" s="206">
        <f>AK7</f>
        <v>2</v>
      </c>
      <c r="AM16" s="207">
        <f>AK8</f>
        <v>0.875</v>
      </c>
      <c r="AN16" s="208">
        <f>AK10</f>
        <v>0.63607464142166403</v>
      </c>
      <c r="AO16" s="209">
        <f t="shared" ref="AO16:AO39" si="4">T16^2*AJ16/100-14.7</f>
        <v>-14.7</v>
      </c>
      <c r="AP16" s="210">
        <f t="shared" ref="AP16:AP39" si="5">IF(AO16&lt;100,1,BC16)</f>
        <v>1</v>
      </c>
      <c r="AQ16" s="210">
        <f t="shared" ref="AQ16:AQ39" si="6">(1/AP16)^0.5</f>
        <v>1</v>
      </c>
      <c r="AR16" s="52">
        <f>AK9</f>
        <v>158.47</v>
      </c>
      <c r="AS16" s="210">
        <f t="shared" ref="AS16:AS39" si="7">(520/(460+N16))^0.5</f>
        <v>0.9723448696087954</v>
      </c>
      <c r="AT16" s="210">
        <f t="shared" ref="AT16:AT39" si="8">(1/AN16)^0.5</f>
        <v>1.2538510821608391</v>
      </c>
      <c r="AU16" s="210">
        <f t="shared" ref="AU16:AU39" si="9">0.01*(AJ16*AK16)^0.5</f>
        <v>2.2360679774997898</v>
      </c>
      <c r="AV16" s="211">
        <f t="shared" ref="AV16:AV39" si="10">0.024*AQ16*AR16*AS16*AT16*AU16</f>
        <v>10.368348541764712</v>
      </c>
      <c r="AW16" s="210">
        <f t="shared" ref="AW16:AW39" si="11">(AO16+14.7)/(697.2-43*AN16)</f>
        <v>0</v>
      </c>
      <c r="AX16" s="212">
        <f t="shared" ref="AX16:AX39" si="12">(N16+460)/(315.1*AN16+170.4)</f>
        <v>1.4831709199797398</v>
      </c>
      <c r="AY16" s="210">
        <f t="shared" ref="AY16:AY39" si="13">0.3379*LN(LN(AX16))+1.091</f>
        <v>0.77643477842613629</v>
      </c>
      <c r="AZ16" s="211">
        <f t="shared" ref="AZ16:AZ39" si="14">21.46*AY16-11.9*AY16^2-5.9</f>
        <v>3.5883638597441294</v>
      </c>
      <c r="BA16" s="210">
        <f t="shared" ref="BA16:BA39" si="15">AW16/AZ16</f>
        <v>0</v>
      </c>
      <c r="BB16" s="210">
        <f t="shared" ref="BB16:BB39" si="16">(1.1+0.26*AX16+(1.04-1.42*AX16)*BA16)*2.718^BA16/AX16</f>
        <v>1.0016542390239327</v>
      </c>
      <c r="BC16" s="210">
        <f t="shared" ref="BC16:BC39" si="17">1+(AY16-1)*SIN((90*BA16)/57.29578)^BB16</f>
        <v>1</v>
      </c>
    </row>
    <row r="17" spans="1:55" ht="20.100000000000001" customHeight="1" x14ac:dyDescent="0.2">
      <c r="A17" s="45">
        <v>8.3333333333333301E-2</v>
      </c>
      <c r="B17" s="451"/>
      <c r="C17" s="451"/>
      <c r="D17" s="451">
        <v>7.3</v>
      </c>
      <c r="E17" s="451">
        <v>63</v>
      </c>
      <c r="F17" s="41">
        <v>1956</v>
      </c>
      <c r="G17" s="37">
        <v>-5.6</v>
      </c>
      <c r="H17" s="37">
        <v>72.3</v>
      </c>
      <c r="I17" s="37">
        <v>21.9</v>
      </c>
      <c r="J17" s="41">
        <v>393</v>
      </c>
      <c r="K17" s="37">
        <v>13</v>
      </c>
      <c r="L17" s="451">
        <v>133</v>
      </c>
      <c r="M17" s="451">
        <v>224</v>
      </c>
      <c r="N17" s="451">
        <v>90</v>
      </c>
      <c r="O17" s="353">
        <v>40</v>
      </c>
      <c r="P17" s="353">
        <v>14</v>
      </c>
      <c r="Q17" s="353">
        <v>246.42</v>
      </c>
      <c r="R17" s="37"/>
      <c r="S17" s="508" t="str">
        <f t="shared" si="0"/>
        <v/>
      </c>
      <c r="T17" s="508"/>
      <c r="U17" s="508"/>
      <c r="V17" s="508"/>
      <c r="X17" s="45">
        <v>8.3333333333333301E-2</v>
      </c>
      <c r="Y17" s="106"/>
      <c r="Z17" s="102"/>
      <c r="AA17" s="102"/>
      <c r="AB17" s="45" t="str">
        <f t="shared" ref="AB17:AB39" si="18">IF(Y17="STBY",AA17-Z17,"")</f>
        <v/>
      </c>
      <c r="AC17" s="45" t="str">
        <f t="shared" si="1"/>
        <v/>
      </c>
      <c r="AD17" s="81"/>
      <c r="AE17" s="9" t="str">
        <f>IF(S17="","",IF(COUNTA(Z17:$Z$39)=1,IF(COUNTA(AD17:$AD$39)=1,""," ; "),IF(COUNTA(AD17:$AD$39)=1,IF(Z17="",""," ; ")," ; ")))</f>
        <v/>
      </c>
      <c r="AF17" s="9" t="str">
        <f t="shared" si="2"/>
        <v/>
      </c>
      <c r="AG17" s="90" t="str">
        <f t="shared" si="3"/>
        <v/>
      </c>
      <c r="AH17" s="204" t="s">
        <v>289</v>
      </c>
      <c r="AJ17" s="206">
        <f t="shared" ref="AJ17:AN32" si="19">AJ16</f>
        <v>500</v>
      </c>
      <c r="AK17" s="206">
        <f t="shared" si="19"/>
        <v>100</v>
      </c>
      <c r="AL17" s="206">
        <f>AL16</f>
        <v>2</v>
      </c>
      <c r="AM17" s="213">
        <f>AM16</f>
        <v>0.875</v>
      </c>
      <c r="AN17" s="214">
        <f>AN16</f>
        <v>0.63607464142166403</v>
      </c>
      <c r="AO17" s="215">
        <f t="shared" si="4"/>
        <v>-14.7</v>
      </c>
      <c r="AP17" s="216">
        <f t="shared" si="5"/>
        <v>1</v>
      </c>
      <c r="AQ17" s="216">
        <f t="shared" si="6"/>
        <v>1</v>
      </c>
      <c r="AR17" s="215">
        <f>AR16</f>
        <v>158.47</v>
      </c>
      <c r="AS17" s="216">
        <f t="shared" si="7"/>
        <v>0.9723448696087954</v>
      </c>
      <c r="AT17" s="216">
        <f t="shared" si="8"/>
        <v>1.2538510821608391</v>
      </c>
      <c r="AU17" s="216">
        <f t="shared" si="9"/>
        <v>2.2360679774997898</v>
      </c>
      <c r="AV17" s="217">
        <f t="shared" si="10"/>
        <v>10.368348541764712</v>
      </c>
      <c r="AW17" s="216">
        <f t="shared" si="11"/>
        <v>0</v>
      </c>
      <c r="AX17" s="218">
        <f t="shared" si="12"/>
        <v>1.4831709199797398</v>
      </c>
      <c r="AY17" s="216">
        <f t="shared" si="13"/>
        <v>0.77643477842613629</v>
      </c>
      <c r="AZ17" s="217">
        <f t="shared" si="14"/>
        <v>3.5883638597441294</v>
      </c>
      <c r="BA17" s="216">
        <f t="shared" si="15"/>
        <v>0</v>
      </c>
      <c r="BB17" s="216">
        <f t="shared" si="16"/>
        <v>1.0016542390239327</v>
      </c>
      <c r="BC17" s="216">
        <f t="shared" si="17"/>
        <v>1</v>
      </c>
    </row>
    <row r="18" spans="1:55" ht="20.100000000000001" customHeight="1" x14ac:dyDescent="0.2">
      <c r="A18" s="45">
        <v>0.125</v>
      </c>
      <c r="B18" s="451"/>
      <c r="C18" s="451"/>
      <c r="D18" s="451">
        <v>6.6</v>
      </c>
      <c r="E18" s="451">
        <v>61.5</v>
      </c>
      <c r="F18" s="41">
        <v>1983</v>
      </c>
      <c r="G18" s="37">
        <v>-5.6</v>
      </c>
      <c r="H18" s="37">
        <v>72.400000000000006</v>
      </c>
      <c r="I18" s="37">
        <v>21.5</v>
      </c>
      <c r="J18" s="41">
        <v>394</v>
      </c>
      <c r="K18" s="37">
        <v>13</v>
      </c>
      <c r="L18" s="451">
        <v>133</v>
      </c>
      <c r="M18" s="451">
        <v>224</v>
      </c>
      <c r="N18" s="451">
        <v>90</v>
      </c>
      <c r="O18" s="353">
        <v>40</v>
      </c>
      <c r="P18" s="353">
        <v>13</v>
      </c>
      <c r="Q18" s="353">
        <v>237.53</v>
      </c>
      <c r="R18" s="37"/>
      <c r="S18" s="508" t="str">
        <f t="shared" si="0"/>
        <v/>
      </c>
      <c r="T18" s="508"/>
      <c r="U18" s="508"/>
      <c r="V18" s="508"/>
      <c r="X18" s="45">
        <v>0.125</v>
      </c>
      <c r="Y18" s="106"/>
      <c r="Z18" s="102"/>
      <c r="AA18" s="102"/>
      <c r="AB18" s="45" t="str">
        <f t="shared" si="18"/>
        <v/>
      </c>
      <c r="AC18" s="45" t="str">
        <f t="shared" si="1"/>
        <v/>
      </c>
      <c r="AD18" s="81"/>
      <c r="AE18" s="9" t="str">
        <f>IF(S18="","",IF(COUNTA(Z18:$Z$39)=1,IF(COUNTA(AD18:$AD$39)=1,""," ; "),IF(COUNTA(AD18:$AD$39)=1,IF(Z18="",""," ; ")," ; ")))</f>
        <v/>
      </c>
      <c r="AF18" s="9" t="str">
        <f t="shared" si="2"/>
        <v/>
      </c>
      <c r="AG18" s="90" t="str">
        <f t="shared" si="3"/>
        <v/>
      </c>
      <c r="AH18" s="204" t="s">
        <v>321</v>
      </c>
      <c r="AJ18" s="206">
        <f t="shared" si="19"/>
        <v>500</v>
      </c>
      <c r="AK18" s="206">
        <f t="shared" si="19"/>
        <v>100</v>
      </c>
      <c r="AL18" s="206">
        <f t="shared" si="19"/>
        <v>2</v>
      </c>
      <c r="AM18" s="213">
        <f t="shared" si="19"/>
        <v>0.875</v>
      </c>
      <c r="AN18" s="214">
        <f t="shared" si="19"/>
        <v>0.63607464142166403</v>
      </c>
      <c r="AO18" s="215">
        <f t="shared" si="4"/>
        <v>-14.7</v>
      </c>
      <c r="AP18" s="216">
        <f t="shared" si="5"/>
        <v>1</v>
      </c>
      <c r="AQ18" s="216">
        <f t="shared" si="6"/>
        <v>1</v>
      </c>
      <c r="AR18" s="215">
        <f t="shared" ref="AR18:AR39" si="20">AR17</f>
        <v>158.47</v>
      </c>
      <c r="AS18" s="216">
        <f t="shared" si="7"/>
        <v>0.9723448696087954</v>
      </c>
      <c r="AT18" s="216">
        <f t="shared" si="8"/>
        <v>1.2538510821608391</v>
      </c>
      <c r="AU18" s="216">
        <f t="shared" si="9"/>
        <v>2.2360679774997898</v>
      </c>
      <c r="AV18" s="217">
        <f t="shared" si="10"/>
        <v>10.368348541764712</v>
      </c>
      <c r="AW18" s="216">
        <f t="shared" si="11"/>
        <v>0</v>
      </c>
      <c r="AX18" s="218">
        <f t="shared" si="12"/>
        <v>1.4831709199797398</v>
      </c>
      <c r="AY18" s="216">
        <f t="shared" si="13"/>
        <v>0.77643477842613629</v>
      </c>
      <c r="AZ18" s="217">
        <f t="shared" si="14"/>
        <v>3.5883638597441294</v>
      </c>
      <c r="BA18" s="216">
        <f t="shared" si="15"/>
        <v>0</v>
      </c>
      <c r="BB18" s="216">
        <f t="shared" si="16"/>
        <v>1.0016542390239327</v>
      </c>
      <c r="BC18" s="216">
        <f t="shared" si="17"/>
        <v>1</v>
      </c>
    </row>
    <row r="19" spans="1:55" ht="20.100000000000001" customHeight="1" x14ac:dyDescent="0.2">
      <c r="A19" s="45">
        <v>0.16666666666666699</v>
      </c>
      <c r="B19" s="451"/>
      <c r="C19" s="451"/>
      <c r="D19" s="451">
        <v>6.9</v>
      </c>
      <c r="E19" s="451">
        <v>61.3</v>
      </c>
      <c r="F19" s="41">
        <v>1945</v>
      </c>
      <c r="G19" s="37">
        <v>-5.6</v>
      </c>
      <c r="H19" s="37">
        <v>72.5</v>
      </c>
      <c r="I19" s="37">
        <v>21.3</v>
      </c>
      <c r="J19" s="41">
        <v>395</v>
      </c>
      <c r="K19" s="37">
        <v>13</v>
      </c>
      <c r="L19" s="451">
        <v>130</v>
      </c>
      <c r="M19" s="451">
        <v>222</v>
      </c>
      <c r="N19" s="451">
        <v>90</v>
      </c>
      <c r="O19" s="353">
        <v>40</v>
      </c>
      <c r="P19" s="353">
        <v>14</v>
      </c>
      <c r="Q19" s="353">
        <v>246.42</v>
      </c>
      <c r="R19" s="37"/>
      <c r="S19" s="508" t="str">
        <f t="shared" si="0"/>
        <v/>
      </c>
      <c r="T19" s="508"/>
      <c r="U19" s="508"/>
      <c r="V19" s="508"/>
      <c r="X19" s="45">
        <v>0.16666666666666699</v>
      </c>
      <c r="Y19" s="106"/>
      <c r="Z19" s="102"/>
      <c r="AA19" s="102"/>
      <c r="AB19" s="45" t="str">
        <f t="shared" si="18"/>
        <v/>
      </c>
      <c r="AC19" s="45" t="str">
        <f t="shared" si="1"/>
        <v/>
      </c>
      <c r="AD19" s="81"/>
      <c r="AE19" s="9" t="str">
        <f>IF(S19="","",IF(COUNTA(Z19:$Z$39)=1,IF(COUNTA(AD19:$AD$39)=1,""," ; "),IF(COUNTA(AD19:$AD$39)=1,IF(Z19="",""," ; ")," ; ")))</f>
        <v/>
      </c>
      <c r="AF19" s="9" t="str">
        <f t="shared" si="2"/>
        <v/>
      </c>
      <c r="AG19" s="90" t="str">
        <f t="shared" si="3"/>
        <v/>
      </c>
      <c r="AH19" s="204" t="s">
        <v>272</v>
      </c>
      <c r="AJ19" s="206">
        <f t="shared" si="19"/>
        <v>500</v>
      </c>
      <c r="AK19" s="206">
        <f t="shared" si="19"/>
        <v>100</v>
      </c>
      <c r="AL19" s="206">
        <f t="shared" si="19"/>
        <v>2</v>
      </c>
      <c r="AM19" s="213">
        <f t="shared" si="19"/>
        <v>0.875</v>
      </c>
      <c r="AN19" s="214">
        <f t="shared" si="19"/>
        <v>0.63607464142166403</v>
      </c>
      <c r="AO19" s="215">
        <f t="shared" si="4"/>
        <v>-14.7</v>
      </c>
      <c r="AP19" s="216">
        <f t="shared" si="5"/>
        <v>1</v>
      </c>
      <c r="AQ19" s="216">
        <f t="shared" si="6"/>
        <v>1</v>
      </c>
      <c r="AR19" s="215">
        <f t="shared" si="20"/>
        <v>158.47</v>
      </c>
      <c r="AS19" s="216">
        <f t="shared" si="7"/>
        <v>0.9723448696087954</v>
      </c>
      <c r="AT19" s="216">
        <f t="shared" si="8"/>
        <v>1.2538510821608391</v>
      </c>
      <c r="AU19" s="216">
        <f t="shared" si="9"/>
        <v>2.2360679774997898</v>
      </c>
      <c r="AV19" s="217">
        <f t="shared" si="10"/>
        <v>10.368348541764712</v>
      </c>
      <c r="AW19" s="216">
        <f t="shared" si="11"/>
        <v>0</v>
      </c>
      <c r="AX19" s="218">
        <f t="shared" si="12"/>
        <v>1.4831709199797398</v>
      </c>
      <c r="AY19" s="216">
        <f t="shared" si="13"/>
        <v>0.77643477842613629</v>
      </c>
      <c r="AZ19" s="217">
        <f t="shared" si="14"/>
        <v>3.5883638597441294</v>
      </c>
      <c r="BA19" s="216">
        <f t="shared" si="15"/>
        <v>0</v>
      </c>
      <c r="BB19" s="216">
        <f t="shared" si="16"/>
        <v>1.0016542390239327</v>
      </c>
      <c r="BC19" s="216">
        <f t="shared" si="17"/>
        <v>1</v>
      </c>
    </row>
    <row r="20" spans="1:55" ht="20.100000000000001" customHeight="1" x14ac:dyDescent="0.2">
      <c r="A20" s="45">
        <v>0.20833333333333301</v>
      </c>
      <c r="B20" s="451"/>
      <c r="C20" s="451"/>
      <c r="D20" s="451">
        <v>7.5</v>
      </c>
      <c r="E20" s="451">
        <v>63.6</v>
      </c>
      <c r="F20" s="41">
        <v>1950</v>
      </c>
      <c r="G20" s="37">
        <v>-5.6</v>
      </c>
      <c r="H20" s="37">
        <v>72.099999999999994</v>
      </c>
      <c r="I20" s="37">
        <v>21.9</v>
      </c>
      <c r="J20" s="41">
        <v>396</v>
      </c>
      <c r="K20" s="37">
        <v>13</v>
      </c>
      <c r="L20" s="451">
        <v>130</v>
      </c>
      <c r="M20" s="451">
        <v>222</v>
      </c>
      <c r="N20" s="451">
        <v>90</v>
      </c>
      <c r="O20" s="353">
        <v>40</v>
      </c>
      <c r="P20" s="353">
        <v>13</v>
      </c>
      <c r="Q20" s="353">
        <v>237.53</v>
      </c>
      <c r="R20" s="37"/>
      <c r="S20" s="508" t="str">
        <f t="shared" si="0"/>
        <v/>
      </c>
      <c r="T20" s="508"/>
      <c r="U20" s="508"/>
      <c r="V20" s="508"/>
      <c r="X20" s="45">
        <v>0.20833333333333301</v>
      </c>
      <c r="Y20" s="106"/>
      <c r="Z20" s="102"/>
      <c r="AA20" s="102"/>
      <c r="AB20" s="45" t="str">
        <f t="shared" si="18"/>
        <v/>
      </c>
      <c r="AC20" s="45" t="str">
        <f t="shared" si="1"/>
        <v/>
      </c>
      <c r="AD20" s="81"/>
      <c r="AE20" s="9" t="str">
        <f>IF(S20="","",IF(COUNTA(Z20:$Z$39)=1,IF(COUNTA(AD20:$AD$39)=1,""," ; "),IF(COUNTA(AD20:$AD$39)=1,IF(Z20="",""," ; ")," ; ")))</f>
        <v/>
      </c>
      <c r="AF20" s="9" t="str">
        <f t="shared" si="2"/>
        <v/>
      </c>
      <c r="AG20" s="90" t="str">
        <f t="shared" si="3"/>
        <v/>
      </c>
      <c r="AH20" s="204" t="s">
        <v>275</v>
      </c>
      <c r="AJ20" s="206">
        <f t="shared" si="19"/>
        <v>500</v>
      </c>
      <c r="AK20" s="206">
        <f t="shared" si="19"/>
        <v>100</v>
      </c>
      <c r="AL20" s="206">
        <f t="shared" si="19"/>
        <v>2</v>
      </c>
      <c r="AM20" s="213">
        <f t="shared" si="19"/>
        <v>0.875</v>
      </c>
      <c r="AN20" s="214">
        <f t="shared" si="19"/>
        <v>0.63607464142166403</v>
      </c>
      <c r="AO20" s="215">
        <f t="shared" si="4"/>
        <v>-14.7</v>
      </c>
      <c r="AP20" s="216">
        <f t="shared" si="5"/>
        <v>1</v>
      </c>
      <c r="AQ20" s="216">
        <f t="shared" si="6"/>
        <v>1</v>
      </c>
      <c r="AR20" s="215">
        <f t="shared" si="20"/>
        <v>158.47</v>
      </c>
      <c r="AS20" s="216">
        <f t="shared" si="7"/>
        <v>0.9723448696087954</v>
      </c>
      <c r="AT20" s="216">
        <f t="shared" si="8"/>
        <v>1.2538510821608391</v>
      </c>
      <c r="AU20" s="216">
        <f t="shared" si="9"/>
        <v>2.2360679774997898</v>
      </c>
      <c r="AV20" s="217">
        <f t="shared" si="10"/>
        <v>10.368348541764712</v>
      </c>
      <c r="AW20" s="216">
        <f t="shared" si="11"/>
        <v>0</v>
      </c>
      <c r="AX20" s="218">
        <f t="shared" si="12"/>
        <v>1.4831709199797398</v>
      </c>
      <c r="AY20" s="216">
        <f t="shared" si="13"/>
        <v>0.77643477842613629</v>
      </c>
      <c r="AZ20" s="217">
        <f t="shared" si="14"/>
        <v>3.5883638597441294</v>
      </c>
      <c r="BA20" s="216">
        <f t="shared" si="15"/>
        <v>0</v>
      </c>
      <c r="BB20" s="216">
        <f t="shared" si="16"/>
        <v>1.0016542390239327</v>
      </c>
      <c r="BC20" s="216">
        <f t="shared" si="17"/>
        <v>1</v>
      </c>
    </row>
    <row r="21" spans="1:55" ht="20.100000000000001" customHeight="1" x14ac:dyDescent="0.2">
      <c r="A21" s="45">
        <v>0.25</v>
      </c>
      <c r="B21" s="451"/>
      <c r="C21" s="451"/>
      <c r="D21" s="451">
        <v>7.3</v>
      </c>
      <c r="E21" s="451">
        <v>63.8</v>
      </c>
      <c r="F21" s="41">
        <v>1961</v>
      </c>
      <c r="G21" s="37">
        <v>-5.6</v>
      </c>
      <c r="H21" s="37">
        <v>72.2</v>
      </c>
      <c r="I21" s="37">
        <v>21.4</v>
      </c>
      <c r="J21" s="41">
        <v>397</v>
      </c>
      <c r="K21" s="37">
        <v>13</v>
      </c>
      <c r="L21" s="451">
        <v>132</v>
      </c>
      <c r="M21" s="451">
        <v>222</v>
      </c>
      <c r="N21" s="451">
        <v>90</v>
      </c>
      <c r="O21" s="353">
        <v>40</v>
      </c>
      <c r="P21" s="353">
        <v>12</v>
      </c>
      <c r="Q21" s="353">
        <v>228.29</v>
      </c>
      <c r="R21" s="37"/>
      <c r="S21" s="508" t="str">
        <f t="shared" si="0"/>
        <v/>
      </c>
      <c r="T21" s="508"/>
      <c r="U21" s="508"/>
      <c r="V21" s="508"/>
      <c r="X21" s="45">
        <v>0.25</v>
      </c>
      <c r="Y21" s="106"/>
      <c r="Z21" s="102"/>
      <c r="AA21" s="102"/>
      <c r="AB21" s="45" t="str">
        <f t="shared" si="18"/>
        <v/>
      </c>
      <c r="AC21" s="45" t="str">
        <f t="shared" si="1"/>
        <v/>
      </c>
      <c r="AD21" s="81"/>
      <c r="AE21" s="9" t="str">
        <f>IF(S21="","",IF(COUNTA(Z21:$Z$39)=1,IF(COUNTA(AD21:$AD$39)=1,""," ; "),IF(COUNTA(AD21:$AD$39)=1,IF(Z21="",""," ; ")," ; ")))</f>
        <v/>
      </c>
      <c r="AF21" s="9" t="str">
        <f t="shared" si="2"/>
        <v/>
      </c>
      <c r="AG21" s="90" t="str">
        <f t="shared" si="3"/>
        <v/>
      </c>
      <c r="AH21" s="204" t="s">
        <v>322</v>
      </c>
      <c r="AJ21" s="206">
        <f t="shared" si="19"/>
        <v>500</v>
      </c>
      <c r="AK21" s="206">
        <f t="shared" si="19"/>
        <v>100</v>
      </c>
      <c r="AL21" s="206">
        <f t="shared" si="19"/>
        <v>2</v>
      </c>
      <c r="AM21" s="213">
        <f t="shared" si="19"/>
        <v>0.875</v>
      </c>
      <c r="AN21" s="214">
        <f t="shared" si="19"/>
        <v>0.63607464142166403</v>
      </c>
      <c r="AO21" s="215">
        <f t="shared" si="4"/>
        <v>-14.7</v>
      </c>
      <c r="AP21" s="216">
        <f t="shared" si="5"/>
        <v>1</v>
      </c>
      <c r="AQ21" s="216">
        <f t="shared" si="6"/>
        <v>1</v>
      </c>
      <c r="AR21" s="215">
        <f t="shared" si="20"/>
        <v>158.47</v>
      </c>
      <c r="AS21" s="216">
        <f t="shared" si="7"/>
        <v>0.9723448696087954</v>
      </c>
      <c r="AT21" s="216">
        <f t="shared" si="8"/>
        <v>1.2538510821608391</v>
      </c>
      <c r="AU21" s="216">
        <f t="shared" si="9"/>
        <v>2.2360679774997898</v>
      </c>
      <c r="AV21" s="217">
        <f t="shared" si="10"/>
        <v>10.368348541764712</v>
      </c>
      <c r="AW21" s="216">
        <f t="shared" si="11"/>
        <v>0</v>
      </c>
      <c r="AX21" s="218">
        <f t="shared" si="12"/>
        <v>1.4831709199797398</v>
      </c>
      <c r="AY21" s="216">
        <f t="shared" si="13"/>
        <v>0.77643477842613629</v>
      </c>
      <c r="AZ21" s="217">
        <f t="shared" si="14"/>
        <v>3.5883638597441294</v>
      </c>
      <c r="BA21" s="216">
        <f t="shared" si="15"/>
        <v>0</v>
      </c>
      <c r="BB21" s="216">
        <f t="shared" si="16"/>
        <v>1.0016542390239327</v>
      </c>
      <c r="BC21" s="216">
        <f t="shared" si="17"/>
        <v>1</v>
      </c>
    </row>
    <row r="22" spans="1:55" ht="20.100000000000001" customHeight="1" x14ac:dyDescent="0.2">
      <c r="A22" s="45">
        <v>0.29166666666666702</v>
      </c>
      <c r="B22" s="451"/>
      <c r="C22" s="451"/>
      <c r="D22" s="451">
        <v>7.9</v>
      </c>
      <c r="E22" s="451">
        <v>63.2</v>
      </c>
      <c r="F22" s="41">
        <v>1956</v>
      </c>
      <c r="G22" s="37">
        <v>-5.6</v>
      </c>
      <c r="H22" s="37">
        <v>72.900000000000006</v>
      </c>
      <c r="I22" s="37">
        <v>21.6</v>
      </c>
      <c r="J22" s="41">
        <v>398</v>
      </c>
      <c r="K22" s="37">
        <v>13</v>
      </c>
      <c r="L22" s="451">
        <v>132</v>
      </c>
      <c r="M22" s="451">
        <v>223</v>
      </c>
      <c r="N22" s="451">
        <v>90</v>
      </c>
      <c r="O22" s="353">
        <v>40</v>
      </c>
      <c r="P22" s="353">
        <v>12</v>
      </c>
      <c r="Q22" s="353">
        <v>228.29</v>
      </c>
      <c r="R22" s="37"/>
      <c r="S22" s="508" t="str">
        <f t="shared" si="0"/>
        <v/>
      </c>
      <c r="T22" s="508"/>
      <c r="U22" s="508"/>
      <c r="V22" s="508"/>
      <c r="X22" s="45">
        <v>0.29166666666666702</v>
      </c>
      <c r="Y22" s="106"/>
      <c r="Z22" s="102"/>
      <c r="AA22" s="102"/>
      <c r="AB22" s="45" t="str">
        <f t="shared" si="18"/>
        <v/>
      </c>
      <c r="AC22" s="45" t="str">
        <f t="shared" si="1"/>
        <v/>
      </c>
      <c r="AD22" s="81"/>
      <c r="AE22" s="9" t="str">
        <f>IF(S22="","",IF(COUNTA(Z22:$Z$39)=1,IF(COUNTA(AD22:$AD$39)=1,""," ; "),IF(COUNTA(AD22:$AD$39)=1,IF(Z22="",""," ; ")," ; ")))</f>
        <v/>
      </c>
      <c r="AF22" s="9" t="str">
        <f t="shared" si="2"/>
        <v/>
      </c>
      <c r="AG22" s="90" t="str">
        <f t="shared" si="3"/>
        <v/>
      </c>
      <c r="AH22" s="204" t="s">
        <v>279</v>
      </c>
      <c r="AJ22" s="206">
        <f t="shared" si="19"/>
        <v>500</v>
      </c>
      <c r="AK22" s="206">
        <f t="shared" si="19"/>
        <v>100</v>
      </c>
      <c r="AL22" s="206">
        <f t="shared" si="19"/>
        <v>2</v>
      </c>
      <c r="AM22" s="213">
        <f t="shared" si="19"/>
        <v>0.875</v>
      </c>
      <c r="AN22" s="214">
        <f t="shared" si="19"/>
        <v>0.63607464142166403</v>
      </c>
      <c r="AO22" s="215">
        <f t="shared" si="4"/>
        <v>-14.7</v>
      </c>
      <c r="AP22" s="216">
        <f t="shared" si="5"/>
        <v>1</v>
      </c>
      <c r="AQ22" s="216">
        <f t="shared" si="6"/>
        <v>1</v>
      </c>
      <c r="AR22" s="215">
        <f t="shared" si="20"/>
        <v>158.47</v>
      </c>
      <c r="AS22" s="216">
        <f t="shared" si="7"/>
        <v>0.9723448696087954</v>
      </c>
      <c r="AT22" s="216">
        <f t="shared" si="8"/>
        <v>1.2538510821608391</v>
      </c>
      <c r="AU22" s="216">
        <f t="shared" si="9"/>
        <v>2.2360679774997898</v>
      </c>
      <c r="AV22" s="217">
        <f t="shared" si="10"/>
        <v>10.368348541764712</v>
      </c>
      <c r="AW22" s="216">
        <f t="shared" si="11"/>
        <v>0</v>
      </c>
      <c r="AX22" s="218">
        <f t="shared" si="12"/>
        <v>1.4831709199797398</v>
      </c>
      <c r="AY22" s="216">
        <f t="shared" si="13"/>
        <v>0.77643477842613629</v>
      </c>
      <c r="AZ22" s="217">
        <f t="shared" si="14"/>
        <v>3.5883638597441294</v>
      </c>
      <c r="BA22" s="216">
        <f t="shared" si="15"/>
        <v>0</v>
      </c>
      <c r="BB22" s="216">
        <f t="shared" si="16"/>
        <v>1.0016542390239327</v>
      </c>
      <c r="BC22" s="216">
        <f t="shared" si="17"/>
        <v>1</v>
      </c>
    </row>
    <row r="23" spans="1:55" ht="20.100000000000001" customHeight="1" x14ac:dyDescent="0.2">
      <c r="A23" s="45">
        <v>0.33333333333333298</v>
      </c>
      <c r="B23" s="451"/>
      <c r="C23" s="451"/>
      <c r="D23" s="451">
        <v>7.8</v>
      </c>
      <c r="E23" s="451">
        <v>64.3</v>
      </c>
      <c r="F23" s="41">
        <v>1935</v>
      </c>
      <c r="G23" s="37">
        <v>-5.6</v>
      </c>
      <c r="H23" s="37">
        <v>72.5</v>
      </c>
      <c r="I23" s="37">
        <v>21.4</v>
      </c>
      <c r="J23" s="41">
        <v>399</v>
      </c>
      <c r="K23" s="37">
        <v>13</v>
      </c>
      <c r="L23" s="451">
        <v>136</v>
      </c>
      <c r="M23" s="451">
        <v>220</v>
      </c>
      <c r="N23" s="451">
        <v>90</v>
      </c>
      <c r="O23" s="353">
        <v>40</v>
      </c>
      <c r="P23" s="353">
        <v>12</v>
      </c>
      <c r="Q23" s="353">
        <v>228.29</v>
      </c>
      <c r="R23" s="37"/>
      <c r="S23" s="508" t="str">
        <f t="shared" si="0"/>
        <v/>
      </c>
      <c r="T23" s="508"/>
      <c r="U23" s="508"/>
      <c r="V23" s="508"/>
      <c r="X23" s="45">
        <v>0.33333333333333298</v>
      </c>
      <c r="Y23" s="106"/>
      <c r="Z23" s="102"/>
      <c r="AA23" s="102"/>
      <c r="AB23" s="45" t="str">
        <f t="shared" si="18"/>
        <v/>
      </c>
      <c r="AC23" s="45" t="str">
        <f t="shared" si="1"/>
        <v/>
      </c>
      <c r="AD23" s="81"/>
      <c r="AE23" s="9" t="str">
        <f>IF(S23="","",IF(COUNTA(Z23:$Z$39)=1,IF(COUNTA(AD23:$AD$39)=1,""," ; "),IF(COUNTA(AD23:$AD$39)=1,IF(Z23="",""," ; ")," ; ")))</f>
        <v/>
      </c>
      <c r="AF23" s="9" t="str">
        <f t="shared" si="2"/>
        <v/>
      </c>
      <c r="AG23" s="90" t="str">
        <f t="shared" si="3"/>
        <v/>
      </c>
      <c r="AH23" s="204" t="s">
        <v>274</v>
      </c>
      <c r="AJ23" s="206">
        <f t="shared" si="19"/>
        <v>500</v>
      </c>
      <c r="AK23" s="206">
        <f t="shared" si="19"/>
        <v>100</v>
      </c>
      <c r="AL23" s="206">
        <f t="shared" si="19"/>
        <v>2</v>
      </c>
      <c r="AM23" s="213">
        <f t="shared" si="19"/>
        <v>0.875</v>
      </c>
      <c r="AN23" s="214">
        <f t="shared" si="19"/>
        <v>0.63607464142166403</v>
      </c>
      <c r="AO23" s="215">
        <f t="shared" si="4"/>
        <v>-14.7</v>
      </c>
      <c r="AP23" s="216">
        <f t="shared" si="5"/>
        <v>1</v>
      </c>
      <c r="AQ23" s="216">
        <f t="shared" si="6"/>
        <v>1</v>
      </c>
      <c r="AR23" s="215">
        <f t="shared" si="20"/>
        <v>158.47</v>
      </c>
      <c r="AS23" s="216">
        <f t="shared" si="7"/>
        <v>0.9723448696087954</v>
      </c>
      <c r="AT23" s="216">
        <f t="shared" si="8"/>
        <v>1.2538510821608391</v>
      </c>
      <c r="AU23" s="216">
        <f t="shared" si="9"/>
        <v>2.2360679774997898</v>
      </c>
      <c r="AV23" s="217">
        <f t="shared" si="10"/>
        <v>10.368348541764712</v>
      </c>
      <c r="AW23" s="216">
        <f t="shared" si="11"/>
        <v>0</v>
      </c>
      <c r="AX23" s="218">
        <f t="shared" si="12"/>
        <v>1.4831709199797398</v>
      </c>
      <c r="AY23" s="216">
        <f t="shared" si="13"/>
        <v>0.77643477842613629</v>
      </c>
      <c r="AZ23" s="217">
        <f t="shared" si="14"/>
        <v>3.5883638597441294</v>
      </c>
      <c r="BA23" s="216">
        <f t="shared" si="15"/>
        <v>0</v>
      </c>
      <c r="BB23" s="216">
        <f t="shared" si="16"/>
        <v>1.0016542390239327</v>
      </c>
      <c r="BC23" s="216">
        <f t="shared" si="17"/>
        <v>1</v>
      </c>
    </row>
    <row r="24" spans="1:55" ht="20.100000000000001" customHeight="1" x14ac:dyDescent="0.2">
      <c r="A24" s="45">
        <v>0.375</v>
      </c>
      <c r="B24" s="451"/>
      <c r="C24" s="451"/>
      <c r="D24" s="451">
        <v>8</v>
      </c>
      <c r="E24" s="451">
        <v>63.7</v>
      </c>
      <c r="F24" s="41">
        <v>1920</v>
      </c>
      <c r="G24" s="37">
        <v>-5.6</v>
      </c>
      <c r="H24" s="37">
        <v>72.099999999999994</v>
      </c>
      <c r="I24" s="37">
        <v>21.9</v>
      </c>
      <c r="J24" s="41">
        <v>400</v>
      </c>
      <c r="K24" s="37">
        <v>13</v>
      </c>
      <c r="L24" s="451">
        <v>134</v>
      </c>
      <c r="M24" s="451">
        <v>221</v>
      </c>
      <c r="N24" s="451">
        <v>90</v>
      </c>
      <c r="O24" s="353">
        <v>40</v>
      </c>
      <c r="P24" s="353">
        <v>12</v>
      </c>
      <c r="Q24" s="353">
        <v>228.29</v>
      </c>
      <c r="R24" s="37"/>
      <c r="S24" s="508" t="str">
        <f t="shared" si="0"/>
        <v/>
      </c>
      <c r="T24" s="508"/>
      <c r="U24" s="508"/>
      <c r="V24" s="508"/>
      <c r="X24" s="45">
        <v>0.375</v>
      </c>
      <c r="Y24" s="106"/>
      <c r="Z24" s="102"/>
      <c r="AA24" s="102"/>
      <c r="AB24" s="45" t="str">
        <f t="shared" si="18"/>
        <v/>
      </c>
      <c r="AC24" s="45" t="str">
        <f t="shared" si="1"/>
        <v/>
      </c>
      <c r="AD24" s="81"/>
      <c r="AE24" s="9" t="str">
        <f>IF(S24="","",IF(COUNTA(Z24:$Z$39)=1,IF(COUNTA(AD24:$AD$39)=1,""," ; "),IF(COUNTA(AD24:$AD$39)=1,IF(Z24="",""," ; ")," ; ")))</f>
        <v/>
      </c>
      <c r="AF24" s="9" t="str">
        <f t="shared" si="2"/>
        <v/>
      </c>
      <c r="AG24" s="90" t="str">
        <f t="shared" si="3"/>
        <v/>
      </c>
      <c r="AH24" s="204" t="s">
        <v>307</v>
      </c>
      <c r="AJ24" s="206">
        <f t="shared" si="19"/>
        <v>500</v>
      </c>
      <c r="AK24" s="206">
        <f t="shared" si="19"/>
        <v>100</v>
      </c>
      <c r="AL24" s="206">
        <f t="shared" si="19"/>
        <v>2</v>
      </c>
      <c r="AM24" s="213">
        <f t="shared" si="19"/>
        <v>0.875</v>
      </c>
      <c r="AN24" s="214">
        <f t="shared" si="19"/>
        <v>0.63607464142166403</v>
      </c>
      <c r="AO24" s="215">
        <f t="shared" si="4"/>
        <v>-14.7</v>
      </c>
      <c r="AP24" s="216">
        <f t="shared" si="5"/>
        <v>1</v>
      </c>
      <c r="AQ24" s="216">
        <f t="shared" si="6"/>
        <v>1</v>
      </c>
      <c r="AR24" s="215">
        <f t="shared" si="20"/>
        <v>158.47</v>
      </c>
      <c r="AS24" s="216">
        <f t="shared" si="7"/>
        <v>0.9723448696087954</v>
      </c>
      <c r="AT24" s="216">
        <f t="shared" si="8"/>
        <v>1.2538510821608391</v>
      </c>
      <c r="AU24" s="216">
        <f t="shared" si="9"/>
        <v>2.2360679774997898</v>
      </c>
      <c r="AV24" s="217">
        <f t="shared" si="10"/>
        <v>10.368348541764712</v>
      </c>
      <c r="AW24" s="216">
        <f t="shared" si="11"/>
        <v>0</v>
      </c>
      <c r="AX24" s="218">
        <f t="shared" si="12"/>
        <v>1.4831709199797398</v>
      </c>
      <c r="AY24" s="216">
        <f t="shared" si="13"/>
        <v>0.77643477842613629</v>
      </c>
      <c r="AZ24" s="217">
        <f t="shared" si="14"/>
        <v>3.5883638597441294</v>
      </c>
      <c r="BA24" s="216">
        <f t="shared" si="15"/>
        <v>0</v>
      </c>
      <c r="BB24" s="216">
        <f t="shared" si="16"/>
        <v>1.0016542390239327</v>
      </c>
      <c r="BC24" s="216">
        <f t="shared" si="17"/>
        <v>1</v>
      </c>
    </row>
    <row r="25" spans="1:55" ht="20.100000000000001" customHeight="1" x14ac:dyDescent="0.2">
      <c r="A25" s="45">
        <v>0.41666666666666702</v>
      </c>
      <c r="B25" s="451"/>
      <c r="C25" s="451"/>
      <c r="D25" s="451">
        <v>6.4</v>
      </c>
      <c r="E25" s="451">
        <v>63.7</v>
      </c>
      <c r="F25" s="41">
        <v>1915</v>
      </c>
      <c r="G25" s="37">
        <v>-5.6</v>
      </c>
      <c r="H25" s="37">
        <v>72.400000000000006</v>
      </c>
      <c r="I25" s="37">
        <v>21.5</v>
      </c>
      <c r="J25" s="41">
        <v>401</v>
      </c>
      <c r="K25" s="37">
        <v>13</v>
      </c>
      <c r="L25" s="451">
        <v>137</v>
      </c>
      <c r="M25" s="451">
        <v>221</v>
      </c>
      <c r="N25" s="451">
        <v>90</v>
      </c>
      <c r="O25" s="353">
        <v>40</v>
      </c>
      <c r="P25" s="353">
        <v>12</v>
      </c>
      <c r="Q25" s="353">
        <v>228.29</v>
      </c>
      <c r="R25" s="37"/>
      <c r="S25" s="508" t="str">
        <f t="shared" si="0"/>
        <v/>
      </c>
      <c r="T25" s="508"/>
      <c r="U25" s="508"/>
      <c r="V25" s="508"/>
      <c r="X25" s="45">
        <v>0.41666666666666702</v>
      </c>
      <c r="Y25" s="106"/>
      <c r="Z25" s="102"/>
      <c r="AA25" s="102"/>
      <c r="AB25" s="45" t="str">
        <f t="shared" si="18"/>
        <v/>
      </c>
      <c r="AC25" s="45" t="str">
        <f t="shared" si="1"/>
        <v/>
      </c>
      <c r="AD25" s="81"/>
      <c r="AE25" s="9" t="str">
        <f>IF(S25="","",IF(COUNTA(Z25:$Z$39)=1,IF(COUNTA(AD25:$AD$39)=1,""," ; "),IF(COUNTA(AD25:$AD$39)=1,IF(Z25="",""," ; ")," ; ")))</f>
        <v/>
      </c>
      <c r="AF25" s="9" t="str">
        <f t="shared" si="2"/>
        <v/>
      </c>
      <c r="AG25" s="90" t="str">
        <f t="shared" si="3"/>
        <v/>
      </c>
      <c r="AH25" s="204" t="s">
        <v>225</v>
      </c>
      <c r="AJ25" s="206">
        <f t="shared" si="19"/>
        <v>500</v>
      </c>
      <c r="AK25" s="206">
        <f t="shared" si="19"/>
        <v>100</v>
      </c>
      <c r="AL25" s="206">
        <f t="shared" si="19"/>
        <v>2</v>
      </c>
      <c r="AM25" s="213">
        <f t="shared" si="19"/>
        <v>0.875</v>
      </c>
      <c r="AN25" s="214">
        <f t="shared" si="19"/>
        <v>0.63607464142166403</v>
      </c>
      <c r="AO25" s="215">
        <f t="shared" si="4"/>
        <v>-14.7</v>
      </c>
      <c r="AP25" s="216">
        <f t="shared" si="5"/>
        <v>1</v>
      </c>
      <c r="AQ25" s="216">
        <f t="shared" si="6"/>
        <v>1</v>
      </c>
      <c r="AR25" s="215">
        <f t="shared" si="20"/>
        <v>158.47</v>
      </c>
      <c r="AS25" s="216">
        <f t="shared" si="7"/>
        <v>0.9723448696087954</v>
      </c>
      <c r="AT25" s="216">
        <f t="shared" si="8"/>
        <v>1.2538510821608391</v>
      </c>
      <c r="AU25" s="216">
        <f t="shared" si="9"/>
        <v>2.2360679774997898</v>
      </c>
      <c r="AV25" s="217">
        <f t="shared" si="10"/>
        <v>10.368348541764712</v>
      </c>
      <c r="AW25" s="216">
        <f t="shared" si="11"/>
        <v>0</v>
      </c>
      <c r="AX25" s="218">
        <f t="shared" si="12"/>
        <v>1.4831709199797398</v>
      </c>
      <c r="AY25" s="216">
        <f t="shared" si="13"/>
        <v>0.77643477842613629</v>
      </c>
      <c r="AZ25" s="217">
        <f t="shared" si="14"/>
        <v>3.5883638597441294</v>
      </c>
      <c r="BA25" s="216">
        <f t="shared" si="15"/>
        <v>0</v>
      </c>
      <c r="BB25" s="216">
        <f t="shared" si="16"/>
        <v>1.0016542390239327</v>
      </c>
      <c r="BC25" s="216">
        <f t="shared" si="17"/>
        <v>1</v>
      </c>
    </row>
    <row r="26" spans="1:55" ht="20.100000000000001" customHeight="1" x14ac:dyDescent="0.2">
      <c r="A26" s="45">
        <v>0.45833333333333298</v>
      </c>
      <c r="B26" s="451"/>
      <c r="C26" s="451"/>
      <c r="D26" s="451">
        <v>7.1</v>
      </c>
      <c r="E26" s="451">
        <v>60.6</v>
      </c>
      <c r="F26" s="41">
        <v>1922</v>
      </c>
      <c r="G26" s="37">
        <v>-5.6</v>
      </c>
      <c r="H26" s="37">
        <v>72.599999999999994</v>
      </c>
      <c r="I26" s="37">
        <v>21.7</v>
      </c>
      <c r="J26" s="41">
        <v>402</v>
      </c>
      <c r="K26" s="37">
        <v>13</v>
      </c>
      <c r="L26" s="451">
        <v>135</v>
      </c>
      <c r="M26" s="451">
        <v>222</v>
      </c>
      <c r="N26" s="451">
        <v>90</v>
      </c>
      <c r="O26" s="353">
        <v>40</v>
      </c>
      <c r="P26" s="353">
        <v>12</v>
      </c>
      <c r="Q26" s="353">
        <v>228.29</v>
      </c>
      <c r="R26" s="37"/>
      <c r="S26" s="508" t="str">
        <f t="shared" si="0"/>
        <v/>
      </c>
      <c r="T26" s="508"/>
      <c r="U26" s="508"/>
      <c r="V26" s="508"/>
      <c r="X26" s="45">
        <v>0.45833333333333298</v>
      </c>
      <c r="Y26" s="106"/>
      <c r="Z26" s="102"/>
      <c r="AA26" s="102"/>
      <c r="AB26" s="45" t="str">
        <f t="shared" si="18"/>
        <v/>
      </c>
      <c r="AC26" s="45" t="str">
        <f t="shared" si="1"/>
        <v/>
      </c>
      <c r="AD26" s="81"/>
      <c r="AE26" s="9" t="str">
        <f>IF(S26="","",IF(COUNTA(Z26:$Z$39)=1,IF(COUNTA(AD26:$AD$39)=1,""," ; "),IF(COUNTA(AD26:$AD$39)=1,IF(Z26="",""," ; ")," ; ")))</f>
        <v/>
      </c>
      <c r="AF26" s="9" t="str">
        <f t="shared" si="2"/>
        <v/>
      </c>
      <c r="AG26" s="90" t="str">
        <f t="shared" si="3"/>
        <v/>
      </c>
      <c r="AH26" s="204" t="s">
        <v>287</v>
      </c>
      <c r="AJ26" s="206">
        <f t="shared" si="19"/>
        <v>500</v>
      </c>
      <c r="AK26" s="206">
        <f t="shared" si="19"/>
        <v>100</v>
      </c>
      <c r="AL26" s="206">
        <f t="shared" si="19"/>
        <v>2</v>
      </c>
      <c r="AM26" s="213">
        <f t="shared" si="19"/>
        <v>0.875</v>
      </c>
      <c r="AN26" s="214">
        <f t="shared" si="19"/>
        <v>0.63607464142166403</v>
      </c>
      <c r="AO26" s="215">
        <f t="shared" si="4"/>
        <v>-14.7</v>
      </c>
      <c r="AP26" s="216">
        <f t="shared" si="5"/>
        <v>1</v>
      </c>
      <c r="AQ26" s="216">
        <f t="shared" si="6"/>
        <v>1</v>
      </c>
      <c r="AR26" s="215">
        <f t="shared" si="20"/>
        <v>158.47</v>
      </c>
      <c r="AS26" s="216">
        <f t="shared" si="7"/>
        <v>0.9723448696087954</v>
      </c>
      <c r="AT26" s="216">
        <f t="shared" si="8"/>
        <v>1.2538510821608391</v>
      </c>
      <c r="AU26" s="216">
        <f t="shared" si="9"/>
        <v>2.2360679774997898</v>
      </c>
      <c r="AV26" s="217">
        <f t="shared" si="10"/>
        <v>10.368348541764712</v>
      </c>
      <c r="AW26" s="216">
        <f t="shared" si="11"/>
        <v>0</v>
      </c>
      <c r="AX26" s="218">
        <f t="shared" si="12"/>
        <v>1.4831709199797398</v>
      </c>
      <c r="AY26" s="216">
        <f t="shared" si="13"/>
        <v>0.77643477842613629</v>
      </c>
      <c r="AZ26" s="217">
        <f t="shared" si="14"/>
        <v>3.5883638597441294</v>
      </c>
      <c r="BA26" s="216">
        <f t="shared" si="15"/>
        <v>0</v>
      </c>
      <c r="BB26" s="216">
        <f t="shared" si="16"/>
        <v>1.0016542390239327</v>
      </c>
      <c r="BC26" s="216">
        <f t="shared" si="17"/>
        <v>1</v>
      </c>
    </row>
    <row r="27" spans="1:55" ht="20.100000000000001" customHeight="1" x14ac:dyDescent="0.2">
      <c r="A27" s="45">
        <v>0.5</v>
      </c>
      <c r="B27" s="451"/>
      <c r="C27" s="451"/>
      <c r="D27" s="451">
        <v>7</v>
      </c>
      <c r="E27" s="451">
        <v>61.3</v>
      </c>
      <c r="F27" s="41">
        <v>1927</v>
      </c>
      <c r="G27" s="37">
        <v>-5.6</v>
      </c>
      <c r="H27" s="37">
        <v>72.3</v>
      </c>
      <c r="I27" s="37">
        <v>21.6</v>
      </c>
      <c r="J27" s="41">
        <v>403</v>
      </c>
      <c r="K27" s="37">
        <v>13</v>
      </c>
      <c r="L27" s="451">
        <v>139</v>
      </c>
      <c r="M27" s="451">
        <v>220</v>
      </c>
      <c r="N27" s="451">
        <v>90</v>
      </c>
      <c r="O27" s="353">
        <v>60</v>
      </c>
      <c r="P27" s="353">
        <v>9</v>
      </c>
      <c r="Q27" s="353">
        <v>231.78</v>
      </c>
      <c r="R27" s="37"/>
      <c r="S27" s="508" t="str">
        <f t="shared" si="0"/>
        <v/>
      </c>
      <c r="T27" s="508"/>
      <c r="U27" s="508"/>
      <c r="V27" s="508"/>
      <c r="X27" s="45">
        <v>0.5</v>
      </c>
      <c r="Y27" s="106"/>
      <c r="Z27" s="102"/>
      <c r="AA27" s="102"/>
      <c r="AB27" s="45" t="str">
        <f t="shared" si="18"/>
        <v/>
      </c>
      <c r="AC27" s="45" t="str">
        <f t="shared" si="1"/>
        <v/>
      </c>
      <c r="AD27" s="81"/>
      <c r="AE27" s="9" t="str">
        <f>IF(S27="","",IF(COUNTA(Z27:$Z$39)=1,IF(COUNTA(AD27:$AD$39)=1,""," ; "),IF(COUNTA(AD27:$AD$39)=1,IF(Z27="",""," ; ")," ; ")))</f>
        <v/>
      </c>
      <c r="AF27" s="9" t="str">
        <f t="shared" si="2"/>
        <v/>
      </c>
      <c r="AG27" s="90" t="str">
        <f t="shared" si="3"/>
        <v/>
      </c>
      <c r="AH27" s="204" t="s">
        <v>276</v>
      </c>
      <c r="AJ27" s="206">
        <f t="shared" si="19"/>
        <v>500</v>
      </c>
      <c r="AK27" s="206">
        <f t="shared" si="19"/>
        <v>100</v>
      </c>
      <c r="AL27" s="206">
        <f t="shared" si="19"/>
        <v>2</v>
      </c>
      <c r="AM27" s="213">
        <f t="shared" si="19"/>
        <v>0.875</v>
      </c>
      <c r="AN27" s="214">
        <f t="shared" si="19"/>
        <v>0.63607464142166403</v>
      </c>
      <c r="AO27" s="215">
        <f t="shared" si="4"/>
        <v>-14.7</v>
      </c>
      <c r="AP27" s="216">
        <f t="shared" si="5"/>
        <v>1</v>
      </c>
      <c r="AQ27" s="216">
        <f t="shared" si="6"/>
        <v>1</v>
      </c>
      <c r="AR27" s="215">
        <f t="shared" si="20"/>
        <v>158.47</v>
      </c>
      <c r="AS27" s="216">
        <f t="shared" si="7"/>
        <v>0.9723448696087954</v>
      </c>
      <c r="AT27" s="216">
        <f t="shared" si="8"/>
        <v>1.2538510821608391</v>
      </c>
      <c r="AU27" s="216">
        <f t="shared" si="9"/>
        <v>2.2360679774997898</v>
      </c>
      <c r="AV27" s="217">
        <f t="shared" si="10"/>
        <v>10.368348541764712</v>
      </c>
      <c r="AW27" s="216">
        <f t="shared" si="11"/>
        <v>0</v>
      </c>
      <c r="AX27" s="218">
        <f t="shared" si="12"/>
        <v>1.4831709199797398</v>
      </c>
      <c r="AY27" s="216">
        <f t="shared" si="13"/>
        <v>0.77643477842613629</v>
      </c>
      <c r="AZ27" s="217">
        <f t="shared" si="14"/>
        <v>3.5883638597441294</v>
      </c>
      <c r="BA27" s="216">
        <f t="shared" si="15"/>
        <v>0</v>
      </c>
      <c r="BB27" s="216">
        <f t="shared" si="16"/>
        <v>1.0016542390239327</v>
      </c>
      <c r="BC27" s="216">
        <f t="shared" si="17"/>
        <v>1</v>
      </c>
    </row>
    <row r="28" spans="1:55" ht="20.100000000000001" customHeight="1" x14ac:dyDescent="0.2">
      <c r="A28" s="45">
        <v>0.54166666666666696</v>
      </c>
      <c r="B28" s="451"/>
      <c r="C28" s="451"/>
      <c r="D28" s="451">
        <v>6.8</v>
      </c>
      <c r="E28" s="451">
        <v>61.9</v>
      </c>
      <c r="F28" s="41">
        <v>1946</v>
      </c>
      <c r="G28" s="37">
        <v>-5.6</v>
      </c>
      <c r="H28" s="37">
        <v>72</v>
      </c>
      <c r="I28" s="37">
        <v>21.2</v>
      </c>
      <c r="J28" s="41">
        <v>404</v>
      </c>
      <c r="K28" s="37">
        <v>13</v>
      </c>
      <c r="L28" s="451">
        <v>132</v>
      </c>
      <c r="M28" s="451">
        <v>221</v>
      </c>
      <c r="N28" s="451">
        <v>90</v>
      </c>
      <c r="O28" s="353">
        <v>60</v>
      </c>
      <c r="P28" s="353">
        <v>9</v>
      </c>
      <c r="Q28" s="353">
        <v>231.78</v>
      </c>
      <c r="R28" s="37"/>
      <c r="S28" s="508" t="str">
        <f t="shared" si="0"/>
        <v/>
      </c>
      <c r="T28" s="508"/>
      <c r="U28" s="508"/>
      <c r="V28" s="508"/>
      <c r="X28" s="45">
        <v>0.54166666666666696</v>
      </c>
      <c r="Y28" s="106"/>
      <c r="Z28" s="102"/>
      <c r="AA28" s="102"/>
      <c r="AB28" s="45" t="str">
        <f t="shared" si="18"/>
        <v/>
      </c>
      <c r="AC28" s="45" t="str">
        <f t="shared" si="1"/>
        <v/>
      </c>
      <c r="AD28" s="81"/>
      <c r="AE28" s="9" t="str">
        <f>IF(S28="","",IF(COUNTA(Z28:$Z$39)=1,IF(COUNTA(AD28:$AD$39)=1,""," ; "),IF(COUNTA(AD28:$AD$39)=1,IF(Z28="",""," ; ")," ; ")))</f>
        <v/>
      </c>
      <c r="AF28" s="9" t="str">
        <f t="shared" si="2"/>
        <v/>
      </c>
      <c r="AG28" s="90" t="str">
        <f t="shared" si="3"/>
        <v/>
      </c>
      <c r="AH28" s="204" t="s">
        <v>278</v>
      </c>
      <c r="AJ28" s="206">
        <f t="shared" si="19"/>
        <v>500</v>
      </c>
      <c r="AK28" s="206">
        <f t="shared" si="19"/>
        <v>100</v>
      </c>
      <c r="AL28" s="206">
        <f t="shared" si="19"/>
        <v>2</v>
      </c>
      <c r="AM28" s="213">
        <f t="shared" si="19"/>
        <v>0.875</v>
      </c>
      <c r="AN28" s="214">
        <f t="shared" si="19"/>
        <v>0.63607464142166403</v>
      </c>
      <c r="AO28" s="215">
        <f t="shared" si="4"/>
        <v>-14.7</v>
      </c>
      <c r="AP28" s="216">
        <f t="shared" si="5"/>
        <v>1</v>
      </c>
      <c r="AQ28" s="216">
        <f t="shared" si="6"/>
        <v>1</v>
      </c>
      <c r="AR28" s="215">
        <f t="shared" si="20"/>
        <v>158.47</v>
      </c>
      <c r="AS28" s="216">
        <f t="shared" si="7"/>
        <v>0.9723448696087954</v>
      </c>
      <c r="AT28" s="216">
        <f t="shared" si="8"/>
        <v>1.2538510821608391</v>
      </c>
      <c r="AU28" s="216">
        <f t="shared" si="9"/>
        <v>2.2360679774997898</v>
      </c>
      <c r="AV28" s="217">
        <f t="shared" si="10"/>
        <v>10.368348541764712</v>
      </c>
      <c r="AW28" s="216">
        <f t="shared" si="11"/>
        <v>0</v>
      </c>
      <c r="AX28" s="218">
        <f t="shared" si="12"/>
        <v>1.4831709199797398</v>
      </c>
      <c r="AY28" s="216">
        <f t="shared" si="13"/>
        <v>0.77643477842613629</v>
      </c>
      <c r="AZ28" s="217">
        <f t="shared" si="14"/>
        <v>3.5883638597441294</v>
      </c>
      <c r="BA28" s="216">
        <f t="shared" si="15"/>
        <v>0</v>
      </c>
      <c r="BB28" s="216">
        <f t="shared" si="16"/>
        <v>1.0016542390239327</v>
      </c>
      <c r="BC28" s="216">
        <f t="shared" si="17"/>
        <v>1</v>
      </c>
    </row>
    <row r="29" spans="1:55" ht="20.100000000000001" customHeight="1" x14ac:dyDescent="0.2">
      <c r="A29" s="45">
        <v>0.58333333333333304</v>
      </c>
      <c r="B29" s="451"/>
      <c r="C29" s="451"/>
      <c r="D29" s="451">
        <v>6.8</v>
      </c>
      <c r="E29" s="451">
        <v>66.900000000000006</v>
      </c>
      <c r="F29" s="41">
        <v>1952</v>
      </c>
      <c r="G29" s="37">
        <v>-5.6</v>
      </c>
      <c r="H29" s="37">
        <v>72.099999999999994</v>
      </c>
      <c r="I29" s="37">
        <v>21.7</v>
      </c>
      <c r="J29" s="41">
        <v>405</v>
      </c>
      <c r="K29" s="37">
        <v>13</v>
      </c>
      <c r="L29" s="451">
        <v>136</v>
      </c>
      <c r="M29" s="451">
        <v>221</v>
      </c>
      <c r="N29" s="451">
        <v>90</v>
      </c>
      <c r="O29" s="353">
        <v>60</v>
      </c>
      <c r="P29" s="353">
        <v>13</v>
      </c>
      <c r="Q29" s="353">
        <v>278.18</v>
      </c>
      <c r="R29" s="37"/>
      <c r="S29" s="508" t="str">
        <f t="shared" si="0"/>
        <v/>
      </c>
      <c r="T29" s="508"/>
      <c r="U29" s="508"/>
      <c r="V29" s="508"/>
      <c r="X29" s="45">
        <v>0.58333333333333304</v>
      </c>
      <c r="Y29" s="106"/>
      <c r="Z29" s="102"/>
      <c r="AA29" s="102"/>
      <c r="AB29" s="45" t="str">
        <f t="shared" si="18"/>
        <v/>
      </c>
      <c r="AC29" s="45" t="str">
        <f t="shared" si="1"/>
        <v/>
      </c>
      <c r="AD29" s="81"/>
      <c r="AE29" s="9" t="str">
        <f>IF(S29="","",IF(COUNTA(Z29:$Z$39)=1,IF(COUNTA(AD29:$AD$39)=1,""," ; "),IF(COUNTA(AD29:$AD$39)=1,IF(Z29="",""," ; ")," ; ")))</f>
        <v/>
      </c>
      <c r="AF29" s="9" t="str">
        <f t="shared" si="2"/>
        <v/>
      </c>
      <c r="AG29" s="90" t="str">
        <f t="shared" si="3"/>
        <v/>
      </c>
      <c r="AH29" s="204" t="s">
        <v>224</v>
      </c>
      <c r="AJ29" s="206">
        <f t="shared" si="19"/>
        <v>500</v>
      </c>
      <c r="AK29" s="206">
        <f t="shared" si="19"/>
        <v>100</v>
      </c>
      <c r="AL29" s="206">
        <f t="shared" si="19"/>
        <v>2</v>
      </c>
      <c r="AM29" s="213">
        <f t="shared" si="19"/>
        <v>0.875</v>
      </c>
      <c r="AN29" s="214">
        <f t="shared" si="19"/>
        <v>0.63607464142166403</v>
      </c>
      <c r="AO29" s="215">
        <f t="shared" si="4"/>
        <v>-14.7</v>
      </c>
      <c r="AP29" s="216">
        <f t="shared" si="5"/>
        <v>1</v>
      </c>
      <c r="AQ29" s="216">
        <f t="shared" si="6"/>
        <v>1</v>
      </c>
      <c r="AR29" s="215">
        <f t="shared" si="20"/>
        <v>158.47</v>
      </c>
      <c r="AS29" s="216">
        <f t="shared" si="7"/>
        <v>0.9723448696087954</v>
      </c>
      <c r="AT29" s="216">
        <f t="shared" si="8"/>
        <v>1.2538510821608391</v>
      </c>
      <c r="AU29" s="216">
        <f t="shared" si="9"/>
        <v>2.2360679774997898</v>
      </c>
      <c r="AV29" s="217">
        <f t="shared" si="10"/>
        <v>10.368348541764712</v>
      </c>
      <c r="AW29" s="216">
        <f t="shared" si="11"/>
        <v>0</v>
      </c>
      <c r="AX29" s="218">
        <f t="shared" si="12"/>
        <v>1.4831709199797398</v>
      </c>
      <c r="AY29" s="216">
        <f t="shared" si="13"/>
        <v>0.77643477842613629</v>
      </c>
      <c r="AZ29" s="217">
        <f t="shared" si="14"/>
        <v>3.5883638597441294</v>
      </c>
      <c r="BA29" s="216">
        <f t="shared" si="15"/>
        <v>0</v>
      </c>
      <c r="BB29" s="216">
        <f t="shared" si="16"/>
        <v>1.0016542390239327</v>
      </c>
      <c r="BC29" s="216">
        <f t="shared" si="17"/>
        <v>1</v>
      </c>
    </row>
    <row r="30" spans="1:55" ht="20.100000000000001" customHeight="1" x14ac:dyDescent="0.2">
      <c r="A30" s="45">
        <v>0.625</v>
      </c>
      <c r="B30" s="451"/>
      <c r="C30" s="451"/>
      <c r="D30" s="451">
        <v>7.2</v>
      </c>
      <c r="E30" s="451">
        <v>63.5</v>
      </c>
      <c r="F30" s="41">
        <v>1927</v>
      </c>
      <c r="G30" s="37">
        <v>-5.6</v>
      </c>
      <c r="H30" s="37">
        <v>72.900000000000006</v>
      </c>
      <c r="I30" s="37">
        <v>21.5</v>
      </c>
      <c r="J30" s="41">
        <v>406</v>
      </c>
      <c r="K30" s="37">
        <v>13</v>
      </c>
      <c r="L30" s="451">
        <v>132</v>
      </c>
      <c r="M30" s="451">
        <v>222</v>
      </c>
      <c r="N30" s="451">
        <v>90</v>
      </c>
      <c r="O30" s="353">
        <v>40</v>
      </c>
      <c r="P30" s="353">
        <v>13</v>
      </c>
      <c r="Q30" s="353">
        <v>237.53</v>
      </c>
      <c r="R30" s="37"/>
      <c r="S30" s="508" t="str">
        <f t="shared" si="0"/>
        <v/>
      </c>
      <c r="T30" s="508"/>
      <c r="U30" s="508"/>
      <c r="V30" s="508"/>
      <c r="X30" s="45">
        <v>0.625</v>
      </c>
      <c r="Y30" s="106"/>
      <c r="Z30" s="102"/>
      <c r="AA30" s="102"/>
      <c r="AB30" s="45" t="str">
        <f t="shared" si="18"/>
        <v/>
      </c>
      <c r="AC30" s="45" t="str">
        <f t="shared" si="1"/>
        <v/>
      </c>
      <c r="AD30" s="81"/>
      <c r="AE30" s="9" t="str">
        <f>IF(S30="","",IF(COUNTA(Z30:$Z$39)=1,IF(COUNTA(AD30:$AD$39)=1,""," ; "),IF(COUNTA(AD30:$AD$39)=1,IF(Z30="",""," ; ")," ; ")))</f>
        <v/>
      </c>
      <c r="AF30" s="9" t="str">
        <f t="shared" si="2"/>
        <v/>
      </c>
      <c r="AG30" s="90" t="str">
        <f t="shared" si="3"/>
        <v/>
      </c>
      <c r="AH30" s="204" t="s">
        <v>260</v>
      </c>
      <c r="AJ30" s="206">
        <f t="shared" si="19"/>
        <v>500</v>
      </c>
      <c r="AK30" s="206">
        <f t="shared" si="19"/>
        <v>100</v>
      </c>
      <c r="AL30" s="206">
        <f t="shared" si="19"/>
        <v>2</v>
      </c>
      <c r="AM30" s="213">
        <f t="shared" si="19"/>
        <v>0.875</v>
      </c>
      <c r="AN30" s="214">
        <f t="shared" si="19"/>
        <v>0.63607464142166403</v>
      </c>
      <c r="AO30" s="215">
        <f t="shared" si="4"/>
        <v>-14.7</v>
      </c>
      <c r="AP30" s="216">
        <f t="shared" si="5"/>
        <v>1</v>
      </c>
      <c r="AQ30" s="216">
        <f t="shared" si="6"/>
        <v>1</v>
      </c>
      <c r="AR30" s="215">
        <f t="shared" si="20"/>
        <v>158.47</v>
      </c>
      <c r="AS30" s="216">
        <f t="shared" si="7"/>
        <v>0.9723448696087954</v>
      </c>
      <c r="AT30" s="216">
        <f t="shared" si="8"/>
        <v>1.2538510821608391</v>
      </c>
      <c r="AU30" s="216">
        <f t="shared" si="9"/>
        <v>2.2360679774997898</v>
      </c>
      <c r="AV30" s="217">
        <f t="shared" si="10"/>
        <v>10.368348541764712</v>
      </c>
      <c r="AW30" s="216">
        <f t="shared" si="11"/>
        <v>0</v>
      </c>
      <c r="AX30" s="218">
        <f t="shared" si="12"/>
        <v>1.4831709199797398</v>
      </c>
      <c r="AY30" s="216">
        <f t="shared" si="13"/>
        <v>0.77643477842613629</v>
      </c>
      <c r="AZ30" s="217">
        <f t="shared" si="14"/>
        <v>3.5883638597441294</v>
      </c>
      <c r="BA30" s="216">
        <f t="shared" si="15"/>
        <v>0</v>
      </c>
      <c r="BB30" s="216">
        <f t="shared" si="16"/>
        <v>1.0016542390239327</v>
      </c>
      <c r="BC30" s="216">
        <f t="shared" si="17"/>
        <v>1</v>
      </c>
    </row>
    <row r="31" spans="1:55" ht="20.100000000000001" customHeight="1" x14ac:dyDescent="0.2">
      <c r="A31" s="45">
        <v>0.66666666666666696</v>
      </c>
      <c r="B31" s="451"/>
      <c r="C31" s="451"/>
      <c r="D31" s="451">
        <v>7.4</v>
      </c>
      <c r="E31" s="451">
        <v>60.2</v>
      </c>
      <c r="F31" s="41">
        <v>1972</v>
      </c>
      <c r="G31" s="37">
        <v>-5.6</v>
      </c>
      <c r="H31" s="37">
        <v>72.5</v>
      </c>
      <c r="I31" s="37">
        <v>21.3</v>
      </c>
      <c r="J31" s="41">
        <v>407</v>
      </c>
      <c r="K31" s="37">
        <v>13</v>
      </c>
      <c r="L31" s="451">
        <v>139</v>
      </c>
      <c r="M31" s="451">
        <v>225</v>
      </c>
      <c r="N31" s="451">
        <v>90</v>
      </c>
      <c r="O31" s="353">
        <v>40</v>
      </c>
      <c r="P31" s="353">
        <v>13</v>
      </c>
      <c r="Q31" s="353">
        <v>237.53</v>
      </c>
      <c r="R31" s="37"/>
      <c r="S31" s="508" t="str">
        <f t="shared" si="0"/>
        <v/>
      </c>
      <c r="T31" s="508"/>
      <c r="U31" s="508"/>
      <c r="V31" s="508"/>
      <c r="X31" s="45">
        <v>0.66666666666666696</v>
      </c>
      <c r="Y31" s="106"/>
      <c r="Z31" s="102"/>
      <c r="AA31" s="102"/>
      <c r="AB31" s="45" t="str">
        <f t="shared" si="18"/>
        <v/>
      </c>
      <c r="AC31" s="45" t="str">
        <f t="shared" si="1"/>
        <v/>
      </c>
      <c r="AD31" s="81"/>
      <c r="AE31" s="9" t="str">
        <f>IF(S31="","",IF(COUNTA(Z31:$Z$39)=1,IF(COUNTA(AD31:$AD$39)=1,""," ; "),IF(COUNTA(AD31:$AD$39)=1,IF(Z31="",""," ; ")," ; ")))</f>
        <v/>
      </c>
      <c r="AF31" s="9" t="str">
        <f t="shared" si="2"/>
        <v/>
      </c>
      <c r="AG31" s="90" t="str">
        <f t="shared" si="3"/>
        <v/>
      </c>
      <c r="AH31" s="204" t="s">
        <v>226</v>
      </c>
      <c r="AJ31" s="206">
        <f t="shared" si="19"/>
        <v>500</v>
      </c>
      <c r="AK31" s="206">
        <f t="shared" si="19"/>
        <v>100</v>
      </c>
      <c r="AL31" s="206">
        <f t="shared" si="19"/>
        <v>2</v>
      </c>
      <c r="AM31" s="213">
        <f t="shared" si="19"/>
        <v>0.875</v>
      </c>
      <c r="AN31" s="214">
        <f t="shared" si="19"/>
        <v>0.63607464142166403</v>
      </c>
      <c r="AO31" s="215">
        <f t="shared" si="4"/>
        <v>-14.7</v>
      </c>
      <c r="AP31" s="216">
        <f t="shared" si="5"/>
        <v>1</v>
      </c>
      <c r="AQ31" s="216">
        <f t="shared" si="6"/>
        <v>1</v>
      </c>
      <c r="AR31" s="215">
        <f t="shared" si="20"/>
        <v>158.47</v>
      </c>
      <c r="AS31" s="216">
        <f t="shared" si="7"/>
        <v>0.9723448696087954</v>
      </c>
      <c r="AT31" s="216">
        <f t="shared" si="8"/>
        <v>1.2538510821608391</v>
      </c>
      <c r="AU31" s="216">
        <f t="shared" si="9"/>
        <v>2.2360679774997898</v>
      </c>
      <c r="AV31" s="217">
        <f t="shared" si="10"/>
        <v>10.368348541764712</v>
      </c>
      <c r="AW31" s="216">
        <f t="shared" si="11"/>
        <v>0</v>
      </c>
      <c r="AX31" s="218">
        <f t="shared" si="12"/>
        <v>1.4831709199797398</v>
      </c>
      <c r="AY31" s="216">
        <f t="shared" si="13"/>
        <v>0.77643477842613629</v>
      </c>
      <c r="AZ31" s="217">
        <f t="shared" si="14"/>
        <v>3.5883638597441294</v>
      </c>
      <c r="BA31" s="216">
        <f t="shared" si="15"/>
        <v>0</v>
      </c>
      <c r="BB31" s="216">
        <f t="shared" si="16"/>
        <v>1.0016542390239327</v>
      </c>
      <c r="BC31" s="216">
        <f t="shared" si="17"/>
        <v>1</v>
      </c>
    </row>
    <row r="32" spans="1:55" ht="20.100000000000001" customHeight="1" x14ac:dyDescent="0.2">
      <c r="A32" s="45">
        <v>0.70833333333333304</v>
      </c>
      <c r="B32" s="451"/>
      <c r="C32" s="451"/>
      <c r="D32" s="451">
        <v>5.8</v>
      </c>
      <c r="E32" s="451">
        <v>60.3</v>
      </c>
      <c r="F32" s="41">
        <v>1942</v>
      </c>
      <c r="G32" s="37">
        <v>-5.6</v>
      </c>
      <c r="H32" s="37">
        <v>72.3</v>
      </c>
      <c r="I32" s="37">
        <v>21.6</v>
      </c>
      <c r="J32" s="41">
        <v>408</v>
      </c>
      <c r="K32" s="37">
        <v>13</v>
      </c>
      <c r="L32" s="451">
        <v>136</v>
      </c>
      <c r="M32" s="451">
        <v>223</v>
      </c>
      <c r="N32" s="451">
        <v>90</v>
      </c>
      <c r="O32" s="353">
        <v>40</v>
      </c>
      <c r="P32" s="353">
        <v>13</v>
      </c>
      <c r="Q32" s="353">
        <v>237.53</v>
      </c>
      <c r="R32" s="37"/>
      <c r="S32" s="508" t="str">
        <f t="shared" si="0"/>
        <v/>
      </c>
      <c r="T32" s="508"/>
      <c r="U32" s="508"/>
      <c r="V32" s="508"/>
      <c r="X32" s="45">
        <v>0.70833333333333304</v>
      </c>
      <c r="Y32" s="106"/>
      <c r="Z32" s="102"/>
      <c r="AA32" s="102"/>
      <c r="AB32" s="45" t="str">
        <f t="shared" si="18"/>
        <v/>
      </c>
      <c r="AC32" s="45" t="str">
        <f t="shared" si="1"/>
        <v/>
      </c>
      <c r="AD32" s="81"/>
      <c r="AE32" s="9" t="str">
        <f>IF(S32="","",IF(COUNTA(Z32:$Z$39)=1,IF(COUNTA(AD32:$AD$39)=1,""," ; "),IF(COUNTA(AD32:$AD$39)=1,IF(Z32="",""," ; ")," ; ")))</f>
        <v/>
      </c>
      <c r="AF32" s="9" t="str">
        <f t="shared" si="2"/>
        <v/>
      </c>
      <c r="AG32" s="90" t="str">
        <f t="shared" si="3"/>
        <v/>
      </c>
      <c r="AH32" s="204" t="s">
        <v>313</v>
      </c>
      <c r="AJ32" s="206">
        <f t="shared" si="19"/>
        <v>500</v>
      </c>
      <c r="AK32" s="206">
        <f t="shared" si="19"/>
        <v>100</v>
      </c>
      <c r="AL32" s="206">
        <f t="shared" si="19"/>
        <v>2</v>
      </c>
      <c r="AM32" s="213">
        <f t="shared" si="19"/>
        <v>0.875</v>
      </c>
      <c r="AN32" s="214">
        <f t="shared" si="19"/>
        <v>0.63607464142166403</v>
      </c>
      <c r="AO32" s="215">
        <f t="shared" si="4"/>
        <v>-14.7</v>
      </c>
      <c r="AP32" s="216">
        <f t="shared" si="5"/>
        <v>1</v>
      </c>
      <c r="AQ32" s="216">
        <f t="shared" si="6"/>
        <v>1</v>
      </c>
      <c r="AR32" s="215">
        <f t="shared" si="20"/>
        <v>158.47</v>
      </c>
      <c r="AS32" s="216">
        <f t="shared" si="7"/>
        <v>0.9723448696087954</v>
      </c>
      <c r="AT32" s="216">
        <f t="shared" si="8"/>
        <v>1.2538510821608391</v>
      </c>
      <c r="AU32" s="216">
        <f t="shared" si="9"/>
        <v>2.2360679774997898</v>
      </c>
      <c r="AV32" s="217">
        <f t="shared" si="10"/>
        <v>10.368348541764712</v>
      </c>
      <c r="AW32" s="216">
        <f t="shared" si="11"/>
        <v>0</v>
      </c>
      <c r="AX32" s="218">
        <f t="shared" si="12"/>
        <v>1.4831709199797398</v>
      </c>
      <c r="AY32" s="216">
        <f t="shared" si="13"/>
        <v>0.77643477842613629</v>
      </c>
      <c r="AZ32" s="217">
        <f t="shared" si="14"/>
        <v>3.5883638597441294</v>
      </c>
      <c r="BA32" s="216">
        <f t="shared" si="15"/>
        <v>0</v>
      </c>
      <c r="BB32" s="216">
        <f t="shared" si="16"/>
        <v>1.0016542390239327</v>
      </c>
      <c r="BC32" s="216">
        <f t="shared" si="17"/>
        <v>1</v>
      </c>
    </row>
    <row r="33" spans="1:55" ht="20.100000000000001" customHeight="1" x14ac:dyDescent="0.2">
      <c r="A33" s="45">
        <v>0.75</v>
      </c>
      <c r="B33" s="451"/>
      <c r="C33" s="451"/>
      <c r="D33" s="451">
        <v>6.9</v>
      </c>
      <c r="E33" s="451">
        <v>64.7</v>
      </c>
      <c r="F33" s="41">
        <v>1947</v>
      </c>
      <c r="G33" s="37">
        <v>-5.6</v>
      </c>
      <c r="H33" s="37">
        <v>72.5</v>
      </c>
      <c r="I33" s="37">
        <v>21.9</v>
      </c>
      <c r="J33" s="41">
        <v>409</v>
      </c>
      <c r="K33" s="37">
        <v>13</v>
      </c>
      <c r="L33" s="451">
        <v>132</v>
      </c>
      <c r="M33" s="451">
        <v>223</v>
      </c>
      <c r="N33" s="451">
        <v>90</v>
      </c>
      <c r="O33" s="353">
        <v>40</v>
      </c>
      <c r="P33" s="353">
        <v>13</v>
      </c>
      <c r="Q33" s="353">
        <v>237.53</v>
      </c>
      <c r="R33" s="37"/>
      <c r="S33" s="508" t="str">
        <f>IF(Z33="",IF(AD33="","",AD33),CONCATENATE(TEXT(Z33,"[hh]:mm"),IF(AA33="",""," - "&amp;TEXT(AA33,"[hh]:mm")),IF(Y33="",""," "&amp;Y33&amp;"/")," "&amp;AD33))</f>
        <v/>
      </c>
      <c r="T33" s="508"/>
      <c r="U33" s="508"/>
      <c r="V33" s="508"/>
      <c r="X33" s="45">
        <v>0.75</v>
      </c>
      <c r="Y33" s="106"/>
      <c r="Z33" s="102"/>
      <c r="AA33" s="102"/>
      <c r="AB33" s="45" t="str">
        <f t="shared" si="18"/>
        <v/>
      </c>
      <c r="AC33" s="45" t="str">
        <f t="shared" si="1"/>
        <v/>
      </c>
      <c r="AD33" s="81"/>
      <c r="AE33" s="9" t="str">
        <f>IF(S33="","",IF(COUNTA(Z33:$Z$39)=1,IF(COUNTA(AD33:$AD$39)=1,""," ; "),IF(COUNTA(AD33:$AD$39)=1,IF(Z33="",""," ; ")," ; ")))</f>
        <v/>
      </c>
      <c r="AF33" s="9" t="str">
        <f t="shared" si="2"/>
        <v/>
      </c>
      <c r="AG33" s="90" t="str">
        <f t="shared" si="3"/>
        <v/>
      </c>
      <c r="AH33" s="204" t="s">
        <v>308</v>
      </c>
      <c r="AJ33" s="206">
        <f t="shared" ref="AJ33:AN39" si="21">AJ32</f>
        <v>500</v>
      </c>
      <c r="AK33" s="206">
        <f t="shared" si="21"/>
        <v>100</v>
      </c>
      <c r="AL33" s="206">
        <f t="shared" si="21"/>
        <v>2</v>
      </c>
      <c r="AM33" s="213">
        <f t="shared" si="21"/>
        <v>0.875</v>
      </c>
      <c r="AN33" s="214">
        <f t="shared" si="21"/>
        <v>0.63607464142166403</v>
      </c>
      <c r="AO33" s="215">
        <f t="shared" si="4"/>
        <v>-14.7</v>
      </c>
      <c r="AP33" s="216">
        <f t="shared" si="5"/>
        <v>1</v>
      </c>
      <c r="AQ33" s="216">
        <f t="shared" si="6"/>
        <v>1</v>
      </c>
      <c r="AR33" s="215">
        <f t="shared" si="20"/>
        <v>158.47</v>
      </c>
      <c r="AS33" s="216">
        <f t="shared" si="7"/>
        <v>0.9723448696087954</v>
      </c>
      <c r="AT33" s="216">
        <f t="shared" si="8"/>
        <v>1.2538510821608391</v>
      </c>
      <c r="AU33" s="216">
        <f t="shared" si="9"/>
        <v>2.2360679774997898</v>
      </c>
      <c r="AV33" s="217">
        <f t="shared" si="10"/>
        <v>10.368348541764712</v>
      </c>
      <c r="AW33" s="216">
        <f t="shared" si="11"/>
        <v>0</v>
      </c>
      <c r="AX33" s="218">
        <f t="shared" si="12"/>
        <v>1.4831709199797398</v>
      </c>
      <c r="AY33" s="216">
        <f t="shared" si="13"/>
        <v>0.77643477842613629</v>
      </c>
      <c r="AZ33" s="217">
        <f t="shared" si="14"/>
        <v>3.5883638597441294</v>
      </c>
      <c r="BA33" s="216">
        <f t="shared" si="15"/>
        <v>0</v>
      </c>
      <c r="BB33" s="216">
        <f t="shared" si="16"/>
        <v>1.0016542390239327</v>
      </c>
      <c r="BC33" s="216">
        <f t="shared" si="17"/>
        <v>1</v>
      </c>
    </row>
    <row r="34" spans="1:55" ht="20.100000000000001" customHeight="1" x14ac:dyDescent="0.2">
      <c r="A34" s="45">
        <v>0.79166666666666696</v>
      </c>
      <c r="B34" s="451"/>
      <c r="C34" s="451"/>
      <c r="D34" s="451">
        <v>7.2</v>
      </c>
      <c r="E34" s="451">
        <v>60.7</v>
      </c>
      <c r="F34" s="41">
        <v>1966</v>
      </c>
      <c r="G34" s="37">
        <v>-5.6</v>
      </c>
      <c r="H34" s="37">
        <v>72.7</v>
      </c>
      <c r="I34" s="37">
        <v>21.4</v>
      </c>
      <c r="J34" s="41">
        <v>410</v>
      </c>
      <c r="K34" s="37">
        <v>13</v>
      </c>
      <c r="L34" s="451">
        <v>130</v>
      </c>
      <c r="M34" s="451">
        <v>222</v>
      </c>
      <c r="N34" s="451">
        <v>90</v>
      </c>
      <c r="O34" s="353">
        <v>40</v>
      </c>
      <c r="P34" s="353">
        <v>13</v>
      </c>
      <c r="Q34" s="353">
        <v>237.53</v>
      </c>
      <c r="R34" s="37"/>
      <c r="S34" s="508" t="str">
        <f t="shared" ref="S34:S39" si="22">IF(Z34="",IF(AD34="","",AD34),CONCATENATE(TEXT(Z34,"[hh]:mm"),IF(AA34="",""," - "&amp;TEXT(AA34,"[hh]:mm")),IF(Y34="",""," "&amp;Y34&amp;"/")," "&amp;AD34))</f>
        <v/>
      </c>
      <c r="T34" s="508"/>
      <c r="U34" s="508"/>
      <c r="V34" s="508"/>
      <c r="X34" s="45">
        <v>0.79166666666666696</v>
      </c>
      <c r="Y34" s="106"/>
      <c r="Z34" s="102"/>
      <c r="AA34" s="102"/>
      <c r="AB34" s="45" t="str">
        <f t="shared" si="18"/>
        <v/>
      </c>
      <c r="AC34" s="45" t="str">
        <f t="shared" si="1"/>
        <v/>
      </c>
      <c r="AD34" s="81"/>
      <c r="AE34" s="9" t="str">
        <f>IF(S34="","",IF(COUNTA(Z34:$Z$39)=1,IF(COUNTA(AD34:$AD$39)=1,""," ; "),IF(COUNTA(AD34:$AD$39)=1,IF(Z34="",""," ; ")," ; ")))</f>
        <v/>
      </c>
      <c r="AF34" s="9" t="str">
        <f t="shared" si="2"/>
        <v/>
      </c>
      <c r="AG34" s="90" t="str">
        <f t="shared" si="3"/>
        <v/>
      </c>
      <c r="AH34" s="204" t="s">
        <v>314</v>
      </c>
      <c r="AJ34" s="206">
        <f t="shared" si="21"/>
        <v>500</v>
      </c>
      <c r="AK34" s="206">
        <f t="shared" si="21"/>
        <v>100</v>
      </c>
      <c r="AL34" s="206">
        <f t="shared" si="21"/>
        <v>2</v>
      </c>
      <c r="AM34" s="213">
        <f t="shared" si="21"/>
        <v>0.875</v>
      </c>
      <c r="AN34" s="214">
        <f t="shared" si="21"/>
        <v>0.63607464142166403</v>
      </c>
      <c r="AO34" s="215">
        <f t="shared" si="4"/>
        <v>-14.7</v>
      </c>
      <c r="AP34" s="216">
        <f t="shared" si="5"/>
        <v>1</v>
      </c>
      <c r="AQ34" s="216">
        <f t="shared" si="6"/>
        <v>1</v>
      </c>
      <c r="AR34" s="215">
        <f t="shared" si="20"/>
        <v>158.47</v>
      </c>
      <c r="AS34" s="216">
        <f t="shared" si="7"/>
        <v>0.9723448696087954</v>
      </c>
      <c r="AT34" s="216">
        <f t="shared" si="8"/>
        <v>1.2538510821608391</v>
      </c>
      <c r="AU34" s="216">
        <f t="shared" si="9"/>
        <v>2.2360679774997898</v>
      </c>
      <c r="AV34" s="217">
        <f t="shared" si="10"/>
        <v>10.368348541764712</v>
      </c>
      <c r="AW34" s="216">
        <f t="shared" si="11"/>
        <v>0</v>
      </c>
      <c r="AX34" s="218">
        <f t="shared" si="12"/>
        <v>1.4831709199797398</v>
      </c>
      <c r="AY34" s="216">
        <f t="shared" si="13"/>
        <v>0.77643477842613629</v>
      </c>
      <c r="AZ34" s="217">
        <f t="shared" si="14"/>
        <v>3.5883638597441294</v>
      </c>
      <c r="BA34" s="216">
        <f t="shared" si="15"/>
        <v>0</v>
      </c>
      <c r="BB34" s="216">
        <f t="shared" si="16"/>
        <v>1.0016542390239327</v>
      </c>
      <c r="BC34" s="216">
        <f t="shared" si="17"/>
        <v>1</v>
      </c>
    </row>
    <row r="35" spans="1:55" ht="20.100000000000001" customHeight="1" x14ac:dyDescent="0.2">
      <c r="A35" s="45">
        <v>0.83333333333333304</v>
      </c>
      <c r="B35" s="451"/>
      <c r="C35" s="451"/>
      <c r="D35" s="451">
        <v>7.9</v>
      </c>
      <c r="E35" s="451">
        <v>63.6</v>
      </c>
      <c r="F35" s="41">
        <v>1957</v>
      </c>
      <c r="G35" s="37">
        <v>-5.6</v>
      </c>
      <c r="H35" s="37">
        <v>72.5</v>
      </c>
      <c r="I35" s="37">
        <v>21.3</v>
      </c>
      <c r="J35" s="41">
        <v>411</v>
      </c>
      <c r="K35" s="37">
        <v>13</v>
      </c>
      <c r="L35" s="451">
        <v>128</v>
      </c>
      <c r="M35" s="451">
        <v>220</v>
      </c>
      <c r="N35" s="451">
        <v>90</v>
      </c>
      <c r="O35" s="353">
        <v>30</v>
      </c>
      <c r="P35" s="353">
        <v>10</v>
      </c>
      <c r="Q35" s="353">
        <v>188.35</v>
      </c>
      <c r="R35" s="37"/>
      <c r="S35" s="508" t="str">
        <f t="shared" si="22"/>
        <v/>
      </c>
      <c r="T35" s="508"/>
      <c r="U35" s="508"/>
      <c r="V35" s="508"/>
      <c r="X35" s="45">
        <v>0.83333333333333304</v>
      </c>
      <c r="Y35" s="106"/>
      <c r="Z35" s="102"/>
      <c r="AA35" s="102"/>
      <c r="AB35" s="45" t="str">
        <f t="shared" si="18"/>
        <v/>
      </c>
      <c r="AC35" s="45" t="str">
        <f t="shared" si="1"/>
        <v/>
      </c>
      <c r="AD35" s="81"/>
      <c r="AE35" s="9" t="str">
        <f>IF(S35="","",IF(COUNTA(Z35:$Z$39)=1,IF(COUNTA(AD35:$AD$39)=1,""," ; "),IF(COUNTA(AD35:$AD$39)=1,IF(Z35="",""," ; ")," ; ")))</f>
        <v/>
      </c>
      <c r="AF35" s="9" t="str">
        <f t="shared" si="2"/>
        <v/>
      </c>
      <c r="AG35" s="90" t="str">
        <f t="shared" si="3"/>
        <v/>
      </c>
      <c r="AH35" s="204" t="s">
        <v>227</v>
      </c>
      <c r="AJ35" s="206">
        <f t="shared" si="21"/>
        <v>500</v>
      </c>
      <c r="AK35" s="206">
        <f t="shared" si="21"/>
        <v>100</v>
      </c>
      <c r="AL35" s="206">
        <f t="shared" si="21"/>
        <v>2</v>
      </c>
      <c r="AM35" s="213">
        <f t="shared" si="21"/>
        <v>0.875</v>
      </c>
      <c r="AN35" s="214">
        <f t="shared" si="21"/>
        <v>0.63607464142166403</v>
      </c>
      <c r="AO35" s="215">
        <f t="shared" si="4"/>
        <v>-14.7</v>
      </c>
      <c r="AP35" s="216">
        <f t="shared" si="5"/>
        <v>1</v>
      </c>
      <c r="AQ35" s="216">
        <f t="shared" si="6"/>
        <v>1</v>
      </c>
      <c r="AR35" s="215">
        <f t="shared" si="20"/>
        <v>158.47</v>
      </c>
      <c r="AS35" s="216">
        <f t="shared" si="7"/>
        <v>0.9723448696087954</v>
      </c>
      <c r="AT35" s="216">
        <f t="shared" si="8"/>
        <v>1.2538510821608391</v>
      </c>
      <c r="AU35" s="216">
        <f t="shared" si="9"/>
        <v>2.2360679774997898</v>
      </c>
      <c r="AV35" s="217">
        <f t="shared" si="10"/>
        <v>10.368348541764712</v>
      </c>
      <c r="AW35" s="216">
        <f t="shared" si="11"/>
        <v>0</v>
      </c>
      <c r="AX35" s="218">
        <f t="shared" si="12"/>
        <v>1.4831709199797398</v>
      </c>
      <c r="AY35" s="216">
        <f t="shared" si="13"/>
        <v>0.77643477842613629</v>
      </c>
      <c r="AZ35" s="217">
        <f t="shared" si="14"/>
        <v>3.5883638597441294</v>
      </c>
      <c r="BA35" s="216">
        <f t="shared" si="15"/>
        <v>0</v>
      </c>
      <c r="BB35" s="216">
        <f t="shared" si="16"/>
        <v>1.0016542390239327</v>
      </c>
      <c r="BC35" s="216">
        <f t="shared" si="17"/>
        <v>1</v>
      </c>
    </row>
    <row r="36" spans="1:55" ht="20.100000000000001" customHeight="1" x14ac:dyDescent="0.2">
      <c r="A36" s="45">
        <v>0.875</v>
      </c>
      <c r="B36" s="451"/>
      <c r="C36" s="451"/>
      <c r="D36" s="451">
        <v>7.5</v>
      </c>
      <c r="E36" s="451">
        <v>63.3</v>
      </c>
      <c r="F36" s="41">
        <v>1950</v>
      </c>
      <c r="G36" s="37">
        <v>-5.6</v>
      </c>
      <c r="H36" s="37">
        <v>72.3</v>
      </c>
      <c r="I36" s="37">
        <v>21.6</v>
      </c>
      <c r="J36" s="41">
        <v>412</v>
      </c>
      <c r="K36" s="37">
        <v>13</v>
      </c>
      <c r="L36" s="451">
        <v>128</v>
      </c>
      <c r="M36" s="451">
        <v>220</v>
      </c>
      <c r="N36" s="451">
        <v>90</v>
      </c>
      <c r="O36" s="353">
        <v>30</v>
      </c>
      <c r="P36" s="353">
        <v>10</v>
      </c>
      <c r="Q36" s="353">
        <v>188.35</v>
      </c>
      <c r="R36" s="37"/>
      <c r="S36" s="508" t="str">
        <f t="shared" si="22"/>
        <v/>
      </c>
      <c r="T36" s="508"/>
      <c r="U36" s="508"/>
      <c r="V36" s="508"/>
      <c r="X36" s="45">
        <v>0.875</v>
      </c>
      <c r="Y36" s="106"/>
      <c r="Z36" s="102"/>
      <c r="AA36" s="102"/>
      <c r="AB36" s="45" t="str">
        <f t="shared" si="18"/>
        <v/>
      </c>
      <c r="AC36" s="45" t="str">
        <f t="shared" si="1"/>
        <v/>
      </c>
      <c r="AD36" s="81"/>
      <c r="AE36" s="9" t="str">
        <f>IF(S36="","",IF(COUNTA(Z36:$Z$39)=1,IF(COUNTA(AD36:$AD$39)=1,""," ; "),IF(COUNTA(AD36:$AD$39)=1,IF(Z36="",""," ; ")," ; ")))</f>
        <v/>
      </c>
      <c r="AF36" s="9" t="str">
        <f t="shared" si="2"/>
        <v/>
      </c>
      <c r="AG36" s="90" t="str">
        <f t="shared" si="3"/>
        <v/>
      </c>
      <c r="AH36" s="204" t="s">
        <v>309</v>
      </c>
      <c r="AJ36" s="206">
        <f t="shared" si="21"/>
        <v>500</v>
      </c>
      <c r="AK36" s="206">
        <f t="shared" si="21"/>
        <v>100</v>
      </c>
      <c r="AL36" s="206">
        <f t="shared" si="21"/>
        <v>2</v>
      </c>
      <c r="AM36" s="213">
        <f t="shared" si="21"/>
        <v>0.875</v>
      </c>
      <c r="AN36" s="214">
        <f t="shared" si="21"/>
        <v>0.63607464142166403</v>
      </c>
      <c r="AO36" s="215">
        <f t="shared" si="4"/>
        <v>-14.7</v>
      </c>
      <c r="AP36" s="216">
        <f t="shared" si="5"/>
        <v>1</v>
      </c>
      <c r="AQ36" s="216">
        <f t="shared" si="6"/>
        <v>1</v>
      </c>
      <c r="AR36" s="215">
        <f t="shared" si="20"/>
        <v>158.47</v>
      </c>
      <c r="AS36" s="216">
        <f t="shared" si="7"/>
        <v>0.9723448696087954</v>
      </c>
      <c r="AT36" s="216">
        <f t="shared" si="8"/>
        <v>1.2538510821608391</v>
      </c>
      <c r="AU36" s="216">
        <f t="shared" si="9"/>
        <v>2.2360679774997898</v>
      </c>
      <c r="AV36" s="217">
        <f t="shared" si="10"/>
        <v>10.368348541764712</v>
      </c>
      <c r="AW36" s="216">
        <f t="shared" si="11"/>
        <v>0</v>
      </c>
      <c r="AX36" s="218">
        <f t="shared" si="12"/>
        <v>1.4831709199797398</v>
      </c>
      <c r="AY36" s="216">
        <f t="shared" si="13"/>
        <v>0.77643477842613629</v>
      </c>
      <c r="AZ36" s="217">
        <f t="shared" si="14"/>
        <v>3.5883638597441294</v>
      </c>
      <c r="BA36" s="216">
        <f t="shared" si="15"/>
        <v>0</v>
      </c>
      <c r="BB36" s="216">
        <f t="shared" si="16"/>
        <v>1.0016542390239327</v>
      </c>
      <c r="BC36" s="216">
        <f t="shared" si="17"/>
        <v>1</v>
      </c>
    </row>
    <row r="37" spans="1:55" ht="20.100000000000001" customHeight="1" x14ac:dyDescent="0.2">
      <c r="A37" s="45">
        <v>0.91666666666666696</v>
      </c>
      <c r="B37" s="451"/>
      <c r="C37" s="451"/>
      <c r="D37" s="451">
        <v>6.3</v>
      </c>
      <c r="E37" s="451">
        <v>61.1</v>
      </c>
      <c r="F37" s="41">
        <v>1935</v>
      </c>
      <c r="G37" s="37">
        <v>-5.6</v>
      </c>
      <c r="H37" s="37">
        <v>72.599999999999994</v>
      </c>
      <c r="I37" s="37">
        <v>21.5</v>
      </c>
      <c r="J37" s="41">
        <v>413</v>
      </c>
      <c r="K37" s="37">
        <v>13</v>
      </c>
      <c r="L37" s="451">
        <v>125</v>
      </c>
      <c r="M37" s="451">
        <v>222</v>
      </c>
      <c r="N37" s="451">
        <v>90</v>
      </c>
      <c r="O37" s="353">
        <v>30</v>
      </c>
      <c r="P37" s="353">
        <v>10</v>
      </c>
      <c r="Q37" s="353">
        <v>188.35</v>
      </c>
      <c r="R37" s="37"/>
      <c r="S37" s="508" t="str">
        <f t="shared" si="22"/>
        <v/>
      </c>
      <c r="T37" s="508"/>
      <c r="U37" s="508"/>
      <c r="V37" s="508"/>
      <c r="X37" s="45">
        <v>0.91666666666666696</v>
      </c>
      <c r="Y37" s="106"/>
      <c r="Z37" s="102"/>
      <c r="AA37" s="102"/>
      <c r="AB37" s="45" t="str">
        <f t="shared" si="18"/>
        <v/>
      </c>
      <c r="AC37" s="45" t="str">
        <f t="shared" si="1"/>
        <v/>
      </c>
      <c r="AD37" s="81"/>
      <c r="AE37" s="9" t="str">
        <f>IF(S37="","",IF(COUNTA(Z37:$Z$39)=1,IF(COUNTA(AD37:$AD$39)=1,""," ; "),IF(COUNTA(AD37:$AD$39)=1,IF(Z37="",""," ; ")," ; ")))</f>
        <v/>
      </c>
      <c r="AF37" s="9" t="str">
        <f t="shared" si="2"/>
        <v/>
      </c>
      <c r="AG37" s="90" t="str">
        <f t="shared" si="3"/>
        <v/>
      </c>
      <c r="AH37" s="204" t="s">
        <v>319</v>
      </c>
      <c r="AJ37" s="206">
        <f t="shared" si="21"/>
        <v>500</v>
      </c>
      <c r="AK37" s="206">
        <f t="shared" si="21"/>
        <v>100</v>
      </c>
      <c r="AL37" s="206">
        <f t="shared" si="21"/>
        <v>2</v>
      </c>
      <c r="AM37" s="213">
        <f t="shared" si="21"/>
        <v>0.875</v>
      </c>
      <c r="AN37" s="214">
        <f t="shared" si="21"/>
        <v>0.63607464142166403</v>
      </c>
      <c r="AO37" s="215">
        <f t="shared" si="4"/>
        <v>-14.7</v>
      </c>
      <c r="AP37" s="216">
        <f t="shared" si="5"/>
        <v>1</v>
      </c>
      <c r="AQ37" s="216">
        <f t="shared" si="6"/>
        <v>1</v>
      </c>
      <c r="AR37" s="215">
        <f t="shared" si="20"/>
        <v>158.47</v>
      </c>
      <c r="AS37" s="216">
        <f t="shared" si="7"/>
        <v>0.9723448696087954</v>
      </c>
      <c r="AT37" s="216">
        <f t="shared" si="8"/>
        <v>1.2538510821608391</v>
      </c>
      <c r="AU37" s="216">
        <f t="shared" si="9"/>
        <v>2.2360679774997898</v>
      </c>
      <c r="AV37" s="217">
        <f t="shared" si="10"/>
        <v>10.368348541764712</v>
      </c>
      <c r="AW37" s="216">
        <f t="shared" si="11"/>
        <v>0</v>
      </c>
      <c r="AX37" s="218">
        <f t="shared" si="12"/>
        <v>1.4831709199797398</v>
      </c>
      <c r="AY37" s="216">
        <f t="shared" si="13"/>
        <v>0.77643477842613629</v>
      </c>
      <c r="AZ37" s="217">
        <f t="shared" si="14"/>
        <v>3.5883638597441294</v>
      </c>
      <c r="BA37" s="216">
        <f t="shared" si="15"/>
        <v>0</v>
      </c>
      <c r="BB37" s="216">
        <f t="shared" si="16"/>
        <v>1.0016542390239327</v>
      </c>
      <c r="BC37" s="216">
        <f t="shared" si="17"/>
        <v>1</v>
      </c>
    </row>
    <row r="38" spans="1:55" ht="20.100000000000001" customHeight="1" x14ac:dyDescent="0.2">
      <c r="A38" s="45">
        <v>0.95833333333333304</v>
      </c>
      <c r="B38" s="451"/>
      <c r="C38" s="451"/>
      <c r="D38" s="451">
        <v>6.5</v>
      </c>
      <c r="E38" s="451">
        <v>61.3</v>
      </c>
      <c r="F38" s="41">
        <v>1980</v>
      </c>
      <c r="G38" s="37">
        <v>-5.6</v>
      </c>
      <c r="H38" s="37">
        <v>72.8</v>
      </c>
      <c r="I38" s="37">
        <v>21.9</v>
      </c>
      <c r="J38" s="41">
        <v>414</v>
      </c>
      <c r="K38" s="37">
        <v>13</v>
      </c>
      <c r="L38" s="451">
        <v>125</v>
      </c>
      <c r="M38" s="451">
        <v>222</v>
      </c>
      <c r="N38" s="451">
        <v>90</v>
      </c>
      <c r="O38" s="353">
        <v>30</v>
      </c>
      <c r="P38" s="353">
        <v>10</v>
      </c>
      <c r="Q38" s="353">
        <v>188.35</v>
      </c>
      <c r="R38" s="37"/>
      <c r="S38" s="508" t="str">
        <f t="shared" si="22"/>
        <v/>
      </c>
      <c r="T38" s="508"/>
      <c r="U38" s="508"/>
      <c r="V38" s="508"/>
      <c r="X38" s="45">
        <v>0.95833333333333304</v>
      </c>
      <c r="Y38" s="106"/>
      <c r="Z38" s="102"/>
      <c r="AA38" s="102"/>
      <c r="AB38" s="45" t="str">
        <f t="shared" si="18"/>
        <v/>
      </c>
      <c r="AC38" s="45" t="str">
        <f t="shared" si="1"/>
        <v/>
      </c>
      <c r="AD38" s="81"/>
      <c r="AE38" s="9" t="str">
        <f>IF(S38="","",IF(COUNTA(Z38:$Z$39)=1,IF(COUNTA(AD38:$AD$39)=1,""," ; "),IF(COUNTA(AD38:$AD$39)=1,IF(Z38="",""," ; ")," ; ")))</f>
        <v/>
      </c>
      <c r="AF38" s="9" t="str">
        <f t="shared" si="2"/>
        <v/>
      </c>
      <c r="AG38" s="90" t="str">
        <f t="shared" si="3"/>
        <v/>
      </c>
      <c r="AH38" s="204" t="s">
        <v>219</v>
      </c>
      <c r="AJ38" s="206">
        <f t="shared" si="21"/>
        <v>500</v>
      </c>
      <c r="AK38" s="206">
        <f t="shared" si="21"/>
        <v>100</v>
      </c>
      <c r="AL38" s="206">
        <f t="shared" si="21"/>
        <v>2</v>
      </c>
      <c r="AM38" s="213">
        <f t="shared" si="21"/>
        <v>0.875</v>
      </c>
      <c r="AN38" s="214">
        <f t="shared" si="21"/>
        <v>0.63607464142166403</v>
      </c>
      <c r="AO38" s="215">
        <f t="shared" si="4"/>
        <v>-14.7</v>
      </c>
      <c r="AP38" s="216">
        <f t="shared" si="5"/>
        <v>1</v>
      </c>
      <c r="AQ38" s="216">
        <f t="shared" si="6"/>
        <v>1</v>
      </c>
      <c r="AR38" s="215">
        <f t="shared" si="20"/>
        <v>158.47</v>
      </c>
      <c r="AS38" s="216">
        <f t="shared" si="7"/>
        <v>0.9723448696087954</v>
      </c>
      <c r="AT38" s="216">
        <f t="shared" si="8"/>
        <v>1.2538510821608391</v>
      </c>
      <c r="AU38" s="216">
        <f t="shared" si="9"/>
        <v>2.2360679774997898</v>
      </c>
      <c r="AV38" s="217">
        <f t="shared" si="10"/>
        <v>10.368348541764712</v>
      </c>
      <c r="AW38" s="216">
        <f t="shared" si="11"/>
        <v>0</v>
      </c>
      <c r="AX38" s="218">
        <f t="shared" si="12"/>
        <v>1.4831709199797398</v>
      </c>
      <c r="AY38" s="216">
        <f t="shared" si="13"/>
        <v>0.77643477842613629</v>
      </c>
      <c r="AZ38" s="217">
        <f t="shared" si="14"/>
        <v>3.5883638597441294</v>
      </c>
      <c r="BA38" s="216">
        <f t="shared" si="15"/>
        <v>0</v>
      </c>
      <c r="BB38" s="216">
        <f t="shared" si="16"/>
        <v>1.0016542390239327</v>
      </c>
      <c r="BC38" s="216">
        <f t="shared" si="17"/>
        <v>1</v>
      </c>
    </row>
    <row r="39" spans="1:55" ht="20.100000000000001" customHeight="1" thickBot="1" x14ac:dyDescent="0.25">
      <c r="A39" s="46">
        <v>1</v>
      </c>
      <c r="B39" s="451"/>
      <c r="C39" s="451"/>
      <c r="D39" s="452">
        <v>6.8</v>
      </c>
      <c r="E39" s="452">
        <v>61.6</v>
      </c>
      <c r="F39" s="42">
        <v>1943</v>
      </c>
      <c r="G39" s="37">
        <v>-5.6</v>
      </c>
      <c r="H39" s="37">
        <v>72.099999999999994</v>
      </c>
      <c r="I39" s="37">
        <v>21.3</v>
      </c>
      <c r="J39" s="41">
        <v>415</v>
      </c>
      <c r="K39" s="37">
        <v>13</v>
      </c>
      <c r="L39" s="452">
        <v>127</v>
      </c>
      <c r="M39" s="452">
        <v>224</v>
      </c>
      <c r="N39" s="451">
        <v>90</v>
      </c>
      <c r="O39" s="353">
        <v>30</v>
      </c>
      <c r="P39" s="353">
        <v>10</v>
      </c>
      <c r="Q39" s="354">
        <v>188.35</v>
      </c>
      <c r="R39" s="38"/>
      <c r="S39" s="512" t="str">
        <f t="shared" si="22"/>
        <v/>
      </c>
      <c r="T39" s="512"/>
      <c r="U39" s="512"/>
      <c r="V39" s="512"/>
      <c r="X39" s="46">
        <v>1</v>
      </c>
      <c r="Y39" s="107"/>
      <c r="Z39" s="103"/>
      <c r="AA39" s="103"/>
      <c r="AB39" s="46" t="str">
        <f t="shared" si="18"/>
        <v/>
      </c>
      <c r="AC39" s="46" t="str">
        <f t="shared" si="1"/>
        <v/>
      </c>
      <c r="AD39" s="82"/>
      <c r="AE39" s="9" t="str">
        <f>IF(S39="","",IF(COUNTA(Z39:$Z$39)=1,IF(COUNTA(AD39:$AD$39)=1,""," ; "),IF(COUNTA(AD39:$AD$39)=1,IF(Z39="",""," ; ")," ; ")))</f>
        <v/>
      </c>
      <c r="AF39" s="9" t="str">
        <f t="shared" si="2"/>
        <v/>
      </c>
      <c r="AG39" s="90" t="str">
        <f t="shared" si="3"/>
        <v/>
      </c>
      <c r="AH39" s="204" t="s">
        <v>220</v>
      </c>
      <c r="AJ39" s="219">
        <f t="shared" si="21"/>
        <v>500</v>
      </c>
      <c r="AK39" s="219">
        <f t="shared" si="21"/>
        <v>100</v>
      </c>
      <c r="AL39" s="219">
        <f t="shared" si="21"/>
        <v>2</v>
      </c>
      <c r="AM39" s="220">
        <f t="shared" si="21"/>
        <v>0.875</v>
      </c>
      <c r="AN39" s="221">
        <f t="shared" si="21"/>
        <v>0.63607464142166403</v>
      </c>
      <c r="AO39" s="222">
        <f t="shared" si="4"/>
        <v>-14.7</v>
      </c>
      <c r="AP39" s="223">
        <f t="shared" si="5"/>
        <v>1</v>
      </c>
      <c r="AQ39" s="223">
        <f t="shared" si="6"/>
        <v>1</v>
      </c>
      <c r="AR39" s="222">
        <f t="shared" si="20"/>
        <v>158.47</v>
      </c>
      <c r="AS39" s="223">
        <f t="shared" si="7"/>
        <v>0.9723448696087954</v>
      </c>
      <c r="AT39" s="223">
        <f t="shared" si="8"/>
        <v>1.2538510821608391</v>
      </c>
      <c r="AU39" s="223">
        <f t="shared" si="9"/>
        <v>2.2360679774997898</v>
      </c>
      <c r="AV39" s="224">
        <f t="shared" si="10"/>
        <v>10.368348541764712</v>
      </c>
      <c r="AW39" s="223">
        <f t="shared" si="11"/>
        <v>0</v>
      </c>
      <c r="AX39" s="225">
        <f t="shared" si="12"/>
        <v>1.4831709199797398</v>
      </c>
      <c r="AY39" s="223">
        <f t="shared" si="13"/>
        <v>0.77643477842613629</v>
      </c>
      <c r="AZ39" s="224">
        <f t="shared" si="14"/>
        <v>3.5883638597441294</v>
      </c>
      <c r="BA39" s="223">
        <f t="shared" si="15"/>
        <v>0</v>
      </c>
      <c r="BB39" s="223">
        <f t="shared" si="16"/>
        <v>1.0016542390239327</v>
      </c>
      <c r="BC39" s="223">
        <f t="shared" si="17"/>
        <v>1</v>
      </c>
    </row>
    <row r="40" spans="1:55" ht="20.100000000000001" customHeight="1" thickBot="1" x14ac:dyDescent="0.3">
      <c r="A40" s="53" t="s">
        <v>11</v>
      </c>
      <c r="B40" s="453" t="str">
        <f>IFERROR(ROUND(AVERAGE(B16:B39),2),"")</f>
        <v/>
      </c>
      <c r="C40" s="453" t="str">
        <f>IFERROR(ROUND(AVERAGE(C16:C39),2),"")</f>
        <v/>
      </c>
      <c r="D40" s="453">
        <f>IFERROR(ROUND(AVERAGE(D16:D39),2),"")</f>
        <v>7.1</v>
      </c>
      <c r="E40" s="453">
        <f>IFERROR(ROUND(AVERAGE(E16:E39),2),"")</f>
        <v>62.6</v>
      </c>
      <c r="F40" s="55">
        <f>IFERROR(ROUND(AVERAGE(F16:F39),0),"")</f>
        <v>1947</v>
      </c>
      <c r="G40" s="54">
        <f>IFERROR(AVERAGE(G16:G39),"")</f>
        <v>-5.5999999999999979</v>
      </c>
      <c r="H40" s="54">
        <f>IFERROR(AVERAGE(H16:H39),"")</f>
        <v>72.424999999999997</v>
      </c>
      <c r="I40" s="54">
        <f>IFERROR(AVERAGE(I16:I39),"")</f>
        <v>21.549999999999997</v>
      </c>
      <c r="J40" s="71"/>
      <c r="K40" s="111">
        <f>IFERROR(AVERAGE(K16:K39),"")</f>
        <v>13</v>
      </c>
      <c r="L40" s="453">
        <f t="shared" ref="L40:P40" si="23">IFERROR(ROUND(AVERAGE(L16:L39),1),"")</f>
        <v>132.30000000000001</v>
      </c>
      <c r="M40" s="453">
        <f t="shared" si="23"/>
        <v>222</v>
      </c>
      <c r="N40" s="453">
        <f t="shared" si="23"/>
        <v>90</v>
      </c>
      <c r="O40" s="456">
        <f t="shared" si="23"/>
        <v>40.4</v>
      </c>
      <c r="P40" s="456">
        <f t="shared" si="23"/>
        <v>11.8</v>
      </c>
      <c r="Q40" s="456">
        <f>IF($I$47=1,$M$49,$Q$44)</f>
        <v>210.2</v>
      </c>
      <c r="R40" s="54" t="str">
        <f>IFERROR(ROUND(AVERAGE(R16:R39),1),"")</f>
        <v/>
      </c>
      <c r="S40" s="509"/>
      <c r="T40" s="510"/>
      <c r="U40" s="510"/>
      <c r="V40" s="511"/>
      <c r="X40" s="99"/>
      <c r="Y40" s="99"/>
      <c r="Z40" s="99"/>
      <c r="AA40" s="99"/>
      <c r="AB40" s="104">
        <f>SUM(AB16:AB39)</f>
        <v>0</v>
      </c>
      <c r="AC40" s="104">
        <f>SUM(AC16:AC39)</f>
        <v>0</v>
      </c>
      <c r="AD40" s="92" t="str">
        <f>IF(OR(COUNTBLANK(D16:E39)+COUNTBLANK(O16:P39)=0,COUNTA(S16:V39)&lt;&gt;0),"","CEK : Blank Data - Remarks")</f>
        <v/>
      </c>
      <c r="AG40" s="90" t="str">
        <f>IF(COUNTIF(AG16:AG39,"")=COUNTA(AG16:AG39),"","CEK : Data Flowrate")</f>
        <v/>
      </c>
      <c r="AH40" s="204" t="s">
        <v>311</v>
      </c>
    </row>
    <row r="41" spans="1:55" ht="20.100000000000001" hidden="1" customHeight="1" thickBot="1" x14ac:dyDescent="0.3">
      <c r="A41" s="49" t="s">
        <v>12</v>
      </c>
      <c r="B41" s="52" t="str">
        <f>IF(COUNT(B16:B39)&gt;0,ROUND(MIN(B16:B39),2),"")</f>
        <v/>
      </c>
      <c r="C41" s="52" t="str">
        <f>IF(COUNT(C16:C39)&gt;0,ROUND(MIN(C16:C39),2),"")</f>
        <v/>
      </c>
      <c r="D41" s="52">
        <f>IF(COUNT(D16:D39)&gt;0,ROUND(MIN(D16:D39),2),"")</f>
        <v>5.8</v>
      </c>
      <c r="E41" s="52">
        <f>IF(COUNT(E16:E39)&gt;0,ROUND(MIN(E16:E39),2),"")</f>
        <v>60.2</v>
      </c>
      <c r="F41" s="51">
        <f>IF(COUNT(F16:F39)&gt;0,ROUND(MIN(F16:F39),0),"")</f>
        <v>1915</v>
      </c>
      <c r="G41" s="50">
        <f>IF(COUNT(G16:G39)&gt;0,MIN(G16:G39),"")</f>
        <v>-5.6</v>
      </c>
      <c r="H41" s="50">
        <f>IF(COUNT(H16:H39)&gt;0,MIN(H16:H39),"")</f>
        <v>72</v>
      </c>
      <c r="I41" s="50">
        <f>IF(COUNT(I16:I39)&gt;0,MIN(I16:I39),"")</f>
        <v>21.2</v>
      </c>
      <c r="J41" s="72"/>
      <c r="K41" s="50">
        <f>IF(COUNT(K16:K39)&gt;0,MIN(K16:K39),"")</f>
        <v>13</v>
      </c>
      <c r="L41" s="52">
        <f>IF(COUNT(L16:L39)&gt;0,ROUND(MIN(L16:L39),1),"")</f>
        <v>125</v>
      </c>
      <c r="M41" s="52">
        <f>IF(COUNT(M16:M39)&gt;0,ROUND(MIN(M16:M39),1),"")</f>
        <v>220</v>
      </c>
      <c r="N41" s="52">
        <f>IF(COUNT(N16:N39)&gt;0,ROUND(MIN(N16:N39),1),"")</f>
        <v>90</v>
      </c>
      <c r="O41" s="440">
        <f>IF(COUNT(O16:O39)&gt;0,ROUND(MIN(O16:O39),1),"")</f>
        <v>30</v>
      </c>
      <c r="P41" s="440">
        <f>IF(COUNT(P16:P39)&gt;0,ROUND(MIN(P16:P39),1),"")</f>
        <v>9</v>
      </c>
      <c r="Q41" s="440">
        <f>IF(COUNT(Q16:Q39)&gt;0,ROUND(MIN(Q16:Q39),4),"")</f>
        <v>188.35</v>
      </c>
      <c r="R41" s="121" t="str">
        <f>IF(COUNT(R16:R39)&gt;0,ROUND(MIN(R16:R39),1),"")</f>
        <v/>
      </c>
      <c r="S41" s="509"/>
      <c r="T41" s="510"/>
      <c r="U41" s="510"/>
      <c r="V41" s="511"/>
      <c r="X41" s="99"/>
      <c r="Y41" s="99"/>
      <c r="Z41" s="99"/>
      <c r="AA41" s="99"/>
      <c r="AB41" s="99"/>
      <c r="AC41" s="99"/>
      <c r="AH41" s="204" t="s">
        <v>318</v>
      </c>
    </row>
    <row r="42" spans="1:55" ht="20.100000000000001" hidden="1" customHeight="1" thickBot="1" x14ac:dyDescent="0.3">
      <c r="A42" s="21" t="s">
        <v>13</v>
      </c>
      <c r="B42" s="454" t="str">
        <f>IF(COUNT(B16:B39)&gt;0,ROUND(MAX(B16:B39),2),"")</f>
        <v/>
      </c>
      <c r="C42" s="454" t="str">
        <f>IF(COUNT(C16:C39)&gt;0,ROUND(MAX(C16:C39),2),"")</f>
        <v/>
      </c>
      <c r="D42" s="454">
        <f>IF(COUNT(D16:D39)&gt;0,ROUND(MAX(D16:D39),2),"")</f>
        <v>8</v>
      </c>
      <c r="E42" s="454">
        <f>IF(COUNT(E16:E39)&gt;0,ROUND(MAX(E16:E39),2),"")</f>
        <v>66.900000000000006</v>
      </c>
      <c r="F42" s="43">
        <f>IF(COUNT(F16:F39)&gt;0,ROUND(MAX(F16:F39),0),"")</f>
        <v>1983</v>
      </c>
      <c r="G42" s="39">
        <f>IF(COUNT(G16:G39)&gt;0,MAX(G16:G39),"")</f>
        <v>-5.6</v>
      </c>
      <c r="H42" s="39">
        <f>IF(COUNT(H16:H39)&gt;0,MAX(H16:H39),"")</f>
        <v>72.900000000000006</v>
      </c>
      <c r="I42" s="39">
        <f>IF(COUNT(I16:I39)&gt;0,MAX(I16:I39),"")</f>
        <v>21.9</v>
      </c>
      <c r="J42" s="43">
        <f>IF(COUNT(J16:J39)&gt;0,MAX(J16:J39),"")</f>
        <v>415</v>
      </c>
      <c r="K42" s="39">
        <f>IF(COUNT(K16:K39)&gt;0,MAX(K16:K39),"")</f>
        <v>13</v>
      </c>
      <c r="L42" s="454">
        <f>IF(COUNT(L16:L39)&gt;0,ROUND(MAX(L16:L39),1),"")</f>
        <v>139</v>
      </c>
      <c r="M42" s="454">
        <f>IF(COUNT(M16:M39)&gt;0,ROUND(MAX(M16:M39),1),"")</f>
        <v>225</v>
      </c>
      <c r="N42" s="454">
        <f>IF(COUNT(N16:N39)&gt;0,ROUND(MAX(N16:N39),1),"")</f>
        <v>90</v>
      </c>
      <c r="O42" s="441">
        <f>IF(COUNT(O16:O39)&gt;0,ROUND(MAX(O16:O39),1),"")</f>
        <v>60</v>
      </c>
      <c r="P42" s="441">
        <f>IF(COUNT(P16:P39)&gt;0,ROUND(MAX(P16:P39),1),"")</f>
        <v>14</v>
      </c>
      <c r="Q42" s="441">
        <f>IF(COUNT(Q16:Q39)&gt;0,ROUND(MAX(Q16:Q39),4),"")</f>
        <v>278.18</v>
      </c>
      <c r="R42" s="39" t="str">
        <f>IF(COUNT(R16:R39)&gt;0,ROUND(MAX(R16:R39),1),"")</f>
        <v/>
      </c>
      <c r="S42" s="509"/>
      <c r="T42" s="510"/>
      <c r="U42" s="510"/>
      <c r="V42" s="511"/>
      <c r="X42" s="99"/>
      <c r="Y42" s="99"/>
      <c r="Z42" s="99"/>
      <c r="AA42" s="99"/>
      <c r="AB42" s="99"/>
      <c r="AC42" s="99"/>
      <c r="AH42" s="204" t="s">
        <v>312</v>
      </c>
    </row>
    <row r="43" spans="1:55" ht="20.100000000000001" hidden="1" customHeight="1" x14ac:dyDescent="0.25">
      <c r="A43" s="109"/>
      <c r="B43" s="110">
        <f>COUNT(B16:B39)</f>
        <v>0</v>
      </c>
      <c r="C43" s="110">
        <f>COUNT(C16:C39)</f>
        <v>0</v>
      </c>
      <c r="D43" s="110">
        <f>COUNT(D16:D39)</f>
        <v>24</v>
      </c>
      <c r="E43" s="110">
        <f t="shared" ref="E43:H43" si="24">COUNT(E16:E39)</f>
        <v>24</v>
      </c>
      <c r="F43" s="110">
        <f t="shared" si="24"/>
        <v>24</v>
      </c>
      <c r="G43" s="110">
        <f t="shared" si="24"/>
        <v>24</v>
      </c>
      <c r="H43" s="110">
        <f t="shared" si="24"/>
        <v>24</v>
      </c>
      <c r="I43" s="110"/>
      <c r="J43" s="110"/>
      <c r="K43" s="110"/>
      <c r="L43" s="110">
        <f t="shared" ref="L43:Q43" si="25">COUNT(L16:L39)</f>
        <v>24</v>
      </c>
      <c r="M43" s="110">
        <f t="shared" si="25"/>
        <v>24</v>
      </c>
      <c r="N43" s="110">
        <f t="shared" si="25"/>
        <v>24</v>
      </c>
      <c r="O43" s="110">
        <f t="shared" si="25"/>
        <v>24</v>
      </c>
      <c r="P43" s="110">
        <f t="shared" si="25"/>
        <v>24</v>
      </c>
      <c r="Q43" s="110">
        <f t="shared" si="25"/>
        <v>24</v>
      </c>
      <c r="R43" s="110"/>
      <c r="S43" s="99"/>
      <c r="T43" s="99"/>
      <c r="U43" s="99"/>
      <c r="V43" s="99"/>
      <c r="X43" s="99"/>
      <c r="Y43" s="99"/>
      <c r="Z43" s="99"/>
      <c r="AA43" s="99"/>
      <c r="AB43" s="99"/>
      <c r="AC43" s="99"/>
      <c r="AD43" s="92" t="str">
        <f>IF(AND(D43=E43,D43=F43,D43=G43,D43=H43,D43=L43,D43=M43,D43=N43,D43=O43,D43=P43,D43=Q43),"","CEK : Data Content")</f>
        <v/>
      </c>
      <c r="AH43" s="204" t="s">
        <v>221</v>
      </c>
    </row>
    <row r="44" spans="1:55" s="6" customFormat="1" ht="15" customHeight="1" x14ac:dyDescent="0.25">
      <c r="J44" s="91" t="str">
        <f>IF(J1="PRINT","",IF(J42="","RH please ! !",""))</f>
        <v/>
      </c>
      <c r="L44" s="24"/>
      <c r="Q44" s="445">
        <f>IFERROR(ROUND(AVERAGE(Q16:Q39),4),"")</f>
        <v>226.1429</v>
      </c>
      <c r="AH44" s="204" t="s">
        <v>323</v>
      </c>
      <c r="AI44" s="7"/>
    </row>
    <row r="45" spans="1:55" s="6" customFormat="1" ht="15" customHeight="1" x14ac:dyDescent="0.25">
      <c r="L45" s="26" t="s">
        <v>290</v>
      </c>
      <c r="Q45" s="445"/>
      <c r="AH45" s="204" t="s">
        <v>288</v>
      </c>
      <c r="AI45" s="7"/>
    </row>
    <row r="46" spans="1:55" s="6" customFormat="1" ht="15" customHeight="1" x14ac:dyDescent="0.25">
      <c r="D46" s="443" t="s">
        <v>90</v>
      </c>
      <c r="E46" s="448" t="str">
        <f>IF(Schedule!C$18="","",Schedule!C$18)</f>
        <v/>
      </c>
      <c r="G46" s="61"/>
      <c r="H46" s="25" t="str">
        <f>IFERROR(IF(OR(I47="",I48="",I49=""),"WAKTU BELUM DI-ISI LENGKAP",IF(SUM(I48:I49)&lt;=1,"","CEK KEMBALI PENULISAN WAKTU SALAH")),"CEK KEMBALI PENULISAN WAKTU SALAH")</f>
        <v/>
      </c>
      <c r="L46" s="26" t="s">
        <v>22</v>
      </c>
      <c r="M46" s="460">
        <f>IF(Volume!$W17="",$O46,Volume!$W17)</f>
        <v>36.8371</v>
      </c>
      <c r="N46" s="27" t="s">
        <v>1</v>
      </c>
      <c r="O46" s="447">
        <f>IF(O40="","",O40)</f>
        <v>40.4</v>
      </c>
      <c r="P46" s="361" t="s">
        <v>29</v>
      </c>
      <c r="Q46" s="362"/>
      <c r="R46" s="362"/>
      <c r="S46" s="362"/>
      <c r="T46" s="361" t="s">
        <v>30</v>
      </c>
      <c r="U46" s="362"/>
      <c r="V46" s="362"/>
      <c r="AH46" s="204" t="s">
        <v>222</v>
      </c>
    </row>
    <row r="47" spans="1:55" s="6" customFormat="1" ht="15" customHeight="1" x14ac:dyDescent="0.25">
      <c r="D47" s="448"/>
      <c r="E47" s="448"/>
      <c r="H47" s="26" t="s">
        <v>26</v>
      </c>
      <c r="I47" s="56">
        <f>IF(OR(I48="",I49=""),"",1-I48-I49)</f>
        <v>1</v>
      </c>
      <c r="J47" s="27" t="s">
        <v>19</v>
      </c>
      <c r="L47" s="26" t="s">
        <v>23</v>
      </c>
      <c r="M47" s="442">
        <f>IF(Volume!$Y17="",$O47,Volume!$Y17)</f>
        <v>11.367000000000001</v>
      </c>
      <c r="N47" s="27" t="s">
        <v>14</v>
      </c>
      <c r="O47" s="447">
        <f>IF(P40="","",P40)</f>
        <v>11.8</v>
      </c>
      <c r="P47" s="361" t="s">
        <v>211</v>
      </c>
      <c r="Q47" s="362"/>
      <c r="R47" s="362"/>
      <c r="S47" s="362"/>
      <c r="T47" s="361" t="s">
        <v>271</v>
      </c>
      <c r="U47" s="362"/>
      <c r="V47" s="362"/>
      <c r="AH47" s="204" t="s">
        <v>223</v>
      </c>
    </row>
    <row r="48" spans="1:55" s="6" customFormat="1" ht="15" customHeight="1" x14ac:dyDescent="0.25">
      <c r="D48" s="443" t="s">
        <v>91</v>
      </c>
      <c r="E48" s="448" t="str">
        <f>IF(Schedule!D$18="","",Schedule!D$18)</f>
        <v/>
      </c>
      <c r="H48" s="26" t="s">
        <v>37</v>
      </c>
      <c r="I48" s="108">
        <f>IF(OR(COUNT($Q$16:$Q$39)&lt;&gt;0,COUNTA($AD$16:$AD$39)&lt;&gt;0),AB40,"")</f>
        <v>0</v>
      </c>
      <c r="J48" s="27" t="s">
        <v>19</v>
      </c>
      <c r="L48" s="26" t="s">
        <v>24</v>
      </c>
      <c r="M48" s="449">
        <f>IF(N40="","",N40)</f>
        <v>90</v>
      </c>
      <c r="N48" s="27" t="s">
        <v>5</v>
      </c>
      <c r="P48" s="362"/>
      <c r="Q48" s="362"/>
      <c r="R48" s="362"/>
      <c r="S48" s="362"/>
      <c r="T48" s="361" t="s">
        <v>291</v>
      </c>
      <c r="U48" s="362"/>
      <c r="V48" s="362"/>
      <c r="AH48" s="204" t="s">
        <v>324</v>
      </c>
    </row>
    <row r="49" spans="1:34" s="6" customFormat="1" ht="15" customHeight="1" x14ac:dyDescent="0.25">
      <c r="D49" s="448"/>
      <c r="E49" s="448"/>
      <c r="H49" s="26" t="s">
        <v>27</v>
      </c>
      <c r="I49" s="108">
        <f>IF(OR(COUNT($Q$16:$Q$39)&lt;&gt;0,COUNTA($AD$16:$AD$39)&lt;&gt;0),AC40,"")</f>
        <v>0</v>
      </c>
      <c r="J49" s="27" t="s">
        <v>19</v>
      </c>
      <c r="L49" s="26" t="s">
        <v>128</v>
      </c>
      <c r="M49" s="442">
        <f>IF(Volume!$L17="",M51,Volume!$L17)</f>
        <v>210.2</v>
      </c>
      <c r="N49" s="27" t="str">
        <f>IF(Q15="MSCFD","MSCF","MMSCF")</f>
        <v>MSCF</v>
      </c>
      <c r="P49" s="362"/>
      <c r="Q49" s="362"/>
      <c r="R49" s="362"/>
      <c r="S49" s="362"/>
      <c r="T49" s="362"/>
      <c r="U49" s="362"/>
      <c r="V49" s="362"/>
      <c r="AH49" s="204" t="s">
        <v>317</v>
      </c>
    </row>
    <row r="50" spans="1:34" s="6" customFormat="1" ht="15" customHeight="1" x14ac:dyDescent="0.25">
      <c r="D50" s="443" t="s">
        <v>92</v>
      </c>
      <c r="E50" s="448" t="str">
        <f>IF(Schedule!E$18="","",Schedule!E$18)</f>
        <v>Marihot Gustafa S.</v>
      </c>
      <c r="L50" s="443" t="str">
        <f>CONCATENATE(MR!L16," ",":")</f>
        <v>Liquid Gain :</v>
      </c>
      <c r="M50" s="446" t="str">
        <f>IF(R40="","",ROUND(SUM(R16:R39),2))</f>
        <v/>
      </c>
      <c r="N50" s="444" t="str">
        <f>R15</f>
        <v>BPD</v>
      </c>
      <c r="P50" s="362"/>
      <c r="Q50" s="362"/>
      <c r="R50" s="362"/>
      <c r="S50" s="362"/>
      <c r="T50" s="362"/>
      <c r="U50" s="362"/>
      <c r="V50" s="362"/>
      <c r="AH50" s="204" t="s">
        <v>282</v>
      </c>
    </row>
    <row r="51" spans="1:34" s="6" customFormat="1" ht="15" customHeight="1" x14ac:dyDescent="0.25">
      <c r="A51" s="4"/>
      <c r="L51" s="443" t="s">
        <v>286</v>
      </c>
      <c r="M51" s="447">
        <f>IF(Q44="","",IF(SUM(I48:I49)=1,IF(Q44&lt;&gt;0,"Cek Tabel",""),ROUND(Q44*I47,4)))</f>
        <v>226.1429</v>
      </c>
      <c r="N51" s="444" t="str">
        <f>IF(Q15="MSCFD","MSCF","MMSCF")</f>
        <v>MSCF</v>
      </c>
      <c r="P51" s="362"/>
      <c r="Q51" s="362"/>
      <c r="R51" s="362"/>
      <c r="S51" s="362"/>
      <c r="T51" s="362"/>
      <c r="U51" s="362"/>
      <c r="V51" s="362"/>
      <c r="AH51" s="204" t="s">
        <v>325</v>
      </c>
    </row>
    <row r="52" spans="1:34" s="6" customFormat="1" ht="15" customHeight="1" x14ac:dyDescent="0.25">
      <c r="D52" s="26" t="s">
        <v>28</v>
      </c>
      <c r="E52" s="47"/>
      <c r="F52" s="47"/>
      <c r="G52" s="47"/>
      <c r="H52" s="47"/>
      <c r="I52" s="47"/>
      <c r="J52" s="47"/>
      <c r="K52" s="47"/>
      <c r="L52" s="5"/>
      <c r="P52" s="362"/>
      <c r="Q52" s="362"/>
      <c r="R52" s="362"/>
      <c r="S52" s="362"/>
      <c r="T52" s="362"/>
      <c r="U52" s="362"/>
      <c r="V52" s="362"/>
      <c r="AH52" s="204" t="s">
        <v>280</v>
      </c>
    </row>
    <row r="53" spans="1:34" s="6" customFormat="1" ht="15" customHeight="1" x14ac:dyDescent="0.25">
      <c r="D53" s="5"/>
      <c r="E53" s="48"/>
      <c r="F53" s="48"/>
      <c r="G53" s="48"/>
      <c r="H53" s="48"/>
      <c r="I53" s="48"/>
      <c r="J53" s="48"/>
      <c r="K53" s="48"/>
      <c r="L53" s="5"/>
      <c r="P53" s="363" t="str">
        <f>UPPER(E50)</f>
        <v>MARIHOT GUSTAFA S.</v>
      </c>
      <c r="Q53" s="362"/>
      <c r="R53" s="362"/>
      <c r="S53" s="362"/>
      <c r="T53" s="363" t="str">
        <f>IF(Schedule!F$18="","",UPPER(Schedule!F$18))</f>
        <v>M. NANANG WAHYU S</v>
      </c>
      <c r="U53" s="362"/>
      <c r="V53" s="362"/>
      <c r="AH53" s="204" t="s">
        <v>316</v>
      </c>
    </row>
    <row r="54" spans="1:34" s="6" customFormat="1" ht="15" customHeight="1" x14ac:dyDescent="0.25">
      <c r="E54" s="48"/>
      <c r="F54" s="48"/>
      <c r="G54" s="48"/>
      <c r="H54" s="48"/>
      <c r="I54" s="48"/>
      <c r="J54" s="48"/>
      <c r="K54" s="48"/>
      <c r="P54" s="361" t="s">
        <v>107</v>
      </c>
      <c r="Q54" s="362"/>
      <c r="R54" s="362"/>
      <c r="S54" s="362"/>
      <c r="T54" s="361" t="s">
        <v>294</v>
      </c>
      <c r="U54" s="362"/>
      <c r="V54" s="362"/>
      <c r="AH54" s="204" t="s">
        <v>326</v>
      </c>
    </row>
    <row r="55" spans="1:34" s="6" customFormat="1" ht="15" customHeight="1" x14ac:dyDescent="0.25">
      <c r="P55" s="364" t="str">
        <f>CONCATENATE("Date : ",TEXT(K12,"[$-409]d mmm yyyy;@"))</f>
        <v>Date : 14 Jun 2025</v>
      </c>
      <c r="Q55" s="362"/>
      <c r="R55" s="364"/>
      <c r="S55" s="362"/>
      <c r="T55" s="364" t="str">
        <f>CONCATENATE("Date : ",TEXT(K12,"[$-409]d mmm yyyy;@"))</f>
        <v>Date : 14 Jun 2025</v>
      </c>
      <c r="U55" s="362"/>
      <c r="V55" s="362"/>
      <c r="AH55" s="204" t="s">
        <v>327</v>
      </c>
    </row>
    <row r="56" spans="1:34" ht="15" customHeight="1" x14ac:dyDescent="0.25">
      <c r="AH56" s="204" t="s">
        <v>281</v>
      </c>
    </row>
    <row r="57" spans="1:34" ht="15" customHeight="1" x14ac:dyDescent="0.25">
      <c r="AH57" s="204" t="s">
        <v>277</v>
      </c>
    </row>
    <row r="58" spans="1:34" ht="15" customHeight="1" x14ac:dyDescent="0.25">
      <c r="AH58" s="204" t="s">
        <v>328</v>
      </c>
    </row>
    <row r="59" spans="1:34" ht="15" customHeight="1" x14ac:dyDescent="0.25">
      <c r="AH59" s="204" t="s">
        <v>329</v>
      </c>
    </row>
    <row r="60" spans="1:34" ht="15" customHeight="1" x14ac:dyDescent="0.25">
      <c r="AH60" s="204" t="s">
        <v>330</v>
      </c>
    </row>
    <row r="61" spans="1:34" ht="15" customHeight="1" x14ac:dyDescent="0.25">
      <c r="AH61" s="204" t="s">
        <v>331</v>
      </c>
    </row>
    <row r="62" spans="1:34" ht="15" customHeight="1" x14ac:dyDescent="0.25">
      <c r="AH62" s="204" t="s">
        <v>332</v>
      </c>
    </row>
    <row r="63" spans="1:34" ht="15" customHeight="1" x14ac:dyDescent="0.25">
      <c r="AH63" s="204" t="s">
        <v>315</v>
      </c>
    </row>
    <row r="64" spans="1:34" ht="15" customHeight="1" x14ac:dyDescent="0.25">
      <c r="AH64" s="204" t="s">
        <v>333</v>
      </c>
    </row>
    <row r="65" spans="34:34" ht="15" customHeight="1" x14ac:dyDescent="0.25">
      <c r="AH65" s="204" t="s">
        <v>310</v>
      </c>
    </row>
    <row r="66" spans="34:34" ht="15" customHeight="1" x14ac:dyDescent="0.25">
      <c r="AH66" s="204" t="s">
        <v>334</v>
      </c>
    </row>
    <row r="67" spans="34:34" ht="15" customHeight="1" x14ac:dyDescent="0.25">
      <c r="AH67" s="204" t="s">
        <v>335</v>
      </c>
    </row>
    <row r="68" spans="34:34" ht="15" customHeight="1" x14ac:dyDescent="0.25">
      <c r="AH68" s="204" t="s">
        <v>336</v>
      </c>
    </row>
    <row r="69" spans="34:34" ht="15" customHeight="1" x14ac:dyDescent="0.25">
      <c r="AH69" s="204" t="s">
        <v>337</v>
      </c>
    </row>
    <row r="70" spans="34:34" ht="15" customHeight="1" x14ac:dyDescent="0.25">
      <c r="AH70" s="204" t="s">
        <v>338</v>
      </c>
    </row>
    <row r="71" spans="34:34" ht="15" customHeight="1" x14ac:dyDescent="0.25">
      <c r="AH71" s="204" t="s">
        <v>339</v>
      </c>
    </row>
    <row r="72" spans="34:34" ht="15" customHeight="1" x14ac:dyDescent="0.25">
      <c r="AH72" s="204" t="s">
        <v>340</v>
      </c>
    </row>
    <row r="85" spans="34:34" ht="0" hidden="1" customHeight="1" x14ac:dyDescent="0.25">
      <c r="AH85" s="6"/>
    </row>
    <row r="86" spans="34:34" ht="0" hidden="1" customHeight="1" x14ac:dyDescent="0.25">
      <c r="AH86" s="6"/>
    </row>
    <row r="87" spans="34:34" ht="0" hidden="1" customHeight="1" x14ac:dyDescent="0.25">
      <c r="AH87" s="6"/>
    </row>
    <row r="88" spans="34:34" ht="0" hidden="1" customHeight="1" x14ac:dyDescent="0.25">
      <c r="AH88" s="6"/>
    </row>
    <row r="89" spans="34:34" ht="0" hidden="1" customHeight="1" x14ac:dyDescent="0.25">
      <c r="AH89" s="6"/>
    </row>
    <row r="90" spans="34:34" ht="0" hidden="1" customHeight="1" x14ac:dyDescent="0.25">
      <c r="AH90" s="6"/>
    </row>
    <row r="91" spans="34:34" ht="0" hidden="1" customHeight="1" x14ac:dyDescent="0.25">
      <c r="AH91" s="6"/>
    </row>
    <row r="92" spans="34:34" ht="0" hidden="1" customHeight="1" x14ac:dyDescent="0.25">
      <c r="AH92" s="6"/>
    </row>
    <row r="93" spans="34:34" ht="0" hidden="1" customHeight="1" x14ac:dyDescent="0.25">
      <c r="AH93" s="6"/>
    </row>
    <row r="94" spans="34:34" ht="0" hidden="1" customHeight="1" x14ac:dyDescent="0.25">
      <c r="AH94" s="6"/>
    </row>
  </sheetData>
  <sheetProtection algorithmName="SHA-512" hashValue="L4naeHQneYLzBlj+fWFnB/dVaF2+K2W8V3gPixmKbmQ4XFCsE/y0piM9s3fmeA52dh+NwE6JuGTVn4VVwogIAg==" saltValue="hdN+Z3DUMP8vC3zKgLSk8g==" spinCount="100000" sheet="1" objects="1" scenarios="1" formatColumns="0" formatRows="0" insertColumns="0" insertRows="0" sort="0" autoFilter="0" pivotTables="0"/>
  <mergeCells count="69">
    <mergeCell ref="S37:V37"/>
    <mergeCell ref="S38:V38"/>
    <mergeCell ref="S39:V39"/>
    <mergeCell ref="S40:V40"/>
    <mergeCell ref="S41:V42"/>
    <mergeCell ref="S36:V36"/>
    <mergeCell ref="S25:V25"/>
    <mergeCell ref="S26:V26"/>
    <mergeCell ref="S27:V27"/>
    <mergeCell ref="S28:V28"/>
    <mergeCell ref="S29:V29"/>
    <mergeCell ref="S30:V30"/>
    <mergeCell ref="S31:V31"/>
    <mergeCell ref="S32:V32"/>
    <mergeCell ref="S33:V33"/>
    <mergeCell ref="S34:V34"/>
    <mergeCell ref="S35:V35"/>
    <mergeCell ref="S19:V19"/>
    <mergeCell ref="S20:V20"/>
    <mergeCell ref="S21:V21"/>
    <mergeCell ref="S22:V22"/>
    <mergeCell ref="S23:V23"/>
    <mergeCell ref="S24:V24"/>
    <mergeCell ref="BA14:BA15"/>
    <mergeCell ref="BB14:BB15"/>
    <mergeCell ref="BC14:BC15"/>
    <mergeCell ref="S16:V16"/>
    <mergeCell ref="S17:V17"/>
    <mergeCell ref="S18:V18"/>
    <mergeCell ref="AU14:AU15"/>
    <mergeCell ref="AV14:AV15"/>
    <mergeCell ref="AW14:AW15"/>
    <mergeCell ref="AX14:AX15"/>
    <mergeCell ref="AY14:AY15"/>
    <mergeCell ref="AZ14:AZ15"/>
    <mergeCell ref="AO14:AO15"/>
    <mergeCell ref="AP14:AP15"/>
    <mergeCell ref="AQ14:AQ15"/>
    <mergeCell ref="AR14:AR15"/>
    <mergeCell ref="AS14:AS15"/>
    <mergeCell ref="AT14:AT15"/>
    <mergeCell ref="AD14:AD15"/>
    <mergeCell ref="AJ14:AJ15"/>
    <mergeCell ref="AK14:AK15"/>
    <mergeCell ref="AL14:AL15"/>
    <mergeCell ref="AM14:AM15"/>
    <mergeCell ref="AN14:AN15"/>
    <mergeCell ref="Y14:AC14"/>
    <mergeCell ref="H13:H14"/>
    <mergeCell ref="I13:I14"/>
    <mergeCell ref="J13:J14"/>
    <mergeCell ref="K13:K14"/>
    <mergeCell ref="L13:L14"/>
    <mergeCell ref="M13:N13"/>
    <mergeCell ref="Q13:Q14"/>
    <mergeCell ref="R13:R14"/>
    <mergeCell ref="S13:V15"/>
    <mergeCell ref="O13:O14"/>
    <mergeCell ref="P13:P14"/>
    <mergeCell ref="A10:V10"/>
    <mergeCell ref="A11:V11"/>
    <mergeCell ref="K12:L12"/>
    <mergeCell ref="A13:A15"/>
    <mergeCell ref="B13:B14"/>
    <mergeCell ref="C13:C14"/>
    <mergeCell ref="D13:D14"/>
    <mergeCell ref="E13:E14"/>
    <mergeCell ref="F13:F14"/>
    <mergeCell ref="G13:G14"/>
  </mergeCells>
  <conditionalFormatting sqref="I47">
    <cfRule type="cellIs" dxfId="87" priority="5" operator="lessThan">
      <formula>0</formula>
    </cfRule>
  </conditionalFormatting>
  <conditionalFormatting sqref="Y16:Y39">
    <cfRule type="containsText" dxfId="86" priority="3" operator="containsText" text="STBY">
      <formula>NOT(ISERROR(SEARCH("STBY",Y16)))</formula>
    </cfRule>
    <cfRule type="containsText" dxfId="85" priority="4" operator="containsText" text="SD">
      <formula>NOT(ISERROR(SEARCH("SD",Y16)))</formula>
    </cfRule>
  </conditionalFormatting>
  <conditionalFormatting sqref="B16:B39 D16:R39">
    <cfRule type="expression" dxfId="84" priority="2">
      <formula>ISTEXT(B16)</formula>
    </cfRule>
  </conditionalFormatting>
  <conditionalFormatting sqref="C16:C39">
    <cfRule type="expression" dxfId="83" priority="1">
      <formula>ISTEXT(C16)</formula>
    </cfRule>
  </conditionalFormatting>
  <dataValidations count="2">
    <dataValidation type="list" allowBlank="1" showInputMessage="1" showErrorMessage="1" sqref="Y16:Y39" xr:uid="{DDAF88F6-FFB6-4036-B9F6-9CA2E29A3BD9}">
      <formula1>"SD,STBY"</formula1>
    </dataValidation>
    <dataValidation type="list" allowBlank="1" showInputMessage="1" sqref="AD16:AD39" xr:uid="{8ACEF635-BEDA-4DF5-9627-A33D29BDFAAE}">
      <formula1>$AH$15:$AH$72</formula1>
    </dataValidation>
  </dataValidations>
  <printOptions horizontalCentered="1"/>
  <pageMargins left="0.39370078740157483" right="0.39370078740157483" top="0.59055118110236227" bottom="0.39370078740157483" header="0.31496062992125984" footer="0.31496062992125984"/>
  <pageSetup paperSize="9" scale="57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C60A6-61B9-40FA-8A9F-3052C418C7F5}">
  <sheetPr codeName="N15">
    <pageSetUpPr fitToPage="1"/>
  </sheetPr>
  <dimension ref="A1:BC94"/>
  <sheetViews>
    <sheetView topLeftCell="A16" zoomScale="85" zoomScaleNormal="85" workbookViewId="0">
      <selection activeCell="K36" sqref="K36"/>
    </sheetView>
  </sheetViews>
  <sheetFormatPr defaultColWidth="0" defaultRowHeight="0" customHeight="1" zeroHeight="1" x14ac:dyDescent="0.25"/>
  <cols>
    <col min="1" max="1" width="10.7109375" style="7" customWidth="1"/>
    <col min="2" max="3" width="10.7109375" style="7" hidden="1" customWidth="1"/>
    <col min="4" max="14" width="10.7109375" style="7" customWidth="1"/>
    <col min="15" max="17" width="11.7109375" style="7" customWidth="1"/>
    <col min="18" max="18" width="10.7109375" style="7" hidden="1" customWidth="1"/>
    <col min="19" max="22" width="10.7109375" style="7" customWidth="1"/>
    <col min="23" max="23" width="2.7109375" style="7" customWidth="1"/>
    <col min="24" max="29" width="10.7109375" style="7" customWidth="1"/>
    <col min="30" max="30" width="30.7109375" style="7" customWidth="1"/>
    <col min="31" max="33" width="11.7109375" style="7" customWidth="1"/>
    <col min="34" max="34" width="30.7109375" style="7" customWidth="1"/>
    <col min="35" max="35" width="2.7109375" style="7" hidden="1" customWidth="1"/>
    <col min="36" max="55" width="11.7109375" style="7" hidden="1" customWidth="1"/>
    <col min="56" max="16384" width="9.140625" style="7" hidden="1"/>
  </cols>
  <sheetData>
    <row r="1" spans="1:55" ht="15" customHeight="1" x14ac:dyDescent="0.25">
      <c r="A1" s="7" t="s">
        <v>16</v>
      </c>
      <c r="D1" s="11" t="s">
        <v>85</v>
      </c>
      <c r="J1" s="7" t="str">
        <f>IF(MR!U13="Yes","PRINT","No")</f>
        <v>PRINT</v>
      </c>
      <c r="M1" s="191"/>
      <c r="N1" s="191"/>
    </row>
    <row r="2" spans="1:55" ht="15" customHeight="1" thickBot="1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192"/>
      <c r="M2" s="4"/>
      <c r="N2" s="4"/>
      <c r="O2" s="4"/>
      <c r="P2" s="4"/>
      <c r="Q2" s="4"/>
      <c r="R2" s="4"/>
      <c r="S2" s="8"/>
      <c r="T2" s="8"/>
      <c r="U2" s="8"/>
      <c r="V2" s="8"/>
      <c r="X2" s="8"/>
      <c r="Y2" s="8"/>
      <c r="Z2" s="8"/>
      <c r="AA2" s="8"/>
      <c r="AB2" s="8"/>
      <c r="AC2" s="8"/>
      <c r="AD2" s="8"/>
      <c r="AE2" s="8"/>
    </row>
    <row r="3" spans="1:55" ht="15" customHeight="1" x14ac:dyDescent="0.2">
      <c r="A3" s="31"/>
      <c r="B3" s="28"/>
      <c r="C3" s="28"/>
      <c r="D3" s="28"/>
      <c r="E3" s="28"/>
      <c r="F3" s="13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2"/>
      <c r="T3" s="22"/>
      <c r="U3" s="22"/>
      <c r="V3" s="23"/>
      <c r="X3" s="8"/>
      <c r="Y3" s="8"/>
      <c r="Z3" s="8"/>
      <c r="AA3" s="8"/>
      <c r="AB3" s="8"/>
      <c r="AC3" s="8"/>
      <c r="AD3" s="8"/>
      <c r="AE3" s="8"/>
    </row>
    <row r="4" spans="1:55" ht="30" customHeight="1" x14ac:dyDescent="0.25">
      <c r="A4" s="30"/>
      <c r="B4" s="1"/>
      <c r="C4" s="1"/>
      <c r="D4" s="1"/>
      <c r="E4" s="3"/>
      <c r="F4" s="63" t="s">
        <v>210</v>
      </c>
      <c r="G4" s="1"/>
      <c r="H4" s="1"/>
      <c r="I4" s="3"/>
      <c r="J4" s="3"/>
      <c r="K4" s="3"/>
      <c r="L4" s="3"/>
      <c r="M4" s="3"/>
      <c r="N4" s="3"/>
      <c r="O4" s="3"/>
      <c r="P4" s="3"/>
      <c r="Q4" s="3"/>
      <c r="R4" s="3"/>
      <c r="S4" s="1"/>
      <c r="T4" s="1"/>
      <c r="U4" s="1"/>
      <c r="V4" s="2"/>
      <c r="X4" s="5"/>
      <c r="Y4" s="5"/>
      <c r="Z4" s="5"/>
      <c r="AA4" s="5"/>
      <c r="AB4" s="5"/>
      <c r="AC4" s="5"/>
      <c r="AD4" s="5"/>
      <c r="AE4" s="5"/>
    </row>
    <row r="5" spans="1:55" ht="15" customHeight="1" x14ac:dyDescent="0.2">
      <c r="A5" s="32"/>
      <c r="B5" s="33"/>
      <c r="C5" s="33"/>
      <c r="D5" s="12"/>
      <c r="E5" s="3"/>
      <c r="F5" s="10" t="s">
        <v>129</v>
      </c>
      <c r="G5" s="1"/>
      <c r="H5" s="1"/>
      <c r="I5" s="3"/>
      <c r="J5" s="3"/>
      <c r="K5" s="3"/>
      <c r="L5" s="3"/>
      <c r="M5" s="3"/>
      <c r="N5" s="3"/>
      <c r="O5" s="3"/>
      <c r="P5" s="3"/>
      <c r="Q5" s="3"/>
      <c r="R5" s="3"/>
      <c r="S5" s="12"/>
      <c r="T5" s="12"/>
      <c r="U5" s="12"/>
      <c r="V5" s="14"/>
      <c r="X5" s="8"/>
      <c r="Y5" s="8"/>
      <c r="Z5" s="8"/>
      <c r="AA5" s="8"/>
      <c r="AB5" s="8"/>
      <c r="AC5" s="8"/>
      <c r="AD5" s="8"/>
      <c r="AE5" s="8"/>
      <c r="AJ5" s="193" t="s">
        <v>184</v>
      </c>
      <c r="AK5" s="194">
        <f>'V Calc'!B1</f>
        <v>500</v>
      </c>
      <c r="AL5" s="124"/>
    </row>
    <row r="6" spans="1:55" ht="15" customHeight="1" x14ac:dyDescent="0.2">
      <c r="A6" s="32"/>
      <c r="B6" s="33"/>
      <c r="C6" s="33"/>
      <c r="D6" s="12"/>
      <c r="E6" s="3"/>
      <c r="F6" s="10" t="s">
        <v>132</v>
      </c>
      <c r="G6" s="1"/>
      <c r="H6" s="1"/>
      <c r="I6" s="3"/>
      <c r="J6" s="3"/>
      <c r="K6" s="3"/>
      <c r="L6" s="3"/>
      <c r="M6" s="3"/>
      <c r="N6" s="3"/>
      <c r="O6" s="3"/>
      <c r="P6" s="3"/>
      <c r="Q6" s="3"/>
      <c r="R6" s="3"/>
      <c r="S6" s="12"/>
      <c r="T6" s="12"/>
      <c r="U6" s="12"/>
      <c r="V6" s="14"/>
      <c r="X6" s="8"/>
      <c r="Y6" s="8"/>
      <c r="Z6" s="8"/>
      <c r="AA6" s="8"/>
      <c r="AB6" s="8"/>
      <c r="AC6" s="8"/>
      <c r="AD6" s="8"/>
      <c r="AE6" s="8"/>
      <c r="AJ6" s="193" t="s">
        <v>185</v>
      </c>
      <c r="AK6" s="194">
        <f>'V Calc'!B2</f>
        <v>100</v>
      </c>
      <c r="AL6" s="124"/>
    </row>
    <row r="7" spans="1:55" ht="15" customHeight="1" x14ac:dyDescent="0.2">
      <c r="A7" s="32"/>
      <c r="B7" s="33"/>
      <c r="C7" s="33"/>
      <c r="D7" s="12"/>
      <c r="E7" s="3"/>
      <c r="F7" s="10" t="s">
        <v>130</v>
      </c>
      <c r="G7" s="1"/>
      <c r="H7" s="1"/>
      <c r="I7" s="3"/>
      <c r="J7" s="3"/>
      <c r="K7" s="3"/>
      <c r="L7" s="3"/>
      <c r="M7" s="3"/>
      <c r="N7" s="3"/>
      <c r="O7" s="3"/>
      <c r="P7" s="3"/>
      <c r="Q7" s="3"/>
      <c r="R7" s="3"/>
      <c r="S7" s="12"/>
      <c r="T7" s="12"/>
      <c r="U7" s="12"/>
      <c r="V7" s="14"/>
      <c r="X7" s="8"/>
      <c r="Y7" s="8"/>
      <c r="Z7" s="8"/>
      <c r="AA7" s="8"/>
      <c r="AB7" s="8"/>
      <c r="AC7" s="8"/>
      <c r="AD7" s="8"/>
      <c r="AE7" s="8"/>
      <c r="AJ7" s="193" t="s">
        <v>186</v>
      </c>
      <c r="AK7" s="195">
        <f>'V Calc'!B3</f>
        <v>2</v>
      </c>
      <c r="AL7" s="124"/>
    </row>
    <row r="8" spans="1:55" ht="15" customHeight="1" x14ac:dyDescent="0.2">
      <c r="A8" s="32"/>
      <c r="B8" s="33"/>
      <c r="C8" s="33"/>
      <c r="D8" s="12"/>
      <c r="E8" s="3"/>
      <c r="F8" s="10" t="s">
        <v>131</v>
      </c>
      <c r="G8" s="62"/>
      <c r="H8" s="62"/>
      <c r="I8" s="3"/>
      <c r="J8" s="3"/>
      <c r="K8" s="3"/>
      <c r="L8" s="3"/>
      <c r="M8" s="3"/>
      <c r="N8" s="3"/>
      <c r="O8" s="3"/>
      <c r="P8" s="3"/>
      <c r="Q8" s="3"/>
      <c r="R8" s="3"/>
      <c r="S8" s="12"/>
      <c r="T8" s="12"/>
      <c r="U8" s="12"/>
      <c r="V8" s="14"/>
      <c r="X8" s="8"/>
      <c r="Y8" s="8"/>
      <c r="Z8" s="8"/>
      <c r="AA8" s="8"/>
      <c r="AB8" s="8"/>
      <c r="AC8" s="8"/>
      <c r="AD8" s="8"/>
      <c r="AE8" s="8"/>
      <c r="AJ8" s="193" t="s">
        <v>187</v>
      </c>
      <c r="AK8" s="195">
        <f>'V Calc'!B4</f>
        <v>0.875</v>
      </c>
      <c r="AL8" s="124"/>
    </row>
    <row r="9" spans="1:55" ht="15" customHeight="1" thickBot="1" x14ac:dyDescent="0.25">
      <c r="A9" s="34"/>
      <c r="B9" s="29"/>
      <c r="C9" s="29"/>
      <c r="D9" s="29"/>
      <c r="E9" s="29"/>
      <c r="F9" s="15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16"/>
      <c r="T9" s="16"/>
      <c r="U9" s="16"/>
      <c r="V9" s="17"/>
      <c r="X9" s="8"/>
      <c r="Y9" s="8"/>
      <c r="Z9" s="8"/>
      <c r="AA9" s="8"/>
      <c r="AB9" s="8"/>
      <c r="AC9" s="8"/>
      <c r="AD9" s="8"/>
      <c r="AE9" s="8"/>
      <c r="AJ9" s="196" t="s">
        <v>188</v>
      </c>
      <c r="AK9" s="197">
        <f>'V Calc'!B5</f>
        <v>158.47</v>
      </c>
      <c r="AL9" s="198"/>
    </row>
    <row r="10" spans="1:55" s="9" customFormat="1" ht="30" customHeight="1" x14ac:dyDescent="0.2">
      <c r="A10" s="513" t="s">
        <v>20</v>
      </c>
      <c r="B10" s="514"/>
      <c r="C10" s="514"/>
      <c r="D10" s="514"/>
      <c r="E10" s="514"/>
      <c r="F10" s="514"/>
      <c r="G10" s="514"/>
      <c r="H10" s="514"/>
      <c r="I10" s="514"/>
      <c r="J10" s="514"/>
      <c r="K10" s="514"/>
      <c r="L10" s="514"/>
      <c r="M10" s="514"/>
      <c r="N10" s="514"/>
      <c r="O10" s="514"/>
      <c r="P10" s="514"/>
      <c r="Q10" s="514"/>
      <c r="R10" s="514"/>
      <c r="S10" s="514"/>
      <c r="T10" s="514"/>
      <c r="U10" s="514"/>
      <c r="V10" s="515"/>
      <c r="X10" s="96"/>
      <c r="Y10" s="96"/>
      <c r="Z10" s="96"/>
      <c r="AA10" s="96"/>
      <c r="AB10" s="96"/>
      <c r="AC10" s="96"/>
      <c r="AJ10" s="193" t="s">
        <v>189</v>
      </c>
      <c r="AK10" s="199">
        <f>'V Calc'!B6</f>
        <v>0.63607464142166403</v>
      </c>
      <c r="AL10" s="198" t="s">
        <v>190</v>
      </c>
    </row>
    <row r="11" spans="1:55" s="9" customFormat="1" ht="20.100000000000001" customHeight="1" thickBot="1" x14ac:dyDescent="0.25">
      <c r="A11" s="516" t="s">
        <v>21</v>
      </c>
      <c r="B11" s="517"/>
      <c r="C11" s="517"/>
      <c r="D11" s="517"/>
      <c r="E11" s="517"/>
      <c r="F11" s="517"/>
      <c r="G11" s="517"/>
      <c r="H11" s="517"/>
      <c r="I11" s="517"/>
      <c r="J11" s="517"/>
      <c r="K11" s="517"/>
      <c r="L11" s="517"/>
      <c r="M11" s="517"/>
      <c r="N11" s="517"/>
      <c r="O11" s="517"/>
      <c r="P11" s="517"/>
      <c r="Q11" s="517"/>
      <c r="R11" s="517"/>
      <c r="S11" s="517"/>
      <c r="T11" s="517"/>
      <c r="U11" s="517"/>
      <c r="V11" s="518"/>
      <c r="X11" s="97"/>
      <c r="Y11" s="97"/>
      <c r="Z11" s="97"/>
      <c r="AA11" s="97"/>
      <c r="AB11" s="97"/>
      <c r="AC11" s="97"/>
    </row>
    <row r="12" spans="1:55" s="6" customFormat="1" ht="30" customHeight="1" thickBot="1" x14ac:dyDescent="0.3">
      <c r="A12" s="18"/>
      <c r="B12" s="20"/>
      <c r="C12" s="20"/>
      <c r="D12" s="19" t="s">
        <v>121</v>
      </c>
      <c r="E12" s="200" t="str">
        <f>'Day 14'!E12</f>
        <v>MPR 632  RFD</v>
      </c>
      <c r="F12" s="35"/>
      <c r="G12" s="19" t="s">
        <v>120</v>
      </c>
      <c r="H12" s="200" t="str">
        <f>IF(Volume!C$18="","",Volume!C$18)</f>
        <v>FP 65354</v>
      </c>
      <c r="I12" s="20"/>
      <c r="J12" s="19" t="s">
        <v>17</v>
      </c>
      <c r="K12" s="505">
        <f>'Day 14'!K12+1</f>
        <v>45823</v>
      </c>
      <c r="L12" s="505"/>
      <c r="M12" s="100"/>
      <c r="N12" s="19" t="s">
        <v>119</v>
      </c>
      <c r="O12" s="200" t="str">
        <f>IF(Volume!D$18="","",Volume!D$18)</f>
        <v>SP. Tambun - Cluster F</v>
      </c>
      <c r="P12" s="20"/>
      <c r="Q12" s="19" t="s">
        <v>122</v>
      </c>
      <c r="S12" s="201">
        <f>IF(Volume!E$18="","",Volume!E$18)</f>
        <v>1.25</v>
      </c>
      <c r="T12" s="20"/>
      <c r="U12" s="19" t="s">
        <v>126</v>
      </c>
      <c r="V12" s="202" t="str">
        <f>IF(Volume!F$18="","",Volume!F$18)</f>
        <v>4/0</v>
      </c>
    </row>
    <row r="13" spans="1:55" ht="30" customHeight="1" thickBot="1" x14ac:dyDescent="0.3">
      <c r="A13" s="502" t="s">
        <v>0</v>
      </c>
      <c r="B13" s="502" t="s">
        <v>213</v>
      </c>
      <c r="C13" s="502" t="s">
        <v>212</v>
      </c>
      <c r="D13" s="502" t="s">
        <v>31</v>
      </c>
      <c r="E13" s="502" t="s">
        <v>32</v>
      </c>
      <c r="F13" s="502" t="s">
        <v>2</v>
      </c>
      <c r="G13" s="502" t="s">
        <v>33</v>
      </c>
      <c r="H13" s="502" t="s">
        <v>35</v>
      </c>
      <c r="I13" s="502" t="s">
        <v>36</v>
      </c>
      <c r="J13" s="502" t="s">
        <v>110</v>
      </c>
      <c r="K13" s="502" t="s">
        <v>15</v>
      </c>
      <c r="L13" s="502" t="s">
        <v>34</v>
      </c>
      <c r="M13" s="502" t="s">
        <v>10</v>
      </c>
      <c r="N13" s="502"/>
      <c r="O13" s="506" t="s">
        <v>300</v>
      </c>
      <c r="P13" s="506" t="s">
        <v>299</v>
      </c>
      <c r="Q13" s="502" t="s">
        <v>7</v>
      </c>
      <c r="R13" s="502" t="s">
        <v>88</v>
      </c>
      <c r="S13" s="502" t="s">
        <v>8</v>
      </c>
      <c r="T13" s="502"/>
      <c r="U13" s="502"/>
      <c r="V13" s="502"/>
      <c r="X13" s="98"/>
      <c r="Y13" s="98"/>
      <c r="Z13" s="98"/>
      <c r="AA13" s="98"/>
      <c r="AB13" s="98"/>
      <c r="AC13" s="98"/>
    </row>
    <row r="14" spans="1:55" ht="30" customHeight="1" x14ac:dyDescent="0.25">
      <c r="A14" s="504"/>
      <c r="B14" s="504"/>
      <c r="C14" s="504"/>
      <c r="D14" s="504"/>
      <c r="E14" s="504"/>
      <c r="F14" s="504"/>
      <c r="G14" s="504"/>
      <c r="H14" s="504"/>
      <c r="I14" s="504"/>
      <c r="J14" s="504"/>
      <c r="K14" s="504"/>
      <c r="L14" s="504"/>
      <c r="M14" s="94" t="s">
        <v>3</v>
      </c>
      <c r="N14" s="94" t="s">
        <v>4</v>
      </c>
      <c r="O14" s="507"/>
      <c r="P14" s="507"/>
      <c r="Q14" s="504"/>
      <c r="R14" s="504"/>
      <c r="S14" s="504"/>
      <c r="T14" s="504"/>
      <c r="U14" s="504"/>
      <c r="V14" s="504"/>
      <c r="Y14" s="502" t="s">
        <v>230</v>
      </c>
      <c r="Z14" s="502"/>
      <c r="AA14" s="502"/>
      <c r="AB14" s="502"/>
      <c r="AC14" s="502"/>
      <c r="AD14" s="502" t="s">
        <v>231</v>
      </c>
      <c r="AH14" s="203" t="s">
        <v>232</v>
      </c>
      <c r="AJ14" s="520" t="s">
        <v>191</v>
      </c>
      <c r="AK14" s="520" t="s">
        <v>192</v>
      </c>
      <c r="AL14" s="520" t="s">
        <v>193</v>
      </c>
      <c r="AM14" s="520" t="s">
        <v>194</v>
      </c>
      <c r="AN14" s="520" t="s">
        <v>195</v>
      </c>
      <c r="AO14" s="506" t="s">
        <v>196</v>
      </c>
      <c r="AP14" s="506" t="s">
        <v>197</v>
      </c>
      <c r="AQ14" s="506" t="s">
        <v>198</v>
      </c>
      <c r="AR14" s="506" t="s">
        <v>188</v>
      </c>
      <c r="AS14" s="506" t="s">
        <v>199</v>
      </c>
      <c r="AT14" s="506" t="s">
        <v>200</v>
      </c>
      <c r="AU14" s="506" t="s">
        <v>201</v>
      </c>
      <c r="AV14" s="506" t="s">
        <v>202</v>
      </c>
      <c r="AW14" s="506" t="s">
        <v>203</v>
      </c>
      <c r="AX14" s="506" t="s">
        <v>204</v>
      </c>
      <c r="AY14" s="523" t="s">
        <v>205</v>
      </c>
      <c r="AZ14" s="523" t="s">
        <v>206</v>
      </c>
      <c r="BA14" s="523" t="s">
        <v>207</v>
      </c>
      <c r="BB14" s="523" t="s">
        <v>208</v>
      </c>
      <c r="BC14" s="506" t="s">
        <v>197</v>
      </c>
    </row>
    <row r="15" spans="1:55" ht="20.100000000000001" customHeight="1" thickBot="1" x14ac:dyDescent="0.3">
      <c r="A15" s="503"/>
      <c r="B15" s="95" t="s">
        <v>1</v>
      </c>
      <c r="C15" s="95" t="s">
        <v>1</v>
      </c>
      <c r="D15" s="95" t="s">
        <v>1</v>
      </c>
      <c r="E15" s="95" t="s">
        <v>1</v>
      </c>
      <c r="F15" s="95" t="s">
        <v>140</v>
      </c>
      <c r="G15" s="95" t="s">
        <v>1</v>
      </c>
      <c r="H15" s="95" t="s">
        <v>1</v>
      </c>
      <c r="I15" s="95" t="s">
        <v>1</v>
      </c>
      <c r="J15" s="95" t="s">
        <v>18</v>
      </c>
      <c r="K15" s="95" t="s">
        <v>9</v>
      </c>
      <c r="L15" s="95" t="s">
        <v>5</v>
      </c>
      <c r="M15" s="95" t="s">
        <v>5</v>
      </c>
      <c r="N15" s="95" t="s">
        <v>5</v>
      </c>
      <c r="O15" s="95" t="s">
        <v>1</v>
      </c>
      <c r="P15" s="95" t="s">
        <v>14</v>
      </c>
      <c r="Q15" s="95" t="str">
        <f>IF(MR!G17="MSCF","MSCFD","MMSCFD")</f>
        <v>MSCFD</v>
      </c>
      <c r="R15" s="95" t="str">
        <f>MR!L17</f>
        <v>BPD</v>
      </c>
      <c r="S15" s="503"/>
      <c r="T15" s="503"/>
      <c r="U15" s="503"/>
      <c r="V15" s="503"/>
      <c r="X15" s="365"/>
      <c r="Y15" s="95" t="s">
        <v>123</v>
      </c>
      <c r="Z15" s="95" t="s">
        <v>124</v>
      </c>
      <c r="AA15" s="95" t="s">
        <v>125</v>
      </c>
      <c r="AB15" s="95" t="s">
        <v>51</v>
      </c>
      <c r="AC15" s="95" t="s">
        <v>48</v>
      </c>
      <c r="AD15" s="503"/>
      <c r="AH15" s="204" t="s">
        <v>228</v>
      </c>
      <c r="AJ15" s="521"/>
      <c r="AK15" s="521"/>
      <c r="AL15" s="521"/>
      <c r="AM15" s="521"/>
      <c r="AN15" s="521"/>
      <c r="AO15" s="522"/>
      <c r="AP15" s="522"/>
      <c r="AQ15" s="522"/>
      <c r="AR15" s="522"/>
      <c r="AS15" s="522"/>
      <c r="AT15" s="522"/>
      <c r="AU15" s="522"/>
      <c r="AV15" s="522"/>
      <c r="AW15" s="522"/>
      <c r="AX15" s="522"/>
      <c r="AY15" s="524"/>
      <c r="AZ15" s="524"/>
      <c r="BA15" s="524"/>
      <c r="BB15" s="524"/>
      <c r="BC15" s="522"/>
    </row>
    <row r="16" spans="1:55" ht="20.100000000000001" customHeight="1" x14ac:dyDescent="0.2">
      <c r="A16" s="44">
        <v>4.1666666666666664E-2</v>
      </c>
      <c r="B16" s="450"/>
      <c r="C16" s="450"/>
      <c r="D16" s="450">
        <v>7.9</v>
      </c>
      <c r="E16" s="450">
        <v>65.3</v>
      </c>
      <c r="F16" s="40">
        <v>1958</v>
      </c>
      <c r="G16" s="36">
        <v>-5.6</v>
      </c>
      <c r="H16" s="36">
        <v>72.3</v>
      </c>
      <c r="I16" s="36">
        <v>22.3</v>
      </c>
      <c r="J16" s="40">
        <v>416</v>
      </c>
      <c r="K16" s="36">
        <v>13</v>
      </c>
      <c r="L16" s="450">
        <v>135</v>
      </c>
      <c r="M16" s="450">
        <v>220</v>
      </c>
      <c r="N16" s="450">
        <v>90</v>
      </c>
      <c r="O16" s="352">
        <v>40</v>
      </c>
      <c r="P16" s="352">
        <v>11</v>
      </c>
      <c r="Q16" s="352">
        <v>218.65</v>
      </c>
      <c r="R16" s="36"/>
      <c r="S16" s="519" t="str">
        <f t="shared" ref="S16:S32" si="0">IF(Z16="",IF(AD16="","",AD16),CONCATENATE(TEXT(Z16,"[hh]:mm"),IF(AA16="",""," - "&amp;TEXT(AA16,"[hh]:mm")),IF(Y16="",""," "&amp;Y16&amp;"/")," "&amp;AD16))</f>
        <v/>
      </c>
      <c r="T16" s="519"/>
      <c r="U16" s="519"/>
      <c r="V16" s="519"/>
      <c r="X16" s="44">
        <v>4.1666666666666664E-2</v>
      </c>
      <c r="Y16" s="105"/>
      <c r="Z16" s="101"/>
      <c r="AA16" s="101"/>
      <c r="AB16" s="44" t="str">
        <f>IF(Y16="STBY",AA16-Z16,"")</f>
        <v/>
      </c>
      <c r="AC16" s="44" t="str">
        <f t="shared" ref="AC16:AC39" si="1">IF(Y16="SD",AA16-Z16,"")</f>
        <v/>
      </c>
      <c r="AD16" s="355"/>
      <c r="AE16" s="9" t="str">
        <f>IF(S16="","",IF(COUNTA(Z16:$Z$39)=1,IF(COUNTA(AD16:$AD$39)=1,""," ; "),IF(COUNTA(AD16:$AD$39)=1,IF(Z16="",""," ; ")," ; ")))</f>
        <v/>
      </c>
      <c r="AF16" s="9" t="str">
        <f t="shared" ref="AF16:AF39" si="2">CONCATENATE(S16,AE16)</f>
        <v/>
      </c>
      <c r="AG16" s="90" t="str">
        <f t="shared" ref="AG16:AG39" si="3">IF(AND(COUNTBLANK(N16:P16)&lt;3,Q16=""),"CEK : Data Flowrate","")</f>
        <v/>
      </c>
      <c r="AH16" s="204" t="s">
        <v>229</v>
      </c>
      <c r="AJ16" s="205">
        <f>AK5</f>
        <v>500</v>
      </c>
      <c r="AK16" s="205">
        <f>AK6</f>
        <v>100</v>
      </c>
      <c r="AL16" s="206">
        <f>AK7</f>
        <v>2</v>
      </c>
      <c r="AM16" s="207">
        <f>AK8</f>
        <v>0.875</v>
      </c>
      <c r="AN16" s="208">
        <f>AK10</f>
        <v>0.63607464142166403</v>
      </c>
      <c r="AO16" s="209">
        <f t="shared" ref="AO16:AO39" si="4">T16^2*AJ16/100-14.7</f>
        <v>-14.7</v>
      </c>
      <c r="AP16" s="210">
        <f t="shared" ref="AP16:AP39" si="5">IF(AO16&lt;100,1,BC16)</f>
        <v>1</v>
      </c>
      <c r="AQ16" s="210">
        <f t="shared" ref="AQ16:AQ39" si="6">(1/AP16)^0.5</f>
        <v>1</v>
      </c>
      <c r="AR16" s="52">
        <f>AK9</f>
        <v>158.47</v>
      </c>
      <c r="AS16" s="210">
        <f t="shared" ref="AS16:AS39" si="7">(520/(460+N16))^0.5</f>
        <v>0.9723448696087954</v>
      </c>
      <c r="AT16" s="210">
        <f t="shared" ref="AT16:AT39" si="8">(1/AN16)^0.5</f>
        <v>1.2538510821608391</v>
      </c>
      <c r="AU16" s="210">
        <f t="shared" ref="AU16:AU39" si="9">0.01*(AJ16*AK16)^0.5</f>
        <v>2.2360679774997898</v>
      </c>
      <c r="AV16" s="211">
        <f t="shared" ref="AV16:AV39" si="10">0.024*AQ16*AR16*AS16*AT16*AU16</f>
        <v>10.368348541764712</v>
      </c>
      <c r="AW16" s="210">
        <f t="shared" ref="AW16:AW39" si="11">(AO16+14.7)/(697.2-43*AN16)</f>
        <v>0</v>
      </c>
      <c r="AX16" s="212">
        <f t="shared" ref="AX16:AX39" si="12">(N16+460)/(315.1*AN16+170.4)</f>
        <v>1.4831709199797398</v>
      </c>
      <c r="AY16" s="210">
        <f t="shared" ref="AY16:AY39" si="13">0.3379*LN(LN(AX16))+1.091</f>
        <v>0.77643477842613629</v>
      </c>
      <c r="AZ16" s="211">
        <f t="shared" ref="AZ16:AZ39" si="14">21.46*AY16-11.9*AY16^2-5.9</f>
        <v>3.5883638597441294</v>
      </c>
      <c r="BA16" s="210">
        <f t="shared" ref="BA16:BA39" si="15">AW16/AZ16</f>
        <v>0</v>
      </c>
      <c r="BB16" s="210">
        <f t="shared" ref="BB16:BB39" si="16">(1.1+0.26*AX16+(1.04-1.42*AX16)*BA16)*2.718^BA16/AX16</f>
        <v>1.0016542390239327</v>
      </c>
      <c r="BC16" s="210">
        <f t="shared" ref="BC16:BC39" si="17">1+(AY16-1)*SIN((90*BA16)/57.29578)^BB16</f>
        <v>1</v>
      </c>
    </row>
    <row r="17" spans="1:55" ht="20.100000000000001" customHeight="1" x14ac:dyDescent="0.2">
      <c r="A17" s="45">
        <v>8.3333333333333301E-2</v>
      </c>
      <c r="B17" s="451"/>
      <c r="C17" s="451"/>
      <c r="D17" s="451">
        <v>7.5</v>
      </c>
      <c r="E17" s="451">
        <v>65.599999999999994</v>
      </c>
      <c r="F17" s="41">
        <v>1930</v>
      </c>
      <c r="G17" s="37">
        <v>-5.6</v>
      </c>
      <c r="H17" s="37">
        <v>72.5</v>
      </c>
      <c r="I17" s="37">
        <v>22.6</v>
      </c>
      <c r="J17" s="41">
        <v>417</v>
      </c>
      <c r="K17" s="37">
        <v>13</v>
      </c>
      <c r="L17" s="451">
        <v>133</v>
      </c>
      <c r="M17" s="451">
        <v>223</v>
      </c>
      <c r="N17" s="451">
        <v>90</v>
      </c>
      <c r="O17" s="353">
        <v>40</v>
      </c>
      <c r="P17" s="353">
        <v>13</v>
      </c>
      <c r="Q17" s="353">
        <v>237.53</v>
      </c>
      <c r="R17" s="37"/>
      <c r="S17" s="508" t="str">
        <f t="shared" si="0"/>
        <v/>
      </c>
      <c r="T17" s="508"/>
      <c r="U17" s="508"/>
      <c r="V17" s="508"/>
      <c r="X17" s="45">
        <v>8.3333333333333301E-2</v>
      </c>
      <c r="Y17" s="106"/>
      <c r="Z17" s="102"/>
      <c r="AA17" s="102"/>
      <c r="AB17" s="45" t="str">
        <f t="shared" ref="AB17:AB39" si="18">IF(Y17="STBY",AA17-Z17,"")</f>
        <v/>
      </c>
      <c r="AC17" s="45" t="str">
        <f t="shared" si="1"/>
        <v/>
      </c>
      <c r="AD17" s="81"/>
      <c r="AE17" s="9" t="str">
        <f>IF(S17="","",IF(COUNTA(Z17:$Z$39)=1,IF(COUNTA(AD17:$AD$39)=1,""," ; "),IF(COUNTA(AD17:$AD$39)=1,IF(Z17="",""," ; ")," ; ")))</f>
        <v/>
      </c>
      <c r="AF17" s="9" t="str">
        <f t="shared" si="2"/>
        <v/>
      </c>
      <c r="AG17" s="90" t="str">
        <f t="shared" si="3"/>
        <v/>
      </c>
      <c r="AH17" s="204" t="s">
        <v>289</v>
      </c>
      <c r="AJ17" s="206">
        <f t="shared" ref="AJ17:AN32" si="19">AJ16</f>
        <v>500</v>
      </c>
      <c r="AK17" s="206">
        <f t="shared" si="19"/>
        <v>100</v>
      </c>
      <c r="AL17" s="206">
        <f>AL16</f>
        <v>2</v>
      </c>
      <c r="AM17" s="213">
        <f>AM16</f>
        <v>0.875</v>
      </c>
      <c r="AN17" s="214">
        <f>AN16</f>
        <v>0.63607464142166403</v>
      </c>
      <c r="AO17" s="215">
        <f t="shared" si="4"/>
        <v>-14.7</v>
      </c>
      <c r="AP17" s="216">
        <f t="shared" si="5"/>
        <v>1</v>
      </c>
      <c r="AQ17" s="216">
        <f t="shared" si="6"/>
        <v>1</v>
      </c>
      <c r="AR17" s="215">
        <f>AR16</f>
        <v>158.47</v>
      </c>
      <c r="AS17" s="216">
        <f t="shared" si="7"/>
        <v>0.9723448696087954</v>
      </c>
      <c r="AT17" s="216">
        <f t="shared" si="8"/>
        <v>1.2538510821608391</v>
      </c>
      <c r="AU17" s="216">
        <f t="shared" si="9"/>
        <v>2.2360679774997898</v>
      </c>
      <c r="AV17" s="217">
        <f t="shared" si="10"/>
        <v>10.368348541764712</v>
      </c>
      <c r="AW17" s="216">
        <f t="shared" si="11"/>
        <v>0</v>
      </c>
      <c r="AX17" s="218">
        <f t="shared" si="12"/>
        <v>1.4831709199797398</v>
      </c>
      <c r="AY17" s="216">
        <f t="shared" si="13"/>
        <v>0.77643477842613629</v>
      </c>
      <c r="AZ17" s="217">
        <f t="shared" si="14"/>
        <v>3.5883638597441294</v>
      </c>
      <c r="BA17" s="216">
        <f t="shared" si="15"/>
        <v>0</v>
      </c>
      <c r="BB17" s="216">
        <f t="shared" si="16"/>
        <v>1.0016542390239327</v>
      </c>
      <c r="BC17" s="216">
        <f t="shared" si="17"/>
        <v>1</v>
      </c>
    </row>
    <row r="18" spans="1:55" ht="20.100000000000001" customHeight="1" x14ac:dyDescent="0.2">
      <c r="A18" s="45">
        <v>0.125</v>
      </c>
      <c r="B18" s="451"/>
      <c r="C18" s="451"/>
      <c r="D18" s="451">
        <v>7.3</v>
      </c>
      <c r="E18" s="451">
        <v>63.9</v>
      </c>
      <c r="F18" s="41">
        <v>1963</v>
      </c>
      <c r="G18" s="37">
        <v>-5.6</v>
      </c>
      <c r="H18" s="37">
        <v>72.3</v>
      </c>
      <c r="I18" s="37">
        <v>22.5</v>
      </c>
      <c r="J18" s="41">
        <v>418</v>
      </c>
      <c r="K18" s="37">
        <v>13</v>
      </c>
      <c r="L18" s="451">
        <v>133</v>
      </c>
      <c r="M18" s="451">
        <v>224</v>
      </c>
      <c r="N18" s="451">
        <v>90</v>
      </c>
      <c r="O18" s="353">
        <v>40</v>
      </c>
      <c r="P18" s="353">
        <v>13</v>
      </c>
      <c r="Q18" s="353">
        <v>237.53</v>
      </c>
      <c r="R18" s="37"/>
      <c r="S18" s="508" t="str">
        <f t="shared" si="0"/>
        <v/>
      </c>
      <c r="T18" s="508"/>
      <c r="U18" s="508"/>
      <c r="V18" s="508"/>
      <c r="X18" s="45">
        <v>0.125</v>
      </c>
      <c r="Y18" s="106"/>
      <c r="Z18" s="102"/>
      <c r="AA18" s="102"/>
      <c r="AB18" s="45" t="str">
        <f t="shared" si="18"/>
        <v/>
      </c>
      <c r="AC18" s="45" t="str">
        <f t="shared" si="1"/>
        <v/>
      </c>
      <c r="AD18" s="81"/>
      <c r="AE18" s="9" t="str">
        <f>IF(S18="","",IF(COUNTA(Z18:$Z$39)=1,IF(COUNTA(AD18:$AD$39)=1,""," ; "),IF(COUNTA(AD18:$AD$39)=1,IF(Z18="",""," ; ")," ; ")))</f>
        <v/>
      </c>
      <c r="AF18" s="9" t="str">
        <f t="shared" si="2"/>
        <v/>
      </c>
      <c r="AG18" s="90" t="str">
        <f t="shared" si="3"/>
        <v/>
      </c>
      <c r="AH18" s="204" t="s">
        <v>321</v>
      </c>
      <c r="AJ18" s="206">
        <f t="shared" si="19"/>
        <v>500</v>
      </c>
      <c r="AK18" s="206">
        <f t="shared" si="19"/>
        <v>100</v>
      </c>
      <c r="AL18" s="206">
        <f t="shared" si="19"/>
        <v>2</v>
      </c>
      <c r="AM18" s="213">
        <f t="shared" si="19"/>
        <v>0.875</v>
      </c>
      <c r="AN18" s="214">
        <f t="shared" si="19"/>
        <v>0.63607464142166403</v>
      </c>
      <c r="AO18" s="215">
        <f t="shared" si="4"/>
        <v>-14.7</v>
      </c>
      <c r="AP18" s="216">
        <f t="shared" si="5"/>
        <v>1</v>
      </c>
      <c r="AQ18" s="216">
        <f t="shared" si="6"/>
        <v>1</v>
      </c>
      <c r="AR18" s="215">
        <f t="shared" ref="AR18:AR39" si="20">AR17</f>
        <v>158.47</v>
      </c>
      <c r="AS18" s="216">
        <f t="shared" si="7"/>
        <v>0.9723448696087954</v>
      </c>
      <c r="AT18" s="216">
        <f t="shared" si="8"/>
        <v>1.2538510821608391</v>
      </c>
      <c r="AU18" s="216">
        <f t="shared" si="9"/>
        <v>2.2360679774997898</v>
      </c>
      <c r="AV18" s="217">
        <f t="shared" si="10"/>
        <v>10.368348541764712</v>
      </c>
      <c r="AW18" s="216">
        <f t="shared" si="11"/>
        <v>0</v>
      </c>
      <c r="AX18" s="218">
        <f t="shared" si="12"/>
        <v>1.4831709199797398</v>
      </c>
      <c r="AY18" s="216">
        <f t="shared" si="13"/>
        <v>0.77643477842613629</v>
      </c>
      <c r="AZ18" s="217">
        <f t="shared" si="14"/>
        <v>3.5883638597441294</v>
      </c>
      <c r="BA18" s="216">
        <f t="shared" si="15"/>
        <v>0</v>
      </c>
      <c r="BB18" s="216">
        <f t="shared" si="16"/>
        <v>1.0016542390239327</v>
      </c>
      <c r="BC18" s="216">
        <f t="shared" si="17"/>
        <v>1</v>
      </c>
    </row>
    <row r="19" spans="1:55" ht="20.100000000000001" customHeight="1" x14ac:dyDescent="0.2">
      <c r="A19" s="45">
        <v>0.16666666666666699</v>
      </c>
      <c r="B19" s="451"/>
      <c r="C19" s="451"/>
      <c r="D19" s="451">
        <v>7.6</v>
      </c>
      <c r="E19" s="451">
        <v>63.2</v>
      </c>
      <c r="F19" s="41">
        <v>1956</v>
      </c>
      <c r="G19" s="37">
        <v>-5.6</v>
      </c>
      <c r="H19" s="37">
        <v>72</v>
      </c>
      <c r="I19" s="37">
        <v>22.9</v>
      </c>
      <c r="J19" s="41">
        <v>419</v>
      </c>
      <c r="K19" s="37">
        <v>13</v>
      </c>
      <c r="L19" s="451">
        <v>130</v>
      </c>
      <c r="M19" s="451">
        <v>221</v>
      </c>
      <c r="N19" s="451">
        <v>90</v>
      </c>
      <c r="O19" s="353">
        <v>40</v>
      </c>
      <c r="P19" s="353">
        <v>13</v>
      </c>
      <c r="Q19" s="353">
        <v>237.53</v>
      </c>
      <c r="R19" s="37"/>
      <c r="S19" s="508" t="str">
        <f t="shared" si="0"/>
        <v/>
      </c>
      <c r="T19" s="508"/>
      <c r="U19" s="508"/>
      <c r="V19" s="508"/>
      <c r="X19" s="45">
        <v>0.16666666666666699</v>
      </c>
      <c r="Y19" s="106"/>
      <c r="Z19" s="102"/>
      <c r="AA19" s="102"/>
      <c r="AB19" s="45" t="str">
        <f t="shared" si="18"/>
        <v/>
      </c>
      <c r="AC19" s="45" t="str">
        <f t="shared" si="1"/>
        <v/>
      </c>
      <c r="AD19" s="81"/>
      <c r="AE19" s="9" t="str">
        <f>IF(S19="","",IF(COUNTA(Z19:$Z$39)=1,IF(COUNTA(AD19:$AD$39)=1,""," ; "),IF(COUNTA(AD19:$AD$39)=1,IF(Z19="",""," ; ")," ; ")))</f>
        <v/>
      </c>
      <c r="AF19" s="9" t="str">
        <f t="shared" si="2"/>
        <v/>
      </c>
      <c r="AG19" s="90" t="str">
        <f t="shared" si="3"/>
        <v/>
      </c>
      <c r="AH19" s="204" t="s">
        <v>272</v>
      </c>
      <c r="AJ19" s="206">
        <f t="shared" si="19"/>
        <v>500</v>
      </c>
      <c r="AK19" s="206">
        <f t="shared" si="19"/>
        <v>100</v>
      </c>
      <c r="AL19" s="206">
        <f t="shared" si="19"/>
        <v>2</v>
      </c>
      <c r="AM19" s="213">
        <f t="shared" si="19"/>
        <v>0.875</v>
      </c>
      <c r="AN19" s="214">
        <f t="shared" si="19"/>
        <v>0.63607464142166403</v>
      </c>
      <c r="AO19" s="215">
        <f t="shared" si="4"/>
        <v>-14.7</v>
      </c>
      <c r="AP19" s="216">
        <f t="shared" si="5"/>
        <v>1</v>
      </c>
      <c r="AQ19" s="216">
        <f t="shared" si="6"/>
        <v>1</v>
      </c>
      <c r="AR19" s="215">
        <f t="shared" si="20"/>
        <v>158.47</v>
      </c>
      <c r="AS19" s="216">
        <f t="shared" si="7"/>
        <v>0.9723448696087954</v>
      </c>
      <c r="AT19" s="216">
        <f t="shared" si="8"/>
        <v>1.2538510821608391</v>
      </c>
      <c r="AU19" s="216">
        <f t="shared" si="9"/>
        <v>2.2360679774997898</v>
      </c>
      <c r="AV19" s="217">
        <f t="shared" si="10"/>
        <v>10.368348541764712</v>
      </c>
      <c r="AW19" s="216">
        <f t="shared" si="11"/>
        <v>0</v>
      </c>
      <c r="AX19" s="218">
        <f t="shared" si="12"/>
        <v>1.4831709199797398</v>
      </c>
      <c r="AY19" s="216">
        <f t="shared" si="13"/>
        <v>0.77643477842613629</v>
      </c>
      <c r="AZ19" s="217">
        <f t="shared" si="14"/>
        <v>3.5883638597441294</v>
      </c>
      <c r="BA19" s="216">
        <f t="shared" si="15"/>
        <v>0</v>
      </c>
      <c r="BB19" s="216">
        <f t="shared" si="16"/>
        <v>1.0016542390239327</v>
      </c>
      <c r="BC19" s="216">
        <f t="shared" si="17"/>
        <v>1</v>
      </c>
    </row>
    <row r="20" spans="1:55" ht="20.100000000000001" customHeight="1" x14ac:dyDescent="0.2">
      <c r="A20" s="45">
        <v>0.20833333333333301</v>
      </c>
      <c r="B20" s="451"/>
      <c r="C20" s="451"/>
      <c r="D20" s="451">
        <v>7.5</v>
      </c>
      <c r="E20" s="451">
        <v>63</v>
      </c>
      <c r="F20" s="41">
        <v>1945</v>
      </c>
      <c r="G20" s="37">
        <v>-5.6</v>
      </c>
      <c r="H20" s="37">
        <v>72.599999999999994</v>
      </c>
      <c r="I20" s="37">
        <v>22.3</v>
      </c>
      <c r="J20" s="41">
        <v>420</v>
      </c>
      <c r="K20" s="37">
        <v>13</v>
      </c>
      <c r="L20" s="451">
        <v>130</v>
      </c>
      <c r="M20" s="451">
        <v>221</v>
      </c>
      <c r="N20" s="451">
        <v>90</v>
      </c>
      <c r="O20" s="353">
        <v>40</v>
      </c>
      <c r="P20" s="353">
        <v>13</v>
      </c>
      <c r="Q20" s="353">
        <v>237.53</v>
      </c>
      <c r="R20" s="37"/>
      <c r="S20" s="508" t="str">
        <f t="shared" si="0"/>
        <v/>
      </c>
      <c r="T20" s="508"/>
      <c r="U20" s="508"/>
      <c r="V20" s="508"/>
      <c r="X20" s="45">
        <v>0.20833333333333301</v>
      </c>
      <c r="Y20" s="106"/>
      <c r="Z20" s="102"/>
      <c r="AA20" s="102"/>
      <c r="AB20" s="45" t="str">
        <f t="shared" si="18"/>
        <v/>
      </c>
      <c r="AC20" s="45" t="str">
        <f t="shared" si="1"/>
        <v/>
      </c>
      <c r="AD20" s="81"/>
      <c r="AE20" s="9" t="str">
        <f>IF(S20="","",IF(COUNTA(Z20:$Z$39)=1,IF(COUNTA(AD20:$AD$39)=1,""," ; "),IF(COUNTA(AD20:$AD$39)=1,IF(Z20="",""," ; ")," ; ")))</f>
        <v/>
      </c>
      <c r="AF20" s="9" t="str">
        <f t="shared" si="2"/>
        <v/>
      </c>
      <c r="AG20" s="90" t="str">
        <f t="shared" si="3"/>
        <v/>
      </c>
      <c r="AH20" s="204" t="s">
        <v>275</v>
      </c>
      <c r="AJ20" s="206">
        <f t="shared" si="19"/>
        <v>500</v>
      </c>
      <c r="AK20" s="206">
        <f t="shared" si="19"/>
        <v>100</v>
      </c>
      <c r="AL20" s="206">
        <f t="shared" si="19"/>
        <v>2</v>
      </c>
      <c r="AM20" s="213">
        <f t="shared" si="19"/>
        <v>0.875</v>
      </c>
      <c r="AN20" s="214">
        <f t="shared" si="19"/>
        <v>0.63607464142166403</v>
      </c>
      <c r="AO20" s="215">
        <f t="shared" si="4"/>
        <v>-14.7</v>
      </c>
      <c r="AP20" s="216">
        <f t="shared" si="5"/>
        <v>1</v>
      </c>
      <c r="AQ20" s="216">
        <f t="shared" si="6"/>
        <v>1</v>
      </c>
      <c r="AR20" s="215">
        <f t="shared" si="20"/>
        <v>158.47</v>
      </c>
      <c r="AS20" s="216">
        <f t="shared" si="7"/>
        <v>0.9723448696087954</v>
      </c>
      <c r="AT20" s="216">
        <f t="shared" si="8"/>
        <v>1.2538510821608391</v>
      </c>
      <c r="AU20" s="216">
        <f t="shared" si="9"/>
        <v>2.2360679774997898</v>
      </c>
      <c r="AV20" s="217">
        <f t="shared" si="10"/>
        <v>10.368348541764712</v>
      </c>
      <c r="AW20" s="216">
        <f t="shared" si="11"/>
        <v>0</v>
      </c>
      <c r="AX20" s="218">
        <f t="shared" si="12"/>
        <v>1.4831709199797398</v>
      </c>
      <c r="AY20" s="216">
        <f t="shared" si="13"/>
        <v>0.77643477842613629</v>
      </c>
      <c r="AZ20" s="217">
        <f t="shared" si="14"/>
        <v>3.5883638597441294</v>
      </c>
      <c r="BA20" s="216">
        <f t="shared" si="15"/>
        <v>0</v>
      </c>
      <c r="BB20" s="216">
        <f t="shared" si="16"/>
        <v>1.0016542390239327</v>
      </c>
      <c r="BC20" s="216">
        <f t="shared" si="17"/>
        <v>1</v>
      </c>
    </row>
    <row r="21" spans="1:55" ht="20.100000000000001" customHeight="1" x14ac:dyDescent="0.2">
      <c r="A21" s="45">
        <v>0.25</v>
      </c>
      <c r="B21" s="451"/>
      <c r="C21" s="451"/>
      <c r="D21" s="451">
        <v>7.8</v>
      </c>
      <c r="E21" s="451">
        <v>61.3</v>
      </c>
      <c r="F21" s="41">
        <v>1936</v>
      </c>
      <c r="G21" s="37">
        <v>-5.6</v>
      </c>
      <c r="H21" s="37">
        <v>72.8</v>
      </c>
      <c r="I21" s="37">
        <v>22</v>
      </c>
      <c r="J21" s="41">
        <v>421</v>
      </c>
      <c r="K21" s="37">
        <v>13</v>
      </c>
      <c r="L21" s="451">
        <v>132</v>
      </c>
      <c r="M21" s="451">
        <v>223</v>
      </c>
      <c r="N21" s="451">
        <v>90</v>
      </c>
      <c r="O21" s="353">
        <v>40</v>
      </c>
      <c r="P21" s="353">
        <v>12</v>
      </c>
      <c r="Q21" s="353">
        <v>228.29</v>
      </c>
      <c r="R21" s="37"/>
      <c r="S21" s="508" t="str">
        <f t="shared" si="0"/>
        <v/>
      </c>
      <c r="T21" s="508"/>
      <c r="U21" s="508"/>
      <c r="V21" s="508"/>
      <c r="X21" s="45">
        <v>0.25</v>
      </c>
      <c r="Y21" s="106"/>
      <c r="Z21" s="102"/>
      <c r="AA21" s="102"/>
      <c r="AB21" s="45" t="str">
        <f t="shared" si="18"/>
        <v/>
      </c>
      <c r="AC21" s="45" t="str">
        <f t="shared" si="1"/>
        <v/>
      </c>
      <c r="AD21" s="81"/>
      <c r="AE21" s="9" t="str">
        <f>IF(S21="","",IF(COUNTA(Z21:$Z$39)=1,IF(COUNTA(AD21:$AD$39)=1,""," ; "),IF(COUNTA(AD21:$AD$39)=1,IF(Z21="",""," ; ")," ; ")))</f>
        <v/>
      </c>
      <c r="AF21" s="9" t="str">
        <f t="shared" si="2"/>
        <v/>
      </c>
      <c r="AG21" s="90" t="str">
        <f t="shared" si="3"/>
        <v/>
      </c>
      <c r="AH21" s="204" t="s">
        <v>322</v>
      </c>
      <c r="AJ21" s="206">
        <f t="shared" si="19"/>
        <v>500</v>
      </c>
      <c r="AK21" s="206">
        <f t="shared" si="19"/>
        <v>100</v>
      </c>
      <c r="AL21" s="206">
        <f t="shared" si="19"/>
        <v>2</v>
      </c>
      <c r="AM21" s="213">
        <f t="shared" si="19"/>
        <v>0.875</v>
      </c>
      <c r="AN21" s="214">
        <f t="shared" si="19"/>
        <v>0.63607464142166403</v>
      </c>
      <c r="AO21" s="215">
        <f t="shared" si="4"/>
        <v>-14.7</v>
      </c>
      <c r="AP21" s="216">
        <f t="shared" si="5"/>
        <v>1</v>
      </c>
      <c r="AQ21" s="216">
        <f t="shared" si="6"/>
        <v>1</v>
      </c>
      <c r="AR21" s="215">
        <f t="shared" si="20"/>
        <v>158.47</v>
      </c>
      <c r="AS21" s="216">
        <f t="shared" si="7"/>
        <v>0.9723448696087954</v>
      </c>
      <c r="AT21" s="216">
        <f t="shared" si="8"/>
        <v>1.2538510821608391</v>
      </c>
      <c r="AU21" s="216">
        <f t="shared" si="9"/>
        <v>2.2360679774997898</v>
      </c>
      <c r="AV21" s="217">
        <f t="shared" si="10"/>
        <v>10.368348541764712</v>
      </c>
      <c r="AW21" s="216">
        <f t="shared" si="11"/>
        <v>0</v>
      </c>
      <c r="AX21" s="218">
        <f t="shared" si="12"/>
        <v>1.4831709199797398</v>
      </c>
      <c r="AY21" s="216">
        <f t="shared" si="13"/>
        <v>0.77643477842613629</v>
      </c>
      <c r="AZ21" s="217">
        <f t="shared" si="14"/>
        <v>3.5883638597441294</v>
      </c>
      <c r="BA21" s="216">
        <f t="shared" si="15"/>
        <v>0</v>
      </c>
      <c r="BB21" s="216">
        <f t="shared" si="16"/>
        <v>1.0016542390239327</v>
      </c>
      <c r="BC21" s="216">
        <f t="shared" si="17"/>
        <v>1</v>
      </c>
    </row>
    <row r="22" spans="1:55" ht="20.100000000000001" customHeight="1" x14ac:dyDescent="0.2">
      <c r="A22" s="45">
        <v>0.29166666666666702</v>
      </c>
      <c r="B22" s="451"/>
      <c r="C22" s="451"/>
      <c r="D22" s="451">
        <v>7.3</v>
      </c>
      <c r="E22" s="451">
        <v>61.6</v>
      </c>
      <c r="F22" s="41">
        <v>1951</v>
      </c>
      <c r="G22" s="37">
        <v>-5.6</v>
      </c>
      <c r="H22" s="37">
        <v>72.400000000000006</v>
      </c>
      <c r="I22" s="37">
        <v>22.5</v>
      </c>
      <c r="J22" s="41">
        <v>422</v>
      </c>
      <c r="K22" s="37">
        <v>13</v>
      </c>
      <c r="L22" s="451">
        <v>132</v>
      </c>
      <c r="M22" s="451">
        <v>223</v>
      </c>
      <c r="N22" s="451">
        <v>90</v>
      </c>
      <c r="O22" s="353">
        <v>40</v>
      </c>
      <c r="P22" s="353">
        <v>12</v>
      </c>
      <c r="Q22" s="353">
        <v>228.29</v>
      </c>
      <c r="R22" s="37"/>
      <c r="S22" s="508" t="str">
        <f t="shared" si="0"/>
        <v/>
      </c>
      <c r="T22" s="508"/>
      <c r="U22" s="508"/>
      <c r="V22" s="508"/>
      <c r="X22" s="45">
        <v>0.29166666666666702</v>
      </c>
      <c r="Y22" s="106"/>
      <c r="Z22" s="102"/>
      <c r="AA22" s="102"/>
      <c r="AB22" s="45" t="str">
        <f t="shared" si="18"/>
        <v/>
      </c>
      <c r="AC22" s="45" t="str">
        <f t="shared" si="1"/>
        <v/>
      </c>
      <c r="AD22" s="81"/>
      <c r="AE22" s="9" t="str">
        <f>IF(S22="","",IF(COUNTA(Z22:$Z$39)=1,IF(COUNTA(AD22:$AD$39)=1,""," ; "),IF(COUNTA(AD22:$AD$39)=1,IF(Z22="",""," ; ")," ; ")))</f>
        <v/>
      </c>
      <c r="AF22" s="9" t="str">
        <f t="shared" si="2"/>
        <v/>
      </c>
      <c r="AG22" s="90" t="str">
        <f t="shared" si="3"/>
        <v/>
      </c>
      <c r="AH22" s="204" t="s">
        <v>279</v>
      </c>
      <c r="AJ22" s="206">
        <f t="shared" si="19"/>
        <v>500</v>
      </c>
      <c r="AK22" s="206">
        <f t="shared" si="19"/>
        <v>100</v>
      </c>
      <c r="AL22" s="206">
        <f t="shared" si="19"/>
        <v>2</v>
      </c>
      <c r="AM22" s="213">
        <f t="shared" si="19"/>
        <v>0.875</v>
      </c>
      <c r="AN22" s="214">
        <f t="shared" si="19"/>
        <v>0.63607464142166403</v>
      </c>
      <c r="AO22" s="215">
        <f t="shared" si="4"/>
        <v>-14.7</v>
      </c>
      <c r="AP22" s="216">
        <f t="shared" si="5"/>
        <v>1</v>
      </c>
      <c r="AQ22" s="216">
        <f t="shared" si="6"/>
        <v>1</v>
      </c>
      <c r="AR22" s="215">
        <f t="shared" si="20"/>
        <v>158.47</v>
      </c>
      <c r="AS22" s="216">
        <f t="shared" si="7"/>
        <v>0.9723448696087954</v>
      </c>
      <c r="AT22" s="216">
        <f t="shared" si="8"/>
        <v>1.2538510821608391</v>
      </c>
      <c r="AU22" s="216">
        <f t="shared" si="9"/>
        <v>2.2360679774997898</v>
      </c>
      <c r="AV22" s="217">
        <f t="shared" si="10"/>
        <v>10.368348541764712</v>
      </c>
      <c r="AW22" s="216">
        <f t="shared" si="11"/>
        <v>0</v>
      </c>
      <c r="AX22" s="218">
        <f t="shared" si="12"/>
        <v>1.4831709199797398</v>
      </c>
      <c r="AY22" s="216">
        <f t="shared" si="13"/>
        <v>0.77643477842613629</v>
      </c>
      <c r="AZ22" s="217">
        <f t="shared" si="14"/>
        <v>3.5883638597441294</v>
      </c>
      <c r="BA22" s="216">
        <f t="shared" si="15"/>
        <v>0</v>
      </c>
      <c r="BB22" s="216">
        <f t="shared" si="16"/>
        <v>1.0016542390239327</v>
      </c>
      <c r="BC22" s="216">
        <f t="shared" si="17"/>
        <v>1</v>
      </c>
    </row>
    <row r="23" spans="1:55" ht="20.100000000000001" customHeight="1" x14ac:dyDescent="0.2">
      <c r="A23" s="45">
        <v>0.33333333333333298</v>
      </c>
      <c r="B23" s="451"/>
      <c r="C23" s="451"/>
      <c r="D23" s="451">
        <v>7.8</v>
      </c>
      <c r="E23" s="451">
        <v>61.5</v>
      </c>
      <c r="F23" s="41">
        <v>1944</v>
      </c>
      <c r="G23" s="37">
        <v>-5.6</v>
      </c>
      <c r="H23" s="37">
        <v>72</v>
      </c>
      <c r="I23" s="37">
        <v>22.1</v>
      </c>
      <c r="J23" s="41">
        <v>423</v>
      </c>
      <c r="K23" s="37">
        <v>13</v>
      </c>
      <c r="L23" s="451">
        <v>133</v>
      </c>
      <c r="M23" s="451">
        <v>224</v>
      </c>
      <c r="N23" s="451">
        <v>90</v>
      </c>
      <c r="O23" s="353">
        <v>30</v>
      </c>
      <c r="P23" s="353">
        <v>16</v>
      </c>
      <c r="Q23" s="353">
        <v>237.74</v>
      </c>
      <c r="R23" s="37"/>
      <c r="S23" s="508" t="str">
        <f t="shared" si="0"/>
        <v/>
      </c>
      <c r="T23" s="508"/>
      <c r="U23" s="508"/>
      <c r="V23" s="508"/>
      <c r="X23" s="45">
        <v>0.33333333333333298</v>
      </c>
      <c r="Y23" s="106"/>
      <c r="Z23" s="102"/>
      <c r="AA23" s="102"/>
      <c r="AB23" s="45" t="str">
        <f t="shared" si="18"/>
        <v/>
      </c>
      <c r="AC23" s="45" t="str">
        <f t="shared" si="1"/>
        <v/>
      </c>
      <c r="AD23" s="81"/>
      <c r="AE23" s="9" t="str">
        <f>IF(S23="","",IF(COUNTA(Z23:$Z$39)=1,IF(COUNTA(AD23:$AD$39)=1,""," ; "),IF(COUNTA(AD23:$AD$39)=1,IF(Z23="",""," ; ")," ; ")))</f>
        <v/>
      </c>
      <c r="AF23" s="9" t="str">
        <f t="shared" si="2"/>
        <v/>
      </c>
      <c r="AG23" s="90" t="str">
        <f t="shared" si="3"/>
        <v/>
      </c>
      <c r="AH23" s="204" t="s">
        <v>274</v>
      </c>
      <c r="AJ23" s="206">
        <f t="shared" si="19"/>
        <v>500</v>
      </c>
      <c r="AK23" s="206">
        <f t="shared" si="19"/>
        <v>100</v>
      </c>
      <c r="AL23" s="206">
        <f t="shared" si="19"/>
        <v>2</v>
      </c>
      <c r="AM23" s="213">
        <f t="shared" si="19"/>
        <v>0.875</v>
      </c>
      <c r="AN23" s="214">
        <f t="shared" si="19"/>
        <v>0.63607464142166403</v>
      </c>
      <c r="AO23" s="215">
        <f t="shared" si="4"/>
        <v>-14.7</v>
      </c>
      <c r="AP23" s="216">
        <f t="shared" si="5"/>
        <v>1</v>
      </c>
      <c r="AQ23" s="216">
        <f t="shared" si="6"/>
        <v>1</v>
      </c>
      <c r="AR23" s="215">
        <f t="shared" si="20"/>
        <v>158.47</v>
      </c>
      <c r="AS23" s="216">
        <f t="shared" si="7"/>
        <v>0.9723448696087954</v>
      </c>
      <c r="AT23" s="216">
        <f t="shared" si="8"/>
        <v>1.2538510821608391</v>
      </c>
      <c r="AU23" s="216">
        <f t="shared" si="9"/>
        <v>2.2360679774997898</v>
      </c>
      <c r="AV23" s="217">
        <f t="shared" si="10"/>
        <v>10.368348541764712</v>
      </c>
      <c r="AW23" s="216">
        <f t="shared" si="11"/>
        <v>0</v>
      </c>
      <c r="AX23" s="218">
        <f t="shared" si="12"/>
        <v>1.4831709199797398</v>
      </c>
      <c r="AY23" s="216">
        <f t="shared" si="13"/>
        <v>0.77643477842613629</v>
      </c>
      <c r="AZ23" s="217">
        <f t="shared" si="14"/>
        <v>3.5883638597441294</v>
      </c>
      <c r="BA23" s="216">
        <f t="shared" si="15"/>
        <v>0</v>
      </c>
      <c r="BB23" s="216">
        <f t="shared" si="16"/>
        <v>1.0016542390239327</v>
      </c>
      <c r="BC23" s="216">
        <f t="shared" si="17"/>
        <v>1</v>
      </c>
    </row>
    <row r="24" spans="1:55" ht="20.100000000000001" customHeight="1" x14ac:dyDescent="0.2">
      <c r="A24" s="45">
        <v>0.375</v>
      </c>
      <c r="B24" s="451"/>
      <c r="C24" s="451"/>
      <c r="D24" s="451">
        <v>7.7</v>
      </c>
      <c r="E24" s="451">
        <v>61.1</v>
      </c>
      <c r="F24" s="41">
        <v>1971</v>
      </c>
      <c r="G24" s="37">
        <v>-5.6</v>
      </c>
      <c r="H24" s="37">
        <v>72.099999999999994</v>
      </c>
      <c r="I24" s="37">
        <v>22.8</v>
      </c>
      <c r="J24" s="41">
        <v>424</v>
      </c>
      <c r="K24" s="37">
        <v>13</v>
      </c>
      <c r="L24" s="451">
        <v>135</v>
      </c>
      <c r="M24" s="451">
        <v>225</v>
      </c>
      <c r="N24" s="451">
        <v>90</v>
      </c>
      <c r="O24" s="353">
        <v>30</v>
      </c>
      <c r="P24" s="353">
        <v>16</v>
      </c>
      <c r="Q24" s="353">
        <v>237.74</v>
      </c>
      <c r="R24" s="37"/>
      <c r="S24" s="508" t="str">
        <f t="shared" si="0"/>
        <v/>
      </c>
      <c r="T24" s="508"/>
      <c r="U24" s="508"/>
      <c r="V24" s="508"/>
      <c r="X24" s="45">
        <v>0.375</v>
      </c>
      <c r="Y24" s="106"/>
      <c r="Z24" s="102"/>
      <c r="AA24" s="102"/>
      <c r="AB24" s="45" t="str">
        <f t="shared" si="18"/>
        <v/>
      </c>
      <c r="AC24" s="45" t="str">
        <f t="shared" si="1"/>
        <v/>
      </c>
      <c r="AD24" s="81"/>
      <c r="AE24" s="9" t="str">
        <f>IF(S24="","",IF(COUNTA(Z24:$Z$39)=1,IF(COUNTA(AD24:$AD$39)=1,""," ; "),IF(COUNTA(AD24:$AD$39)=1,IF(Z24="",""," ; ")," ; ")))</f>
        <v/>
      </c>
      <c r="AF24" s="9" t="str">
        <f t="shared" si="2"/>
        <v/>
      </c>
      <c r="AG24" s="90" t="str">
        <f t="shared" si="3"/>
        <v/>
      </c>
      <c r="AH24" s="204" t="s">
        <v>307</v>
      </c>
      <c r="AJ24" s="206">
        <f t="shared" si="19"/>
        <v>500</v>
      </c>
      <c r="AK24" s="206">
        <f t="shared" si="19"/>
        <v>100</v>
      </c>
      <c r="AL24" s="206">
        <f t="shared" si="19"/>
        <v>2</v>
      </c>
      <c r="AM24" s="213">
        <f t="shared" si="19"/>
        <v>0.875</v>
      </c>
      <c r="AN24" s="214">
        <f t="shared" si="19"/>
        <v>0.63607464142166403</v>
      </c>
      <c r="AO24" s="215">
        <f t="shared" si="4"/>
        <v>-14.7</v>
      </c>
      <c r="AP24" s="216">
        <f t="shared" si="5"/>
        <v>1</v>
      </c>
      <c r="AQ24" s="216">
        <f t="shared" si="6"/>
        <v>1</v>
      </c>
      <c r="AR24" s="215">
        <f t="shared" si="20"/>
        <v>158.47</v>
      </c>
      <c r="AS24" s="216">
        <f t="shared" si="7"/>
        <v>0.9723448696087954</v>
      </c>
      <c r="AT24" s="216">
        <f t="shared" si="8"/>
        <v>1.2538510821608391</v>
      </c>
      <c r="AU24" s="216">
        <f t="shared" si="9"/>
        <v>2.2360679774997898</v>
      </c>
      <c r="AV24" s="217">
        <f t="shared" si="10"/>
        <v>10.368348541764712</v>
      </c>
      <c r="AW24" s="216">
        <f t="shared" si="11"/>
        <v>0</v>
      </c>
      <c r="AX24" s="218">
        <f t="shared" si="12"/>
        <v>1.4831709199797398</v>
      </c>
      <c r="AY24" s="216">
        <f t="shared" si="13"/>
        <v>0.77643477842613629</v>
      </c>
      <c r="AZ24" s="217">
        <f t="shared" si="14"/>
        <v>3.5883638597441294</v>
      </c>
      <c r="BA24" s="216">
        <f t="shared" si="15"/>
        <v>0</v>
      </c>
      <c r="BB24" s="216">
        <f t="shared" si="16"/>
        <v>1.0016542390239327</v>
      </c>
      <c r="BC24" s="216">
        <f t="shared" si="17"/>
        <v>1</v>
      </c>
    </row>
    <row r="25" spans="1:55" ht="20.100000000000001" customHeight="1" x14ac:dyDescent="0.2">
      <c r="A25" s="45">
        <v>0.41666666666666702</v>
      </c>
      <c r="B25" s="451"/>
      <c r="C25" s="451"/>
      <c r="D25" s="451">
        <v>7.7</v>
      </c>
      <c r="E25" s="451">
        <v>61.7</v>
      </c>
      <c r="F25" s="41">
        <v>1962</v>
      </c>
      <c r="G25" s="37">
        <v>-5.6</v>
      </c>
      <c r="H25" s="37">
        <v>72.3</v>
      </c>
      <c r="I25" s="37">
        <v>22.4</v>
      </c>
      <c r="J25" s="41">
        <v>425</v>
      </c>
      <c r="K25" s="37">
        <v>13</v>
      </c>
      <c r="L25" s="451">
        <v>136</v>
      </c>
      <c r="M25" s="451">
        <v>225</v>
      </c>
      <c r="N25" s="451">
        <v>90</v>
      </c>
      <c r="O25" s="353">
        <v>30</v>
      </c>
      <c r="P25" s="353">
        <v>17</v>
      </c>
      <c r="Q25" s="353">
        <v>244.99</v>
      </c>
      <c r="R25" s="37"/>
      <c r="S25" s="508" t="str">
        <f t="shared" si="0"/>
        <v/>
      </c>
      <c r="T25" s="508"/>
      <c r="U25" s="508"/>
      <c r="V25" s="508"/>
      <c r="X25" s="45">
        <v>0.41666666666666702</v>
      </c>
      <c r="Y25" s="106"/>
      <c r="Z25" s="102"/>
      <c r="AA25" s="102"/>
      <c r="AB25" s="45" t="str">
        <f t="shared" si="18"/>
        <v/>
      </c>
      <c r="AC25" s="45" t="str">
        <f t="shared" si="1"/>
        <v/>
      </c>
      <c r="AD25" s="81"/>
      <c r="AE25" s="9" t="str">
        <f>IF(S25="","",IF(COUNTA(Z25:$Z$39)=1,IF(COUNTA(AD25:$AD$39)=1,""," ; "),IF(COUNTA(AD25:$AD$39)=1,IF(Z25="",""," ; ")," ; ")))</f>
        <v/>
      </c>
      <c r="AF25" s="9" t="str">
        <f t="shared" si="2"/>
        <v/>
      </c>
      <c r="AG25" s="90" t="str">
        <f t="shared" si="3"/>
        <v/>
      </c>
      <c r="AH25" s="204" t="s">
        <v>225</v>
      </c>
      <c r="AJ25" s="206">
        <f t="shared" si="19"/>
        <v>500</v>
      </c>
      <c r="AK25" s="206">
        <f t="shared" si="19"/>
        <v>100</v>
      </c>
      <c r="AL25" s="206">
        <f t="shared" si="19"/>
        <v>2</v>
      </c>
      <c r="AM25" s="213">
        <f t="shared" si="19"/>
        <v>0.875</v>
      </c>
      <c r="AN25" s="214">
        <f t="shared" si="19"/>
        <v>0.63607464142166403</v>
      </c>
      <c r="AO25" s="215">
        <f t="shared" si="4"/>
        <v>-14.7</v>
      </c>
      <c r="AP25" s="216">
        <f t="shared" si="5"/>
        <v>1</v>
      </c>
      <c r="AQ25" s="216">
        <f t="shared" si="6"/>
        <v>1</v>
      </c>
      <c r="AR25" s="215">
        <f t="shared" si="20"/>
        <v>158.47</v>
      </c>
      <c r="AS25" s="216">
        <f t="shared" si="7"/>
        <v>0.9723448696087954</v>
      </c>
      <c r="AT25" s="216">
        <f t="shared" si="8"/>
        <v>1.2538510821608391</v>
      </c>
      <c r="AU25" s="216">
        <f t="shared" si="9"/>
        <v>2.2360679774997898</v>
      </c>
      <c r="AV25" s="217">
        <f t="shared" si="10"/>
        <v>10.368348541764712</v>
      </c>
      <c r="AW25" s="216">
        <f t="shared" si="11"/>
        <v>0</v>
      </c>
      <c r="AX25" s="218">
        <f t="shared" si="12"/>
        <v>1.4831709199797398</v>
      </c>
      <c r="AY25" s="216">
        <f t="shared" si="13"/>
        <v>0.77643477842613629</v>
      </c>
      <c r="AZ25" s="217">
        <f t="shared" si="14"/>
        <v>3.5883638597441294</v>
      </c>
      <c r="BA25" s="216">
        <f t="shared" si="15"/>
        <v>0</v>
      </c>
      <c r="BB25" s="216">
        <f t="shared" si="16"/>
        <v>1.0016542390239327</v>
      </c>
      <c r="BC25" s="216">
        <f t="shared" si="17"/>
        <v>1</v>
      </c>
    </row>
    <row r="26" spans="1:55" ht="20.100000000000001" customHeight="1" x14ac:dyDescent="0.2">
      <c r="A26" s="45">
        <v>0.45833333333333298</v>
      </c>
      <c r="B26" s="451"/>
      <c r="C26" s="451"/>
      <c r="D26" s="451">
        <v>7.5</v>
      </c>
      <c r="E26" s="451">
        <v>61.2</v>
      </c>
      <c r="F26" s="41">
        <v>1983</v>
      </c>
      <c r="G26" s="37">
        <v>-5.6</v>
      </c>
      <c r="H26" s="37">
        <v>72.7</v>
      </c>
      <c r="I26" s="37">
        <v>22</v>
      </c>
      <c r="J26" s="41">
        <v>426</v>
      </c>
      <c r="K26" s="37">
        <v>13</v>
      </c>
      <c r="L26" s="451">
        <v>136</v>
      </c>
      <c r="M26" s="451">
        <v>226</v>
      </c>
      <c r="N26" s="451">
        <v>90</v>
      </c>
      <c r="O26" s="353">
        <v>30</v>
      </c>
      <c r="P26" s="353">
        <v>15</v>
      </c>
      <c r="Q26" s="353">
        <v>230.26</v>
      </c>
      <c r="R26" s="37"/>
      <c r="S26" s="508" t="str">
        <f t="shared" si="0"/>
        <v/>
      </c>
      <c r="T26" s="508"/>
      <c r="U26" s="508"/>
      <c r="V26" s="508"/>
      <c r="X26" s="45">
        <v>0.45833333333333298</v>
      </c>
      <c r="Y26" s="106"/>
      <c r="Z26" s="102"/>
      <c r="AA26" s="102"/>
      <c r="AB26" s="45" t="str">
        <f t="shared" si="18"/>
        <v/>
      </c>
      <c r="AC26" s="45" t="str">
        <f t="shared" si="1"/>
        <v/>
      </c>
      <c r="AD26" s="81"/>
      <c r="AE26" s="9" t="str">
        <f>IF(S26="","",IF(COUNTA(Z26:$Z$39)=1,IF(COUNTA(AD26:$AD$39)=1,""," ; "),IF(COUNTA(AD26:$AD$39)=1,IF(Z26="",""," ; ")," ; ")))</f>
        <v/>
      </c>
      <c r="AF26" s="9" t="str">
        <f t="shared" si="2"/>
        <v/>
      </c>
      <c r="AG26" s="90" t="str">
        <f t="shared" si="3"/>
        <v/>
      </c>
      <c r="AH26" s="204" t="s">
        <v>287</v>
      </c>
      <c r="AJ26" s="206">
        <f t="shared" si="19"/>
        <v>500</v>
      </c>
      <c r="AK26" s="206">
        <f t="shared" si="19"/>
        <v>100</v>
      </c>
      <c r="AL26" s="206">
        <f t="shared" si="19"/>
        <v>2</v>
      </c>
      <c r="AM26" s="213">
        <f t="shared" si="19"/>
        <v>0.875</v>
      </c>
      <c r="AN26" s="214">
        <f t="shared" si="19"/>
        <v>0.63607464142166403</v>
      </c>
      <c r="AO26" s="215">
        <f t="shared" si="4"/>
        <v>-14.7</v>
      </c>
      <c r="AP26" s="216">
        <f t="shared" si="5"/>
        <v>1</v>
      </c>
      <c r="AQ26" s="216">
        <f t="shared" si="6"/>
        <v>1</v>
      </c>
      <c r="AR26" s="215">
        <f t="shared" si="20"/>
        <v>158.47</v>
      </c>
      <c r="AS26" s="216">
        <f t="shared" si="7"/>
        <v>0.9723448696087954</v>
      </c>
      <c r="AT26" s="216">
        <f t="shared" si="8"/>
        <v>1.2538510821608391</v>
      </c>
      <c r="AU26" s="216">
        <f t="shared" si="9"/>
        <v>2.2360679774997898</v>
      </c>
      <c r="AV26" s="217">
        <f t="shared" si="10"/>
        <v>10.368348541764712</v>
      </c>
      <c r="AW26" s="216">
        <f t="shared" si="11"/>
        <v>0</v>
      </c>
      <c r="AX26" s="218">
        <f t="shared" si="12"/>
        <v>1.4831709199797398</v>
      </c>
      <c r="AY26" s="216">
        <f t="shared" si="13"/>
        <v>0.77643477842613629</v>
      </c>
      <c r="AZ26" s="217">
        <f t="shared" si="14"/>
        <v>3.5883638597441294</v>
      </c>
      <c r="BA26" s="216">
        <f t="shared" si="15"/>
        <v>0</v>
      </c>
      <c r="BB26" s="216">
        <f t="shared" si="16"/>
        <v>1.0016542390239327</v>
      </c>
      <c r="BC26" s="216">
        <f t="shared" si="17"/>
        <v>1</v>
      </c>
    </row>
    <row r="27" spans="1:55" ht="20.100000000000001" customHeight="1" x14ac:dyDescent="0.2">
      <c r="A27" s="45">
        <v>0.5</v>
      </c>
      <c r="B27" s="451"/>
      <c r="C27" s="451"/>
      <c r="D27" s="451">
        <v>7.8</v>
      </c>
      <c r="E27" s="451">
        <v>61.8</v>
      </c>
      <c r="F27" s="41">
        <v>1970</v>
      </c>
      <c r="G27" s="37">
        <v>-5.6</v>
      </c>
      <c r="H27" s="37">
        <v>72.099999999999994</v>
      </c>
      <c r="I27" s="37">
        <v>22.1</v>
      </c>
      <c r="J27" s="41">
        <v>427</v>
      </c>
      <c r="K27" s="37">
        <v>13</v>
      </c>
      <c r="L27" s="451">
        <v>136</v>
      </c>
      <c r="M27" s="451">
        <v>226</v>
      </c>
      <c r="N27" s="451">
        <v>90</v>
      </c>
      <c r="O27" s="353">
        <v>30</v>
      </c>
      <c r="P27" s="353">
        <v>15</v>
      </c>
      <c r="Q27" s="353">
        <v>230.26</v>
      </c>
      <c r="R27" s="37"/>
      <c r="S27" s="508" t="str">
        <f t="shared" si="0"/>
        <v/>
      </c>
      <c r="T27" s="508"/>
      <c r="U27" s="508"/>
      <c r="V27" s="508"/>
      <c r="X27" s="45">
        <v>0.5</v>
      </c>
      <c r="Y27" s="106"/>
      <c r="Z27" s="102"/>
      <c r="AA27" s="102"/>
      <c r="AB27" s="45" t="str">
        <f t="shared" si="18"/>
        <v/>
      </c>
      <c r="AC27" s="45" t="str">
        <f t="shared" si="1"/>
        <v/>
      </c>
      <c r="AD27" s="81"/>
      <c r="AE27" s="9" t="str">
        <f>IF(S27="","",IF(COUNTA(Z27:$Z$39)=1,IF(COUNTA(AD27:$AD$39)=1,""," ; "),IF(COUNTA(AD27:$AD$39)=1,IF(Z27="",""," ; ")," ; ")))</f>
        <v/>
      </c>
      <c r="AF27" s="9" t="str">
        <f t="shared" si="2"/>
        <v/>
      </c>
      <c r="AG27" s="90" t="str">
        <f t="shared" si="3"/>
        <v/>
      </c>
      <c r="AH27" s="204" t="s">
        <v>276</v>
      </c>
      <c r="AJ27" s="206">
        <f t="shared" si="19"/>
        <v>500</v>
      </c>
      <c r="AK27" s="206">
        <f t="shared" si="19"/>
        <v>100</v>
      </c>
      <c r="AL27" s="206">
        <f t="shared" si="19"/>
        <v>2</v>
      </c>
      <c r="AM27" s="213">
        <f t="shared" si="19"/>
        <v>0.875</v>
      </c>
      <c r="AN27" s="214">
        <f t="shared" si="19"/>
        <v>0.63607464142166403</v>
      </c>
      <c r="AO27" s="215">
        <f t="shared" si="4"/>
        <v>-14.7</v>
      </c>
      <c r="AP27" s="216">
        <f t="shared" si="5"/>
        <v>1</v>
      </c>
      <c r="AQ27" s="216">
        <f t="shared" si="6"/>
        <v>1</v>
      </c>
      <c r="AR27" s="215">
        <f t="shared" si="20"/>
        <v>158.47</v>
      </c>
      <c r="AS27" s="216">
        <f t="shared" si="7"/>
        <v>0.9723448696087954</v>
      </c>
      <c r="AT27" s="216">
        <f t="shared" si="8"/>
        <v>1.2538510821608391</v>
      </c>
      <c r="AU27" s="216">
        <f t="shared" si="9"/>
        <v>2.2360679774997898</v>
      </c>
      <c r="AV27" s="217">
        <f t="shared" si="10"/>
        <v>10.368348541764712</v>
      </c>
      <c r="AW27" s="216">
        <f t="shared" si="11"/>
        <v>0</v>
      </c>
      <c r="AX27" s="218">
        <f t="shared" si="12"/>
        <v>1.4831709199797398</v>
      </c>
      <c r="AY27" s="216">
        <f t="shared" si="13"/>
        <v>0.77643477842613629</v>
      </c>
      <c r="AZ27" s="217">
        <f t="shared" si="14"/>
        <v>3.5883638597441294</v>
      </c>
      <c r="BA27" s="216">
        <f t="shared" si="15"/>
        <v>0</v>
      </c>
      <c r="BB27" s="216">
        <f t="shared" si="16"/>
        <v>1.0016542390239327</v>
      </c>
      <c r="BC27" s="216">
        <f t="shared" si="17"/>
        <v>1</v>
      </c>
    </row>
    <row r="28" spans="1:55" ht="20.100000000000001" customHeight="1" x14ac:dyDescent="0.2">
      <c r="A28" s="45">
        <v>0.54166666666666696</v>
      </c>
      <c r="B28" s="451"/>
      <c r="C28" s="451"/>
      <c r="D28" s="451">
        <v>7.5</v>
      </c>
      <c r="E28" s="451">
        <v>61.2</v>
      </c>
      <c r="F28" s="41">
        <v>1964</v>
      </c>
      <c r="G28" s="37">
        <v>-5.6</v>
      </c>
      <c r="H28" s="37">
        <v>72.3</v>
      </c>
      <c r="I28" s="37">
        <v>22.8</v>
      </c>
      <c r="J28" s="41">
        <v>428</v>
      </c>
      <c r="K28" s="37">
        <v>13</v>
      </c>
      <c r="L28" s="451">
        <v>137</v>
      </c>
      <c r="M28" s="451">
        <v>227</v>
      </c>
      <c r="N28" s="451">
        <v>90</v>
      </c>
      <c r="O28" s="353">
        <v>30</v>
      </c>
      <c r="P28" s="353">
        <v>16</v>
      </c>
      <c r="Q28" s="353">
        <v>237.74</v>
      </c>
      <c r="R28" s="37"/>
      <c r="S28" s="508" t="str">
        <f t="shared" si="0"/>
        <v/>
      </c>
      <c r="T28" s="508"/>
      <c r="U28" s="508"/>
      <c r="V28" s="508"/>
      <c r="X28" s="45">
        <v>0.54166666666666696</v>
      </c>
      <c r="Y28" s="106"/>
      <c r="Z28" s="102"/>
      <c r="AA28" s="102"/>
      <c r="AB28" s="45" t="str">
        <f t="shared" si="18"/>
        <v/>
      </c>
      <c r="AC28" s="45" t="str">
        <f t="shared" si="1"/>
        <v/>
      </c>
      <c r="AD28" s="81"/>
      <c r="AE28" s="9" t="str">
        <f>IF(S28="","",IF(COUNTA(Z28:$Z$39)=1,IF(COUNTA(AD28:$AD$39)=1,""," ; "),IF(COUNTA(AD28:$AD$39)=1,IF(Z28="",""," ; ")," ; ")))</f>
        <v/>
      </c>
      <c r="AF28" s="9" t="str">
        <f t="shared" si="2"/>
        <v/>
      </c>
      <c r="AG28" s="90" t="str">
        <f t="shared" si="3"/>
        <v/>
      </c>
      <c r="AH28" s="204" t="s">
        <v>278</v>
      </c>
      <c r="AJ28" s="206">
        <f t="shared" si="19"/>
        <v>500</v>
      </c>
      <c r="AK28" s="206">
        <f t="shared" si="19"/>
        <v>100</v>
      </c>
      <c r="AL28" s="206">
        <f t="shared" si="19"/>
        <v>2</v>
      </c>
      <c r="AM28" s="213">
        <f t="shared" si="19"/>
        <v>0.875</v>
      </c>
      <c r="AN28" s="214">
        <f t="shared" si="19"/>
        <v>0.63607464142166403</v>
      </c>
      <c r="AO28" s="215">
        <f t="shared" si="4"/>
        <v>-14.7</v>
      </c>
      <c r="AP28" s="216">
        <f t="shared" si="5"/>
        <v>1</v>
      </c>
      <c r="AQ28" s="216">
        <f t="shared" si="6"/>
        <v>1</v>
      </c>
      <c r="AR28" s="215">
        <f t="shared" si="20"/>
        <v>158.47</v>
      </c>
      <c r="AS28" s="216">
        <f t="shared" si="7"/>
        <v>0.9723448696087954</v>
      </c>
      <c r="AT28" s="216">
        <f t="shared" si="8"/>
        <v>1.2538510821608391</v>
      </c>
      <c r="AU28" s="216">
        <f t="shared" si="9"/>
        <v>2.2360679774997898</v>
      </c>
      <c r="AV28" s="217">
        <f t="shared" si="10"/>
        <v>10.368348541764712</v>
      </c>
      <c r="AW28" s="216">
        <f t="shared" si="11"/>
        <v>0</v>
      </c>
      <c r="AX28" s="218">
        <f t="shared" si="12"/>
        <v>1.4831709199797398</v>
      </c>
      <c r="AY28" s="216">
        <f t="shared" si="13"/>
        <v>0.77643477842613629</v>
      </c>
      <c r="AZ28" s="217">
        <f t="shared" si="14"/>
        <v>3.5883638597441294</v>
      </c>
      <c r="BA28" s="216">
        <f t="shared" si="15"/>
        <v>0</v>
      </c>
      <c r="BB28" s="216">
        <f t="shared" si="16"/>
        <v>1.0016542390239327</v>
      </c>
      <c r="BC28" s="216">
        <f t="shared" si="17"/>
        <v>1</v>
      </c>
    </row>
    <row r="29" spans="1:55" ht="20.100000000000001" customHeight="1" x14ac:dyDescent="0.2">
      <c r="A29" s="45">
        <v>0.58333333333333304</v>
      </c>
      <c r="B29" s="451"/>
      <c r="C29" s="451"/>
      <c r="D29" s="451">
        <v>7.7</v>
      </c>
      <c r="E29" s="451">
        <v>63.7</v>
      </c>
      <c r="F29" s="41">
        <v>1988</v>
      </c>
      <c r="G29" s="37">
        <v>-5.6</v>
      </c>
      <c r="H29" s="37">
        <v>72.900000000000006</v>
      </c>
      <c r="I29" s="37">
        <v>22.7</v>
      </c>
      <c r="J29" s="41">
        <v>429</v>
      </c>
      <c r="K29" s="37">
        <v>13</v>
      </c>
      <c r="L29" s="451">
        <v>138</v>
      </c>
      <c r="M29" s="451">
        <v>228</v>
      </c>
      <c r="N29" s="451">
        <v>90</v>
      </c>
      <c r="O29" s="353">
        <v>30</v>
      </c>
      <c r="P29" s="353">
        <v>16</v>
      </c>
      <c r="Q29" s="353">
        <v>237.74</v>
      </c>
      <c r="R29" s="37"/>
      <c r="S29" s="508" t="str">
        <f t="shared" si="0"/>
        <v/>
      </c>
      <c r="T29" s="508"/>
      <c r="U29" s="508"/>
      <c r="V29" s="508"/>
      <c r="X29" s="45">
        <v>0.58333333333333304</v>
      </c>
      <c r="Y29" s="106"/>
      <c r="Z29" s="102"/>
      <c r="AA29" s="102"/>
      <c r="AB29" s="45" t="str">
        <f t="shared" si="18"/>
        <v/>
      </c>
      <c r="AC29" s="45" t="str">
        <f t="shared" si="1"/>
        <v/>
      </c>
      <c r="AD29" s="81"/>
      <c r="AE29" s="9" t="str">
        <f>IF(S29="","",IF(COUNTA(Z29:$Z$39)=1,IF(COUNTA(AD29:$AD$39)=1,""," ; "),IF(COUNTA(AD29:$AD$39)=1,IF(Z29="",""," ; ")," ; ")))</f>
        <v/>
      </c>
      <c r="AF29" s="9" t="str">
        <f t="shared" si="2"/>
        <v/>
      </c>
      <c r="AG29" s="90" t="str">
        <f t="shared" si="3"/>
        <v/>
      </c>
      <c r="AH29" s="204" t="s">
        <v>224</v>
      </c>
      <c r="AJ29" s="206">
        <f t="shared" si="19"/>
        <v>500</v>
      </c>
      <c r="AK29" s="206">
        <f t="shared" si="19"/>
        <v>100</v>
      </c>
      <c r="AL29" s="206">
        <f t="shared" si="19"/>
        <v>2</v>
      </c>
      <c r="AM29" s="213">
        <f t="shared" si="19"/>
        <v>0.875</v>
      </c>
      <c r="AN29" s="214">
        <f t="shared" si="19"/>
        <v>0.63607464142166403</v>
      </c>
      <c r="AO29" s="215">
        <f t="shared" si="4"/>
        <v>-14.7</v>
      </c>
      <c r="AP29" s="216">
        <f t="shared" si="5"/>
        <v>1</v>
      </c>
      <c r="AQ29" s="216">
        <f t="shared" si="6"/>
        <v>1</v>
      </c>
      <c r="AR29" s="215">
        <f t="shared" si="20"/>
        <v>158.47</v>
      </c>
      <c r="AS29" s="216">
        <f t="shared" si="7"/>
        <v>0.9723448696087954</v>
      </c>
      <c r="AT29" s="216">
        <f t="shared" si="8"/>
        <v>1.2538510821608391</v>
      </c>
      <c r="AU29" s="216">
        <f t="shared" si="9"/>
        <v>2.2360679774997898</v>
      </c>
      <c r="AV29" s="217">
        <f t="shared" si="10"/>
        <v>10.368348541764712</v>
      </c>
      <c r="AW29" s="216">
        <f t="shared" si="11"/>
        <v>0</v>
      </c>
      <c r="AX29" s="218">
        <f t="shared" si="12"/>
        <v>1.4831709199797398</v>
      </c>
      <c r="AY29" s="216">
        <f t="shared" si="13"/>
        <v>0.77643477842613629</v>
      </c>
      <c r="AZ29" s="217">
        <f t="shared" si="14"/>
        <v>3.5883638597441294</v>
      </c>
      <c r="BA29" s="216">
        <f t="shared" si="15"/>
        <v>0</v>
      </c>
      <c r="BB29" s="216">
        <f t="shared" si="16"/>
        <v>1.0016542390239327</v>
      </c>
      <c r="BC29" s="216">
        <f t="shared" si="17"/>
        <v>1</v>
      </c>
    </row>
    <row r="30" spans="1:55" ht="20.100000000000001" customHeight="1" x14ac:dyDescent="0.2">
      <c r="A30" s="45">
        <v>0.625</v>
      </c>
      <c r="B30" s="451"/>
      <c r="C30" s="451"/>
      <c r="D30" s="451">
        <v>7.7</v>
      </c>
      <c r="E30" s="451">
        <v>64.3</v>
      </c>
      <c r="F30" s="41">
        <v>1971</v>
      </c>
      <c r="G30" s="37">
        <v>-5.6</v>
      </c>
      <c r="H30" s="37">
        <v>72.7</v>
      </c>
      <c r="I30" s="37">
        <v>22.5</v>
      </c>
      <c r="J30" s="41">
        <v>430</v>
      </c>
      <c r="K30" s="37">
        <v>13</v>
      </c>
      <c r="L30" s="451">
        <v>137</v>
      </c>
      <c r="M30" s="451">
        <v>228</v>
      </c>
      <c r="N30" s="451">
        <v>90</v>
      </c>
      <c r="O30" s="353">
        <v>45</v>
      </c>
      <c r="P30" s="353">
        <v>14</v>
      </c>
      <c r="Q30" s="353">
        <v>257.58</v>
      </c>
      <c r="R30" s="37"/>
      <c r="S30" s="508" t="str">
        <f t="shared" si="0"/>
        <v/>
      </c>
      <c r="T30" s="508"/>
      <c r="U30" s="508"/>
      <c r="V30" s="508"/>
      <c r="X30" s="45">
        <v>0.625</v>
      </c>
      <c r="Y30" s="106"/>
      <c r="Z30" s="102"/>
      <c r="AA30" s="102"/>
      <c r="AB30" s="45" t="str">
        <f t="shared" si="18"/>
        <v/>
      </c>
      <c r="AC30" s="45" t="str">
        <f t="shared" si="1"/>
        <v/>
      </c>
      <c r="AD30" s="81"/>
      <c r="AE30" s="9" t="str">
        <f>IF(S30="","",IF(COUNTA(Z30:$Z$39)=1,IF(COUNTA(AD30:$AD$39)=1,""," ; "),IF(COUNTA(AD30:$AD$39)=1,IF(Z30="",""," ; ")," ; ")))</f>
        <v/>
      </c>
      <c r="AF30" s="9" t="str">
        <f t="shared" si="2"/>
        <v/>
      </c>
      <c r="AG30" s="90" t="str">
        <f t="shared" si="3"/>
        <v/>
      </c>
      <c r="AH30" s="204" t="s">
        <v>260</v>
      </c>
      <c r="AJ30" s="206">
        <f t="shared" si="19"/>
        <v>500</v>
      </c>
      <c r="AK30" s="206">
        <f t="shared" si="19"/>
        <v>100</v>
      </c>
      <c r="AL30" s="206">
        <f t="shared" si="19"/>
        <v>2</v>
      </c>
      <c r="AM30" s="213">
        <f t="shared" si="19"/>
        <v>0.875</v>
      </c>
      <c r="AN30" s="214">
        <f t="shared" si="19"/>
        <v>0.63607464142166403</v>
      </c>
      <c r="AO30" s="215">
        <f t="shared" si="4"/>
        <v>-14.7</v>
      </c>
      <c r="AP30" s="216">
        <f t="shared" si="5"/>
        <v>1</v>
      </c>
      <c r="AQ30" s="216">
        <f t="shared" si="6"/>
        <v>1</v>
      </c>
      <c r="AR30" s="215">
        <f t="shared" si="20"/>
        <v>158.47</v>
      </c>
      <c r="AS30" s="216">
        <f t="shared" si="7"/>
        <v>0.9723448696087954</v>
      </c>
      <c r="AT30" s="216">
        <f t="shared" si="8"/>
        <v>1.2538510821608391</v>
      </c>
      <c r="AU30" s="216">
        <f t="shared" si="9"/>
        <v>2.2360679774997898</v>
      </c>
      <c r="AV30" s="217">
        <f t="shared" si="10"/>
        <v>10.368348541764712</v>
      </c>
      <c r="AW30" s="216">
        <f t="shared" si="11"/>
        <v>0</v>
      </c>
      <c r="AX30" s="218">
        <f t="shared" si="12"/>
        <v>1.4831709199797398</v>
      </c>
      <c r="AY30" s="216">
        <f t="shared" si="13"/>
        <v>0.77643477842613629</v>
      </c>
      <c r="AZ30" s="217">
        <f t="shared" si="14"/>
        <v>3.5883638597441294</v>
      </c>
      <c r="BA30" s="216">
        <f t="shared" si="15"/>
        <v>0</v>
      </c>
      <c r="BB30" s="216">
        <f t="shared" si="16"/>
        <v>1.0016542390239327</v>
      </c>
      <c r="BC30" s="216">
        <f t="shared" si="17"/>
        <v>1</v>
      </c>
    </row>
    <row r="31" spans="1:55" ht="20.100000000000001" customHeight="1" x14ac:dyDescent="0.2">
      <c r="A31" s="45">
        <v>0.66666666666666696</v>
      </c>
      <c r="B31" s="451"/>
      <c r="C31" s="451"/>
      <c r="D31" s="451">
        <v>7.6</v>
      </c>
      <c r="E31" s="451">
        <v>64.599999999999994</v>
      </c>
      <c r="F31" s="41">
        <v>1964</v>
      </c>
      <c r="G31" s="37">
        <v>-5.6</v>
      </c>
      <c r="H31" s="37">
        <v>72</v>
      </c>
      <c r="I31" s="37">
        <v>22</v>
      </c>
      <c r="J31" s="41">
        <v>431</v>
      </c>
      <c r="K31" s="37">
        <v>13</v>
      </c>
      <c r="L31" s="451">
        <v>137</v>
      </c>
      <c r="M31" s="451">
        <v>227</v>
      </c>
      <c r="N31" s="451">
        <v>90</v>
      </c>
      <c r="O31" s="353">
        <v>50</v>
      </c>
      <c r="P31" s="353">
        <v>15</v>
      </c>
      <c r="Q31" s="353">
        <v>277.64</v>
      </c>
      <c r="R31" s="37"/>
      <c r="S31" s="508" t="str">
        <f t="shared" si="0"/>
        <v/>
      </c>
      <c r="T31" s="508"/>
      <c r="U31" s="508"/>
      <c r="V31" s="508"/>
      <c r="X31" s="45">
        <v>0.66666666666666696</v>
      </c>
      <c r="Y31" s="106"/>
      <c r="Z31" s="102"/>
      <c r="AA31" s="102"/>
      <c r="AB31" s="45" t="str">
        <f t="shared" si="18"/>
        <v/>
      </c>
      <c r="AC31" s="45" t="str">
        <f t="shared" si="1"/>
        <v/>
      </c>
      <c r="AD31" s="81"/>
      <c r="AE31" s="9" t="str">
        <f>IF(S31="","",IF(COUNTA(Z31:$Z$39)=1,IF(COUNTA(AD31:$AD$39)=1,""," ; "),IF(COUNTA(AD31:$AD$39)=1,IF(Z31="",""," ; ")," ; ")))</f>
        <v/>
      </c>
      <c r="AF31" s="9" t="str">
        <f t="shared" si="2"/>
        <v/>
      </c>
      <c r="AG31" s="90" t="str">
        <f t="shared" si="3"/>
        <v/>
      </c>
      <c r="AH31" s="204" t="s">
        <v>226</v>
      </c>
      <c r="AJ31" s="206">
        <f t="shared" si="19"/>
        <v>500</v>
      </c>
      <c r="AK31" s="206">
        <f t="shared" si="19"/>
        <v>100</v>
      </c>
      <c r="AL31" s="206">
        <f t="shared" si="19"/>
        <v>2</v>
      </c>
      <c r="AM31" s="213">
        <f t="shared" si="19"/>
        <v>0.875</v>
      </c>
      <c r="AN31" s="214">
        <f t="shared" si="19"/>
        <v>0.63607464142166403</v>
      </c>
      <c r="AO31" s="215">
        <f t="shared" si="4"/>
        <v>-14.7</v>
      </c>
      <c r="AP31" s="216">
        <f t="shared" si="5"/>
        <v>1</v>
      </c>
      <c r="AQ31" s="216">
        <f t="shared" si="6"/>
        <v>1</v>
      </c>
      <c r="AR31" s="215">
        <f t="shared" si="20"/>
        <v>158.47</v>
      </c>
      <c r="AS31" s="216">
        <f t="shared" si="7"/>
        <v>0.9723448696087954</v>
      </c>
      <c r="AT31" s="216">
        <f t="shared" si="8"/>
        <v>1.2538510821608391</v>
      </c>
      <c r="AU31" s="216">
        <f t="shared" si="9"/>
        <v>2.2360679774997898</v>
      </c>
      <c r="AV31" s="217">
        <f t="shared" si="10"/>
        <v>10.368348541764712</v>
      </c>
      <c r="AW31" s="216">
        <f t="shared" si="11"/>
        <v>0</v>
      </c>
      <c r="AX31" s="218">
        <f t="shared" si="12"/>
        <v>1.4831709199797398</v>
      </c>
      <c r="AY31" s="216">
        <f t="shared" si="13"/>
        <v>0.77643477842613629</v>
      </c>
      <c r="AZ31" s="217">
        <f t="shared" si="14"/>
        <v>3.5883638597441294</v>
      </c>
      <c r="BA31" s="216">
        <f t="shared" si="15"/>
        <v>0</v>
      </c>
      <c r="BB31" s="216">
        <f t="shared" si="16"/>
        <v>1.0016542390239327</v>
      </c>
      <c r="BC31" s="216">
        <f t="shared" si="17"/>
        <v>1</v>
      </c>
    </row>
    <row r="32" spans="1:55" ht="20.100000000000001" customHeight="1" x14ac:dyDescent="0.2">
      <c r="A32" s="45">
        <v>0.70833333333333304</v>
      </c>
      <c r="B32" s="451"/>
      <c r="C32" s="451"/>
      <c r="D32" s="451">
        <v>7.9</v>
      </c>
      <c r="E32" s="451">
        <v>62</v>
      </c>
      <c r="F32" s="41">
        <v>1950</v>
      </c>
      <c r="G32" s="37">
        <v>-5.6</v>
      </c>
      <c r="H32" s="37">
        <v>72.599999999999994</v>
      </c>
      <c r="I32" s="37">
        <v>22.3</v>
      </c>
      <c r="J32" s="41">
        <v>432</v>
      </c>
      <c r="K32" s="37">
        <v>13</v>
      </c>
      <c r="L32" s="451">
        <v>136</v>
      </c>
      <c r="M32" s="451">
        <v>227</v>
      </c>
      <c r="N32" s="451">
        <v>90</v>
      </c>
      <c r="O32" s="353">
        <v>50</v>
      </c>
      <c r="P32" s="353">
        <v>13</v>
      </c>
      <c r="Q32" s="353">
        <v>258.61</v>
      </c>
      <c r="R32" s="37"/>
      <c r="S32" s="508" t="str">
        <f t="shared" si="0"/>
        <v/>
      </c>
      <c r="T32" s="508"/>
      <c r="U32" s="508"/>
      <c r="V32" s="508"/>
      <c r="X32" s="45">
        <v>0.70833333333333304</v>
      </c>
      <c r="Y32" s="106"/>
      <c r="Z32" s="102"/>
      <c r="AA32" s="102"/>
      <c r="AB32" s="45" t="str">
        <f t="shared" si="18"/>
        <v/>
      </c>
      <c r="AC32" s="45" t="str">
        <f t="shared" si="1"/>
        <v/>
      </c>
      <c r="AD32" s="81"/>
      <c r="AE32" s="9" t="str">
        <f>IF(S32="","",IF(COUNTA(Z32:$Z$39)=1,IF(COUNTA(AD32:$AD$39)=1,""," ; "),IF(COUNTA(AD32:$AD$39)=1,IF(Z32="",""," ; ")," ; ")))</f>
        <v/>
      </c>
      <c r="AF32" s="9" t="str">
        <f t="shared" si="2"/>
        <v/>
      </c>
      <c r="AG32" s="90" t="str">
        <f t="shared" si="3"/>
        <v/>
      </c>
      <c r="AH32" s="204" t="s">
        <v>313</v>
      </c>
      <c r="AJ32" s="206">
        <f t="shared" si="19"/>
        <v>500</v>
      </c>
      <c r="AK32" s="206">
        <f t="shared" si="19"/>
        <v>100</v>
      </c>
      <c r="AL32" s="206">
        <f t="shared" si="19"/>
        <v>2</v>
      </c>
      <c r="AM32" s="213">
        <f t="shared" si="19"/>
        <v>0.875</v>
      </c>
      <c r="AN32" s="214">
        <f t="shared" si="19"/>
        <v>0.63607464142166403</v>
      </c>
      <c r="AO32" s="215">
        <f t="shared" si="4"/>
        <v>-14.7</v>
      </c>
      <c r="AP32" s="216">
        <f t="shared" si="5"/>
        <v>1</v>
      </c>
      <c r="AQ32" s="216">
        <f t="shared" si="6"/>
        <v>1</v>
      </c>
      <c r="AR32" s="215">
        <f t="shared" si="20"/>
        <v>158.47</v>
      </c>
      <c r="AS32" s="216">
        <f t="shared" si="7"/>
        <v>0.9723448696087954</v>
      </c>
      <c r="AT32" s="216">
        <f t="shared" si="8"/>
        <v>1.2538510821608391</v>
      </c>
      <c r="AU32" s="216">
        <f t="shared" si="9"/>
        <v>2.2360679774997898</v>
      </c>
      <c r="AV32" s="217">
        <f t="shared" si="10"/>
        <v>10.368348541764712</v>
      </c>
      <c r="AW32" s="216">
        <f t="shared" si="11"/>
        <v>0</v>
      </c>
      <c r="AX32" s="218">
        <f t="shared" si="12"/>
        <v>1.4831709199797398</v>
      </c>
      <c r="AY32" s="216">
        <f t="shared" si="13"/>
        <v>0.77643477842613629</v>
      </c>
      <c r="AZ32" s="217">
        <f t="shared" si="14"/>
        <v>3.5883638597441294</v>
      </c>
      <c r="BA32" s="216">
        <f t="shared" si="15"/>
        <v>0</v>
      </c>
      <c r="BB32" s="216">
        <f t="shared" si="16"/>
        <v>1.0016542390239327</v>
      </c>
      <c r="BC32" s="216">
        <f t="shared" si="17"/>
        <v>1</v>
      </c>
    </row>
    <row r="33" spans="1:55" ht="20.100000000000001" customHeight="1" x14ac:dyDescent="0.2">
      <c r="A33" s="45">
        <v>0.75</v>
      </c>
      <c r="B33" s="451"/>
      <c r="C33" s="451"/>
      <c r="D33" s="451">
        <v>7.5</v>
      </c>
      <c r="E33" s="451">
        <v>61.8</v>
      </c>
      <c r="F33" s="41">
        <v>1966</v>
      </c>
      <c r="G33" s="37">
        <v>-5.6</v>
      </c>
      <c r="H33" s="37">
        <v>72.099999999999994</v>
      </c>
      <c r="I33" s="37">
        <v>22.1</v>
      </c>
      <c r="J33" s="41">
        <v>433</v>
      </c>
      <c r="K33" s="37">
        <v>13</v>
      </c>
      <c r="L33" s="451">
        <v>135</v>
      </c>
      <c r="M33" s="451">
        <v>227</v>
      </c>
      <c r="N33" s="451">
        <v>90</v>
      </c>
      <c r="O33" s="353">
        <v>45</v>
      </c>
      <c r="P33" s="353">
        <v>13</v>
      </c>
      <c r="Q33" s="353">
        <v>248.28</v>
      </c>
      <c r="R33" s="37"/>
      <c r="S33" s="508" t="str">
        <f>IF(Z33="",IF(AD33="","",AD33),CONCATENATE(TEXT(Z33,"[hh]:mm"),IF(AA33="",""," - "&amp;TEXT(AA33,"[hh]:mm")),IF(Y33="",""," "&amp;Y33&amp;"/")," "&amp;AD33))</f>
        <v/>
      </c>
      <c r="T33" s="508"/>
      <c r="U33" s="508"/>
      <c r="V33" s="508"/>
      <c r="X33" s="45">
        <v>0.75</v>
      </c>
      <c r="Y33" s="106"/>
      <c r="Z33" s="102"/>
      <c r="AA33" s="102"/>
      <c r="AB33" s="45" t="str">
        <f t="shared" si="18"/>
        <v/>
      </c>
      <c r="AC33" s="45" t="str">
        <f t="shared" si="1"/>
        <v/>
      </c>
      <c r="AD33" s="81"/>
      <c r="AE33" s="9" t="str">
        <f>IF(S33="","",IF(COUNTA(Z33:$Z$39)=1,IF(COUNTA(AD33:$AD$39)=1,""," ; "),IF(COUNTA(AD33:$AD$39)=1,IF(Z33="",""," ; ")," ; ")))</f>
        <v/>
      </c>
      <c r="AF33" s="9" t="str">
        <f t="shared" si="2"/>
        <v/>
      </c>
      <c r="AG33" s="90" t="str">
        <f t="shared" si="3"/>
        <v/>
      </c>
      <c r="AH33" s="204" t="s">
        <v>308</v>
      </c>
      <c r="AJ33" s="206">
        <f t="shared" ref="AJ33:AN39" si="21">AJ32</f>
        <v>500</v>
      </c>
      <c r="AK33" s="206">
        <f t="shared" si="21"/>
        <v>100</v>
      </c>
      <c r="AL33" s="206">
        <f t="shared" si="21"/>
        <v>2</v>
      </c>
      <c r="AM33" s="213">
        <f t="shared" si="21"/>
        <v>0.875</v>
      </c>
      <c r="AN33" s="214">
        <f t="shared" si="21"/>
        <v>0.63607464142166403</v>
      </c>
      <c r="AO33" s="215">
        <f t="shared" si="4"/>
        <v>-14.7</v>
      </c>
      <c r="AP33" s="216">
        <f t="shared" si="5"/>
        <v>1</v>
      </c>
      <c r="AQ33" s="216">
        <f t="shared" si="6"/>
        <v>1</v>
      </c>
      <c r="AR33" s="215">
        <f t="shared" si="20"/>
        <v>158.47</v>
      </c>
      <c r="AS33" s="216">
        <f t="shared" si="7"/>
        <v>0.9723448696087954</v>
      </c>
      <c r="AT33" s="216">
        <f t="shared" si="8"/>
        <v>1.2538510821608391</v>
      </c>
      <c r="AU33" s="216">
        <f t="shared" si="9"/>
        <v>2.2360679774997898</v>
      </c>
      <c r="AV33" s="217">
        <f t="shared" si="10"/>
        <v>10.368348541764712</v>
      </c>
      <c r="AW33" s="216">
        <f t="shared" si="11"/>
        <v>0</v>
      </c>
      <c r="AX33" s="218">
        <f t="shared" si="12"/>
        <v>1.4831709199797398</v>
      </c>
      <c r="AY33" s="216">
        <f t="shared" si="13"/>
        <v>0.77643477842613629</v>
      </c>
      <c r="AZ33" s="217">
        <f t="shared" si="14"/>
        <v>3.5883638597441294</v>
      </c>
      <c r="BA33" s="216">
        <f t="shared" si="15"/>
        <v>0</v>
      </c>
      <c r="BB33" s="216">
        <f t="shared" si="16"/>
        <v>1.0016542390239327</v>
      </c>
      <c r="BC33" s="216">
        <f t="shared" si="17"/>
        <v>1</v>
      </c>
    </row>
    <row r="34" spans="1:55" ht="20.100000000000001" customHeight="1" x14ac:dyDescent="0.2">
      <c r="A34" s="45">
        <v>0.79166666666666696</v>
      </c>
      <c r="B34" s="451"/>
      <c r="C34" s="451"/>
      <c r="D34" s="451">
        <v>7.2</v>
      </c>
      <c r="E34" s="451">
        <v>61.5</v>
      </c>
      <c r="F34" s="41">
        <v>1971</v>
      </c>
      <c r="G34" s="37">
        <v>-5.6</v>
      </c>
      <c r="H34" s="37">
        <v>72.3</v>
      </c>
      <c r="I34" s="37">
        <v>22.8</v>
      </c>
      <c r="J34" s="41">
        <v>434</v>
      </c>
      <c r="K34" s="37">
        <v>13</v>
      </c>
      <c r="L34" s="451">
        <v>135</v>
      </c>
      <c r="M34" s="451">
        <v>227</v>
      </c>
      <c r="N34" s="451">
        <v>90</v>
      </c>
      <c r="O34" s="353">
        <v>45</v>
      </c>
      <c r="P34" s="353">
        <v>14</v>
      </c>
      <c r="Q34" s="353">
        <v>257.58</v>
      </c>
      <c r="R34" s="37"/>
      <c r="S34" s="508" t="str">
        <f t="shared" ref="S34:S39" si="22">IF(Z34="",IF(AD34="","",AD34),CONCATENATE(TEXT(Z34,"[hh]:mm"),IF(AA34="",""," - "&amp;TEXT(AA34,"[hh]:mm")),IF(Y34="",""," "&amp;Y34&amp;"/")," "&amp;AD34))</f>
        <v/>
      </c>
      <c r="T34" s="508"/>
      <c r="U34" s="508"/>
      <c r="V34" s="508"/>
      <c r="X34" s="45">
        <v>0.79166666666666696</v>
      </c>
      <c r="Y34" s="106"/>
      <c r="Z34" s="102"/>
      <c r="AA34" s="102"/>
      <c r="AB34" s="45" t="str">
        <f t="shared" si="18"/>
        <v/>
      </c>
      <c r="AC34" s="45" t="str">
        <f t="shared" si="1"/>
        <v/>
      </c>
      <c r="AD34" s="81"/>
      <c r="AE34" s="9" t="str">
        <f>IF(S34="","",IF(COUNTA(Z34:$Z$39)=1,IF(COUNTA(AD34:$AD$39)=1,""," ; "),IF(COUNTA(AD34:$AD$39)=1,IF(Z34="",""," ; ")," ; ")))</f>
        <v/>
      </c>
      <c r="AF34" s="9" t="str">
        <f t="shared" si="2"/>
        <v/>
      </c>
      <c r="AG34" s="90" t="str">
        <f t="shared" si="3"/>
        <v/>
      </c>
      <c r="AH34" s="204" t="s">
        <v>314</v>
      </c>
      <c r="AJ34" s="206">
        <f t="shared" si="21"/>
        <v>500</v>
      </c>
      <c r="AK34" s="206">
        <f t="shared" si="21"/>
        <v>100</v>
      </c>
      <c r="AL34" s="206">
        <f t="shared" si="21"/>
        <v>2</v>
      </c>
      <c r="AM34" s="213">
        <f t="shared" si="21"/>
        <v>0.875</v>
      </c>
      <c r="AN34" s="214">
        <f t="shared" si="21"/>
        <v>0.63607464142166403</v>
      </c>
      <c r="AO34" s="215">
        <f t="shared" si="4"/>
        <v>-14.7</v>
      </c>
      <c r="AP34" s="216">
        <f t="shared" si="5"/>
        <v>1</v>
      </c>
      <c r="AQ34" s="216">
        <f t="shared" si="6"/>
        <v>1</v>
      </c>
      <c r="AR34" s="215">
        <f t="shared" si="20"/>
        <v>158.47</v>
      </c>
      <c r="AS34" s="216">
        <f t="shared" si="7"/>
        <v>0.9723448696087954</v>
      </c>
      <c r="AT34" s="216">
        <f t="shared" si="8"/>
        <v>1.2538510821608391</v>
      </c>
      <c r="AU34" s="216">
        <f t="shared" si="9"/>
        <v>2.2360679774997898</v>
      </c>
      <c r="AV34" s="217">
        <f t="shared" si="10"/>
        <v>10.368348541764712</v>
      </c>
      <c r="AW34" s="216">
        <f t="shared" si="11"/>
        <v>0</v>
      </c>
      <c r="AX34" s="218">
        <f t="shared" si="12"/>
        <v>1.4831709199797398</v>
      </c>
      <c r="AY34" s="216">
        <f t="shared" si="13"/>
        <v>0.77643477842613629</v>
      </c>
      <c r="AZ34" s="217">
        <f t="shared" si="14"/>
        <v>3.5883638597441294</v>
      </c>
      <c r="BA34" s="216">
        <f t="shared" si="15"/>
        <v>0</v>
      </c>
      <c r="BB34" s="216">
        <f t="shared" si="16"/>
        <v>1.0016542390239327</v>
      </c>
      <c r="BC34" s="216">
        <f t="shared" si="17"/>
        <v>1</v>
      </c>
    </row>
    <row r="35" spans="1:55" ht="20.100000000000001" customHeight="1" x14ac:dyDescent="0.2">
      <c r="A35" s="45">
        <v>0.83333333333333304</v>
      </c>
      <c r="B35" s="451"/>
      <c r="C35" s="451"/>
      <c r="D35" s="451">
        <v>7</v>
      </c>
      <c r="E35" s="451">
        <v>65.2</v>
      </c>
      <c r="F35" s="41">
        <v>1922</v>
      </c>
      <c r="G35" s="37">
        <v>-5.6</v>
      </c>
      <c r="H35" s="37">
        <v>72.5</v>
      </c>
      <c r="I35" s="37">
        <v>22.4</v>
      </c>
      <c r="J35" s="41">
        <v>435</v>
      </c>
      <c r="K35" s="37">
        <v>13</v>
      </c>
      <c r="L35" s="451">
        <v>132</v>
      </c>
      <c r="M35" s="451">
        <v>222</v>
      </c>
      <c r="N35" s="451">
        <v>90</v>
      </c>
      <c r="O35" s="353">
        <v>45</v>
      </c>
      <c r="P35" s="353">
        <v>14</v>
      </c>
      <c r="Q35" s="353">
        <v>257.58</v>
      </c>
      <c r="R35" s="37"/>
      <c r="S35" s="508" t="str">
        <f t="shared" si="22"/>
        <v/>
      </c>
      <c r="T35" s="508"/>
      <c r="U35" s="508"/>
      <c r="V35" s="508"/>
      <c r="X35" s="45">
        <v>0.83333333333333304</v>
      </c>
      <c r="Y35" s="106"/>
      <c r="Z35" s="102"/>
      <c r="AA35" s="102"/>
      <c r="AB35" s="45" t="str">
        <f t="shared" si="18"/>
        <v/>
      </c>
      <c r="AC35" s="45" t="str">
        <f t="shared" si="1"/>
        <v/>
      </c>
      <c r="AD35" s="81"/>
      <c r="AE35" s="9" t="str">
        <f>IF(S35="","",IF(COUNTA(Z35:$Z$39)=1,IF(COUNTA(AD35:$AD$39)=1,""," ; "),IF(COUNTA(AD35:$AD$39)=1,IF(Z35="",""," ; ")," ; ")))</f>
        <v/>
      </c>
      <c r="AF35" s="9" t="str">
        <f t="shared" si="2"/>
        <v/>
      </c>
      <c r="AG35" s="90" t="str">
        <f t="shared" si="3"/>
        <v/>
      </c>
      <c r="AH35" s="204" t="s">
        <v>227</v>
      </c>
      <c r="AJ35" s="206">
        <f t="shared" si="21"/>
        <v>500</v>
      </c>
      <c r="AK35" s="206">
        <f t="shared" si="21"/>
        <v>100</v>
      </c>
      <c r="AL35" s="206">
        <f t="shared" si="21"/>
        <v>2</v>
      </c>
      <c r="AM35" s="213">
        <f t="shared" si="21"/>
        <v>0.875</v>
      </c>
      <c r="AN35" s="214">
        <f t="shared" si="21"/>
        <v>0.63607464142166403</v>
      </c>
      <c r="AO35" s="215">
        <f t="shared" si="4"/>
        <v>-14.7</v>
      </c>
      <c r="AP35" s="216">
        <f t="shared" si="5"/>
        <v>1</v>
      </c>
      <c r="AQ35" s="216">
        <f t="shared" si="6"/>
        <v>1</v>
      </c>
      <c r="AR35" s="215">
        <f t="shared" si="20"/>
        <v>158.47</v>
      </c>
      <c r="AS35" s="216">
        <f t="shared" si="7"/>
        <v>0.9723448696087954</v>
      </c>
      <c r="AT35" s="216">
        <f t="shared" si="8"/>
        <v>1.2538510821608391</v>
      </c>
      <c r="AU35" s="216">
        <f t="shared" si="9"/>
        <v>2.2360679774997898</v>
      </c>
      <c r="AV35" s="217">
        <f t="shared" si="10"/>
        <v>10.368348541764712</v>
      </c>
      <c r="AW35" s="216">
        <f t="shared" si="11"/>
        <v>0</v>
      </c>
      <c r="AX35" s="218">
        <f t="shared" si="12"/>
        <v>1.4831709199797398</v>
      </c>
      <c r="AY35" s="216">
        <f t="shared" si="13"/>
        <v>0.77643477842613629</v>
      </c>
      <c r="AZ35" s="217">
        <f t="shared" si="14"/>
        <v>3.5883638597441294</v>
      </c>
      <c r="BA35" s="216">
        <f t="shared" si="15"/>
        <v>0</v>
      </c>
      <c r="BB35" s="216">
        <f t="shared" si="16"/>
        <v>1.0016542390239327</v>
      </c>
      <c r="BC35" s="216">
        <f t="shared" si="17"/>
        <v>1</v>
      </c>
    </row>
    <row r="36" spans="1:55" ht="20.100000000000001" customHeight="1" x14ac:dyDescent="0.2">
      <c r="A36" s="45">
        <v>0.875</v>
      </c>
      <c r="B36" s="451"/>
      <c r="C36" s="451"/>
      <c r="D36" s="451">
        <v>6.4</v>
      </c>
      <c r="E36" s="451">
        <v>63.7</v>
      </c>
      <c r="F36" s="41">
        <v>1946</v>
      </c>
      <c r="G36" s="37">
        <v>-5.6</v>
      </c>
      <c r="H36" s="37">
        <v>72.099999999999994</v>
      </c>
      <c r="I36" s="37">
        <v>22.6</v>
      </c>
      <c r="J36" s="41">
        <v>436</v>
      </c>
      <c r="K36" s="37">
        <v>13</v>
      </c>
      <c r="L36" s="451">
        <v>136</v>
      </c>
      <c r="M36" s="451">
        <v>222</v>
      </c>
      <c r="N36" s="451">
        <v>90</v>
      </c>
      <c r="O36" s="353">
        <v>45</v>
      </c>
      <c r="P36" s="353">
        <v>14</v>
      </c>
      <c r="Q36" s="353">
        <v>257.58</v>
      </c>
      <c r="R36" s="37"/>
      <c r="S36" s="508" t="str">
        <f t="shared" si="22"/>
        <v/>
      </c>
      <c r="T36" s="508"/>
      <c r="U36" s="508"/>
      <c r="V36" s="508"/>
      <c r="X36" s="45">
        <v>0.875</v>
      </c>
      <c r="Y36" s="106"/>
      <c r="Z36" s="102"/>
      <c r="AA36" s="102"/>
      <c r="AB36" s="45" t="str">
        <f t="shared" si="18"/>
        <v/>
      </c>
      <c r="AC36" s="45" t="str">
        <f t="shared" si="1"/>
        <v/>
      </c>
      <c r="AD36" s="81"/>
      <c r="AE36" s="9" t="str">
        <f>IF(S36="","",IF(COUNTA(Z36:$Z$39)=1,IF(COUNTA(AD36:$AD$39)=1,""," ; "),IF(COUNTA(AD36:$AD$39)=1,IF(Z36="",""," ; ")," ; ")))</f>
        <v/>
      </c>
      <c r="AF36" s="9" t="str">
        <f t="shared" si="2"/>
        <v/>
      </c>
      <c r="AG36" s="90" t="str">
        <f t="shared" si="3"/>
        <v/>
      </c>
      <c r="AH36" s="204" t="s">
        <v>309</v>
      </c>
      <c r="AJ36" s="206">
        <f t="shared" si="21"/>
        <v>500</v>
      </c>
      <c r="AK36" s="206">
        <f t="shared" si="21"/>
        <v>100</v>
      </c>
      <c r="AL36" s="206">
        <f t="shared" si="21"/>
        <v>2</v>
      </c>
      <c r="AM36" s="213">
        <f t="shared" si="21"/>
        <v>0.875</v>
      </c>
      <c r="AN36" s="214">
        <f t="shared" si="21"/>
        <v>0.63607464142166403</v>
      </c>
      <c r="AO36" s="215">
        <f t="shared" si="4"/>
        <v>-14.7</v>
      </c>
      <c r="AP36" s="216">
        <f t="shared" si="5"/>
        <v>1</v>
      </c>
      <c r="AQ36" s="216">
        <f t="shared" si="6"/>
        <v>1</v>
      </c>
      <c r="AR36" s="215">
        <f t="shared" si="20"/>
        <v>158.47</v>
      </c>
      <c r="AS36" s="216">
        <f t="shared" si="7"/>
        <v>0.9723448696087954</v>
      </c>
      <c r="AT36" s="216">
        <f t="shared" si="8"/>
        <v>1.2538510821608391</v>
      </c>
      <c r="AU36" s="216">
        <f t="shared" si="9"/>
        <v>2.2360679774997898</v>
      </c>
      <c r="AV36" s="217">
        <f t="shared" si="10"/>
        <v>10.368348541764712</v>
      </c>
      <c r="AW36" s="216">
        <f t="shared" si="11"/>
        <v>0</v>
      </c>
      <c r="AX36" s="218">
        <f t="shared" si="12"/>
        <v>1.4831709199797398</v>
      </c>
      <c r="AY36" s="216">
        <f t="shared" si="13"/>
        <v>0.77643477842613629</v>
      </c>
      <c r="AZ36" s="217">
        <f t="shared" si="14"/>
        <v>3.5883638597441294</v>
      </c>
      <c r="BA36" s="216">
        <f t="shared" si="15"/>
        <v>0</v>
      </c>
      <c r="BB36" s="216">
        <f t="shared" si="16"/>
        <v>1.0016542390239327</v>
      </c>
      <c r="BC36" s="216">
        <f t="shared" si="17"/>
        <v>1</v>
      </c>
    </row>
    <row r="37" spans="1:55" ht="20.100000000000001" customHeight="1" x14ac:dyDescent="0.2">
      <c r="A37" s="45">
        <v>0.91666666666666696</v>
      </c>
      <c r="B37" s="451"/>
      <c r="C37" s="451"/>
      <c r="D37" s="451">
        <v>6.2</v>
      </c>
      <c r="E37" s="451">
        <v>61.4</v>
      </c>
      <c r="F37" s="41">
        <v>1930</v>
      </c>
      <c r="G37" s="37">
        <v>-5.6</v>
      </c>
      <c r="H37" s="37">
        <v>72.400000000000006</v>
      </c>
      <c r="I37" s="37">
        <v>22.2</v>
      </c>
      <c r="J37" s="41">
        <v>437</v>
      </c>
      <c r="K37" s="37">
        <v>13</v>
      </c>
      <c r="L37" s="451">
        <v>134</v>
      </c>
      <c r="M37" s="451">
        <v>220</v>
      </c>
      <c r="N37" s="451">
        <v>90</v>
      </c>
      <c r="O37" s="353">
        <v>50</v>
      </c>
      <c r="P37" s="353">
        <v>13</v>
      </c>
      <c r="Q37" s="353">
        <v>258.61</v>
      </c>
      <c r="R37" s="37"/>
      <c r="S37" s="508" t="str">
        <f t="shared" si="22"/>
        <v/>
      </c>
      <c r="T37" s="508"/>
      <c r="U37" s="508"/>
      <c r="V37" s="508"/>
      <c r="X37" s="45">
        <v>0.91666666666666696</v>
      </c>
      <c r="Y37" s="106"/>
      <c r="Z37" s="102"/>
      <c r="AA37" s="102"/>
      <c r="AB37" s="45" t="str">
        <f t="shared" si="18"/>
        <v/>
      </c>
      <c r="AC37" s="45" t="str">
        <f t="shared" si="1"/>
        <v/>
      </c>
      <c r="AD37" s="81"/>
      <c r="AE37" s="9" t="str">
        <f>IF(S37="","",IF(COUNTA(Z37:$Z$39)=1,IF(COUNTA(AD37:$AD$39)=1,""," ; "),IF(COUNTA(AD37:$AD$39)=1,IF(Z37="",""," ; ")," ; ")))</f>
        <v/>
      </c>
      <c r="AF37" s="9" t="str">
        <f t="shared" si="2"/>
        <v/>
      </c>
      <c r="AG37" s="90" t="str">
        <f t="shared" si="3"/>
        <v/>
      </c>
      <c r="AH37" s="204" t="s">
        <v>319</v>
      </c>
      <c r="AJ37" s="206">
        <f t="shared" si="21"/>
        <v>500</v>
      </c>
      <c r="AK37" s="206">
        <f t="shared" si="21"/>
        <v>100</v>
      </c>
      <c r="AL37" s="206">
        <f t="shared" si="21"/>
        <v>2</v>
      </c>
      <c r="AM37" s="213">
        <f t="shared" si="21"/>
        <v>0.875</v>
      </c>
      <c r="AN37" s="214">
        <f t="shared" si="21"/>
        <v>0.63607464142166403</v>
      </c>
      <c r="AO37" s="215">
        <f t="shared" si="4"/>
        <v>-14.7</v>
      </c>
      <c r="AP37" s="216">
        <f t="shared" si="5"/>
        <v>1</v>
      </c>
      <c r="AQ37" s="216">
        <f t="shared" si="6"/>
        <v>1</v>
      </c>
      <c r="AR37" s="215">
        <f t="shared" si="20"/>
        <v>158.47</v>
      </c>
      <c r="AS37" s="216">
        <f t="shared" si="7"/>
        <v>0.9723448696087954</v>
      </c>
      <c r="AT37" s="216">
        <f t="shared" si="8"/>
        <v>1.2538510821608391</v>
      </c>
      <c r="AU37" s="216">
        <f t="shared" si="9"/>
        <v>2.2360679774997898</v>
      </c>
      <c r="AV37" s="217">
        <f t="shared" si="10"/>
        <v>10.368348541764712</v>
      </c>
      <c r="AW37" s="216">
        <f t="shared" si="11"/>
        <v>0</v>
      </c>
      <c r="AX37" s="218">
        <f t="shared" si="12"/>
        <v>1.4831709199797398</v>
      </c>
      <c r="AY37" s="216">
        <f t="shared" si="13"/>
        <v>0.77643477842613629</v>
      </c>
      <c r="AZ37" s="217">
        <f t="shared" si="14"/>
        <v>3.5883638597441294</v>
      </c>
      <c r="BA37" s="216">
        <f t="shared" si="15"/>
        <v>0</v>
      </c>
      <c r="BB37" s="216">
        <f t="shared" si="16"/>
        <v>1.0016542390239327</v>
      </c>
      <c r="BC37" s="216">
        <f t="shared" si="17"/>
        <v>1</v>
      </c>
    </row>
    <row r="38" spans="1:55" ht="20.100000000000001" customHeight="1" x14ac:dyDescent="0.2">
      <c r="A38" s="45">
        <v>0.95833333333333304</v>
      </c>
      <c r="B38" s="451"/>
      <c r="C38" s="451"/>
      <c r="D38" s="451">
        <v>7.1</v>
      </c>
      <c r="E38" s="451">
        <v>64</v>
      </c>
      <c r="F38" s="41">
        <v>1922</v>
      </c>
      <c r="G38" s="37">
        <v>-5.6</v>
      </c>
      <c r="H38" s="37">
        <v>72</v>
      </c>
      <c r="I38" s="37">
        <v>22</v>
      </c>
      <c r="J38" s="41">
        <v>438</v>
      </c>
      <c r="K38" s="37">
        <v>13</v>
      </c>
      <c r="L38" s="451">
        <v>130</v>
      </c>
      <c r="M38" s="451">
        <v>220</v>
      </c>
      <c r="N38" s="451">
        <v>90</v>
      </c>
      <c r="O38" s="353">
        <v>50</v>
      </c>
      <c r="P38" s="353">
        <v>13</v>
      </c>
      <c r="Q38" s="353">
        <v>258.61</v>
      </c>
      <c r="R38" s="37"/>
      <c r="S38" s="508" t="str">
        <f t="shared" si="22"/>
        <v/>
      </c>
      <c r="T38" s="508"/>
      <c r="U38" s="508"/>
      <c r="V38" s="508"/>
      <c r="X38" s="45">
        <v>0.95833333333333304</v>
      </c>
      <c r="Y38" s="106"/>
      <c r="Z38" s="102"/>
      <c r="AA38" s="102"/>
      <c r="AB38" s="45" t="str">
        <f t="shared" si="18"/>
        <v/>
      </c>
      <c r="AC38" s="45" t="str">
        <f t="shared" si="1"/>
        <v/>
      </c>
      <c r="AD38" s="81"/>
      <c r="AE38" s="9" t="str">
        <f>IF(S38="","",IF(COUNTA(Z38:$Z$39)=1,IF(COUNTA(AD38:$AD$39)=1,""," ; "),IF(COUNTA(AD38:$AD$39)=1,IF(Z38="",""," ; ")," ; ")))</f>
        <v/>
      </c>
      <c r="AF38" s="9" t="str">
        <f t="shared" si="2"/>
        <v/>
      </c>
      <c r="AG38" s="90" t="str">
        <f t="shared" si="3"/>
        <v/>
      </c>
      <c r="AH38" s="204" t="s">
        <v>219</v>
      </c>
      <c r="AJ38" s="206">
        <f t="shared" si="21"/>
        <v>500</v>
      </c>
      <c r="AK38" s="206">
        <f t="shared" si="21"/>
        <v>100</v>
      </c>
      <c r="AL38" s="206">
        <f t="shared" si="21"/>
        <v>2</v>
      </c>
      <c r="AM38" s="213">
        <f t="shared" si="21"/>
        <v>0.875</v>
      </c>
      <c r="AN38" s="214">
        <f t="shared" si="21"/>
        <v>0.63607464142166403</v>
      </c>
      <c r="AO38" s="215">
        <f t="shared" si="4"/>
        <v>-14.7</v>
      </c>
      <c r="AP38" s="216">
        <f t="shared" si="5"/>
        <v>1</v>
      </c>
      <c r="AQ38" s="216">
        <f t="shared" si="6"/>
        <v>1</v>
      </c>
      <c r="AR38" s="215">
        <f t="shared" si="20"/>
        <v>158.47</v>
      </c>
      <c r="AS38" s="216">
        <f t="shared" si="7"/>
        <v>0.9723448696087954</v>
      </c>
      <c r="AT38" s="216">
        <f t="shared" si="8"/>
        <v>1.2538510821608391</v>
      </c>
      <c r="AU38" s="216">
        <f t="shared" si="9"/>
        <v>2.2360679774997898</v>
      </c>
      <c r="AV38" s="217">
        <f t="shared" si="10"/>
        <v>10.368348541764712</v>
      </c>
      <c r="AW38" s="216">
        <f t="shared" si="11"/>
        <v>0</v>
      </c>
      <c r="AX38" s="218">
        <f t="shared" si="12"/>
        <v>1.4831709199797398</v>
      </c>
      <c r="AY38" s="216">
        <f t="shared" si="13"/>
        <v>0.77643477842613629</v>
      </c>
      <c r="AZ38" s="217">
        <f t="shared" si="14"/>
        <v>3.5883638597441294</v>
      </c>
      <c r="BA38" s="216">
        <f t="shared" si="15"/>
        <v>0</v>
      </c>
      <c r="BB38" s="216">
        <f t="shared" si="16"/>
        <v>1.0016542390239327</v>
      </c>
      <c r="BC38" s="216">
        <f t="shared" si="17"/>
        <v>1</v>
      </c>
    </row>
    <row r="39" spans="1:55" ht="20.100000000000001" customHeight="1" thickBot="1" x14ac:dyDescent="0.25">
      <c r="A39" s="46">
        <v>1</v>
      </c>
      <c r="B39" s="451"/>
      <c r="C39" s="451"/>
      <c r="D39" s="452">
        <v>6.5</v>
      </c>
      <c r="E39" s="452">
        <v>62.7</v>
      </c>
      <c r="F39" s="42">
        <v>1941</v>
      </c>
      <c r="G39" s="37">
        <v>-5.6</v>
      </c>
      <c r="H39" s="38">
        <v>72.5</v>
      </c>
      <c r="I39" s="37">
        <v>22.5</v>
      </c>
      <c r="J39" s="41">
        <v>439</v>
      </c>
      <c r="K39" s="37">
        <v>13</v>
      </c>
      <c r="L39" s="452">
        <v>136</v>
      </c>
      <c r="M39" s="452">
        <v>221</v>
      </c>
      <c r="N39" s="451">
        <v>90</v>
      </c>
      <c r="O39" s="353">
        <v>45</v>
      </c>
      <c r="P39" s="353">
        <v>14</v>
      </c>
      <c r="Q39" s="354">
        <v>257.58</v>
      </c>
      <c r="R39" s="38"/>
      <c r="S39" s="512" t="str">
        <f t="shared" si="22"/>
        <v/>
      </c>
      <c r="T39" s="512"/>
      <c r="U39" s="512"/>
      <c r="V39" s="512"/>
      <c r="X39" s="46">
        <v>1</v>
      </c>
      <c r="Y39" s="107"/>
      <c r="Z39" s="103"/>
      <c r="AA39" s="103"/>
      <c r="AB39" s="46" t="str">
        <f t="shared" si="18"/>
        <v/>
      </c>
      <c r="AC39" s="46" t="str">
        <f t="shared" si="1"/>
        <v/>
      </c>
      <c r="AD39" s="82"/>
      <c r="AE39" s="9" t="str">
        <f>IF(S39="","",IF(COUNTA(Z39:$Z$39)=1,IF(COUNTA(AD39:$AD$39)=1,""," ; "),IF(COUNTA(AD39:$AD$39)=1,IF(Z39="",""," ; ")," ; ")))</f>
        <v/>
      </c>
      <c r="AF39" s="9" t="str">
        <f t="shared" si="2"/>
        <v/>
      </c>
      <c r="AG39" s="90" t="str">
        <f t="shared" si="3"/>
        <v/>
      </c>
      <c r="AH39" s="204" t="s">
        <v>220</v>
      </c>
      <c r="AJ39" s="219">
        <f t="shared" si="21"/>
        <v>500</v>
      </c>
      <c r="AK39" s="219">
        <f t="shared" si="21"/>
        <v>100</v>
      </c>
      <c r="AL39" s="219">
        <f t="shared" si="21"/>
        <v>2</v>
      </c>
      <c r="AM39" s="220">
        <f t="shared" si="21"/>
        <v>0.875</v>
      </c>
      <c r="AN39" s="221">
        <f t="shared" si="21"/>
        <v>0.63607464142166403</v>
      </c>
      <c r="AO39" s="222">
        <f t="shared" si="4"/>
        <v>-14.7</v>
      </c>
      <c r="AP39" s="223">
        <f t="shared" si="5"/>
        <v>1</v>
      </c>
      <c r="AQ39" s="223">
        <f t="shared" si="6"/>
        <v>1</v>
      </c>
      <c r="AR39" s="222">
        <f t="shared" si="20"/>
        <v>158.47</v>
      </c>
      <c r="AS39" s="223">
        <f t="shared" si="7"/>
        <v>0.9723448696087954</v>
      </c>
      <c r="AT39" s="223">
        <f t="shared" si="8"/>
        <v>1.2538510821608391</v>
      </c>
      <c r="AU39" s="223">
        <f t="shared" si="9"/>
        <v>2.2360679774997898</v>
      </c>
      <c r="AV39" s="224">
        <f t="shared" si="10"/>
        <v>10.368348541764712</v>
      </c>
      <c r="AW39" s="223">
        <f t="shared" si="11"/>
        <v>0</v>
      </c>
      <c r="AX39" s="225">
        <f t="shared" si="12"/>
        <v>1.4831709199797398</v>
      </c>
      <c r="AY39" s="223">
        <f t="shared" si="13"/>
        <v>0.77643477842613629</v>
      </c>
      <c r="AZ39" s="224">
        <f t="shared" si="14"/>
        <v>3.5883638597441294</v>
      </c>
      <c r="BA39" s="223">
        <f t="shared" si="15"/>
        <v>0</v>
      </c>
      <c r="BB39" s="223">
        <f t="shared" si="16"/>
        <v>1.0016542390239327</v>
      </c>
      <c r="BC39" s="223">
        <f t="shared" si="17"/>
        <v>1</v>
      </c>
    </row>
    <row r="40" spans="1:55" ht="20.100000000000001" customHeight="1" thickBot="1" x14ac:dyDescent="0.3">
      <c r="A40" s="53" t="s">
        <v>11</v>
      </c>
      <c r="B40" s="453" t="str">
        <f>IFERROR(ROUND(AVERAGE(B16:B39),2),"")</f>
        <v/>
      </c>
      <c r="C40" s="453" t="str">
        <f>IFERROR(ROUND(AVERAGE(C16:C39),2),"")</f>
        <v/>
      </c>
      <c r="D40" s="453">
        <f>IFERROR(ROUND(AVERAGE(D16:D39),2),"")</f>
        <v>7.4</v>
      </c>
      <c r="E40" s="453">
        <f>IFERROR(ROUND(AVERAGE(E16:E39),2),"")</f>
        <v>62.8</v>
      </c>
      <c r="F40" s="55">
        <f>IFERROR(ROUND(AVERAGE(F16:F39),0),"")</f>
        <v>1954</v>
      </c>
      <c r="G40" s="54">
        <f>IFERROR(AVERAGE(G16:G39),"")</f>
        <v>-5.5999999999999979</v>
      </c>
      <c r="H40" s="54">
        <f>IFERROR(AVERAGE(H16:H39),"")</f>
        <v>72.354166666666657</v>
      </c>
      <c r="I40" s="54">
        <f>IFERROR(AVERAGE(I16:I39),"")</f>
        <v>22.391666666666669</v>
      </c>
      <c r="J40" s="71"/>
      <c r="K40" s="111">
        <f>IFERROR(AVERAGE(K16:K39),"")</f>
        <v>13</v>
      </c>
      <c r="L40" s="453">
        <f t="shared" ref="L40:P40" si="23">IFERROR(ROUND(AVERAGE(L16:L39),1),"")</f>
        <v>134.30000000000001</v>
      </c>
      <c r="M40" s="453">
        <f t="shared" si="23"/>
        <v>224</v>
      </c>
      <c r="N40" s="453">
        <f t="shared" si="23"/>
        <v>90</v>
      </c>
      <c r="O40" s="456">
        <f t="shared" si="23"/>
        <v>40</v>
      </c>
      <c r="P40" s="456">
        <f t="shared" si="23"/>
        <v>14</v>
      </c>
      <c r="Q40" s="456">
        <f>IF($I$47=1,$M$49,$Q$44)</f>
        <v>214.9</v>
      </c>
      <c r="R40" s="54" t="str">
        <f>IFERROR(ROUND(AVERAGE(R16:R39),1),"")</f>
        <v/>
      </c>
      <c r="S40" s="509"/>
      <c r="T40" s="510"/>
      <c r="U40" s="510"/>
      <c r="V40" s="511"/>
      <c r="X40" s="99"/>
      <c r="Y40" s="99"/>
      <c r="Z40" s="99"/>
      <c r="AA40" s="99"/>
      <c r="AB40" s="104">
        <f>SUM(AB16:AB39)</f>
        <v>0</v>
      </c>
      <c r="AC40" s="104">
        <f>SUM(AC16:AC39)</f>
        <v>0</v>
      </c>
      <c r="AD40" s="92" t="str">
        <f>IF(OR(COUNTBLANK(D16:E39)+COUNTBLANK(O16:P39)=0,COUNTA(S16:V39)&lt;&gt;0),"","CEK : Blank Data - Remarks")</f>
        <v/>
      </c>
      <c r="AG40" s="90" t="str">
        <f>IF(COUNTIF(AG16:AG39,"")=COUNTA(AG16:AG39),"","CEK : Data Flowrate")</f>
        <v/>
      </c>
      <c r="AH40" s="204" t="s">
        <v>311</v>
      </c>
    </row>
    <row r="41" spans="1:55" ht="20.100000000000001" hidden="1" customHeight="1" thickBot="1" x14ac:dyDescent="0.3">
      <c r="A41" s="49" t="s">
        <v>12</v>
      </c>
      <c r="B41" s="52" t="str">
        <f>IF(COUNT(B16:B39)&gt;0,ROUND(MIN(B16:B39),2),"")</f>
        <v/>
      </c>
      <c r="C41" s="52" t="str">
        <f>IF(COUNT(C16:C39)&gt;0,ROUND(MIN(C16:C39),2),"")</f>
        <v/>
      </c>
      <c r="D41" s="52">
        <f>IF(COUNT(D16:D39)&gt;0,ROUND(MIN(D16:D39),2),"")</f>
        <v>6.2</v>
      </c>
      <c r="E41" s="52">
        <f>IF(COUNT(E16:E39)&gt;0,ROUND(MIN(E16:E39),2),"")</f>
        <v>61.1</v>
      </c>
      <c r="F41" s="51">
        <f>IF(COUNT(F16:F39)&gt;0,ROUND(MIN(F16:F39),0),"")</f>
        <v>1922</v>
      </c>
      <c r="G41" s="50">
        <f>IF(COUNT(G16:G39)&gt;0,MIN(G16:G39),"")</f>
        <v>-5.6</v>
      </c>
      <c r="H41" s="50">
        <f>IF(COUNT(H16:H39)&gt;0,MIN(H16:H39),"")</f>
        <v>72</v>
      </c>
      <c r="I41" s="50">
        <f>IF(COUNT(I16:I39)&gt;0,MIN(I16:I39),"")</f>
        <v>22</v>
      </c>
      <c r="J41" s="72"/>
      <c r="K41" s="50">
        <f>IF(COUNT(K16:K39)&gt;0,MIN(K16:K39),"")</f>
        <v>13</v>
      </c>
      <c r="L41" s="52">
        <f>IF(COUNT(L16:L39)&gt;0,ROUND(MIN(L16:L39),1),"")</f>
        <v>130</v>
      </c>
      <c r="M41" s="52">
        <f>IF(COUNT(M16:M39)&gt;0,ROUND(MIN(M16:M39),1),"")</f>
        <v>220</v>
      </c>
      <c r="N41" s="52">
        <f>IF(COUNT(N16:N39)&gt;0,ROUND(MIN(N16:N39),1),"")</f>
        <v>90</v>
      </c>
      <c r="O41" s="440">
        <f>IF(COUNT(O16:O39)&gt;0,ROUND(MIN(O16:O39),1),"")</f>
        <v>30</v>
      </c>
      <c r="P41" s="440">
        <f>IF(COUNT(P16:P39)&gt;0,ROUND(MIN(P16:P39),1),"")</f>
        <v>11</v>
      </c>
      <c r="Q41" s="440">
        <f>IF(COUNT(Q16:Q39)&gt;0,ROUND(MIN(Q16:Q39),4),"")</f>
        <v>218.65</v>
      </c>
      <c r="R41" s="121" t="str">
        <f>IF(COUNT(R16:R39)&gt;0,ROUND(MIN(R16:R39),1),"")</f>
        <v/>
      </c>
      <c r="S41" s="509"/>
      <c r="T41" s="510"/>
      <c r="U41" s="510"/>
      <c r="V41" s="511"/>
      <c r="X41" s="99"/>
      <c r="Y41" s="99"/>
      <c r="Z41" s="99"/>
      <c r="AA41" s="99"/>
      <c r="AB41" s="99"/>
      <c r="AC41" s="99"/>
      <c r="AH41" s="204" t="s">
        <v>318</v>
      </c>
    </row>
    <row r="42" spans="1:55" ht="20.100000000000001" hidden="1" customHeight="1" thickBot="1" x14ac:dyDescent="0.3">
      <c r="A42" s="21" t="s">
        <v>13</v>
      </c>
      <c r="B42" s="454" t="str">
        <f>IF(COUNT(B16:B39)&gt;0,ROUND(MAX(B16:B39),2),"")</f>
        <v/>
      </c>
      <c r="C42" s="454" t="str">
        <f>IF(COUNT(C16:C39)&gt;0,ROUND(MAX(C16:C39),2),"")</f>
        <v/>
      </c>
      <c r="D42" s="454">
        <f>IF(COUNT(D16:D39)&gt;0,ROUND(MAX(D16:D39),2),"")</f>
        <v>7.9</v>
      </c>
      <c r="E42" s="454">
        <f>IF(COUNT(E16:E39)&gt;0,ROUND(MAX(E16:E39),2),"")</f>
        <v>65.599999999999994</v>
      </c>
      <c r="F42" s="43">
        <f>IF(COUNT(F16:F39)&gt;0,ROUND(MAX(F16:F39),0),"")</f>
        <v>1988</v>
      </c>
      <c r="G42" s="39">
        <f>IF(COUNT(G16:G39)&gt;0,MAX(G16:G39),"")</f>
        <v>-5.6</v>
      </c>
      <c r="H42" s="39">
        <f>IF(COUNT(H16:H39)&gt;0,MAX(H16:H39),"")</f>
        <v>72.900000000000006</v>
      </c>
      <c r="I42" s="39">
        <f>IF(COUNT(I16:I39)&gt;0,MAX(I16:I39),"")</f>
        <v>22.9</v>
      </c>
      <c r="J42" s="43">
        <f>IF(COUNT(J16:J39)&gt;0,MAX(J16:J39),"")</f>
        <v>439</v>
      </c>
      <c r="K42" s="39">
        <f>IF(COUNT(K16:K39)&gt;0,MAX(K16:K39),"")</f>
        <v>13</v>
      </c>
      <c r="L42" s="454">
        <f>IF(COUNT(L16:L39)&gt;0,ROUND(MAX(L16:L39),1),"")</f>
        <v>138</v>
      </c>
      <c r="M42" s="454">
        <f>IF(COUNT(M16:M39)&gt;0,ROUND(MAX(M16:M39),1),"")</f>
        <v>228</v>
      </c>
      <c r="N42" s="454">
        <f>IF(COUNT(N16:N39)&gt;0,ROUND(MAX(N16:N39),1),"")</f>
        <v>90</v>
      </c>
      <c r="O42" s="441">
        <f>IF(COUNT(O16:O39)&gt;0,ROUND(MAX(O16:O39),1),"")</f>
        <v>50</v>
      </c>
      <c r="P42" s="441">
        <f>IF(COUNT(P16:P39)&gt;0,ROUND(MAX(P16:P39),1),"")</f>
        <v>17</v>
      </c>
      <c r="Q42" s="441">
        <f>IF(COUNT(Q16:Q39)&gt;0,ROUND(MAX(Q16:Q39),4),"")</f>
        <v>277.64</v>
      </c>
      <c r="R42" s="39" t="str">
        <f>IF(COUNT(R16:R39)&gt;0,ROUND(MAX(R16:R39),1),"")</f>
        <v/>
      </c>
      <c r="S42" s="509"/>
      <c r="T42" s="510"/>
      <c r="U42" s="510"/>
      <c r="V42" s="511"/>
      <c r="X42" s="99"/>
      <c r="Y42" s="99"/>
      <c r="Z42" s="99"/>
      <c r="AA42" s="99"/>
      <c r="AB42" s="99"/>
      <c r="AC42" s="99"/>
      <c r="AH42" s="204" t="s">
        <v>312</v>
      </c>
    </row>
    <row r="43" spans="1:55" ht="20.100000000000001" hidden="1" customHeight="1" x14ac:dyDescent="0.25">
      <c r="A43" s="109"/>
      <c r="B43" s="110">
        <f>COUNT(B16:B39)</f>
        <v>0</v>
      </c>
      <c r="C43" s="110">
        <f>COUNT(C16:C39)</f>
        <v>0</v>
      </c>
      <c r="D43" s="110">
        <f>COUNT(D16:D39)</f>
        <v>24</v>
      </c>
      <c r="E43" s="110">
        <f t="shared" ref="E43:H43" si="24">COUNT(E16:E39)</f>
        <v>24</v>
      </c>
      <c r="F43" s="110">
        <f t="shared" si="24"/>
        <v>24</v>
      </c>
      <c r="G43" s="110">
        <f t="shared" si="24"/>
        <v>24</v>
      </c>
      <c r="H43" s="110">
        <f t="shared" si="24"/>
        <v>24</v>
      </c>
      <c r="I43" s="110"/>
      <c r="J43" s="110"/>
      <c r="K43" s="110"/>
      <c r="L43" s="110">
        <f t="shared" ref="L43:Q43" si="25">COUNT(L16:L39)</f>
        <v>24</v>
      </c>
      <c r="M43" s="110">
        <f t="shared" si="25"/>
        <v>24</v>
      </c>
      <c r="N43" s="110">
        <f t="shared" si="25"/>
        <v>24</v>
      </c>
      <c r="O43" s="110">
        <f t="shared" si="25"/>
        <v>24</v>
      </c>
      <c r="P43" s="110">
        <f t="shared" si="25"/>
        <v>24</v>
      </c>
      <c r="Q43" s="110">
        <f t="shared" si="25"/>
        <v>24</v>
      </c>
      <c r="R43" s="110"/>
      <c r="S43" s="99"/>
      <c r="T43" s="99"/>
      <c r="U43" s="99"/>
      <c r="V43" s="99"/>
      <c r="X43" s="99"/>
      <c r="Y43" s="99"/>
      <c r="Z43" s="99"/>
      <c r="AA43" s="99"/>
      <c r="AB43" s="99"/>
      <c r="AC43" s="99"/>
      <c r="AD43" s="92" t="str">
        <f>IF(AND(D43=E43,D43=F43,D43=G43,D43=H43,D43=L43,D43=M43,D43=N43,D43=O43,D43=P43,D43=Q43),"","CEK : Data Content")</f>
        <v/>
      </c>
      <c r="AH43" s="204" t="s">
        <v>221</v>
      </c>
    </row>
    <row r="44" spans="1:55" s="6" customFormat="1" ht="15" customHeight="1" x14ac:dyDescent="0.25">
      <c r="J44" s="91" t="str">
        <f>IF(J1="PRINT","",IF(J42="","RH please ! !",""))</f>
        <v/>
      </c>
      <c r="L44" s="24"/>
      <c r="Q44" s="445">
        <f>IFERROR(ROUND(AVERAGE(Q16:Q39),4),"")</f>
        <v>244.6446</v>
      </c>
      <c r="AH44" s="204" t="s">
        <v>323</v>
      </c>
      <c r="AI44" s="7"/>
    </row>
    <row r="45" spans="1:55" s="6" customFormat="1" ht="15" customHeight="1" x14ac:dyDescent="0.25">
      <c r="L45" s="26" t="s">
        <v>290</v>
      </c>
      <c r="Q45" s="445"/>
      <c r="AH45" s="204" t="s">
        <v>288</v>
      </c>
      <c r="AI45" s="7"/>
    </row>
    <row r="46" spans="1:55" s="6" customFormat="1" ht="15" customHeight="1" x14ac:dyDescent="0.25">
      <c r="D46" s="443" t="s">
        <v>90</v>
      </c>
      <c r="E46" s="448" t="str">
        <f>IF(Schedule!C$19="","",Schedule!C$19)</f>
        <v/>
      </c>
      <c r="G46" s="61"/>
      <c r="H46" s="25" t="str">
        <f>IFERROR(IF(OR(I47="",I48="",I49=""),"WAKTU BELUM DI-ISI LENGKAP",IF(SUM(I48:I49)&lt;=1,"","CEK KEMBALI PENULISAN WAKTU SALAH")),"CEK KEMBALI PENULISAN WAKTU SALAH")</f>
        <v/>
      </c>
      <c r="L46" s="26" t="s">
        <v>22</v>
      </c>
      <c r="M46" s="460">
        <f>IF(Volume!$W18="",$O46,Volume!$W18)</f>
        <v>34.945700000000002</v>
      </c>
      <c r="N46" s="27" t="s">
        <v>1</v>
      </c>
      <c r="O46" s="447">
        <f>IF(O40="","",O40)</f>
        <v>40</v>
      </c>
      <c r="P46" s="361" t="s">
        <v>29</v>
      </c>
      <c r="Q46" s="362"/>
      <c r="R46" s="362"/>
      <c r="S46" s="362"/>
      <c r="T46" s="361" t="s">
        <v>30</v>
      </c>
      <c r="U46" s="362"/>
      <c r="V46" s="362"/>
      <c r="AH46" s="204" t="s">
        <v>222</v>
      </c>
    </row>
    <row r="47" spans="1:55" s="6" customFormat="1" ht="15" customHeight="1" x14ac:dyDescent="0.25">
      <c r="D47" s="448"/>
      <c r="E47" s="448"/>
      <c r="H47" s="26" t="s">
        <v>26</v>
      </c>
      <c r="I47" s="56">
        <f>IF(OR(I48="",I49=""),"",1-I48-I49)</f>
        <v>1</v>
      </c>
      <c r="J47" s="27" t="s">
        <v>19</v>
      </c>
      <c r="L47" s="26" t="s">
        <v>23</v>
      </c>
      <c r="M47" s="442">
        <f>IF(Volume!$Y18="",$O47,Volume!$Y18)</f>
        <v>12.3531</v>
      </c>
      <c r="N47" s="27" t="s">
        <v>14</v>
      </c>
      <c r="O47" s="447">
        <f>IF(P40="","",P40)</f>
        <v>14</v>
      </c>
      <c r="P47" s="361" t="s">
        <v>211</v>
      </c>
      <c r="Q47" s="362"/>
      <c r="R47" s="362"/>
      <c r="S47" s="362"/>
      <c r="T47" s="361" t="s">
        <v>271</v>
      </c>
      <c r="U47" s="362"/>
      <c r="V47" s="362"/>
      <c r="AH47" s="204" t="s">
        <v>223</v>
      </c>
    </row>
    <row r="48" spans="1:55" s="6" customFormat="1" ht="15" customHeight="1" x14ac:dyDescent="0.25">
      <c r="D48" s="443" t="s">
        <v>91</v>
      </c>
      <c r="E48" s="448" t="str">
        <f>IF(Schedule!D$19="","",Schedule!D$19)</f>
        <v/>
      </c>
      <c r="H48" s="26" t="s">
        <v>37</v>
      </c>
      <c r="I48" s="108">
        <f>IF(OR(COUNT($Q$16:$Q$39)&lt;&gt;0,COUNTA($AD$16:$AD$39)&lt;&gt;0),AB40,"")</f>
        <v>0</v>
      </c>
      <c r="J48" s="27" t="s">
        <v>19</v>
      </c>
      <c r="L48" s="26" t="s">
        <v>24</v>
      </c>
      <c r="M48" s="449">
        <f>IF(N40="","",N40)</f>
        <v>90</v>
      </c>
      <c r="N48" s="27" t="s">
        <v>5</v>
      </c>
      <c r="P48" s="362"/>
      <c r="Q48" s="362"/>
      <c r="R48" s="362"/>
      <c r="S48" s="362"/>
      <c r="T48" s="361" t="s">
        <v>291</v>
      </c>
      <c r="U48" s="362"/>
      <c r="V48" s="362"/>
      <c r="AH48" s="204" t="s">
        <v>324</v>
      </c>
    </row>
    <row r="49" spans="1:34" s="6" customFormat="1" ht="15" customHeight="1" x14ac:dyDescent="0.25">
      <c r="D49" s="448"/>
      <c r="E49" s="448"/>
      <c r="H49" s="26" t="s">
        <v>27</v>
      </c>
      <c r="I49" s="108">
        <f>IF(OR(COUNT($Q$16:$Q$39)&lt;&gt;0,COUNTA($AD$16:$AD$39)&lt;&gt;0),AC40,"")</f>
        <v>0</v>
      </c>
      <c r="J49" s="27" t="s">
        <v>19</v>
      </c>
      <c r="L49" s="26" t="s">
        <v>128</v>
      </c>
      <c r="M49" s="442">
        <f>IF(Volume!$L18="",M51,Volume!$L18)</f>
        <v>214.9</v>
      </c>
      <c r="N49" s="27" t="str">
        <f>IF(Q15="MSCFD","MSCF","MMSCF")</f>
        <v>MSCF</v>
      </c>
      <c r="P49" s="362"/>
      <c r="Q49" s="362"/>
      <c r="R49" s="362"/>
      <c r="S49" s="362"/>
      <c r="T49" s="362"/>
      <c r="U49" s="362"/>
      <c r="V49" s="362"/>
      <c r="AH49" s="204" t="s">
        <v>317</v>
      </c>
    </row>
    <row r="50" spans="1:34" s="6" customFormat="1" ht="15" customHeight="1" x14ac:dyDescent="0.25">
      <c r="D50" s="443" t="s">
        <v>92</v>
      </c>
      <c r="E50" s="448" t="str">
        <f>IF(Schedule!E$19="","",Schedule!E$19)</f>
        <v>Marihot Gustafa S.</v>
      </c>
      <c r="L50" s="443" t="str">
        <f>CONCATENATE(MR!L16," ",":")</f>
        <v>Liquid Gain :</v>
      </c>
      <c r="M50" s="446" t="str">
        <f>IF(R40="","",ROUND(SUM(R16:R39),2))</f>
        <v/>
      </c>
      <c r="N50" s="444" t="str">
        <f>R15</f>
        <v>BPD</v>
      </c>
      <c r="P50" s="362"/>
      <c r="Q50" s="362"/>
      <c r="R50" s="362"/>
      <c r="S50" s="362"/>
      <c r="T50" s="362"/>
      <c r="U50" s="362"/>
      <c r="V50" s="362"/>
      <c r="AH50" s="204" t="s">
        <v>282</v>
      </c>
    </row>
    <row r="51" spans="1:34" s="6" customFormat="1" ht="15" customHeight="1" x14ac:dyDescent="0.25">
      <c r="A51" s="4"/>
      <c r="L51" s="443" t="s">
        <v>286</v>
      </c>
      <c r="M51" s="447">
        <f>IF(Q44="","",IF(SUM(I48:I49)=1,IF(Q44&lt;&gt;0,"Cek Tabel",""),ROUND(Q44*I47,4)))</f>
        <v>244.6446</v>
      </c>
      <c r="N51" s="444" t="str">
        <f>IF(Q15="MSCFD","MSCF","MMSCF")</f>
        <v>MSCF</v>
      </c>
      <c r="P51" s="362"/>
      <c r="Q51" s="362"/>
      <c r="R51" s="362"/>
      <c r="S51" s="362"/>
      <c r="T51" s="362"/>
      <c r="U51" s="362"/>
      <c r="V51" s="362"/>
      <c r="AH51" s="204" t="s">
        <v>325</v>
      </c>
    </row>
    <row r="52" spans="1:34" s="6" customFormat="1" ht="15" customHeight="1" x14ac:dyDescent="0.25">
      <c r="D52" s="26" t="s">
        <v>28</v>
      </c>
      <c r="E52" s="47"/>
      <c r="F52" s="47"/>
      <c r="G52" s="47"/>
      <c r="H52" s="47"/>
      <c r="I52" s="47"/>
      <c r="J52" s="47"/>
      <c r="K52" s="47"/>
      <c r="L52" s="5"/>
      <c r="P52" s="362"/>
      <c r="Q52" s="362"/>
      <c r="R52" s="362"/>
      <c r="S52" s="362"/>
      <c r="T52" s="362"/>
      <c r="U52" s="362"/>
      <c r="V52" s="362"/>
      <c r="AH52" s="204" t="s">
        <v>280</v>
      </c>
    </row>
    <row r="53" spans="1:34" s="6" customFormat="1" ht="15" customHeight="1" x14ac:dyDescent="0.25">
      <c r="D53" s="5"/>
      <c r="E53" s="48"/>
      <c r="F53" s="48"/>
      <c r="G53" s="48"/>
      <c r="H53" s="48"/>
      <c r="I53" s="48"/>
      <c r="J53" s="48"/>
      <c r="K53" s="48"/>
      <c r="L53" s="5"/>
      <c r="P53" s="363" t="str">
        <f>UPPER(E50)</f>
        <v>MARIHOT GUSTAFA S.</v>
      </c>
      <c r="Q53" s="362"/>
      <c r="R53" s="362"/>
      <c r="S53" s="362"/>
      <c r="T53" s="363" t="str">
        <f>IF(Schedule!F$19="","",UPPER(Schedule!F$19))</f>
        <v>M. NANANG WAHYU S</v>
      </c>
      <c r="U53" s="362"/>
      <c r="V53" s="362"/>
      <c r="AH53" s="204" t="s">
        <v>316</v>
      </c>
    </row>
    <row r="54" spans="1:34" s="6" customFormat="1" ht="15" customHeight="1" x14ac:dyDescent="0.25">
      <c r="E54" s="48"/>
      <c r="F54" s="48"/>
      <c r="G54" s="48"/>
      <c r="H54" s="48"/>
      <c r="I54" s="48"/>
      <c r="J54" s="48"/>
      <c r="K54" s="48"/>
      <c r="P54" s="361" t="s">
        <v>107</v>
      </c>
      <c r="Q54" s="362"/>
      <c r="R54" s="362"/>
      <c r="S54" s="362"/>
      <c r="T54" s="361" t="s">
        <v>294</v>
      </c>
      <c r="U54" s="362"/>
      <c r="V54" s="362"/>
      <c r="AH54" s="204" t="s">
        <v>326</v>
      </c>
    </row>
    <row r="55" spans="1:34" s="6" customFormat="1" ht="15" customHeight="1" x14ac:dyDescent="0.25">
      <c r="P55" s="364" t="str">
        <f>CONCATENATE("Date : ",TEXT(K12,"[$-409]d mmm yyyy;@"))</f>
        <v>Date : 15 Jun 2025</v>
      </c>
      <c r="Q55" s="362"/>
      <c r="R55" s="364"/>
      <c r="S55" s="362"/>
      <c r="T55" s="364" t="str">
        <f>CONCATENATE("Date : ",TEXT(K12,"[$-409]d mmm yyyy;@"))</f>
        <v>Date : 15 Jun 2025</v>
      </c>
      <c r="U55" s="362"/>
      <c r="V55" s="362"/>
      <c r="AH55" s="204" t="s">
        <v>327</v>
      </c>
    </row>
    <row r="56" spans="1:34" ht="15" customHeight="1" x14ac:dyDescent="0.25">
      <c r="AH56" s="204" t="s">
        <v>281</v>
      </c>
    </row>
    <row r="57" spans="1:34" ht="15" customHeight="1" x14ac:dyDescent="0.25">
      <c r="AH57" s="204" t="s">
        <v>277</v>
      </c>
    </row>
    <row r="58" spans="1:34" ht="15" customHeight="1" x14ac:dyDescent="0.25">
      <c r="AH58" s="204" t="s">
        <v>328</v>
      </c>
    </row>
    <row r="59" spans="1:34" ht="15" customHeight="1" x14ac:dyDescent="0.25">
      <c r="AH59" s="204" t="s">
        <v>329</v>
      </c>
    </row>
    <row r="60" spans="1:34" ht="15" customHeight="1" x14ac:dyDescent="0.25">
      <c r="AH60" s="204" t="s">
        <v>330</v>
      </c>
    </row>
    <row r="61" spans="1:34" ht="15" customHeight="1" x14ac:dyDescent="0.25">
      <c r="AH61" s="204" t="s">
        <v>331</v>
      </c>
    </row>
    <row r="62" spans="1:34" ht="15" customHeight="1" x14ac:dyDescent="0.25">
      <c r="AH62" s="204" t="s">
        <v>332</v>
      </c>
    </row>
    <row r="63" spans="1:34" ht="15" customHeight="1" x14ac:dyDescent="0.25">
      <c r="AH63" s="204" t="s">
        <v>315</v>
      </c>
    </row>
    <row r="64" spans="1:34" ht="15" customHeight="1" x14ac:dyDescent="0.25">
      <c r="AH64" s="204" t="s">
        <v>333</v>
      </c>
    </row>
    <row r="65" spans="34:34" ht="15" customHeight="1" x14ac:dyDescent="0.25">
      <c r="AH65" s="204" t="s">
        <v>310</v>
      </c>
    </row>
    <row r="66" spans="34:34" ht="15" customHeight="1" x14ac:dyDescent="0.25">
      <c r="AH66" s="204" t="s">
        <v>334</v>
      </c>
    </row>
    <row r="67" spans="34:34" ht="15" customHeight="1" x14ac:dyDescent="0.25">
      <c r="AH67" s="204" t="s">
        <v>335</v>
      </c>
    </row>
    <row r="68" spans="34:34" ht="15" customHeight="1" x14ac:dyDescent="0.25">
      <c r="AH68" s="204" t="s">
        <v>336</v>
      </c>
    </row>
    <row r="69" spans="34:34" ht="15" customHeight="1" x14ac:dyDescent="0.25">
      <c r="AH69" s="204" t="s">
        <v>337</v>
      </c>
    </row>
    <row r="70" spans="34:34" ht="15" customHeight="1" x14ac:dyDescent="0.25">
      <c r="AH70" s="204" t="s">
        <v>338</v>
      </c>
    </row>
    <row r="71" spans="34:34" ht="15" customHeight="1" x14ac:dyDescent="0.25">
      <c r="AH71" s="204" t="s">
        <v>339</v>
      </c>
    </row>
    <row r="72" spans="34:34" ht="15" customHeight="1" x14ac:dyDescent="0.25">
      <c r="AH72" s="204" t="s">
        <v>340</v>
      </c>
    </row>
    <row r="85" spans="34:34" ht="0" hidden="1" customHeight="1" x14ac:dyDescent="0.25">
      <c r="AH85" s="6"/>
    </row>
    <row r="86" spans="34:34" ht="0" hidden="1" customHeight="1" x14ac:dyDescent="0.25">
      <c r="AH86" s="6"/>
    </row>
    <row r="87" spans="34:34" ht="0" hidden="1" customHeight="1" x14ac:dyDescent="0.25">
      <c r="AH87" s="6"/>
    </row>
    <row r="88" spans="34:34" ht="0" hidden="1" customHeight="1" x14ac:dyDescent="0.25">
      <c r="AH88" s="6"/>
    </row>
    <row r="89" spans="34:34" ht="0" hidden="1" customHeight="1" x14ac:dyDescent="0.25">
      <c r="AH89" s="6"/>
    </row>
    <row r="90" spans="34:34" ht="0" hidden="1" customHeight="1" x14ac:dyDescent="0.25">
      <c r="AH90" s="6"/>
    </row>
    <row r="91" spans="34:34" ht="0" hidden="1" customHeight="1" x14ac:dyDescent="0.25">
      <c r="AH91" s="6"/>
    </row>
    <row r="92" spans="34:34" ht="0" hidden="1" customHeight="1" x14ac:dyDescent="0.25">
      <c r="AH92" s="6"/>
    </row>
    <row r="93" spans="34:34" ht="0" hidden="1" customHeight="1" x14ac:dyDescent="0.25">
      <c r="AH93" s="6"/>
    </row>
    <row r="94" spans="34:34" ht="0" hidden="1" customHeight="1" x14ac:dyDescent="0.25">
      <c r="AH94" s="6"/>
    </row>
  </sheetData>
  <sheetProtection algorithmName="SHA-512" hashValue="T7lOCLScAIheGJPlUroQJX7QAm2C0gPehXJlIyWQ76I3zXQ6K+bYJka6WaArtwV3Je63T7hG9HmRoJpUE5fyqQ==" saltValue="nzO81U8JuQRAZ4jo9T60qQ==" spinCount="100000" sheet="1" objects="1" scenarios="1" formatColumns="0" formatRows="0" insertColumns="0" insertRows="0" sort="0" autoFilter="0" pivotTables="0"/>
  <mergeCells count="69">
    <mergeCell ref="S37:V37"/>
    <mergeCell ref="S38:V38"/>
    <mergeCell ref="S39:V39"/>
    <mergeCell ref="S40:V40"/>
    <mergeCell ref="S41:V42"/>
    <mergeCell ref="S36:V36"/>
    <mergeCell ref="S25:V25"/>
    <mergeCell ref="S26:V26"/>
    <mergeCell ref="S27:V27"/>
    <mergeCell ref="S28:V28"/>
    <mergeCell ref="S29:V29"/>
    <mergeCell ref="S30:V30"/>
    <mergeCell ref="S31:V31"/>
    <mergeCell ref="S32:V32"/>
    <mergeCell ref="S33:V33"/>
    <mergeCell ref="S34:V34"/>
    <mergeCell ref="S35:V35"/>
    <mergeCell ref="S19:V19"/>
    <mergeCell ref="S20:V20"/>
    <mergeCell ref="S21:V21"/>
    <mergeCell ref="S22:V22"/>
    <mergeCell ref="S23:V23"/>
    <mergeCell ref="S24:V24"/>
    <mergeCell ref="BA14:BA15"/>
    <mergeCell ref="BB14:BB15"/>
    <mergeCell ref="BC14:BC15"/>
    <mergeCell ref="S16:V16"/>
    <mergeCell ref="S17:V17"/>
    <mergeCell ref="S18:V18"/>
    <mergeCell ref="AU14:AU15"/>
    <mergeCell ref="AV14:AV15"/>
    <mergeCell ref="AW14:AW15"/>
    <mergeCell ref="AX14:AX15"/>
    <mergeCell ref="AY14:AY15"/>
    <mergeCell ref="AZ14:AZ15"/>
    <mergeCell ref="AO14:AO15"/>
    <mergeCell ref="AP14:AP15"/>
    <mergeCell ref="AQ14:AQ15"/>
    <mergeCell ref="AR14:AR15"/>
    <mergeCell ref="AS14:AS15"/>
    <mergeCell ref="AT14:AT15"/>
    <mergeCell ref="AD14:AD15"/>
    <mergeCell ref="AJ14:AJ15"/>
    <mergeCell ref="AK14:AK15"/>
    <mergeCell ref="AL14:AL15"/>
    <mergeCell ref="AM14:AM15"/>
    <mergeCell ref="AN14:AN15"/>
    <mergeCell ref="Y14:AC14"/>
    <mergeCell ref="H13:H14"/>
    <mergeCell ref="I13:I14"/>
    <mergeCell ref="J13:J14"/>
    <mergeCell ref="K13:K14"/>
    <mergeCell ref="L13:L14"/>
    <mergeCell ref="M13:N13"/>
    <mergeCell ref="Q13:Q14"/>
    <mergeCell ref="R13:R14"/>
    <mergeCell ref="S13:V15"/>
    <mergeCell ref="O13:O14"/>
    <mergeCell ref="P13:P14"/>
    <mergeCell ref="A10:V10"/>
    <mergeCell ref="A11:V11"/>
    <mergeCell ref="K12:L12"/>
    <mergeCell ref="A13:A15"/>
    <mergeCell ref="B13:B14"/>
    <mergeCell ref="C13:C14"/>
    <mergeCell ref="D13:D14"/>
    <mergeCell ref="E13:E14"/>
    <mergeCell ref="F13:F14"/>
    <mergeCell ref="G13:G14"/>
  </mergeCells>
  <conditionalFormatting sqref="I47">
    <cfRule type="cellIs" dxfId="82" priority="5" operator="lessThan">
      <formula>0</formula>
    </cfRule>
  </conditionalFormatting>
  <conditionalFormatting sqref="Y16:Y39">
    <cfRule type="containsText" dxfId="81" priority="3" operator="containsText" text="STBY">
      <formula>NOT(ISERROR(SEARCH("STBY",Y16)))</formula>
    </cfRule>
    <cfRule type="containsText" dxfId="80" priority="4" operator="containsText" text="SD">
      <formula>NOT(ISERROR(SEARCH("SD",Y16)))</formula>
    </cfRule>
  </conditionalFormatting>
  <conditionalFormatting sqref="B16:B39 D16:R39">
    <cfRule type="expression" dxfId="79" priority="2">
      <formula>ISTEXT(B16)</formula>
    </cfRule>
  </conditionalFormatting>
  <conditionalFormatting sqref="C16:C39">
    <cfRule type="expression" dxfId="78" priority="1">
      <formula>ISTEXT(C16)</formula>
    </cfRule>
  </conditionalFormatting>
  <dataValidations count="2">
    <dataValidation type="list" allowBlank="1" showInputMessage="1" showErrorMessage="1" sqref="Y16:Y39" xr:uid="{BAC98F38-B557-4DCC-835C-78B74A399058}">
      <formula1>"SD,STBY"</formula1>
    </dataValidation>
    <dataValidation type="list" allowBlank="1" showInputMessage="1" sqref="AD16:AD39" xr:uid="{79A193A6-EC9D-41ED-89B1-4796B889C1D8}">
      <formula1>$AH$15:$AH$72</formula1>
    </dataValidation>
  </dataValidations>
  <printOptions horizontalCentered="1"/>
  <pageMargins left="0.39370078740157483" right="0.39370078740157483" top="0.59055118110236227" bottom="0.39370078740157483" header="0.31496062992125984" footer="0.31496062992125984"/>
  <pageSetup paperSize="9" scale="57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9712E-3442-4911-A0E3-836D38CCBCE3}">
  <sheetPr codeName="N16">
    <pageSetUpPr fitToPage="1"/>
  </sheetPr>
  <dimension ref="A1:BC94"/>
  <sheetViews>
    <sheetView topLeftCell="A16" zoomScale="85" zoomScaleNormal="85" workbookViewId="0">
      <selection activeCell="K36" sqref="K36"/>
    </sheetView>
  </sheetViews>
  <sheetFormatPr defaultColWidth="0" defaultRowHeight="0" customHeight="1" zeroHeight="1" x14ac:dyDescent="0.25"/>
  <cols>
    <col min="1" max="1" width="10.7109375" style="7" customWidth="1"/>
    <col min="2" max="3" width="10.7109375" style="7" hidden="1" customWidth="1"/>
    <col min="4" max="14" width="10.7109375" style="7" customWidth="1"/>
    <col min="15" max="17" width="11.7109375" style="7" customWidth="1"/>
    <col min="18" max="18" width="10.7109375" style="7" hidden="1" customWidth="1"/>
    <col min="19" max="22" width="10.7109375" style="7" customWidth="1"/>
    <col min="23" max="23" width="2.7109375" style="7" customWidth="1"/>
    <col min="24" max="29" width="10.7109375" style="7" customWidth="1"/>
    <col min="30" max="30" width="30.7109375" style="7" customWidth="1"/>
    <col min="31" max="33" width="11.7109375" style="7" customWidth="1"/>
    <col min="34" max="34" width="30.7109375" style="7" customWidth="1"/>
    <col min="35" max="35" width="2.7109375" style="7" hidden="1" customWidth="1"/>
    <col min="36" max="55" width="11.7109375" style="7" hidden="1" customWidth="1"/>
    <col min="56" max="16384" width="9.140625" style="7" hidden="1"/>
  </cols>
  <sheetData>
    <row r="1" spans="1:55" ht="15" customHeight="1" x14ac:dyDescent="0.25">
      <c r="A1" s="7" t="s">
        <v>16</v>
      </c>
      <c r="D1" s="11" t="s">
        <v>85</v>
      </c>
      <c r="J1" s="7" t="str">
        <f>IF(MR!U13="Yes","PRINT","No")</f>
        <v>PRINT</v>
      </c>
      <c r="M1" s="191"/>
      <c r="N1" s="191"/>
    </row>
    <row r="2" spans="1:55" ht="15" customHeight="1" thickBot="1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192"/>
      <c r="M2" s="4"/>
      <c r="N2" s="4"/>
      <c r="O2" s="4"/>
      <c r="P2" s="4"/>
      <c r="Q2" s="4"/>
      <c r="R2" s="4"/>
      <c r="S2" s="8"/>
      <c r="T2" s="8"/>
      <c r="U2" s="8"/>
      <c r="V2" s="8"/>
      <c r="X2" s="8"/>
      <c r="Y2" s="8"/>
      <c r="Z2" s="8"/>
      <c r="AA2" s="8"/>
      <c r="AB2" s="8"/>
      <c r="AC2" s="8"/>
      <c r="AD2" s="8"/>
      <c r="AE2" s="8"/>
    </row>
    <row r="3" spans="1:55" ht="15" customHeight="1" x14ac:dyDescent="0.2">
      <c r="A3" s="31"/>
      <c r="B3" s="28"/>
      <c r="C3" s="28"/>
      <c r="D3" s="28"/>
      <c r="E3" s="28"/>
      <c r="F3" s="13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2"/>
      <c r="T3" s="22"/>
      <c r="U3" s="22"/>
      <c r="V3" s="23"/>
      <c r="X3" s="8"/>
      <c r="Y3" s="8"/>
      <c r="Z3" s="8"/>
      <c r="AA3" s="8"/>
      <c r="AB3" s="8"/>
      <c r="AC3" s="8"/>
      <c r="AD3" s="8"/>
      <c r="AE3" s="8"/>
    </row>
    <row r="4" spans="1:55" ht="30" customHeight="1" x14ac:dyDescent="0.25">
      <c r="A4" s="30"/>
      <c r="B4" s="1"/>
      <c r="C4" s="1"/>
      <c r="D4" s="1"/>
      <c r="E4" s="3"/>
      <c r="F4" s="63" t="s">
        <v>210</v>
      </c>
      <c r="G4" s="1"/>
      <c r="H4" s="1"/>
      <c r="I4" s="3"/>
      <c r="J4" s="3"/>
      <c r="K4" s="3"/>
      <c r="L4" s="3"/>
      <c r="M4" s="3"/>
      <c r="N4" s="3"/>
      <c r="O4" s="3"/>
      <c r="P4" s="3"/>
      <c r="Q4" s="3"/>
      <c r="R4" s="3"/>
      <c r="S4" s="1"/>
      <c r="T4" s="1"/>
      <c r="U4" s="1"/>
      <c r="V4" s="2"/>
      <c r="X4" s="5"/>
      <c r="Y4" s="5"/>
      <c r="Z4" s="5"/>
      <c r="AA4" s="5"/>
      <c r="AB4" s="5"/>
      <c r="AC4" s="5"/>
      <c r="AD4" s="5"/>
      <c r="AE4" s="5"/>
    </row>
    <row r="5" spans="1:55" ht="15" customHeight="1" x14ac:dyDescent="0.2">
      <c r="A5" s="32"/>
      <c r="B5" s="33"/>
      <c r="C5" s="33"/>
      <c r="D5" s="12"/>
      <c r="E5" s="3"/>
      <c r="F5" s="10" t="s">
        <v>129</v>
      </c>
      <c r="G5" s="1"/>
      <c r="H5" s="1"/>
      <c r="I5" s="3"/>
      <c r="J5" s="3"/>
      <c r="K5" s="3"/>
      <c r="L5" s="3"/>
      <c r="M5" s="3"/>
      <c r="N5" s="3"/>
      <c r="O5" s="3"/>
      <c r="P5" s="3"/>
      <c r="Q5" s="3"/>
      <c r="R5" s="3"/>
      <c r="S5" s="12"/>
      <c r="T5" s="12"/>
      <c r="U5" s="12"/>
      <c r="V5" s="14"/>
      <c r="X5" s="8"/>
      <c r="Y5" s="8"/>
      <c r="Z5" s="8"/>
      <c r="AA5" s="8"/>
      <c r="AB5" s="8"/>
      <c r="AC5" s="8"/>
      <c r="AD5" s="8"/>
      <c r="AE5" s="8"/>
      <c r="AJ5" s="193" t="s">
        <v>184</v>
      </c>
      <c r="AK5" s="194">
        <f>'V Calc'!B1</f>
        <v>500</v>
      </c>
      <c r="AL5" s="124"/>
    </row>
    <row r="6" spans="1:55" ht="15" customHeight="1" x14ac:dyDescent="0.2">
      <c r="A6" s="32"/>
      <c r="B6" s="33"/>
      <c r="C6" s="33"/>
      <c r="D6" s="12"/>
      <c r="E6" s="3"/>
      <c r="F6" s="10" t="s">
        <v>132</v>
      </c>
      <c r="G6" s="1"/>
      <c r="H6" s="1"/>
      <c r="I6" s="3"/>
      <c r="J6" s="3"/>
      <c r="K6" s="3"/>
      <c r="L6" s="3"/>
      <c r="M6" s="3"/>
      <c r="N6" s="3"/>
      <c r="O6" s="3"/>
      <c r="P6" s="3"/>
      <c r="Q6" s="3"/>
      <c r="R6" s="3"/>
      <c r="S6" s="12"/>
      <c r="T6" s="12"/>
      <c r="U6" s="12"/>
      <c r="V6" s="14"/>
      <c r="X6" s="8"/>
      <c r="Y6" s="8"/>
      <c r="Z6" s="8"/>
      <c r="AA6" s="8"/>
      <c r="AB6" s="8"/>
      <c r="AC6" s="8"/>
      <c r="AD6" s="8"/>
      <c r="AE6" s="8"/>
      <c r="AJ6" s="193" t="s">
        <v>185</v>
      </c>
      <c r="AK6" s="194">
        <f>'V Calc'!B2</f>
        <v>100</v>
      </c>
      <c r="AL6" s="124"/>
    </row>
    <row r="7" spans="1:55" ht="15" customHeight="1" x14ac:dyDescent="0.2">
      <c r="A7" s="32"/>
      <c r="B7" s="33"/>
      <c r="C7" s="33"/>
      <c r="D7" s="12"/>
      <c r="E7" s="3"/>
      <c r="F7" s="10" t="s">
        <v>130</v>
      </c>
      <c r="G7" s="1"/>
      <c r="H7" s="1"/>
      <c r="I7" s="3"/>
      <c r="J7" s="3"/>
      <c r="K7" s="3"/>
      <c r="L7" s="3"/>
      <c r="M7" s="3"/>
      <c r="N7" s="3"/>
      <c r="O7" s="3"/>
      <c r="P7" s="3"/>
      <c r="Q7" s="3"/>
      <c r="R7" s="3"/>
      <c r="S7" s="12"/>
      <c r="T7" s="12"/>
      <c r="U7" s="12"/>
      <c r="V7" s="14"/>
      <c r="X7" s="8"/>
      <c r="Y7" s="8"/>
      <c r="Z7" s="8"/>
      <c r="AA7" s="8"/>
      <c r="AB7" s="8"/>
      <c r="AC7" s="8"/>
      <c r="AD7" s="8"/>
      <c r="AE7" s="8"/>
      <c r="AJ7" s="193" t="s">
        <v>186</v>
      </c>
      <c r="AK7" s="195">
        <f>'V Calc'!B3</f>
        <v>2</v>
      </c>
      <c r="AL7" s="124"/>
    </row>
    <row r="8" spans="1:55" ht="15" customHeight="1" x14ac:dyDescent="0.2">
      <c r="A8" s="32"/>
      <c r="B8" s="33"/>
      <c r="C8" s="33"/>
      <c r="D8" s="12"/>
      <c r="E8" s="3"/>
      <c r="F8" s="10" t="s">
        <v>131</v>
      </c>
      <c r="G8" s="62"/>
      <c r="H8" s="62"/>
      <c r="I8" s="3"/>
      <c r="J8" s="3"/>
      <c r="K8" s="3"/>
      <c r="L8" s="3"/>
      <c r="M8" s="3"/>
      <c r="N8" s="3"/>
      <c r="O8" s="3"/>
      <c r="P8" s="3"/>
      <c r="Q8" s="3"/>
      <c r="R8" s="3"/>
      <c r="S8" s="12"/>
      <c r="T8" s="12"/>
      <c r="U8" s="12"/>
      <c r="V8" s="14"/>
      <c r="X8" s="8"/>
      <c r="Y8" s="8"/>
      <c r="Z8" s="8"/>
      <c r="AA8" s="8"/>
      <c r="AB8" s="8"/>
      <c r="AC8" s="8"/>
      <c r="AD8" s="8"/>
      <c r="AE8" s="8"/>
      <c r="AJ8" s="193" t="s">
        <v>187</v>
      </c>
      <c r="AK8" s="195">
        <f>'V Calc'!B4</f>
        <v>0.875</v>
      </c>
      <c r="AL8" s="124"/>
    </row>
    <row r="9" spans="1:55" ht="15" customHeight="1" thickBot="1" x14ac:dyDescent="0.25">
      <c r="A9" s="34"/>
      <c r="B9" s="29"/>
      <c r="C9" s="29"/>
      <c r="D9" s="29"/>
      <c r="E9" s="29"/>
      <c r="F9" s="15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16"/>
      <c r="T9" s="16"/>
      <c r="U9" s="16"/>
      <c r="V9" s="17"/>
      <c r="X9" s="8"/>
      <c r="Y9" s="8"/>
      <c r="Z9" s="8"/>
      <c r="AA9" s="8"/>
      <c r="AB9" s="8"/>
      <c r="AC9" s="8"/>
      <c r="AD9" s="8"/>
      <c r="AE9" s="8"/>
      <c r="AJ9" s="196" t="s">
        <v>188</v>
      </c>
      <c r="AK9" s="197">
        <f>'V Calc'!B5</f>
        <v>158.47</v>
      </c>
      <c r="AL9" s="198"/>
    </row>
    <row r="10" spans="1:55" s="9" customFormat="1" ht="30" customHeight="1" x14ac:dyDescent="0.2">
      <c r="A10" s="513" t="s">
        <v>20</v>
      </c>
      <c r="B10" s="514"/>
      <c r="C10" s="514"/>
      <c r="D10" s="514"/>
      <c r="E10" s="514"/>
      <c r="F10" s="514"/>
      <c r="G10" s="514"/>
      <c r="H10" s="514"/>
      <c r="I10" s="514"/>
      <c r="J10" s="514"/>
      <c r="K10" s="514"/>
      <c r="L10" s="514"/>
      <c r="M10" s="514"/>
      <c r="N10" s="514"/>
      <c r="O10" s="514"/>
      <c r="P10" s="514"/>
      <c r="Q10" s="514"/>
      <c r="R10" s="514"/>
      <c r="S10" s="514"/>
      <c r="T10" s="514"/>
      <c r="U10" s="514"/>
      <c r="V10" s="515"/>
      <c r="X10" s="96"/>
      <c r="Y10" s="96"/>
      <c r="Z10" s="96"/>
      <c r="AA10" s="96"/>
      <c r="AB10" s="96"/>
      <c r="AC10" s="96"/>
      <c r="AJ10" s="193" t="s">
        <v>189</v>
      </c>
      <c r="AK10" s="199">
        <f>'V Calc'!B6</f>
        <v>0.63607464142166403</v>
      </c>
      <c r="AL10" s="198" t="s">
        <v>190</v>
      </c>
    </row>
    <row r="11" spans="1:55" s="9" customFormat="1" ht="20.100000000000001" customHeight="1" thickBot="1" x14ac:dyDescent="0.25">
      <c r="A11" s="516" t="s">
        <v>21</v>
      </c>
      <c r="B11" s="517"/>
      <c r="C11" s="517"/>
      <c r="D11" s="517"/>
      <c r="E11" s="517"/>
      <c r="F11" s="517"/>
      <c r="G11" s="517"/>
      <c r="H11" s="517"/>
      <c r="I11" s="517"/>
      <c r="J11" s="517"/>
      <c r="K11" s="517"/>
      <c r="L11" s="517"/>
      <c r="M11" s="517"/>
      <c r="N11" s="517"/>
      <c r="O11" s="517"/>
      <c r="P11" s="517"/>
      <c r="Q11" s="517"/>
      <c r="R11" s="517"/>
      <c r="S11" s="517"/>
      <c r="T11" s="517"/>
      <c r="U11" s="517"/>
      <c r="V11" s="518"/>
      <c r="X11" s="97"/>
      <c r="Y11" s="97"/>
      <c r="Z11" s="97"/>
      <c r="AA11" s="97"/>
      <c r="AB11" s="97"/>
      <c r="AC11" s="97"/>
    </row>
    <row r="12" spans="1:55" s="6" customFormat="1" ht="30" customHeight="1" thickBot="1" x14ac:dyDescent="0.3">
      <c r="A12" s="18"/>
      <c r="B12" s="20"/>
      <c r="C12" s="20"/>
      <c r="D12" s="19" t="s">
        <v>121</v>
      </c>
      <c r="E12" s="200" t="str">
        <f>'Day 15'!E12</f>
        <v>MPR 632  RFD</v>
      </c>
      <c r="F12" s="35"/>
      <c r="G12" s="19" t="s">
        <v>120</v>
      </c>
      <c r="H12" s="200" t="str">
        <f>IF(Volume!C$19="","",Volume!C$19)</f>
        <v>FP 65354</v>
      </c>
      <c r="I12" s="20"/>
      <c r="J12" s="19" t="s">
        <v>17</v>
      </c>
      <c r="K12" s="505">
        <f>'Day 15'!K12+1</f>
        <v>45824</v>
      </c>
      <c r="L12" s="505"/>
      <c r="M12" s="100"/>
      <c r="N12" s="19" t="s">
        <v>119</v>
      </c>
      <c r="O12" s="200" t="str">
        <f>IF(Volume!D$19="","",Volume!D$19)</f>
        <v>SP. Tambun - Cluster F</v>
      </c>
      <c r="P12" s="20"/>
      <c r="Q12" s="19" t="s">
        <v>122</v>
      </c>
      <c r="S12" s="201">
        <f>IF(Volume!E$19="","",Volume!E$19)</f>
        <v>1.25</v>
      </c>
      <c r="T12" s="20"/>
      <c r="U12" s="19" t="s">
        <v>126</v>
      </c>
      <c r="V12" s="202" t="str">
        <f>IF(Volume!F$19="","",Volume!F$19)</f>
        <v>4/0</v>
      </c>
    </row>
    <row r="13" spans="1:55" ht="30" customHeight="1" thickBot="1" x14ac:dyDescent="0.3">
      <c r="A13" s="502" t="s">
        <v>0</v>
      </c>
      <c r="B13" s="502" t="s">
        <v>213</v>
      </c>
      <c r="C13" s="502" t="s">
        <v>212</v>
      </c>
      <c r="D13" s="502" t="s">
        <v>31</v>
      </c>
      <c r="E13" s="502" t="s">
        <v>32</v>
      </c>
      <c r="F13" s="502" t="s">
        <v>2</v>
      </c>
      <c r="G13" s="502" t="s">
        <v>33</v>
      </c>
      <c r="H13" s="502" t="s">
        <v>35</v>
      </c>
      <c r="I13" s="502" t="s">
        <v>36</v>
      </c>
      <c r="J13" s="502" t="s">
        <v>110</v>
      </c>
      <c r="K13" s="502" t="s">
        <v>15</v>
      </c>
      <c r="L13" s="502" t="s">
        <v>34</v>
      </c>
      <c r="M13" s="502" t="s">
        <v>10</v>
      </c>
      <c r="N13" s="502"/>
      <c r="O13" s="506" t="s">
        <v>300</v>
      </c>
      <c r="P13" s="506" t="s">
        <v>299</v>
      </c>
      <c r="Q13" s="502" t="s">
        <v>7</v>
      </c>
      <c r="R13" s="502" t="s">
        <v>88</v>
      </c>
      <c r="S13" s="502" t="s">
        <v>8</v>
      </c>
      <c r="T13" s="502"/>
      <c r="U13" s="502"/>
      <c r="V13" s="502"/>
      <c r="X13" s="98"/>
      <c r="Y13" s="98"/>
      <c r="Z13" s="98"/>
      <c r="AA13" s="98"/>
      <c r="AB13" s="98"/>
      <c r="AC13" s="98"/>
    </row>
    <row r="14" spans="1:55" ht="30" customHeight="1" x14ac:dyDescent="0.25">
      <c r="A14" s="504"/>
      <c r="B14" s="504"/>
      <c r="C14" s="504"/>
      <c r="D14" s="504"/>
      <c r="E14" s="504"/>
      <c r="F14" s="504"/>
      <c r="G14" s="504"/>
      <c r="H14" s="504"/>
      <c r="I14" s="504"/>
      <c r="J14" s="504"/>
      <c r="K14" s="504"/>
      <c r="L14" s="504"/>
      <c r="M14" s="94" t="s">
        <v>3</v>
      </c>
      <c r="N14" s="94" t="s">
        <v>4</v>
      </c>
      <c r="O14" s="507"/>
      <c r="P14" s="507"/>
      <c r="Q14" s="504"/>
      <c r="R14" s="504"/>
      <c r="S14" s="504"/>
      <c r="T14" s="504"/>
      <c r="U14" s="504"/>
      <c r="V14" s="504"/>
      <c r="Y14" s="502" t="s">
        <v>230</v>
      </c>
      <c r="Z14" s="502"/>
      <c r="AA14" s="502"/>
      <c r="AB14" s="502"/>
      <c r="AC14" s="502"/>
      <c r="AD14" s="502" t="s">
        <v>231</v>
      </c>
      <c r="AH14" s="203" t="s">
        <v>232</v>
      </c>
      <c r="AJ14" s="520" t="s">
        <v>191</v>
      </c>
      <c r="AK14" s="520" t="s">
        <v>192</v>
      </c>
      <c r="AL14" s="520" t="s">
        <v>193</v>
      </c>
      <c r="AM14" s="520" t="s">
        <v>194</v>
      </c>
      <c r="AN14" s="520" t="s">
        <v>195</v>
      </c>
      <c r="AO14" s="506" t="s">
        <v>196</v>
      </c>
      <c r="AP14" s="506" t="s">
        <v>197</v>
      </c>
      <c r="AQ14" s="506" t="s">
        <v>198</v>
      </c>
      <c r="AR14" s="506" t="s">
        <v>188</v>
      </c>
      <c r="AS14" s="506" t="s">
        <v>199</v>
      </c>
      <c r="AT14" s="506" t="s">
        <v>200</v>
      </c>
      <c r="AU14" s="506" t="s">
        <v>201</v>
      </c>
      <c r="AV14" s="506" t="s">
        <v>202</v>
      </c>
      <c r="AW14" s="506" t="s">
        <v>203</v>
      </c>
      <c r="AX14" s="506" t="s">
        <v>204</v>
      </c>
      <c r="AY14" s="523" t="s">
        <v>205</v>
      </c>
      <c r="AZ14" s="523" t="s">
        <v>206</v>
      </c>
      <c r="BA14" s="523" t="s">
        <v>207</v>
      </c>
      <c r="BB14" s="523" t="s">
        <v>208</v>
      </c>
      <c r="BC14" s="506" t="s">
        <v>197</v>
      </c>
    </row>
    <row r="15" spans="1:55" ht="20.100000000000001" customHeight="1" thickBot="1" x14ac:dyDescent="0.3">
      <c r="A15" s="503"/>
      <c r="B15" s="95" t="s">
        <v>1</v>
      </c>
      <c r="C15" s="95" t="s">
        <v>1</v>
      </c>
      <c r="D15" s="95" t="s">
        <v>1</v>
      </c>
      <c r="E15" s="95" t="s">
        <v>1</v>
      </c>
      <c r="F15" s="95" t="s">
        <v>140</v>
      </c>
      <c r="G15" s="95" t="s">
        <v>1</v>
      </c>
      <c r="H15" s="95" t="s">
        <v>1</v>
      </c>
      <c r="I15" s="95" t="s">
        <v>1</v>
      </c>
      <c r="J15" s="95" t="s">
        <v>18</v>
      </c>
      <c r="K15" s="95" t="s">
        <v>9</v>
      </c>
      <c r="L15" s="95" t="s">
        <v>5</v>
      </c>
      <c r="M15" s="95" t="s">
        <v>5</v>
      </c>
      <c r="N15" s="95" t="s">
        <v>5</v>
      </c>
      <c r="O15" s="95" t="s">
        <v>1</v>
      </c>
      <c r="P15" s="95" t="s">
        <v>14</v>
      </c>
      <c r="Q15" s="95" t="str">
        <f>IF(MR!G17="MSCF","MSCFD","MMSCFD")</f>
        <v>MSCFD</v>
      </c>
      <c r="R15" s="95" t="str">
        <f>MR!L17</f>
        <v>BPD</v>
      </c>
      <c r="S15" s="503"/>
      <c r="T15" s="503"/>
      <c r="U15" s="503"/>
      <c r="V15" s="503"/>
      <c r="X15" s="365"/>
      <c r="Y15" s="95" t="s">
        <v>123</v>
      </c>
      <c r="Z15" s="95" t="s">
        <v>124</v>
      </c>
      <c r="AA15" s="95" t="s">
        <v>125</v>
      </c>
      <c r="AB15" s="95" t="s">
        <v>51</v>
      </c>
      <c r="AC15" s="95" t="s">
        <v>48</v>
      </c>
      <c r="AD15" s="503"/>
      <c r="AH15" s="204" t="s">
        <v>228</v>
      </c>
      <c r="AJ15" s="521"/>
      <c r="AK15" s="521"/>
      <c r="AL15" s="521"/>
      <c r="AM15" s="521"/>
      <c r="AN15" s="521"/>
      <c r="AO15" s="522"/>
      <c r="AP15" s="522"/>
      <c r="AQ15" s="522"/>
      <c r="AR15" s="522"/>
      <c r="AS15" s="522"/>
      <c r="AT15" s="522"/>
      <c r="AU15" s="522"/>
      <c r="AV15" s="522"/>
      <c r="AW15" s="522"/>
      <c r="AX15" s="522"/>
      <c r="AY15" s="524"/>
      <c r="AZ15" s="524"/>
      <c r="BA15" s="524"/>
      <c r="BB15" s="524"/>
      <c r="BC15" s="522"/>
    </row>
    <row r="16" spans="1:55" ht="20.100000000000001" customHeight="1" x14ac:dyDescent="0.2">
      <c r="A16" s="44">
        <v>4.1666666666666664E-2</v>
      </c>
      <c r="B16" s="450"/>
      <c r="C16" s="450"/>
      <c r="D16" s="450">
        <v>6.4</v>
      </c>
      <c r="E16" s="450">
        <v>58.6</v>
      </c>
      <c r="F16" s="40">
        <v>1946</v>
      </c>
      <c r="G16" s="36">
        <v>-5.6</v>
      </c>
      <c r="H16" s="36">
        <v>72.400000000000006</v>
      </c>
      <c r="I16" s="36">
        <v>22.6</v>
      </c>
      <c r="J16" s="40">
        <v>440</v>
      </c>
      <c r="K16" s="36">
        <v>13</v>
      </c>
      <c r="L16" s="450">
        <v>136</v>
      </c>
      <c r="M16" s="450">
        <v>222</v>
      </c>
      <c r="N16" s="450">
        <v>90</v>
      </c>
      <c r="O16" s="352">
        <v>45</v>
      </c>
      <c r="P16" s="352">
        <v>15</v>
      </c>
      <c r="Q16" s="352">
        <v>266.55</v>
      </c>
      <c r="R16" s="36"/>
      <c r="S16" s="519" t="str">
        <f t="shared" ref="S16:S32" si="0">IF(Z16="",IF(AD16="","",AD16),CONCATENATE(TEXT(Z16,"[hh]:mm"),IF(AA16="",""," - "&amp;TEXT(AA16,"[hh]:mm")),IF(Y16="",""," "&amp;Y16&amp;"/")," "&amp;AD16))</f>
        <v/>
      </c>
      <c r="T16" s="519"/>
      <c r="U16" s="519"/>
      <c r="V16" s="519"/>
      <c r="X16" s="44">
        <v>4.1666666666666664E-2</v>
      </c>
      <c r="Y16" s="105"/>
      <c r="Z16" s="101"/>
      <c r="AA16" s="101"/>
      <c r="AB16" s="44" t="str">
        <f>IF(Y16="STBY",AA16-Z16,"")</f>
        <v/>
      </c>
      <c r="AC16" s="44" t="str">
        <f t="shared" ref="AC16:AC39" si="1">IF(Y16="SD",AA16-Z16,"")</f>
        <v/>
      </c>
      <c r="AD16" s="355"/>
      <c r="AE16" s="9" t="str">
        <f>IF(S16="","",IF(COUNTA(Z16:$Z$39)=1,IF(COUNTA(AD16:$AD$39)=1,""," ; "),IF(COUNTA(AD16:$AD$39)=1,IF(Z16="",""," ; ")," ; ")))</f>
        <v/>
      </c>
      <c r="AF16" s="9" t="str">
        <f t="shared" ref="AF16:AF39" si="2">CONCATENATE(S16,AE16)</f>
        <v/>
      </c>
      <c r="AG16" s="90" t="str">
        <f t="shared" ref="AG16:AG39" si="3">IF(AND(COUNTBLANK(N16:P16)&lt;3,Q16=""),"CEK : Data Flowrate","")</f>
        <v/>
      </c>
      <c r="AH16" s="204" t="s">
        <v>229</v>
      </c>
      <c r="AJ16" s="205">
        <f>AK5</f>
        <v>500</v>
      </c>
      <c r="AK16" s="205">
        <f>AK6</f>
        <v>100</v>
      </c>
      <c r="AL16" s="206">
        <f>AK7</f>
        <v>2</v>
      </c>
      <c r="AM16" s="207">
        <f>AK8</f>
        <v>0.875</v>
      </c>
      <c r="AN16" s="208">
        <f>AK10</f>
        <v>0.63607464142166403</v>
      </c>
      <c r="AO16" s="209">
        <f t="shared" ref="AO16:AO39" si="4">T16^2*AJ16/100-14.7</f>
        <v>-14.7</v>
      </c>
      <c r="AP16" s="210">
        <f t="shared" ref="AP16:AP39" si="5">IF(AO16&lt;100,1,BC16)</f>
        <v>1</v>
      </c>
      <c r="AQ16" s="210">
        <f t="shared" ref="AQ16:AQ39" si="6">(1/AP16)^0.5</f>
        <v>1</v>
      </c>
      <c r="AR16" s="52">
        <f>AK9</f>
        <v>158.47</v>
      </c>
      <c r="AS16" s="210">
        <f t="shared" ref="AS16:AS39" si="7">(520/(460+N16))^0.5</f>
        <v>0.9723448696087954</v>
      </c>
      <c r="AT16" s="210">
        <f t="shared" ref="AT16:AT39" si="8">(1/AN16)^0.5</f>
        <v>1.2538510821608391</v>
      </c>
      <c r="AU16" s="210">
        <f t="shared" ref="AU16:AU39" si="9">0.01*(AJ16*AK16)^0.5</f>
        <v>2.2360679774997898</v>
      </c>
      <c r="AV16" s="211">
        <f t="shared" ref="AV16:AV39" si="10">0.024*AQ16*AR16*AS16*AT16*AU16</f>
        <v>10.368348541764712</v>
      </c>
      <c r="AW16" s="210">
        <f t="shared" ref="AW16:AW39" si="11">(AO16+14.7)/(697.2-43*AN16)</f>
        <v>0</v>
      </c>
      <c r="AX16" s="212">
        <f t="shared" ref="AX16:AX39" si="12">(N16+460)/(315.1*AN16+170.4)</f>
        <v>1.4831709199797398</v>
      </c>
      <c r="AY16" s="210">
        <f t="shared" ref="AY16:AY39" si="13">0.3379*LN(LN(AX16))+1.091</f>
        <v>0.77643477842613629</v>
      </c>
      <c r="AZ16" s="211">
        <f t="shared" ref="AZ16:AZ39" si="14">21.46*AY16-11.9*AY16^2-5.9</f>
        <v>3.5883638597441294</v>
      </c>
      <c r="BA16" s="210">
        <f t="shared" ref="BA16:BA39" si="15">AW16/AZ16</f>
        <v>0</v>
      </c>
      <c r="BB16" s="210">
        <f t="shared" ref="BB16:BB39" si="16">(1.1+0.26*AX16+(1.04-1.42*AX16)*BA16)*2.718^BA16/AX16</f>
        <v>1.0016542390239327</v>
      </c>
      <c r="BC16" s="210">
        <f t="shared" ref="BC16:BC39" si="17">1+(AY16-1)*SIN((90*BA16)/57.29578)^BB16</f>
        <v>1</v>
      </c>
    </row>
    <row r="17" spans="1:55" ht="20.100000000000001" customHeight="1" x14ac:dyDescent="0.2">
      <c r="A17" s="45">
        <v>8.3333333333333301E-2</v>
      </c>
      <c r="B17" s="451"/>
      <c r="C17" s="451"/>
      <c r="D17" s="451">
        <v>7.2</v>
      </c>
      <c r="E17" s="451">
        <v>56.9</v>
      </c>
      <c r="F17" s="41">
        <v>1930</v>
      </c>
      <c r="G17" s="37">
        <v>-5.6</v>
      </c>
      <c r="H17" s="37">
        <v>72.2</v>
      </c>
      <c r="I17" s="37">
        <v>22.9</v>
      </c>
      <c r="J17" s="41">
        <v>441</v>
      </c>
      <c r="K17" s="37">
        <v>13</v>
      </c>
      <c r="L17" s="451">
        <v>132</v>
      </c>
      <c r="M17" s="451">
        <v>220</v>
      </c>
      <c r="N17" s="451">
        <v>90</v>
      </c>
      <c r="O17" s="353">
        <v>45</v>
      </c>
      <c r="P17" s="353">
        <v>15</v>
      </c>
      <c r="Q17" s="353">
        <v>266.55</v>
      </c>
      <c r="R17" s="37"/>
      <c r="S17" s="508" t="str">
        <f t="shared" si="0"/>
        <v/>
      </c>
      <c r="T17" s="508"/>
      <c r="U17" s="508"/>
      <c r="V17" s="508"/>
      <c r="X17" s="45">
        <v>8.3333333333333301E-2</v>
      </c>
      <c r="Y17" s="106"/>
      <c r="Z17" s="102"/>
      <c r="AA17" s="102"/>
      <c r="AB17" s="45" t="str">
        <f t="shared" ref="AB17:AB39" si="18">IF(Y17="STBY",AA17-Z17,"")</f>
        <v/>
      </c>
      <c r="AC17" s="45" t="str">
        <f t="shared" si="1"/>
        <v/>
      </c>
      <c r="AD17" s="81"/>
      <c r="AE17" s="9" t="str">
        <f>IF(S17="","",IF(COUNTA(Z17:$Z$39)=1,IF(COUNTA(AD17:$AD$39)=1,""," ; "),IF(COUNTA(AD17:$AD$39)=1,IF(Z17="",""," ; ")," ; ")))</f>
        <v/>
      </c>
      <c r="AF17" s="9" t="str">
        <f t="shared" si="2"/>
        <v/>
      </c>
      <c r="AG17" s="90" t="str">
        <f t="shared" si="3"/>
        <v/>
      </c>
      <c r="AH17" s="204" t="s">
        <v>289</v>
      </c>
      <c r="AJ17" s="206">
        <f t="shared" ref="AJ17:AN32" si="19">AJ16</f>
        <v>500</v>
      </c>
      <c r="AK17" s="206">
        <f t="shared" si="19"/>
        <v>100</v>
      </c>
      <c r="AL17" s="206">
        <f>AL16</f>
        <v>2</v>
      </c>
      <c r="AM17" s="213">
        <f>AM16</f>
        <v>0.875</v>
      </c>
      <c r="AN17" s="214">
        <f>AN16</f>
        <v>0.63607464142166403</v>
      </c>
      <c r="AO17" s="215">
        <f t="shared" si="4"/>
        <v>-14.7</v>
      </c>
      <c r="AP17" s="216">
        <f t="shared" si="5"/>
        <v>1</v>
      </c>
      <c r="AQ17" s="216">
        <f t="shared" si="6"/>
        <v>1</v>
      </c>
      <c r="AR17" s="215">
        <f>AR16</f>
        <v>158.47</v>
      </c>
      <c r="AS17" s="216">
        <f t="shared" si="7"/>
        <v>0.9723448696087954</v>
      </c>
      <c r="AT17" s="216">
        <f t="shared" si="8"/>
        <v>1.2538510821608391</v>
      </c>
      <c r="AU17" s="216">
        <f t="shared" si="9"/>
        <v>2.2360679774997898</v>
      </c>
      <c r="AV17" s="217">
        <f t="shared" si="10"/>
        <v>10.368348541764712</v>
      </c>
      <c r="AW17" s="216">
        <f t="shared" si="11"/>
        <v>0</v>
      </c>
      <c r="AX17" s="218">
        <f t="shared" si="12"/>
        <v>1.4831709199797398</v>
      </c>
      <c r="AY17" s="216">
        <f t="shared" si="13"/>
        <v>0.77643477842613629</v>
      </c>
      <c r="AZ17" s="217">
        <f t="shared" si="14"/>
        <v>3.5883638597441294</v>
      </c>
      <c r="BA17" s="216">
        <f t="shared" si="15"/>
        <v>0</v>
      </c>
      <c r="BB17" s="216">
        <f t="shared" si="16"/>
        <v>1.0016542390239327</v>
      </c>
      <c r="BC17" s="216">
        <f t="shared" si="17"/>
        <v>1</v>
      </c>
    </row>
    <row r="18" spans="1:55" ht="20.100000000000001" customHeight="1" x14ac:dyDescent="0.2">
      <c r="A18" s="45">
        <v>0.125</v>
      </c>
      <c r="B18" s="451"/>
      <c r="C18" s="451"/>
      <c r="D18" s="451">
        <v>7</v>
      </c>
      <c r="E18" s="451">
        <v>54.7</v>
      </c>
      <c r="F18" s="41">
        <v>1922</v>
      </c>
      <c r="G18" s="37">
        <v>-5.6</v>
      </c>
      <c r="H18" s="37">
        <v>72.7</v>
      </c>
      <c r="I18" s="37">
        <v>22.4</v>
      </c>
      <c r="J18" s="41">
        <v>442</v>
      </c>
      <c r="K18" s="37">
        <v>13</v>
      </c>
      <c r="L18" s="451">
        <v>137</v>
      </c>
      <c r="M18" s="451">
        <v>220</v>
      </c>
      <c r="N18" s="451">
        <v>90</v>
      </c>
      <c r="O18" s="353">
        <v>45</v>
      </c>
      <c r="P18" s="353">
        <v>12</v>
      </c>
      <c r="Q18" s="353">
        <v>238.62</v>
      </c>
      <c r="R18" s="37"/>
      <c r="S18" s="508" t="str">
        <f t="shared" si="0"/>
        <v/>
      </c>
      <c r="T18" s="508"/>
      <c r="U18" s="508"/>
      <c r="V18" s="508"/>
      <c r="X18" s="45">
        <v>0.125</v>
      </c>
      <c r="Y18" s="106"/>
      <c r="Z18" s="102"/>
      <c r="AA18" s="102"/>
      <c r="AB18" s="45" t="str">
        <f t="shared" si="18"/>
        <v/>
      </c>
      <c r="AC18" s="45" t="str">
        <f t="shared" si="1"/>
        <v/>
      </c>
      <c r="AD18" s="81"/>
      <c r="AE18" s="9" t="str">
        <f>IF(S18="","",IF(COUNTA(Z18:$Z$39)=1,IF(COUNTA(AD18:$AD$39)=1,""," ; "),IF(COUNTA(AD18:$AD$39)=1,IF(Z18="",""," ; ")," ; ")))</f>
        <v/>
      </c>
      <c r="AF18" s="9" t="str">
        <f t="shared" si="2"/>
        <v/>
      </c>
      <c r="AG18" s="90" t="str">
        <f t="shared" si="3"/>
        <v/>
      </c>
      <c r="AH18" s="204" t="s">
        <v>321</v>
      </c>
      <c r="AJ18" s="206">
        <f t="shared" si="19"/>
        <v>500</v>
      </c>
      <c r="AK18" s="206">
        <f t="shared" si="19"/>
        <v>100</v>
      </c>
      <c r="AL18" s="206">
        <f t="shared" si="19"/>
        <v>2</v>
      </c>
      <c r="AM18" s="213">
        <f t="shared" si="19"/>
        <v>0.875</v>
      </c>
      <c r="AN18" s="214">
        <f t="shared" si="19"/>
        <v>0.63607464142166403</v>
      </c>
      <c r="AO18" s="215">
        <f t="shared" si="4"/>
        <v>-14.7</v>
      </c>
      <c r="AP18" s="216">
        <f t="shared" si="5"/>
        <v>1</v>
      </c>
      <c r="AQ18" s="216">
        <f t="shared" si="6"/>
        <v>1</v>
      </c>
      <c r="AR18" s="215">
        <f t="shared" ref="AR18:AR39" si="20">AR17</f>
        <v>158.47</v>
      </c>
      <c r="AS18" s="216">
        <f t="shared" si="7"/>
        <v>0.9723448696087954</v>
      </c>
      <c r="AT18" s="216">
        <f t="shared" si="8"/>
        <v>1.2538510821608391</v>
      </c>
      <c r="AU18" s="216">
        <f t="shared" si="9"/>
        <v>2.2360679774997898</v>
      </c>
      <c r="AV18" s="217">
        <f t="shared" si="10"/>
        <v>10.368348541764712</v>
      </c>
      <c r="AW18" s="216">
        <f t="shared" si="11"/>
        <v>0</v>
      </c>
      <c r="AX18" s="218">
        <f t="shared" si="12"/>
        <v>1.4831709199797398</v>
      </c>
      <c r="AY18" s="216">
        <f t="shared" si="13"/>
        <v>0.77643477842613629</v>
      </c>
      <c r="AZ18" s="217">
        <f t="shared" si="14"/>
        <v>3.5883638597441294</v>
      </c>
      <c r="BA18" s="216">
        <f t="shared" si="15"/>
        <v>0</v>
      </c>
      <c r="BB18" s="216">
        <f t="shared" si="16"/>
        <v>1.0016542390239327</v>
      </c>
      <c r="BC18" s="216">
        <f t="shared" si="17"/>
        <v>1</v>
      </c>
    </row>
    <row r="19" spans="1:55" ht="20.100000000000001" customHeight="1" x14ac:dyDescent="0.2">
      <c r="A19" s="45">
        <v>0.16666666666666699</v>
      </c>
      <c r="B19" s="451"/>
      <c r="C19" s="451"/>
      <c r="D19" s="451">
        <v>5.7</v>
      </c>
      <c r="E19" s="451">
        <v>63.4</v>
      </c>
      <c r="F19" s="41">
        <v>1915</v>
      </c>
      <c r="G19" s="37">
        <v>-5.6</v>
      </c>
      <c r="H19" s="37">
        <v>72.5</v>
      </c>
      <c r="I19" s="37">
        <v>22.7</v>
      </c>
      <c r="J19" s="41">
        <v>443</v>
      </c>
      <c r="K19" s="37">
        <v>13</v>
      </c>
      <c r="L19" s="451">
        <v>134</v>
      </c>
      <c r="M19" s="451">
        <v>221</v>
      </c>
      <c r="N19" s="451">
        <v>90</v>
      </c>
      <c r="O19" s="353">
        <v>50</v>
      </c>
      <c r="P19" s="353">
        <v>12</v>
      </c>
      <c r="Q19" s="353">
        <v>248.54</v>
      </c>
      <c r="R19" s="37"/>
      <c r="S19" s="508" t="str">
        <f t="shared" si="0"/>
        <v/>
      </c>
      <c r="T19" s="508"/>
      <c r="U19" s="508"/>
      <c r="V19" s="508"/>
      <c r="X19" s="45">
        <v>0.16666666666666699</v>
      </c>
      <c r="Y19" s="106"/>
      <c r="Z19" s="102"/>
      <c r="AA19" s="102"/>
      <c r="AB19" s="45" t="str">
        <f t="shared" si="18"/>
        <v/>
      </c>
      <c r="AC19" s="45" t="str">
        <f t="shared" si="1"/>
        <v/>
      </c>
      <c r="AD19" s="81"/>
      <c r="AE19" s="9" t="str">
        <f>IF(S19="","",IF(COUNTA(Z19:$Z$39)=1,IF(COUNTA(AD19:$AD$39)=1,""," ; "),IF(COUNTA(AD19:$AD$39)=1,IF(Z19="",""," ; ")," ; ")))</f>
        <v/>
      </c>
      <c r="AF19" s="9" t="str">
        <f t="shared" si="2"/>
        <v/>
      </c>
      <c r="AG19" s="90" t="str">
        <f t="shared" si="3"/>
        <v/>
      </c>
      <c r="AH19" s="204" t="s">
        <v>272</v>
      </c>
      <c r="AJ19" s="206">
        <f t="shared" si="19"/>
        <v>500</v>
      </c>
      <c r="AK19" s="206">
        <f t="shared" si="19"/>
        <v>100</v>
      </c>
      <c r="AL19" s="206">
        <f t="shared" si="19"/>
        <v>2</v>
      </c>
      <c r="AM19" s="213">
        <f t="shared" si="19"/>
        <v>0.875</v>
      </c>
      <c r="AN19" s="214">
        <f t="shared" si="19"/>
        <v>0.63607464142166403</v>
      </c>
      <c r="AO19" s="215">
        <f t="shared" si="4"/>
        <v>-14.7</v>
      </c>
      <c r="AP19" s="216">
        <f t="shared" si="5"/>
        <v>1</v>
      </c>
      <c r="AQ19" s="216">
        <f t="shared" si="6"/>
        <v>1</v>
      </c>
      <c r="AR19" s="215">
        <f t="shared" si="20"/>
        <v>158.47</v>
      </c>
      <c r="AS19" s="216">
        <f t="shared" si="7"/>
        <v>0.9723448696087954</v>
      </c>
      <c r="AT19" s="216">
        <f t="shared" si="8"/>
        <v>1.2538510821608391</v>
      </c>
      <c r="AU19" s="216">
        <f t="shared" si="9"/>
        <v>2.2360679774997898</v>
      </c>
      <c r="AV19" s="217">
        <f t="shared" si="10"/>
        <v>10.368348541764712</v>
      </c>
      <c r="AW19" s="216">
        <f t="shared" si="11"/>
        <v>0</v>
      </c>
      <c r="AX19" s="218">
        <f t="shared" si="12"/>
        <v>1.4831709199797398</v>
      </c>
      <c r="AY19" s="216">
        <f t="shared" si="13"/>
        <v>0.77643477842613629</v>
      </c>
      <c r="AZ19" s="217">
        <f t="shared" si="14"/>
        <v>3.5883638597441294</v>
      </c>
      <c r="BA19" s="216">
        <f t="shared" si="15"/>
        <v>0</v>
      </c>
      <c r="BB19" s="216">
        <f t="shared" si="16"/>
        <v>1.0016542390239327</v>
      </c>
      <c r="BC19" s="216">
        <f t="shared" si="17"/>
        <v>1</v>
      </c>
    </row>
    <row r="20" spans="1:55" ht="20.100000000000001" customHeight="1" x14ac:dyDescent="0.2">
      <c r="A20" s="45">
        <v>0.20833333333333301</v>
      </c>
      <c r="B20" s="451"/>
      <c r="C20" s="451"/>
      <c r="D20" s="451">
        <v>5.4</v>
      </c>
      <c r="E20" s="451">
        <v>62.7</v>
      </c>
      <c r="F20" s="41">
        <v>1927</v>
      </c>
      <c r="G20" s="37">
        <v>-5.6</v>
      </c>
      <c r="H20" s="37">
        <v>72.3</v>
      </c>
      <c r="I20" s="37">
        <v>22</v>
      </c>
      <c r="J20" s="41">
        <v>444</v>
      </c>
      <c r="K20" s="37">
        <v>13</v>
      </c>
      <c r="L20" s="451">
        <v>130</v>
      </c>
      <c r="M20" s="451">
        <v>221</v>
      </c>
      <c r="N20" s="451">
        <v>90</v>
      </c>
      <c r="O20" s="353">
        <v>50</v>
      </c>
      <c r="P20" s="353">
        <v>12</v>
      </c>
      <c r="Q20" s="353">
        <v>248.54</v>
      </c>
      <c r="R20" s="37"/>
      <c r="S20" s="508" t="str">
        <f t="shared" si="0"/>
        <v/>
      </c>
      <c r="T20" s="508"/>
      <c r="U20" s="508"/>
      <c r="V20" s="508"/>
      <c r="X20" s="45">
        <v>0.20833333333333301</v>
      </c>
      <c r="Y20" s="106"/>
      <c r="Z20" s="102"/>
      <c r="AA20" s="102"/>
      <c r="AB20" s="45" t="str">
        <f t="shared" si="18"/>
        <v/>
      </c>
      <c r="AC20" s="45" t="str">
        <f t="shared" si="1"/>
        <v/>
      </c>
      <c r="AD20" s="81"/>
      <c r="AE20" s="9" t="str">
        <f>IF(S20="","",IF(COUNTA(Z20:$Z$39)=1,IF(COUNTA(AD20:$AD$39)=1,""," ; "),IF(COUNTA(AD20:$AD$39)=1,IF(Z20="",""," ; ")," ; ")))</f>
        <v/>
      </c>
      <c r="AF20" s="9" t="str">
        <f t="shared" si="2"/>
        <v/>
      </c>
      <c r="AG20" s="90" t="str">
        <f t="shared" si="3"/>
        <v/>
      </c>
      <c r="AH20" s="204" t="s">
        <v>275</v>
      </c>
      <c r="AJ20" s="206">
        <f t="shared" si="19"/>
        <v>500</v>
      </c>
      <c r="AK20" s="206">
        <f t="shared" si="19"/>
        <v>100</v>
      </c>
      <c r="AL20" s="206">
        <f t="shared" si="19"/>
        <v>2</v>
      </c>
      <c r="AM20" s="213">
        <f t="shared" si="19"/>
        <v>0.875</v>
      </c>
      <c r="AN20" s="214">
        <f t="shared" si="19"/>
        <v>0.63607464142166403</v>
      </c>
      <c r="AO20" s="215">
        <f t="shared" si="4"/>
        <v>-14.7</v>
      </c>
      <c r="AP20" s="216">
        <f t="shared" si="5"/>
        <v>1</v>
      </c>
      <c r="AQ20" s="216">
        <f t="shared" si="6"/>
        <v>1</v>
      </c>
      <c r="AR20" s="215">
        <f t="shared" si="20"/>
        <v>158.47</v>
      </c>
      <c r="AS20" s="216">
        <f t="shared" si="7"/>
        <v>0.9723448696087954</v>
      </c>
      <c r="AT20" s="216">
        <f t="shared" si="8"/>
        <v>1.2538510821608391</v>
      </c>
      <c r="AU20" s="216">
        <f t="shared" si="9"/>
        <v>2.2360679774997898</v>
      </c>
      <c r="AV20" s="217">
        <f t="shared" si="10"/>
        <v>10.368348541764712</v>
      </c>
      <c r="AW20" s="216">
        <f t="shared" si="11"/>
        <v>0</v>
      </c>
      <c r="AX20" s="218">
        <f t="shared" si="12"/>
        <v>1.4831709199797398</v>
      </c>
      <c r="AY20" s="216">
        <f t="shared" si="13"/>
        <v>0.77643477842613629</v>
      </c>
      <c r="AZ20" s="217">
        <f t="shared" si="14"/>
        <v>3.5883638597441294</v>
      </c>
      <c r="BA20" s="216">
        <f t="shared" si="15"/>
        <v>0</v>
      </c>
      <c r="BB20" s="216">
        <f t="shared" si="16"/>
        <v>1.0016542390239327</v>
      </c>
      <c r="BC20" s="216">
        <f t="shared" si="17"/>
        <v>1</v>
      </c>
    </row>
    <row r="21" spans="1:55" ht="20.100000000000001" customHeight="1" x14ac:dyDescent="0.2">
      <c r="A21" s="45">
        <v>0.25</v>
      </c>
      <c r="B21" s="451"/>
      <c r="C21" s="451"/>
      <c r="D21" s="451">
        <v>8.3000000000000007</v>
      </c>
      <c r="E21" s="451">
        <v>84.5</v>
      </c>
      <c r="F21" s="41">
        <v>1924</v>
      </c>
      <c r="G21" s="37">
        <v>-5.6</v>
      </c>
      <c r="H21" s="37">
        <v>72.599999999999994</v>
      </c>
      <c r="I21" s="37">
        <v>22.1</v>
      </c>
      <c r="J21" s="41">
        <v>445</v>
      </c>
      <c r="K21" s="37">
        <v>13</v>
      </c>
      <c r="L21" s="451">
        <v>137</v>
      </c>
      <c r="M21" s="451">
        <v>220</v>
      </c>
      <c r="N21" s="451">
        <v>90</v>
      </c>
      <c r="O21" s="353">
        <v>50</v>
      </c>
      <c r="P21" s="353">
        <v>12</v>
      </c>
      <c r="Q21" s="353">
        <v>248.54</v>
      </c>
      <c r="R21" s="37"/>
      <c r="S21" s="508" t="str">
        <f t="shared" si="0"/>
        <v/>
      </c>
      <c r="T21" s="508"/>
      <c r="U21" s="508"/>
      <c r="V21" s="508"/>
      <c r="X21" s="45">
        <v>0.25</v>
      </c>
      <c r="Y21" s="106"/>
      <c r="Z21" s="102"/>
      <c r="AA21" s="102"/>
      <c r="AB21" s="45" t="str">
        <f t="shared" si="18"/>
        <v/>
      </c>
      <c r="AC21" s="45" t="str">
        <f t="shared" si="1"/>
        <v/>
      </c>
      <c r="AD21" s="81"/>
      <c r="AE21" s="9" t="str">
        <f>IF(S21="","",IF(COUNTA(Z21:$Z$39)=1,IF(COUNTA(AD21:$AD$39)=1,""," ; "),IF(COUNTA(AD21:$AD$39)=1,IF(Z21="",""," ; ")," ; ")))</f>
        <v/>
      </c>
      <c r="AF21" s="9" t="str">
        <f t="shared" si="2"/>
        <v/>
      </c>
      <c r="AG21" s="90" t="str">
        <f t="shared" si="3"/>
        <v/>
      </c>
      <c r="AH21" s="204" t="s">
        <v>322</v>
      </c>
      <c r="AJ21" s="206">
        <f t="shared" si="19"/>
        <v>500</v>
      </c>
      <c r="AK21" s="206">
        <f t="shared" si="19"/>
        <v>100</v>
      </c>
      <c r="AL21" s="206">
        <f t="shared" si="19"/>
        <v>2</v>
      </c>
      <c r="AM21" s="213">
        <f t="shared" si="19"/>
        <v>0.875</v>
      </c>
      <c r="AN21" s="214">
        <f t="shared" si="19"/>
        <v>0.63607464142166403</v>
      </c>
      <c r="AO21" s="215">
        <f t="shared" si="4"/>
        <v>-14.7</v>
      </c>
      <c r="AP21" s="216">
        <f t="shared" si="5"/>
        <v>1</v>
      </c>
      <c r="AQ21" s="216">
        <f t="shared" si="6"/>
        <v>1</v>
      </c>
      <c r="AR21" s="215">
        <f t="shared" si="20"/>
        <v>158.47</v>
      </c>
      <c r="AS21" s="216">
        <f t="shared" si="7"/>
        <v>0.9723448696087954</v>
      </c>
      <c r="AT21" s="216">
        <f t="shared" si="8"/>
        <v>1.2538510821608391</v>
      </c>
      <c r="AU21" s="216">
        <f t="shared" si="9"/>
        <v>2.2360679774997898</v>
      </c>
      <c r="AV21" s="217">
        <f t="shared" si="10"/>
        <v>10.368348541764712</v>
      </c>
      <c r="AW21" s="216">
        <f t="shared" si="11"/>
        <v>0</v>
      </c>
      <c r="AX21" s="218">
        <f t="shared" si="12"/>
        <v>1.4831709199797398</v>
      </c>
      <c r="AY21" s="216">
        <f t="shared" si="13"/>
        <v>0.77643477842613629</v>
      </c>
      <c r="AZ21" s="217">
        <f t="shared" si="14"/>
        <v>3.5883638597441294</v>
      </c>
      <c r="BA21" s="216">
        <f t="shared" si="15"/>
        <v>0</v>
      </c>
      <c r="BB21" s="216">
        <f t="shared" si="16"/>
        <v>1.0016542390239327</v>
      </c>
      <c r="BC21" s="216">
        <f t="shared" si="17"/>
        <v>1</v>
      </c>
    </row>
    <row r="22" spans="1:55" ht="20.100000000000001" customHeight="1" x14ac:dyDescent="0.2">
      <c r="A22" s="45">
        <v>0.29166666666666702</v>
      </c>
      <c r="B22" s="451"/>
      <c r="C22" s="451"/>
      <c r="D22" s="451">
        <v>7.2</v>
      </c>
      <c r="E22" s="451">
        <v>59.6</v>
      </c>
      <c r="F22" s="41">
        <v>1932</v>
      </c>
      <c r="G22" s="37">
        <v>-5.6</v>
      </c>
      <c r="H22" s="37">
        <v>72</v>
      </c>
      <c r="I22" s="37">
        <v>22.4</v>
      </c>
      <c r="J22" s="41">
        <v>446</v>
      </c>
      <c r="K22" s="37">
        <v>13</v>
      </c>
      <c r="L22" s="451">
        <v>132</v>
      </c>
      <c r="M22" s="451">
        <v>222</v>
      </c>
      <c r="N22" s="451">
        <v>90</v>
      </c>
      <c r="O22" s="353">
        <v>50</v>
      </c>
      <c r="P22" s="353">
        <v>12</v>
      </c>
      <c r="Q22" s="353">
        <v>248.54</v>
      </c>
      <c r="R22" s="37"/>
      <c r="S22" s="508" t="str">
        <f t="shared" si="0"/>
        <v/>
      </c>
      <c r="T22" s="508"/>
      <c r="U22" s="508"/>
      <c r="V22" s="508"/>
      <c r="X22" s="45">
        <v>0.29166666666666702</v>
      </c>
      <c r="Y22" s="106"/>
      <c r="Z22" s="102"/>
      <c r="AA22" s="102"/>
      <c r="AB22" s="45" t="str">
        <f t="shared" si="18"/>
        <v/>
      </c>
      <c r="AC22" s="45" t="str">
        <f t="shared" si="1"/>
        <v/>
      </c>
      <c r="AD22" s="81"/>
      <c r="AE22" s="9" t="str">
        <f>IF(S22="","",IF(COUNTA(Z22:$Z$39)=1,IF(COUNTA(AD22:$AD$39)=1,""," ; "),IF(COUNTA(AD22:$AD$39)=1,IF(Z22="",""," ; ")," ; ")))</f>
        <v/>
      </c>
      <c r="AF22" s="9" t="str">
        <f t="shared" si="2"/>
        <v/>
      </c>
      <c r="AG22" s="90" t="str">
        <f t="shared" si="3"/>
        <v/>
      </c>
      <c r="AH22" s="204" t="s">
        <v>279</v>
      </c>
      <c r="AJ22" s="206">
        <f t="shared" si="19"/>
        <v>500</v>
      </c>
      <c r="AK22" s="206">
        <f t="shared" si="19"/>
        <v>100</v>
      </c>
      <c r="AL22" s="206">
        <f t="shared" si="19"/>
        <v>2</v>
      </c>
      <c r="AM22" s="213">
        <f t="shared" si="19"/>
        <v>0.875</v>
      </c>
      <c r="AN22" s="214">
        <f t="shared" si="19"/>
        <v>0.63607464142166403</v>
      </c>
      <c r="AO22" s="215">
        <f t="shared" si="4"/>
        <v>-14.7</v>
      </c>
      <c r="AP22" s="216">
        <f t="shared" si="5"/>
        <v>1</v>
      </c>
      <c r="AQ22" s="216">
        <f t="shared" si="6"/>
        <v>1</v>
      </c>
      <c r="AR22" s="215">
        <f t="shared" si="20"/>
        <v>158.47</v>
      </c>
      <c r="AS22" s="216">
        <f t="shared" si="7"/>
        <v>0.9723448696087954</v>
      </c>
      <c r="AT22" s="216">
        <f t="shared" si="8"/>
        <v>1.2538510821608391</v>
      </c>
      <c r="AU22" s="216">
        <f t="shared" si="9"/>
        <v>2.2360679774997898</v>
      </c>
      <c r="AV22" s="217">
        <f t="shared" si="10"/>
        <v>10.368348541764712</v>
      </c>
      <c r="AW22" s="216">
        <f t="shared" si="11"/>
        <v>0</v>
      </c>
      <c r="AX22" s="218">
        <f t="shared" si="12"/>
        <v>1.4831709199797398</v>
      </c>
      <c r="AY22" s="216">
        <f t="shared" si="13"/>
        <v>0.77643477842613629</v>
      </c>
      <c r="AZ22" s="217">
        <f t="shared" si="14"/>
        <v>3.5883638597441294</v>
      </c>
      <c r="BA22" s="216">
        <f t="shared" si="15"/>
        <v>0</v>
      </c>
      <c r="BB22" s="216">
        <f t="shared" si="16"/>
        <v>1.0016542390239327</v>
      </c>
      <c r="BC22" s="216">
        <f t="shared" si="17"/>
        <v>1</v>
      </c>
    </row>
    <row r="23" spans="1:55" ht="20.100000000000001" customHeight="1" x14ac:dyDescent="0.2">
      <c r="A23" s="45">
        <v>0.33333333333333298</v>
      </c>
      <c r="B23" s="451"/>
      <c r="C23" s="451"/>
      <c r="D23" s="451">
        <v>7.9</v>
      </c>
      <c r="E23" s="451">
        <v>60.5</v>
      </c>
      <c r="F23" s="41">
        <v>1991</v>
      </c>
      <c r="G23" s="37">
        <v>-5.6</v>
      </c>
      <c r="H23" s="37">
        <v>72.099999999999994</v>
      </c>
      <c r="I23" s="37">
        <v>22.1</v>
      </c>
      <c r="J23" s="41">
        <v>447</v>
      </c>
      <c r="K23" s="37">
        <v>13</v>
      </c>
      <c r="L23" s="451">
        <v>132</v>
      </c>
      <c r="M23" s="451">
        <v>223</v>
      </c>
      <c r="N23" s="451">
        <v>90</v>
      </c>
      <c r="O23" s="353">
        <v>45</v>
      </c>
      <c r="P23" s="353">
        <v>13</v>
      </c>
      <c r="Q23" s="353">
        <v>248.28</v>
      </c>
      <c r="R23" s="37"/>
      <c r="S23" s="508" t="str">
        <f t="shared" si="0"/>
        <v/>
      </c>
      <c r="T23" s="508"/>
      <c r="U23" s="508"/>
      <c r="V23" s="508"/>
      <c r="X23" s="45">
        <v>0.33333333333333298</v>
      </c>
      <c r="Y23" s="106"/>
      <c r="Z23" s="102"/>
      <c r="AA23" s="102"/>
      <c r="AB23" s="45" t="str">
        <f t="shared" si="18"/>
        <v/>
      </c>
      <c r="AC23" s="45" t="str">
        <f t="shared" si="1"/>
        <v/>
      </c>
      <c r="AD23" s="81"/>
      <c r="AE23" s="9" t="str">
        <f>IF(S23="","",IF(COUNTA(Z23:$Z$39)=1,IF(COUNTA(AD23:$AD$39)=1,""," ; "),IF(COUNTA(AD23:$AD$39)=1,IF(Z23="",""," ; ")," ; ")))</f>
        <v/>
      </c>
      <c r="AF23" s="9" t="str">
        <f t="shared" si="2"/>
        <v/>
      </c>
      <c r="AG23" s="90" t="str">
        <f t="shared" si="3"/>
        <v/>
      </c>
      <c r="AH23" s="204" t="s">
        <v>274</v>
      </c>
      <c r="AJ23" s="206">
        <f t="shared" si="19"/>
        <v>500</v>
      </c>
      <c r="AK23" s="206">
        <f t="shared" si="19"/>
        <v>100</v>
      </c>
      <c r="AL23" s="206">
        <f t="shared" si="19"/>
        <v>2</v>
      </c>
      <c r="AM23" s="213">
        <f t="shared" si="19"/>
        <v>0.875</v>
      </c>
      <c r="AN23" s="214">
        <f t="shared" si="19"/>
        <v>0.63607464142166403</v>
      </c>
      <c r="AO23" s="215">
        <f t="shared" si="4"/>
        <v>-14.7</v>
      </c>
      <c r="AP23" s="216">
        <f t="shared" si="5"/>
        <v>1</v>
      </c>
      <c r="AQ23" s="216">
        <f t="shared" si="6"/>
        <v>1</v>
      </c>
      <c r="AR23" s="215">
        <f t="shared" si="20"/>
        <v>158.47</v>
      </c>
      <c r="AS23" s="216">
        <f t="shared" si="7"/>
        <v>0.9723448696087954</v>
      </c>
      <c r="AT23" s="216">
        <f t="shared" si="8"/>
        <v>1.2538510821608391</v>
      </c>
      <c r="AU23" s="216">
        <f t="shared" si="9"/>
        <v>2.2360679774997898</v>
      </c>
      <c r="AV23" s="217">
        <f t="shared" si="10"/>
        <v>10.368348541764712</v>
      </c>
      <c r="AW23" s="216">
        <f t="shared" si="11"/>
        <v>0</v>
      </c>
      <c r="AX23" s="218">
        <f t="shared" si="12"/>
        <v>1.4831709199797398</v>
      </c>
      <c r="AY23" s="216">
        <f t="shared" si="13"/>
        <v>0.77643477842613629</v>
      </c>
      <c r="AZ23" s="217">
        <f t="shared" si="14"/>
        <v>3.5883638597441294</v>
      </c>
      <c r="BA23" s="216">
        <f t="shared" si="15"/>
        <v>0</v>
      </c>
      <c r="BB23" s="216">
        <f t="shared" si="16"/>
        <v>1.0016542390239327</v>
      </c>
      <c r="BC23" s="216">
        <f t="shared" si="17"/>
        <v>1</v>
      </c>
    </row>
    <row r="24" spans="1:55" ht="20.100000000000001" customHeight="1" x14ac:dyDescent="0.2">
      <c r="A24" s="45">
        <v>0.375</v>
      </c>
      <c r="B24" s="451"/>
      <c r="C24" s="451"/>
      <c r="D24" s="451">
        <v>8.4</v>
      </c>
      <c r="E24" s="451">
        <v>61.1</v>
      </c>
      <c r="F24" s="41">
        <v>1973</v>
      </c>
      <c r="G24" s="37">
        <v>-5.6</v>
      </c>
      <c r="H24" s="37">
        <v>72.87</v>
      </c>
      <c r="I24" s="37">
        <v>22.8</v>
      </c>
      <c r="J24" s="41">
        <v>448</v>
      </c>
      <c r="K24" s="37">
        <v>13</v>
      </c>
      <c r="L24" s="451">
        <v>132</v>
      </c>
      <c r="M24" s="451">
        <v>224</v>
      </c>
      <c r="N24" s="451">
        <v>90</v>
      </c>
      <c r="O24" s="353">
        <v>45</v>
      </c>
      <c r="P24" s="353">
        <v>13</v>
      </c>
      <c r="Q24" s="353">
        <v>248.28</v>
      </c>
      <c r="R24" s="37"/>
      <c r="S24" s="508" t="str">
        <f t="shared" si="0"/>
        <v/>
      </c>
      <c r="T24" s="508"/>
      <c r="U24" s="508"/>
      <c r="V24" s="508"/>
      <c r="X24" s="45">
        <v>0.375</v>
      </c>
      <c r="Y24" s="106"/>
      <c r="Z24" s="102"/>
      <c r="AA24" s="102"/>
      <c r="AB24" s="45" t="str">
        <f t="shared" si="18"/>
        <v/>
      </c>
      <c r="AC24" s="45" t="str">
        <f t="shared" si="1"/>
        <v/>
      </c>
      <c r="AD24" s="81"/>
      <c r="AE24" s="9" t="str">
        <f>IF(S24="","",IF(COUNTA(Z24:$Z$39)=1,IF(COUNTA(AD24:$AD$39)=1,""," ; "),IF(COUNTA(AD24:$AD$39)=1,IF(Z24="",""," ; ")," ; ")))</f>
        <v/>
      </c>
      <c r="AF24" s="9" t="str">
        <f t="shared" si="2"/>
        <v/>
      </c>
      <c r="AG24" s="90" t="str">
        <f t="shared" si="3"/>
        <v/>
      </c>
      <c r="AH24" s="204" t="s">
        <v>307</v>
      </c>
      <c r="AJ24" s="206">
        <f t="shared" si="19"/>
        <v>500</v>
      </c>
      <c r="AK24" s="206">
        <f t="shared" si="19"/>
        <v>100</v>
      </c>
      <c r="AL24" s="206">
        <f t="shared" si="19"/>
        <v>2</v>
      </c>
      <c r="AM24" s="213">
        <f t="shared" si="19"/>
        <v>0.875</v>
      </c>
      <c r="AN24" s="214">
        <f t="shared" si="19"/>
        <v>0.63607464142166403</v>
      </c>
      <c r="AO24" s="215">
        <f t="shared" si="4"/>
        <v>-14.7</v>
      </c>
      <c r="AP24" s="216">
        <f t="shared" si="5"/>
        <v>1</v>
      </c>
      <c r="AQ24" s="216">
        <f t="shared" si="6"/>
        <v>1</v>
      </c>
      <c r="AR24" s="215">
        <f t="shared" si="20"/>
        <v>158.47</v>
      </c>
      <c r="AS24" s="216">
        <f t="shared" si="7"/>
        <v>0.9723448696087954</v>
      </c>
      <c r="AT24" s="216">
        <f t="shared" si="8"/>
        <v>1.2538510821608391</v>
      </c>
      <c r="AU24" s="216">
        <f t="shared" si="9"/>
        <v>2.2360679774997898</v>
      </c>
      <c r="AV24" s="217">
        <f t="shared" si="10"/>
        <v>10.368348541764712</v>
      </c>
      <c r="AW24" s="216">
        <f t="shared" si="11"/>
        <v>0</v>
      </c>
      <c r="AX24" s="218">
        <f t="shared" si="12"/>
        <v>1.4831709199797398</v>
      </c>
      <c r="AY24" s="216">
        <f t="shared" si="13"/>
        <v>0.77643477842613629</v>
      </c>
      <c r="AZ24" s="217">
        <f t="shared" si="14"/>
        <v>3.5883638597441294</v>
      </c>
      <c r="BA24" s="216">
        <f t="shared" si="15"/>
        <v>0</v>
      </c>
      <c r="BB24" s="216">
        <f t="shared" si="16"/>
        <v>1.0016542390239327</v>
      </c>
      <c r="BC24" s="216">
        <f t="shared" si="17"/>
        <v>1</v>
      </c>
    </row>
    <row r="25" spans="1:55" ht="20.100000000000001" customHeight="1" x14ac:dyDescent="0.2">
      <c r="A25" s="45">
        <v>0.41666666666666702</v>
      </c>
      <c r="B25" s="451"/>
      <c r="C25" s="451"/>
      <c r="D25" s="451">
        <v>8</v>
      </c>
      <c r="E25" s="451">
        <v>61.3</v>
      </c>
      <c r="F25" s="41">
        <v>1960</v>
      </c>
      <c r="G25" s="37">
        <v>-5.6</v>
      </c>
      <c r="H25" s="37">
        <v>72.400000000000006</v>
      </c>
      <c r="I25" s="37">
        <v>22.4</v>
      </c>
      <c r="J25" s="41">
        <v>449</v>
      </c>
      <c r="K25" s="37">
        <v>13</v>
      </c>
      <c r="L25" s="451">
        <v>133</v>
      </c>
      <c r="M25" s="451">
        <v>225</v>
      </c>
      <c r="N25" s="451">
        <v>90</v>
      </c>
      <c r="O25" s="353">
        <v>45</v>
      </c>
      <c r="P25" s="353">
        <v>13</v>
      </c>
      <c r="Q25" s="353">
        <v>248.28</v>
      </c>
      <c r="R25" s="37"/>
      <c r="S25" s="508" t="str">
        <f t="shared" si="0"/>
        <v/>
      </c>
      <c r="T25" s="508"/>
      <c r="U25" s="508"/>
      <c r="V25" s="508"/>
      <c r="X25" s="45">
        <v>0.41666666666666702</v>
      </c>
      <c r="Y25" s="106"/>
      <c r="Z25" s="102"/>
      <c r="AA25" s="102"/>
      <c r="AB25" s="45" t="str">
        <f t="shared" si="18"/>
        <v/>
      </c>
      <c r="AC25" s="45" t="str">
        <f t="shared" si="1"/>
        <v/>
      </c>
      <c r="AD25" s="81"/>
      <c r="AE25" s="9" t="str">
        <f>IF(S25="","",IF(COUNTA(Z25:$Z$39)=1,IF(COUNTA(AD25:$AD$39)=1,""," ; "),IF(COUNTA(AD25:$AD$39)=1,IF(Z25="",""," ; ")," ; ")))</f>
        <v/>
      </c>
      <c r="AF25" s="9" t="str">
        <f t="shared" si="2"/>
        <v/>
      </c>
      <c r="AG25" s="90" t="str">
        <f t="shared" si="3"/>
        <v/>
      </c>
      <c r="AH25" s="204" t="s">
        <v>225</v>
      </c>
      <c r="AJ25" s="206">
        <f t="shared" si="19"/>
        <v>500</v>
      </c>
      <c r="AK25" s="206">
        <f t="shared" si="19"/>
        <v>100</v>
      </c>
      <c r="AL25" s="206">
        <f t="shared" si="19"/>
        <v>2</v>
      </c>
      <c r="AM25" s="213">
        <f t="shared" si="19"/>
        <v>0.875</v>
      </c>
      <c r="AN25" s="214">
        <f t="shared" si="19"/>
        <v>0.63607464142166403</v>
      </c>
      <c r="AO25" s="215">
        <f t="shared" si="4"/>
        <v>-14.7</v>
      </c>
      <c r="AP25" s="216">
        <f t="shared" si="5"/>
        <v>1</v>
      </c>
      <c r="AQ25" s="216">
        <f t="shared" si="6"/>
        <v>1</v>
      </c>
      <c r="AR25" s="215">
        <f t="shared" si="20"/>
        <v>158.47</v>
      </c>
      <c r="AS25" s="216">
        <f t="shared" si="7"/>
        <v>0.9723448696087954</v>
      </c>
      <c r="AT25" s="216">
        <f t="shared" si="8"/>
        <v>1.2538510821608391</v>
      </c>
      <c r="AU25" s="216">
        <f t="shared" si="9"/>
        <v>2.2360679774997898</v>
      </c>
      <c r="AV25" s="217">
        <f t="shared" si="10"/>
        <v>10.368348541764712</v>
      </c>
      <c r="AW25" s="216">
        <f t="shared" si="11"/>
        <v>0</v>
      </c>
      <c r="AX25" s="218">
        <f t="shared" si="12"/>
        <v>1.4831709199797398</v>
      </c>
      <c r="AY25" s="216">
        <f t="shared" si="13"/>
        <v>0.77643477842613629</v>
      </c>
      <c r="AZ25" s="217">
        <f t="shared" si="14"/>
        <v>3.5883638597441294</v>
      </c>
      <c r="BA25" s="216">
        <f t="shared" si="15"/>
        <v>0</v>
      </c>
      <c r="BB25" s="216">
        <f t="shared" si="16"/>
        <v>1.0016542390239327</v>
      </c>
      <c r="BC25" s="216">
        <f t="shared" si="17"/>
        <v>1</v>
      </c>
    </row>
    <row r="26" spans="1:55" ht="20.100000000000001" customHeight="1" x14ac:dyDescent="0.2">
      <c r="A26" s="45">
        <v>0.45833333333333298</v>
      </c>
      <c r="B26" s="451"/>
      <c r="C26" s="451"/>
      <c r="D26" s="451">
        <v>8.3000000000000007</v>
      </c>
      <c r="E26" s="451">
        <v>60.7</v>
      </c>
      <c r="F26" s="41">
        <v>1975</v>
      </c>
      <c r="G26" s="37">
        <v>-5.6</v>
      </c>
      <c r="H26" s="37">
        <v>72</v>
      </c>
      <c r="I26" s="37">
        <v>22</v>
      </c>
      <c r="J26" s="41">
        <v>450</v>
      </c>
      <c r="K26" s="37">
        <v>13</v>
      </c>
      <c r="L26" s="451">
        <v>133</v>
      </c>
      <c r="M26" s="451">
        <v>225</v>
      </c>
      <c r="N26" s="451">
        <v>90</v>
      </c>
      <c r="O26" s="353">
        <v>45</v>
      </c>
      <c r="P26" s="353">
        <v>13</v>
      </c>
      <c r="Q26" s="353">
        <v>248.28</v>
      </c>
      <c r="R26" s="37"/>
      <c r="S26" s="508" t="str">
        <f t="shared" si="0"/>
        <v/>
      </c>
      <c r="T26" s="508"/>
      <c r="U26" s="508"/>
      <c r="V26" s="508"/>
      <c r="X26" s="45">
        <v>0.45833333333333298</v>
      </c>
      <c r="Y26" s="106"/>
      <c r="Z26" s="102"/>
      <c r="AA26" s="102"/>
      <c r="AB26" s="45" t="str">
        <f t="shared" si="18"/>
        <v/>
      </c>
      <c r="AC26" s="45" t="str">
        <f t="shared" si="1"/>
        <v/>
      </c>
      <c r="AD26" s="81"/>
      <c r="AE26" s="9" t="str">
        <f>IF(S26="","",IF(COUNTA(Z26:$Z$39)=1,IF(COUNTA(AD26:$AD$39)=1,""," ; "),IF(COUNTA(AD26:$AD$39)=1,IF(Z26="",""," ; ")," ; ")))</f>
        <v/>
      </c>
      <c r="AF26" s="9" t="str">
        <f t="shared" si="2"/>
        <v/>
      </c>
      <c r="AG26" s="90" t="str">
        <f t="shared" si="3"/>
        <v/>
      </c>
      <c r="AH26" s="204" t="s">
        <v>287</v>
      </c>
      <c r="AJ26" s="206">
        <f t="shared" si="19"/>
        <v>500</v>
      </c>
      <c r="AK26" s="206">
        <f t="shared" si="19"/>
        <v>100</v>
      </c>
      <c r="AL26" s="206">
        <f t="shared" si="19"/>
        <v>2</v>
      </c>
      <c r="AM26" s="213">
        <f t="shared" si="19"/>
        <v>0.875</v>
      </c>
      <c r="AN26" s="214">
        <f t="shared" si="19"/>
        <v>0.63607464142166403</v>
      </c>
      <c r="AO26" s="215">
        <f t="shared" si="4"/>
        <v>-14.7</v>
      </c>
      <c r="AP26" s="216">
        <f t="shared" si="5"/>
        <v>1</v>
      </c>
      <c r="AQ26" s="216">
        <f t="shared" si="6"/>
        <v>1</v>
      </c>
      <c r="AR26" s="215">
        <f t="shared" si="20"/>
        <v>158.47</v>
      </c>
      <c r="AS26" s="216">
        <f t="shared" si="7"/>
        <v>0.9723448696087954</v>
      </c>
      <c r="AT26" s="216">
        <f t="shared" si="8"/>
        <v>1.2538510821608391</v>
      </c>
      <c r="AU26" s="216">
        <f t="shared" si="9"/>
        <v>2.2360679774997898</v>
      </c>
      <c r="AV26" s="217">
        <f t="shared" si="10"/>
        <v>10.368348541764712</v>
      </c>
      <c r="AW26" s="216">
        <f t="shared" si="11"/>
        <v>0</v>
      </c>
      <c r="AX26" s="218">
        <f t="shared" si="12"/>
        <v>1.4831709199797398</v>
      </c>
      <c r="AY26" s="216">
        <f t="shared" si="13"/>
        <v>0.77643477842613629</v>
      </c>
      <c r="AZ26" s="217">
        <f t="shared" si="14"/>
        <v>3.5883638597441294</v>
      </c>
      <c r="BA26" s="216">
        <f t="shared" si="15"/>
        <v>0</v>
      </c>
      <c r="BB26" s="216">
        <f t="shared" si="16"/>
        <v>1.0016542390239327</v>
      </c>
      <c r="BC26" s="216">
        <f t="shared" si="17"/>
        <v>1</v>
      </c>
    </row>
    <row r="27" spans="1:55" ht="20.100000000000001" customHeight="1" x14ac:dyDescent="0.2">
      <c r="A27" s="45">
        <v>0.5</v>
      </c>
      <c r="B27" s="451"/>
      <c r="C27" s="451"/>
      <c r="D27" s="451">
        <v>8.11</v>
      </c>
      <c r="E27" s="451">
        <v>66.3</v>
      </c>
      <c r="F27" s="41">
        <v>1940</v>
      </c>
      <c r="G27" s="37">
        <v>-5.6</v>
      </c>
      <c r="H27" s="37">
        <v>72.099999999999994</v>
      </c>
      <c r="I27" s="37">
        <v>22.2</v>
      </c>
      <c r="J27" s="41">
        <v>451</v>
      </c>
      <c r="K27" s="37">
        <v>13</v>
      </c>
      <c r="L27" s="451">
        <v>133</v>
      </c>
      <c r="M27" s="451">
        <v>226</v>
      </c>
      <c r="N27" s="451">
        <v>90</v>
      </c>
      <c r="O27" s="353">
        <v>45</v>
      </c>
      <c r="P27" s="353">
        <v>13</v>
      </c>
      <c r="Q27" s="353">
        <v>248.28</v>
      </c>
      <c r="R27" s="37"/>
      <c r="S27" s="508" t="str">
        <f t="shared" si="0"/>
        <v/>
      </c>
      <c r="T27" s="508"/>
      <c r="U27" s="508"/>
      <c r="V27" s="508"/>
      <c r="X27" s="45">
        <v>0.5</v>
      </c>
      <c r="Y27" s="106"/>
      <c r="Z27" s="102"/>
      <c r="AA27" s="102"/>
      <c r="AB27" s="45" t="str">
        <f t="shared" si="18"/>
        <v/>
      </c>
      <c r="AC27" s="45" t="str">
        <f t="shared" si="1"/>
        <v/>
      </c>
      <c r="AD27" s="81"/>
      <c r="AE27" s="9" t="str">
        <f>IF(S27="","",IF(COUNTA(Z27:$Z$39)=1,IF(COUNTA(AD27:$AD$39)=1,""," ; "),IF(COUNTA(AD27:$AD$39)=1,IF(Z27="",""," ; ")," ; ")))</f>
        <v/>
      </c>
      <c r="AF27" s="9" t="str">
        <f t="shared" si="2"/>
        <v/>
      </c>
      <c r="AG27" s="90" t="str">
        <f t="shared" si="3"/>
        <v/>
      </c>
      <c r="AH27" s="204" t="s">
        <v>276</v>
      </c>
      <c r="AJ27" s="206">
        <f t="shared" si="19"/>
        <v>500</v>
      </c>
      <c r="AK27" s="206">
        <f t="shared" si="19"/>
        <v>100</v>
      </c>
      <c r="AL27" s="206">
        <f t="shared" si="19"/>
        <v>2</v>
      </c>
      <c r="AM27" s="213">
        <f t="shared" si="19"/>
        <v>0.875</v>
      </c>
      <c r="AN27" s="214">
        <f t="shared" si="19"/>
        <v>0.63607464142166403</v>
      </c>
      <c r="AO27" s="215">
        <f t="shared" si="4"/>
        <v>-14.7</v>
      </c>
      <c r="AP27" s="216">
        <f t="shared" si="5"/>
        <v>1</v>
      </c>
      <c r="AQ27" s="216">
        <f t="shared" si="6"/>
        <v>1</v>
      </c>
      <c r="AR27" s="215">
        <f t="shared" si="20"/>
        <v>158.47</v>
      </c>
      <c r="AS27" s="216">
        <f t="shared" si="7"/>
        <v>0.9723448696087954</v>
      </c>
      <c r="AT27" s="216">
        <f t="shared" si="8"/>
        <v>1.2538510821608391</v>
      </c>
      <c r="AU27" s="216">
        <f t="shared" si="9"/>
        <v>2.2360679774997898</v>
      </c>
      <c r="AV27" s="217">
        <f t="shared" si="10"/>
        <v>10.368348541764712</v>
      </c>
      <c r="AW27" s="216">
        <f t="shared" si="11"/>
        <v>0</v>
      </c>
      <c r="AX27" s="218">
        <f t="shared" si="12"/>
        <v>1.4831709199797398</v>
      </c>
      <c r="AY27" s="216">
        <f t="shared" si="13"/>
        <v>0.77643477842613629</v>
      </c>
      <c r="AZ27" s="217">
        <f t="shared" si="14"/>
        <v>3.5883638597441294</v>
      </c>
      <c r="BA27" s="216">
        <f t="shared" si="15"/>
        <v>0</v>
      </c>
      <c r="BB27" s="216">
        <f t="shared" si="16"/>
        <v>1.0016542390239327</v>
      </c>
      <c r="BC27" s="216">
        <f t="shared" si="17"/>
        <v>1</v>
      </c>
    </row>
    <row r="28" spans="1:55" ht="20.100000000000001" customHeight="1" x14ac:dyDescent="0.2">
      <c r="A28" s="45">
        <v>0.54166666666666696</v>
      </c>
      <c r="B28" s="451"/>
      <c r="C28" s="451"/>
      <c r="D28" s="451">
        <v>8.5</v>
      </c>
      <c r="E28" s="451">
        <v>67.7</v>
      </c>
      <c r="F28" s="41">
        <v>1931</v>
      </c>
      <c r="G28" s="37">
        <v>-5.6</v>
      </c>
      <c r="H28" s="37">
        <v>72.8</v>
      </c>
      <c r="I28" s="37">
        <v>22.8</v>
      </c>
      <c r="J28" s="41">
        <v>452</v>
      </c>
      <c r="K28" s="37">
        <v>13</v>
      </c>
      <c r="L28" s="451">
        <v>134</v>
      </c>
      <c r="M28" s="451">
        <v>226</v>
      </c>
      <c r="N28" s="451">
        <v>90</v>
      </c>
      <c r="O28" s="353">
        <v>45</v>
      </c>
      <c r="P28" s="353">
        <v>13</v>
      </c>
      <c r="Q28" s="353">
        <v>248.28</v>
      </c>
      <c r="R28" s="37"/>
      <c r="S28" s="508" t="str">
        <f t="shared" si="0"/>
        <v/>
      </c>
      <c r="T28" s="508"/>
      <c r="U28" s="508"/>
      <c r="V28" s="508"/>
      <c r="X28" s="45">
        <v>0.54166666666666696</v>
      </c>
      <c r="Y28" s="106"/>
      <c r="Z28" s="102"/>
      <c r="AA28" s="102"/>
      <c r="AB28" s="45" t="str">
        <f t="shared" si="18"/>
        <v/>
      </c>
      <c r="AC28" s="45" t="str">
        <f t="shared" si="1"/>
        <v/>
      </c>
      <c r="AD28" s="81"/>
      <c r="AE28" s="9" t="str">
        <f>IF(S28="","",IF(COUNTA(Z28:$Z$39)=1,IF(COUNTA(AD28:$AD$39)=1,""," ; "),IF(COUNTA(AD28:$AD$39)=1,IF(Z28="",""," ; ")," ; ")))</f>
        <v/>
      </c>
      <c r="AF28" s="9" t="str">
        <f t="shared" si="2"/>
        <v/>
      </c>
      <c r="AG28" s="90" t="str">
        <f t="shared" si="3"/>
        <v/>
      </c>
      <c r="AH28" s="204" t="s">
        <v>278</v>
      </c>
      <c r="AJ28" s="206">
        <f t="shared" si="19"/>
        <v>500</v>
      </c>
      <c r="AK28" s="206">
        <f t="shared" si="19"/>
        <v>100</v>
      </c>
      <c r="AL28" s="206">
        <f t="shared" si="19"/>
        <v>2</v>
      </c>
      <c r="AM28" s="213">
        <f t="shared" si="19"/>
        <v>0.875</v>
      </c>
      <c r="AN28" s="214">
        <f t="shared" si="19"/>
        <v>0.63607464142166403</v>
      </c>
      <c r="AO28" s="215">
        <f t="shared" si="4"/>
        <v>-14.7</v>
      </c>
      <c r="AP28" s="216">
        <f t="shared" si="5"/>
        <v>1</v>
      </c>
      <c r="AQ28" s="216">
        <f t="shared" si="6"/>
        <v>1</v>
      </c>
      <c r="AR28" s="215">
        <f t="shared" si="20"/>
        <v>158.47</v>
      </c>
      <c r="AS28" s="216">
        <f t="shared" si="7"/>
        <v>0.9723448696087954</v>
      </c>
      <c r="AT28" s="216">
        <f t="shared" si="8"/>
        <v>1.2538510821608391</v>
      </c>
      <c r="AU28" s="216">
        <f t="shared" si="9"/>
        <v>2.2360679774997898</v>
      </c>
      <c r="AV28" s="217">
        <f t="shared" si="10"/>
        <v>10.368348541764712</v>
      </c>
      <c r="AW28" s="216">
        <f t="shared" si="11"/>
        <v>0</v>
      </c>
      <c r="AX28" s="218">
        <f t="shared" si="12"/>
        <v>1.4831709199797398</v>
      </c>
      <c r="AY28" s="216">
        <f t="shared" si="13"/>
        <v>0.77643477842613629</v>
      </c>
      <c r="AZ28" s="217">
        <f t="shared" si="14"/>
        <v>3.5883638597441294</v>
      </c>
      <c r="BA28" s="216">
        <f t="shared" si="15"/>
        <v>0</v>
      </c>
      <c r="BB28" s="216">
        <f t="shared" si="16"/>
        <v>1.0016542390239327</v>
      </c>
      <c r="BC28" s="216">
        <f t="shared" si="17"/>
        <v>1</v>
      </c>
    </row>
    <row r="29" spans="1:55" ht="20.100000000000001" customHeight="1" x14ac:dyDescent="0.2">
      <c r="A29" s="45">
        <v>0.58333333333333304</v>
      </c>
      <c r="B29" s="451"/>
      <c r="C29" s="451"/>
      <c r="D29" s="451">
        <v>8.1999999999999993</v>
      </c>
      <c r="E29" s="451">
        <v>70.5</v>
      </c>
      <c r="F29" s="41">
        <v>1944</v>
      </c>
      <c r="G29" s="37">
        <v>-5.6</v>
      </c>
      <c r="H29" s="37">
        <v>72.099999999999994</v>
      </c>
      <c r="I29" s="37">
        <v>22</v>
      </c>
      <c r="J29" s="41">
        <v>453</v>
      </c>
      <c r="K29" s="37">
        <v>13</v>
      </c>
      <c r="L29" s="451">
        <v>132</v>
      </c>
      <c r="M29" s="451">
        <v>227</v>
      </c>
      <c r="N29" s="451">
        <v>90</v>
      </c>
      <c r="O29" s="353">
        <v>45</v>
      </c>
      <c r="P29" s="353">
        <v>14</v>
      </c>
      <c r="Q29" s="353">
        <v>257.58</v>
      </c>
      <c r="R29" s="37"/>
      <c r="S29" s="508" t="str">
        <f t="shared" si="0"/>
        <v/>
      </c>
      <c r="T29" s="508"/>
      <c r="U29" s="508"/>
      <c r="V29" s="508"/>
      <c r="X29" s="45">
        <v>0.58333333333333304</v>
      </c>
      <c r="Y29" s="106"/>
      <c r="Z29" s="102"/>
      <c r="AA29" s="102"/>
      <c r="AB29" s="45" t="str">
        <f t="shared" si="18"/>
        <v/>
      </c>
      <c r="AC29" s="45" t="str">
        <f t="shared" si="1"/>
        <v/>
      </c>
      <c r="AD29" s="81"/>
      <c r="AE29" s="9" t="str">
        <f>IF(S29="","",IF(COUNTA(Z29:$Z$39)=1,IF(COUNTA(AD29:$AD$39)=1,""," ; "),IF(COUNTA(AD29:$AD$39)=1,IF(Z29="",""," ; ")," ; ")))</f>
        <v/>
      </c>
      <c r="AF29" s="9" t="str">
        <f t="shared" si="2"/>
        <v/>
      </c>
      <c r="AG29" s="90" t="str">
        <f t="shared" si="3"/>
        <v/>
      </c>
      <c r="AH29" s="204" t="s">
        <v>224</v>
      </c>
      <c r="AJ29" s="206">
        <f t="shared" si="19"/>
        <v>500</v>
      </c>
      <c r="AK29" s="206">
        <f t="shared" si="19"/>
        <v>100</v>
      </c>
      <c r="AL29" s="206">
        <f t="shared" si="19"/>
        <v>2</v>
      </c>
      <c r="AM29" s="213">
        <f t="shared" si="19"/>
        <v>0.875</v>
      </c>
      <c r="AN29" s="214">
        <f t="shared" si="19"/>
        <v>0.63607464142166403</v>
      </c>
      <c r="AO29" s="215">
        <f t="shared" si="4"/>
        <v>-14.7</v>
      </c>
      <c r="AP29" s="216">
        <f t="shared" si="5"/>
        <v>1</v>
      </c>
      <c r="AQ29" s="216">
        <f t="shared" si="6"/>
        <v>1</v>
      </c>
      <c r="AR29" s="215">
        <f t="shared" si="20"/>
        <v>158.47</v>
      </c>
      <c r="AS29" s="216">
        <f t="shared" si="7"/>
        <v>0.9723448696087954</v>
      </c>
      <c r="AT29" s="216">
        <f t="shared" si="8"/>
        <v>1.2538510821608391</v>
      </c>
      <c r="AU29" s="216">
        <f t="shared" si="9"/>
        <v>2.2360679774997898</v>
      </c>
      <c r="AV29" s="217">
        <f t="shared" si="10"/>
        <v>10.368348541764712</v>
      </c>
      <c r="AW29" s="216">
        <f t="shared" si="11"/>
        <v>0</v>
      </c>
      <c r="AX29" s="218">
        <f t="shared" si="12"/>
        <v>1.4831709199797398</v>
      </c>
      <c r="AY29" s="216">
        <f t="shared" si="13"/>
        <v>0.77643477842613629</v>
      </c>
      <c r="AZ29" s="217">
        <f t="shared" si="14"/>
        <v>3.5883638597441294</v>
      </c>
      <c r="BA29" s="216">
        <f t="shared" si="15"/>
        <v>0</v>
      </c>
      <c r="BB29" s="216">
        <f t="shared" si="16"/>
        <v>1.0016542390239327</v>
      </c>
      <c r="BC29" s="216">
        <f t="shared" si="17"/>
        <v>1</v>
      </c>
    </row>
    <row r="30" spans="1:55" ht="20.100000000000001" customHeight="1" x14ac:dyDescent="0.2">
      <c r="A30" s="45">
        <v>0.625</v>
      </c>
      <c r="B30" s="451"/>
      <c r="C30" s="451"/>
      <c r="D30" s="451">
        <v>8.8000000000000007</v>
      </c>
      <c r="E30" s="451">
        <v>73.8</v>
      </c>
      <c r="F30" s="41">
        <v>1961</v>
      </c>
      <c r="G30" s="37">
        <v>-5.6</v>
      </c>
      <c r="H30" s="37">
        <v>72.400000000000006</v>
      </c>
      <c r="I30" s="37">
        <v>22.6</v>
      </c>
      <c r="J30" s="41">
        <v>454</v>
      </c>
      <c r="K30" s="37">
        <v>13</v>
      </c>
      <c r="L30" s="451">
        <v>132</v>
      </c>
      <c r="M30" s="451">
        <v>228</v>
      </c>
      <c r="N30" s="451">
        <v>90</v>
      </c>
      <c r="O30" s="353">
        <v>45</v>
      </c>
      <c r="P30" s="353">
        <v>14</v>
      </c>
      <c r="Q30" s="353">
        <v>257.58</v>
      </c>
      <c r="R30" s="37"/>
      <c r="S30" s="508" t="str">
        <f t="shared" si="0"/>
        <v/>
      </c>
      <c r="T30" s="508"/>
      <c r="U30" s="508"/>
      <c r="V30" s="508"/>
      <c r="X30" s="45">
        <v>0.625</v>
      </c>
      <c r="Y30" s="106"/>
      <c r="Z30" s="102"/>
      <c r="AA30" s="102"/>
      <c r="AB30" s="45" t="str">
        <f t="shared" si="18"/>
        <v/>
      </c>
      <c r="AC30" s="45" t="str">
        <f t="shared" si="1"/>
        <v/>
      </c>
      <c r="AD30" s="81"/>
      <c r="AE30" s="9" t="str">
        <f>IF(S30="","",IF(COUNTA(Z30:$Z$39)=1,IF(COUNTA(AD30:$AD$39)=1,""," ; "),IF(COUNTA(AD30:$AD$39)=1,IF(Z30="",""," ; ")," ; ")))</f>
        <v/>
      </c>
      <c r="AF30" s="9" t="str">
        <f t="shared" si="2"/>
        <v/>
      </c>
      <c r="AG30" s="90" t="str">
        <f t="shared" si="3"/>
        <v/>
      </c>
      <c r="AH30" s="204" t="s">
        <v>260</v>
      </c>
      <c r="AJ30" s="206">
        <f t="shared" si="19"/>
        <v>500</v>
      </c>
      <c r="AK30" s="206">
        <f t="shared" si="19"/>
        <v>100</v>
      </c>
      <c r="AL30" s="206">
        <f t="shared" si="19"/>
        <v>2</v>
      </c>
      <c r="AM30" s="213">
        <f t="shared" si="19"/>
        <v>0.875</v>
      </c>
      <c r="AN30" s="214">
        <f t="shared" si="19"/>
        <v>0.63607464142166403</v>
      </c>
      <c r="AO30" s="215">
        <f t="shared" si="4"/>
        <v>-14.7</v>
      </c>
      <c r="AP30" s="216">
        <f t="shared" si="5"/>
        <v>1</v>
      </c>
      <c r="AQ30" s="216">
        <f t="shared" si="6"/>
        <v>1</v>
      </c>
      <c r="AR30" s="215">
        <f t="shared" si="20"/>
        <v>158.47</v>
      </c>
      <c r="AS30" s="216">
        <f t="shared" si="7"/>
        <v>0.9723448696087954</v>
      </c>
      <c r="AT30" s="216">
        <f t="shared" si="8"/>
        <v>1.2538510821608391</v>
      </c>
      <c r="AU30" s="216">
        <f t="shared" si="9"/>
        <v>2.2360679774997898</v>
      </c>
      <c r="AV30" s="217">
        <f t="shared" si="10"/>
        <v>10.368348541764712</v>
      </c>
      <c r="AW30" s="216">
        <f t="shared" si="11"/>
        <v>0</v>
      </c>
      <c r="AX30" s="218">
        <f t="shared" si="12"/>
        <v>1.4831709199797398</v>
      </c>
      <c r="AY30" s="216">
        <f t="shared" si="13"/>
        <v>0.77643477842613629</v>
      </c>
      <c r="AZ30" s="217">
        <f t="shared" si="14"/>
        <v>3.5883638597441294</v>
      </c>
      <c r="BA30" s="216">
        <f t="shared" si="15"/>
        <v>0</v>
      </c>
      <c r="BB30" s="216">
        <f t="shared" si="16"/>
        <v>1.0016542390239327</v>
      </c>
      <c r="BC30" s="216">
        <f t="shared" si="17"/>
        <v>1</v>
      </c>
    </row>
    <row r="31" spans="1:55" ht="20.100000000000001" customHeight="1" x14ac:dyDescent="0.2">
      <c r="A31" s="45">
        <v>0.66666666666666696</v>
      </c>
      <c r="B31" s="451"/>
      <c r="C31" s="451"/>
      <c r="D31" s="451">
        <v>8.1999999999999993</v>
      </c>
      <c r="E31" s="451">
        <v>74.5</v>
      </c>
      <c r="F31" s="41">
        <v>1973</v>
      </c>
      <c r="G31" s="37">
        <v>-5.6</v>
      </c>
      <c r="H31" s="37">
        <v>72.7</v>
      </c>
      <c r="I31" s="37">
        <v>22.2</v>
      </c>
      <c r="J31" s="41">
        <v>455</v>
      </c>
      <c r="K31" s="37">
        <v>13</v>
      </c>
      <c r="L31" s="451">
        <v>132</v>
      </c>
      <c r="M31" s="451">
        <v>228</v>
      </c>
      <c r="N31" s="451">
        <v>90</v>
      </c>
      <c r="O31" s="353">
        <v>45</v>
      </c>
      <c r="P31" s="353">
        <v>15</v>
      </c>
      <c r="Q31" s="353">
        <v>266.55</v>
      </c>
      <c r="R31" s="37"/>
      <c r="S31" s="508" t="str">
        <f t="shared" si="0"/>
        <v/>
      </c>
      <c r="T31" s="508"/>
      <c r="U31" s="508"/>
      <c r="V31" s="508"/>
      <c r="X31" s="45">
        <v>0.66666666666666696</v>
      </c>
      <c r="Y31" s="106"/>
      <c r="Z31" s="102"/>
      <c r="AA31" s="102"/>
      <c r="AB31" s="45" t="str">
        <f t="shared" si="18"/>
        <v/>
      </c>
      <c r="AC31" s="45" t="str">
        <f t="shared" si="1"/>
        <v/>
      </c>
      <c r="AD31" s="81"/>
      <c r="AE31" s="9" t="str">
        <f>IF(S31="","",IF(COUNTA(Z31:$Z$39)=1,IF(COUNTA(AD31:$AD$39)=1,""," ; "),IF(COUNTA(AD31:$AD$39)=1,IF(Z31="",""," ; ")," ; ")))</f>
        <v/>
      </c>
      <c r="AF31" s="9" t="str">
        <f t="shared" si="2"/>
        <v/>
      </c>
      <c r="AG31" s="90" t="str">
        <f t="shared" si="3"/>
        <v/>
      </c>
      <c r="AH31" s="204" t="s">
        <v>226</v>
      </c>
      <c r="AJ31" s="206">
        <f t="shared" si="19"/>
        <v>500</v>
      </c>
      <c r="AK31" s="206">
        <f t="shared" si="19"/>
        <v>100</v>
      </c>
      <c r="AL31" s="206">
        <f t="shared" si="19"/>
        <v>2</v>
      </c>
      <c r="AM31" s="213">
        <f t="shared" si="19"/>
        <v>0.875</v>
      </c>
      <c r="AN31" s="214">
        <f t="shared" si="19"/>
        <v>0.63607464142166403</v>
      </c>
      <c r="AO31" s="215">
        <f t="shared" si="4"/>
        <v>-14.7</v>
      </c>
      <c r="AP31" s="216">
        <f t="shared" si="5"/>
        <v>1</v>
      </c>
      <c r="AQ31" s="216">
        <f t="shared" si="6"/>
        <v>1</v>
      </c>
      <c r="AR31" s="215">
        <f t="shared" si="20"/>
        <v>158.47</v>
      </c>
      <c r="AS31" s="216">
        <f t="shared" si="7"/>
        <v>0.9723448696087954</v>
      </c>
      <c r="AT31" s="216">
        <f t="shared" si="8"/>
        <v>1.2538510821608391</v>
      </c>
      <c r="AU31" s="216">
        <f t="shared" si="9"/>
        <v>2.2360679774997898</v>
      </c>
      <c r="AV31" s="217">
        <f t="shared" si="10"/>
        <v>10.368348541764712</v>
      </c>
      <c r="AW31" s="216">
        <f t="shared" si="11"/>
        <v>0</v>
      </c>
      <c r="AX31" s="218">
        <f t="shared" si="12"/>
        <v>1.4831709199797398</v>
      </c>
      <c r="AY31" s="216">
        <f t="shared" si="13"/>
        <v>0.77643477842613629</v>
      </c>
      <c r="AZ31" s="217">
        <f t="shared" si="14"/>
        <v>3.5883638597441294</v>
      </c>
      <c r="BA31" s="216">
        <f t="shared" si="15"/>
        <v>0</v>
      </c>
      <c r="BB31" s="216">
        <f t="shared" si="16"/>
        <v>1.0016542390239327</v>
      </c>
      <c r="BC31" s="216">
        <f t="shared" si="17"/>
        <v>1</v>
      </c>
    </row>
    <row r="32" spans="1:55" ht="20.100000000000001" customHeight="1" x14ac:dyDescent="0.2">
      <c r="A32" s="45">
        <v>0.70833333333333304</v>
      </c>
      <c r="B32" s="451"/>
      <c r="C32" s="451"/>
      <c r="D32" s="451">
        <v>9</v>
      </c>
      <c r="E32" s="451">
        <v>72.8</v>
      </c>
      <c r="F32" s="41">
        <v>1930</v>
      </c>
      <c r="G32" s="37">
        <v>-5.6</v>
      </c>
      <c r="H32" s="37">
        <v>72.099999999999994</v>
      </c>
      <c r="I32" s="37">
        <v>22</v>
      </c>
      <c r="J32" s="41">
        <v>456</v>
      </c>
      <c r="K32" s="37">
        <v>13</v>
      </c>
      <c r="L32" s="451">
        <v>132</v>
      </c>
      <c r="M32" s="451">
        <v>227</v>
      </c>
      <c r="N32" s="451">
        <v>90</v>
      </c>
      <c r="O32" s="353">
        <v>60</v>
      </c>
      <c r="P32" s="353">
        <v>12</v>
      </c>
      <c r="Q32" s="353">
        <v>267.35000000000002</v>
      </c>
      <c r="R32" s="37"/>
      <c r="S32" s="508" t="str">
        <f t="shared" si="0"/>
        <v/>
      </c>
      <c r="T32" s="508"/>
      <c r="U32" s="508"/>
      <c r="V32" s="508"/>
      <c r="X32" s="45">
        <v>0.70833333333333304</v>
      </c>
      <c r="Y32" s="106"/>
      <c r="Z32" s="102"/>
      <c r="AA32" s="102"/>
      <c r="AB32" s="45" t="str">
        <f t="shared" si="18"/>
        <v/>
      </c>
      <c r="AC32" s="45" t="str">
        <f t="shared" si="1"/>
        <v/>
      </c>
      <c r="AD32" s="81"/>
      <c r="AE32" s="9" t="str">
        <f>IF(S32="","",IF(COUNTA(Z32:$Z$39)=1,IF(COUNTA(AD32:$AD$39)=1,""," ; "),IF(COUNTA(AD32:$AD$39)=1,IF(Z32="",""," ; ")," ; ")))</f>
        <v/>
      </c>
      <c r="AF32" s="9" t="str">
        <f t="shared" si="2"/>
        <v/>
      </c>
      <c r="AG32" s="90" t="str">
        <f t="shared" si="3"/>
        <v/>
      </c>
      <c r="AH32" s="204" t="s">
        <v>313</v>
      </c>
      <c r="AJ32" s="206">
        <f t="shared" si="19"/>
        <v>500</v>
      </c>
      <c r="AK32" s="206">
        <f t="shared" si="19"/>
        <v>100</v>
      </c>
      <c r="AL32" s="206">
        <f t="shared" si="19"/>
        <v>2</v>
      </c>
      <c r="AM32" s="213">
        <f t="shared" si="19"/>
        <v>0.875</v>
      </c>
      <c r="AN32" s="214">
        <f t="shared" si="19"/>
        <v>0.63607464142166403</v>
      </c>
      <c r="AO32" s="215">
        <f t="shared" si="4"/>
        <v>-14.7</v>
      </c>
      <c r="AP32" s="216">
        <f t="shared" si="5"/>
        <v>1</v>
      </c>
      <c r="AQ32" s="216">
        <f t="shared" si="6"/>
        <v>1</v>
      </c>
      <c r="AR32" s="215">
        <f t="shared" si="20"/>
        <v>158.47</v>
      </c>
      <c r="AS32" s="216">
        <f t="shared" si="7"/>
        <v>0.9723448696087954</v>
      </c>
      <c r="AT32" s="216">
        <f t="shared" si="8"/>
        <v>1.2538510821608391</v>
      </c>
      <c r="AU32" s="216">
        <f t="shared" si="9"/>
        <v>2.2360679774997898</v>
      </c>
      <c r="AV32" s="217">
        <f t="shared" si="10"/>
        <v>10.368348541764712</v>
      </c>
      <c r="AW32" s="216">
        <f t="shared" si="11"/>
        <v>0</v>
      </c>
      <c r="AX32" s="218">
        <f t="shared" si="12"/>
        <v>1.4831709199797398</v>
      </c>
      <c r="AY32" s="216">
        <f t="shared" si="13"/>
        <v>0.77643477842613629</v>
      </c>
      <c r="AZ32" s="217">
        <f t="shared" si="14"/>
        <v>3.5883638597441294</v>
      </c>
      <c r="BA32" s="216">
        <f t="shared" si="15"/>
        <v>0</v>
      </c>
      <c r="BB32" s="216">
        <f t="shared" si="16"/>
        <v>1.0016542390239327</v>
      </c>
      <c r="BC32" s="216">
        <f t="shared" si="17"/>
        <v>1</v>
      </c>
    </row>
    <row r="33" spans="1:55" ht="20.100000000000001" customHeight="1" x14ac:dyDescent="0.2">
      <c r="A33" s="45">
        <v>0.75</v>
      </c>
      <c r="B33" s="451"/>
      <c r="C33" s="451"/>
      <c r="D33" s="451">
        <v>8.9</v>
      </c>
      <c r="E33" s="451">
        <v>75.099999999999994</v>
      </c>
      <c r="F33" s="41">
        <v>1941</v>
      </c>
      <c r="G33" s="37">
        <v>-5.6</v>
      </c>
      <c r="H33" s="37">
        <v>72.8</v>
      </c>
      <c r="I33" s="37">
        <v>22.6</v>
      </c>
      <c r="J33" s="41">
        <v>457</v>
      </c>
      <c r="K33" s="37">
        <v>13</v>
      </c>
      <c r="L33" s="451">
        <v>131</v>
      </c>
      <c r="M33" s="451">
        <v>226</v>
      </c>
      <c r="N33" s="451">
        <v>90</v>
      </c>
      <c r="O33" s="353">
        <v>60</v>
      </c>
      <c r="P33" s="353">
        <v>10</v>
      </c>
      <c r="Q33" s="353">
        <v>244.22</v>
      </c>
      <c r="R33" s="37"/>
      <c r="S33" s="508" t="str">
        <f>IF(Z33="",IF(AD33="","",AD33),CONCATENATE(TEXT(Z33,"[hh]:mm"),IF(AA33="",""," - "&amp;TEXT(AA33,"[hh]:mm")),IF(Y33="",""," "&amp;Y33&amp;"/")," "&amp;AD33))</f>
        <v/>
      </c>
      <c r="T33" s="508"/>
      <c r="U33" s="508"/>
      <c r="V33" s="508"/>
      <c r="X33" s="45">
        <v>0.75</v>
      </c>
      <c r="Y33" s="106"/>
      <c r="Z33" s="102"/>
      <c r="AA33" s="102"/>
      <c r="AB33" s="45" t="str">
        <f t="shared" si="18"/>
        <v/>
      </c>
      <c r="AC33" s="45" t="str">
        <f t="shared" si="1"/>
        <v/>
      </c>
      <c r="AD33" s="81"/>
      <c r="AE33" s="9" t="str">
        <f>IF(S33="","",IF(COUNTA(Z33:$Z$39)=1,IF(COUNTA(AD33:$AD$39)=1,""," ; "),IF(COUNTA(AD33:$AD$39)=1,IF(Z33="",""," ; ")," ; ")))</f>
        <v/>
      </c>
      <c r="AF33" s="9" t="str">
        <f t="shared" si="2"/>
        <v/>
      </c>
      <c r="AG33" s="90" t="str">
        <f t="shared" si="3"/>
        <v/>
      </c>
      <c r="AH33" s="204" t="s">
        <v>308</v>
      </c>
      <c r="AJ33" s="206">
        <f t="shared" ref="AJ33:AN39" si="21">AJ32</f>
        <v>500</v>
      </c>
      <c r="AK33" s="206">
        <f t="shared" si="21"/>
        <v>100</v>
      </c>
      <c r="AL33" s="206">
        <f t="shared" si="21"/>
        <v>2</v>
      </c>
      <c r="AM33" s="213">
        <f t="shared" si="21"/>
        <v>0.875</v>
      </c>
      <c r="AN33" s="214">
        <f t="shared" si="21"/>
        <v>0.63607464142166403</v>
      </c>
      <c r="AO33" s="215">
        <f t="shared" si="4"/>
        <v>-14.7</v>
      </c>
      <c r="AP33" s="216">
        <f t="shared" si="5"/>
        <v>1</v>
      </c>
      <c r="AQ33" s="216">
        <f t="shared" si="6"/>
        <v>1</v>
      </c>
      <c r="AR33" s="215">
        <f t="shared" si="20"/>
        <v>158.47</v>
      </c>
      <c r="AS33" s="216">
        <f t="shared" si="7"/>
        <v>0.9723448696087954</v>
      </c>
      <c r="AT33" s="216">
        <f t="shared" si="8"/>
        <v>1.2538510821608391</v>
      </c>
      <c r="AU33" s="216">
        <f t="shared" si="9"/>
        <v>2.2360679774997898</v>
      </c>
      <c r="AV33" s="217">
        <f t="shared" si="10"/>
        <v>10.368348541764712</v>
      </c>
      <c r="AW33" s="216">
        <f t="shared" si="11"/>
        <v>0</v>
      </c>
      <c r="AX33" s="218">
        <f t="shared" si="12"/>
        <v>1.4831709199797398</v>
      </c>
      <c r="AY33" s="216">
        <f t="shared" si="13"/>
        <v>0.77643477842613629</v>
      </c>
      <c r="AZ33" s="217">
        <f t="shared" si="14"/>
        <v>3.5883638597441294</v>
      </c>
      <c r="BA33" s="216">
        <f t="shared" si="15"/>
        <v>0</v>
      </c>
      <c r="BB33" s="216">
        <f t="shared" si="16"/>
        <v>1.0016542390239327</v>
      </c>
      <c r="BC33" s="216">
        <f t="shared" si="17"/>
        <v>1</v>
      </c>
    </row>
    <row r="34" spans="1:55" ht="20.100000000000001" customHeight="1" x14ac:dyDescent="0.2">
      <c r="A34" s="45">
        <v>0.79166666666666696</v>
      </c>
      <c r="B34" s="451"/>
      <c r="C34" s="451"/>
      <c r="D34" s="451">
        <v>8.6999999999999993</v>
      </c>
      <c r="E34" s="451">
        <v>75.3</v>
      </c>
      <c r="F34" s="41">
        <v>1962</v>
      </c>
      <c r="G34" s="37">
        <v>-5.6</v>
      </c>
      <c r="H34" s="37">
        <v>72.900000000000006</v>
      </c>
      <c r="I34" s="37">
        <v>22.8</v>
      </c>
      <c r="J34" s="41">
        <v>458</v>
      </c>
      <c r="K34" s="37">
        <v>13</v>
      </c>
      <c r="L34" s="451">
        <v>131</v>
      </c>
      <c r="M34" s="451">
        <v>226</v>
      </c>
      <c r="N34" s="451">
        <v>90</v>
      </c>
      <c r="O34" s="353">
        <v>60</v>
      </c>
      <c r="P34" s="353">
        <v>10</v>
      </c>
      <c r="Q34" s="353">
        <v>244.22</v>
      </c>
      <c r="R34" s="37"/>
      <c r="S34" s="508" t="str">
        <f t="shared" ref="S34:S39" si="22">IF(Z34="",IF(AD34="","",AD34),CONCATENATE(TEXT(Z34,"[hh]:mm"),IF(AA34="",""," - "&amp;TEXT(AA34,"[hh]:mm")),IF(Y34="",""," "&amp;Y34&amp;"/")," "&amp;AD34))</f>
        <v/>
      </c>
      <c r="T34" s="508"/>
      <c r="U34" s="508"/>
      <c r="V34" s="508"/>
      <c r="X34" s="45">
        <v>0.79166666666666696</v>
      </c>
      <c r="Y34" s="106"/>
      <c r="Z34" s="102"/>
      <c r="AA34" s="102"/>
      <c r="AB34" s="45" t="str">
        <f t="shared" si="18"/>
        <v/>
      </c>
      <c r="AC34" s="45" t="str">
        <f t="shared" si="1"/>
        <v/>
      </c>
      <c r="AD34" s="81"/>
      <c r="AE34" s="9" t="str">
        <f>IF(S34="","",IF(COUNTA(Z34:$Z$39)=1,IF(COUNTA(AD34:$AD$39)=1,""," ; "),IF(COUNTA(AD34:$AD$39)=1,IF(Z34="",""," ; ")," ; ")))</f>
        <v/>
      </c>
      <c r="AF34" s="9" t="str">
        <f t="shared" si="2"/>
        <v/>
      </c>
      <c r="AG34" s="90" t="str">
        <f t="shared" si="3"/>
        <v/>
      </c>
      <c r="AH34" s="204" t="s">
        <v>314</v>
      </c>
      <c r="AJ34" s="206">
        <f t="shared" si="21"/>
        <v>500</v>
      </c>
      <c r="AK34" s="206">
        <f t="shared" si="21"/>
        <v>100</v>
      </c>
      <c r="AL34" s="206">
        <f t="shared" si="21"/>
        <v>2</v>
      </c>
      <c r="AM34" s="213">
        <f t="shared" si="21"/>
        <v>0.875</v>
      </c>
      <c r="AN34" s="214">
        <f t="shared" si="21"/>
        <v>0.63607464142166403</v>
      </c>
      <c r="AO34" s="215">
        <f t="shared" si="4"/>
        <v>-14.7</v>
      </c>
      <c r="AP34" s="216">
        <f t="shared" si="5"/>
        <v>1</v>
      </c>
      <c r="AQ34" s="216">
        <f t="shared" si="6"/>
        <v>1</v>
      </c>
      <c r="AR34" s="215">
        <f t="shared" si="20"/>
        <v>158.47</v>
      </c>
      <c r="AS34" s="216">
        <f t="shared" si="7"/>
        <v>0.9723448696087954</v>
      </c>
      <c r="AT34" s="216">
        <f t="shared" si="8"/>
        <v>1.2538510821608391</v>
      </c>
      <c r="AU34" s="216">
        <f t="shared" si="9"/>
        <v>2.2360679774997898</v>
      </c>
      <c r="AV34" s="217">
        <f t="shared" si="10"/>
        <v>10.368348541764712</v>
      </c>
      <c r="AW34" s="216">
        <f t="shared" si="11"/>
        <v>0</v>
      </c>
      <c r="AX34" s="218">
        <f t="shared" si="12"/>
        <v>1.4831709199797398</v>
      </c>
      <c r="AY34" s="216">
        <f t="shared" si="13"/>
        <v>0.77643477842613629</v>
      </c>
      <c r="AZ34" s="217">
        <f t="shared" si="14"/>
        <v>3.5883638597441294</v>
      </c>
      <c r="BA34" s="216">
        <f t="shared" si="15"/>
        <v>0</v>
      </c>
      <c r="BB34" s="216">
        <f t="shared" si="16"/>
        <v>1.0016542390239327</v>
      </c>
      <c r="BC34" s="216">
        <f t="shared" si="17"/>
        <v>1</v>
      </c>
    </row>
    <row r="35" spans="1:55" ht="20.100000000000001" customHeight="1" x14ac:dyDescent="0.2">
      <c r="A35" s="45">
        <v>0.83333333333333304</v>
      </c>
      <c r="B35" s="451"/>
      <c r="C35" s="451"/>
      <c r="D35" s="451">
        <v>7.2</v>
      </c>
      <c r="E35" s="451">
        <v>74.599999999999994</v>
      </c>
      <c r="F35" s="41">
        <v>1932</v>
      </c>
      <c r="G35" s="37">
        <v>-5.6</v>
      </c>
      <c r="H35" s="37">
        <v>72.400000000000006</v>
      </c>
      <c r="I35" s="37">
        <v>22.4</v>
      </c>
      <c r="J35" s="41">
        <v>459</v>
      </c>
      <c r="K35" s="37">
        <v>13</v>
      </c>
      <c r="L35" s="451">
        <v>134</v>
      </c>
      <c r="M35" s="451">
        <v>222</v>
      </c>
      <c r="N35" s="451">
        <v>90</v>
      </c>
      <c r="O35" s="353">
        <v>60</v>
      </c>
      <c r="P35" s="353">
        <v>12</v>
      </c>
      <c r="Q35" s="353">
        <v>267.35000000000002</v>
      </c>
      <c r="R35" s="37"/>
      <c r="S35" s="508" t="str">
        <f t="shared" si="22"/>
        <v/>
      </c>
      <c r="T35" s="508"/>
      <c r="U35" s="508"/>
      <c r="V35" s="508"/>
      <c r="X35" s="45">
        <v>0.83333333333333304</v>
      </c>
      <c r="Y35" s="106"/>
      <c r="Z35" s="102"/>
      <c r="AA35" s="102"/>
      <c r="AB35" s="45" t="str">
        <f t="shared" si="18"/>
        <v/>
      </c>
      <c r="AC35" s="45" t="str">
        <f t="shared" si="1"/>
        <v/>
      </c>
      <c r="AD35" s="81"/>
      <c r="AE35" s="9" t="str">
        <f>IF(S35="","",IF(COUNTA(Z35:$Z$39)=1,IF(COUNTA(AD35:$AD$39)=1,""," ; "),IF(COUNTA(AD35:$AD$39)=1,IF(Z35="",""," ; ")," ; ")))</f>
        <v/>
      </c>
      <c r="AF35" s="9" t="str">
        <f t="shared" si="2"/>
        <v/>
      </c>
      <c r="AG35" s="90" t="str">
        <f t="shared" si="3"/>
        <v/>
      </c>
      <c r="AH35" s="204" t="s">
        <v>227</v>
      </c>
      <c r="AJ35" s="206">
        <f t="shared" si="21"/>
        <v>500</v>
      </c>
      <c r="AK35" s="206">
        <f t="shared" si="21"/>
        <v>100</v>
      </c>
      <c r="AL35" s="206">
        <f t="shared" si="21"/>
        <v>2</v>
      </c>
      <c r="AM35" s="213">
        <f t="shared" si="21"/>
        <v>0.875</v>
      </c>
      <c r="AN35" s="214">
        <f t="shared" si="21"/>
        <v>0.63607464142166403</v>
      </c>
      <c r="AO35" s="215">
        <f t="shared" si="4"/>
        <v>-14.7</v>
      </c>
      <c r="AP35" s="216">
        <f t="shared" si="5"/>
        <v>1</v>
      </c>
      <c r="AQ35" s="216">
        <f t="shared" si="6"/>
        <v>1</v>
      </c>
      <c r="AR35" s="215">
        <f t="shared" si="20"/>
        <v>158.47</v>
      </c>
      <c r="AS35" s="216">
        <f t="shared" si="7"/>
        <v>0.9723448696087954</v>
      </c>
      <c r="AT35" s="216">
        <f t="shared" si="8"/>
        <v>1.2538510821608391</v>
      </c>
      <c r="AU35" s="216">
        <f t="shared" si="9"/>
        <v>2.2360679774997898</v>
      </c>
      <c r="AV35" s="217">
        <f t="shared" si="10"/>
        <v>10.368348541764712</v>
      </c>
      <c r="AW35" s="216">
        <f t="shared" si="11"/>
        <v>0</v>
      </c>
      <c r="AX35" s="218">
        <f t="shared" si="12"/>
        <v>1.4831709199797398</v>
      </c>
      <c r="AY35" s="216">
        <f t="shared" si="13"/>
        <v>0.77643477842613629</v>
      </c>
      <c r="AZ35" s="217">
        <f t="shared" si="14"/>
        <v>3.5883638597441294</v>
      </c>
      <c r="BA35" s="216">
        <f t="shared" si="15"/>
        <v>0</v>
      </c>
      <c r="BB35" s="216">
        <f t="shared" si="16"/>
        <v>1.0016542390239327</v>
      </c>
      <c r="BC35" s="216">
        <f t="shared" si="17"/>
        <v>1</v>
      </c>
    </row>
    <row r="36" spans="1:55" ht="20.100000000000001" customHeight="1" x14ac:dyDescent="0.2">
      <c r="A36" s="45">
        <v>0.875</v>
      </c>
      <c r="B36" s="451"/>
      <c r="C36" s="451"/>
      <c r="D36" s="451">
        <v>7.4</v>
      </c>
      <c r="E36" s="451">
        <v>62.7</v>
      </c>
      <c r="F36" s="41">
        <v>1942</v>
      </c>
      <c r="G36" s="37">
        <v>-5.6</v>
      </c>
      <c r="H36" s="37">
        <v>72.599999999999994</v>
      </c>
      <c r="I36" s="37">
        <v>22.6</v>
      </c>
      <c r="J36" s="41">
        <v>460</v>
      </c>
      <c r="K36" s="37">
        <v>13</v>
      </c>
      <c r="L36" s="451">
        <v>132</v>
      </c>
      <c r="M36" s="451">
        <v>222</v>
      </c>
      <c r="N36" s="451">
        <v>90</v>
      </c>
      <c r="O36" s="353">
        <v>60</v>
      </c>
      <c r="P36" s="353">
        <v>12</v>
      </c>
      <c r="Q36" s="353">
        <v>267.35000000000002</v>
      </c>
      <c r="R36" s="37"/>
      <c r="S36" s="508" t="str">
        <f t="shared" si="22"/>
        <v/>
      </c>
      <c r="T36" s="508"/>
      <c r="U36" s="508"/>
      <c r="V36" s="508"/>
      <c r="X36" s="45">
        <v>0.875</v>
      </c>
      <c r="Y36" s="106"/>
      <c r="Z36" s="102"/>
      <c r="AA36" s="102"/>
      <c r="AB36" s="45" t="str">
        <f t="shared" si="18"/>
        <v/>
      </c>
      <c r="AC36" s="45" t="str">
        <f t="shared" si="1"/>
        <v/>
      </c>
      <c r="AD36" s="81"/>
      <c r="AE36" s="9" t="str">
        <f>IF(S36="","",IF(COUNTA(Z36:$Z$39)=1,IF(COUNTA(AD36:$AD$39)=1,""," ; "),IF(COUNTA(AD36:$AD$39)=1,IF(Z36="",""," ; ")," ; ")))</f>
        <v/>
      </c>
      <c r="AF36" s="9" t="str">
        <f t="shared" si="2"/>
        <v/>
      </c>
      <c r="AG36" s="90" t="str">
        <f t="shared" si="3"/>
        <v/>
      </c>
      <c r="AH36" s="204" t="s">
        <v>309</v>
      </c>
      <c r="AJ36" s="206">
        <f t="shared" si="21"/>
        <v>500</v>
      </c>
      <c r="AK36" s="206">
        <f t="shared" si="21"/>
        <v>100</v>
      </c>
      <c r="AL36" s="206">
        <f t="shared" si="21"/>
        <v>2</v>
      </c>
      <c r="AM36" s="213">
        <f t="shared" si="21"/>
        <v>0.875</v>
      </c>
      <c r="AN36" s="214">
        <f t="shared" si="21"/>
        <v>0.63607464142166403</v>
      </c>
      <c r="AO36" s="215">
        <f t="shared" si="4"/>
        <v>-14.7</v>
      </c>
      <c r="AP36" s="216">
        <f t="shared" si="5"/>
        <v>1</v>
      </c>
      <c r="AQ36" s="216">
        <f t="shared" si="6"/>
        <v>1</v>
      </c>
      <c r="AR36" s="215">
        <f t="shared" si="20"/>
        <v>158.47</v>
      </c>
      <c r="AS36" s="216">
        <f t="shared" si="7"/>
        <v>0.9723448696087954</v>
      </c>
      <c r="AT36" s="216">
        <f t="shared" si="8"/>
        <v>1.2538510821608391</v>
      </c>
      <c r="AU36" s="216">
        <f t="shared" si="9"/>
        <v>2.2360679774997898</v>
      </c>
      <c r="AV36" s="217">
        <f t="shared" si="10"/>
        <v>10.368348541764712</v>
      </c>
      <c r="AW36" s="216">
        <f t="shared" si="11"/>
        <v>0</v>
      </c>
      <c r="AX36" s="218">
        <f t="shared" si="12"/>
        <v>1.4831709199797398</v>
      </c>
      <c r="AY36" s="216">
        <f t="shared" si="13"/>
        <v>0.77643477842613629</v>
      </c>
      <c r="AZ36" s="217">
        <f t="shared" si="14"/>
        <v>3.5883638597441294</v>
      </c>
      <c r="BA36" s="216">
        <f t="shared" si="15"/>
        <v>0</v>
      </c>
      <c r="BB36" s="216">
        <f t="shared" si="16"/>
        <v>1.0016542390239327</v>
      </c>
      <c r="BC36" s="216">
        <f t="shared" si="17"/>
        <v>1</v>
      </c>
    </row>
    <row r="37" spans="1:55" ht="20.100000000000001" customHeight="1" x14ac:dyDescent="0.2">
      <c r="A37" s="45">
        <v>0.91666666666666696</v>
      </c>
      <c r="B37" s="451"/>
      <c r="C37" s="451"/>
      <c r="D37" s="451">
        <v>6.3</v>
      </c>
      <c r="E37" s="451">
        <v>58.2</v>
      </c>
      <c r="F37" s="41">
        <v>1915</v>
      </c>
      <c r="G37" s="37">
        <v>-5.6</v>
      </c>
      <c r="H37" s="37">
        <v>72.2</v>
      </c>
      <c r="I37" s="37">
        <v>22.3</v>
      </c>
      <c r="J37" s="41">
        <v>461</v>
      </c>
      <c r="K37" s="37">
        <v>13</v>
      </c>
      <c r="L37" s="451">
        <v>130</v>
      </c>
      <c r="M37" s="451">
        <v>221</v>
      </c>
      <c r="N37" s="451">
        <v>90</v>
      </c>
      <c r="O37" s="353">
        <v>45</v>
      </c>
      <c r="P37" s="353">
        <v>12</v>
      </c>
      <c r="Q37" s="353">
        <v>238.62</v>
      </c>
      <c r="R37" s="37"/>
      <c r="S37" s="508" t="str">
        <f t="shared" si="22"/>
        <v/>
      </c>
      <c r="T37" s="508"/>
      <c r="U37" s="508"/>
      <c r="V37" s="508"/>
      <c r="X37" s="45">
        <v>0.91666666666666696</v>
      </c>
      <c r="Y37" s="106"/>
      <c r="Z37" s="102"/>
      <c r="AA37" s="102"/>
      <c r="AB37" s="45" t="str">
        <f t="shared" si="18"/>
        <v/>
      </c>
      <c r="AC37" s="45" t="str">
        <f t="shared" si="1"/>
        <v/>
      </c>
      <c r="AD37" s="81"/>
      <c r="AE37" s="9" t="str">
        <f>IF(S37="","",IF(COUNTA(Z37:$Z$39)=1,IF(COUNTA(AD37:$AD$39)=1,""," ; "),IF(COUNTA(AD37:$AD$39)=1,IF(Z37="",""," ; ")," ; ")))</f>
        <v/>
      </c>
      <c r="AF37" s="9" t="str">
        <f t="shared" si="2"/>
        <v/>
      </c>
      <c r="AG37" s="90" t="str">
        <f t="shared" si="3"/>
        <v/>
      </c>
      <c r="AH37" s="204" t="s">
        <v>319</v>
      </c>
      <c r="AJ37" s="206">
        <f t="shared" si="21"/>
        <v>500</v>
      </c>
      <c r="AK37" s="206">
        <f t="shared" si="21"/>
        <v>100</v>
      </c>
      <c r="AL37" s="206">
        <f t="shared" si="21"/>
        <v>2</v>
      </c>
      <c r="AM37" s="213">
        <f t="shared" si="21"/>
        <v>0.875</v>
      </c>
      <c r="AN37" s="214">
        <f t="shared" si="21"/>
        <v>0.63607464142166403</v>
      </c>
      <c r="AO37" s="215">
        <f t="shared" si="4"/>
        <v>-14.7</v>
      </c>
      <c r="AP37" s="216">
        <f t="shared" si="5"/>
        <v>1</v>
      </c>
      <c r="AQ37" s="216">
        <f t="shared" si="6"/>
        <v>1</v>
      </c>
      <c r="AR37" s="215">
        <f t="shared" si="20"/>
        <v>158.47</v>
      </c>
      <c r="AS37" s="216">
        <f t="shared" si="7"/>
        <v>0.9723448696087954</v>
      </c>
      <c r="AT37" s="216">
        <f t="shared" si="8"/>
        <v>1.2538510821608391</v>
      </c>
      <c r="AU37" s="216">
        <f t="shared" si="9"/>
        <v>2.2360679774997898</v>
      </c>
      <c r="AV37" s="217">
        <f t="shared" si="10"/>
        <v>10.368348541764712</v>
      </c>
      <c r="AW37" s="216">
        <f t="shared" si="11"/>
        <v>0</v>
      </c>
      <c r="AX37" s="218">
        <f t="shared" si="12"/>
        <v>1.4831709199797398</v>
      </c>
      <c r="AY37" s="216">
        <f t="shared" si="13"/>
        <v>0.77643477842613629</v>
      </c>
      <c r="AZ37" s="217">
        <f t="shared" si="14"/>
        <v>3.5883638597441294</v>
      </c>
      <c r="BA37" s="216">
        <f t="shared" si="15"/>
        <v>0</v>
      </c>
      <c r="BB37" s="216">
        <f t="shared" si="16"/>
        <v>1.0016542390239327</v>
      </c>
      <c r="BC37" s="216">
        <f t="shared" si="17"/>
        <v>1</v>
      </c>
    </row>
    <row r="38" spans="1:55" ht="20.100000000000001" customHeight="1" x14ac:dyDescent="0.2">
      <c r="A38" s="45">
        <v>0.95833333333333304</v>
      </c>
      <c r="B38" s="451"/>
      <c r="C38" s="451"/>
      <c r="D38" s="451">
        <v>5.8</v>
      </c>
      <c r="E38" s="451">
        <v>57.4</v>
      </c>
      <c r="F38" s="41">
        <v>1922</v>
      </c>
      <c r="G38" s="37">
        <v>-5.6</v>
      </c>
      <c r="H38" s="37">
        <v>72.5</v>
      </c>
      <c r="I38" s="37">
        <v>22.7</v>
      </c>
      <c r="J38" s="41">
        <v>462</v>
      </c>
      <c r="K38" s="37">
        <v>13</v>
      </c>
      <c r="L38" s="451">
        <v>136</v>
      </c>
      <c r="M38" s="451">
        <v>227</v>
      </c>
      <c r="N38" s="451">
        <v>90</v>
      </c>
      <c r="O38" s="353">
        <v>45</v>
      </c>
      <c r="P38" s="353">
        <v>10</v>
      </c>
      <c r="Q38" s="353">
        <v>217.99</v>
      </c>
      <c r="R38" s="37"/>
      <c r="S38" s="508" t="str">
        <f t="shared" si="22"/>
        <v/>
      </c>
      <c r="T38" s="508"/>
      <c r="U38" s="508"/>
      <c r="V38" s="508"/>
      <c r="X38" s="45">
        <v>0.95833333333333304</v>
      </c>
      <c r="Y38" s="106"/>
      <c r="Z38" s="102"/>
      <c r="AA38" s="102"/>
      <c r="AB38" s="45" t="str">
        <f t="shared" si="18"/>
        <v/>
      </c>
      <c r="AC38" s="45" t="str">
        <f t="shared" si="1"/>
        <v/>
      </c>
      <c r="AD38" s="81"/>
      <c r="AE38" s="9" t="str">
        <f>IF(S38="","",IF(COUNTA(Z38:$Z$39)=1,IF(COUNTA(AD38:$AD$39)=1,""," ; "),IF(COUNTA(AD38:$AD$39)=1,IF(Z38="",""," ; ")," ; ")))</f>
        <v/>
      </c>
      <c r="AF38" s="9" t="str">
        <f t="shared" si="2"/>
        <v/>
      </c>
      <c r="AG38" s="90" t="str">
        <f t="shared" si="3"/>
        <v/>
      </c>
      <c r="AH38" s="204" t="s">
        <v>219</v>
      </c>
      <c r="AJ38" s="206">
        <f t="shared" si="21"/>
        <v>500</v>
      </c>
      <c r="AK38" s="206">
        <f t="shared" si="21"/>
        <v>100</v>
      </c>
      <c r="AL38" s="206">
        <f t="shared" si="21"/>
        <v>2</v>
      </c>
      <c r="AM38" s="213">
        <f t="shared" si="21"/>
        <v>0.875</v>
      </c>
      <c r="AN38" s="214">
        <f t="shared" si="21"/>
        <v>0.63607464142166403</v>
      </c>
      <c r="AO38" s="215">
        <f t="shared" si="4"/>
        <v>-14.7</v>
      </c>
      <c r="AP38" s="216">
        <f t="shared" si="5"/>
        <v>1</v>
      </c>
      <c r="AQ38" s="216">
        <f t="shared" si="6"/>
        <v>1</v>
      </c>
      <c r="AR38" s="215">
        <f t="shared" si="20"/>
        <v>158.47</v>
      </c>
      <c r="AS38" s="216">
        <f t="shared" si="7"/>
        <v>0.9723448696087954</v>
      </c>
      <c r="AT38" s="216">
        <f t="shared" si="8"/>
        <v>1.2538510821608391</v>
      </c>
      <c r="AU38" s="216">
        <f t="shared" si="9"/>
        <v>2.2360679774997898</v>
      </c>
      <c r="AV38" s="217">
        <f t="shared" si="10"/>
        <v>10.368348541764712</v>
      </c>
      <c r="AW38" s="216">
        <f t="shared" si="11"/>
        <v>0</v>
      </c>
      <c r="AX38" s="218">
        <f t="shared" si="12"/>
        <v>1.4831709199797398</v>
      </c>
      <c r="AY38" s="216">
        <f t="shared" si="13"/>
        <v>0.77643477842613629</v>
      </c>
      <c r="AZ38" s="217">
        <f t="shared" si="14"/>
        <v>3.5883638597441294</v>
      </c>
      <c r="BA38" s="216">
        <f t="shared" si="15"/>
        <v>0</v>
      </c>
      <c r="BB38" s="216">
        <f t="shared" si="16"/>
        <v>1.0016542390239327</v>
      </c>
      <c r="BC38" s="216">
        <f t="shared" si="17"/>
        <v>1</v>
      </c>
    </row>
    <row r="39" spans="1:55" ht="20.100000000000001" customHeight="1" thickBot="1" x14ac:dyDescent="0.25">
      <c r="A39" s="46">
        <v>1</v>
      </c>
      <c r="B39" s="451"/>
      <c r="C39" s="451"/>
      <c r="D39" s="452">
        <v>7.6</v>
      </c>
      <c r="E39" s="452">
        <v>63.9</v>
      </c>
      <c r="F39" s="42">
        <v>1937</v>
      </c>
      <c r="G39" s="37">
        <v>-5.6</v>
      </c>
      <c r="H39" s="37">
        <v>72.900000000000006</v>
      </c>
      <c r="I39" s="37">
        <v>22.5</v>
      </c>
      <c r="J39" s="41">
        <v>463</v>
      </c>
      <c r="K39" s="37">
        <v>13</v>
      </c>
      <c r="L39" s="452">
        <v>133</v>
      </c>
      <c r="M39" s="452">
        <v>227</v>
      </c>
      <c r="N39" s="451">
        <v>90</v>
      </c>
      <c r="O39" s="353">
        <v>60</v>
      </c>
      <c r="P39" s="353">
        <v>10</v>
      </c>
      <c r="Q39" s="354">
        <v>244.22</v>
      </c>
      <c r="R39" s="38"/>
      <c r="S39" s="512" t="str">
        <f t="shared" si="22"/>
        <v/>
      </c>
      <c r="T39" s="512"/>
      <c r="U39" s="512"/>
      <c r="V39" s="512"/>
      <c r="X39" s="46">
        <v>1</v>
      </c>
      <c r="Y39" s="107"/>
      <c r="Z39" s="103"/>
      <c r="AA39" s="103"/>
      <c r="AB39" s="46" t="str">
        <f t="shared" si="18"/>
        <v/>
      </c>
      <c r="AC39" s="46" t="str">
        <f t="shared" si="1"/>
        <v/>
      </c>
      <c r="AD39" s="82"/>
      <c r="AE39" s="9" t="str">
        <f>IF(S39="","",IF(COUNTA(Z39:$Z$39)=1,IF(COUNTA(AD39:$AD$39)=1,""," ; "),IF(COUNTA(AD39:$AD$39)=1,IF(Z39="",""," ; ")," ; ")))</f>
        <v/>
      </c>
      <c r="AF39" s="9" t="str">
        <f t="shared" si="2"/>
        <v/>
      </c>
      <c r="AG39" s="90" t="str">
        <f t="shared" si="3"/>
        <v/>
      </c>
      <c r="AH39" s="204" t="s">
        <v>220</v>
      </c>
      <c r="AJ39" s="219">
        <f t="shared" si="21"/>
        <v>500</v>
      </c>
      <c r="AK39" s="219">
        <f t="shared" si="21"/>
        <v>100</v>
      </c>
      <c r="AL39" s="219">
        <f t="shared" si="21"/>
        <v>2</v>
      </c>
      <c r="AM39" s="220">
        <f t="shared" si="21"/>
        <v>0.875</v>
      </c>
      <c r="AN39" s="221">
        <f t="shared" si="21"/>
        <v>0.63607464142166403</v>
      </c>
      <c r="AO39" s="222">
        <f t="shared" si="4"/>
        <v>-14.7</v>
      </c>
      <c r="AP39" s="223">
        <f t="shared" si="5"/>
        <v>1</v>
      </c>
      <c r="AQ39" s="223">
        <f t="shared" si="6"/>
        <v>1</v>
      </c>
      <c r="AR39" s="222">
        <f t="shared" si="20"/>
        <v>158.47</v>
      </c>
      <c r="AS39" s="223">
        <f t="shared" si="7"/>
        <v>0.9723448696087954</v>
      </c>
      <c r="AT39" s="223">
        <f t="shared" si="8"/>
        <v>1.2538510821608391</v>
      </c>
      <c r="AU39" s="223">
        <f t="shared" si="9"/>
        <v>2.2360679774997898</v>
      </c>
      <c r="AV39" s="224">
        <f t="shared" si="10"/>
        <v>10.368348541764712</v>
      </c>
      <c r="AW39" s="223">
        <f t="shared" si="11"/>
        <v>0</v>
      </c>
      <c r="AX39" s="225">
        <f t="shared" si="12"/>
        <v>1.4831709199797398</v>
      </c>
      <c r="AY39" s="223">
        <f t="shared" si="13"/>
        <v>0.77643477842613629</v>
      </c>
      <c r="AZ39" s="224">
        <f t="shared" si="14"/>
        <v>3.5883638597441294</v>
      </c>
      <c r="BA39" s="223">
        <f t="shared" si="15"/>
        <v>0</v>
      </c>
      <c r="BB39" s="223">
        <f t="shared" si="16"/>
        <v>1.0016542390239327</v>
      </c>
      <c r="BC39" s="223">
        <f t="shared" si="17"/>
        <v>1</v>
      </c>
    </row>
    <row r="40" spans="1:55" ht="20.100000000000001" customHeight="1" thickBot="1" x14ac:dyDescent="0.3">
      <c r="A40" s="53" t="s">
        <v>11</v>
      </c>
      <c r="B40" s="453" t="str">
        <f>IFERROR(ROUND(AVERAGE(B16:B39),2),"")</f>
        <v/>
      </c>
      <c r="C40" s="453" t="str">
        <f>IFERROR(ROUND(AVERAGE(C16:C39),2),"")</f>
        <v/>
      </c>
      <c r="D40" s="453">
        <f>IFERROR(ROUND(AVERAGE(D16:D39),2),"")</f>
        <v>7.6</v>
      </c>
      <c r="E40" s="453">
        <f>IFERROR(ROUND(AVERAGE(E16:E39),2),"")</f>
        <v>65.7</v>
      </c>
      <c r="F40" s="55">
        <f>IFERROR(ROUND(AVERAGE(F16:F39),0),"")</f>
        <v>1943</v>
      </c>
      <c r="G40" s="54">
        <f>IFERROR(AVERAGE(G16:G39),"")</f>
        <v>-5.5999999999999979</v>
      </c>
      <c r="H40" s="54">
        <f>IFERROR(AVERAGE(H16:H39),"")</f>
        <v>72.440416666666678</v>
      </c>
      <c r="I40" s="54">
        <f>IFERROR(AVERAGE(I16:I39),"")</f>
        <v>22.420833333333338</v>
      </c>
      <c r="J40" s="71"/>
      <c r="K40" s="111">
        <f>IFERROR(AVERAGE(K16:K39),"")</f>
        <v>13</v>
      </c>
      <c r="L40" s="453">
        <f t="shared" ref="L40:P40" si="23">IFERROR(ROUND(AVERAGE(L16:L39),1),"")</f>
        <v>132.9</v>
      </c>
      <c r="M40" s="453">
        <f t="shared" si="23"/>
        <v>224</v>
      </c>
      <c r="N40" s="453">
        <f t="shared" si="23"/>
        <v>90</v>
      </c>
      <c r="O40" s="456">
        <f t="shared" si="23"/>
        <v>49.6</v>
      </c>
      <c r="P40" s="456">
        <f t="shared" si="23"/>
        <v>12.5</v>
      </c>
      <c r="Q40" s="456">
        <f>IF($I$47=1,$M$49,$Q$44)</f>
        <v>258.60000000000002</v>
      </c>
      <c r="R40" s="54" t="str">
        <f>IFERROR(ROUND(AVERAGE(R16:R39),1),"")</f>
        <v/>
      </c>
      <c r="S40" s="509"/>
      <c r="T40" s="510"/>
      <c r="U40" s="510"/>
      <c r="V40" s="511"/>
      <c r="X40" s="99"/>
      <c r="Y40" s="99"/>
      <c r="Z40" s="99"/>
      <c r="AA40" s="99"/>
      <c r="AB40" s="104">
        <f>SUM(AB16:AB39)</f>
        <v>0</v>
      </c>
      <c r="AC40" s="104">
        <f>SUM(AC16:AC39)</f>
        <v>0</v>
      </c>
      <c r="AD40" s="92" t="str">
        <f>IF(OR(COUNTBLANK(D16:E39)+COUNTBLANK(O16:P39)=0,COUNTA(S16:V39)&lt;&gt;0),"","CEK : Blank Data - Remarks")</f>
        <v/>
      </c>
      <c r="AG40" s="90" t="str">
        <f>IF(COUNTIF(AG16:AG39,"")=COUNTA(AG16:AG39),"","CEK : Data Flowrate")</f>
        <v/>
      </c>
      <c r="AH40" s="204" t="s">
        <v>311</v>
      </c>
    </row>
    <row r="41" spans="1:55" ht="20.100000000000001" hidden="1" customHeight="1" thickBot="1" x14ac:dyDescent="0.3">
      <c r="A41" s="49" t="s">
        <v>12</v>
      </c>
      <c r="B41" s="52" t="str">
        <f>IF(COUNT(B16:B39)&gt;0,ROUND(MIN(B16:B39),2),"")</f>
        <v/>
      </c>
      <c r="C41" s="52" t="str">
        <f>IF(COUNT(C16:C39)&gt;0,ROUND(MIN(C16:C39),2),"")</f>
        <v/>
      </c>
      <c r="D41" s="52">
        <f>IF(COUNT(D16:D39)&gt;0,ROUND(MIN(D16:D39),2),"")</f>
        <v>5.4</v>
      </c>
      <c r="E41" s="52">
        <f>IF(COUNT(E16:E39)&gt;0,ROUND(MIN(E16:E39),2),"")</f>
        <v>54.7</v>
      </c>
      <c r="F41" s="51">
        <f>IF(COUNT(F16:F39)&gt;0,ROUND(MIN(F16:F39),0),"")</f>
        <v>1915</v>
      </c>
      <c r="G41" s="50">
        <f>IF(COUNT(G16:G39)&gt;0,MIN(G16:G39),"")</f>
        <v>-5.6</v>
      </c>
      <c r="H41" s="50">
        <f>IF(COUNT(H16:H39)&gt;0,MIN(H16:H39),"")</f>
        <v>72</v>
      </c>
      <c r="I41" s="50">
        <f>IF(COUNT(I16:I39)&gt;0,MIN(I16:I39),"")</f>
        <v>22</v>
      </c>
      <c r="J41" s="72"/>
      <c r="K41" s="50">
        <f>IF(COUNT(K16:K39)&gt;0,MIN(K16:K39),"")</f>
        <v>13</v>
      </c>
      <c r="L41" s="52">
        <f>IF(COUNT(L16:L39)&gt;0,ROUND(MIN(L16:L39),1),"")</f>
        <v>130</v>
      </c>
      <c r="M41" s="52">
        <f>IF(COUNT(M16:M39)&gt;0,ROUND(MIN(M16:M39),1),"")</f>
        <v>220</v>
      </c>
      <c r="N41" s="52">
        <f>IF(COUNT(N16:N39)&gt;0,ROUND(MIN(N16:N39),1),"")</f>
        <v>90</v>
      </c>
      <c r="O41" s="440">
        <f>IF(COUNT(O16:O39)&gt;0,ROUND(MIN(O16:O39),1),"")</f>
        <v>45</v>
      </c>
      <c r="P41" s="440">
        <f>IF(COUNT(P16:P39)&gt;0,ROUND(MIN(P16:P39),1),"")</f>
        <v>10</v>
      </c>
      <c r="Q41" s="440">
        <f>IF(COUNT(Q16:Q39)&gt;0,ROUND(MIN(Q16:Q39),4),"")</f>
        <v>217.99</v>
      </c>
      <c r="R41" s="121" t="str">
        <f>IF(COUNT(R16:R39)&gt;0,ROUND(MIN(R16:R39),1),"")</f>
        <v/>
      </c>
      <c r="S41" s="509"/>
      <c r="T41" s="510"/>
      <c r="U41" s="510"/>
      <c r="V41" s="511"/>
      <c r="X41" s="99"/>
      <c r="Y41" s="99"/>
      <c r="Z41" s="99"/>
      <c r="AA41" s="99"/>
      <c r="AB41" s="99"/>
      <c r="AC41" s="99"/>
      <c r="AH41" s="204" t="s">
        <v>318</v>
      </c>
    </row>
    <row r="42" spans="1:55" ht="20.100000000000001" hidden="1" customHeight="1" thickBot="1" x14ac:dyDescent="0.3">
      <c r="A42" s="21" t="s">
        <v>13</v>
      </c>
      <c r="B42" s="454" t="str">
        <f>IF(COUNT(B16:B39)&gt;0,ROUND(MAX(B16:B39),2),"")</f>
        <v/>
      </c>
      <c r="C42" s="454" t="str">
        <f>IF(COUNT(C16:C39)&gt;0,ROUND(MAX(C16:C39),2),"")</f>
        <v/>
      </c>
      <c r="D42" s="454">
        <f>IF(COUNT(D16:D39)&gt;0,ROUND(MAX(D16:D39),2),"")</f>
        <v>9</v>
      </c>
      <c r="E42" s="454">
        <f>IF(COUNT(E16:E39)&gt;0,ROUND(MAX(E16:E39),2),"")</f>
        <v>84.5</v>
      </c>
      <c r="F42" s="43">
        <f>IF(COUNT(F16:F39)&gt;0,ROUND(MAX(F16:F39),0),"")</f>
        <v>1991</v>
      </c>
      <c r="G42" s="39">
        <f>IF(COUNT(G16:G39)&gt;0,MAX(G16:G39),"")</f>
        <v>-5.6</v>
      </c>
      <c r="H42" s="39">
        <f>IF(COUNT(H16:H39)&gt;0,MAX(H16:H39),"")</f>
        <v>72.900000000000006</v>
      </c>
      <c r="I42" s="39">
        <f>IF(COUNT(I16:I39)&gt;0,MAX(I16:I39),"")</f>
        <v>22.9</v>
      </c>
      <c r="J42" s="43">
        <f>IF(COUNT(J16:J39)&gt;0,MAX(J16:J39),"")</f>
        <v>463</v>
      </c>
      <c r="K42" s="39">
        <f>IF(COUNT(K16:K39)&gt;0,MAX(K16:K39),"")</f>
        <v>13</v>
      </c>
      <c r="L42" s="454">
        <f>IF(COUNT(L16:L39)&gt;0,ROUND(MAX(L16:L39),1),"")</f>
        <v>137</v>
      </c>
      <c r="M42" s="454">
        <f>IF(COUNT(M16:M39)&gt;0,ROUND(MAX(M16:M39),1),"")</f>
        <v>228</v>
      </c>
      <c r="N42" s="454">
        <f>IF(COUNT(N16:N39)&gt;0,ROUND(MAX(N16:N39),1),"")</f>
        <v>90</v>
      </c>
      <c r="O42" s="441">
        <f>IF(COUNT(O16:O39)&gt;0,ROUND(MAX(O16:O39),1),"")</f>
        <v>60</v>
      </c>
      <c r="P42" s="441">
        <f>IF(COUNT(P16:P39)&gt;0,ROUND(MAX(P16:P39),1),"")</f>
        <v>15</v>
      </c>
      <c r="Q42" s="441">
        <f>IF(COUNT(Q16:Q39)&gt;0,ROUND(MAX(Q16:Q39),4),"")</f>
        <v>267.35000000000002</v>
      </c>
      <c r="R42" s="39" t="str">
        <f>IF(COUNT(R16:R39)&gt;0,ROUND(MAX(R16:R39),1),"")</f>
        <v/>
      </c>
      <c r="S42" s="509"/>
      <c r="T42" s="510"/>
      <c r="U42" s="510"/>
      <c r="V42" s="511"/>
      <c r="X42" s="99"/>
      <c r="Y42" s="99"/>
      <c r="Z42" s="99"/>
      <c r="AA42" s="99"/>
      <c r="AB42" s="99"/>
      <c r="AC42" s="99"/>
      <c r="AH42" s="204" t="s">
        <v>312</v>
      </c>
    </row>
    <row r="43" spans="1:55" ht="20.100000000000001" hidden="1" customHeight="1" x14ac:dyDescent="0.25">
      <c r="A43" s="109"/>
      <c r="B43" s="110">
        <f>COUNT(B16:B39)</f>
        <v>0</v>
      </c>
      <c r="C43" s="110">
        <f>COUNT(C16:C39)</f>
        <v>0</v>
      </c>
      <c r="D43" s="110">
        <f>COUNT(D16:D39)</f>
        <v>24</v>
      </c>
      <c r="E43" s="110">
        <f t="shared" ref="E43:H43" si="24">COUNT(E16:E39)</f>
        <v>24</v>
      </c>
      <c r="F43" s="110">
        <f t="shared" si="24"/>
        <v>24</v>
      </c>
      <c r="G43" s="110">
        <f t="shared" si="24"/>
        <v>24</v>
      </c>
      <c r="H43" s="110">
        <f t="shared" si="24"/>
        <v>24</v>
      </c>
      <c r="I43" s="110"/>
      <c r="J43" s="110"/>
      <c r="K43" s="110"/>
      <c r="L43" s="110">
        <f t="shared" ref="L43:Q43" si="25">COUNT(L16:L39)</f>
        <v>24</v>
      </c>
      <c r="M43" s="110">
        <f t="shared" si="25"/>
        <v>24</v>
      </c>
      <c r="N43" s="110">
        <f t="shared" si="25"/>
        <v>24</v>
      </c>
      <c r="O43" s="110">
        <f t="shared" si="25"/>
        <v>24</v>
      </c>
      <c r="P43" s="110">
        <f t="shared" si="25"/>
        <v>24</v>
      </c>
      <c r="Q43" s="110">
        <f t="shared" si="25"/>
        <v>24</v>
      </c>
      <c r="R43" s="110"/>
      <c r="S43" s="99"/>
      <c r="T43" s="99"/>
      <c r="U43" s="99"/>
      <c r="V43" s="99"/>
      <c r="X43" s="99"/>
      <c r="Y43" s="99"/>
      <c r="Z43" s="99"/>
      <c r="AA43" s="99"/>
      <c r="AB43" s="99"/>
      <c r="AC43" s="99"/>
      <c r="AD43" s="92" t="str">
        <f>IF(AND(D43=E43,D43=F43,D43=G43,D43=H43,D43=L43,D43=M43,D43=N43,D43=O43,D43=P43,D43=Q43),"","CEK : Data Content")</f>
        <v/>
      </c>
      <c r="AH43" s="204" t="s">
        <v>221</v>
      </c>
    </row>
    <row r="44" spans="1:55" s="6" customFormat="1" ht="15" customHeight="1" x14ac:dyDescent="0.25">
      <c r="J44" s="91" t="str">
        <f>IF(J1="PRINT","",IF(J42="","RH please ! !",""))</f>
        <v/>
      </c>
      <c r="L44" s="24"/>
      <c r="Q44" s="445">
        <f>IFERROR(ROUND(AVERAGE(Q16:Q39),4),"")</f>
        <v>251.19130000000001</v>
      </c>
      <c r="AH44" s="204" t="s">
        <v>323</v>
      </c>
      <c r="AI44" s="7"/>
    </row>
    <row r="45" spans="1:55" s="6" customFormat="1" ht="15" customHeight="1" x14ac:dyDescent="0.25">
      <c r="L45" s="26" t="s">
        <v>290</v>
      </c>
      <c r="Q45" s="445"/>
      <c r="AH45" s="204" t="s">
        <v>288</v>
      </c>
      <c r="AI45" s="7"/>
    </row>
    <row r="46" spans="1:55" s="6" customFormat="1" ht="15" customHeight="1" x14ac:dyDescent="0.25">
      <c r="D46" s="443" t="s">
        <v>90</v>
      </c>
      <c r="E46" s="448" t="str">
        <f>IF(Schedule!C$20="","",Schedule!C$20)</f>
        <v/>
      </c>
      <c r="G46" s="61"/>
      <c r="H46" s="25" t="str">
        <f>IFERROR(IF(OR(I47="",I48="",I49=""),"WAKTU BELUM DI-ISI LENGKAP",IF(SUM(I48:I49)&lt;=1,"","CEK KEMBALI PENULISAN WAKTU SALAH")),"CEK KEMBALI PENULISAN WAKTU SALAH")</f>
        <v/>
      </c>
      <c r="L46" s="26" t="s">
        <v>22</v>
      </c>
      <c r="M46" s="460">
        <f>IF(Volume!$W19="",$O46,Volume!$W19)</f>
        <v>48.491199999999999</v>
      </c>
      <c r="N46" s="27" t="s">
        <v>1</v>
      </c>
      <c r="O46" s="447">
        <f>IF(O40="","",O40)</f>
        <v>49.6</v>
      </c>
      <c r="P46" s="361" t="s">
        <v>29</v>
      </c>
      <c r="Q46" s="362"/>
      <c r="R46" s="362"/>
      <c r="S46" s="362"/>
      <c r="T46" s="361" t="s">
        <v>30</v>
      </c>
      <c r="U46" s="362"/>
      <c r="V46" s="362"/>
      <c r="AH46" s="204" t="s">
        <v>222</v>
      </c>
    </row>
    <row r="47" spans="1:55" s="6" customFormat="1" ht="15" customHeight="1" x14ac:dyDescent="0.25">
      <c r="D47" s="448"/>
      <c r="E47" s="448"/>
      <c r="H47" s="26" t="s">
        <v>26</v>
      </c>
      <c r="I47" s="56">
        <f>IF(OR(I48="",I49=""),"",1-I48-I49)</f>
        <v>1</v>
      </c>
      <c r="J47" s="27" t="s">
        <v>19</v>
      </c>
      <c r="L47" s="26" t="s">
        <v>23</v>
      </c>
      <c r="M47" s="442">
        <f>IF(Volume!$Y19="",$O47,Volume!$Y19)</f>
        <v>13.998100000000001</v>
      </c>
      <c r="N47" s="27" t="s">
        <v>14</v>
      </c>
      <c r="O47" s="447">
        <f>IF(P40="","",P40)</f>
        <v>12.5</v>
      </c>
      <c r="P47" s="361" t="s">
        <v>211</v>
      </c>
      <c r="Q47" s="362"/>
      <c r="R47" s="362"/>
      <c r="S47" s="362"/>
      <c r="T47" s="361" t="s">
        <v>271</v>
      </c>
      <c r="U47" s="362"/>
      <c r="V47" s="362"/>
      <c r="AH47" s="204" t="s">
        <v>223</v>
      </c>
    </row>
    <row r="48" spans="1:55" s="6" customFormat="1" ht="15" customHeight="1" x14ac:dyDescent="0.25">
      <c r="D48" s="443" t="s">
        <v>91</v>
      </c>
      <c r="E48" s="448" t="str">
        <f>IF(Schedule!D$20="","",Schedule!D$20)</f>
        <v/>
      </c>
      <c r="H48" s="26" t="s">
        <v>37</v>
      </c>
      <c r="I48" s="108">
        <f>IF(OR(COUNT($Q$16:$Q$39)&lt;&gt;0,COUNTA($AD$16:$AD$39)&lt;&gt;0),AB40,"")</f>
        <v>0</v>
      </c>
      <c r="J48" s="27" t="s">
        <v>19</v>
      </c>
      <c r="L48" s="26" t="s">
        <v>24</v>
      </c>
      <c r="M48" s="449">
        <f>IF(N40="","",N40)</f>
        <v>90</v>
      </c>
      <c r="N48" s="27" t="s">
        <v>5</v>
      </c>
      <c r="P48" s="362"/>
      <c r="Q48" s="362"/>
      <c r="R48" s="362"/>
      <c r="S48" s="362"/>
      <c r="T48" s="361" t="s">
        <v>291</v>
      </c>
      <c r="U48" s="362"/>
      <c r="V48" s="362"/>
      <c r="AH48" s="204" t="s">
        <v>324</v>
      </c>
    </row>
    <row r="49" spans="1:34" s="6" customFormat="1" ht="15" customHeight="1" x14ac:dyDescent="0.25">
      <c r="D49" s="448"/>
      <c r="E49" s="448"/>
      <c r="H49" s="26" t="s">
        <v>27</v>
      </c>
      <c r="I49" s="108">
        <f>IF(OR(COUNT($Q$16:$Q$39)&lt;&gt;0,COUNTA($AD$16:$AD$39)&lt;&gt;0),AC40,"")</f>
        <v>0</v>
      </c>
      <c r="J49" s="27" t="s">
        <v>19</v>
      </c>
      <c r="L49" s="26" t="s">
        <v>128</v>
      </c>
      <c r="M49" s="442">
        <f>IF(Volume!$L19="",M51,Volume!$L19)</f>
        <v>258.60000000000002</v>
      </c>
      <c r="N49" s="27" t="str">
        <f>IF(Q15="MSCFD","MSCF","MMSCF")</f>
        <v>MSCF</v>
      </c>
      <c r="P49" s="362"/>
      <c r="Q49" s="362"/>
      <c r="R49" s="362"/>
      <c r="S49" s="362"/>
      <c r="T49" s="362"/>
      <c r="U49" s="362"/>
      <c r="V49" s="362"/>
      <c r="AH49" s="204" t="s">
        <v>317</v>
      </c>
    </row>
    <row r="50" spans="1:34" s="6" customFormat="1" ht="15" customHeight="1" x14ac:dyDescent="0.25">
      <c r="D50" s="443" t="s">
        <v>92</v>
      </c>
      <c r="E50" s="448" t="str">
        <f>IF(Schedule!E$20="","",Schedule!E$20)</f>
        <v>Marihot Gustafa S.</v>
      </c>
      <c r="L50" s="443" t="str">
        <f>CONCATENATE(MR!L16," ",":")</f>
        <v>Liquid Gain :</v>
      </c>
      <c r="M50" s="446" t="str">
        <f>IF(R40="","",ROUND(SUM(R16:R39),2))</f>
        <v/>
      </c>
      <c r="N50" s="444" t="str">
        <f>R15</f>
        <v>BPD</v>
      </c>
      <c r="P50" s="362"/>
      <c r="Q50" s="362"/>
      <c r="R50" s="362"/>
      <c r="S50" s="362"/>
      <c r="T50" s="362"/>
      <c r="U50" s="362"/>
      <c r="V50" s="362"/>
      <c r="AH50" s="204" t="s">
        <v>282</v>
      </c>
    </row>
    <row r="51" spans="1:34" s="6" customFormat="1" ht="15" customHeight="1" x14ac:dyDescent="0.25">
      <c r="A51" s="4"/>
      <c r="L51" s="443" t="s">
        <v>286</v>
      </c>
      <c r="M51" s="447">
        <f>IF(Q44="","",IF(SUM(I48:I49)=1,IF(Q44&lt;&gt;0,"Cek Tabel",""),ROUND(Q44*I47,4)))</f>
        <v>251.19130000000001</v>
      </c>
      <c r="N51" s="444" t="str">
        <f>IF(Q15="MSCFD","MSCF","MMSCF")</f>
        <v>MSCF</v>
      </c>
      <c r="P51" s="362"/>
      <c r="Q51" s="362"/>
      <c r="R51" s="362"/>
      <c r="S51" s="362"/>
      <c r="T51" s="362"/>
      <c r="U51" s="362"/>
      <c r="V51" s="362"/>
      <c r="AH51" s="204" t="s">
        <v>325</v>
      </c>
    </row>
    <row r="52" spans="1:34" s="6" customFormat="1" ht="15" customHeight="1" x14ac:dyDescent="0.25">
      <c r="D52" s="26" t="s">
        <v>28</v>
      </c>
      <c r="E52" s="47"/>
      <c r="F52" s="47"/>
      <c r="G52" s="47"/>
      <c r="H52" s="47"/>
      <c r="I52" s="47"/>
      <c r="J52" s="47"/>
      <c r="K52" s="47"/>
      <c r="L52" s="5"/>
      <c r="P52" s="362"/>
      <c r="Q52" s="362"/>
      <c r="R52" s="362"/>
      <c r="S52" s="362"/>
      <c r="T52" s="362"/>
      <c r="U52" s="362"/>
      <c r="V52" s="362"/>
      <c r="AH52" s="204" t="s">
        <v>280</v>
      </c>
    </row>
    <row r="53" spans="1:34" s="6" customFormat="1" ht="15" customHeight="1" x14ac:dyDescent="0.25">
      <c r="D53" s="5"/>
      <c r="E53" s="48"/>
      <c r="F53" s="48"/>
      <c r="G53" s="48"/>
      <c r="H53" s="48"/>
      <c r="I53" s="48"/>
      <c r="J53" s="48"/>
      <c r="K53" s="48"/>
      <c r="L53" s="5"/>
      <c r="P53" s="363" t="str">
        <f>UPPER(E50)</f>
        <v>MARIHOT GUSTAFA S.</v>
      </c>
      <c r="Q53" s="362"/>
      <c r="R53" s="362"/>
      <c r="S53" s="362"/>
      <c r="T53" s="363" t="str">
        <f>IF(Schedule!F$20="","",UPPER(Schedule!F$20))</f>
        <v>M. NANANG WAHYU S</v>
      </c>
      <c r="U53" s="362"/>
      <c r="V53" s="362"/>
      <c r="AH53" s="204" t="s">
        <v>316</v>
      </c>
    </row>
    <row r="54" spans="1:34" s="6" customFormat="1" ht="15" customHeight="1" x14ac:dyDescent="0.25">
      <c r="E54" s="48"/>
      <c r="F54" s="48"/>
      <c r="G54" s="48"/>
      <c r="H54" s="48"/>
      <c r="I54" s="48"/>
      <c r="J54" s="48"/>
      <c r="K54" s="48"/>
      <c r="P54" s="361" t="s">
        <v>107</v>
      </c>
      <c r="Q54" s="362"/>
      <c r="R54" s="362"/>
      <c r="S54" s="362"/>
      <c r="T54" s="361" t="s">
        <v>294</v>
      </c>
      <c r="U54" s="362"/>
      <c r="V54" s="362"/>
      <c r="AH54" s="204" t="s">
        <v>326</v>
      </c>
    </row>
    <row r="55" spans="1:34" s="6" customFormat="1" ht="15" customHeight="1" x14ac:dyDescent="0.25">
      <c r="P55" s="364" t="str">
        <f>CONCATENATE("Date : ",TEXT(K12,"[$-409]d mmm yyyy;@"))</f>
        <v>Date : 16 Jun 2025</v>
      </c>
      <c r="Q55" s="362"/>
      <c r="R55" s="364"/>
      <c r="S55" s="362"/>
      <c r="T55" s="364" t="str">
        <f>CONCATENATE("Date : ",TEXT(K12,"[$-409]d mmm yyyy;@"))</f>
        <v>Date : 16 Jun 2025</v>
      </c>
      <c r="U55" s="362"/>
      <c r="V55" s="362"/>
      <c r="AH55" s="204" t="s">
        <v>327</v>
      </c>
    </row>
    <row r="56" spans="1:34" ht="15" customHeight="1" x14ac:dyDescent="0.25">
      <c r="AH56" s="204" t="s">
        <v>281</v>
      </c>
    </row>
    <row r="57" spans="1:34" ht="15" customHeight="1" x14ac:dyDescent="0.25">
      <c r="AH57" s="204" t="s">
        <v>277</v>
      </c>
    </row>
    <row r="58" spans="1:34" ht="15" customHeight="1" x14ac:dyDescent="0.25">
      <c r="AH58" s="204" t="s">
        <v>328</v>
      </c>
    </row>
    <row r="59" spans="1:34" ht="15" customHeight="1" x14ac:dyDescent="0.25">
      <c r="AH59" s="204" t="s">
        <v>329</v>
      </c>
    </row>
    <row r="60" spans="1:34" ht="15" customHeight="1" x14ac:dyDescent="0.25">
      <c r="AH60" s="204" t="s">
        <v>330</v>
      </c>
    </row>
    <row r="61" spans="1:34" ht="15" customHeight="1" x14ac:dyDescent="0.25">
      <c r="AH61" s="204" t="s">
        <v>331</v>
      </c>
    </row>
    <row r="62" spans="1:34" ht="15" customHeight="1" x14ac:dyDescent="0.25">
      <c r="AH62" s="204" t="s">
        <v>332</v>
      </c>
    </row>
    <row r="63" spans="1:34" ht="15" customHeight="1" x14ac:dyDescent="0.25">
      <c r="AH63" s="204" t="s">
        <v>315</v>
      </c>
    </row>
    <row r="64" spans="1:34" ht="15" customHeight="1" x14ac:dyDescent="0.25">
      <c r="AH64" s="204" t="s">
        <v>333</v>
      </c>
    </row>
    <row r="65" spans="34:34" ht="15" customHeight="1" x14ac:dyDescent="0.25">
      <c r="AH65" s="204" t="s">
        <v>310</v>
      </c>
    </row>
    <row r="66" spans="34:34" ht="15" customHeight="1" x14ac:dyDescent="0.25">
      <c r="AH66" s="204" t="s">
        <v>334</v>
      </c>
    </row>
    <row r="67" spans="34:34" ht="15" customHeight="1" x14ac:dyDescent="0.25">
      <c r="AH67" s="204" t="s">
        <v>335</v>
      </c>
    </row>
    <row r="68" spans="34:34" ht="15" customHeight="1" x14ac:dyDescent="0.25">
      <c r="AH68" s="204" t="s">
        <v>336</v>
      </c>
    </row>
    <row r="69" spans="34:34" ht="15" customHeight="1" x14ac:dyDescent="0.25">
      <c r="AH69" s="204" t="s">
        <v>337</v>
      </c>
    </row>
    <row r="70" spans="34:34" ht="15" customHeight="1" x14ac:dyDescent="0.25">
      <c r="AH70" s="204" t="s">
        <v>338</v>
      </c>
    </row>
    <row r="71" spans="34:34" ht="15" customHeight="1" x14ac:dyDescent="0.25">
      <c r="AH71" s="204" t="s">
        <v>339</v>
      </c>
    </row>
    <row r="72" spans="34:34" ht="15" customHeight="1" x14ac:dyDescent="0.25">
      <c r="AH72" s="204" t="s">
        <v>340</v>
      </c>
    </row>
    <row r="85" spans="34:34" ht="0" hidden="1" customHeight="1" x14ac:dyDescent="0.25">
      <c r="AH85" s="6"/>
    </row>
    <row r="86" spans="34:34" ht="0" hidden="1" customHeight="1" x14ac:dyDescent="0.25">
      <c r="AH86" s="6"/>
    </row>
    <row r="87" spans="34:34" ht="0" hidden="1" customHeight="1" x14ac:dyDescent="0.25">
      <c r="AH87" s="6"/>
    </row>
    <row r="88" spans="34:34" ht="0" hidden="1" customHeight="1" x14ac:dyDescent="0.25">
      <c r="AH88" s="6"/>
    </row>
    <row r="89" spans="34:34" ht="0" hidden="1" customHeight="1" x14ac:dyDescent="0.25">
      <c r="AH89" s="6"/>
    </row>
    <row r="90" spans="34:34" ht="0" hidden="1" customHeight="1" x14ac:dyDescent="0.25">
      <c r="AH90" s="6"/>
    </row>
    <row r="91" spans="34:34" ht="0" hidden="1" customHeight="1" x14ac:dyDescent="0.25">
      <c r="AH91" s="6"/>
    </row>
    <row r="92" spans="34:34" ht="0" hidden="1" customHeight="1" x14ac:dyDescent="0.25">
      <c r="AH92" s="6"/>
    </row>
    <row r="93" spans="34:34" ht="0" hidden="1" customHeight="1" x14ac:dyDescent="0.25">
      <c r="AH93" s="6"/>
    </row>
    <row r="94" spans="34:34" ht="0" hidden="1" customHeight="1" x14ac:dyDescent="0.25">
      <c r="AH94" s="6"/>
    </row>
  </sheetData>
  <sheetProtection algorithmName="SHA-512" hashValue="RE0SQpO6o6UCwO+iTYEk/0u/AWsyqsmC7/vf26KU4FYzWVTNLmFSOVRR1IH43KZcKYj4BRMpScUZoA6dvi3qhw==" saltValue="3WUwvtYMDrJf0df2USjgfg==" spinCount="100000" sheet="1" objects="1" scenarios="1" formatColumns="0" formatRows="0" insertColumns="0" insertRows="0" sort="0" autoFilter="0" pivotTables="0"/>
  <mergeCells count="69">
    <mergeCell ref="S37:V37"/>
    <mergeCell ref="S38:V38"/>
    <mergeCell ref="S39:V39"/>
    <mergeCell ref="S40:V40"/>
    <mergeCell ref="S41:V42"/>
    <mergeCell ref="S36:V36"/>
    <mergeCell ref="S25:V25"/>
    <mergeCell ref="S26:V26"/>
    <mergeCell ref="S27:V27"/>
    <mergeCell ref="S28:V28"/>
    <mergeCell ref="S29:V29"/>
    <mergeCell ref="S30:V30"/>
    <mergeCell ref="S31:V31"/>
    <mergeCell ref="S32:V32"/>
    <mergeCell ref="S33:V33"/>
    <mergeCell ref="S34:V34"/>
    <mergeCell ref="S35:V35"/>
    <mergeCell ref="S19:V19"/>
    <mergeCell ref="S20:V20"/>
    <mergeCell ref="S21:V21"/>
    <mergeCell ref="S22:V22"/>
    <mergeCell ref="S23:V23"/>
    <mergeCell ref="S24:V24"/>
    <mergeCell ref="BA14:BA15"/>
    <mergeCell ref="BB14:BB15"/>
    <mergeCell ref="BC14:BC15"/>
    <mergeCell ref="S16:V16"/>
    <mergeCell ref="S17:V17"/>
    <mergeCell ref="S18:V18"/>
    <mergeCell ref="AU14:AU15"/>
    <mergeCell ref="AV14:AV15"/>
    <mergeCell ref="AW14:AW15"/>
    <mergeCell ref="AX14:AX15"/>
    <mergeCell ref="AY14:AY15"/>
    <mergeCell ref="AZ14:AZ15"/>
    <mergeCell ref="AO14:AO15"/>
    <mergeCell ref="AP14:AP15"/>
    <mergeCell ref="AQ14:AQ15"/>
    <mergeCell ref="AR14:AR15"/>
    <mergeCell ref="AS14:AS15"/>
    <mergeCell ref="AT14:AT15"/>
    <mergeCell ref="AD14:AD15"/>
    <mergeCell ref="AJ14:AJ15"/>
    <mergeCell ref="AK14:AK15"/>
    <mergeCell ref="AL14:AL15"/>
    <mergeCell ref="AM14:AM15"/>
    <mergeCell ref="AN14:AN15"/>
    <mergeCell ref="Y14:AC14"/>
    <mergeCell ref="H13:H14"/>
    <mergeCell ref="I13:I14"/>
    <mergeCell ref="J13:J14"/>
    <mergeCell ref="K13:K14"/>
    <mergeCell ref="L13:L14"/>
    <mergeCell ref="M13:N13"/>
    <mergeCell ref="Q13:Q14"/>
    <mergeCell ref="R13:R14"/>
    <mergeCell ref="S13:V15"/>
    <mergeCell ref="O13:O14"/>
    <mergeCell ref="P13:P14"/>
    <mergeCell ref="A10:V10"/>
    <mergeCell ref="A11:V11"/>
    <mergeCell ref="K12:L12"/>
    <mergeCell ref="A13:A15"/>
    <mergeCell ref="B13:B14"/>
    <mergeCell ref="C13:C14"/>
    <mergeCell ref="D13:D14"/>
    <mergeCell ref="E13:E14"/>
    <mergeCell ref="F13:F14"/>
    <mergeCell ref="G13:G14"/>
  </mergeCells>
  <conditionalFormatting sqref="I47">
    <cfRule type="cellIs" dxfId="77" priority="5" operator="lessThan">
      <formula>0</formula>
    </cfRule>
  </conditionalFormatting>
  <conditionalFormatting sqref="Y16:Y39">
    <cfRule type="containsText" dxfId="76" priority="3" operator="containsText" text="STBY">
      <formula>NOT(ISERROR(SEARCH("STBY",Y16)))</formula>
    </cfRule>
    <cfRule type="containsText" dxfId="75" priority="4" operator="containsText" text="SD">
      <formula>NOT(ISERROR(SEARCH("SD",Y16)))</formula>
    </cfRule>
  </conditionalFormatting>
  <conditionalFormatting sqref="B16:B39 D16:R39">
    <cfRule type="expression" dxfId="74" priority="2">
      <formula>ISTEXT(B16)</formula>
    </cfRule>
  </conditionalFormatting>
  <conditionalFormatting sqref="C16:C39">
    <cfRule type="expression" dxfId="73" priority="1">
      <formula>ISTEXT(C16)</formula>
    </cfRule>
  </conditionalFormatting>
  <dataValidations count="2">
    <dataValidation type="list" allowBlank="1" showInputMessage="1" showErrorMessage="1" sqref="Y16:Y39" xr:uid="{B6A56453-75FC-4CFD-A315-7CB8FBC16B68}">
      <formula1>"SD,STBY"</formula1>
    </dataValidation>
    <dataValidation type="list" allowBlank="1" showInputMessage="1" sqref="AD16:AD39" xr:uid="{4D80368D-2D9F-4D98-818B-19505855F808}">
      <formula1>$AH$15:$AH$72</formula1>
    </dataValidation>
  </dataValidations>
  <printOptions horizontalCentered="1"/>
  <pageMargins left="0.39370078740157483" right="0.39370078740157483" top="0.59055118110236227" bottom="0.39370078740157483" header="0.31496062992125984" footer="0.31496062992125984"/>
  <pageSetup paperSize="9" scale="57" orientation="landscape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3D4E2-3796-4F79-877D-ADFBFB3F445A}">
  <sheetPr codeName="N17">
    <pageSetUpPr fitToPage="1"/>
  </sheetPr>
  <dimension ref="A1:BC94"/>
  <sheetViews>
    <sheetView topLeftCell="A16" zoomScale="85" zoomScaleNormal="85" workbookViewId="0">
      <selection activeCell="K36" sqref="K36"/>
    </sheetView>
  </sheetViews>
  <sheetFormatPr defaultColWidth="0" defaultRowHeight="0" customHeight="1" zeroHeight="1" x14ac:dyDescent="0.25"/>
  <cols>
    <col min="1" max="1" width="10.7109375" style="7" customWidth="1"/>
    <col min="2" max="3" width="10.7109375" style="7" hidden="1" customWidth="1"/>
    <col min="4" max="14" width="10.7109375" style="7" customWidth="1"/>
    <col min="15" max="17" width="11.7109375" style="7" customWidth="1"/>
    <col min="18" max="18" width="10.7109375" style="7" hidden="1" customWidth="1"/>
    <col min="19" max="22" width="10.7109375" style="7" customWidth="1"/>
    <col min="23" max="23" width="2.7109375" style="7" customWidth="1"/>
    <col min="24" max="29" width="10.7109375" style="7" customWidth="1"/>
    <col min="30" max="30" width="30.7109375" style="7" customWidth="1"/>
    <col min="31" max="33" width="11.7109375" style="7" customWidth="1"/>
    <col min="34" max="34" width="30.7109375" style="7" customWidth="1"/>
    <col min="35" max="35" width="2.7109375" style="7" hidden="1" customWidth="1"/>
    <col min="36" max="55" width="11.7109375" style="7" hidden="1" customWidth="1"/>
    <col min="56" max="16384" width="9.140625" style="7" hidden="1"/>
  </cols>
  <sheetData>
    <row r="1" spans="1:55" ht="15" customHeight="1" x14ac:dyDescent="0.25">
      <c r="A1" s="7" t="s">
        <v>16</v>
      </c>
      <c r="D1" s="11" t="s">
        <v>85</v>
      </c>
      <c r="J1" s="7" t="str">
        <f>IF(MR!U13="Yes","PRINT","No")</f>
        <v>PRINT</v>
      </c>
      <c r="M1" s="191"/>
      <c r="N1" s="191"/>
    </row>
    <row r="2" spans="1:55" ht="15" customHeight="1" thickBot="1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192"/>
      <c r="M2" s="4"/>
      <c r="N2" s="4"/>
      <c r="O2" s="4"/>
      <c r="P2" s="4"/>
      <c r="Q2" s="4"/>
      <c r="R2" s="4"/>
      <c r="S2" s="8"/>
      <c r="T2" s="8"/>
      <c r="U2" s="8"/>
      <c r="V2" s="8"/>
      <c r="X2" s="8"/>
      <c r="Y2" s="8"/>
      <c r="Z2" s="8"/>
      <c r="AA2" s="8"/>
      <c r="AB2" s="8"/>
      <c r="AC2" s="8"/>
      <c r="AD2" s="8"/>
      <c r="AE2" s="8"/>
    </row>
    <row r="3" spans="1:55" ht="15" customHeight="1" x14ac:dyDescent="0.2">
      <c r="A3" s="31"/>
      <c r="B3" s="28"/>
      <c r="C3" s="28"/>
      <c r="D3" s="28"/>
      <c r="E3" s="28"/>
      <c r="F3" s="13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2"/>
      <c r="T3" s="22"/>
      <c r="U3" s="22"/>
      <c r="V3" s="23"/>
      <c r="X3" s="8"/>
      <c r="Y3" s="8"/>
      <c r="Z3" s="8"/>
      <c r="AA3" s="8"/>
      <c r="AB3" s="8"/>
      <c r="AC3" s="8"/>
      <c r="AD3" s="8"/>
      <c r="AE3" s="8"/>
    </row>
    <row r="4" spans="1:55" ht="30" customHeight="1" x14ac:dyDescent="0.25">
      <c r="A4" s="30"/>
      <c r="B4" s="1"/>
      <c r="C4" s="1"/>
      <c r="D4" s="1"/>
      <c r="E4" s="3"/>
      <c r="F4" s="63" t="s">
        <v>210</v>
      </c>
      <c r="G4" s="1"/>
      <c r="H4" s="1"/>
      <c r="I4" s="3"/>
      <c r="J4" s="3"/>
      <c r="K4" s="3"/>
      <c r="L4" s="3"/>
      <c r="M4" s="3"/>
      <c r="N4" s="3"/>
      <c r="O4" s="3"/>
      <c r="P4" s="3"/>
      <c r="Q4" s="3"/>
      <c r="R4" s="3"/>
      <c r="S4" s="1"/>
      <c r="T4" s="1"/>
      <c r="U4" s="1"/>
      <c r="V4" s="2"/>
      <c r="X4" s="5"/>
      <c r="Y4" s="5"/>
      <c r="Z4" s="5"/>
      <c r="AA4" s="5"/>
      <c r="AB4" s="5"/>
      <c r="AC4" s="5"/>
      <c r="AD4" s="5"/>
      <c r="AE4" s="5"/>
    </row>
    <row r="5" spans="1:55" ht="15" customHeight="1" x14ac:dyDescent="0.2">
      <c r="A5" s="32"/>
      <c r="B5" s="33"/>
      <c r="C5" s="33"/>
      <c r="D5" s="12"/>
      <c r="E5" s="3"/>
      <c r="F5" s="10" t="s">
        <v>129</v>
      </c>
      <c r="G5" s="1"/>
      <c r="H5" s="1"/>
      <c r="I5" s="3"/>
      <c r="J5" s="3"/>
      <c r="K5" s="3"/>
      <c r="L5" s="3"/>
      <c r="M5" s="3"/>
      <c r="N5" s="3"/>
      <c r="O5" s="3"/>
      <c r="P5" s="3"/>
      <c r="Q5" s="3"/>
      <c r="R5" s="3"/>
      <c r="S5" s="12"/>
      <c r="T5" s="12"/>
      <c r="U5" s="12"/>
      <c r="V5" s="14"/>
      <c r="X5" s="8"/>
      <c r="Y5" s="8"/>
      <c r="Z5" s="8"/>
      <c r="AA5" s="8"/>
      <c r="AB5" s="8"/>
      <c r="AC5" s="8"/>
      <c r="AD5" s="8"/>
      <c r="AE5" s="8"/>
      <c r="AJ5" s="193" t="s">
        <v>184</v>
      </c>
      <c r="AK5" s="194">
        <f>'V Calc'!B1</f>
        <v>500</v>
      </c>
      <c r="AL5" s="124"/>
    </row>
    <row r="6" spans="1:55" ht="15" customHeight="1" x14ac:dyDescent="0.2">
      <c r="A6" s="32"/>
      <c r="B6" s="33"/>
      <c r="C6" s="33"/>
      <c r="D6" s="12"/>
      <c r="E6" s="3"/>
      <c r="F6" s="10" t="s">
        <v>132</v>
      </c>
      <c r="G6" s="1"/>
      <c r="H6" s="1"/>
      <c r="I6" s="3"/>
      <c r="J6" s="3"/>
      <c r="K6" s="3"/>
      <c r="L6" s="3"/>
      <c r="M6" s="3"/>
      <c r="N6" s="3"/>
      <c r="O6" s="3"/>
      <c r="P6" s="3"/>
      <c r="Q6" s="3"/>
      <c r="R6" s="3"/>
      <c r="S6" s="12"/>
      <c r="T6" s="12"/>
      <c r="U6" s="12"/>
      <c r="V6" s="14"/>
      <c r="X6" s="8"/>
      <c r="Y6" s="8"/>
      <c r="Z6" s="8"/>
      <c r="AA6" s="8"/>
      <c r="AB6" s="8"/>
      <c r="AC6" s="8"/>
      <c r="AD6" s="8"/>
      <c r="AE6" s="8"/>
      <c r="AJ6" s="193" t="s">
        <v>185</v>
      </c>
      <c r="AK6" s="194">
        <f>'V Calc'!B2</f>
        <v>100</v>
      </c>
      <c r="AL6" s="124"/>
    </row>
    <row r="7" spans="1:55" ht="15" customHeight="1" x14ac:dyDescent="0.2">
      <c r="A7" s="32"/>
      <c r="B7" s="33"/>
      <c r="C7" s="33"/>
      <c r="D7" s="12"/>
      <c r="E7" s="3"/>
      <c r="F7" s="10" t="s">
        <v>130</v>
      </c>
      <c r="G7" s="1"/>
      <c r="H7" s="1"/>
      <c r="I7" s="3"/>
      <c r="J7" s="3"/>
      <c r="K7" s="3"/>
      <c r="L7" s="3"/>
      <c r="M7" s="3"/>
      <c r="N7" s="3"/>
      <c r="O7" s="3"/>
      <c r="P7" s="3"/>
      <c r="Q7" s="3"/>
      <c r="R7" s="3"/>
      <c r="S7" s="12"/>
      <c r="T7" s="12"/>
      <c r="U7" s="12"/>
      <c r="V7" s="14"/>
      <c r="X7" s="8"/>
      <c r="Y7" s="8"/>
      <c r="Z7" s="8"/>
      <c r="AA7" s="8"/>
      <c r="AB7" s="8"/>
      <c r="AC7" s="8"/>
      <c r="AD7" s="8"/>
      <c r="AE7" s="8"/>
      <c r="AJ7" s="193" t="s">
        <v>186</v>
      </c>
      <c r="AK7" s="195">
        <f>'V Calc'!B3</f>
        <v>2</v>
      </c>
      <c r="AL7" s="124"/>
    </row>
    <row r="8" spans="1:55" ht="15" customHeight="1" x14ac:dyDescent="0.2">
      <c r="A8" s="32"/>
      <c r="B8" s="33"/>
      <c r="C8" s="33"/>
      <c r="D8" s="12"/>
      <c r="E8" s="3"/>
      <c r="F8" s="10" t="s">
        <v>131</v>
      </c>
      <c r="G8" s="62"/>
      <c r="H8" s="62"/>
      <c r="I8" s="3"/>
      <c r="J8" s="3"/>
      <c r="K8" s="3"/>
      <c r="L8" s="3"/>
      <c r="M8" s="3"/>
      <c r="N8" s="3"/>
      <c r="O8" s="3"/>
      <c r="P8" s="3"/>
      <c r="Q8" s="3"/>
      <c r="R8" s="3"/>
      <c r="S8" s="12"/>
      <c r="T8" s="12"/>
      <c r="U8" s="12"/>
      <c r="V8" s="14"/>
      <c r="X8" s="8"/>
      <c r="Y8" s="8"/>
      <c r="Z8" s="8"/>
      <c r="AA8" s="8"/>
      <c r="AB8" s="8"/>
      <c r="AC8" s="8"/>
      <c r="AD8" s="8"/>
      <c r="AE8" s="8"/>
      <c r="AJ8" s="193" t="s">
        <v>187</v>
      </c>
      <c r="AK8" s="195">
        <f>'V Calc'!B4</f>
        <v>0.875</v>
      </c>
      <c r="AL8" s="124"/>
    </row>
    <row r="9" spans="1:55" ht="15" customHeight="1" thickBot="1" x14ac:dyDescent="0.25">
      <c r="A9" s="34"/>
      <c r="B9" s="29"/>
      <c r="C9" s="29"/>
      <c r="D9" s="29"/>
      <c r="E9" s="29"/>
      <c r="F9" s="15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16"/>
      <c r="T9" s="16"/>
      <c r="U9" s="16"/>
      <c r="V9" s="17"/>
      <c r="X9" s="8"/>
      <c r="Y9" s="8"/>
      <c r="Z9" s="8"/>
      <c r="AA9" s="8"/>
      <c r="AB9" s="8"/>
      <c r="AC9" s="8"/>
      <c r="AD9" s="8"/>
      <c r="AE9" s="8"/>
      <c r="AJ9" s="196" t="s">
        <v>188</v>
      </c>
      <c r="AK9" s="197">
        <f>'V Calc'!B5</f>
        <v>158.47</v>
      </c>
      <c r="AL9" s="198"/>
    </row>
    <row r="10" spans="1:55" s="9" customFormat="1" ht="30" customHeight="1" x14ac:dyDescent="0.2">
      <c r="A10" s="513" t="s">
        <v>20</v>
      </c>
      <c r="B10" s="514"/>
      <c r="C10" s="514"/>
      <c r="D10" s="514"/>
      <c r="E10" s="514"/>
      <c r="F10" s="514"/>
      <c r="G10" s="514"/>
      <c r="H10" s="514"/>
      <c r="I10" s="514"/>
      <c r="J10" s="514"/>
      <c r="K10" s="514"/>
      <c r="L10" s="514"/>
      <c r="M10" s="514"/>
      <c r="N10" s="514"/>
      <c r="O10" s="514"/>
      <c r="P10" s="514"/>
      <c r="Q10" s="514"/>
      <c r="R10" s="514"/>
      <c r="S10" s="514"/>
      <c r="T10" s="514"/>
      <c r="U10" s="514"/>
      <c r="V10" s="515"/>
      <c r="X10" s="96"/>
      <c r="Y10" s="96"/>
      <c r="Z10" s="96"/>
      <c r="AA10" s="96"/>
      <c r="AB10" s="96"/>
      <c r="AC10" s="96"/>
      <c r="AJ10" s="193" t="s">
        <v>189</v>
      </c>
      <c r="AK10" s="199">
        <f>'V Calc'!B6</f>
        <v>0.63607464142166403</v>
      </c>
      <c r="AL10" s="198" t="s">
        <v>190</v>
      </c>
    </row>
    <row r="11" spans="1:55" s="9" customFormat="1" ht="20.100000000000001" customHeight="1" thickBot="1" x14ac:dyDescent="0.25">
      <c r="A11" s="516" t="s">
        <v>21</v>
      </c>
      <c r="B11" s="517"/>
      <c r="C11" s="517"/>
      <c r="D11" s="517"/>
      <c r="E11" s="517"/>
      <c r="F11" s="517"/>
      <c r="G11" s="517"/>
      <c r="H11" s="517"/>
      <c r="I11" s="517"/>
      <c r="J11" s="517"/>
      <c r="K11" s="517"/>
      <c r="L11" s="517"/>
      <c r="M11" s="517"/>
      <c r="N11" s="517"/>
      <c r="O11" s="517"/>
      <c r="P11" s="517"/>
      <c r="Q11" s="517"/>
      <c r="R11" s="517"/>
      <c r="S11" s="517"/>
      <c r="T11" s="517"/>
      <c r="U11" s="517"/>
      <c r="V11" s="518"/>
      <c r="X11" s="97"/>
      <c r="Y11" s="97"/>
      <c r="Z11" s="97"/>
      <c r="AA11" s="97"/>
      <c r="AB11" s="97"/>
      <c r="AC11" s="97"/>
    </row>
    <row r="12" spans="1:55" s="6" customFormat="1" ht="30" customHeight="1" thickBot="1" x14ac:dyDescent="0.3">
      <c r="A12" s="18"/>
      <c r="B12" s="20"/>
      <c r="C12" s="20"/>
      <c r="D12" s="19" t="s">
        <v>121</v>
      </c>
      <c r="E12" s="200" t="str">
        <f>'Day 16'!E12</f>
        <v>MPR 632  RFD</v>
      </c>
      <c r="F12" s="35"/>
      <c r="G12" s="19" t="s">
        <v>120</v>
      </c>
      <c r="H12" s="200" t="str">
        <f>IF(Volume!C$20="","",Volume!C$20)</f>
        <v>FP 65354</v>
      </c>
      <c r="I12" s="20"/>
      <c r="J12" s="19" t="s">
        <v>17</v>
      </c>
      <c r="K12" s="505">
        <f>'Day 16'!K12+1</f>
        <v>45825</v>
      </c>
      <c r="L12" s="505"/>
      <c r="M12" s="100"/>
      <c r="N12" s="19" t="s">
        <v>119</v>
      </c>
      <c r="O12" s="200" t="str">
        <f>IF(Volume!D$20="","",Volume!D$20)</f>
        <v>SP. Tambun - Cluster F</v>
      </c>
      <c r="P12" s="20"/>
      <c r="Q12" s="19" t="s">
        <v>122</v>
      </c>
      <c r="S12" s="201">
        <f>IF(Volume!E$20="","",Volume!E$20)</f>
        <v>1.25</v>
      </c>
      <c r="T12" s="20"/>
      <c r="U12" s="19" t="s">
        <v>126</v>
      </c>
      <c r="V12" s="202" t="str">
        <f>IF(Volume!F$20="","",Volume!F$20)</f>
        <v>4/0</v>
      </c>
    </row>
    <row r="13" spans="1:55" ht="30" customHeight="1" thickBot="1" x14ac:dyDescent="0.3">
      <c r="A13" s="502" t="s">
        <v>0</v>
      </c>
      <c r="B13" s="502" t="s">
        <v>213</v>
      </c>
      <c r="C13" s="502" t="s">
        <v>212</v>
      </c>
      <c r="D13" s="502" t="s">
        <v>31</v>
      </c>
      <c r="E13" s="502" t="s">
        <v>32</v>
      </c>
      <c r="F13" s="502" t="s">
        <v>2</v>
      </c>
      <c r="G13" s="502" t="s">
        <v>33</v>
      </c>
      <c r="H13" s="502" t="s">
        <v>35</v>
      </c>
      <c r="I13" s="502" t="s">
        <v>36</v>
      </c>
      <c r="J13" s="502" t="s">
        <v>110</v>
      </c>
      <c r="K13" s="502" t="s">
        <v>15</v>
      </c>
      <c r="L13" s="502" t="s">
        <v>34</v>
      </c>
      <c r="M13" s="502" t="s">
        <v>10</v>
      </c>
      <c r="N13" s="502"/>
      <c r="O13" s="506" t="s">
        <v>300</v>
      </c>
      <c r="P13" s="506" t="s">
        <v>299</v>
      </c>
      <c r="Q13" s="502" t="s">
        <v>7</v>
      </c>
      <c r="R13" s="502" t="s">
        <v>88</v>
      </c>
      <c r="S13" s="502" t="s">
        <v>8</v>
      </c>
      <c r="T13" s="502"/>
      <c r="U13" s="502"/>
      <c r="V13" s="502"/>
      <c r="X13" s="98"/>
      <c r="Y13" s="98"/>
      <c r="Z13" s="98"/>
      <c r="AA13" s="98"/>
      <c r="AB13" s="98"/>
      <c r="AC13" s="98"/>
    </row>
    <row r="14" spans="1:55" ht="30" customHeight="1" x14ac:dyDescent="0.25">
      <c r="A14" s="504"/>
      <c r="B14" s="504"/>
      <c r="C14" s="504"/>
      <c r="D14" s="504"/>
      <c r="E14" s="504"/>
      <c r="F14" s="504"/>
      <c r="G14" s="504"/>
      <c r="H14" s="504"/>
      <c r="I14" s="504"/>
      <c r="J14" s="504"/>
      <c r="K14" s="504"/>
      <c r="L14" s="504"/>
      <c r="M14" s="94" t="s">
        <v>3</v>
      </c>
      <c r="N14" s="94" t="s">
        <v>4</v>
      </c>
      <c r="O14" s="507"/>
      <c r="P14" s="507"/>
      <c r="Q14" s="504"/>
      <c r="R14" s="504"/>
      <c r="S14" s="504"/>
      <c r="T14" s="504"/>
      <c r="U14" s="504"/>
      <c r="V14" s="504"/>
      <c r="Y14" s="502" t="s">
        <v>230</v>
      </c>
      <c r="Z14" s="502"/>
      <c r="AA14" s="502"/>
      <c r="AB14" s="502"/>
      <c r="AC14" s="502"/>
      <c r="AD14" s="502" t="s">
        <v>231</v>
      </c>
      <c r="AH14" s="203" t="s">
        <v>232</v>
      </c>
      <c r="AJ14" s="520" t="s">
        <v>191</v>
      </c>
      <c r="AK14" s="520" t="s">
        <v>192</v>
      </c>
      <c r="AL14" s="520" t="s">
        <v>193</v>
      </c>
      <c r="AM14" s="520" t="s">
        <v>194</v>
      </c>
      <c r="AN14" s="520" t="s">
        <v>195</v>
      </c>
      <c r="AO14" s="506" t="s">
        <v>196</v>
      </c>
      <c r="AP14" s="506" t="s">
        <v>197</v>
      </c>
      <c r="AQ14" s="506" t="s">
        <v>198</v>
      </c>
      <c r="AR14" s="506" t="s">
        <v>188</v>
      </c>
      <c r="AS14" s="506" t="s">
        <v>199</v>
      </c>
      <c r="AT14" s="506" t="s">
        <v>200</v>
      </c>
      <c r="AU14" s="506" t="s">
        <v>201</v>
      </c>
      <c r="AV14" s="506" t="s">
        <v>202</v>
      </c>
      <c r="AW14" s="506" t="s">
        <v>203</v>
      </c>
      <c r="AX14" s="506" t="s">
        <v>204</v>
      </c>
      <c r="AY14" s="523" t="s">
        <v>205</v>
      </c>
      <c r="AZ14" s="523" t="s">
        <v>206</v>
      </c>
      <c r="BA14" s="523" t="s">
        <v>207</v>
      </c>
      <c r="BB14" s="523" t="s">
        <v>208</v>
      </c>
      <c r="BC14" s="506" t="s">
        <v>197</v>
      </c>
    </row>
    <row r="15" spans="1:55" ht="20.100000000000001" customHeight="1" thickBot="1" x14ac:dyDescent="0.3">
      <c r="A15" s="503"/>
      <c r="B15" s="95" t="s">
        <v>1</v>
      </c>
      <c r="C15" s="95" t="s">
        <v>1</v>
      </c>
      <c r="D15" s="95" t="s">
        <v>1</v>
      </c>
      <c r="E15" s="95" t="s">
        <v>1</v>
      </c>
      <c r="F15" s="95" t="s">
        <v>140</v>
      </c>
      <c r="G15" s="95" t="s">
        <v>1</v>
      </c>
      <c r="H15" s="95" t="s">
        <v>1</v>
      </c>
      <c r="I15" s="95" t="s">
        <v>1</v>
      </c>
      <c r="J15" s="95" t="s">
        <v>18</v>
      </c>
      <c r="K15" s="95" t="s">
        <v>9</v>
      </c>
      <c r="L15" s="95" t="s">
        <v>5</v>
      </c>
      <c r="M15" s="95" t="s">
        <v>5</v>
      </c>
      <c r="N15" s="95" t="s">
        <v>5</v>
      </c>
      <c r="O15" s="95" t="s">
        <v>1</v>
      </c>
      <c r="P15" s="95" t="s">
        <v>14</v>
      </c>
      <c r="Q15" s="95" t="str">
        <f>IF(MR!G17="MSCF","MSCFD","MMSCFD")</f>
        <v>MSCFD</v>
      </c>
      <c r="R15" s="95" t="str">
        <f>MR!L17</f>
        <v>BPD</v>
      </c>
      <c r="S15" s="503"/>
      <c r="T15" s="503"/>
      <c r="U15" s="503"/>
      <c r="V15" s="503"/>
      <c r="X15" s="365"/>
      <c r="Y15" s="95" t="s">
        <v>123</v>
      </c>
      <c r="Z15" s="95" t="s">
        <v>124</v>
      </c>
      <c r="AA15" s="95" t="s">
        <v>125</v>
      </c>
      <c r="AB15" s="95" t="s">
        <v>51</v>
      </c>
      <c r="AC15" s="95" t="s">
        <v>48</v>
      </c>
      <c r="AD15" s="503"/>
      <c r="AH15" s="204" t="s">
        <v>228</v>
      </c>
      <c r="AJ15" s="521"/>
      <c r="AK15" s="521"/>
      <c r="AL15" s="521"/>
      <c r="AM15" s="521"/>
      <c r="AN15" s="521"/>
      <c r="AO15" s="522"/>
      <c r="AP15" s="522"/>
      <c r="AQ15" s="522"/>
      <c r="AR15" s="522"/>
      <c r="AS15" s="522"/>
      <c r="AT15" s="522"/>
      <c r="AU15" s="522"/>
      <c r="AV15" s="522"/>
      <c r="AW15" s="522"/>
      <c r="AX15" s="522"/>
      <c r="AY15" s="524"/>
      <c r="AZ15" s="524"/>
      <c r="BA15" s="524"/>
      <c r="BB15" s="524"/>
      <c r="BC15" s="522"/>
    </row>
    <row r="16" spans="1:55" ht="20.100000000000001" customHeight="1" x14ac:dyDescent="0.2">
      <c r="A16" s="44">
        <v>4.1666666666666664E-2</v>
      </c>
      <c r="B16" s="450"/>
      <c r="C16" s="450"/>
      <c r="D16" s="450">
        <v>7.2</v>
      </c>
      <c r="E16" s="450">
        <v>58.6</v>
      </c>
      <c r="F16" s="40">
        <v>1920</v>
      </c>
      <c r="G16" s="36">
        <v>-5.6</v>
      </c>
      <c r="H16" s="36">
        <v>72.400000000000006</v>
      </c>
      <c r="I16" s="36">
        <v>22.6</v>
      </c>
      <c r="J16" s="40">
        <v>464</v>
      </c>
      <c r="K16" s="36">
        <v>13</v>
      </c>
      <c r="L16" s="450">
        <v>136</v>
      </c>
      <c r="M16" s="450">
        <v>222</v>
      </c>
      <c r="N16" s="450">
        <v>90</v>
      </c>
      <c r="O16" s="352">
        <v>45</v>
      </c>
      <c r="P16" s="352">
        <v>14</v>
      </c>
      <c r="Q16" s="352">
        <v>257.58</v>
      </c>
      <c r="R16" s="36"/>
      <c r="S16" s="519" t="str">
        <f t="shared" ref="S16:S32" si="0">IF(Z16="",IF(AD16="","",AD16),CONCATENATE(TEXT(Z16,"[hh]:mm"),IF(AA16="",""," - "&amp;TEXT(AA16,"[hh]:mm")),IF(Y16="",""," "&amp;Y16&amp;"/")," "&amp;AD16))</f>
        <v/>
      </c>
      <c r="T16" s="519"/>
      <c r="U16" s="519"/>
      <c r="V16" s="519"/>
      <c r="X16" s="44">
        <v>4.1666666666666664E-2</v>
      </c>
      <c r="Y16" s="105"/>
      <c r="Z16" s="101"/>
      <c r="AA16" s="101"/>
      <c r="AB16" s="44" t="str">
        <f>IF(Y16="STBY",AA16-Z16,"")</f>
        <v/>
      </c>
      <c r="AC16" s="44" t="str">
        <f t="shared" ref="AC16:AC39" si="1">IF(Y16="SD",AA16-Z16,"")</f>
        <v/>
      </c>
      <c r="AD16" s="355"/>
      <c r="AE16" s="9" t="str">
        <f>IF(S16="","",IF(COUNTA(Z16:$Z$39)=1,IF(COUNTA(AD16:$AD$39)=1,""," ; "),IF(COUNTA(AD16:$AD$39)=1,IF(Z16="",""," ; ")," ; ")))</f>
        <v/>
      </c>
      <c r="AF16" s="9" t="str">
        <f t="shared" ref="AF16:AF39" si="2">CONCATENATE(S16,AE16)</f>
        <v/>
      </c>
      <c r="AG16" s="90" t="str">
        <f t="shared" ref="AG16:AG39" si="3">IF(AND(COUNTBLANK(N16:P16)&lt;3,Q16=""),"CEK : Data Flowrate","")</f>
        <v/>
      </c>
      <c r="AH16" s="204" t="s">
        <v>229</v>
      </c>
      <c r="AJ16" s="205">
        <f>AK5</f>
        <v>500</v>
      </c>
      <c r="AK16" s="205">
        <f>AK6</f>
        <v>100</v>
      </c>
      <c r="AL16" s="206">
        <f>AK7</f>
        <v>2</v>
      </c>
      <c r="AM16" s="207">
        <f>AK8</f>
        <v>0.875</v>
      </c>
      <c r="AN16" s="208">
        <f>AK10</f>
        <v>0.63607464142166403</v>
      </c>
      <c r="AO16" s="209">
        <f t="shared" ref="AO16:AO39" si="4">T16^2*AJ16/100-14.7</f>
        <v>-14.7</v>
      </c>
      <c r="AP16" s="210">
        <f t="shared" ref="AP16:AP39" si="5">IF(AO16&lt;100,1,BC16)</f>
        <v>1</v>
      </c>
      <c r="AQ16" s="210">
        <f t="shared" ref="AQ16:AQ39" si="6">(1/AP16)^0.5</f>
        <v>1</v>
      </c>
      <c r="AR16" s="52">
        <f>AK9</f>
        <v>158.47</v>
      </c>
      <c r="AS16" s="210">
        <f t="shared" ref="AS16:AS39" si="7">(520/(460+N16))^0.5</f>
        <v>0.9723448696087954</v>
      </c>
      <c r="AT16" s="210">
        <f t="shared" ref="AT16:AT39" si="8">(1/AN16)^0.5</f>
        <v>1.2538510821608391</v>
      </c>
      <c r="AU16" s="210">
        <f t="shared" ref="AU16:AU39" si="9">0.01*(AJ16*AK16)^0.5</f>
        <v>2.2360679774997898</v>
      </c>
      <c r="AV16" s="211">
        <f t="shared" ref="AV16:AV39" si="10">0.024*AQ16*AR16*AS16*AT16*AU16</f>
        <v>10.368348541764712</v>
      </c>
      <c r="AW16" s="210">
        <f t="shared" ref="AW16:AW39" si="11">(AO16+14.7)/(697.2-43*AN16)</f>
        <v>0</v>
      </c>
      <c r="AX16" s="212">
        <f t="shared" ref="AX16:AX39" si="12">(N16+460)/(315.1*AN16+170.4)</f>
        <v>1.4831709199797398</v>
      </c>
      <c r="AY16" s="210">
        <f t="shared" ref="AY16:AY39" si="13">0.3379*LN(LN(AX16))+1.091</f>
        <v>0.77643477842613629</v>
      </c>
      <c r="AZ16" s="211">
        <f t="shared" ref="AZ16:AZ39" si="14">21.46*AY16-11.9*AY16^2-5.9</f>
        <v>3.5883638597441294</v>
      </c>
      <c r="BA16" s="210">
        <f t="shared" ref="BA16:BA39" si="15">AW16/AZ16</f>
        <v>0</v>
      </c>
      <c r="BB16" s="210">
        <f t="shared" ref="BB16:BB39" si="16">(1.1+0.26*AX16+(1.04-1.42*AX16)*BA16)*2.718^BA16/AX16</f>
        <v>1.0016542390239327</v>
      </c>
      <c r="BC16" s="210">
        <f t="shared" ref="BC16:BC39" si="17">1+(AY16-1)*SIN((90*BA16)/57.29578)^BB16</f>
        <v>1</v>
      </c>
    </row>
    <row r="17" spans="1:55" ht="20.100000000000001" customHeight="1" x14ac:dyDescent="0.2">
      <c r="A17" s="45">
        <v>8.3333333333333301E-2</v>
      </c>
      <c r="B17" s="451"/>
      <c r="C17" s="451"/>
      <c r="D17" s="451">
        <v>7</v>
      </c>
      <c r="E17" s="451">
        <v>68.400000000000006</v>
      </c>
      <c r="F17" s="41">
        <v>1935</v>
      </c>
      <c r="G17" s="37">
        <v>-5.6</v>
      </c>
      <c r="H17" s="37">
        <v>72.2</v>
      </c>
      <c r="I17" s="37">
        <v>22.4</v>
      </c>
      <c r="J17" s="41">
        <v>465</v>
      </c>
      <c r="K17" s="37">
        <v>13</v>
      </c>
      <c r="L17" s="451">
        <v>132</v>
      </c>
      <c r="M17" s="451">
        <v>220</v>
      </c>
      <c r="N17" s="451">
        <v>90</v>
      </c>
      <c r="O17" s="353">
        <v>45</v>
      </c>
      <c r="P17" s="353">
        <v>14</v>
      </c>
      <c r="Q17" s="353">
        <v>257.58</v>
      </c>
      <c r="R17" s="37"/>
      <c r="S17" s="508" t="str">
        <f t="shared" si="0"/>
        <v/>
      </c>
      <c r="T17" s="508"/>
      <c r="U17" s="508"/>
      <c r="V17" s="508"/>
      <c r="X17" s="45">
        <v>8.3333333333333301E-2</v>
      </c>
      <c r="Y17" s="106"/>
      <c r="Z17" s="102"/>
      <c r="AA17" s="102"/>
      <c r="AB17" s="45" t="str">
        <f t="shared" ref="AB17:AB39" si="18">IF(Y17="STBY",AA17-Z17,"")</f>
        <v/>
      </c>
      <c r="AC17" s="45" t="str">
        <f t="shared" si="1"/>
        <v/>
      </c>
      <c r="AD17" s="81"/>
      <c r="AE17" s="9" t="str">
        <f>IF(S17="","",IF(COUNTA(Z17:$Z$39)=1,IF(COUNTA(AD17:$AD$39)=1,""," ; "),IF(COUNTA(AD17:$AD$39)=1,IF(Z17="",""," ; ")," ; ")))</f>
        <v/>
      </c>
      <c r="AF17" s="9" t="str">
        <f t="shared" si="2"/>
        <v/>
      </c>
      <c r="AG17" s="90" t="str">
        <f t="shared" si="3"/>
        <v/>
      </c>
      <c r="AH17" s="204" t="s">
        <v>289</v>
      </c>
      <c r="AJ17" s="206">
        <f t="shared" ref="AJ17:AN32" si="19">AJ16</f>
        <v>500</v>
      </c>
      <c r="AK17" s="206">
        <f t="shared" si="19"/>
        <v>100</v>
      </c>
      <c r="AL17" s="206">
        <f>AL16</f>
        <v>2</v>
      </c>
      <c r="AM17" s="213">
        <f>AM16</f>
        <v>0.875</v>
      </c>
      <c r="AN17" s="214">
        <f>AN16</f>
        <v>0.63607464142166403</v>
      </c>
      <c r="AO17" s="215">
        <f t="shared" si="4"/>
        <v>-14.7</v>
      </c>
      <c r="AP17" s="216">
        <f t="shared" si="5"/>
        <v>1</v>
      </c>
      <c r="AQ17" s="216">
        <f t="shared" si="6"/>
        <v>1</v>
      </c>
      <c r="AR17" s="215">
        <f>AR16</f>
        <v>158.47</v>
      </c>
      <c r="AS17" s="216">
        <f t="shared" si="7"/>
        <v>0.9723448696087954</v>
      </c>
      <c r="AT17" s="216">
        <f t="shared" si="8"/>
        <v>1.2538510821608391</v>
      </c>
      <c r="AU17" s="216">
        <f t="shared" si="9"/>
        <v>2.2360679774997898</v>
      </c>
      <c r="AV17" s="217">
        <f t="shared" si="10"/>
        <v>10.368348541764712</v>
      </c>
      <c r="AW17" s="216">
        <f t="shared" si="11"/>
        <v>0</v>
      </c>
      <c r="AX17" s="218">
        <f t="shared" si="12"/>
        <v>1.4831709199797398</v>
      </c>
      <c r="AY17" s="216">
        <f t="shared" si="13"/>
        <v>0.77643477842613629</v>
      </c>
      <c r="AZ17" s="217">
        <f t="shared" si="14"/>
        <v>3.5883638597441294</v>
      </c>
      <c r="BA17" s="216">
        <f t="shared" si="15"/>
        <v>0</v>
      </c>
      <c r="BB17" s="216">
        <f t="shared" si="16"/>
        <v>1.0016542390239327</v>
      </c>
      <c r="BC17" s="216">
        <f t="shared" si="17"/>
        <v>1</v>
      </c>
    </row>
    <row r="18" spans="1:55" ht="20.100000000000001" customHeight="1" x14ac:dyDescent="0.2">
      <c r="A18" s="45">
        <v>0.125</v>
      </c>
      <c r="B18" s="451"/>
      <c r="C18" s="451"/>
      <c r="D18" s="451">
        <v>6.5</v>
      </c>
      <c r="E18" s="451">
        <v>65.2</v>
      </c>
      <c r="F18" s="41">
        <v>1946</v>
      </c>
      <c r="G18" s="37">
        <v>-5.6</v>
      </c>
      <c r="H18" s="37">
        <v>72.599999999999994</v>
      </c>
      <c r="I18" s="37">
        <v>22</v>
      </c>
      <c r="J18" s="41">
        <v>466</v>
      </c>
      <c r="K18" s="37">
        <v>13</v>
      </c>
      <c r="L18" s="451">
        <v>130</v>
      </c>
      <c r="M18" s="451">
        <v>221</v>
      </c>
      <c r="N18" s="451">
        <v>90</v>
      </c>
      <c r="O18" s="353">
        <v>45</v>
      </c>
      <c r="P18" s="353">
        <v>14</v>
      </c>
      <c r="Q18" s="353">
        <v>257.58</v>
      </c>
      <c r="R18" s="37"/>
      <c r="S18" s="508" t="str">
        <f t="shared" si="0"/>
        <v/>
      </c>
      <c r="T18" s="508"/>
      <c r="U18" s="508"/>
      <c r="V18" s="508"/>
      <c r="X18" s="45">
        <v>0.125</v>
      </c>
      <c r="Y18" s="106"/>
      <c r="Z18" s="102"/>
      <c r="AA18" s="102"/>
      <c r="AB18" s="45" t="str">
        <f t="shared" si="18"/>
        <v/>
      </c>
      <c r="AC18" s="45" t="str">
        <f t="shared" si="1"/>
        <v/>
      </c>
      <c r="AD18" s="81"/>
      <c r="AE18" s="9" t="str">
        <f>IF(S18="","",IF(COUNTA(Z18:$Z$39)=1,IF(COUNTA(AD18:$AD$39)=1,""," ; "),IF(COUNTA(AD18:$AD$39)=1,IF(Z18="",""," ; ")," ; ")))</f>
        <v/>
      </c>
      <c r="AF18" s="9" t="str">
        <f t="shared" si="2"/>
        <v/>
      </c>
      <c r="AG18" s="90" t="str">
        <f t="shared" si="3"/>
        <v/>
      </c>
      <c r="AH18" s="204" t="s">
        <v>321</v>
      </c>
      <c r="AJ18" s="206">
        <f t="shared" si="19"/>
        <v>500</v>
      </c>
      <c r="AK18" s="206">
        <f t="shared" si="19"/>
        <v>100</v>
      </c>
      <c r="AL18" s="206">
        <f t="shared" si="19"/>
        <v>2</v>
      </c>
      <c r="AM18" s="213">
        <f t="shared" si="19"/>
        <v>0.875</v>
      </c>
      <c r="AN18" s="214">
        <f t="shared" si="19"/>
        <v>0.63607464142166403</v>
      </c>
      <c r="AO18" s="215">
        <f t="shared" si="4"/>
        <v>-14.7</v>
      </c>
      <c r="AP18" s="216">
        <f t="shared" si="5"/>
        <v>1</v>
      </c>
      <c r="AQ18" s="216">
        <f t="shared" si="6"/>
        <v>1</v>
      </c>
      <c r="AR18" s="215">
        <f t="shared" ref="AR18:AR39" si="20">AR17</f>
        <v>158.47</v>
      </c>
      <c r="AS18" s="216">
        <f t="shared" si="7"/>
        <v>0.9723448696087954</v>
      </c>
      <c r="AT18" s="216">
        <f t="shared" si="8"/>
        <v>1.2538510821608391</v>
      </c>
      <c r="AU18" s="216">
        <f t="shared" si="9"/>
        <v>2.2360679774997898</v>
      </c>
      <c r="AV18" s="217">
        <f t="shared" si="10"/>
        <v>10.368348541764712</v>
      </c>
      <c r="AW18" s="216">
        <f t="shared" si="11"/>
        <v>0</v>
      </c>
      <c r="AX18" s="218">
        <f t="shared" si="12"/>
        <v>1.4831709199797398</v>
      </c>
      <c r="AY18" s="216">
        <f t="shared" si="13"/>
        <v>0.77643477842613629</v>
      </c>
      <c r="AZ18" s="217">
        <f t="shared" si="14"/>
        <v>3.5883638597441294</v>
      </c>
      <c r="BA18" s="216">
        <f t="shared" si="15"/>
        <v>0</v>
      </c>
      <c r="BB18" s="216">
        <f t="shared" si="16"/>
        <v>1.0016542390239327</v>
      </c>
      <c r="BC18" s="216">
        <f t="shared" si="17"/>
        <v>1</v>
      </c>
    </row>
    <row r="19" spans="1:55" ht="20.100000000000001" customHeight="1" x14ac:dyDescent="0.2">
      <c r="A19" s="45">
        <v>0.16666666666666699</v>
      </c>
      <c r="B19" s="451"/>
      <c r="C19" s="451"/>
      <c r="D19" s="451">
        <v>5.8</v>
      </c>
      <c r="E19" s="451">
        <v>61.7</v>
      </c>
      <c r="F19" s="41">
        <v>1931</v>
      </c>
      <c r="G19" s="37">
        <v>-5.6</v>
      </c>
      <c r="H19" s="37">
        <v>72.099999999999994</v>
      </c>
      <c r="I19" s="37">
        <v>22.1</v>
      </c>
      <c r="J19" s="41">
        <v>467</v>
      </c>
      <c r="K19" s="37">
        <v>13</v>
      </c>
      <c r="L19" s="451">
        <v>133</v>
      </c>
      <c r="M19" s="451">
        <v>225</v>
      </c>
      <c r="N19" s="451">
        <v>90</v>
      </c>
      <c r="O19" s="353">
        <v>40</v>
      </c>
      <c r="P19" s="353">
        <v>16</v>
      </c>
      <c r="Q19" s="353">
        <v>263.29000000000002</v>
      </c>
      <c r="R19" s="37"/>
      <c r="S19" s="508" t="str">
        <f t="shared" si="0"/>
        <v/>
      </c>
      <c r="T19" s="508"/>
      <c r="U19" s="508"/>
      <c r="V19" s="508"/>
      <c r="X19" s="45">
        <v>0.16666666666666699</v>
      </c>
      <c r="Y19" s="106"/>
      <c r="Z19" s="102"/>
      <c r="AA19" s="102"/>
      <c r="AB19" s="45" t="str">
        <f t="shared" si="18"/>
        <v/>
      </c>
      <c r="AC19" s="45" t="str">
        <f t="shared" si="1"/>
        <v/>
      </c>
      <c r="AD19" s="81"/>
      <c r="AE19" s="9" t="str">
        <f>IF(S19="","",IF(COUNTA(Z19:$Z$39)=1,IF(COUNTA(AD19:$AD$39)=1,""," ; "),IF(COUNTA(AD19:$AD$39)=1,IF(Z19="",""," ; ")," ; ")))</f>
        <v/>
      </c>
      <c r="AF19" s="9" t="str">
        <f t="shared" si="2"/>
        <v/>
      </c>
      <c r="AG19" s="90" t="str">
        <f t="shared" si="3"/>
        <v/>
      </c>
      <c r="AH19" s="204" t="s">
        <v>272</v>
      </c>
      <c r="AJ19" s="206">
        <f t="shared" si="19"/>
        <v>500</v>
      </c>
      <c r="AK19" s="206">
        <f t="shared" si="19"/>
        <v>100</v>
      </c>
      <c r="AL19" s="206">
        <f t="shared" si="19"/>
        <v>2</v>
      </c>
      <c r="AM19" s="213">
        <f t="shared" si="19"/>
        <v>0.875</v>
      </c>
      <c r="AN19" s="214">
        <f t="shared" si="19"/>
        <v>0.63607464142166403</v>
      </c>
      <c r="AO19" s="215">
        <f t="shared" si="4"/>
        <v>-14.7</v>
      </c>
      <c r="AP19" s="216">
        <f t="shared" si="5"/>
        <v>1</v>
      </c>
      <c r="AQ19" s="216">
        <f t="shared" si="6"/>
        <v>1</v>
      </c>
      <c r="AR19" s="215">
        <f t="shared" si="20"/>
        <v>158.47</v>
      </c>
      <c r="AS19" s="216">
        <f t="shared" si="7"/>
        <v>0.9723448696087954</v>
      </c>
      <c r="AT19" s="216">
        <f t="shared" si="8"/>
        <v>1.2538510821608391</v>
      </c>
      <c r="AU19" s="216">
        <f t="shared" si="9"/>
        <v>2.2360679774997898</v>
      </c>
      <c r="AV19" s="217">
        <f t="shared" si="10"/>
        <v>10.368348541764712</v>
      </c>
      <c r="AW19" s="216">
        <f t="shared" si="11"/>
        <v>0</v>
      </c>
      <c r="AX19" s="218">
        <f t="shared" si="12"/>
        <v>1.4831709199797398</v>
      </c>
      <c r="AY19" s="216">
        <f t="shared" si="13"/>
        <v>0.77643477842613629</v>
      </c>
      <c r="AZ19" s="217">
        <f t="shared" si="14"/>
        <v>3.5883638597441294</v>
      </c>
      <c r="BA19" s="216">
        <f t="shared" si="15"/>
        <v>0</v>
      </c>
      <c r="BB19" s="216">
        <f t="shared" si="16"/>
        <v>1.0016542390239327</v>
      </c>
      <c r="BC19" s="216">
        <f t="shared" si="17"/>
        <v>1</v>
      </c>
    </row>
    <row r="20" spans="1:55" ht="20.100000000000001" customHeight="1" x14ac:dyDescent="0.2">
      <c r="A20" s="45">
        <v>0.20833333333333301</v>
      </c>
      <c r="B20" s="451"/>
      <c r="C20" s="451"/>
      <c r="D20" s="451">
        <v>5.4</v>
      </c>
      <c r="E20" s="451">
        <v>57.4</v>
      </c>
      <c r="F20" s="41">
        <v>1925</v>
      </c>
      <c r="G20" s="37">
        <v>-5.6</v>
      </c>
      <c r="H20" s="37">
        <v>72</v>
      </c>
      <c r="I20" s="37">
        <v>22.5</v>
      </c>
      <c r="J20" s="41">
        <v>468</v>
      </c>
      <c r="K20" s="37">
        <v>13</v>
      </c>
      <c r="L20" s="451">
        <v>137</v>
      </c>
      <c r="M20" s="451">
        <v>225</v>
      </c>
      <c r="N20" s="451">
        <v>90</v>
      </c>
      <c r="O20" s="353">
        <v>40</v>
      </c>
      <c r="P20" s="353">
        <v>16</v>
      </c>
      <c r="Q20" s="353">
        <v>263.29000000000002</v>
      </c>
      <c r="R20" s="37"/>
      <c r="S20" s="508" t="str">
        <f t="shared" si="0"/>
        <v/>
      </c>
      <c r="T20" s="508"/>
      <c r="U20" s="508"/>
      <c r="V20" s="508"/>
      <c r="X20" s="45">
        <v>0.20833333333333301</v>
      </c>
      <c r="Y20" s="106"/>
      <c r="Z20" s="102"/>
      <c r="AA20" s="102"/>
      <c r="AB20" s="45" t="str">
        <f t="shared" si="18"/>
        <v/>
      </c>
      <c r="AC20" s="45" t="str">
        <f t="shared" si="1"/>
        <v/>
      </c>
      <c r="AD20" s="81"/>
      <c r="AE20" s="9" t="str">
        <f>IF(S20="","",IF(COUNTA(Z20:$Z$39)=1,IF(COUNTA(AD20:$AD$39)=1,""," ; "),IF(COUNTA(AD20:$AD$39)=1,IF(Z20="",""," ; ")," ; ")))</f>
        <v/>
      </c>
      <c r="AF20" s="9" t="str">
        <f t="shared" si="2"/>
        <v/>
      </c>
      <c r="AG20" s="90" t="str">
        <f t="shared" si="3"/>
        <v/>
      </c>
      <c r="AH20" s="204" t="s">
        <v>275</v>
      </c>
      <c r="AJ20" s="206">
        <f t="shared" si="19"/>
        <v>500</v>
      </c>
      <c r="AK20" s="206">
        <f t="shared" si="19"/>
        <v>100</v>
      </c>
      <c r="AL20" s="206">
        <f t="shared" si="19"/>
        <v>2</v>
      </c>
      <c r="AM20" s="213">
        <f t="shared" si="19"/>
        <v>0.875</v>
      </c>
      <c r="AN20" s="214">
        <f t="shared" si="19"/>
        <v>0.63607464142166403</v>
      </c>
      <c r="AO20" s="215">
        <f t="shared" si="4"/>
        <v>-14.7</v>
      </c>
      <c r="AP20" s="216">
        <f t="shared" si="5"/>
        <v>1</v>
      </c>
      <c r="AQ20" s="216">
        <f t="shared" si="6"/>
        <v>1</v>
      </c>
      <c r="AR20" s="215">
        <f t="shared" si="20"/>
        <v>158.47</v>
      </c>
      <c r="AS20" s="216">
        <f t="shared" si="7"/>
        <v>0.9723448696087954</v>
      </c>
      <c r="AT20" s="216">
        <f t="shared" si="8"/>
        <v>1.2538510821608391</v>
      </c>
      <c r="AU20" s="216">
        <f t="shared" si="9"/>
        <v>2.2360679774997898</v>
      </c>
      <c r="AV20" s="217">
        <f t="shared" si="10"/>
        <v>10.368348541764712</v>
      </c>
      <c r="AW20" s="216">
        <f t="shared" si="11"/>
        <v>0</v>
      </c>
      <c r="AX20" s="218">
        <f t="shared" si="12"/>
        <v>1.4831709199797398</v>
      </c>
      <c r="AY20" s="216">
        <f t="shared" si="13"/>
        <v>0.77643477842613629</v>
      </c>
      <c r="AZ20" s="217">
        <f t="shared" si="14"/>
        <v>3.5883638597441294</v>
      </c>
      <c r="BA20" s="216">
        <f t="shared" si="15"/>
        <v>0</v>
      </c>
      <c r="BB20" s="216">
        <f t="shared" si="16"/>
        <v>1.0016542390239327</v>
      </c>
      <c r="BC20" s="216">
        <f t="shared" si="17"/>
        <v>1</v>
      </c>
    </row>
    <row r="21" spans="1:55" ht="20.100000000000001" customHeight="1" x14ac:dyDescent="0.2">
      <c r="A21" s="45">
        <v>0.25</v>
      </c>
      <c r="B21" s="451"/>
      <c r="C21" s="451"/>
      <c r="D21" s="451">
        <v>7.9</v>
      </c>
      <c r="E21" s="451">
        <v>58.6</v>
      </c>
      <c r="F21" s="41">
        <v>1930</v>
      </c>
      <c r="G21" s="37">
        <v>-5.6</v>
      </c>
      <c r="H21" s="37">
        <v>72.400000000000006</v>
      </c>
      <c r="I21" s="37">
        <v>22.3</v>
      </c>
      <c r="J21" s="41">
        <v>469</v>
      </c>
      <c r="K21" s="37">
        <v>13</v>
      </c>
      <c r="L21" s="451">
        <v>134</v>
      </c>
      <c r="M21" s="451">
        <v>220</v>
      </c>
      <c r="N21" s="451">
        <v>90</v>
      </c>
      <c r="O21" s="353">
        <v>40</v>
      </c>
      <c r="P21" s="353">
        <v>16</v>
      </c>
      <c r="Q21" s="353">
        <v>263.29000000000002</v>
      </c>
      <c r="R21" s="37"/>
      <c r="S21" s="508" t="str">
        <f t="shared" si="0"/>
        <v/>
      </c>
      <c r="T21" s="508"/>
      <c r="U21" s="508"/>
      <c r="V21" s="508"/>
      <c r="X21" s="45">
        <v>0.25</v>
      </c>
      <c r="Y21" s="106"/>
      <c r="Z21" s="102"/>
      <c r="AA21" s="102"/>
      <c r="AB21" s="45" t="str">
        <f t="shared" si="18"/>
        <v/>
      </c>
      <c r="AC21" s="45" t="str">
        <f t="shared" si="1"/>
        <v/>
      </c>
      <c r="AD21" s="81"/>
      <c r="AE21" s="9" t="str">
        <f>IF(S21="","",IF(COUNTA(Z21:$Z$39)=1,IF(COUNTA(AD21:$AD$39)=1,""," ; "),IF(COUNTA(AD21:$AD$39)=1,IF(Z21="",""," ; ")," ; ")))</f>
        <v/>
      </c>
      <c r="AF21" s="9" t="str">
        <f t="shared" si="2"/>
        <v/>
      </c>
      <c r="AG21" s="90" t="str">
        <f t="shared" si="3"/>
        <v/>
      </c>
      <c r="AH21" s="204" t="s">
        <v>322</v>
      </c>
      <c r="AJ21" s="206">
        <f t="shared" si="19"/>
        <v>500</v>
      </c>
      <c r="AK21" s="206">
        <f t="shared" si="19"/>
        <v>100</v>
      </c>
      <c r="AL21" s="206">
        <f t="shared" si="19"/>
        <v>2</v>
      </c>
      <c r="AM21" s="213">
        <f t="shared" si="19"/>
        <v>0.875</v>
      </c>
      <c r="AN21" s="214">
        <f t="shared" si="19"/>
        <v>0.63607464142166403</v>
      </c>
      <c r="AO21" s="215">
        <f t="shared" si="4"/>
        <v>-14.7</v>
      </c>
      <c r="AP21" s="216">
        <f t="shared" si="5"/>
        <v>1</v>
      </c>
      <c r="AQ21" s="216">
        <f t="shared" si="6"/>
        <v>1</v>
      </c>
      <c r="AR21" s="215">
        <f t="shared" si="20"/>
        <v>158.47</v>
      </c>
      <c r="AS21" s="216">
        <f t="shared" si="7"/>
        <v>0.9723448696087954</v>
      </c>
      <c r="AT21" s="216">
        <f t="shared" si="8"/>
        <v>1.2538510821608391</v>
      </c>
      <c r="AU21" s="216">
        <f t="shared" si="9"/>
        <v>2.2360679774997898</v>
      </c>
      <c r="AV21" s="217">
        <f t="shared" si="10"/>
        <v>10.368348541764712</v>
      </c>
      <c r="AW21" s="216">
        <f t="shared" si="11"/>
        <v>0</v>
      </c>
      <c r="AX21" s="218">
        <f t="shared" si="12"/>
        <v>1.4831709199797398</v>
      </c>
      <c r="AY21" s="216">
        <f t="shared" si="13"/>
        <v>0.77643477842613629</v>
      </c>
      <c r="AZ21" s="217">
        <f t="shared" si="14"/>
        <v>3.5883638597441294</v>
      </c>
      <c r="BA21" s="216">
        <f t="shared" si="15"/>
        <v>0</v>
      </c>
      <c r="BB21" s="216">
        <f t="shared" si="16"/>
        <v>1.0016542390239327</v>
      </c>
      <c r="BC21" s="216">
        <f t="shared" si="17"/>
        <v>1</v>
      </c>
    </row>
    <row r="22" spans="1:55" ht="20.100000000000001" customHeight="1" x14ac:dyDescent="0.2">
      <c r="A22" s="45">
        <v>0.29166666666666702</v>
      </c>
      <c r="B22" s="451"/>
      <c r="C22" s="451"/>
      <c r="D22" s="451">
        <v>7.3</v>
      </c>
      <c r="E22" s="451">
        <v>59.3</v>
      </c>
      <c r="F22" s="41">
        <v>1921</v>
      </c>
      <c r="G22" s="37">
        <v>-5.6</v>
      </c>
      <c r="H22" s="37">
        <v>72.5</v>
      </c>
      <c r="I22" s="37">
        <v>22.7</v>
      </c>
      <c r="J22" s="41">
        <v>470</v>
      </c>
      <c r="K22" s="37">
        <v>13</v>
      </c>
      <c r="L22" s="451">
        <v>132</v>
      </c>
      <c r="M22" s="451">
        <v>220</v>
      </c>
      <c r="N22" s="451">
        <v>90</v>
      </c>
      <c r="O22" s="353">
        <v>40</v>
      </c>
      <c r="P22" s="353">
        <v>16</v>
      </c>
      <c r="Q22" s="353">
        <v>263.29000000000002</v>
      </c>
      <c r="R22" s="37"/>
      <c r="S22" s="508" t="str">
        <f t="shared" si="0"/>
        <v/>
      </c>
      <c r="T22" s="508"/>
      <c r="U22" s="508"/>
      <c r="V22" s="508"/>
      <c r="X22" s="45">
        <v>0.29166666666666702</v>
      </c>
      <c r="Y22" s="106"/>
      <c r="Z22" s="102"/>
      <c r="AA22" s="102"/>
      <c r="AB22" s="45" t="str">
        <f t="shared" si="18"/>
        <v/>
      </c>
      <c r="AC22" s="45" t="str">
        <f t="shared" si="1"/>
        <v/>
      </c>
      <c r="AD22" s="81"/>
      <c r="AE22" s="9" t="str">
        <f>IF(S22="","",IF(COUNTA(Z22:$Z$39)=1,IF(COUNTA(AD22:$AD$39)=1,""," ; "),IF(COUNTA(AD22:$AD$39)=1,IF(Z22="",""," ; ")," ; ")))</f>
        <v/>
      </c>
      <c r="AF22" s="9" t="str">
        <f t="shared" si="2"/>
        <v/>
      </c>
      <c r="AG22" s="90" t="str">
        <f t="shared" si="3"/>
        <v/>
      </c>
      <c r="AH22" s="204" t="s">
        <v>279</v>
      </c>
      <c r="AJ22" s="206">
        <f t="shared" si="19"/>
        <v>500</v>
      </c>
      <c r="AK22" s="206">
        <f t="shared" si="19"/>
        <v>100</v>
      </c>
      <c r="AL22" s="206">
        <f t="shared" si="19"/>
        <v>2</v>
      </c>
      <c r="AM22" s="213">
        <f t="shared" si="19"/>
        <v>0.875</v>
      </c>
      <c r="AN22" s="214">
        <f t="shared" si="19"/>
        <v>0.63607464142166403</v>
      </c>
      <c r="AO22" s="215">
        <f t="shared" si="4"/>
        <v>-14.7</v>
      </c>
      <c r="AP22" s="216">
        <f t="shared" si="5"/>
        <v>1</v>
      </c>
      <c r="AQ22" s="216">
        <f t="shared" si="6"/>
        <v>1</v>
      </c>
      <c r="AR22" s="215">
        <f t="shared" si="20"/>
        <v>158.47</v>
      </c>
      <c r="AS22" s="216">
        <f t="shared" si="7"/>
        <v>0.9723448696087954</v>
      </c>
      <c r="AT22" s="216">
        <f t="shared" si="8"/>
        <v>1.2538510821608391</v>
      </c>
      <c r="AU22" s="216">
        <f t="shared" si="9"/>
        <v>2.2360679774997898</v>
      </c>
      <c r="AV22" s="217">
        <f t="shared" si="10"/>
        <v>10.368348541764712</v>
      </c>
      <c r="AW22" s="216">
        <f t="shared" si="11"/>
        <v>0</v>
      </c>
      <c r="AX22" s="218">
        <f t="shared" si="12"/>
        <v>1.4831709199797398</v>
      </c>
      <c r="AY22" s="216">
        <f t="shared" si="13"/>
        <v>0.77643477842613629</v>
      </c>
      <c r="AZ22" s="217">
        <f t="shared" si="14"/>
        <v>3.5883638597441294</v>
      </c>
      <c r="BA22" s="216">
        <f t="shared" si="15"/>
        <v>0</v>
      </c>
      <c r="BB22" s="216">
        <f t="shared" si="16"/>
        <v>1.0016542390239327</v>
      </c>
      <c r="BC22" s="216">
        <f t="shared" si="17"/>
        <v>1</v>
      </c>
    </row>
    <row r="23" spans="1:55" ht="20.100000000000001" customHeight="1" x14ac:dyDescent="0.2">
      <c r="A23" s="45">
        <v>0.33333333333333298</v>
      </c>
      <c r="B23" s="451"/>
      <c r="C23" s="451"/>
      <c r="D23" s="451">
        <v>7.9</v>
      </c>
      <c r="E23" s="451">
        <v>63.1</v>
      </c>
      <c r="F23" s="41">
        <v>1961</v>
      </c>
      <c r="G23" s="37">
        <v>-5.6</v>
      </c>
      <c r="H23" s="37">
        <v>72.900000000000006</v>
      </c>
      <c r="I23" s="37">
        <v>22.1</v>
      </c>
      <c r="J23" s="41">
        <v>471</v>
      </c>
      <c r="K23" s="37">
        <v>13</v>
      </c>
      <c r="L23" s="451">
        <v>131</v>
      </c>
      <c r="M23" s="451">
        <v>221</v>
      </c>
      <c r="N23" s="451">
        <v>90</v>
      </c>
      <c r="O23" s="353">
        <v>40</v>
      </c>
      <c r="P23" s="353">
        <v>16</v>
      </c>
      <c r="Q23" s="353">
        <v>263.29000000000002</v>
      </c>
      <c r="R23" s="37"/>
      <c r="S23" s="508" t="str">
        <f t="shared" si="0"/>
        <v/>
      </c>
      <c r="T23" s="508"/>
      <c r="U23" s="508"/>
      <c r="V23" s="508"/>
      <c r="X23" s="45">
        <v>0.33333333333333298</v>
      </c>
      <c r="Y23" s="106"/>
      <c r="Z23" s="102"/>
      <c r="AA23" s="102"/>
      <c r="AB23" s="45" t="str">
        <f t="shared" si="18"/>
        <v/>
      </c>
      <c r="AC23" s="45" t="str">
        <f t="shared" si="1"/>
        <v/>
      </c>
      <c r="AD23" s="81"/>
      <c r="AE23" s="9" t="str">
        <f>IF(S23="","",IF(COUNTA(Z23:$Z$39)=1,IF(COUNTA(AD23:$AD$39)=1,""," ; "),IF(COUNTA(AD23:$AD$39)=1,IF(Z23="",""," ; ")," ; ")))</f>
        <v/>
      </c>
      <c r="AF23" s="9" t="str">
        <f t="shared" si="2"/>
        <v/>
      </c>
      <c r="AG23" s="90" t="str">
        <f t="shared" si="3"/>
        <v/>
      </c>
      <c r="AH23" s="204" t="s">
        <v>274</v>
      </c>
      <c r="AJ23" s="206">
        <f t="shared" si="19"/>
        <v>500</v>
      </c>
      <c r="AK23" s="206">
        <f t="shared" si="19"/>
        <v>100</v>
      </c>
      <c r="AL23" s="206">
        <f t="shared" si="19"/>
        <v>2</v>
      </c>
      <c r="AM23" s="213">
        <f t="shared" si="19"/>
        <v>0.875</v>
      </c>
      <c r="AN23" s="214">
        <f t="shared" si="19"/>
        <v>0.63607464142166403</v>
      </c>
      <c r="AO23" s="215">
        <f t="shared" si="4"/>
        <v>-14.7</v>
      </c>
      <c r="AP23" s="216">
        <f t="shared" si="5"/>
        <v>1</v>
      </c>
      <c r="AQ23" s="216">
        <f t="shared" si="6"/>
        <v>1</v>
      </c>
      <c r="AR23" s="215">
        <f t="shared" si="20"/>
        <v>158.47</v>
      </c>
      <c r="AS23" s="216">
        <f t="shared" si="7"/>
        <v>0.9723448696087954</v>
      </c>
      <c r="AT23" s="216">
        <f t="shared" si="8"/>
        <v>1.2538510821608391</v>
      </c>
      <c r="AU23" s="216">
        <f t="shared" si="9"/>
        <v>2.2360679774997898</v>
      </c>
      <c r="AV23" s="217">
        <f t="shared" si="10"/>
        <v>10.368348541764712</v>
      </c>
      <c r="AW23" s="216">
        <f t="shared" si="11"/>
        <v>0</v>
      </c>
      <c r="AX23" s="218">
        <f t="shared" si="12"/>
        <v>1.4831709199797398</v>
      </c>
      <c r="AY23" s="216">
        <f t="shared" si="13"/>
        <v>0.77643477842613629</v>
      </c>
      <c r="AZ23" s="217">
        <f t="shared" si="14"/>
        <v>3.5883638597441294</v>
      </c>
      <c r="BA23" s="216">
        <f t="shared" si="15"/>
        <v>0</v>
      </c>
      <c r="BB23" s="216">
        <f t="shared" si="16"/>
        <v>1.0016542390239327</v>
      </c>
      <c r="BC23" s="216">
        <f t="shared" si="17"/>
        <v>1</v>
      </c>
    </row>
    <row r="24" spans="1:55" ht="20.100000000000001" customHeight="1" x14ac:dyDescent="0.2">
      <c r="A24" s="45">
        <v>0.375</v>
      </c>
      <c r="B24" s="451"/>
      <c r="C24" s="451"/>
      <c r="D24" s="451">
        <v>7.5</v>
      </c>
      <c r="E24" s="451">
        <v>66.7</v>
      </c>
      <c r="F24" s="41">
        <v>1983</v>
      </c>
      <c r="G24" s="37">
        <v>-5.6</v>
      </c>
      <c r="H24" s="37">
        <v>72.099999999999994</v>
      </c>
      <c r="I24" s="37">
        <v>22.6</v>
      </c>
      <c r="J24" s="41">
        <v>472</v>
      </c>
      <c r="K24" s="37">
        <v>13</v>
      </c>
      <c r="L24" s="451">
        <v>131</v>
      </c>
      <c r="M24" s="451">
        <v>222</v>
      </c>
      <c r="N24" s="451">
        <v>90</v>
      </c>
      <c r="O24" s="353">
        <v>40</v>
      </c>
      <c r="P24" s="353">
        <v>16</v>
      </c>
      <c r="Q24" s="353">
        <v>263.29000000000002</v>
      </c>
      <c r="R24" s="37"/>
      <c r="S24" s="508" t="str">
        <f t="shared" si="0"/>
        <v/>
      </c>
      <c r="T24" s="508"/>
      <c r="U24" s="508"/>
      <c r="V24" s="508"/>
      <c r="X24" s="45">
        <v>0.375</v>
      </c>
      <c r="Y24" s="106"/>
      <c r="Z24" s="102"/>
      <c r="AA24" s="102"/>
      <c r="AB24" s="45" t="str">
        <f t="shared" si="18"/>
        <v/>
      </c>
      <c r="AC24" s="45" t="str">
        <f t="shared" si="1"/>
        <v/>
      </c>
      <c r="AD24" s="81"/>
      <c r="AE24" s="9" t="str">
        <f>IF(S24="","",IF(COUNTA(Z24:$Z$39)=1,IF(COUNTA(AD24:$AD$39)=1,""," ; "),IF(COUNTA(AD24:$AD$39)=1,IF(Z24="",""," ; ")," ; ")))</f>
        <v/>
      </c>
      <c r="AF24" s="9" t="str">
        <f t="shared" si="2"/>
        <v/>
      </c>
      <c r="AG24" s="90" t="str">
        <f t="shared" si="3"/>
        <v/>
      </c>
      <c r="AH24" s="204" t="s">
        <v>307</v>
      </c>
      <c r="AJ24" s="206">
        <f t="shared" si="19"/>
        <v>500</v>
      </c>
      <c r="AK24" s="206">
        <f t="shared" si="19"/>
        <v>100</v>
      </c>
      <c r="AL24" s="206">
        <f t="shared" si="19"/>
        <v>2</v>
      </c>
      <c r="AM24" s="213">
        <f t="shared" si="19"/>
        <v>0.875</v>
      </c>
      <c r="AN24" s="214">
        <f t="shared" si="19"/>
        <v>0.63607464142166403</v>
      </c>
      <c r="AO24" s="215">
        <f t="shared" si="4"/>
        <v>-14.7</v>
      </c>
      <c r="AP24" s="216">
        <f t="shared" si="5"/>
        <v>1</v>
      </c>
      <c r="AQ24" s="216">
        <f t="shared" si="6"/>
        <v>1</v>
      </c>
      <c r="AR24" s="215">
        <f t="shared" si="20"/>
        <v>158.47</v>
      </c>
      <c r="AS24" s="216">
        <f t="shared" si="7"/>
        <v>0.9723448696087954</v>
      </c>
      <c r="AT24" s="216">
        <f t="shared" si="8"/>
        <v>1.2538510821608391</v>
      </c>
      <c r="AU24" s="216">
        <f t="shared" si="9"/>
        <v>2.2360679774997898</v>
      </c>
      <c r="AV24" s="217">
        <f t="shared" si="10"/>
        <v>10.368348541764712</v>
      </c>
      <c r="AW24" s="216">
        <f t="shared" si="11"/>
        <v>0</v>
      </c>
      <c r="AX24" s="218">
        <f t="shared" si="12"/>
        <v>1.4831709199797398</v>
      </c>
      <c r="AY24" s="216">
        <f t="shared" si="13"/>
        <v>0.77643477842613629</v>
      </c>
      <c r="AZ24" s="217">
        <f t="shared" si="14"/>
        <v>3.5883638597441294</v>
      </c>
      <c r="BA24" s="216">
        <f t="shared" si="15"/>
        <v>0</v>
      </c>
      <c r="BB24" s="216">
        <f t="shared" si="16"/>
        <v>1.0016542390239327</v>
      </c>
      <c r="BC24" s="216">
        <f t="shared" si="17"/>
        <v>1</v>
      </c>
    </row>
    <row r="25" spans="1:55" ht="20.100000000000001" customHeight="1" x14ac:dyDescent="0.2">
      <c r="A25" s="45">
        <v>0.41666666666666702</v>
      </c>
      <c r="B25" s="451"/>
      <c r="C25" s="451"/>
      <c r="D25" s="451">
        <v>7.1</v>
      </c>
      <c r="E25" s="451">
        <v>67.2</v>
      </c>
      <c r="F25" s="41">
        <v>1990</v>
      </c>
      <c r="G25" s="37">
        <v>-5.6</v>
      </c>
      <c r="H25" s="37">
        <v>72</v>
      </c>
      <c r="I25" s="37">
        <v>22.2</v>
      </c>
      <c r="J25" s="41">
        <v>473</v>
      </c>
      <c r="K25" s="37">
        <v>13</v>
      </c>
      <c r="L25" s="451">
        <v>132</v>
      </c>
      <c r="M25" s="451">
        <v>223</v>
      </c>
      <c r="N25" s="451">
        <v>90</v>
      </c>
      <c r="O25" s="353">
        <v>40</v>
      </c>
      <c r="P25" s="353">
        <v>15</v>
      </c>
      <c r="Q25" s="353">
        <v>255</v>
      </c>
      <c r="R25" s="37"/>
      <c r="S25" s="508" t="str">
        <f t="shared" si="0"/>
        <v/>
      </c>
      <c r="T25" s="508"/>
      <c r="U25" s="508"/>
      <c r="V25" s="508"/>
      <c r="X25" s="45">
        <v>0.41666666666666702</v>
      </c>
      <c r="Y25" s="106"/>
      <c r="Z25" s="102"/>
      <c r="AA25" s="102"/>
      <c r="AB25" s="45" t="str">
        <f t="shared" si="18"/>
        <v/>
      </c>
      <c r="AC25" s="45" t="str">
        <f t="shared" si="1"/>
        <v/>
      </c>
      <c r="AD25" s="81"/>
      <c r="AE25" s="9" t="str">
        <f>IF(S25="","",IF(COUNTA(Z25:$Z$39)=1,IF(COUNTA(AD25:$AD$39)=1,""," ; "),IF(COUNTA(AD25:$AD$39)=1,IF(Z25="",""," ; ")," ; ")))</f>
        <v/>
      </c>
      <c r="AF25" s="9" t="str">
        <f t="shared" si="2"/>
        <v/>
      </c>
      <c r="AG25" s="90" t="str">
        <f t="shared" si="3"/>
        <v/>
      </c>
      <c r="AH25" s="204" t="s">
        <v>225</v>
      </c>
      <c r="AJ25" s="206">
        <f t="shared" si="19"/>
        <v>500</v>
      </c>
      <c r="AK25" s="206">
        <f t="shared" si="19"/>
        <v>100</v>
      </c>
      <c r="AL25" s="206">
        <f t="shared" si="19"/>
        <v>2</v>
      </c>
      <c r="AM25" s="213">
        <f t="shared" si="19"/>
        <v>0.875</v>
      </c>
      <c r="AN25" s="214">
        <f t="shared" si="19"/>
        <v>0.63607464142166403</v>
      </c>
      <c r="AO25" s="215">
        <f t="shared" si="4"/>
        <v>-14.7</v>
      </c>
      <c r="AP25" s="216">
        <f t="shared" si="5"/>
        <v>1</v>
      </c>
      <c r="AQ25" s="216">
        <f t="shared" si="6"/>
        <v>1</v>
      </c>
      <c r="AR25" s="215">
        <f t="shared" si="20"/>
        <v>158.47</v>
      </c>
      <c r="AS25" s="216">
        <f t="shared" si="7"/>
        <v>0.9723448696087954</v>
      </c>
      <c r="AT25" s="216">
        <f t="shared" si="8"/>
        <v>1.2538510821608391</v>
      </c>
      <c r="AU25" s="216">
        <f t="shared" si="9"/>
        <v>2.2360679774997898</v>
      </c>
      <c r="AV25" s="217">
        <f t="shared" si="10"/>
        <v>10.368348541764712</v>
      </c>
      <c r="AW25" s="216">
        <f t="shared" si="11"/>
        <v>0</v>
      </c>
      <c r="AX25" s="218">
        <f t="shared" si="12"/>
        <v>1.4831709199797398</v>
      </c>
      <c r="AY25" s="216">
        <f t="shared" si="13"/>
        <v>0.77643477842613629</v>
      </c>
      <c r="AZ25" s="217">
        <f t="shared" si="14"/>
        <v>3.5883638597441294</v>
      </c>
      <c r="BA25" s="216">
        <f t="shared" si="15"/>
        <v>0</v>
      </c>
      <c r="BB25" s="216">
        <f t="shared" si="16"/>
        <v>1.0016542390239327</v>
      </c>
      <c r="BC25" s="216">
        <f t="shared" si="17"/>
        <v>1</v>
      </c>
    </row>
    <row r="26" spans="1:55" ht="20.100000000000001" customHeight="1" x14ac:dyDescent="0.2">
      <c r="A26" s="45">
        <v>0.45833333333333298</v>
      </c>
      <c r="B26" s="451"/>
      <c r="C26" s="451"/>
      <c r="D26" s="451">
        <v>7.7</v>
      </c>
      <c r="E26" s="451">
        <v>67.5</v>
      </c>
      <c r="F26" s="41">
        <v>1975</v>
      </c>
      <c r="G26" s="37">
        <v>-5.6</v>
      </c>
      <c r="H26" s="37">
        <v>72.3</v>
      </c>
      <c r="I26" s="37">
        <v>22.4</v>
      </c>
      <c r="J26" s="41">
        <v>474</v>
      </c>
      <c r="K26" s="37">
        <v>13</v>
      </c>
      <c r="L26" s="451">
        <v>130</v>
      </c>
      <c r="M26" s="451">
        <v>223</v>
      </c>
      <c r="N26" s="451">
        <v>90</v>
      </c>
      <c r="O26" s="353">
        <v>40</v>
      </c>
      <c r="P26" s="353">
        <v>15</v>
      </c>
      <c r="Q26" s="353">
        <v>255</v>
      </c>
      <c r="R26" s="37"/>
      <c r="S26" s="508" t="str">
        <f t="shared" si="0"/>
        <v/>
      </c>
      <c r="T26" s="508"/>
      <c r="U26" s="508"/>
      <c r="V26" s="508"/>
      <c r="X26" s="45">
        <v>0.45833333333333298</v>
      </c>
      <c r="Y26" s="106"/>
      <c r="Z26" s="102"/>
      <c r="AA26" s="102"/>
      <c r="AB26" s="45" t="str">
        <f t="shared" si="18"/>
        <v/>
      </c>
      <c r="AC26" s="45" t="str">
        <f t="shared" si="1"/>
        <v/>
      </c>
      <c r="AD26" s="81"/>
      <c r="AE26" s="9" t="str">
        <f>IF(S26="","",IF(COUNTA(Z26:$Z$39)=1,IF(COUNTA(AD26:$AD$39)=1,""," ; "),IF(COUNTA(AD26:$AD$39)=1,IF(Z26="",""," ; ")," ; ")))</f>
        <v/>
      </c>
      <c r="AF26" s="9" t="str">
        <f t="shared" si="2"/>
        <v/>
      </c>
      <c r="AG26" s="90" t="str">
        <f t="shared" si="3"/>
        <v/>
      </c>
      <c r="AH26" s="204" t="s">
        <v>287</v>
      </c>
      <c r="AJ26" s="206">
        <f t="shared" si="19"/>
        <v>500</v>
      </c>
      <c r="AK26" s="206">
        <f t="shared" si="19"/>
        <v>100</v>
      </c>
      <c r="AL26" s="206">
        <f t="shared" si="19"/>
        <v>2</v>
      </c>
      <c r="AM26" s="213">
        <f t="shared" si="19"/>
        <v>0.875</v>
      </c>
      <c r="AN26" s="214">
        <f t="shared" si="19"/>
        <v>0.63607464142166403</v>
      </c>
      <c r="AO26" s="215">
        <f t="shared" si="4"/>
        <v>-14.7</v>
      </c>
      <c r="AP26" s="216">
        <f t="shared" si="5"/>
        <v>1</v>
      </c>
      <c r="AQ26" s="216">
        <f t="shared" si="6"/>
        <v>1</v>
      </c>
      <c r="AR26" s="215">
        <f t="shared" si="20"/>
        <v>158.47</v>
      </c>
      <c r="AS26" s="216">
        <f t="shared" si="7"/>
        <v>0.9723448696087954</v>
      </c>
      <c r="AT26" s="216">
        <f t="shared" si="8"/>
        <v>1.2538510821608391</v>
      </c>
      <c r="AU26" s="216">
        <f t="shared" si="9"/>
        <v>2.2360679774997898</v>
      </c>
      <c r="AV26" s="217">
        <f t="shared" si="10"/>
        <v>10.368348541764712</v>
      </c>
      <c r="AW26" s="216">
        <f t="shared" si="11"/>
        <v>0</v>
      </c>
      <c r="AX26" s="218">
        <f t="shared" si="12"/>
        <v>1.4831709199797398</v>
      </c>
      <c r="AY26" s="216">
        <f t="shared" si="13"/>
        <v>0.77643477842613629</v>
      </c>
      <c r="AZ26" s="217">
        <f t="shared" si="14"/>
        <v>3.5883638597441294</v>
      </c>
      <c r="BA26" s="216">
        <f t="shared" si="15"/>
        <v>0</v>
      </c>
      <c r="BB26" s="216">
        <f t="shared" si="16"/>
        <v>1.0016542390239327</v>
      </c>
      <c r="BC26" s="216">
        <f t="shared" si="17"/>
        <v>1</v>
      </c>
    </row>
    <row r="27" spans="1:55" ht="20.100000000000001" customHeight="1" x14ac:dyDescent="0.2">
      <c r="A27" s="45">
        <v>0.5</v>
      </c>
      <c r="B27" s="451"/>
      <c r="C27" s="451"/>
      <c r="D27" s="451">
        <v>7.9</v>
      </c>
      <c r="E27" s="451">
        <v>68.2</v>
      </c>
      <c r="F27" s="41">
        <v>1966</v>
      </c>
      <c r="G27" s="37">
        <v>-5.6</v>
      </c>
      <c r="H27" s="37">
        <v>72.099999999999994</v>
      </c>
      <c r="I27" s="37">
        <v>22.1</v>
      </c>
      <c r="J27" s="41">
        <v>475</v>
      </c>
      <c r="K27" s="37">
        <v>13</v>
      </c>
      <c r="L27" s="451">
        <v>131</v>
      </c>
      <c r="M27" s="451">
        <v>224</v>
      </c>
      <c r="N27" s="451">
        <v>90</v>
      </c>
      <c r="O27" s="353">
        <v>40</v>
      </c>
      <c r="P27" s="353">
        <v>15</v>
      </c>
      <c r="Q27" s="353">
        <v>255</v>
      </c>
      <c r="R27" s="37"/>
      <c r="S27" s="508" t="str">
        <f t="shared" si="0"/>
        <v/>
      </c>
      <c r="T27" s="508"/>
      <c r="U27" s="508"/>
      <c r="V27" s="508"/>
      <c r="X27" s="45">
        <v>0.5</v>
      </c>
      <c r="Y27" s="106"/>
      <c r="Z27" s="102"/>
      <c r="AA27" s="102"/>
      <c r="AB27" s="45" t="str">
        <f t="shared" si="18"/>
        <v/>
      </c>
      <c r="AC27" s="45" t="str">
        <f t="shared" si="1"/>
        <v/>
      </c>
      <c r="AD27" s="81"/>
      <c r="AE27" s="9" t="str">
        <f>IF(S27="","",IF(COUNTA(Z27:$Z$39)=1,IF(COUNTA(AD27:$AD$39)=1,""," ; "),IF(COUNTA(AD27:$AD$39)=1,IF(Z27="",""," ; ")," ; ")))</f>
        <v/>
      </c>
      <c r="AF27" s="9" t="str">
        <f t="shared" si="2"/>
        <v/>
      </c>
      <c r="AG27" s="90" t="str">
        <f t="shared" si="3"/>
        <v/>
      </c>
      <c r="AH27" s="204" t="s">
        <v>276</v>
      </c>
      <c r="AJ27" s="206">
        <f t="shared" si="19"/>
        <v>500</v>
      </c>
      <c r="AK27" s="206">
        <f t="shared" si="19"/>
        <v>100</v>
      </c>
      <c r="AL27" s="206">
        <f t="shared" si="19"/>
        <v>2</v>
      </c>
      <c r="AM27" s="213">
        <f t="shared" si="19"/>
        <v>0.875</v>
      </c>
      <c r="AN27" s="214">
        <f t="shared" si="19"/>
        <v>0.63607464142166403</v>
      </c>
      <c r="AO27" s="215">
        <f t="shared" si="4"/>
        <v>-14.7</v>
      </c>
      <c r="AP27" s="216">
        <f t="shared" si="5"/>
        <v>1</v>
      </c>
      <c r="AQ27" s="216">
        <f t="shared" si="6"/>
        <v>1</v>
      </c>
      <c r="AR27" s="215">
        <f t="shared" si="20"/>
        <v>158.47</v>
      </c>
      <c r="AS27" s="216">
        <f t="shared" si="7"/>
        <v>0.9723448696087954</v>
      </c>
      <c r="AT27" s="216">
        <f t="shared" si="8"/>
        <v>1.2538510821608391</v>
      </c>
      <c r="AU27" s="216">
        <f t="shared" si="9"/>
        <v>2.2360679774997898</v>
      </c>
      <c r="AV27" s="217">
        <f t="shared" si="10"/>
        <v>10.368348541764712</v>
      </c>
      <c r="AW27" s="216">
        <f t="shared" si="11"/>
        <v>0</v>
      </c>
      <c r="AX27" s="218">
        <f t="shared" si="12"/>
        <v>1.4831709199797398</v>
      </c>
      <c r="AY27" s="216">
        <f t="shared" si="13"/>
        <v>0.77643477842613629</v>
      </c>
      <c r="AZ27" s="217">
        <f t="shared" si="14"/>
        <v>3.5883638597441294</v>
      </c>
      <c r="BA27" s="216">
        <f t="shared" si="15"/>
        <v>0</v>
      </c>
      <c r="BB27" s="216">
        <f t="shared" si="16"/>
        <v>1.0016542390239327</v>
      </c>
      <c r="BC27" s="216">
        <f t="shared" si="17"/>
        <v>1</v>
      </c>
    </row>
    <row r="28" spans="1:55" ht="20.100000000000001" customHeight="1" x14ac:dyDescent="0.2">
      <c r="A28" s="45">
        <v>0.54166666666666696</v>
      </c>
      <c r="B28" s="451"/>
      <c r="C28" s="451"/>
      <c r="D28" s="451">
        <v>8.1999999999999993</v>
      </c>
      <c r="E28" s="451">
        <v>68.8</v>
      </c>
      <c r="F28" s="41">
        <v>1940</v>
      </c>
      <c r="G28" s="37">
        <v>-5.6</v>
      </c>
      <c r="H28" s="37">
        <v>72.8</v>
      </c>
      <c r="I28" s="37">
        <v>22.8</v>
      </c>
      <c r="J28" s="41">
        <v>476</v>
      </c>
      <c r="K28" s="37">
        <v>13</v>
      </c>
      <c r="L28" s="451">
        <v>132</v>
      </c>
      <c r="M28" s="451">
        <v>224</v>
      </c>
      <c r="N28" s="451">
        <v>90</v>
      </c>
      <c r="O28" s="353">
        <v>40</v>
      </c>
      <c r="P28" s="353">
        <v>16</v>
      </c>
      <c r="Q28" s="353">
        <v>263.29000000000002</v>
      </c>
      <c r="R28" s="37"/>
      <c r="S28" s="508" t="str">
        <f t="shared" si="0"/>
        <v/>
      </c>
      <c r="T28" s="508"/>
      <c r="U28" s="508"/>
      <c r="V28" s="508"/>
      <c r="X28" s="45">
        <v>0.54166666666666696</v>
      </c>
      <c r="Y28" s="106"/>
      <c r="Z28" s="102"/>
      <c r="AA28" s="102"/>
      <c r="AB28" s="45" t="str">
        <f t="shared" si="18"/>
        <v/>
      </c>
      <c r="AC28" s="45" t="str">
        <f t="shared" si="1"/>
        <v/>
      </c>
      <c r="AD28" s="81"/>
      <c r="AE28" s="9" t="str">
        <f>IF(S28="","",IF(COUNTA(Z28:$Z$39)=1,IF(COUNTA(AD28:$AD$39)=1,""," ; "),IF(COUNTA(AD28:$AD$39)=1,IF(Z28="",""," ; ")," ; ")))</f>
        <v/>
      </c>
      <c r="AF28" s="9" t="str">
        <f t="shared" si="2"/>
        <v/>
      </c>
      <c r="AG28" s="90" t="str">
        <f t="shared" si="3"/>
        <v/>
      </c>
      <c r="AH28" s="204" t="s">
        <v>278</v>
      </c>
      <c r="AJ28" s="206">
        <f t="shared" si="19"/>
        <v>500</v>
      </c>
      <c r="AK28" s="206">
        <f t="shared" si="19"/>
        <v>100</v>
      </c>
      <c r="AL28" s="206">
        <f t="shared" si="19"/>
        <v>2</v>
      </c>
      <c r="AM28" s="213">
        <f t="shared" si="19"/>
        <v>0.875</v>
      </c>
      <c r="AN28" s="214">
        <f t="shared" si="19"/>
        <v>0.63607464142166403</v>
      </c>
      <c r="AO28" s="215">
        <f t="shared" si="4"/>
        <v>-14.7</v>
      </c>
      <c r="AP28" s="216">
        <f t="shared" si="5"/>
        <v>1</v>
      </c>
      <c r="AQ28" s="216">
        <f t="shared" si="6"/>
        <v>1</v>
      </c>
      <c r="AR28" s="215">
        <f t="shared" si="20"/>
        <v>158.47</v>
      </c>
      <c r="AS28" s="216">
        <f t="shared" si="7"/>
        <v>0.9723448696087954</v>
      </c>
      <c r="AT28" s="216">
        <f t="shared" si="8"/>
        <v>1.2538510821608391</v>
      </c>
      <c r="AU28" s="216">
        <f t="shared" si="9"/>
        <v>2.2360679774997898</v>
      </c>
      <c r="AV28" s="217">
        <f t="shared" si="10"/>
        <v>10.368348541764712</v>
      </c>
      <c r="AW28" s="216">
        <f t="shared" si="11"/>
        <v>0</v>
      </c>
      <c r="AX28" s="218">
        <f t="shared" si="12"/>
        <v>1.4831709199797398</v>
      </c>
      <c r="AY28" s="216">
        <f t="shared" si="13"/>
        <v>0.77643477842613629</v>
      </c>
      <c r="AZ28" s="217">
        <f t="shared" si="14"/>
        <v>3.5883638597441294</v>
      </c>
      <c r="BA28" s="216">
        <f t="shared" si="15"/>
        <v>0</v>
      </c>
      <c r="BB28" s="216">
        <f t="shared" si="16"/>
        <v>1.0016542390239327</v>
      </c>
      <c r="BC28" s="216">
        <f t="shared" si="17"/>
        <v>1</v>
      </c>
    </row>
    <row r="29" spans="1:55" ht="20.100000000000001" customHeight="1" x14ac:dyDescent="0.2">
      <c r="A29" s="45">
        <v>0.58333333333333304</v>
      </c>
      <c r="B29" s="451"/>
      <c r="C29" s="451"/>
      <c r="D29" s="451">
        <v>8.8000000000000007</v>
      </c>
      <c r="E29" s="451">
        <v>77.099999999999994</v>
      </c>
      <c r="F29" s="41">
        <v>1955</v>
      </c>
      <c r="G29" s="37">
        <v>-5.6</v>
      </c>
      <c r="H29" s="37">
        <v>72.099999999999994</v>
      </c>
      <c r="I29" s="37">
        <v>22.2</v>
      </c>
      <c r="J29" s="41">
        <v>477</v>
      </c>
      <c r="K29" s="37">
        <v>13</v>
      </c>
      <c r="L29" s="451">
        <v>133</v>
      </c>
      <c r="M29" s="451">
        <v>225</v>
      </c>
      <c r="N29" s="451">
        <v>90</v>
      </c>
      <c r="O29" s="353">
        <v>40</v>
      </c>
      <c r="P29" s="353">
        <v>14</v>
      </c>
      <c r="Q29" s="353">
        <v>246.42</v>
      </c>
      <c r="R29" s="37"/>
      <c r="S29" s="508" t="str">
        <f t="shared" si="0"/>
        <v/>
      </c>
      <c r="T29" s="508"/>
      <c r="U29" s="508"/>
      <c r="V29" s="508"/>
      <c r="X29" s="45">
        <v>0.58333333333333304</v>
      </c>
      <c r="Y29" s="106"/>
      <c r="Z29" s="102"/>
      <c r="AA29" s="102"/>
      <c r="AB29" s="45" t="str">
        <f t="shared" si="18"/>
        <v/>
      </c>
      <c r="AC29" s="45" t="str">
        <f t="shared" si="1"/>
        <v/>
      </c>
      <c r="AD29" s="81"/>
      <c r="AE29" s="9" t="str">
        <f>IF(S29="","",IF(COUNTA(Z29:$Z$39)=1,IF(COUNTA(AD29:$AD$39)=1,""," ; "),IF(COUNTA(AD29:$AD$39)=1,IF(Z29="",""," ; ")," ; ")))</f>
        <v/>
      </c>
      <c r="AF29" s="9" t="str">
        <f t="shared" si="2"/>
        <v/>
      </c>
      <c r="AG29" s="90" t="str">
        <f t="shared" si="3"/>
        <v/>
      </c>
      <c r="AH29" s="204" t="s">
        <v>224</v>
      </c>
      <c r="AJ29" s="206">
        <f t="shared" si="19"/>
        <v>500</v>
      </c>
      <c r="AK29" s="206">
        <f t="shared" si="19"/>
        <v>100</v>
      </c>
      <c r="AL29" s="206">
        <f t="shared" si="19"/>
        <v>2</v>
      </c>
      <c r="AM29" s="213">
        <f t="shared" si="19"/>
        <v>0.875</v>
      </c>
      <c r="AN29" s="214">
        <f t="shared" si="19"/>
        <v>0.63607464142166403</v>
      </c>
      <c r="AO29" s="215">
        <f t="shared" si="4"/>
        <v>-14.7</v>
      </c>
      <c r="AP29" s="216">
        <f t="shared" si="5"/>
        <v>1</v>
      </c>
      <c r="AQ29" s="216">
        <f t="shared" si="6"/>
        <v>1</v>
      </c>
      <c r="AR29" s="215">
        <f t="shared" si="20"/>
        <v>158.47</v>
      </c>
      <c r="AS29" s="216">
        <f t="shared" si="7"/>
        <v>0.9723448696087954</v>
      </c>
      <c r="AT29" s="216">
        <f t="shared" si="8"/>
        <v>1.2538510821608391</v>
      </c>
      <c r="AU29" s="216">
        <f t="shared" si="9"/>
        <v>2.2360679774997898</v>
      </c>
      <c r="AV29" s="217">
        <f t="shared" si="10"/>
        <v>10.368348541764712</v>
      </c>
      <c r="AW29" s="216">
        <f t="shared" si="11"/>
        <v>0</v>
      </c>
      <c r="AX29" s="218">
        <f t="shared" si="12"/>
        <v>1.4831709199797398</v>
      </c>
      <c r="AY29" s="216">
        <f t="shared" si="13"/>
        <v>0.77643477842613629</v>
      </c>
      <c r="AZ29" s="217">
        <f t="shared" si="14"/>
        <v>3.5883638597441294</v>
      </c>
      <c r="BA29" s="216">
        <f t="shared" si="15"/>
        <v>0</v>
      </c>
      <c r="BB29" s="216">
        <f t="shared" si="16"/>
        <v>1.0016542390239327</v>
      </c>
      <c r="BC29" s="216">
        <f t="shared" si="17"/>
        <v>1</v>
      </c>
    </row>
    <row r="30" spans="1:55" ht="20.100000000000001" customHeight="1" x14ac:dyDescent="0.2">
      <c r="A30" s="45">
        <v>0.625</v>
      </c>
      <c r="B30" s="451"/>
      <c r="C30" s="451"/>
      <c r="D30" s="451">
        <v>8.1999999999999993</v>
      </c>
      <c r="E30" s="451">
        <v>78.8</v>
      </c>
      <c r="F30" s="41">
        <v>1941</v>
      </c>
      <c r="G30" s="37">
        <v>-5.6</v>
      </c>
      <c r="H30" s="37">
        <v>72.900000000000006</v>
      </c>
      <c r="I30" s="37">
        <v>22</v>
      </c>
      <c r="J30" s="41">
        <v>478</v>
      </c>
      <c r="K30" s="37">
        <v>13</v>
      </c>
      <c r="L30" s="451">
        <v>134</v>
      </c>
      <c r="M30" s="451">
        <v>226</v>
      </c>
      <c r="N30" s="451">
        <v>90</v>
      </c>
      <c r="O30" s="353">
        <v>50</v>
      </c>
      <c r="P30" s="353">
        <v>14</v>
      </c>
      <c r="Q30" s="353">
        <v>268.3</v>
      </c>
      <c r="R30" s="37"/>
      <c r="S30" s="508" t="str">
        <f t="shared" si="0"/>
        <v/>
      </c>
      <c r="T30" s="508"/>
      <c r="U30" s="508"/>
      <c r="V30" s="508"/>
      <c r="X30" s="45">
        <v>0.625</v>
      </c>
      <c r="Y30" s="106"/>
      <c r="Z30" s="102"/>
      <c r="AA30" s="102"/>
      <c r="AB30" s="45" t="str">
        <f t="shared" si="18"/>
        <v/>
      </c>
      <c r="AC30" s="45" t="str">
        <f t="shared" si="1"/>
        <v/>
      </c>
      <c r="AD30" s="81"/>
      <c r="AE30" s="9" t="str">
        <f>IF(S30="","",IF(COUNTA(Z30:$Z$39)=1,IF(COUNTA(AD30:$AD$39)=1,""," ; "),IF(COUNTA(AD30:$AD$39)=1,IF(Z30="",""," ; ")," ; ")))</f>
        <v/>
      </c>
      <c r="AF30" s="9" t="str">
        <f t="shared" si="2"/>
        <v/>
      </c>
      <c r="AG30" s="90" t="str">
        <f t="shared" si="3"/>
        <v/>
      </c>
      <c r="AH30" s="204" t="s">
        <v>260</v>
      </c>
      <c r="AJ30" s="206">
        <f t="shared" si="19"/>
        <v>500</v>
      </c>
      <c r="AK30" s="206">
        <f t="shared" si="19"/>
        <v>100</v>
      </c>
      <c r="AL30" s="206">
        <f t="shared" si="19"/>
        <v>2</v>
      </c>
      <c r="AM30" s="213">
        <f t="shared" si="19"/>
        <v>0.875</v>
      </c>
      <c r="AN30" s="214">
        <f t="shared" si="19"/>
        <v>0.63607464142166403</v>
      </c>
      <c r="AO30" s="215">
        <f t="shared" si="4"/>
        <v>-14.7</v>
      </c>
      <c r="AP30" s="216">
        <f t="shared" si="5"/>
        <v>1</v>
      </c>
      <c r="AQ30" s="216">
        <f t="shared" si="6"/>
        <v>1</v>
      </c>
      <c r="AR30" s="215">
        <f t="shared" si="20"/>
        <v>158.47</v>
      </c>
      <c r="AS30" s="216">
        <f t="shared" si="7"/>
        <v>0.9723448696087954</v>
      </c>
      <c r="AT30" s="216">
        <f t="shared" si="8"/>
        <v>1.2538510821608391</v>
      </c>
      <c r="AU30" s="216">
        <f t="shared" si="9"/>
        <v>2.2360679774997898</v>
      </c>
      <c r="AV30" s="217">
        <f t="shared" si="10"/>
        <v>10.368348541764712</v>
      </c>
      <c r="AW30" s="216">
        <f t="shared" si="11"/>
        <v>0</v>
      </c>
      <c r="AX30" s="218">
        <f t="shared" si="12"/>
        <v>1.4831709199797398</v>
      </c>
      <c r="AY30" s="216">
        <f t="shared" si="13"/>
        <v>0.77643477842613629</v>
      </c>
      <c r="AZ30" s="217">
        <f t="shared" si="14"/>
        <v>3.5883638597441294</v>
      </c>
      <c r="BA30" s="216">
        <f t="shared" si="15"/>
        <v>0</v>
      </c>
      <c r="BB30" s="216">
        <f t="shared" si="16"/>
        <v>1.0016542390239327</v>
      </c>
      <c r="BC30" s="216">
        <f t="shared" si="17"/>
        <v>1</v>
      </c>
    </row>
    <row r="31" spans="1:55" ht="20.100000000000001" customHeight="1" x14ac:dyDescent="0.2">
      <c r="A31" s="45">
        <v>0.66666666666666696</v>
      </c>
      <c r="B31" s="451"/>
      <c r="C31" s="451"/>
      <c r="D31" s="451">
        <v>8.9</v>
      </c>
      <c r="E31" s="451">
        <v>79</v>
      </c>
      <c r="F31" s="41">
        <v>1920</v>
      </c>
      <c r="G31" s="37">
        <v>-5.6</v>
      </c>
      <c r="H31" s="37">
        <v>72.7</v>
      </c>
      <c r="I31" s="37">
        <v>22.8</v>
      </c>
      <c r="J31" s="41">
        <v>479</v>
      </c>
      <c r="K31" s="37">
        <v>13</v>
      </c>
      <c r="L31" s="451">
        <v>134</v>
      </c>
      <c r="M31" s="451">
        <v>227</v>
      </c>
      <c r="N31" s="451">
        <v>90</v>
      </c>
      <c r="O31" s="353">
        <v>50</v>
      </c>
      <c r="P31" s="353">
        <v>15</v>
      </c>
      <c r="Q31" s="353">
        <v>277.64</v>
      </c>
      <c r="R31" s="37"/>
      <c r="S31" s="508" t="str">
        <f t="shared" si="0"/>
        <v/>
      </c>
      <c r="T31" s="508"/>
      <c r="U31" s="508"/>
      <c r="V31" s="508"/>
      <c r="X31" s="45">
        <v>0.66666666666666696</v>
      </c>
      <c r="Y31" s="106"/>
      <c r="Z31" s="102"/>
      <c r="AA31" s="102"/>
      <c r="AB31" s="45" t="str">
        <f t="shared" si="18"/>
        <v/>
      </c>
      <c r="AC31" s="45" t="str">
        <f t="shared" si="1"/>
        <v/>
      </c>
      <c r="AD31" s="81"/>
      <c r="AE31" s="9" t="str">
        <f>IF(S31="","",IF(COUNTA(Z31:$Z$39)=1,IF(COUNTA(AD31:$AD$39)=1,""," ; "),IF(COUNTA(AD31:$AD$39)=1,IF(Z31="",""," ; ")," ; ")))</f>
        <v/>
      </c>
      <c r="AF31" s="9" t="str">
        <f t="shared" si="2"/>
        <v/>
      </c>
      <c r="AG31" s="90" t="str">
        <f t="shared" si="3"/>
        <v/>
      </c>
      <c r="AH31" s="204" t="s">
        <v>226</v>
      </c>
      <c r="AJ31" s="206">
        <f t="shared" si="19"/>
        <v>500</v>
      </c>
      <c r="AK31" s="206">
        <f t="shared" si="19"/>
        <v>100</v>
      </c>
      <c r="AL31" s="206">
        <f t="shared" si="19"/>
        <v>2</v>
      </c>
      <c r="AM31" s="213">
        <f t="shared" si="19"/>
        <v>0.875</v>
      </c>
      <c r="AN31" s="214">
        <f t="shared" si="19"/>
        <v>0.63607464142166403</v>
      </c>
      <c r="AO31" s="215">
        <f t="shared" si="4"/>
        <v>-14.7</v>
      </c>
      <c r="AP31" s="216">
        <f t="shared" si="5"/>
        <v>1</v>
      </c>
      <c r="AQ31" s="216">
        <f t="shared" si="6"/>
        <v>1</v>
      </c>
      <c r="AR31" s="215">
        <f t="shared" si="20"/>
        <v>158.47</v>
      </c>
      <c r="AS31" s="216">
        <f t="shared" si="7"/>
        <v>0.9723448696087954</v>
      </c>
      <c r="AT31" s="216">
        <f t="shared" si="8"/>
        <v>1.2538510821608391</v>
      </c>
      <c r="AU31" s="216">
        <f t="shared" si="9"/>
        <v>2.2360679774997898</v>
      </c>
      <c r="AV31" s="217">
        <f t="shared" si="10"/>
        <v>10.368348541764712</v>
      </c>
      <c r="AW31" s="216">
        <f t="shared" si="11"/>
        <v>0</v>
      </c>
      <c r="AX31" s="218">
        <f t="shared" si="12"/>
        <v>1.4831709199797398</v>
      </c>
      <c r="AY31" s="216">
        <f t="shared" si="13"/>
        <v>0.77643477842613629</v>
      </c>
      <c r="AZ31" s="217">
        <f t="shared" si="14"/>
        <v>3.5883638597441294</v>
      </c>
      <c r="BA31" s="216">
        <f t="shared" si="15"/>
        <v>0</v>
      </c>
      <c r="BB31" s="216">
        <f t="shared" si="16"/>
        <v>1.0016542390239327</v>
      </c>
      <c r="BC31" s="216">
        <f t="shared" si="17"/>
        <v>1</v>
      </c>
    </row>
    <row r="32" spans="1:55" ht="20.100000000000001" customHeight="1" x14ac:dyDescent="0.2">
      <c r="A32" s="45">
        <v>0.70833333333333304</v>
      </c>
      <c r="B32" s="451"/>
      <c r="C32" s="451"/>
      <c r="D32" s="451">
        <v>8.1999999999999993</v>
      </c>
      <c r="E32" s="451">
        <v>80.2</v>
      </c>
      <c r="F32" s="41">
        <v>1946</v>
      </c>
      <c r="G32" s="37">
        <v>-5.6</v>
      </c>
      <c r="H32" s="37">
        <v>72.099999999999994</v>
      </c>
      <c r="I32" s="37">
        <v>22.7</v>
      </c>
      <c r="J32" s="41">
        <v>480</v>
      </c>
      <c r="K32" s="37">
        <v>13</v>
      </c>
      <c r="L32" s="451">
        <v>134</v>
      </c>
      <c r="M32" s="451">
        <v>227</v>
      </c>
      <c r="N32" s="451">
        <v>90</v>
      </c>
      <c r="O32" s="353">
        <v>50</v>
      </c>
      <c r="P32" s="353">
        <v>13</v>
      </c>
      <c r="Q32" s="353">
        <v>258.61</v>
      </c>
      <c r="R32" s="37"/>
      <c r="S32" s="508" t="str">
        <f t="shared" si="0"/>
        <v/>
      </c>
      <c r="T32" s="508"/>
      <c r="U32" s="508"/>
      <c r="V32" s="508"/>
      <c r="X32" s="45">
        <v>0.70833333333333304</v>
      </c>
      <c r="Y32" s="106"/>
      <c r="Z32" s="102"/>
      <c r="AA32" s="102"/>
      <c r="AB32" s="45" t="str">
        <f t="shared" si="18"/>
        <v/>
      </c>
      <c r="AC32" s="45" t="str">
        <f t="shared" si="1"/>
        <v/>
      </c>
      <c r="AD32" s="81"/>
      <c r="AE32" s="9" t="str">
        <f>IF(S32="","",IF(COUNTA(Z32:$Z$39)=1,IF(COUNTA(AD32:$AD$39)=1,""," ; "),IF(COUNTA(AD32:$AD$39)=1,IF(Z32="",""," ; ")," ; ")))</f>
        <v/>
      </c>
      <c r="AF32" s="9" t="str">
        <f t="shared" si="2"/>
        <v/>
      </c>
      <c r="AG32" s="90" t="str">
        <f t="shared" si="3"/>
        <v/>
      </c>
      <c r="AH32" s="204" t="s">
        <v>313</v>
      </c>
      <c r="AJ32" s="206">
        <f t="shared" si="19"/>
        <v>500</v>
      </c>
      <c r="AK32" s="206">
        <f t="shared" si="19"/>
        <v>100</v>
      </c>
      <c r="AL32" s="206">
        <f t="shared" si="19"/>
        <v>2</v>
      </c>
      <c r="AM32" s="213">
        <f t="shared" si="19"/>
        <v>0.875</v>
      </c>
      <c r="AN32" s="214">
        <f t="shared" si="19"/>
        <v>0.63607464142166403</v>
      </c>
      <c r="AO32" s="215">
        <f t="shared" si="4"/>
        <v>-14.7</v>
      </c>
      <c r="AP32" s="216">
        <f t="shared" si="5"/>
        <v>1</v>
      </c>
      <c r="AQ32" s="216">
        <f t="shared" si="6"/>
        <v>1</v>
      </c>
      <c r="AR32" s="215">
        <f t="shared" si="20"/>
        <v>158.47</v>
      </c>
      <c r="AS32" s="216">
        <f t="shared" si="7"/>
        <v>0.9723448696087954</v>
      </c>
      <c r="AT32" s="216">
        <f t="shared" si="8"/>
        <v>1.2538510821608391</v>
      </c>
      <c r="AU32" s="216">
        <f t="shared" si="9"/>
        <v>2.2360679774997898</v>
      </c>
      <c r="AV32" s="217">
        <f t="shared" si="10"/>
        <v>10.368348541764712</v>
      </c>
      <c r="AW32" s="216">
        <f t="shared" si="11"/>
        <v>0</v>
      </c>
      <c r="AX32" s="218">
        <f t="shared" si="12"/>
        <v>1.4831709199797398</v>
      </c>
      <c r="AY32" s="216">
        <f t="shared" si="13"/>
        <v>0.77643477842613629</v>
      </c>
      <c r="AZ32" s="217">
        <f t="shared" si="14"/>
        <v>3.5883638597441294</v>
      </c>
      <c r="BA32" s="216">
        <f t="shared" si="15"/>
        <v>0</v>
      </c>
      <c r="BB32" s="216">
        <f t="shared" si="16"/>
        <v>1.0016542390239327</v>
      </c>
      <c r="BC32" s="216">
        <f t="shared" si="17"/>
        <v>1</v>
      </c>
    </row>
    <row r="33" spans="1:55" ht="20.100000000000001" customHeight="1" x14ac:dyDescent="0.2">
      <c r="A33" s="45">
        <v>0.75</v>
      </c>
      <c r="B33" s="451"/>
      <c r="C33" s="451"/>
      <c r="D33" s="451">
        <v>8.6999999999999993</v>
      </c>
      <c r="E33" s="451">
        <v>80.099999999999994</v>
      </c>
      <c r="F33" s="41">
        <v>1953</v>
      </c>
      <c r="G33" s="37">
        <v>-5.6</v>
      </c>
      <c r="H33" s="37">
        <v>72.8</v>
      </c>
      <c r="I33" s="37">
        <v>22.2</v>
      </c>
      <c r="J33" s="41">
        <v>481</v>
      </c>
      <c r="K33" s="37">
        <v>13</v>
      </c>
      <c r="L33" s="451">
        <v>135</v>
      </c>
      <c r="M33" s="451">
        <v>225</v>
      </c>
      <c r="N33" s="451">
        <v>90</v>
      </c>
      <c r="O33" s="353">
        <v>50</v>
      </c>
      <c r="P33" s="353">
        <v>13</v>
      </c>
      <c r="Q33" s="353">
        <v>258.61</v>
      </c>
      <c r="R33" s="37"/>
      <c r="S33" s="508" t="str">
        <f>IF(Z33="",IF(AD33="","",AD33),CONCATENATE(TEXT(Z33,"[hh]:mm"),IF(AA33="",""," - "&amp;TEXT(AA33,"[hh]:mm")),IF(Y33="",""," "&amp;Y33&amp;"/")," "&amp;AD33))</f>
        <v/>
      </c>
      <c r="T33" s="508"/>
      <c r="U33" s="508"/>
      <c r="V33" s="508"/>
      <c r="X33" s="45">
        <v>0.75</v>
      </c>
      <c r="Y33" s="106"/>
      <c r="Z33" s="102"/>
      <c r="AA33" s="102"/>
      <c r="AB33" s="45" t="str">
        <f t="shared" si="18"/>
        <v/>
      </c>
      <c r="AC33" s="45" t="str">
        <f t="shared" si="1"/>
        <v/>
      </c>
      <c r="AD33" s="81"/>
      <c r="AE33" s="9" t="str">
        <f>IF(S33="","",IF(COUNTA(Z33:$Z$39)=1,IF(COUNTA(AD33:$AD$39)=1,""," ; "),IF(COUNTA(AD33:$AD$39)=1,IF(Z33="",""," ; ")," ; ")))</f>
        <v/>
      </c>
      <c r="AF33" s="9" t="str">
        <f t="shared" si="2"/>
        <v/>
      </c>
      <c r="AG33" s="90" t="str">
        <f t="shared" si="3"/>
        <v/>
      </c>
      <c r="AH33" s="204" t="s">
        <v>308</v>
      </c>
      <c r="AJ33" s="206">
        <f t="shared" ref="AJ33:AN39" si="21">AJ32</f>
        <v>500</v>
      </c>
      <c r="AK33" s="206">
        <f t="shared" si="21"/>
        <v>100</v>
      </c>
      <c r="AL33" s="206">
        <f t="shared" si="21"/>
        <v>2</v>
      </c>
      <c r="AM33" s="213">
        <f t="shared" si="21"/>
        <v>0.875</v>
      </c>
      <c r="AN33" s="214">
        <f t="shared" si="21"/>
        <v>0.63607464142166403</v>
      </c>
      <c r="AO33" s="215">
        <f t="shared" si="4"/>
        <v>-14.7</v>
      </c>
      <c r="AP33" s="216">
        <f t="shared" si="5"/>
        <v>1</v>
      </c>
      <c r="AQ33" s="216">
        <f t="shared" si="6"/>
        <v>1</v>
      </c>
      <c r="AR33" s="215">
        <f t="shared" si="20"/>
        <v>158.47</v>
      </c>
      <c r="AS33" s="216">
        <f t="shared" si="7"/>
        <v>0.9723448696087954</v>
      </c>
      <c r="AT33" s="216">
        <f t="shared" si="8"/>
        <v>1.2538510821608391</v>
      </c>
      <c r="AU33" s="216">
        <f t="shared" si="9"/>
        <v>2.2360679774997898</v>
      </c>
      <c r="AV33" s="217">
        <f t="shared" si="10"/>
        <v>10.368348541764712</v>
      </c>
      <c r="AW33" s="216">
        <f t="shared" si="11"/>
        <v>0</v>
      </c>
      <c r="AX33" s="218">
        <f t="shared" si="12"/>
        <v>1.4831709199797398</v>
      </c>
      <c r="AY33" s="216">
        <f t="shared" si="13"/>
        <v>0.77643477842613629</v>
      </c>
      <c r="AZ33" s="217">
        <f t="shared" si="14"/>
        <v>3.5883638597441294</v>
      </c>
      <c r="BA33" s="216">
        <f t="shared" si="15"/>
        <v>0</v>
      </c>
      <c r="BB33" s="216">
        <f t="shared" si="16"/>
        <v>1.0016542390239327</v>
      </c>
      <c r="BC33" s="216">
        <f t="shared" si="17"/>
        <v>1</v>
      </c>
    </row>
    <row r="34" spans="1:55" ht="20.100000000000001" customHeight="1" x14ac:dyDescent="0.2">
      <c r="A34" s="45">
        <v>0.79166666666666696</v>
      </c>
      <c r="B34" s="451"/>
      <c r="C34" s="451"/>
      <c r="D34" s="451">
        <v>8.9</v>
      </c>
      <c r="E34" s="451">
        <v>78.900000000000006</v>
      </c>
      <c r="F34" s="41">
        <v>1960</v>
      </c>
      <c r="G34" s="37">
        <v>-5.6</v>
      </c>
      <c r="H34" s="37">
        <v>72.400000000000006</v>
      </c>
      <c r="I34" s="37">
        <v>22.6</v>
      </c>
      <c r="J34" s="41">
        <v>482</v>
      </c>
      <c r="K34" s="37">
        <v>13</v>
      </c>
      <c r="L34" s="451">
        <v>135</v>
      </c>
      <c r="M34" s="451">
        <v>225</v>
      </c>
      <c r="N34" s="451">
        <v>90</v>
      </c>
      <c r="O34" s="353">
        <v>50</v>
      </c>
      <c r="P34" s="353">
        <v>13</v>
      </c>
      <c r="Q34" s="353">
        <v>258.61</v>
      </c>
      <c r="R34" s="37"/>
      <c r="S34" s="508" t="str">
        <f t="shared" ref="S34:S39" si="22">IF(Z34="",IF(AD34="","",AD34),CONCATENATE(TEXT(Z34,"[hh]:mm"),IF(AA34="",""," - "&amp;TEXT(AA34,"[hh]:mm")),IF(Y34="",""," "&amp;Y34&amp;"/")," "&amp;AD34))</f>
        <v/>
      </c>
      <c r="T34" s="508"/>
      <c r="U34" s="508"/>
      <c r="V34" s="508"/>
      <c r="X34" s="45">
        <v>0.79166666666666696</v>
      </c>
      <c r="Y34" s="106"/>
      <c r="Z34" s="102"/>
      <c r="AA34" s="102"/>
      <c r="AB34" s="45" t="str">
        <f t="shared" si="18"/>
        <v/>
      </c>
      <c r="AC34" s="45" t="str">
        <f t="shared" si="1"/>
        <v/>
      </c>
      <c r="AD34" s="81"/>
      <c r="AE34" s="9" t="str">
        <f>IF(S34="","",IF(COUNTA(Z34:$Z$39)=1,IF(COUNTA(AD34:$AD$39)=1,""," ; "),IF(COUNTA(AD34:$AD$39)=1,IF(Z34="",""," ; ")," ; ")))</f>
        <v/>
      </c>
      <c r="AF34" s="9" t="str">
        <f t="shared" si="2"/>
        <v/>
      </c>
      <c r="AG34" s="90" t="str">
        <f t="shared" si="3"/>
        <v/>
      </c>
      <c r="AH34" s="204" t="s">
        <v>314</v>
      </c>
      <c r="AJ34" s="206">
        <f t="shared" si="21"/>
        <v>500</v>
      </c>
      <c r="AK34" s="206">
        <f t="shared" si="21"/>
        <v>100</v>
      </c>
      <c r="AL34" s="206">
        <f t="shared" si="21"/>
        <v>2</v>
      </c>
      <c r="AM34" s="213">
        <f t="shared" si="21"/>
        <v>0.875</v>
      </c>
      <c r="AN34" s="214">
        <f t="shared" si="21"/>
        <v>0.63607464142166403</v>
      </c>
      <c r="AO34" s="215">
        <f t="shared" si="4"/>
        <v>-14.7</v>
      </c>
      <c r="AP34" s="216">
        <f t="shared" si="5"/>
        <v>1</v>
      </c>
      <c r="AQ34" s="216">
        <f t="shared" si="6"/>
        <v>1</v>
      </c>
      <c r="AR34" s="215">
        <f t="shared" si="20"/>
        <v>158.47</v>
      </c>
      <c r="AS34" s="216">
        <f t="shared" si="7"/>
        <v>0.9723448696087954</v>
      </c>
      <c r="AT34" s="216">
        <f t="shared" si="8"/>
        <v>1.2538510821608391</v>
      </c>
      <c r="AU34" s="216">
        <f t="shared" si="9"/>
        <v>2.2360679774997898</v>
      </c>
      <c r="AV34" s="217">
        <f t="shared" si="10"/>
        <v>10.368348541764712</v>
      </c>
      <c r="AW34" s="216">
        <f t="shared" si="11"/>
        <v>0</v>
      </c>
      <c r="AX34" s="218">
        <f t="shared" si="12"/>
        <v>1.4831709199797398</v>
      </c>
      <c r="AY34" s="216">
        <f t="shared" si="13"/>
        <v>0.77643477842613629</v>
      </c>
      <c r="AZ34" s="217">
        <f t="shared" si="14"/>
        <v>3.5883638597441294</v>
      </c>
      <c r="BA34" s="216">
        <f t="shared" si="15"/>
        <v>0</v>
      </c>
      <c r="BB34" s="216">
        <f t="shared" si="16"/>
        <v>1.0016542390239327</v>
      </c>
      <c r="BC34" s="216">
        <f t="shared" si="17"/>
        <v>1</v>
      </c>
    </row>
    <row r="35" spans="1:55" ht="20.100000000000001" customHeight="1" x14ac:dyDescent="0.2">
      <c r="A35" s="45">
        <v>0.83333333333333304</v>
      </c>
      <c r="B35" s="451"/>
      <c r="C35" s="451"/>
      <c r="D35" s="451">
        <v>7.4</v>
      </c>
      <c r="E35" s="451">
        <v>75.2</v>
      </c>
      <c r="F35" s="41">
        <v>1922</v>
      </c>
      <c r="G35" s="37">
        <v>-5.6</v>
      </c>
      <c r="H35" s="37">
        <v>72.599999999999994</v>
      </c>
      <c r="I35" s="37">
        <v>22.7</v>
      </c>
      <c r="J35" s="41">
        <v>483</v>
      </c>
      <c r="K35" s="37">
        <v>13</v>
      </c>
      <c r="L35" s="451">
        <v>137</v>
      </c>
      <c r="M35" s="451">
        <v>222</v>
      </c>
      <c r="N35" s="451">
        <v>90</v>
      </c>
      <c r="O35" s="353">
        <v>40</v>
      </c>
      <c r="P35" s="353">
        <v>15</v>
      </c>
      <c r="Q35" s="353">
        <v>255</v>
      </c>
      <c r="R35" s="37"/>
      <c r="S35" s="508" t="str">
        <f t="shared" si="22"/>
        <v/>
      </c>
      <c r="T35" s="508"/>
      <c r="U35" s="508"/>
      <c r="V35" s="508"/>
      <c r="X35" s="45">
        <v>0.83333333333333304</v>
      </c>
      <c r="Y35" s="106"/>
      <c r="Z35" s="102"/>
      <c r="AA35" s="102"/>
      <c r="AB35" s="45" t="str">
        <f t="shared" si="18"/>
        <v/>
      </c>
      <c r="AC35" s="45" t="str">
        <f t="shared" si="1"/>
        <v/>
      </c>
      <c r="AD35" s="81"/>
      <c r="AE35" s="9" t="str">
        <f>IF(S35="","",IF(COUNTA(Z35:$Z$39)=1,IF(COUNTA(AD35:$AD$39)=1,""," ; "),IF(COUNTA(AD35:$AD$39)=1,IF(Z35="",""," ; ")," ; ")))</f>
        <v/>
      </c>
      <c r="AF35" s="9" t="str">
        <f t="shared" si="2"/>
        <v/>
      </c>
      <c r="AG35" s="90" t="str">
        <f t="shared" si="3"/>
        <v/>
      </c>
      <c r="AH35" s="204" t="s">
        <v>227</v>
      </c>
      <c r="AJ35" s="206">
        <f t="shared" si="21"/>
        <v>500</v>
      </c>
      <c r="AK35" s="206">
        <f t="shared" si="21"/>
        <v>100</v>
      </c>
      <c r="AL35" s="206">
        <f t="shared" si="21"/>
        <v>2</v>
      </c>
      <c r="AM35" s="213">
        <f t="shared" si="21"/>
        <v>0.875</v>
      </c>
      <c r="AN35" s="214">
        <f t="shared" si="21"/>
        <v>0.63607464142166403</v>
      </c>
      <c r="AO35" s="215">
        <f t="shared" si="4"/>
        <v>-14.7</v>
      </c>
      <c r="AP35" s="216">
        <f t="shared" si="5"/>
        <v>1</v>
      </c>
      <c r="AQ35" s="216">
        <f t="shared" si="6"/>
        <v>1</v>
      </c>
      <c r="AR35" s="215">
        <f t="shared" si="20"/>
        <v>158.47</v>
      </c>
      <c r="AS35" s="216">
        <f t="shared" si="7"/>
        <v>0.9723448696087954</v>
      </c>
      <c r="AT35" s="216">
        <f t="shared" si="8"/>
        <v>1.2538510821608391</v>
      </c>
      <c r="AU35" s="216">
        <f t="shared" si="9"/>
        <v>2.2360679774997898</v>
      </c>
      <c r="AV35" s="217">
        <f t="shared" si="10"/>
        <v>10.368348541764712</v>
      </c>
      <c r="AW35" s="216">
        <f t="shared" si="11"/>
        <v>0</v>
      </c>
      <c r="AX35" s="218">
        <f t="shared" si="12"/>
        <v>1.4831709199797398</v>
      </c>
      <c r="AY35" s="216">
        <f t="shared" si="13"/>
        <v>0.77643477842613629</v>
      </c>
      <c r="AZ35" s="217">
        <f t="shared" si="14"/>
        <v>3.5883638597441294</v>
      </c>
      <c r="BA35" s="216">
        <f t="shared" si="15"/>
        <v>0</v>
      </c>
      <c r="BB35" s="216">
        <f t="shared" si="16"/>
        <v>1.0016542390239327</v>
      </c>
      <c r="BC35" s="216">
        <f t="shared" si="17"/>
        <v>1</v>
      </c>
    </row>
    <row r="36" spans="1:55" ht="20.100000000000001" customHeight="1" x14ac:dyDescent="0.2">
      <c r="A36" s="45">
        <v>0.875</v>
      </c>
      <c r="B36" s="451"/>
      <c r="C36" s="451"/>
      <c r="D36" s="451">
        <v>7.2</v>
      </c>
      <c r="E36" s="451">
        <v>60.4</v>
      </c>
      <c r="F36" s="41">
        <v>1954</v>
      </c>
      <c r="G36" s="37">
        <v>-5.6</v>
      </c>
      <c r="H36" s="37">
        <v>72.7</v>
      </c>
      <c r="I36" s="37">
        <v>22.6</v>
      </c>
      <c r="J36" s="41">
        <v>484</v>
      </c>
      <c r="K36" s="37">
        <v>13</v>
      </c>
      <c r="L36" s="451">
        <v>130</v>
      </c>
      <c r="M36" s="451">
        <v>222</v>
      </c>
      <c r="N36" s="451">
        <v>90</v>
      </c>
      <c r="O36" s="353">
        <v>40</v>
      </c>
      <c r="P36" s="353">
        <v>15</v>
      </c>
      <c r="Q36" s="353">
        <v>255</v>
      </c>
      <c r="R36" s="37"/>
      <c r="S36" s="508" t="str">
        <f t="shared" si="22"/>
        <v/>
      </c>
      <c r="T36" s="508"/>
      <c r="U36" s="508"/>
      <c r="V36" s="508"/>
      <c r="X36" s="45">
        <v>0.875</v>
      </c>
      <c r="Y36" s="106"/>
      <c r="Z36" s="102"/>
      <c r="AA36" s="102"/>
      <c r="AB36" s="45" t="str">
        <f t="shared" si="18"/>
        <v/>
      </c>
      <c r="AC36" s="45" t="str">
        <f t="shared" si="1"/>
        <v/>
      </c>
      <c r="AD36" s="81"/>
      <c r="AE36" s="9" t="str">
        <f>IF(S36="","",IF(COUNTA(Z36:$Z$39)=1,IF(COUNTA(AD36:$AD$39)=1,""," ; "),IF(COUNTA(AD36:$AD$39)=1,IF(Z36="",""," ; ")," ; ")))</f>
        <v/>
      </c>
      <c r="AF36" s="9" t="str">
        <f t="shared" si="2"/>
        <v/>
      </c>
      <c r="AG36" s="90" t="str">
        <f t="shared" si="3"/>
        <v/>
      </c>
      <c r="AH36" s="204" t="s">
        <v>309</v>
      </c>
      <c r="AJ36" s="206">
        <f t="shared" si="21"/>
        <v>500</v>
      </c>
      <c r="AK36" s="206">
        <f t="shared" si="21"/>
        <v>100</v>
      </c>
      <c r="AL36" s="206">
        <f t="shared" si="21"/>
        <v>2</v>
      </c>
      <c r="AM36" s="213">
        <f t="shared" si="21"/>
        <v>0.875</v>
      </c>
      <c r="AN36" s="214">
        <f t="shared" si="21"/>
        <v>0.63607464142166403</v>
      </c>
      <c r="AO36" s="215">
        <f t="shared" si="4"/>
        <v>-14.7</v>
      </c>
      <c r="AP36" s="216">
        <f t="shared" si="5"/>
        <v>1</v>
      </c>
      <c r="AQ36" s="216">
        <f t="shared" si="6"/>
        <v>1</v>
      </c>
      <c r="AR36" s="215">
        <f t="shared" si="20"/>
        <v>158.47</v>
      </c>
      <c r="AS36" s="216">
        <f t="shared" si="7"/>
        <v>0.9723448696087954</v>
      </c>
      <c r="AT36" s="216">
        <f t="shared" si="8"/>
        <v>1.2538510821608391</v>
      </c>
      <c r="AU36" s="216">
        <f t="shared" si="9"/>
        <v>2.2360679774997898</v>
      </c>
      <c r="AV36" s="217">
        <f t="shared" si="10"/>
        <v>10.368348541764712</v>
      </c>
      <c r="AW36" s="216">
        <f t="shared" si="11"/>
        <v>0</v>
      </c>
      <c r="AX36" s="218">
        <f t="shared" si="12"/>
        <v>1.4831709199797398</v>
      </c>
      <c r="AY36" s="216">
        <f t="shared" si="13"/>
        <v>0.77643477842613629</v>
      </c>
      <c r="AZ36" s="217">
        <f t="shared" si="14"/>
        <v>3.5883638597441294</v>
      </c>
      <c r="BA36" s="216">
        <f t="shared" si="15"/>
        <v>0</v>
      </c>
      <c r="BB36" s="216">
        <f t="shared" si="16"/>
        <v>1.0016542390239327</v>
      </c>
      <c r="BC36" s="216">
        <f t="shared" si="17"/>
        <v>1</v>
      </c>
    </row>
    <row r="37" spans="1:55" ht="20.100000000000001" customHeight="1" x14ac:dyDescent="0.2">
      <c r="A37" s="45">
        <v>0.91666666666666696</v>
      </c>
      <c r="B37" s="451"/>
      <c r="C37" s="451"/>
      <c r="D37" s="451">
        <v>6.6</v>
      </c>
      <c r="E37" s="451">
        <v>58.6</v>
      </c>
      <c r="F37" s="41">
        <v>1952</v>
      </c>
      <c r="G37" s="37">
        <v>-5.6</v>
      </c>
      <c r="H37" s="37">
        <v>72</v>
      </c>
      <c r="I37" s="37">
        <v>22.7</v>
      </c>
      <c r="J37" s="41">
        <v>485</v>
      </c>
      <c r="K37" s="37">
        <v>13</v>
      </c>
      <c r="L37" s="451">
        <v>134</v>
      </c>
      <c r="M37" s="451">
        <v>222</v>
      </c>
      <c r="N37" s="451">
        <v>90</v>
      </c>
      <c r="O37" s="353">
        <v>50</v>
      </c>
      <c r="P37" s="353">
        <v>13</v>
      </c>
      <c r="Q37" s="353">
        <v>258.61</v>
      </c>
      <c r="R37" s="37"/>
      <c r="S37" s="508" t="str">
        <f t="shared" si="22"/>
        <v/>
      </c>
      <c r="T37" s="508"/>
      <c r="U37" s="508"/>
      <c r="V37" s="508"/>
      <c r="X37" s="45">
        <v>0.91666666666666696</v>
      </c>
      <c r="Y37" s="106"/>
      <c r="Z37" s="102"/>
      <c r="AA37" s="102"/>
      <c r="AB37" s="45" t="str">
        <f t="shared" si="18"/>
        <v/>
      </c>
      <c r="AC37" s="45" t="str">
        <f t="shared" si="1"/>
        <v/>
      </c>
      <c r="AD37" s="81"/>
      <c r="AE37" s="9" t="str">
        <f>IF(S37="","",IF(COUNTA(Z37:$Z$39)=1,IF(COUNTA(AD37:$AD$39)=1,""," ; "),IF(COUNTA(AD37:$AD$39)=1,IF(Z37="",""," ; ")," ; ")))</f>
        <v/>
      </c>
      <c r="AF37" s="9" t="str">
        <f t="shared" si="2"/>
        <v/>
      </c>
      <c r="AG37" s="90" t="str">
        <f t="shared" si="3"/>
        <v/>
      </c>
      <c r="AH37" s="204" t="s">
        <v>319</v>
      </c>
      <c r="AJ37" s="206">
        <f t="shared" si="21"/>
        <v>500</v>
      </c>
      <c r="AK37" s="206">
        <f t="shared" si="21"/>
        <v>100</v>
      </c>
      <c r="AL37" s="206">
        <f t="shared" si="21"/>
        <v>2</v>
      </c>
      <c r="AM37" s="213">
        <f t="shared" si="21"/>
        <v>0.875</v>
      </c>
      <c r="AN37" s="214">
        <f t="shared" si="21"/>
        <v>0.63607464142166403</v>
      </c>
      <c r="AO37" s="215">
        <f t="shared" si="4"/>
        <v>-14.7</v>
      </c>
      <c r="AP37" s="216">
        <f t="shared" si="5"/>
        <v>1</v>
      </c>
      <c r="AQ37" s="216">
        <f t="shared" si="6"/>
        <v>1</v>
      </c>
      <c r="AR37" s="215">
        <f t="shared" si="20"/>
        <v>158.47</v>
      </c>
      <c r="AS37" s="216">
        <f t="shared" si="7"/>
        <v>0.9723448696087954</v>
      </c>
      <c r="AT37" s="216">
        <f t="shared" si="8"/>
        <v>1.2538510821608391</v>
      </c>
      <c r="AU37" s="216">
        <f t="shared" si="9"/>
        <v>2.2360679774997898</v>
      </c>
      <c r="AV37" s="217">
        <f t="shared" si="10"/>
        <v>10.368348541764712</v>
      </c>
      <c r="AW37" s="216">
        <f t="shared" si="11"/>
        <v>0</v>
      </c>
      <c r="AX37" s="218">
        <f t="shared" si="12"/>
        <v>1.4831709199797398</v>
      </c>
      <c r="AY37" s="216">
        <f t="shared" si="13"/>
        <v>0.77643477842613629</v>
      </c>
      <c r="AZ37" s="217">
        <f t="shared" si="14"/>
        <v>3.5883638597441294</v>
      </c>
      <c r="BA37" s="216">
        <f t="shared" si="15"/>
        <v>0</v>
      </c>
      <c r="BB37" s="216">
        <f t="shared" si="16"/>
        <v>1.0016542390239327</v>
      </c>
      <c r="BC37" s="216">
        <f t="shared" si="17"/>
        <v>1</v>
      </c>
    </row>
    <row r="38" spans="1:55" ht="20.100000000000001" customHeight="1" x14ac:dyDescent="0.2">
      <c r="A38" s="45">
        <v>0.95833333333333304</v>
      </c>
      <c r="B38" s="451"/>
      <c r="C38" s="451"/>
      <c r="D38" s="451">
        <v>8.1999999999999993</v>
      </c>
      <c r="E38" s="451">
        <v>58.7</v>
      </c>
      <c r="F38" s="41">
        <v>1946</v>
      </c>
      <c r="G38" s="37">
        <v>-5.6</v>
      </c>
      <c r="H38" s="37">
        <v>72.099999999999994</v>
      </c>
      <c r="I38" s="37">
        <v>22</v>
      </c>
      <c r="J38" s="41">
        <v>486</v>
      </c>
      <c r="K38" s="37">
        <v>13</v>
      </c>
      <c r="L38" s="451">
        <v>137</v>
      </c>
      <c r="M38" s="451">
        <v>221</v>
      </c>
      <c r="N38" s="451">
        <v>90</v>
      </c>
      <c r="O38" s="353">
        <v>50</v>
      </c>
      <c r="P38" s="353">
        <v>13</v>
      </c>
      <c r="Q38" s="353">
        <v>258.61</v>
      </c>
      <c r="R38" s="37"/>
      <c r="S38" s="508" t="str">
        <f t="shared" si="22"/>
        <v/>
      </c>
      <c r="T38" s="508"/>
      <c r="U38" s="508"/>
      <c r="V38" s="508"/>
      <c r="X38" s="45">
        <v>0.95833333333333304</v>
      </c>
      <c r="Y38" s="106"/>
      <c r="Z38" s="102"/>
      <c r="AA38" s="102"/>
      <c r="AB38" s="45" t="str">
        <f t="shared" si="18"/>
        <v/>
      </c>
      <c r="AC38" s="45" t="str">
        <f t="shared" si="1"/>
        <v/>
      </c>
      <c r="AD38" s="81"/>
      <c r="AE38" s="9" t="str">
        <f>IF(S38="","",IF(COUNTA(Z38:$Z$39)=1,IF(COUNTA(AD38:$AD$39)=1,""," ; "),IF(COUNTA(AD38:$AD$39)=1,IF(Z38="",""," ; ")," ; ")))</f>
        <v/>
      </c>
      <c r="AF38" s="9" t="str">
        <f t="shared" si="2"/>
        <v/>
      </c>
      <c r="AG38" s="90" t="str">
        <f t="shared" si="3"/>
        <v/>
      </c>
      <c r="AH38" s="204" t="s">
        <v>219</v>
      </c>
      <c r="AJ38" s="206">
        <f t="shared" si="21"/>
        <v>500</v>
      </c>
      <c r="AK38" s="206">
        <f t="shared" si="21"/>
        <v>100</v>
      </c>
      <c r="AL38" s="206">
        <f t="shared" si="21"/>
        <v>2</v>
      </c>
      <c r="AM38" s="213">
        <f t="shared" si="21"/>
        <v>0.875</v>
      </c>
      <c r="AN38" s="214">
        <f t="shared" si="21"/>
        <v>0.63607464142166403</v>
      </c>
      <c r="AO38" s="215">
        <f t="shared" si="4"/>
        <v>-14.7</v>
      </c>
      <c r="AP38" s="216">
        <f t="shared" si="5"/>
        <v>1</v>
      </c>
      <c r="AQ38" s="216">
        <f t="shared" si="6"/>
        <v>1</v>
      </c>
      <c r="AR38" s="215">
        <f t="shared" si="20"/>
        <v>158.47</v>
      </c>
      <c r="AS38" s="216">
        <f t="shared" si="7"/>
        <v>0.9723448696087954</v>
      </c>
      <c r="AT38" s="216">
        <f t="shared" si="8"/>
        <v>1.2538510821608391</v>
      </c>
      <c r="AU38" s="216">
        <f t="shared" si="9"/>
        <v>2.2360679774997898</v>
      </c>
      <c r="AV38" s="217">
        <f t="shared" si="10"/>
        <v>10.368348541764712</v>
      </c>
      <c r="AW38" s="216">
        <f t="shared" si="11"/>
        <v>0</v>
      </c>
      <c r="AX38" s="218">
        <f t="shared" si="12"/>
        <v>1.4831709199797398</v>
      </c>
      <c r="AY38" s="216">
        <f t="shared" si="13"/>
        <v>0.77643477842613629</v>
      </c>
      <c r="AZ38" s="217">
        <f t="shared" si="14"/>
        <v>3.5883638597441294</v>
      </c>
      <c r="BA38" s="216">
        <f t="shared" si="15"/>
        <v>0</v>
      </c>
      <c r="BB38" s="216">
        <f t="shared" si="16"/>
        <v>1.0016542390239327</v>
      </c>
      <c r="BC38" s="216">
        <f t="shared" si="17"/>
        <v>1</v>
      </c>
    </row>
    <row r="39" spans="1:55" ht="20.100000000000001" customHeight="1" thickBot="1" x14ac:dyDescent="0.25">
      <c r="A39" s="46">
        <v>1</v>
      </c>
      <c r="B39" s="451"/>
      <c r="C39" s="451"/>
      <c r="D39" s="452">
        <v>8</v>
      </c>
      <c r="E39" s="452">
        <v>64.8</v>
      </c>
      <c r="F39" s="42">
        <v>1927</v>
      </c>
      <c r="G39" s="37">
        <v>-5.6</v>
      </c>
      <c r="H39" s="38">
        <v>72.7</v>
      </c>
      <c r="I39" s="37">
        <v>22.8</v>
      </c>
      <c r="J39" s="41">
        <v>487</v>
      </c>
      <c r="K39" s="37">
        <v>13</v>
      </c>
      <c r="L39" s="452">
        <v>131</v>
      </c>
      <c r="M39" s="452">
        <v>221</v>
      </c>
      <c r="N39" s="451">
        <v>90</v>
      </c>
      <c r="O39" s="353">
        <v>50</v>
      </c>
      <c r="P39" s="353">
        <v>13</v>
      </c>
      <c r="Q39" s="354">
        <v>258.61</v>
      </c>
      <c r="R39" s="38"/>
      <c r="S39" s="512" t="str">
        <f t="shared" si="22"/>
        <v/>
      </c>
      <c r="T39" s="512"/>
      <c r="U39" s="512"/>
      <c r="V39" s="512"/>
      <c r="X39" s="46">
        <v>1</v>
      </c>
      <c r="Y39" s="107"/>
      <c r="Z39" s="103"/>
      <c r="AA39" s="103"/>
      <c r="AB39" s="46" t="str">
        <f t="shared" si="18"/>
        <v/>
      </c>
      <c r="AC39" s="46" t="str">
        <f t="shared" si="1"/>
        <v/>
      </c>
      <c r="AD39" s="82"/>
      <c r="AE39" s="9" t="str">
        <f>IF(S39="","",IF(COUNTA(Z39:$Z$39)=1,IF(COUNTA(AD39:$AD$39)=1,""," ; "),IF(COUNTA(AD39:$AD$39)=1,IF(Z39="",""," ; ")," ; ")))</f>
        <v/>
      </c>
      <c r="AF39" s="9" t="str">
        <f t="shared" si="2"/>
        <v/>
      </c>
      <c r="AG39" s="90" t="str">
        <f t="shared" si="3"/>
        <v/>
      </c>
      <c r="AH39" s="204" t="s">
        <v>220</v>
      </c>
      <c r="AJ39" s="219">
        <f t="shared" si="21"/>
        <v>500</v>
      </c>
      <c r="AK39" s="219">
        <f t="shared" si="21"/>
        <v>100</v>
      </c>
      <c r="AL39" s="219">
        <f t="shared" si="21"/>
        <v>2</v>
      </c>
      <c r="AM39" s="220">
        <f t="shared" si="21"/>
        <v>0.875</v>
      </c>
      <c r="AN39" s="221">
        <f t="shared" si="21"/>
        <v>0.63607464142166403</v>
      </c>
      <c r="AO39" s="222">
        <f t="shared" si="4"/>
        <v>-14.7</v>
      </c>
      <c r="AP39" s="223">
        <f t="shared" si="5"/>
        <v>1</v>
      </c>
      <c r="AQ39" s="223">
        <f t="shared" si="6"/>
        <v>1</v>
      </c>
      <c r="AR39" s="222">
        <f t="shared" si="20"/>
        <v>158.47</v>
      </c>
      <c r="AS39" s="223">
        <f t="shared" si="7"/>
        <v>0.9723448696087954</v>
      </c>
      <c r="AT39" s="223">
        <f t="shared" si="8"/>
        <v>1.2538510821608391</v>
      </c>
      <c r="AU39" s="223">
        <f t="shared" si="9"/>
        <v>2.2360679774997898</v>
      </c>
      <c r="AV39" s="224">
        <f t="shared" si="10"/>
        <v>10.368348541764712</v>
      </c>
      <c r="AW39" s="223">
        <f t="shared" si="11"/>
        <v>0</v>
      </c>
      <c r="AX39" s="225">
        <f t="shared" si="12"/>
        <v>1.4831709199797398</v>
      </c>
      <c r="AY39" s="223">
        <f t="shared" si="13"/>
        <v>0.77643477842613629</v>
      </c>
      <c r="AZ39" s="224">
        <f t="shared" si="14"/>
        <v>3.5883638597441294</v>
      </c>
      <c r="BA39" s="223">
        <f t="shared" si="15"/>
        <v>0</v>
      </c>
      <c r="BB39" s="223">
        <f t="shared" si="16"/>
        <v>1.0016542390239327</v>
      </c>
      <c r="BC39" s="223">
        <f t="shared" si="17"/>
        <v>1</v>
      </c>
    </row>
    <row r="40" spans="1:55" ht="20.100000000000001" customHeight="1" thickBot="1" x14ac:dyDescent="0.3">
      <c r="A40" s="53" t="s">
        <v>11</v>
      </c>
      <c r="B40" s="453" t="str">
        <f>IFERROR(ROUND(AVERAGE(B16:B39),2),"")</f>
        <v/>
      </c>
      <c r="C40" s="453" t="str">
        <f>IFERROR(ROUND(AVERAGE(C16:C39),2),"")</f>
        <v/>
      </c>
      <c r="D40" s="453">
        <f>IFERROR(ROUND(AVERAGE(D16:D39),2),"")</f>
        <v>7.6</v>
      </c>
      <c r="E40" s="453">
        <f>IFERROR(ROUND(AVERAGE(E16:E39),2),"")</f>
        <v>67.599999999999994</v>
      </c>
      <c r="F40" s="55">
        <f>IFERROR(ROUND(AVERAGE(F16:F39),0),"")</f>
        <v>1946</v>
      </c>
      <c r="G40" s="54">
        <f>IFERROR(AVERAGE(G16:G39),"")</f>
        <v>-5.5999999999999979</v>
      </c>
      <c r="H40" s="54">
        <f>IFERROR(AVERAGE(H16:H39),"")</f>
        <v>72.395833333333329</v>
      </c>
      <c r="I40" s="54">
        <f>IFERROR(AVERAGE(I16:I39),"")</f>
        <v>22.420833333333331</v>
      </c>
      <c r="J40" s="71"/>
      <c r="K40" s="111">
        <f>IFERROR(AVERAGE(K16:K39),"")</f>
        <v>13</v>
      </c>
      <c r="L40" s="453">
        <f t="shared" ref="L40:P40" si="23">IFERROR(ROUND(AVERAGE(L16:L39),1),"")</f>
        <v>133.1</v>
      </c>
      <c r="M40" s="453">
        <f t="shared" si="23"/>
        <v>223</v>
      </c>
      <c r="N40" s="453">
        <f t="shared" si="23"/>
        <v>90</v>
      </c>
      <c r="O40" s="456">
        <f t="shared" si="23"/>
        <v>44</v>
      </c>
      <c r="P40" s="456">
        <f t="shared" si="23"/>
        <v>14.6</v>
      </c>
      <c r="Q40" s="456">
        <f>IF($I$47=1,$M$49,$Q$44)</f>
        <v>244.9</v>
      </c>
      <c r="R40" s="54" t="str">
        <f>IFERROR(ROUND(AVERAGE(R16:R39),1),"")</f>
        <v/>
      </c>
      <c r="S40" s="509"/>
      <c r="T40" s="510"/>
      <c r="U40" s="510"/>
      <c r="V40" s="511"/>
      <c r="X40" s="99"/>
      <c r="Y40" s="99"/>
      <c r="Z40" s="99"/>
      <c r="AA40" s="99"/>
      <c r="AB40" s="104">
        <f>SUM(AB16:AB39)</f>
        <v>0</v>
      </c>
      <c r="AC40" s="104">
        <f>SUM(AC16:AC39)</f>
        <v>0</v>
      </c>
      <c r="AD40" s="92" t="str">
        <f>IF(OR(COUNTBLANK(D16:E39)+COUNTBLANK(O16:P39)=0,COUNTA(S16:V39)&lt;&gt;0),"","CEK : Blank Data - Remarks")</f>
        <v/>
      </c>
      <c r="AG40" s="90" t="str">
        <f>IF(COUNTIF(AG16:AG39,"")=COUNTA(AG16:AG39),"","CEK : Data Flowrate")</f>
        <v/>
      </c>
      <c r="AH40" s="204" t="s">
        <v>311</v>
      </c>
    </row>
    <row r="41" spans="1:55" ht="20.100000000000001" hidden="1" customHeight="1" thickBot="1" x14ac:dyDescent="0.3">
      <c r="A41" s="49" t="s">
        <v>12</v>
      </c>
      <c r="B41" s="52" t="str">
        <f>IF(COUNT(B16:B39)&gt;0,ROUND(MIN(B16:B39),2),"")</f>
        <v/>
      </c>
      <c r="C41" s="52" t="str">
        <f>IF(COUNT(C16:C39)&gt;0,ROUND(MIN(C16:C39),2),"")</f>
        <v/>
      </c>
      <c r="D41" s="52">
        <f>IF(COUNT(D16:D39)&gt;0,ROUND(MIN(D16:D39),2),"")</f>
        <v>5.4</v>
      </c>
      <c r="E41" s="52">
        <f>IF(COUNT(E16:E39)&gt;0,ROUND(MIN(E16:E39),2),"")</f>
        <v>57.4</v>
      </c>
      <c r="F41" s="51">
        <f>IF(COUNT(F16:F39)&gt;0,ROUND(MIN(F16:F39),0),"")</f>
        <v>1920</v>
      </c>
      <c r="G41" s="50">
        <f>IF(COUNT(G16:G39)&gt;0,MIN(G16:G39),"")</f>
        <v>-5.6</v>
      </c>
      <c r="H41" s="50">
        <f>IF(COUNT(H16:H39)&gt;0,MIN(H16:H39),"")</f>
        <v>72</v>
      </c>
      <c r="I41" s="50">
        <f>IF(COUNT(I16:I39)&gt;0,MIN(I16:I39),"")</f>
        <v>22</v>
      </c>
      <c r="J41" s="72"/>
      <c r="K41" s="50">
        <f>IF(COUNT(K16:K39)&gt;0,MIN(K16:K39),"")</f>
        <v>13</v>
      </c>
      <c r="L41" s="52">
        <f>IF(COUNT(L16:L39)&gt;0,ROUND(MIN(L16:L39),1),"")</f>
        <v>130</v>
      </c>
      <c r="M41" s="52">
        <f>IF(COUNT(M16:M39)&gt;0,ROUND(MIN(M16:M39),1),"")</f>
        <v>220</v>
      </c>
      <c r="N41" s="52">
        <f>IF(COUNT(N16:N39)&gt;0,ROUND(MIN(N16:N39),1),"")</f>
        <v>90</v>
      </c>
      <c r="O41" s="440">
        <f>IF(COUNT(O16:O39)&gt;0,ROUND(MIN(O16:O39),1),"")</f>
        <v>40</v>
      </c>
      <c r="P41" s="440">
        <f>IF(COUNT(P16:P39)&gt;0,ROUND(MIN(P16:P39),1),"")</f>
        <v>13</v>
      </c>
      <c r="Q41" s="440">
        <f>IF(COUNT(Q16:Q39)&gt;0,ROUND(MIN(Q16:Q39),4),"")</f>
        <v>246.42</v>
      </c>
      <c r="R41" s="121" t="str">
        <f>IF(COUNT(R16:R39)&gt;0,ROUND(MIN(R16:R39),1),"")</f>
        <v/>
      </c>
      <c r="S41" s="509"/>
      <c r="T41" s="510"/>
      <c r="U41" s="510"/>
      <c r="V41" s="511"/>
      <c r="X41" s="99"/>
      <c r="Y41" s="99"/>
      <c r="Z41" s="99"/>
      <c r="AA41" s="99"/>
      <c r="AB41" s="99"/>
      <c r="AC41" s="99"/>
      <c r="AH41" s="204" t="s">
        <v>318</v>
      </c>
    </row>
    <row r="42" spans="1:55" ht="20.100000000000001" hidden="1" customHeight="1" thickBot="1" x14ac:dyDescent="0.3">
      <c r="A42" s="21" t="s">
        <v>13</v>
      </c>
      <c r="B42" s="454" t="str">
        <f>IF(COUNT(B16:B39)&gt;0,ROUND(MAX(B16:B39),2),"")</f>
        <v/>
      </c>
      <c r="C42" s="454" t="str">
        <f>IF(COUNT(C16:C39)&gt;0,ROUND(MAX(C16:C39),2),"")</f>
        <v/>
      </c>
      <c r="D42" s="454">
        <f>IF(COUNT(D16:D39)&gt;0,ROUND(MAX(D16:D39),2),"")</f>
        <v>8.9</v>
      </c>
      <c r="E42" s="454">
        <f>IF(COUNT(E16:E39)&gt;0,ROUND(MAX(E16:E39),2),"")</f>
        <v>80.2</v>
      </c>
      <c r="F42" s="43">
        <f>IF(COUNT(F16:F39)&gt;0,ROUND(MAX(F16:F39),0),"")</f>
        <v>1990</v>
      </c>
      <c r="G42" s="39">
        <f>IF(COUNT(G16:G39)&gt;0,MAX(G16:G39),"")</f>
        <v>-5.6</v>
      </c>
      <c r="H42" s="39">
        <f>IF(COUNT(H16:H39)&gt;0,MAX(H16:H39),"")</f>
        <v>72.900000000000006</v>
      </c>
      <c r="I42" s="39">
        <f>IF(COUNT(I16:I39)&gt;0,MAX(I16:I39),"")</f>
        <v>22.8</v>
      </c>
      <c r="J42" s="43">
        <f>IF(COUNT(J16:J39)&gt;0,MAX(J16:J39),"")</f>
        <v>487</v>
      </c>
      <c r="K42" s="39">
        <f>IF(COUNT(K16:K39)&gt;0,MAX(K16:K39),"")</f>
        <v>13</v>
      </c>
      <c r="L42" s="454">
        <f>IF(COUNT(L16:L39)&gt;0,ROUND(MAX(L16:L39),1),"")</f>
        <v>137</v>
      </c>
      <c r="M42" s="454">
        <f>IF(COUNT(M16:M39)&gt;0,ROUND(MAX(M16:M39),1),"")</f>
        <v>227</v>
      </c>
      <c r="N42" s="454">
        <f>IF(COUNT(N16:N39)&gt;0,ROUND(MAX(N16:N39),1),"")</f>
        <v>90</v>
      </c>
      <c r="O42" s="441">
        <f>IF(COUNT(O16:O39)&gt;0,ROUND(MAX(O16:O39),1),"")</f>
        <v>50</v>
      </c>
      <c r="P42" s="441">
        <f>IF(COUNT(P16:P39)&gt;0,ROUND(MAX(P16:P39),1),"")</f>
        <v>16</v>
      </c>
      <c r="Q42" s="441">
        <f>IF(COUNT(Q16:Q39)&gt;0,ROUND(MAX(Q16:Q39),4),"")</f>
        <v>277.64</v>
      </c>
      <c r="R42" s="39" t="str">
        <f>IF(COUNT(R16:R39)&gt;0,ROUND(MAX(R16:R39),1),"")</f>
        <v/>
      </c>
      <c r="S42" s="509"/>
      <c r="T42" s="510"/>
      <c r="U42" s="510"/>
      <c r="V42" s="511"/>
      <c r="X42" s="99"/>
      <c r="Y42" s="99"/>
      <c r="Z42" s="99"/>
      <c r="AA42" s="99"/>
      <c r="AB42" s="99"/>
      <c r="AC42" s="99"/>
      <c r="AH42" s="204" t="s">
        <v>312</v>
      </c>
    </row>
    <row r="43" spans="1:55" ht="20.100000000000001" hidden="1" customHeight="1" x14ac:dyDescent="0.25">
      <c r="A43" s="109"/>
      <c r="B43" s="110">
        <f>COUNT(B16:B39)</f>
        <v>0</v>
      </c>
      <c r="C43" s="110">
        <f>COUNT(C16:C39)</f>
        <v>0</v>
      </c>
      <c r="D43" s="110">
        <f>COUNT(D16:D39)</f>
        <v>24</v>
      </c>
      <c r="E43" s="110">
        <f t="shared" ref="E43:H43" si="24">COUNT(E16:E39)</f>
        <v>24</v>
      </c>
      <c r="F43" s="110">
        <f t="shared" si="24"/>
        <v>24</v>
      </c>
      <c r="G43" s="110">
        <f t="shared" si="24"/>
        <v>24</v>
      </c>
      <c r="H43" s="110">
        <f t="shared" si="24"/>
        <v>24</v>
      </c>
      <c r="I43" s="110"/>
      <c r="J43" s="110"/>
      <c r="K43" s="110"/>
      <c r="L43" s="110">
        <f t="shared" ref="L43:Q43" si="25">COUNT(L16:L39)</f>
        <v>24</v>
      </c>
      <c r="M43" s="110">
        <f t="shared" si="25"/>
        <v>24</v>
      </c>
      <c r="N43" s="110">
        <f t="shared" si="25"/>
        <v>24</v>
      </c>
      <c r="O43" s="110">
        <f t="shared" si="25"/>
        <v>24</v>
      </c>
      <c r="P43" s="110">
        <f t="shared" si="25"/>
        <v>24</v>
      </c>
      <c r="Q43" s="110">
        <f t="shared" si="25"/>
        <v>24</v>
      </c>
      <c r="R43" s="110"/>
      <c r="S43" s="99"/>
      <c r="T43" s="99"/>
      <c r="U43" s="99"/>
      <c r="V43" s="99"/>
      <c r="X43" s="99"/>
      <c r="Y43" s="99"/>
      <c r="Z43" s="99"/>
      <c r="AA43" s="99"/>
      <c r="AB43" s="99"/>
      <c r="AC43" s="99"/>
      <c r="AD43" s="92" t="str">
        <f>IF(AND(D43=E43,D43=F43,D43=G43,D43=H43,D43=L43,D43=M43,D43=N43,D43=O43,D43=P43,D43=Q43),"","CEK : Data Content")</f>
        <v/>
      </c>
      <c r="AH43" s="204" t="s">
        <v>221</v>
      </c>
    </row>
    <row r="44" spans="1:55" s="6" customFormat="1" ht="15" customHeight="1" x14ac:dyDescent="0.25">
      <c r="J44" s="91" t="str">
        <f>IF(J1="PRINT","",IF(J42="","RH please ! !",""))</f>
        <v/>
      </c>
      <c r="L44" s="24"/>
      <c r="Q44" s="445">
        <f>IFERROR(ROUND(AVERAGE(Q16:Q39),4),"")</f>
        <v>259.78289999999998</v>
      </c>
      <c r="AH44" s="204" t="s">
        <v>323</v>
      </c>
      <c r="AI44" s="7"/>
    </row>
    <row r="45" spans="1:55" s="6" customFormat="1" ht="15" customHeight="1" x14ac:dyDescent="0.25">
      <c r="L45" s="26" t="s">
        <v>290</v>
      </c>
      <c r="Q45" s="445"/>
      <c r="AH45" s="204" t="s">
        <v>288</v>
      </c>
      <c r="AI45" s="7"/>
    </row>
    <row r="46" spans="1:55" s="6" customFormat="1" ht="15" customHeight="1" x14ac:dyDescent="0.25">
      <c r="D46" s="443" t="s">
        <v>90</v>
      </c>
      <c r="E46" s="448" t="str">
        <f>IF(Schedule!C$21="","",Schedule!C$21)</f>
        <v/>
      </c>
      <c r="G46" s="61"/>
      <c r="H46" s="25" t="str">
        <f>IFERROR(IF(OR(I47="",I48="",I49=""),"WAKTU BELUM DI-ISI LENGKAP",IF(SUM(I48:I49)&lt;=1,"","CEK KEMBALI PENULISAN WAKTU SALAH")),"CEK KEMBALI PENULISAN WAKTU SALAH")</f>
        <v/>
      </c>
      <c r="L46" s="26" t="s">
        <v>22</v>
      </c>
      <c r="M46" s="460">
        <f>IF(Volume!$W20="",$O46,Volume!$W20)</f>
        <v>44.232300000000002</v>
      </c>
      <c r="N46" s="27" t="s">
        <v>1</v>
      </c>
      <c r="O46" s="447">
        <f>IF(O40="","",O40)</f>
        <v>44</v>
      </c>
      <c r="P46" s="361" t="s">
        <v>29</v>
      </c>
      <c r="Q46" s="362"/>
      <c r="R46" s="362"/>
      <c r="S46" s="362"/>
      <c r="T46" s="361" t="s">
        <v>30</v>
      </c>
      <c r="U46" s="362"/>
      <c r="V46" s="362"/>
      <c r="AH46" s="204" t="s">
        <v>222</v>
      </c>
    </row>
    <row r="47" spans="1:55" s="6" customFormat="1" ht="15" customHeight="1" x14ac:dyDescent="0.25">
      <c r="D47" s="448"/>
      <c r="E47" s="448"/>
      <c r="H47" s="26" t="s">
        <v>26</v>
      </c>
      <c r="I47" s="56">
        <f>IF(OR(I48="",I49=""),"",1-I48-I49)</f>
        <v>1</v>
      </c>
      <c r="J47" s="27" t="s">
        <v>19</v>
      </c>
      <c r="L47" s="26" t="s">
        <v>23</v>
      </c>
      <c r="M47" s="442">
        <f>IF(Volume!$Y20="",$O47,Volume!$Y20)</f>
        <v>13.479200000000001</v>
      </c>
      <c r="N47" s="27" t="s">
        <v>14</v>
      </c>
      <c r="O47" s="447">
        <f>IF(P40="","",P40)</f>
        <v>14.6</v>
      </c>
      <c r="P47" s="361" t="s">
        <v>211</v>
      </c>
      <c r="Q47" s="362"/>
      <c r="R47" s="362"/>
      <c r="S47" s="362"/>
      <c r="T47" s="361" t="s">
        <v>271</v>
      </c>
      <c r="U47" s="362"/>
      <c r="V47" s="362"/>
      <c r="AH47" s="204" t="s">
        <v>223</v>
      </c>
    </row>
    <row r="48" spans="1:55" s="6" customFormat="1" ht="15" customHeight="1" x14ac:dyDescent="0.25">
      <c r="D48" s="443" t="s">
        <v>91</v>
      </c>
      <c r="E48" s="448" t="str">
        <f>IF(Schedule!D$21="","",Schedule!D$21)</f>
        <v/>
      </c>
      <c r="H48" s="26" t="s">
        <v>37</v>
      </c>
      <c r="I48" s="108">
        <f>IF(OR(COUNT($Q$16:$Q$39)&lt;&gt;0,COUNTA($AD$16:$AD$39)&lt;&gt;0),AB40,"")</f>
        <v>0</v>
      </c>
      <c r="J48" s="27" t="s">
        <v>19</v>
      </c>
      <c r="L48" s="26" t="s">
        <v>24</v>
      </c>
      <c r="M48" s="449">
        <f>IF(N40="","",N40)</f>
        <v>90</v>
      </c>
      <c r="N48" s="27" t="s">
        <v>5</v>
      </c>
      <c r="P48" s="362"/>
      <c r="Q48" s="362"/>
      <c r="R48" s="362"/>
      <c r="S48" s="362"/>
      <c r="T48" s="361" t="s">
        <v>291</v>
      </c>
      <c r="U48" s="362"/>
      <c r="V48" s="362"/>
      <c r="AH48" s="204" t="s">
        <v>324</v>
      </c>
    </row>
    <row r="49" spans="1:34" s="6" customFormat="1" ht="15" customHeight="1" x14ac:dyDescent="0.25">
      <c r="D49" s="448"/>
      <c r="E49" s="448"/>
      <c r="H49" s="26" t="s">
        <v>27</v>
      </c>
      <c r="I49" s="108">
        <f>IF(OR(COUNT($Q$16:$Q$39)&lt;&gt;0,COUNTA($AD$16:$AD$39)&lt;&gt;0),AC40,"")</f>
        <v>0</v>
      </c>
      <c r="J49" s="27" t="s">
        <v>19</v>
      </c>
      <c r="L49" s="26" t="s">
        <v>128</v>
      </c>
      <c r="M49" s="442">
        <f>IF(Volume!$L20="",M51,Volume!$L20)</f>
        <v>244.9</v>
      </c>
      <c r="N49" s="27" t="str">
        <f>IF(Q15="MSCFD","MSCF","MMSCF")</f>
        <v>MSCF</v>
      </c>
      <c r="P49" s="362"/>
      <c r="Q49" s="362"/>
      <c r="R49" s="362"/>
      <c r="S49" s="362"/>
      <c r="T49" s="362"/>
      <c r="U49" s="362"/>
      <c r="V49" s="362"/>
      <c r="AH49" s="204" t="s">
        <v>317</v>
      </c>
    </row>
    <row r="50" spans="1:34" s="6" customFormat="1" ht="15" customHeight="1" x14ac:dyDescent="0.25">
      <c r="D50" s="443" t="s">
        <v>92</v>
      </c>
      <c r="E50" s="448" t="str">
        <f>IF(Schedule!E$21="","",Schedule!E$21)</f>
        <v>Marihot Gustafa S.</v>
      </c>
      <c r="L50" s="443" t="str">
        <f>CONCATENATE(MR!L16," ",":")</f>
        <v>Liquid Gain :</v>
      </c>
      <c r="M50" s="446" t="str">
        <f>IF(R40="","",ROUND(SUM(R16:R39),2))</f>
        <v/>
      </c>
      <c r="N50" s="444" t="str">
        <f>R15</f>
        <v>BPD</v>
      </c>
      <c r="P50" s="362"/>
      <c r="Q50" s="362"/>
      <c r="R50" s="362"/>
      <c r="S50" s="362"/>
      <c r="T50" s="362"/>
      <c r="U50" s="362"/>
      <c r="V50" s="362"/>
      <c r="AH50" s="204" t="s">
        <v>282</v>
      </c>
    </row>
    <row r="51" spans="1:34" s="6" customFormat="1" ht="15" customHeight="1" x14ac:dyDescent="0.25">
      <c r="A51" s="4"/>
      <c r="L51" s="443" t="s">
        <v>286</v>
      </c>
      <c r="M51" s="447">
        <f>IF(Q44="","",IF(SUM(I48:I49)=1,IF(Q44&lt;&gt;0,"Cek Tabel",""),ROUND(Q44*I47,4)))</f>
        <v>259.78289999999998</v>
      </c>
      <c r="N51" s="444" t="str">
        <f>IF(Q15="MSCFD","MSCF","MMSCF")</f>
        <v>MSCF</v>
      </c>
      <c r="P51" s="362"/>
      <c r="Q51" s="362"/>
      <c r="R51" s="362"/>
      <c r="S51" s="362"/>
      <c r="T51" s="362"/>
      <c r="U51" s="362"/>
      <c r="V51" s="362"/>
      <c r="AH51" s="204" t="s">
        <v>325</v>
      </c>
    </row>
    <row r="52" spans="1:34" s="6" customFormat="1" ht="15" customHeight="1" x14ac:dyDescent="0.25">
      <c r="D52" s="26" t="s">
        <v>28</v>
      </c>
      <c r="E52" s="47"/>
      <c r="F52" s="47"/>
      <c r="G52" s="47"/>
      <c r="H52" s="47"/>
      <c r="I52" s="47"/>
      <c r="J52" s="47"/>
      <c r="K52" s="47"/>
      <c r="L52" s="5"/>
      <c r="P52" s="362"/>
      <c r="Q52" s="362"/>
      <c r="R52" s="362"/>
      <c r="S52" s="362"/>
      <c r="T52" s="362"/>
      <c r="U52" s="362"/>
      <c r="V52" s="362"/>
      <c r="AH52" s="204" t="s">
        <v>280</v>
      </c>
    </row>
    <row r="53" spans="1:34" s="6" customFormat="1" ht="15" customHeight="1" x14ac:dyDescent="0.25">
      <c r="D53" s="5"/>
      <c r="E53" s="48"/>
      <c r="F53" s="48"/>
      <c r="G53" s="48"/>
      <c r="H53" s="48"/>
      <c r="I53" s="48"/>
      <c r="J53" s="48"/>
      <c r="K53" s="48"/>
      <c r="L53" s="5"/>
      <c r="P53" s="363" t="str">
        <f>UPPER(E50)</f>
        <v>MARIHOT GUSTAFA S.</v>
      </c>
      <c r="Q53" s="362"/>
      <c r="R53" s="362"/>
      <c r="S53" s="362"/>
      <c r="T53" s="363" t="str">
        <f>IF(Schedule!F$21="","",UPPER(Schedule!F$21))</f>
        <v>M. NANANG WAHYU S</v>
      </c>
      <c r="U53" s="362"/>
      <c r="V53" s="362"/>
      <c r="AH53" s="204" t="s">
        <v>316</v>
      </c>
    </row>
    <row r="54" spans="1:34" s="6" customFormat="1" ht="15" customHeight="1" x14ac:dyDescent="0.25">
      <c r="E54" s="48"/>
      <c r="F54" s="48"/>
      <c r="G54" s="48"/>
      <c r="H54" s="48"/>
      <c r="I54" s="48"/>
      <c r="J54" s="48"/>
      <c r="K54" s="48"/>
      <c r="P54" s="361" t="s">
        <v>107</v>
      </c>
      <c r="Q54" s="362"/>
      <c r="R54" s="362"/>
      <c r="S54" s="362"/>
      <c r="T54" s="361" t="s">
        <v>294</v>
      </c>
      <c r="U54" s="362"/>
      <c r="V54" s="362"/>
      <c r="AH54" s="204" t="s">
        <v>326</v>
      </c>
    </row>
    <row r="55" spans="1:34" s="6" customFormat="1" ht="15" customHeight="1" x14ac:dyDescent="0.25">
      <c r="P55" s="364" t="str">
        <f>CONCATENATE("Date : ",TEXT(K12,"[$-409]d mmm yyyy;@"))</f>
        <v>Date : 17 Jun 2025</v>
      </c>
      <c r="Q55" s="362"/>
      <c r="R55" s="364"/>
      <c r="S55" s="362"/>
      <c r="T55" s="364" t="str">
        <f>CONCATENATE("Date : ",TEXT(K12,"[$-409]d mmm yyyy;@"))</f>
        <v>Date : 17 Jun 2025</v>
      </c>
      <c r="U55" s="362"/>
      <c r="V55" s="362"/>
      <c r="AH55" s="204" t="s">
        <v>327</v>
      </c>
    </row>
    <row r="56" spans="1:34" ht="15" customHeight="1" x14ac:dyDescent="0.25">
      <c r="AH56" s="204" t="s">
        <v>281</v>
      </c>
    </row>
    <row r="57" spans="1:34" ht="15" customHeight="1" x14ac:dyDescent="0.25">
      <c r="AH57" s="204" t="s">
        <v>277</v>
      </c>
    </row>
    <row r="58" spans="1:34" ht="15" customHeight="1" x14ac:dyDescent="0.25">
      <c r="AH58" s="204" t="s">
        <v>328</v>
      </c>
    </row>
    <row r="59" spans="1:34" ht="15" customHeight="1" x14ac:dyDescent="0.25">
      <c r="AH59" s="204" t="s">
        <v>329</v>
      </c>
    </row>
    <row r="60" spans="1:34" ht="15" customHeight="1" x14ac:dyDescent="0.25">
      <c r="AH60" s="204" t="s">
        <v>330</v>
      </c>
    </row>
    <row r="61" spans="1:34" ht="15" customHeight="1" x14ac:dyDescent="0.25">
      <c r="AH61" s="204" t="s">
        <v>331</v>
      </c>
    </row>
    <row r="62" spans="1:34" ht="15" customHeight="1" x14ac:dyDescent="0.25">
      <c r="AH62" s="204" t="s">
        <v>332</v>
      </c>
    </row>
    <row r="63" spans="1:34" ht="15" customHeight="1" x14ac:dyDescent="0.25">
      <c r="AH63" s="204" t="s">
        <v>315</v>
      </c>
    </row>
    <row r="64" spans="1:34" ht="15" customHeight="1" x14ac:dyDescent="0.25">
      <c r="AH64" s="204" t="s">
        <v>333</v>
      </c>
    </row>
    <row r="65" spans="34:34" ht="15" customHeight="1" x14ac:dyDescent="0.25">
      <c r="AH65" s="204" t="s">
        <v>310</v>
      </c>
    </row>
    <row r="66" spans="34:34" ht="15" customHeight="1" x14ac:dyDescent="0.25">
      <c r="AH66" s="204" t="s">
        <v>334</v>
      </c>
    </row>
    <row r="67" spans="34:34" ht="15" customHeight="1" x14ac:dyDescent="0.25">
      <c r="AH67" s="204" t="s">
        <v>335</v>
      </c>
    </row>
    <row r="68" spans="34:34" ht="15" customHeight="1" x14ac:dyDescent="0.25">
      <c r="AH68" s="204" t="s">
        <v>336</v>
      </c>
    </row>
    <row r="69" spans="34:34" ht="15" customHeight="1" x14ac:dyDescent="0.25">
      <c r="AH69" s="204" t="s">
        <v>337</v>
      </c>
    </row>
    <row r="70" spans="34:34" ht="15" customHeight="1" x14ac:dyDescent="0.25">
      <c r="AH70" s="204" t="s">
        <v>338</v>
      </c>
    </row>
    <row r="71" spans="34:34" ht="15" customHeight="1" x14ac:dyDescent="0.25">
      <c r="AH71" s="204" t="s">
        <v>339</v>
      </c>
    </row>
    <row r="72" spans="34:34" ht="15" customHeight="1" x14ac:dyDescent="0.25">
      <c r="AH72" s="204" t="s">
        <v>340</v>
      </c>
    </row>
    <row r="85" spans="34:34" ht="0" hidden="1" customHeight="1" x14ac:dyDescent="0.25">
      <c r="AH85" s="6"/>
    </row>
    <row r="86" spans="34:34" ht="0" hidden="1" customHeight="1" x14ac:dyDescent="0.25">
      <c r="AH86" s="6"/>
    </row>
    <row r="87" spans="34:34" ht="0" hidden="1" customHeight="1" x14ac:dyDescent="0.25">
      <c r="AH87" s="6"/>
    </row>
    <row r="88" spans="34:34" ht="0" hidden="1" customHeight="1" x14ac:dyDescent="0.25">
      <c r="AH88" s="6"/>
    </row>
    <row r="89" spans="34:34" ht="0" hidden="1" customHeight="1" x14ac:dyDescent="0.25">
      <c r="AH89" s="6"/>
    </row>
    <row r="90" spans="34:34" ht="0" hidden="1" customHeight="1" x14ac:dyDescent="0.25">
      <c r="AH90" s="6"/>
    </row>
    <row r="91" spans="34:34" ht="0" hidden="1" customHeight="1" x14ac:dyDescent="0.25">
      <c r="AH91" s="6"/>
    </row>
    <row r="92" spans="34:34" ht="0" hidden="1" customHeight="1" x14ac:dyDescent="0.25">
      <c r="AH92" s="6"/>
    </row>
    <row r="93" spans="34:34" ht="0" hidden="1" customHeight="1" x14ac:dyDescent="0.25">
      <c r="AH93" s="6"/>
    </row>
    <row r="94" spans="34:34" ht="0" hidden="1" customHeight="1" x14ac:dyDescent="0.25">
      <c r="AH94" s="6"/>
    </row>
  </sheetData>
  <sheetProtection algorithmName="SHA-512" hashValue="gZcZulEwahWpNAWt7HScYk7+lFAsDw51zEq2B+41UqVXCtz4T8iuHxKfMU5Paxvymdx5XRKu4c0T+vu1Lst3BA==" saltValue="7VXZ4MdiO9ncgT66jDfjTw==" spinCount="100000" sheet="1" objects="1" scenarios="1" formatColumns="0" formatRows="0" insertColumns="0" insertRows="0" sort="0" autoFilter="0" pivotTables="0"/>
  <mergeCells count="69">
    <mergeCell ref="S37:V37"/>
    <mergeCell ref="S38:V38"/>
    <mergeCell ref="S39:V39"/>
    <mergeCell ref="S40:V40"/>
    <mergeCell ref="S41:V42"/>
    <mergeCell ref="S36:V36"/>
    <mergeCell ref="S25:V25"/>
    <mergeCell ref="S26:V26"/>
    <mergeCell ref="S27:V27"/>
    <mergeCell ref="S28:V28"/>
    <mergeCell ref="S29:V29"/>
    <mergeCell ref="S30:V30"/>
    <mergeCell ref="S31:V31"/>
    <mergeCell ref="S32:V32"/>
    <mergeCell ref="S33:V33"/>
    <mergeCell ref="S34:V34"/>
    <mergeCell ref="S35:V35"/>
    <mergeCell ref="S19:V19"/>
    <mergeCell ref="S20:V20"/>
    <mergeCell ref="S21:V21"/>
    <mergeCell ref="S22:V22"/>
    <mergeCell ref="S23:V23"/>
    <mergeCell ref="S24:V24"/>
    <mergeCell ref="BA14:BA15"/>
    <mergeCell ref="BB14:BB15"/>
    <mergeCell ref="BC14:BC15"/>
    <mergeCell ref="S16:V16"/>
    <mergeCell ref="S17:V17"/>
    <mergeCell ref="S18:V18"/>
    <mergeCell ref="AU14:AU15"/>
    <mergeCell ref="AV14:AV15"/>
    <mergeCell ref="AW14:AW15"/>
    <mergeCell ref="AX14:AX15"/>
    <mergeCell ref="AY14:AY15"/>
    <mergeCell ref="AZ14:AZ15"/>
    <mergeCell ref="AO14:AO15"/>
    <mergeCell ref="AP14:AP15"/>
    <mergeCell ref="AQ14:AQ15"/>
    <mergeCell ref="AR14:AR15"/>
    <mergeCell ref="AS14:AS15"/>
    <mergeCell ref="AT14:AT15"/>
    <mergeCell ref="AD14:AD15"/>
    <mergeCell ref="AJ14:AJ15"/>
    <mergeCell ref="AK14:AK15"/>
    <mergeCell ref="AL14:AL15"/>
    <mergeCell ref="AM14:AM15"/>
    <mergeCell ref="AN14:AN15"/>
    <mergeCell ref="Y14:AC14"/>
    <mergeCell ref="H13:H14"/>
    <mergeCell ref="I13:I14"/>
    <mergeCell ref="J13:J14"/>
    <mergeCell ref="K13:K14"/>
    <mergeCell ref="L13:L14"/>
    <mergeCell ref="M13:N13"/>
    <mergeCell ref="Q13:Q14"/>
    <mergeCell ref="R13:R14"/>
    <mergeCell ref="S13:V15"/>
    <mergeCell ref="O13:O14"/>
    <mergeCell ref="P13:P14"/>
    <mergeCell ref="A10:V10"/>
    <mergeCell ref="A11:V11"/>
    <mergeCell ref="K12:L12"/>
    <mergeCell ref="A13:A15"/>
    <mergeCell ref="B13:B14"/>
    <mergeCell ref="C13:C14"/>
    <mergeCell ref="D13:D14"/>
    <mergeCell ref="E13:E14"/>
    <mergeCell ref="F13:F14"/>
    <mergeCell ref="G13:G14"/>
  </mergeCells>
  <conditionalFormatting sqref="I47">
    <cfRule type="cellIs" dxfId="72" priority="6" operator="lessThan">
      <formula>0</formula>
    </cfRule>
  </conditionalFormatting>
  <conditionalFormatting sqref="Y16:Y39">
    <cfRule type="containsText" dxfId="71" priority="4" operator="containsText" text="STBY">
      <formula>NOT(ISERROR(SEARCH("STBY",Y16)))</formula>
    </cfRule>
    <cfRule type="containsText" dxfId="70" priority="5" operator="containsText" text="SD">
      <formula>NOT(ISERROR(SEARCH("SD",Y16)))</formula>
    </cfRule>
  </conditionalFormatting>
  <conditionalFormatting sqref="B16:B39 Q16:R39">
    <cfRule type="expression" dxfId="69" priority="3">
      <formula>ISTEXT(B16)</formula>
    </cfRule>
  </conditionalFormatting>
  <conditionalFormatting sqref="C16:C39">
    <cfRule type="expression" dxfId="68" priority="2">
      <formula>ISTEXT(C16)</formula>
    </cfRule>
  </conditionalFormatting>
  <conditionalFormatting sqref="D16:P39">
    <cfRule type="expression" dxfId="67" priority="1">
      <formula>ISTEXT(D16)</formula>
    </cfRule>
  </conditionalFormatting>
  <dataValidations count="2">
    <dataValidation type="list" allowBlank="1" showInputMessage="1" showErrorMessage="1" sqref="Y16:Y39" xr:uid="{73872E29-BF0C-4CFB-A283-D2585D764A0A}">
      <formula1>"SD,STBY"</formula1>
    </dataValidation>
    <dataValidation type="list" allowBlank="1" showInputMessage="1" sqref="AD16:AD39" xr:uid="{99BCCE30-1F98-4F88-BC47-483E20CFABB4}">
      <formula1>$AH$15:$AH$72</formula1>
    </dataValidation>
  </dataValidations>
  <printOptions horizontalCentered="1"/>
  <pageMargins left="0.39370078740157483" right="0.39370078740157483" top="0.59055118110236227" bottom="0.39370078740157483" header="0.31496062992125984" footer="0.31496062992125984"/>
  <pageSetup paperSize="9" scale="57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15C91-F0B8-40A5-AB0A-929A1C4E3D29}">
  <sheetPr codeName="N18">
    <pageSetUpPr fitToPage="1"/>
  </sheetPr>
  <dimension ref="A1:BC94"/>
  <sheetViews>
    <sheetView topLeftCell="A16" zoomScale="85" zoomScaleNormal="85" workbookViewId="0">
      <selection activeCell="L36" sqref="L36"/>
    </sheetView>
  </sheetViews>
  <sheetFormatPr defaultColWidth="0" defaultRowHeight="0" customHeight="1" zeroHeight="1" x14ac:dyDescent="0.25"/>
  <cols>
    <col min="1" max="1" width="10.7109375" style="7" customWidth="1"/>
    <col min="2" max="3" width="10.7109375" style="7" hidden="1" customWidth="1"/>
    <col min="4" max="14" width="10.7109375" style="7" customWidth="1"/>
    <col min="15" max="17" width="11.7109375" style="7" customWidth="1"/>
    <col min="18" max="18" width="10.7109375" style="7" hidden="1" customWidth="1"/>
    <col min="19" max="22" width="10.7109375" style="7" customWidth="1"/>
    <col min="23" max="23" width="2.7109375" style="7" customWidth="1"/>
    <col min="24" max="29" width="10.7109375" style="7" customWidth="1"/>
    <col min="30" max="30" width="30.7109375" style="7" customWidth="1"/>
    <col min="31" max="33" width="11.7109375" style="7" customWidth="1"/>
    <col min="34" max="34" width="30.7109375" style="7" customWidth="1"/>
    <col min="35" max="35" width="2.7109375" style="7" hidden="1" customWidth="1"/>
    <col min="36" max="55" width="11.7109375" style="7" hidden="1" customWidth="1"/>
    <col min="56" max="16384" width="9.140625" style="7" hidden="1"/>
  </cols>
  <sheetData>
    <row r="1" spans="1:55" ht="15" customHeight="1" x14ac:dyDescent="0.25">
      <c r="A1" s="7" t="s">
        <v>16</v>
      </c>
      <c r="D1" s="11" t="s">
        <v>85</v>
      </c>
      <c r="J1" s="7" t="str">
        <f>IF(MR!U13="Yes","PRINT","No")</f>
        <v>PRINT</v>
      </c>
      <c r="M1" s="191"/>
      <c r="N1" s="191"/>
    </row>
    <row r="2" spans="1:55" ht="15" customHeight="1" thickBot="1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192"/>
      <c r="M2" s="4"/>
      <c r="N2" s="4"/>
      <c r="O2" s="4"/>
      <c r="P2" s="4"/>
      <c r="Q2" s="4"/>
      <c r="R2" s="4"/>
      <c r="S2" s="8"/>
      <c r="T2" s="8"/>
      <c r="U2" s="8"/>
      <c r="V2" s="8"/>
      <c r="X2" s="8"/>
      <c r="Y2" s="8"/>
      <c r="Z2" s="8"/>
      <c r="AA2" s="8"/>
      <c r="AB2" s="8"/>
      <c r="AC2" s="8"/>
      <c r="AD2" s="8"/>
      <c r="AE2" s="8"/>
    </row>
    <row r="3" spans="1:55" ht="15" customHeight="1" x14ac:dyDescent="0.2">
      <c r="A3" s="31"/>
      <c r="B3" s="28"/>
      <c r="C3" s="28"/>
      <c r="D3" s="28"/>
      <c r="E3" s="28"/>
      <c r="F3" s="13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2"/>
      <c r="T3" s="22"/>
      <c r="U3" s="22"/>
      <c r="V3" s="23"/>
      <c r="X3" s="8"/>
      <c r="Y3" s="8"/>
      <c r="Z3" s="8"/>
      <c r="AA3" s="8"/>
      <c r="AB3" s="8"/>
      <c r="AC3" s="8"/>
      <c r="AD3" s="8"/>
      <c r="AE3" s="8"/>
    </row>
    <row r="4" spans="1:55" ht="30" customHeight="1" x14ac:dyDescent="0.25">
      <c r="A4" s="30"/>
      <c r="B4" s="1"/>
      <c r="C4" s="1"/>
      <c r="D4" s="1"/>
      <c r="E4" s="3"/>
      <c r="F4" s="63" t="s">
        <v>210</v>
      </c>
      <c r="G4" s="1"/>
      <c r="H4" s="1"/>
      <c r="I4" s="3"/>
      <c r="J4" s="3"/>
      <c r="K4" s="3"/>
      <c r="L4" s="3"/>
      <c r="M4" s="3"/>
      <c r="N4" s="3"/>
      <c r="O4" s="3"/>
      <c r="P4" s="3"/>
      <c r="Q4" s="3"/>
      <c r="R4" s="3"/>
      <c r="S4" s="1"/>
      <c r="T4" s="1"/>
      <c r="U4" s="1"/>
      <c r="V4" s="2"/>
      <c r="X4" s="5"/>
      <c r="Y4" s="5"/>
      <c r="Z4" s="5"/>
      <c r="AA4" s="5"/>
      <c r="AB4" s="5"/>
      <c r="AC4" s="5"/>
      <c r="AD4" s="5"/>
      <c r="AE4" s="5"/>
    </row>
    <row r="5" spans="1:55" ht="15" customHeight="1" x14ac:dyDescent="0.2">
      <c r="A5" s="32"/>
      <c r="B5" s="33"/>
      <c r="C5" s="33"/>
      <c r="D5" s="12"/>
      <c r="E5" s="3"/>
      <c r="F5" s="10" t="s">
        <v>129</v>
      </c>
      <c r="G5" s="1"/>
      <c r="H5" s="1"/>
      <c r="I5" s="3"/>
      <c r="J5" s="3"/>
      <c r="K5" s="3"/>
      <c r="L5" s="3"/>
      <c r="M5" s="3"/>
      <c r="N5" s="3"/>
      <c r="O5" s="3"/>
      <c r="P5" s="3"/>
      <c r="Q5" s="3"/>
      <c r="R5" s="3"/>
      <c r="S5" s="12"/>
      <c r="T5" s="12"/>
      <c r="U5" s="12"/>
      <c r="V5" s="14"/>
      <c r="X5" s="8"/>
      <c r="Y5" s="8"/>
      <c r="Z5" s="8"/>
      <c r="AA5" s="8"/>
      <c r="AB5" s="8"/>
      <c r="AC5" s="8"/>
      <c r="AD5" s="8"/>
      <c r="AE5" s="8"/>
      <c r="AJ5" s="193" t="s">
        <v>184</v>
      </c>
      <c r="AK5" s="194">
        <f>'V Calc'!B1</f>
        <v>500</v>
      </c>
      <c r="AL5" s="124"/>
    </row>
    <row r="6" spans="1:55" ht="15" customHeight="1" x14ac:dyDescent="0.2">
      <c r="A6" s="32"/>
      <c r="B6" s="33"/>
      <c r="C6" s="33"/>
      <c r="D6" s="12"/>
      <c r="E6" s="3"/>
      <c r="F6" s="10" t="s">
        <v>132</v>
      </c>
      <c r="G6" s="1"/>
      <c r="H6" s="1"/>
      <c r="I6" s="3"/>
      <c r="J6" s="3"/>
      <c r="K6" s="3"/>
      <c r="L6" s="3"/>
      <c r="M6" s="3"/>
      <c r="N6" s="3"/>
      <c r="O6" s="3"/>
      <c r="P6" s="3"/>
      <c r="Q6" s="3"/>
      <c r="R6" s="3"/>
      <c r="S6" s="12"/>
      <c r="T6" s="12"/>
      <c r="U6" s="12"/>
      <c r="V6" s="14"/>
      <c r="X6" s="8"/>
      <c r="Y6" s="8"/>
      <c r="Z6" s="8"/>
      <c r="AA6" s="8"/>
      <c r="AB6" s="8"/>
      <c r="AC6" s="8"/>
      <c r="AD6" s="8"/>
      <c r="AE6" s="8"/>
      <c r="AJ6" s="193" t="s">
        <v>185</v>
      </c>
      <c r="AK6" s="194">
        <f>'V Calc'!B2</f>
        <v>100</v>
      </c>
      <c r="AL6" s="124"/>
    </row>
    <row r="7" spans="1:55" ht="15" customHeight="1" x14ac:dyDescent="0.2">
      <c r="A7" s="32"/>
      <c r="B7" s="33"/>
      <c r="C7" s="33"/>
      <c r="D7" s="12"/>
      <c r="E7" s="3"/>
      <c r="F7" s="10" t="s">
        <v>130</v>
      </c>
      <c r="G7" s="1"/>
      <c r="H7" s="1"/>
      <c r="I7" s="3"/>
      <c r="J7" s="3"/>
      <c r="K7" s="3"/>
      <c r="L7" s="3"/>
      <c r="M7" s="3"/>
      <c r="N7" s="3"/>
      <c r="O7" s="3"/>
      <c r="P7" s="3"/>
      <c r="Q7" s="3"/>
      <c r="R7" s="3"/>
      <c r="S7" s="12"/>
      <c r="T7" s="12"/>
      <c r="U7" s="12"/>
      <c r="V7" s="14"/>
      <c r="X7" s="8"/>
      <c r="Y7" s="8"/>
      <c r="Z7" s="8"/>
      <c r="AA7" s="8"/>
      <c r="AB7" s="8"/>
      <c r="AC7" s="8"/>
      <c r="AD7" s="8"/>
      <c r="AE7" s="8"/>
      <c r="AJ7" s="193" t="s">
        <v>186</v>
      </c>
      <c r="AK7" s="195">
        <f>'V Calc'!B3</f>
        <v>2</v>
      </c>
      <c r="AL7" s="124"/>
    </row>
    <row r="8" spans="1:55" ht="15" customHeight="1" x14ac:dyDescent="0.2">
      <c r="A8" s="32"/>
      <c r="B8" s="33"/>
      <c r="C8" s="33"/>
      <c r="D8" s="12"/>
      <c r="E8" s="3"/>
      <c r="F8" s="10" t="s">
        <v>131</v>
      </c>
      <c r="G8" s="62"/>
      <c r="H8" s="62"/>
      <c r="I8" s="3"/>
      <c r="J8" s="3"/>
      <c r="K8" s="3"/>
      <c r="L8" s="3"/>
      <c r="M8" s="3"/>
      <c r="N8" s="3"/>
      <c r="O8" s="3"/>
      <c r="P8" s="3"/>
      <c r="Q8" s="3"/>
      <c r="R8" s="3"/>
      <c r="S8" s="12"/>
      <c r="T8" s="12"/>
      <c r="U8" s="12"/>
      <c r="V8" s="14"/>
      <c r="X8" s="8"/>
      <c r="Y8" s="8"/>
      <c r="Z8" s="8"/>
      <c r="AA8" s="8"/>
      <c r="AB8" s="8"/>
      <c r="AC8" s="8"/>
      <c r="AD8" s="8"/>
      <c r="AE8" s="8"/>
      <c r="AJ8" s="193" t="s">
        <v>187</v>
      </c>
      <c r="AK8" s="195">
        <f>'V Calc'!B4</f>
        <v>0.875</v>
      </c>
      <c r="AL8" s="124"/>
    </row>
    <row r="9" spans="1:55" ht="15" customHeight="1" thickBot="1" x14ac:dyDescent="0.25">
      <c r="A9" s="34"/>
      <c r="B9" s="29"/>
      <c r="C9" s="29"/>
      <c r="D9" s="29"/>
      <c r="E9" s="29"/>
      <c r="F9" s="15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16"/>
      <c r="T9" s="16"/>
      <c r="U9" s="16"/>
      <c r="V9" s="17"/>
      <c r="X9" s="8"/>
      <c r="Y9" s="8"/>
      <c r="Z9" s="8"/>
      <c r="AA9" s="8"/>
      <c r="AB9" s="8"/>
      <c r="AC9" s="8"/>
      <c r="AD9" s="8"/>
      <c r="AE9" s="8"/>
      <c r="AJ9" s="196" t="s">
        <v>188</v>
      </c>
      <c r="AK9" s="197">
        <f>'V Calc'!B5</f>
        <v>158.47</v>
      </c>
      <c r="AL9" s="198"/>
    </row>
    <row r="10" spans="1:55" s="9" customFormat="1" ht="30" customHeight="1" x14ac:dyDescent="0.2">
      <c r="A10" s="513" t="s">
        <v>20</v>
      </c>
      <c r="B10" s="514"/>
      <c r="C10" s="514"/>
      <c r="D10" s="514"/>
      <c r="E10" s="514"/>
      <c r="F10" s="514"/>
      <c r="G10" s="514"/>
      <c r="H10" s="514"/>
      <c r="I10" s="514"/>
      <c r="J10" s="514"/>
      <c r="K10" s="514"/>
      <c r="L10" s="514"/>
      <c r="M10" s="514"/>
      <c r="N10" s="514"/>
      <c r="O10" s="514"/>
      <c r="P10" s="514"/>
      <c r="Q10" s="514"/>
      <c r="R10" s="514"/>
      <c r="S10" s="514"/>
      <c r="T10" s="514"/>
      <c r="U10" s="514"/>
      <c r="V10" s="515"/>
      <c r="X10" s="96"/>
      <c r="Y10" s="96"/>
      <c r="Z10" s="96"/>
      <c r="AA10" s="96"/>
      <c r="AB10" s="96"/>
      <c r="AC10" s="96"/>
      <c r="AJ10" s="193" t="s">
        <v>189</v>
      </c>
      <c r="AK10" s="199">
        <f>'V Calc'!B6</f>
        <v>0.63607464142166403</v>
      </c>
      <c r="AL10" s="198" t="s">
        <v>190</v>
      </c>
    </row>
    <row r="11" spans="1:55" s="9" customFormat="1" ht="20.100000000000001" customHeight="1" thickBot="1" x14ac:dyDescent="0.25">
      <c r="A11" s="516" t="s">
        <v>21</v>
      </c>
      <c r="B11" s="517"/>
      <c r="C11" s="517"/>
      <c r="D11" s="517"/>
      <c r="E11" s="517"/>
      <c r="F11" s="517"/>
      <c r="G11" s="517"/>
      <c r="H11" s="517"/>
      <c r="I11" s="517"/>
      <c r="J11" s="517"/>
      <c r="K11" s="517"/>
      <c r="L11" s="517"/>
      <c r="M11" s="517"/>
      <c r="N11" s="517"/>
      <c r="O11" s="517"/>
      <c r="P11" s="517"/>
      <c r="Q11" s="517"/>
      <c r="R11" s="517"/>
      <c r="S11" s="517"/>
      <c r="T11" s="517"/>
      <c r="U11" s="517"/>
      <c r="V11" s="518"/>
      <c r="X11" s="97"/>
      <c r="Y11" s="97"/>
      <c r="Z11" s="97"/>
      <c r="AA11" s="97"/>
      <c r="AB11" s="97"/>
      <c r="AC11" s="97"/>
    </row>
    <row r="12" spans="1:55" s="6" customFormat="1" ht="30" customHeight="1" thickBot="1" x14ac:dyDescent="0.3">
      <c r="A12" s="18"/>
      <c r="B12" s="20"/>
      <c r="C12" s="20"/>
      <c r="D12" s="19" t="s">
        <v>121</v>
      </c>
      <c r="E12" s="200" t="str">
        <f>'Day 17'!E12</f>
        <v>MPR 632  RFD</v>
      </c>
      <c r="F12" s="35"/>
      <c r="G12" s="19" t="s">
        <v>120</v>
      </c>
      <c r="H12" s="200" t="str">
        <f>IF(Volume!C$21="","",Volume!C$21)</f>
        <v>FP 65354</v>
      </c>
      <c r="I12" s="20"/>
      <c r="J12" s="19" t="s">
        <v>17</v>
      </c>
      <c r="K12" s="505">
        <f>'Day 17'!K12+1</f>
        <v>45826</v>
      </c>
      <c r="L12" s="505"/>
      <c r="M12" s="100"/>
      <c r="N12" s="19" t="s">
        <v>119</v>
      </c>
      <c r="O12" s="200" t="str">
        <f>IF(Volume!D$21="","",Volume!D$21)</f>
        <v>SP. Tambun - Cluster F</v>
      </c>
      <c r="P12" s="20"/>
      <c r="Q12" s="19" t="s">
        <v>122</v>
      </c>
      <c r="S12" s="201">
        <f>IF(Volume!E$21="","",Volume!E$21)</f>
        <v>1.25</v>
      </c>
      <c r="T12" s="20"/>
      <c r="U12" s="19" t="s">
        <v>126</v>
      </c>
      <c r="V12" s="202" t="str">
        <f>IF(Volume!F$21="","",Volume!F$21)</f>
        <v>4/0</v>
      </c>
    </row>
    <row r="13" spans="1:55" ht="30" customHeight="1" thickBot="1" x14ac:dyDescent="0.3">
      <c r="A13" s="502" t="s">
        <v>0</v>
      </c>
      <c r="B13" s="502" t="s">
        <v>213</v>
      </c>
      <c r="C13" s="502" t="s">
        <v>212</v>
      </c>
      <c r="D13" s="502" t="s">
        <v>31</v>
      </c>
      <c r="E13" s="502" t="s">
        <v>32</v>
      </c>
      <c r="F13" s="502" t="s">
        <v>2</v>
      </c>
      <c r="G13" s="502" t="s">
        <v>33</v>
      </c>
      <c r="H13" s="502" t="s">
        <v>35</v>
      </c>
      <c r="I13" s="502" t="s">
        <v>36</v>
      </c>
      <c r="J13" s="502" t="s">
        <v>110</v>
      </c>
      <c r="K13" s="502" t="s">
        <v>15</v>
      </c>
      <c r="L13" s="502" t="s">
        <v>34</v>
      </c>
      <c r="M13" s="502" t="s">
        <v>10</v>
      </c>
      <c r="N13" s="502"/>
      <c r="O13" s="506" t="s">
        <v>300</v>
      </c>
      <c r="P13" s="506" t="s">
        <v>299</v>
      </c>
      <c r="Q13" s="502" t="s">
        <v>7</v>
      </c>
      <c r="R13" s="502" t="s">
        <v>88</v>
      </c>
      <c r="S13" s="502" t="s">
        <v>8</v>
      </c>
      <c r="T13" s="502"/>
      <c r="U13" s="502"/>
      <c r="V13" s="502"/>
      <c r="X13" s="98"/>
      <c r="Y13" s="98"/>
      <c r="Z13" s="98"/>
      <c r="AA13" s="98"/>
      <c r="AB13" s="98"/>
      <c r="AC13" s="98"/>
    </row>
    <row r="14" spans="1:55" ht="30" customHeight="1" x14ac:dyDescent="0.25">
      <c r="A14" s="504"/>
      <c r="B14" s="504"/>
      <c r="C14" s="504"/>
      <c r="D14" s="504"/>
      <c r="E14" s="504"/>
      <c r="F14" s="504"/>
      <c r="G14" s="504"/>
      <c r="H14" s="504"/>
      <c r="I14" s="504"/>
      <c r="J14" s="504"/>
      <c r="K14" s="504"/>
      <c r="L14" s="504"/>
      <c r="M14" s="94" t="s">
        <v>3</v>
      </c>
      <c r="N14" s="94" t="s">
        <v>4</v>
      </c>
      <c r="O14" s="507"/>
      <c r="P14" s="507"/>
      <c r="Q14" s="504"/>
      <c r="R14" s="504"/>
      <c r="S14" s="504"/>
      <c r="T14" s="504"/>
      <c r="U14" s="504"/>
      <c r="V14" s="504"/>
      <c r="Y14" s="502" t="s">
        <v>230</v>
      </c>
      <c r="Z14" s="502"/>
      <c r="AA14" s="502"/>
      <c r="AB14" s="502"/>
      <c r="AC14" s="502"/>
      <c r="AD14" s="502" t="s">
        <v>231</v>
      </c>
      <c r="AH14" s="203" t="s">
        <v>232</v>
      </c>
      <c r="AJ14" s="520" t="s">
        <v>191</v>
      </c>
      <c r="AK14" s="520" t="s">
        <v>192</v>
      </c>
      <c r="AL14" s="520" t="s">
        <v>193</v>
      </c>
      <c r="AM14" s="520" t="s">
        <v>194</v>
      </c>
      <c r="AN14" s="520" t="s">
        <v>195</v>
      </c>
      <c r="AO14" s="506" t="s">
        <v>196</v>
      </c>
      <c r="AP14" s="506" t="s">
        <v>197</v>
      </c>
      <c r="AQ14" s="506" t="s">
        <v>198</v>
      </c>
      <c r="AR14" s="506" t="s">
        <v>188</v>
      </c>
      <c r="AS14" s="506" t="s">
        <v>199</v>
      </c>
      <c r="AT14" s="506" t="s">
        <v>200</v>
      </c>
      <c r="AU14" s="506" t="s">
        <v>201</v>
      </c>
      <c r="AV14" s="506" t="s">
        <v>202</v>
      </c>
      <c r="AW14" s="506" t="s">
        <v>203</v>
      </c>
      <c r="AX14" s="506" t="s">
        <v>204</v>
      </c>
      <c r="AY14" s="523" t="s">
        <v>205</v>
      </c>
      <c r="AZ14" s="523" t="s">
        <v>206</v>
      </c>
      <c r="BA14" s="523" t="s">
        <v>207</v>
      </c>
      <c r="BB14" s="523" t="s">
        <v>208</v>
      </c>
      <c r="BC14" s="506" t="s">
        <v>197</v>
      </c>
    </row>
    <row r="15" spans="1:55" ht="20.100000000000001" customHeight="1" thickBot="1" x14ac:dyDescent="0.3">
      <c r="A15" s="503"/>
      <c r="B15" s="95" t="s">
        <v>1</v>
      </c>
      <c r="C15" s="95" t="s">
        <v>1</v>
      </c>
      <c r="D15" s="95" t="s">
        <v>1</v>
      </c>
      <c r="E15" s="95" t="s">
        <v>1</v>
      </c>
      <c r="F15" s="95" t="s">
        <v>140</v>
      </c>
      <c r="G15" s="95" t="s">
        <v>1</v>
      </c>
      <c r="H15" s="95" t="s">
        <v>1</v>
      </c>
      <c r="I15" s="95" t="s">
        <v>1</v>
      </c>
      <c r="J15" s="95" t="s">
        <v>18</v>
      </c>
      <c r="K15" s="95" t="s">
        <v>9</v>
      </c>
      <c r="L15" s="95" t="s">
        <v>5</v>
      </c>
      <c r="M15" s="95" t="s">
        <v>5</v>
      </c>
      <c r="N15" s="95" t="s">
        <v>5</v>
      </c>
      <c r="O15" s="95" t="s">
        <v>1</v>
      </c>
      <c r="P15" s="95" t="s">
        <v>14</v>
      </c>
      <c r="Q15" s="95" t="str">
        <f>IF(MR!G17="MSCF","MSCFD","MMSCFD")</f>
        <v>MSCFD</v>
      </c>
      <c r="R15" s="95" t="str">
        <f>MR!L17</f>
        <v>BPD</v>
      </c>
      <c r="S15" s="503"/>
      <c r="T15" s="503"/>
      <c r="U15" s="503"/>
      <c r="V15" s="503"/>
      <c r="X15" s="365"/>
      <c r="Y15" s="95" t="s">
        <v>123</v>
      </c>
      <c r="Z15" s="95" t="s">
        <v>124</v>
      </c>
      <c r="AA15" s="95" t="s">
        <v>125</v>
      </c>
      <c r="AB15" s="95" t="s">
        <v>51</v>
      </c>
      <c r="AC15" s="95" t="s">
        <v>48</v>
      </c>
      <c r="AD15" s="503"/>
      <c r="AH15" s="204" t="s">
        <v>228</v>
      </c>
      <c r="AJ15" s="521"/>
      <c r="AK15" s="521"/>
      <c r="AL15" s="521"/>
      <c r="AM15" s="521"/>
      <c r="AN15" s="521"/>
      <c r="AO15" s="522"/>
      <c r="AP15" s="522"/>
      <c r="AQ15" s="522"/>
      <c r="AR15" s="522"/>
      <c r="AS15" s="522"/>
      <c r="AT15" s="522"/>
      <c r="AU15" s="522"/>
      <c r="AV15" s="522"/>
      <c r="AW15" s="522"/>
      <c r="AX15" s="522"/>
      <c r="AY15" s="524"/>
      <c r="AZ15" s="524"/>
      <c r="BA15" s="524"/>
      <c r="BB15" s="524"/>
      <c r="BC15" s="522"/>
    </row>
    <row r="16" spans="1:55" ht="20.100000000000001" customHeight="1" x14ac:dyDescent="0.2">
      <c r="A16" s="44">
        <v>4.1666666666666664E-2</v>
      </c>
      <c r="B16" s="450"/>
      <c r="C16" s="450"/>
      <c r="D16" s="450">
        <v>6.2</v>
      </c>
      <c r="E16" s="450">
        <v>58.6</v>
      </c>
      <c r="F16" s="40">
        <v>1930</v>
      </c>
      <c r="G16" s="36">
        <v>-5.6</v>
      </c>
      <c r="H16" s="36">
        <v>72.099999999999994</v>
      </c>
      <c r="I16" s="36">
        <v>22.4</v>
      </c>
      <c r="J16" s="40">
        <v>488</v>
      </c>
      <c r="K16" s="36">
        <v>13</v>
      </c>
      <c r="L16" s="450">
        <v>134</v>
      </c>
      <c r="M16" s="450">
        <v>221</v>
      </c>
      <c r="N16" s="450">
        <v>90</v>
      </c>
      <c r="O16" s="352">
        <v>45</v>
      </c>
      <c r="P16" s="352">
        <v>12</v>
      </c>
      <c r="Q16" s="352">
        <v>238.62</v>
      </c>
      <c r="R16" s="36"/>
      <c r="S16" s="519" t="str">
        <f t="shared" ref="S16:S32" si="0">IF(Z16="",IF(AD16="","",AD16),CONCATENATE(TEXT(Z16,"[hh]:mm"),IF(AA16="",""," - "&amp;TEXT(AA16,"[hh]:mm")),IF(Y16="",""," "&amp;Y16&amp;"/")," "&amp;AD16))</f>
        <v/>
      </c>
      <c r="T16" s="519"/>
      <c r="U16" s="519"/>
      <c r="V16" s="519"/>
      <c r="X16" s="44">
        <v>4.1666666666666664E-2</v>
      </c>
      <c r="Y16" s="105"/>
      <c r="Z16" s="101"/>
      <c r="AA16" s="101"/>
      <c r="AB16" s="44" t="str">
        <f>IF(Y16="STBY",AA16-Z16,"")</f>
        <v/>
      </c>
      <c r="AC16" s="44" t="str">
        <f t="shared" ref="AC16:AC39" si="1">IF(Y16="SD",AA16-Z16,"")</f>
        <v/>
      </c>
      <c r="AD16" s="355"/>
      <c r="AE16" s="9" t="str">
        <f>IF(S16="","",IF(COUNTA(Z16:$Z$39)=1,IF(COUNTA(AD16:$AD$39)=1,""," ; "),IF(COUNTA(AD16:$AD$39)=1,IF(Z16="",""," ; ")," ; ")))</f>
        <v/>
      </c>
      <c r="AF16" s="9" t="str">
        <f t="shared" ref="AF16:AF39" si="2">CONCATENATE(S16,AE16)</f>
        <v/>
      </c>
      <c r="AG16" s="90" t="str">
        <f t="shared" ref="AG16:AG39" si="3">IF(AND(COUNTBLANK(N16:P16)&lt;3,Q16=""),"CEK : Data Flowrate","")</f>
        <v/>
      </c>
      <c r="AH16" s="204" t="s">
        <v>229</v>
      </c>
      <c r="AJ16" s="205">
        <f>AK5</f>
        <v>500</v>
      </c>
      <c r="AK16" s="205">
        <f>AK6</f>
        <v>100</v>
      </c>
      <c r="AL16" s="206">
        <f>AK7</f>
        <v>2</v>
      </c>
      <c r="AM16" s="207">
        <f>AK8</f>
        <v>0.875</v>
      </c>
      <c r="AN16" s="208">
        <f>AK10</f>
        <v>0.63607464142166403</v>
      </c>
      <c r="AO16" s="209">
        <f t="shared" ref="AO16:AO39" si="4">T16^2*AJ16/100-14.7</f>
        <v>-14.7</v>
      </c>
      <c r="AP16" s="210">
        <f t="shared" ref="AP16:AP39" si="5">IF(AO16&lt;100,1,BC16)</f>
        <v>1</v>
      </c>
      <c r="AQ16" s="210">
        <f t="shared" ref="AQ16:AQ39" si="6">(1/AP16)^0.5</f>
        <v>1</v>
      </c>
      <c r="AR16" s="52">
        <f>AK9</f>
        <v>158.47</v>
      </c>
      <c r="AS16" s="210">
        <f t="shared" ref="AS16:AS39" si="7">(520/(460+N16))^0.5</f>
        <v>0.9723448696087954</v>
      </c>
      <c r="AT16" s="210">
        <f t="shared" ref="AT16:AT39" si="8">(1/AN16)^0.5</f>
        <v>1.2538510821608391</v>
      </c>
      <c r="AU16" s="210">
        <f t="shared" ref="AU16:AU39" si="9">0.01*(AJ16*AK16)^0.5</f>
        <v>2.2360679774997898</v>
      </c>
      <c r="AV16" s="211">
        <f t="shared" ref="AV16:AV39" si="10">0.024*AQ16*AR16*AS16*AT16*AU16</f>
        <v>10.368348541764712</v>
      </c>
      <c r="AW16" s="210">
        <f t="shared" ref="AW16:AW39" si="11">(AO16+14.7)/(697.2-43*AN16)</f>
        <v>0</v>
      </c>
      <c r="AX16" s="212">
        <f t="shared" ref="AX16:AX39" si="12">(N16+460)/(315.1*AN16+170.4)</f>
        <v>1.4831709199797398</v>
      </c>
      <c r="AY16" s="210">
        <f t="shared" ref="AY16:AY39" si="13">0.3379*LN(LN(AX16))+1.091</f>
        <v>0.77643477842613629</v>
      </c>
      <c r="AZ16" s="211">
        <f t="shared" ref="AZ16:AZ39" si="14">21.46*AY16-11.9*AY16^2-5.9</f>
        <v>3.5883638597441294</v>
      </c>
      <c r="BA16" s="210">
        <f t="shared" ref="BA16:BA39" si="15">AW16/AZ16</f>
        <v>0</v>
      </c>
      <c r="BB16" s="210">
        <f t="shared" ref="BB16:BB39" si="16">(1.1+0.26*AX16+(1.04-1.42*AX16)*BA16)*2.718^BA16/AX16</f>
        <v>1.0016542390239327</v>
      </c>
      <c r="BC16" s="210">
        <f t="shared" ref="BC16:BC39" si="17">1+(AY16-1)*SIN((90*BA16)/57.29578)^BB16</f>
        <v>1</v>
      </c>
    </row>
    <row r="17" spans="1:55" ht="20.100000000000001" customHeight="1" x14ac:dyDescent="0.2">
      <c r="A17" s="45">
        <v>8.3333333333333301E-2</v>
      </c>
      <c r="B17" s="451"/>
      <c r="C17" s="451"/>
      <c r="D17" s="451">
        <v>6.4</v>
      </c>
      <c r="E17" s="451">
        <v>63.7</v>
      </c>
      <c r="F17" s="41">
        <v>1915</v>
      </c>
      <c r="G17" s="37">
        <v>-5.6</v>
      </c>
      <c r="H17" s="37">
        <v>72.5</v>
      </c>
      <c r="I17" s="37">
        <v>22.7</v>
      </c>
      <c r="J17" s="41">
        <v>489</v>
      </c>
      <c r="K17" s="37">
        <v>13</v>
      </c>
      <c r="L17" s="451">
        <v>130</v>
      </c>
      <c r="M17" s="451">
        <v>221</v>
      </c>
      <c r="N17" s="451">
        <v>90</v>
      </c>
      <c r="O17" s="353">
        <v>45</v>
      </c>
      <c r="P17" s="353">
        <v>12</v>
      </c>
      <c r="Q17" s="353">
        <v>238.62</v>
      </c>
      <c r="R17" s="37"/>
      <c r="S17" s="508" t="str">
        <f t="shared" si="0"/>
        <v/>
      </c>
      <c r="T17" s="508"/>
      <c r="U17" s="508"/>
      <c r="V17" s="508"/>
      <c r="X17" s="45">
        <v>8.3333333333333301E-2</v>
      </c>
      <c r="Y17" s="106"/>
      <c r="Z17" s="102"/>
      <c r="AA17" s="102"/>
      <c r="AB17" s="45" t="str">
        <f t="shared" ref="AB17:AB39" si="18">IF(Y17="STBY",AA17-Z17,"")</f>
        <v/>
      </c>
      <c r="AC17" s="45" t="str">
        <f t="shared" si="1"/>
        <v/>
      </c>
      <c r="AD17" s="81"/>
      <c r="AE17" s="9" t="str">
        <f>IF(S17="","",IF(COUNTA(Z17:$Z$39)=1,IF(COUNTA(AD17:$AD$39)=1,""," ; "),IF(COUNTA(AD17:$AD$39)=1,IF(Z17="",""," ; ")," ; ")))</f>
        <v/>
      </c>
      <c r="AF17" s="9" t="str">
        <f t="shared" si="2"/>
        <v/>
      </c>
      <c r="AG17" s="90" t="str">
        <f t="shared" si="3"/>
        <v/>
      </c>
      <c r="AH17" s="204" t="s">
        <v>289</v>
      </c>
      <c r="AJ17" s="206">
        <f t="shared" ref="AJ17:AN32" si="19">AJ16</f>
        <v>500</v>
      </c>
      <c r="AK17" s="206">
        <f t="shared" si="19"/>
        <v>100</v>
      </c>
      <c r="AL17" s="206">
        <f>AL16</f>
        <v>2</v>
      </c>
      <c r="AM17" s="213">
        <f>AM16</f>
        <v>0.875</v>
      </c>
      <c r="AN17" s="214">
        <f>AN16</f>
        <v>0.63607464142166403</v>
      </c>
      <c r="AO17" s="215">
        <f t="shared" si="4"/>
        <v>-14.7</v>
      </c>
      <c r="AP17" s="216">
        <f t="shared" si="5"/>
        <v>1</v>
      </c>
      <c r="AQ17" s="216">
        <f t="shared" si="6"/>
        <v>1</v>
      </c>
      <c r="AR17" s="215">
        <f>AR16</f>
        <v>158.47</v>
      </c>
      <c r="AS17" s="216">
        <f t="shared" si="7"/>
        <v>0.9723448696087954</v>
      </c>
      <c r="AT17" s="216">
        <f t="shared" si="8"/>
        <v>1.2538510821608391</v>
      </c>
      <c r="AU17" s="216">
        <f t="shared" si="9"/>
        <v>2.2360679774997898</v>
      </c>
      <c r="AV17" s="217">
        <f t="shared" si="10"/>
        <v>10.368348541764712</v>
      </c>
      <c r="AW17" s="216">
        <f t="shared" si="11"/>
        <v>0</v>
      </c>
      <c r="AX17" s="218">
        <f t="shared" si="12"/>
        <v>1.4831709199797398</v>
      </c>
      <c r="AY17" s="216">
        <f t="shared" si="13"/>
        <v>0.77643477842613629</v>
      </c>
      <c r="AZ17" s="217">
        <f t="shared" si="14"/>
        <v>3.5883638597441294</v>
      </c>
      <c r="BA17" s="216">
        <f t="shared" si="15"/>
        <v>0</v>
      </c>
      <c r="BB17" s="216">
        <f t="shared" si="16"/>
        <v>1.0016542390239327</v>
      </c>
      <c r="BC17" s="216">
        <f t="shared" si="17"/>
        <v>1</v>
      </c>
    </row>
    <row r="18" spans="1:55" ht="20.100000000000001" customHeight="1" x14ac:dyDescent="0.2">
      <c r="A18" s="45">
        <v>0.125</v>
      </c>
      <c r="B18" s="451"/>
      <c r="C18" s="451"/>
      <c r="D18" s="451">
        <v>7</v>
      </c>
      <c r="E18" s="451">
        <v>54.9</v>
      </c>
      <c r="F18" s="41">
        <v>1922</v>
      </c>
      <c r="G18" s="37">
        <v>-5.6</v>
      </c>
      <c r="H18" s="37">
        <v>72</v>
      </c>
      <c r="I18" s="37">
        <v>22</v>
      </c>
      <c r="J18" s="41">
        <v>490</v>
      </c>
      <c r="K18" s="37">
        <v>13</v>
      </c>
      <c r="L18" s="451">
        <v>131</v>
      </c>
      <c r="M18" s="451">
        <v>220</v>
      </c>
      <c r="N18" s="451">
        <v>90</v>
      </c>
      <c r="O18" s="353">
        <v>45</v>
      </c>
      <c r="P18" s="353">
        <v>14</v>
      </c>
      <c r="Q18" s="353">
        <v>257.58</v>
      </c>
      <c r="R18" s="37"/>
      <c r="S18" s="508" t="str">
        <f t="shared" si="0"/>
        <v/>
      </c>
      <c r="T18" s="508"/>
      <c r="U18" s="508"/>
      <c r="V18" s="508"/>
      <c r="X18" s="45">
        <v>0.125</v>
      </c>
      <c r="Y18" s="106"/>
      <c r="Z18" s="102"/>
      <c r="AA18" s="102"/>
      <c r="AB18" s="45" t="str">
        <f t="shared" si="18"/>
        <v/>
      </c>
      <c r="AC18" s="45" t="str">
        <f t="shared" si="1"/>
        <v/>
      </c>
      <c r="AD18" s="81"/>
      <c r="AE18" s="9" t="str">
        <f>IF(S18="","",IF(COUNTA(Z18:$Z$39)=1,IF(COUNTA(AD18:$AD$39)=1,""," ; "),IF(COUNTA(AD18:$AD$39)=1,IF(Z18="",""," ; ")," ; ")))</f>
        <v/>
      </c>
      <c r="AF18" s="9" t="str">
        <f t="shared" si="2"/>
        <v/>
      </c>
      <c r="AG18" s="90" t="str">
        <f t="shared" si="3"/>
        <v/>
      </c>
      <c r="AH18" s="204" t="s">
        <v>321</v>
      </c>
      <c r="AJ18" s="206">
        <f t="shared" si="19"/>
        <v>500</v>
      </c>
      <c r="AK18" s="206">
        <f t="shared" si="19"/>
        <v>100</v>
      </c>
      <c r="AL18" s="206">
        <f t="shared" si="19"/>
        <v>2</v>
      </c>
      <c r="AM18" s="213">
        <f t="shared" si="19"/>
        <v>0.875</v>
      </c>
      <c r="AN18" s="214">
        <f t="shared" si="19"/>
        <v>0.63607464142166403</v>
      </c>
      <c r="AO18" s="215">
        <f t="shared" si="4"/>
        <v>-14.7</v>
      </c>
      <c r="AP18" s="216">
        <f t="shared" si="5"/>
        <v>1</v>
      </c>
      <c r="AQ18" s="216">
        <f t="shared" si="6"/>
        <v>1</v>
      </c>
      <c r="AR18" s="215">
        <f t="shared" ref="AR18:AR39" si="20">AR17</f>
        <v>158.47</v>
      </c>
      <c r="AS18" s="216">
        <f t="shared" si="7"/>
        <v>0.9723448696087954</v>
      </c>
      <c r="AT18" s="216">
        <f t="shared" si="8"/>
        <v>1.2538510821608391</v>
      </c>
      <c r="AU18" s="216">
        <f t="shared" si="9"/>
        <v>2.2360679774997898</v>
      </c>
      <c r="AV18" s="217">
        <f t="shared" si="10"/>
        <v>10.368348541764712</v>
      </c>
      <c r="AW18" s="216">
        <f t="shared" si="11"/>
        <v>0</v>
      </c>
      <c r="AX18" s="218">
        <f t="shared" si="12"/>
        <v>1.4831709199797398</v>
      </c>
      <c r="AY18" s="216">
        <f t="shared" si="13"/>
        <v>0.77643477842613629</v>
      </c>
      <c r="AZ18" s="217">
        <f t="shared" si="14"/>
        <v>3.5883638597441294</v>
      </c>
      <c r="BA18" s="216">
        <f t="shared" si="15"/>
        <v>0</v>
      </c>
      <c r="BB18" s="216">
        <f t="shared" si="16"/>
        <v>1.0016542390239327</v>
      </c>
      <c r="BC18" s="216">
        <f t="shared" si="17"/>
        <v>1</v>
      </c>
    </row>
    <row r="19" spans="1:55" ht="20.100000000000001" customHeight="1" x14ac:dyDescent="0.2">
      <c r="A19" s="45">
        <v>0.16666666666666699</v>
      </c>
      <c r="B19" s="451"/>
      <c r="C19" s="451"/>
      <c r="D19" s="451">
        <v>7.7</v>
      </c>
      <c r="E19" s="451">
        <v>65.3</v>
      </c>
      <c r="F19" s="41">
        <v>1946</v>
      </c>
      <c r="G19" s="37">
        <v>-5.6</v>
      </c>
      <c r="H19" s="37">
        <v>72.400000000000006</v>
      </c>
      <c r="I19" s="37">
        <v>22.3</v>
      </c>
      <c r="J19" s="41">
        <v>491</v>
      </c>
      <c r="K19" s="37">
        <v>13</v>
      </c>
      <c r="L19" s="451">
        <v>136</v>
      </c>
      <c r="M19" s="451">
        <v>222</v>
      </c>
      <c r="N19" s="451">
        <v>90</v>
      </c>
      <c r="O19" s="353">
        <v>50</v>
      </c>
      <c r="P19" s="353">
        <v>14</v>
      </c>
      <c r="Q19" s="353">
        <v>268.3</v>
      </c>
      <c r="R19" s="37"/>
      <c r="S19" s="508" t="str">
        <f t="shared" si="0"/>
        <v/>
      </c>
      <c r="T19" s="508"/>
      <c r="U19" s="508"/>
      <c r="V19" s="508"/>
      <c r="X19" s="45">
        <v>0.16666666666666699</v>
      </c>
      <c r="Y19" s="106"/>
      <c r="Z19" s="102"/>
      <c r="AA19" s="102"/>
      <c r="AB19" s="45" t="str">
        <f t="shared" si="18"/>
        <v/>
      </c>
      <c r="AC19" s="45" t="str">
        <f t="shared" si="1"/>
        <v/>
      </c>
      <c r="AD19" s="81"/>
      <c r="AE19" s="9" t="str">
        <f>IF(S19="","",IF(COUNTA(Z19:$Z$39)=1,IF(COUNTA(AD19:$AD$39)=1,""," ; "),IF(COUNTA(AD19:$AD$39)=1,IF(Z19="",""," ; ")," ; ")))</f>
        <v/>
      </c>
      <c r="AF19" s="9" t="str">
        <f t="shared" si="2"/>
        <v/>
      </c>
      <c r="AG19" s="90" t="str">
        <f t="shared" si="3"/>
        <v/>
      </c>
      <c r="AH19" s="204" t="s">
        <v>272</v>
      </c>
      <c r="AJ19" s="206">
        <f t="shared" si="19"/>
        <v>500</v>
      </c>
      <c r="AK19" s="206">
        <f t="shared" si="19"/>
        <v>100</v>
      </c>
      <c r="AL19" s="206">
        <f t="shared" si="19"/>
        <v>2</v>
      </c>
      <c r="AM19" s="213">
        <f t="shared" si="19"/>
        <v>0.875</v>
      </c>
      <c r="AN19" s="214">
        <f t="shared" si="19"/>
        <v>0.63607464142166403</v>
      </c>
      <c r="AO19" s="215">
        <f t="shared" si="4"/>
        <v>-14.7</v>
      </c>
      <c r="AP19" s="216">
        <f t="shared" si="5"/>
        <v>1</v>
      </c>
      <c r="AQ19" s="216">
        <f t="shared" si="6"/>
        <v>1</v>
      </c>
      <c r="AR19" s="215">
        <f t="shared" si="20"/>
        <v>158.47</v>
      </c>
      <c r="AS19" s="216">
        <f t="shared" si="7"/>
        <v>0.9723448696087954</v>
      </c>
      <c r="AT19" s="216">
        <f t="shared" si="8"/>
        <v>1.2538510821608391</v>
      </c>
      <c r="AU19" s="216">
        <f t="shared" si="9"/>
        <v>2.2360679774997898</v>
      </c>
      <c r="AV19" s="217">
        <f t="shared" si="10"/>
        <v>10.368348541764712</v>
      </c>
      <c r="AW19" s="216">
        <f t="shared" si="11"/>
        <v>0</v>
      </c>
      <c r="AX19" s="218">
        <f t="shared" si="12"/>
        <v>1.4831709199797398</v>
      </c>
      <c r="AY19" s="216">
        <f t="shared" si="13"/>
        <v>0.77643477842613629</v>
      </c>
      <c r="AZ19" s="217">
        <f t="shared" si="14"/>
        <v>3.5883638597441294</v>
      </c>
      <c r="BA19" s="216">
        <f t="shared" si="15"/>
        <v>0</v>
      </c>
      <c r="BB19" s="216">
        <f t="shared" si="16"/>
        <v>1.0016542390239327</v>
      </c>
      <c r="BC19" s="216">
        <f t="shared" si="17"/>
        <v>1</v>
      </c>
    </row>
    <row r="20" spans="1:55" ht="20.100000000000001" customHeight="1" x14ac:dyDescent="0.2">
      <c r="A20" s="45">
        <v>0.20833333333333301</v>
      </c>
      <c r="B20" s="451"/>
      <c r="C20" s="451"/>
      <c r="D20" s="451">
        <v>6.1</v>
      </c>
      <c r="E20" s="451">
        <v>57.4</v>
      </c>
      <c r="F20" s="41">
        <v>1937</v>
      </c>
      <c r="G20" s="37">
        <v>-5.6</v>
      </c>
      <c r="H20" s="37">
        <v>72.099999999999994</v>
      </c>
      <c r="I20" s="37">
        <v>22.6</v>
      </c>
      <c r="J20" s="41">
        <v>492</v>
      </c>
      <c r="K20" s="37">
        <v>13</v>
      </c>
      <c r="L20" s="451">
        <v>134</v>
      </c>
      <c r="M20" s="451">
        <v>222</v>
      </c>
      <c r="N20" s="451">
        <v>90</v>
      </c>
      <c r="O20" s="353">
        <v>50</v>
      </c>
      <c r="P20" s="353">
        <v>14</v>
      </c>
      <c r="Q20" s="353">
        <v>268.3</v>
      </c>
      <c r="R20" s="37"/>
      <c r="S20" s="508" t="str">
        <f t="shared" si="0"/>
        <v/>
      </c>
      <c r="T20" s="508"/>
      <c r="U20" s="508"/>
      <c r="V20" s="508"/>
      <c r="X20" s="45">
        <v>0.20833333333333301</v>
      </c>
      <c r="Y20" s="106"/>
      <c r="Z20" s="102"/>
      <c r="AA20" s="102"/>
      <c r="AB20" s="45" t="str">
        <f t="shared" si="18"/>
        <v/>
      </c>
      <c r="AC20" s="45" t="str">
        <f t="shared" si="1"/>
        <v/>
      </c>
      <c r="AD20" s="81"/>
      <c r="AE20" s="9" t="str">
        <f>IF(S20="","",IF(COUNTA(Z20:$Z$39)=1,IF(COUNTA(AD20:$AD$39)=1,""," ; "),IF(COUNTA(AD20:$AD$39)=1,IF(Z20="",""," ; ")," ; ")))</f>
        <v/>
      </c>
      <c r="AF20" s="9" t="str">
        <f t="shared" si="2"/>
        <v/>
      </c>
      <c r="AG20" s="90" t="str">
        <f t="shared" si="3"/>
        <v/>
      </c>
      <c r="AH20" s="204" t="s">
        <v>275</v>
      </c>
      <c r="AJ20" s="206">
        <f t="shared" si="19"/>
        <v>500</v>
      </c>
      <c r="AK20" s="206">
        <f t="shared" si="19"/>
        <v>100</v>
      </c>
      <c r="AL20" s="206">
        <f t="shared" si="19"/>
        <v>2</v>
      </c>
      <c r="AM20" s="213">
        <f t="shared" si="19"/>
        <v>0.875</v>
      </c>
      <c r="AN20" s="214">
        <f t="shared" si="19"/>
        <v>0.63607464142166403</v>
      </c>
      <c r="AO20" s="215">
        <f t="shared" si="4"/>
        <v>-14.7</v>
      </c>
      <c r="AP20" s="216">
        <f t="shared" si="5"/>
        <v>1</v>
      </c>
      <c r="AQ20" s="216">
        <f t="shared" si="6"/>
        <v>1</v>
      </c>
      <c r="AR20" s="215">
        <f t="shared" si="20"/>
        <v>158.47</v>
      </c>
      <c r="AS20" s="216">
        <f t="shared" si="7"/>
        <v>0.9723448696087954</v>
      </c>
      <c r="AT20" s="216">
        <f t="shared" si="8"/>
        <v>1.2538510821608391</v>
      </c>
      <c r="AU20" s="216">
        <f t="shared" si="9"/>
        <v>2.2360679774997898</v>
      </c>
      <c r="AV20" s="217">
        <f t="shared" si="10"/>
        <v>10.368348541764712</v>
      </c>
      <c r="AW20" s="216">
        <f t="shared" si="11"/>
        <v>0</v>
      </c>
      <c r="AX20" s="218">
        <f t="shared" si="12"/>
        <v>1.4831709199797398</v>
      </c>
      <c r="AY20" s="216">
        <f t="shared" si="13"/>
        <v>0.77643477842613629</v>
      </c>
      <c r="AZ20" s="217">
        <f t="shared" si="14"/>
        <v>3.5883638597441294</v>
      </c>
      <c r="BA20" s="216">
        <f t="shared" si="15"/>
        <v>0</v>
      </c>
      <c r="BB20" s="216">
        <f t="shared" si="16"/>
        <v>1.0016542390239327</v>
      </c>
      <c r="BC20" s="216">
        <f t="shared" si="17"/>
        <v>1</v>
      </c>
    </row>
    <row r="21" spans="1:55" ht="20.100000000000001" customHeight="1" x14ac:dyDescent="0.2">
      <c r="A21" s="45">
        <v>0.25</v>
      </c>
      <c r="B21" s="451"/>
      <c r="C21" s="451"/>
      <c r="D21" s="451">
        <v>6.8</v>
      </c>
      <c r="E21" s="451">
        <v>88.2</v>
      </c>
      <c r="F21" s="41">
        <v>1920</v>
      </c>
      <c r="G21" s="37">
        <v>-5.6</v>
      </c>
      <c r="H21" s="37">
        <v>72.3</v>
      </c>
      <c r="I21" s="37">
        <v>22.1</v>
      </c>
      <c r="J21" s="41">
        <v>493</v>
      </c>
      <c r="K21" s="37">
        <v>13</v>
      </c>
      <c r="L21" s="451">
        <v>132</v>
      </c>
      <c r="M21" s="451">
        <v>220</v>
      </c>
      <c r="N21" s="451">
        <v>90</v>
      </c>
      <c r="O21" s="353">
        <v>45</v>
      </c>
      <c r="P21" s="353">
        <v>13</v>
      </c>
      <c r="Q21" s="353">
        <v>248.28</v>
      </c>
      <c r="R21" s="37"/>
      <c r="S21" s="508" t="str">
        <f t="shared" si="0"/>
        <v/>
      </c>
      <c r="T21" s="508"/>
      <c r="U21" s="508"/>
      <c r="V21" s="508"/>
      <c r="X21" s="45">
        <v>0.25</v>
      </c>
      <c r="Y21" s="106"/>
      <c r="Z21" s="102"/>
      <c r="AA21" s="102"/>
      <c r="AB21" s="45" t="str">
        <f t="shared" si="18"/>
        <v/>
      </c>
      <c r="AC21" s="45" t="str">
        <f t="shared" si="1"/>
        <v/>
      </c>
      <c r="AD21" s="81"/>
      <c r="AE21" s="9" t="str">
        <f>IF(S21="","",IF(COUNTA(Z21:$Z$39)=1,IF(COUNTA(AD21:$AD$39)=1,""," ; "),IF(COUNTA(AD21:$AD$39)=1,IF(Z21="",""," ; ")," ; ")))</f>
        <v/>
      </c>
      <c r="AF21" s="9" t="str">
        <f t="shared" si="2"/>
        <v/>
      </c>
      <c r="AG21" s="90" t="str">
        <f t="shared" si="3"/>
        <v/>
      </c>
      <c r="AH21" s="204" t="s">
        <v>322</v>
      </c>
      <c r="AJ21" s="206">
        <f t="shared" si="19"/>
        <v>500</v>
      </c>
      <c r="AK21" s="206">
        <f t="shared" si="19"/>
        <v>100</v>
      </c>
      <c r="AL21" s="206">
        <f t="shared" si="19"/>
        <v>2</v>
      </c>
      <c r="AM21" s="213">
        <f t="shared" si="19"/>
        <v>0.875</v>
      </c>
      <c r="AN21" s="214">
        <f t="shared" si="19"/>
        <v>0.63607464142166403</v>
      </c>
      <c r="AO21" s="215">
        <f t="shared" si="4"/>
        <v>-14.7</v>
      </c>
      <c r="AP21" s="216">
        <f t="shared" si="5"/>
        <v>1</v>
      </c>
      <c r="AQ21" s="216">
        <f t="shared" si="6"/>
        <v>1</v>
      </c>
      <c r="AR21" s="215">
        <f t="shared" si="20"/>
        <v>158.47</v>
      </c>
      <c r="AS21" s="216">
        <f t="shared" si="7"/>
        <v>0.9723448696087954</v>
      </c>
      <c r="AT21" s="216">
        <f t="shared" si="8"/>
        <v>1.2538510821608391</v>
      </c>
      <c r="AU21" s="216">
        <f t="shared" si="9"/>
        <v>2.2360679774997898</v>
      </c>
      <c r="AV21" s="217">
        <f t="shared" si="10"/>
        <v>10.368348541764712</v>
      </c>
      <c r="AW21" s="216">
        <f t="shared" si="11"/>
        <v>0</v>
      </c>
      <c r="AX21" s="218">
        <f t="shared" si="12"/>
        <v>1.4831709199797398</v>
      </c>
      <c r="AY21" s="216">
        <f t="shared" si="13"/>
        <v>0.77643477842613629</v>
      </c>
      <c r="AZ21" s="217">
        <f t="shared" si="14"/>
        <v>3.5883638597441294</v>
      </c>
      <c r="BA21" s="216">
        <f t="shared" si="15"/>
        <v>0</v>
      </c>
      <c r="BB21" s="216">
        <f t="shared" si="16"/>
        <v>1.0016542390239327</v>
      </c>
      <c r="BC21" s="216">
        <f t="shared" si="17"/>
        <v>1</v>
      </c>
    </row>
    <row r="22" spans="1:55" ht="20.100000000000001" customHeight="1" x14ac:dyDescent="0.2">
      <c r="A22" s="45">
        <v>0.29166666666666702</v>
      </c>
      <c r="B22" s="451"/>
      <c r="C22" s="451"/>
      <c r="D22" s="451">
        <v>7</v>
      </c>
      <c r="E22" s="451">
        <v>56.7</v>
      </c>
      <c r="F22" s="41">
        <v>1932</v>
      </c>
      <c r="G22" s="37">
        <v>-5.6</v>
      </c>
      <c r="H22" s="37">
        <v>72.599999999999994</v>
      </c>
      <c r="I22" s="37">
        <v>22.6</v>
      </c>
      <c r="J22" s="41">
        <v>494</v>
      </c>
      <c r="K22" s="37">
        <v>13</v>
      </c>
      <c r="L22" s="451">
        <v>137</v>
      </c>
      <c r="M22" s="451">
        <v>222</v>
      </c>
      <c r="N22" s="451">
        <v>90</v>
      </c>
      <c r="O22" s="353">
        <v>45</v>
      </c>
      <c r="P22" s="353">
        <v>13</v>
      </c>
      <c r="Q22" s="353">
        <v>248.28</v>
      </c>
      <c r="R22" s="37"/>
      <c r="S22" s="508" t="str">
        <f t="shared" si="0"/>
        <v/>
      </c>
      <c r="T22" s="508"/>
      <c r="U22" s="508"/>
      <c r="V22" s="508"/>
      <c r="X22" s="45">
        <v>0.29166666666666702</v>
      </c>
      <c r="Y22" s="106"/>
      <c r="Z22" s="102"/>
      <c r="AA22" s="102"/>
      <c r="AB22" s="45" t="str">
        <f t="shared" si="18"/>
        <v/>
      </c>
      <c r="AC22" s="45" t="str">
        <f t="shared" si="1"/>
        <v/>
      </c>
      <c r="AD22" s="81"/>
      <c r="AE22" s="9" t="str">
        <f>IF(S22="","",IF(COUNTA(Z22:$Z$39)=1,IF(COUNTA(AD22:$AD$39)=1,""," ; "),IF(COUNTA(AD22:$AD$39)=1,IF(Z22="",""," ; ")," ; ")))</f>
        <v/>
      </c>
      <c r="AF22" s="9" t="str">
        <f t="shared" si="2"/>
        <v/>
      </c>
      <c r="AG22" s="90" t="str">
        <f t="shared" si="3"/>
        <v/>
      </c>
      <c r="AH22" s="204" t="s">
        <v>279</v>
      </c>
      <c r="AJ22" s="206">
        <f t="shared" si="19"/>
        <v>500</v>
      </c>
      <c r="AK22" s="206">
        <f t="shared" si="19"/>
        <v>100</v>
      </c>
      <c r="AL22" s="206">
        <f t="shared" si="19"/>
        <v>2</v>
      </c>
      <c r="AM22" s="213">
        <f t="shared" si="19"/>
        <v>0.875</v>
      </c>
      <c r="AN22" s="214">
        <f t="shared" si="19"/>
        <v>0.63607464142166403</v>
      </c>
      <c r="AO22" s="215">
        <f t="shared" si="4"/>
        <v>-14.7</v>
      </c>
      <c r="AP22" s="216">
        <f t="shared" si="5"/>
        <v>1</v>
      </c>
      <c r="AQ22" s="216">
        <f t="shared" si="6"/>
        <v>1</v>
      </c>
      <c r="AR22" s="215">
        <f t="shared" si="20"/>
        <v>158.47</v>
      </c>
      <c r="AS22" s="216">
        <f t="shared" si="7"/>
        <v>0.9723448696087954</v>
      </c>
      <c r="AT22" s="216">
        <f t="shared" si="8"/>
        <v>1.2538510821608391</v>
      </c>
      <c r="AU22" s="216">
        <f t="shared" si="9"/>
        <v>2.2360679774997898</v>
      </c>
      <c r="AV22" s="217">
        <f t="shared" si="10"/>
        <v>10.368348541764712</v>
      </c>
      <c r="AW22" s="216">
        <f t="shared" si="11"/>
        <v>0</v>
      </c>
      <c r="AX22" s="218">
        <f t="shared" si="12"/>
        <v>1.4831709199797398</v>
      </c>
      <c r="AY22" s="216">
        <f t="shared" si="13"/>
        <v>0.77643477842613629</v>
      </c>
      <c r="AZ22" s="217">
        <f t="shared" si="14"/>
        <v>3.5883638597441294</v>
      </c>
      <c r="BA22" s="216">
        <f t="shared" si="15"/>
        <v>0</v>
      </c>
      <c r="BB22" s="216">
        <f t="shared" si="16"/>
        <v>1.0016542390239327</v>
      </c>
      <c r="BC22" s="216">
        <f t="shared" si="17"/>
        <v>1</v>
      </c>
    </row>
    <row r="23" spans="1:55" ht="20.100000000000001" customHeight="1" x14ac:dyDescent="0.2">
      <c r="A23" s="45">
        <v>0.33333333333333298</v>
      </c>
      <c r="B23" s="451"/>
      <c r="C23" s="451"/>
      <c r="D23" s="451">
        <v>7.9</v>
      </c>
      <c r="E23" s="451">
        <v>59.2</v>
      </c>
      <c r="F23" s="41">
        <v>1981</v>
      </c>
      <c r="G23" s="37">
        <v>-5.6</v>
      </c>
      <c r="H23" s="37">
        <v>72.099999999999994</v>
      </c>
      <c r="I23" s="37">
        <v>22.1</v>
      </c>
      <c r="J23" s="41">
        <v>495</v>
      </c>
      <c r="K23" s="37">
        <v>13</v>
      </c>
      <c r="L23" s="451">
        <v>137</v>
      </c>
      <c r="M23" s="451">
        <v>223</v>
      </c>
      <c r="N23" s="451">
        <v>90</v>
      </c>
      <c r="O23" s="353">
        <v>45</v>
      </c>
      <c r="P23" s="353">
        <v>13</v>
      </c>
      <c r="Q23" s="353">
        <v>248.28</v>
      </c>
      <c r="R23" s="37"/>
      <c r="S23" s="508" t="str">
        <f t="shared" si="0"/>
        <v/>
      </c>
      <c r="T23" s="508"/>
      <c r="U23" s="508"/>
      <c r="V23" s="508"/>
      <c r="X23" s="45">
        <v>0.33333333333333298</v>
      </c>
      <c r="Y23" s="106"/>
      <c r="Z23" s="102"/>
      <c r="AA23" s="102"/>
      <c r="AB23" s="45" t="str">
        <f t="shared" si="18"/>
        <v/>
      </c>
      <c r="AC23" s="45" t="str">
        <f t="shared" si="1"/>
        <v/>
      </c>
      <c r="AD23" s="81"/>
      <c r="AE23" s="9" t="str">
        <f>IF(S23="","",IF(COUNTA(Z23:$Z$39)=1,IF(COUNTA(AD23:$AD$39)=1,""," ; "),IF(COUNTA(AD23:$AD$39)=1,IF(Z23="",""," ; ")," ; ")))</f>
        <v/>
      </c>
      <c r="AF23" s="9" t="str">
        <f t="shared" si="2"/>
        <v/>
      </c>
      <c r="AG23" s="90" t="str">
        <f t="shared" si="3"/>
        <v/>
      </c>
      <c r="AH23" s="204" t="s">
        <v>274</v>
      </c>
      <c r="AJ23" s="206">
        <f t="shared" si="19"/>
        <v>500</v>
      </c>
      <c r="AK23" s="206">
        <f t="shared" si="19"/>
        <v>100</v>
      </c>
      <c r="AL23" s="206">
        <f t="shared" si="19"/>
        <v>2</v>
      </c>
      <c r="AM23" s="213">
        <f t="shared" si="19"/>
        <v>0.875</v>
      </c>
      <c r="AN23" s="214">
        <f t="shared" si="19"/>
        <v>0.63607464142166403</v>
      </c>
      <c r="AO23" s="215">
        <f t="shared" si="4"/>
        <v>-14.7</v>
      </c>
      <c r="AP23" s="216">
        <f t="shared" si="5"/>
        <v>1</v>
      </c>
      <c r="AQ23" s="216">
        <f t="shared" si="6"/>
        <v>1</v>
      </c>
      <c r="AR23" s="215">
        <f t="shared" si="20"/>
        <v>158.47</v>
      </c>
      <c r="AS23" s="216">
        <f t="shared" si="7"/>
        <v>0.9723448696087954</v>
      </c>
      <c r="AT23" s="216">
        <f t="shared" si="8"/>
        <v>1.2538510821608391</v>
      </c>
      <c r="AU23" s="216">
        <f t="shared" si="9"/>
        <v>2.2360679774997898</v>
      </c>
      <c r="AV23" s="217">
        <f t="shared" si="10"/>
        <v>10.368348541764712</v>
      </c>
      <c r="AW23" s="216">
        <f t="shared" si="11"/>
        <v>0</v>
      </c>
      <c r="AX23" s="218">
        <f t="shared" si="12"/>
        <v>1.4831709199797398</v>
      </c>
      <c r="AY23" s="216">
        <f t="shared" si="13"/>
        <v>0.77643477842613629</v>
      </c>
      <c r="AZ23" s="217">
        <f t="shared" si="14"/>
        <v>3.5883638597441294</v>
      </c>
      <c r="BA23" s="216">
        <f t="shared" si="15"/>
        <v>0</v>
      </c>
      <c r="BB23" s="216">
        <f t="shared" si="16"/>
        <v>1.0016542390239327</v>
      </c>
      <c r="BC23" s="216">
        <f t="shared" si="17"/>
        <v>1</v>
      </c>
    </row>
    <row r="24" spans="1:55" ht="20.100000000000001" customHeight="1" x14ac:dyDescent="0.2">
      <c r="A24" s="45">
        <v>0.375</v>
      </c>
      <c r="B24" s="451"/>
      <c r="C24" s="451"/>
      <c r="D24" s="451">
        <v>7.5</v>
      </c>
      <c r="E24" s="451">
        <v>66.8</v>
      </c>
      <c r="F24" s="41">
        <v>1973</v>
      </c>
      <c r="G24" s="37">
        <v>-5.6</v>
      </c>
      <c r="H24" s="37">
        <v>72.8</v>
      </c>
      <c r="I24" s="37">
        <v>22.8</v>
      </c>
      <c r="J24" s="41">
        <v>496</v>
      </c>
      <c r="K24" s="37">
        <v>13</v>
      </c>
      <c r="L24" s="451">
        <v>136</v>
      </c>
      <c r="M24" s="451">
        <v>224</v>
      </c>
      <c r="N24" s="451">
        <v>90</v>
      </c>
      <c r="O24" s="353">
        <v>45</v>
      </c>
      <c r="P24" s="353">
        <v>13</v>
      </c>
      <c r="Q24" s="353">
        <v>248.28</v>
      </c>
      <c r="R24" s="37"/>
      <c r="S24" s="508" t="str">
        <f t="shared" si="0"/>
        <v/>
      </c>
      <c r="T24" s="508"/>
      <c r="U24" s="508"/>
      <c r="V24" s="508"/>
      <c r="X24" s="45">
        <v>0.375</v>
      </c>
      <c r="Y24" s="106"/>
      <c r="Z24" s="102"/>
      <c r="AA24" s="102"/>
      <c r="AB24" s="45" t="str">
        <f t="shared" si="18"/>
        <v/>
      </c>
      <c r="AC24" s="45" t="str">
        <f t="shared" si="1"/>
        <v/>
      </c>
      <c r="AD24" s="81"/>
      <c r="AE24" s="9" t="str">
        <f>IF(S24="","",IF(COUNTA(Z24:$Z$39)=1,IF(COUNTA(AD24:$AD$39)=1,""," ; "),IF(COUNTA(AD24:$AD$39)=1,IF(Z24="",""," ; ")," ; ")))</f>
        <v/>
      </c>
      <c r="AF24" s="9" t="str">
        <f t="shared" si="2"/>
        <v/>
      </c>
      <c r="AG24" s="90" t="str">
        <f t="shared" si="3"/>
        <v/>
      </c>
      <c r="AH24" s="204" t="s">
        <v>307</v>
      </c>
      <c r="AJ24" s="206">
        <f t="shared" si="19"/>
        <v>500</v>
      </c>
      <c r="AK24" s="206">
        <f t="shared" si="19"/>
        <v>100</v>
      </c>
      <c r="AL24" s="206">
        <f t="shared" si="19"/>
        <v>2</v>
      </c>
      <c r="AM24" s="213">
        <f t="shared" si="19"/>
        <v>0.875</v>
      </c>
      <c r="AN24" s="214">
        <f t="shared" si="19"/>
        <v>0.63607464142166403</v>
      </c>
      <c r="AO24" s="215">
        <f t="shared" si="4"/>
        <v>-14.7</v>
      </c>
      <c r="AP24" s="216">
        <f t="shared" si="5"/>
        <v>1</v>
      </c>
      <c r="AQ24" s="216">
        <f t="shared" si="6"/>
        <v>1</v>
      </c>
      <c r="AR24" s="215">
        <f t="shared" si="20"/>
        <v>158.47</v>
      </c>
      <c r="AS24" s="216">
        <f t="shared" si="7"/>
        <v>0.9723448696087954</v>
      </c>
      <c r="AT24" s="216">
        <f t="shared" si="8"/>
        <v>1.2538510821608391</v>
      </c>
      <c r="AU24" s="216">
        <f t="shared" si="9"/>
        <v>2.2360679774997898</v>
      </c>
      <c r="AV24" s="217">
        <f t="shared" si="10"/>
        <v>10.368348541764712</v>
      </c>
      <c r="AW24" s="216">
        <f t="shared" si="11"/>
        <v>0</v>
      </c>
      <c r="AX24" s="218">
        <f t="shared" si="12"/>
        <v>1.4831709199797398</v>
      </c>
      <c r="AY24" s="216">
        <f t="shared" si="13"/>
        <v>0.77643477842613629</v>
      </c>
      <c r="AZ24" s="217">
        <f t="shared" si="14"/>
        <v>3.5883638597441294</v>
      </c>
      <c r="BA24" s="216">
        <f t="shared" si="15"/>
        <v>0</v>
      </c>
      <c r="BB24" s="216">
        <f t="shared" si="16"/>
        <v>1.0016542390239327</v>
      </c>
      <c r="BC24" s="216">
        <f t="shared" si="17"/>
        <v>1</v>
      </c>
    </row>
    <row r="25" spans="1:55" ht="20.100000000000001" customHeight="1" x14ac:dyDescent="0.2">
      <c r="A25" s="45">
        <v>0.41666666666666702</v>
      </c>
      <c r="B25" s="451"/>
      <c r="C25" s="451"/>
      <c r="D25" s="451">
        <v>8.1999999999999993</v>
      </c>
      <c r="E25" s="451">
        <v>66.2</v>
      </c>
      <c r="F25" s="41">
        <v>1940</v>
      </c>
      <c r="G25" s="37">
        <v>-5.6</v>
      </c>
      <c r="H25" s="37">
        <v>72</v>
      </c>
      <c r="I25" s="37">
        <v>22.4</v>
      </c>
      <c r="J25" s="41">
        <v>497</v>
      </c>
      <c r="K25" s="37">
        <v>13</v>
      </c>
      <c r="L25" s="451">
        <v>137</v>
      </c>
      <c r="M25" s="451">
        <v>225</v>
      </c>
      <c r="N25" s="451">
        <v>90</v>
      </c>
      <c r="O25" s="353">
        <v>45</v>
      </c>
      <c r="P25" s="353">
        <v>13</v>
      </c>
      <c r="Q25" s="353">
        <v>248.28</v>
      </c>
      <c r="R25" s="37"/>
      <c r="S25" s="508" t="str">
        <f t="shared" si="0"/>
        <v/>
      </c>
      <c r="T25" s="508"/>
      <c r="U25" s="508"/>
      <c r="V25" s="508"/>
      <c r="X25" s="45">
        <v>0.41666666666666702</v>
      </c>
      <c r="Y25" s="106"/>
      <c r="Z25" s="102"/>
      <c r="AA25" s="102"/>
      <c r="AB25" s="45" t="str">
        <f t="shared" si="18"/>
        <v/>
      </c>
      <c r="AC25" s="45" t="str">
        <f t="shared" si="1"/>
        <v/>
      </c>
      <c r="AD25" s="81"/>
      <c r="AE25" s="9" t="str">
        <f>IF(S25="","",IF(COUNTA(Z25:$Z$39)=1,IF(COUNTA(AD25:$AD$39)=1,""," ; "),IF(COUNTA(AD25:$AD$39)=1,IF(Z25="",""," ; ")," ; ")))</f>
        <v/>
      </c>
      <c r="AF25" s="9" t="str">
        <f t="shared" si="2"/>
        <v/>
      </c>
      <c r="AG25" s="90" t="str">
        <f t="shared" si="3"/>
        <v/>
      </c>
      <c r="AH25" s="204" t="s">
        <v>225</v>
      </c>
      <c r="AJ25" s="206">
        <f t="shared" si="19"/>
        <v>500</v>
      </c>
      <c r="AK25" s="206">
        <f t="shared" si="19"/>
        <v>100</v>
      </c>
      <c r="AL25" s="206">
        <f t="shared" si="19"/>
        <v>2</v>
      </c>
      <c r="AM25" s="213">
        <f t="shared" si="19"/>
        <v>0.875</v>
      </c>
      <c r="AN25" s="214">
        <f t="shared" si="19"/>
        <v>0.63607464142166403</v>
      </c>
      <c r="AO25" s="215">
        <f t="shared" si="4"/>
        <v>-14.7</v>
      </c>
      <c r="AP25" s="216">
        <f t="shared" si="5"/>
        <v>1</v>
      </c>
      <c r="AQ25" s="216">
        <f t="shared" si="6"/>
        <v>1</v>
      </c>
      <c r="AR25" s="215">
        <f t="shared" si="20"/>
        <v>158.47</v>
      </c>
      <c r="AS25" s="216">
        <f t="shared" si="7"/>
        <v>0.9723448696087954</v>
      </c>
      <c r="AT25" s="216">
        <f t="shared" si="8"/>
        <v>1.2538510821608391</v>
      </c>
      <c r="AU25" s="216">
        <f t="shared" si="9"/>
        <v>2.2360679774997898</v>
      </c>
      <c r="AV25" s="217">
        <f t="shared" si="10"/>
        <v>10.368348541764712</v>
      </c>
      <c r="AW25" s="216">
        <f t="shared" si="11"/>
        <v>0</v>
      </c>
      <c r="AX25" s="218">
        <f t="shared" si="12"/>
        <v>1.4831709199797398</v>
      </c>
      <c r="AY25" s="216">
        <f t="shared" si="13"/>
        <v>0.77643477842613629</v>
      </c>
      <c r="AZ25" s="217">
        <f t="shared" si="14"/>
        <v>3.5883638597441294</v>
      </c>
      <c r="BA25" s="216">
        <f t="shared" si="15"/>
        <v>0</v>
      </c>
      <c r="BB25" s="216">
        <f t="shared" si="16"/>
        <v>1.0016542390239327</v>
      </c>
      <c r="BC25" s="216">
        <f t="shared" si="17"/>
        <v>1</v>
      </c>
    </row>
    <row r="26" spans="1:55" ht="20.100000000000001" customHeight="1" x14ac:dyDescent="0.2">
      <c r="A26" s="45">
        <v>0.45833333333333298</v>
      </c>
      <c r="B26" s="451"/>
      <c r="C26" s="451"/>
      <c r="D26" s="451">
        <v>8.6</v>
      </c>
      <c r="E26" s="451">
        <v>71.400000000000006</v>
      </c>
      <c r="F26" s="41">
        <v>1925</v>
      </c>
      <c r="G26" s="37">
        <v>-5.6</v>
      </c>
      <c r="H26" s="37">
        <v>72.599999999999994</v>
      </c>
      <c r="I26" s="37">
        <v>22.7</v>
      </c>
      <c r="J26" s="41">
        <v>498</v>
      </c>
      <c r="K26" s="37">
        <v>13</v>
      </c>
      <c r="L26" s="451">
        <v>137</v>
      </c>
      <c r="M26" s="451">
        <v>225</v>
      </c>
      <c r="N26" s="451">
        <v>90</v>
      </c>
      <c r="O26" s="353">
        <v>45</v>
      </c>
      <c r="P26" s="353">
        <v>14</v>
      </c>
      <c r="Q26" s="353">
        <v>257.58</v>
      </c>
      <c r="R26" s="37"/>
      <c r="S26" s="508" t="str">
        <f t="shared" si="0"/>
        <v/>
      </c>
      <c r="T26" s="508"/>
      <c r="U26" s="508"/>
      <c r="V26" s="508"/>
      <c r="X26" s="45">
        <v>0.45833333333333298</v>
      </c>
      <c r="Y26" s="106"/>
      <c r="Z26" s="102"/>
      <c r="AA26" s="102"/>
      <c r="AB26" s="45" t="str">
        <f t="shared" si="18"/>
        <v/>
      </c>
      <c r="AC26" s="45" t="str">
        <f t="shared" si="1"/>
        <v/>
      </c>
      <c r="AD26" s="81"/>
      <c r="AE26" s="9" t="str">
        <f>IF(S26="","",IF(COUNTA(Z26:$Z$39)=1,IF(COUNTA(AD26:$AD$39)=1,""," ; "),IF(COUNTA(AD26:$AD$39)=1,IF(Z26="",""," ; ")," ; ")))</f>
        <v/>
      </c>
      <c r="AF26" s="9" t="str">
        <f t="shared" si="2"/>
        <v/>
      </c>
      <c r="AG26" s="90" t="str">
        <f t="shared" si="3"/>
        <v/>
      </c>
      <c r="AH26" s="204" t="s">
        <v>287</v>
      </c>
      <c r="AJ26" s="206">
        <f t="shared" si="19"/>
        <v>500</v>
      </c>
      <c r="AK26" s="206">
        <f t="shared" si="19"/>
        <v>100</v>
      </c>
      <c r="AL26" s="206">
        <f t="shared" si="19"/>
        <v>2</v>
      </c>
      <c r="AM26" s="213">
        <f t="shared" si="19"/>
        <v>0.875</v>
      </c>
      <c r="AN26" s="214">
        <f t="shared" si="19"/>
        <v>0.63607464142166403</v>
      </c>
      <c r="AO26" s="215">
        <f t="shared" si="4"/>
        <v>-14.7</v>
      </c>
      <c r="AP26" s="216">
        <f t="shared" si="5"/>
        <v>1</v>
      </c>
      <c r="AQ26" s="216">
        <f t="shared" si="6"/>
        <v>1</v>
      </c>
      <c r="AR26" s="215">
        <f t="shared" si="20"/>
        <v>158.47</v>
      </c>
      <c r="AS26" s="216">
        <f t="shared" si="7"/>
        <v>0.9723448696087954</v>
      </c>
      <c r="AT26" s="216">
        <f t="shared" si="8"/>
        <v>1.2538510821608391</v>
      </c>
      <c r="AU26" s="216">
        <f t="shared" si="9"/>
        <v>2.2360679774997898</v>
      </c>
      <c r="AV26" s="217">
        <f t="shared" si="10"/>
        <v>10.368348541764712</v>
      </c>
      <c r="AW26" s="216">
        <f t="shared" si="11"/>
        <v>0</v>
      </c>
      <c r="AX26" s="218">
        <f t="shared" si="12"/>
        <v>1.4831709199797398</v>
      </c>
      <c r="AY26" s="216">
        <f t="shared" si="13"/>
        <v>0.77643477842613629</v>
      </c>
      <c r="AZ26" s="217">
        <f t="shared" si="14"/>
        <v>3.5883638597441294</v>
      </c>
      <c r="BA26" s="216">
        <f t="shared" si="15"/>
        <v>0</v>
      </c>
      <c r="BB26" s="216">
        <f t="shared" si="16"/>
        <v>1.0016542390239327</v>
      </c>
      <c r="BC26" s="216">
        <f t="shared" si="17"/>
        <v>1</v>
      </c>
    </row>
    <row r="27" spans="1:55" ht="20.100000000000001" customHeight="1" x14ac:dyDescent="0.2">
      <c r="A27" s="45">
        <v>0.5</v>
      </c>
      <c r="B27" s="451"/>
      <c r="C27" s="451"/>
      <c r="D27" s="451">
        <v>8.8000000000000007</v>
      </c>
      <c r="E27" s="451">
        <v>71.900000000000006</v>
      </c>
      <c r="F27" s="41">
        <v>1940</v>
      </c>
      <c r="G27" s="37">
        <v>-5.6</v>
      </c>
      <c r="H27" s="37">
        <v>72.099999999999994</v>
      </c>
      <c r="I27" s="37">
        <v>22.4</v>
      </c>
      <c r="J27" s="41">
        <v>499</v>
      </c>
      <c r="K27" s="37">
        <v>13</v>
      </c>
      <c r="L27" s="451">
        <v>137</v>
      </c>
      <c r="M27" s="451">
        <v>226</v>
      </c>
      <c r="N27" s="451">
        <v>90</v>
      </c>
      <c r="O27" s="353">
        <v>45</v>
      </c>
      <c r="P27" s="353">
        <v>15</v>
      </c>
      <c r="Q27" s="353">
        <v>266.55</v>
      </c>
      <c r="R27" s="37"/>
      <c r="S27" s="508" t="str">
        <f t="shared" si="0"/>
        <v/>
      </c>
      <c r="T27" s="508"/>
      <c r="U27" s="508"/>
      <c r="V27" s="508"/>
      <c r="X27" s="45">
        <v>0.5</v>
      </c>
      <c r="Y27" s="106"/>
      <c r="Z27" s="102"/>
      <c r="AA27" s="102"/>
      <c r="AB27" s="45" t="str">
        <f t="shared" si="18"/>
        <v/>
      </c>
      <c r="AC27" s="45" t="str">
        <f t="shared" si="1"/>
        <v/>
      </c>
      <c r="AD27" s="81"/>
      <c r="AE27" s="9" t="str">
        <f>IF(S27="","",IF(COUNTA(Z27:$Z$39)=1,IF(COUNTA(AD27:$AD$39)=1,""," ; "),IF(COUNTA(AD27:$AD$39)=1,IF(Z27="",""," ; ")," ; ")))</f>
        <v/>
      </c>
      <c r="AF27" s="9" t="str">
        <f t="shared" si="2"/>
        <v/>
      </c>
      <c r="AG27" s="90" t="str">
        <f t="shared" si="3"/>
        <v/>
      </c>
      <c r="AH27" s="204" t="s">
        <v>276</v>
      </c>
      <c r="AJ27" s="206">
        <f t="shared" si="19"/>
        <v>500</v>
      </c>
      <c r="AK27" s="206">
        <f t="shared" si="19"/>
        <v>100</v>
      </c>
      <c r="AL27" s="206">
        <f t="shared" si="19"/>
        <v>2</v>
      </c>
      <c r="AM27" s="213">
        <f t="shared" si="19"/>
        <v>0.875</v>
      </c>
      <c r="AN27" s="214">
        <f t="shared" si="19"/>
        <v>0.63607464142166403</v>
      </c>
      <c r="AO27" s="215">
        <f t="shared" si="4"/>
        <v>-14.7</v>
      </c>
      <c r="AP27" s="216">
        <f t="shared" si="5"/>
        <v>1</v>
      </c>
      <c r="AQ27" s="216">
        <f t="shared" si="6"/>
        <v>1</v>
      </c>
      <c r="AR27" s="215">
        <f t="shared" si="20"/>
        <v>158.47</v>
      </c>
      <c r="AS27" s="216">
        <f t="shared" si="7"/>
        <v>0.9723448696087954</v>
      </c>
      <c r="AT27" s="216">
        <f t="shared" si="8"/>
        <v>1.2538510821608391</v>
      </c>
      <c r="AU27" s="216">
        <f t="shared" si="9"/>
        <v>2.2360679774997898</v>
      </c>
      <c r="AV27" s="217">
        <f t="shared" si="10"/>
        <v>10.368348541764712</v>
      </c>
      <c r="AW27" s="216">
        <f t="shared" si="11"/>
        <v>0</v>
      </c>
      <c r="AX27" s="218">
        <f t="shared" si="12"/>
        <v>1.4831709199797398</v>
      </c>
      <c r="AY27" s="216">
        <f t="shared" si="13"/>
        <v>0.77643477842613629</v>
      </c>
      <c r="AZ27" s="217">
        <f t="shared" si="14"/>
        <v>3.5883638597441294</v>
      </c>
      <c r="BA27" s="216">
        <f t="shared" si="15"/>
        <v>0</v>
      </c>
      <c r="BB27" s="216">
        <f t="shared" si="16"/>
        <v>1.0016542390239327</v>
      </c>
      <c r="BC27" s="216">
        <f t="shared" si="17"/>
        <v>1</v>
      </c>
    </row>
    <row r="28" spans="1:55" ht="20.100000000000001" customHeight="1" x14ac:dyDescent="0.2">
      <c r="A28" s="45">
        <v>0.54166666666666696</v>
      </c>
      <c r="B28" s="451"/>
      <c r="C28" s="451"/>
      <c r="D28" s="451">
        <v>8</v>
      </c>
      <c r="E28" s="451">
        <v>72.099999999999994</v>
      </c>
      <c r="F28" s="41">
        <v>1933</v>
      </c>
      <c r="G28" s="37">
        <v>-5.6</v>
      </c>
      <c r="H28" s="37">
        <v>72.3</v>
      </c>
      <c r="I28" s="37">
        <v>22.1</v>
      </c>
      <c r="J28" s="41">
        <v>500</v>
      </c>
      <c r="K28" s="37">
        <v>13</v>
      </c>
      <c r="L28" s="451">
        <v>138</v>
      </c>
      <c r="M28" s="451">
        <v>227</v>
      </c>
      <c r="N28" s="451">
        <v>90</v>
      </c>
      <c r="O28" s="353">
        <v>45</v>
      </c>
      <c r="P28" s="353">
        <v>15</v>
      </c>
      <c r="Q28" s="353">
        <v>266.55</v>
      </c>
      <c r="R28" s="37"/>
      <c r="S28" s="508" t="str">
        <f t="shared" si="0"/>
        <v/>
      </c>
      <c r="T28" s="508"/>
      <c r="U28" s="508"/>
      <c r="V28" s="508"/>
      <c r="X28" s="45">
        <v>0.54166666666666696</v>
      </c>
      <c r="Y28" s="106"/>
      <c r="Z28" s="102"/>
      <c r="AA28" s="102"/>
      <c r="AB28" s="45" t="str">
        <f t="shared" si="18"/>
        <v/>
      </c>
      <c r="AC28" s="45" t="str">
        <f t="shared" si="1"/>
        <v/>
      </c>
      <c r="AD28" s="81"/>
      <c r="AE28" s="9" t="str">
        <f>IF(S28="","",IF(COUNTA(Z28:$Z$39)=1,IF(COUNTA(AD28:$AD$39)=1,""," ; "),IF(COUNTA(AD28:$AD$39)=1,IF(Z28="",""," ; ")," ; ")))</f>
        <v/>
      </c>
      <c r="AF28" s="9" t="str">
        <f t="shared" si="2"/>
        <v/>
      </c>
      <c r="AG28" s="90" t="str">
        <f t="shared" si="3"/>
        <v/>
      </c>
      <c r="AH28" s="204" t="s">
        <v>278</v>
      </c>
      <c r="AJ28" s="206">
        <f t="shared" si="19"/>
        <v>500</v>
      </c>
      <c r="AK28" s="206">
        <f t="shared" si="19"/>
        <v>100</v>
      </c>
      <c r="AL28" s="206">
        <f t="shared" si="19"/>
        <v>2</v>
      </c>
      <c r="AM28" s="213">
        <f t="shared" si="19"/>
        <v>0.875</v>
      </c>
      <c r="AN28" s="214">
        <f t="shared" si="19"/>
        <v>0.63607464142166403</v>
      </c>
      <c r="AO28" s="215">
        <f t="shared" si="4"/>
        <v>-14.7</v>
      </c>
      <c r="AP28" s="216">
        <f t="shared" si="5"/>
        <v>1</v>
      </c>
      <c r="AQ28" s="216">
        <f t="shared" si="6"/>
        <v>1</v>
      </c>
      <c r="AR28" s="215">
        <f t="shared" si="20"/>
        <v>158.47</v>
      </c>
      <c r="AS28" s="216">
        <f t="shared" si="7"/>
        <v>0.9723448696087954</v>
      </c>
      <c r="AT28" s="216">
        <f t="shared" si="8"/>
        <v>1.2538510821608391</v>
      </c>
      <c r="AU28" s="216">
        <f t="shared" si="9"/>
        <v>2.2360679774997898</v>
      </c>
      <c r="AV28" s="217">
        <f t="shared" si="10"/>
        <v>10.368348541764712</v>
      </c>
      <c r="AW28" s="216">
        <f t="shared" si="11"/>
        <v>0</v>
      </c>
      <c r="AX28" s="218">
        <f t="shared" si="12"/>
        <v>1.4831709199797398</v>
      </c>
      <c r="AY28" s="216">
        <f t="shared" si="13"/>
        <v>0.77643477842613629</v>
      </c>
      <c r="AZ28" s="217">
        <f t="shared" si="14"/>
        <v>3.5883638597441294</v>
      </c>
      <c r="BA28" s="216">
        <f t="shared" si="15"/>
        <v>0</v>
      </c>
      <c r="BB28" s="216">
        <f t="shared" si="16"/>
        <v>1.0016542390239327</v>
      </c>
      <c r="BC28" s="216">
        <f t="shared" si="17"/>
        <v>1</v>
      </c>
    </row>
    <row r="29" spans="1:55" ht="20.100000000000001" customHeight="1" x14ac:dyDescent="0.2">
      <c r="A29" s="45">
        <v>0.58333333333333304</v>
      </c>
      <c r="B29" s="451"/>
      <c r="C29" s="451"/>
      <c r="D29" s="451">
        <v>8.1999999999999993</v>
      </c>
      <c r="E29" s="451">
        <v>75.3</v>
      </c>
      <c r="F29" s="41">
        <v>1941</v>
      </c>
      <c r="G29" s="37">
        <v>-5.6</v>
      </c>
      <c r="H29" s="37">
        <v>72.099999999999994</v>
      </c>
      <c r="I29" s="37">
        <v>22.9</v>
      </c>
      <c r="J29" s="41">
        <v>501</v>
      </c>
      <c r="K29" s="37">
        <v>13</v>
      </c>
      <c r="L29" s="451">
        <v>139</v>
      </c>
      <c r="M29" s="451">
        <v>228</v>
      </c>
      <c r="N29" s="451">
        <v>90</v>
      </c>
      <c r="O29" s="353">
        <v>45</v>
      </c>
      <c r="P29" s="353">
        <v>16</v>
      </c>
      <c r="Q29" s="353">
        <v>275.22000000000003</v>
      </c>
      <c r="R29" s="37"/>
      <c r="S29" s="508" t="str">
        <f t="shared" si="0"/>
        <v/>
      </c>
      <c r="T29" s="508"/>
      <c r="U29" s="508"/>
      <c r="V29" s="508"/>
      <c r="X29" s="45">
        <v>0.58333333333333304</v>
      </c>
      <c r="Y29" s="106"/>
      <c r="Z29" s="102"/>
      <c r="AA29" s="102"/>
      <c r="AB29" s="45" t="str">
        <f t="shared" si="18"/>
        <v/>
      </c>
      <c r="AC29" s="45" t="str">
        <f t="shared" si="1"/>
        <v/>
      </c>
      <c r="AD29" s="81"/>
      <c r="AE29" s="9" t="str">
        <f>IF(S29="","",IF(COUNTA(Z29:$Z$39)=1,IF(COUNTA(AD29:$AD$39)=1,""," ; "),IF(COUNTA(AD29:$AD$39)=1,IF(Z29="",""," ; ")," ; ")))</f>
        <v/>
      </c>
      <c r="AF29" s="9" t="str">
        <f t="shared" si="2"/>
        <v/>
      </c>
      <c r="AG29" s="90" t="str">
        <f t="shared" si="3"/>
        <v/>
      </c>
      <c r="AH29" s="204" t="s">
        <v>224</v>
      </c>
      <c r="AJ29" s="206">
        <f t="shared" si="19"/>
        <v>500</v>
      </c>
      <c r="AK29" s="206">
        <f t="shared" si="19"/>
        <v>100</v>
      </c>
      <c r="AL29" s="206">
        <f t="shared" si="19"/>
        <v>2</v>
      </c>
      <c r="AM29" s="213">
        <f t="shared" si="19"/>
        <v>0.875</v>
      </c>
      <c r="AN29" s="214">
        <f t="shared" si="19"/>
        <v>0.63607464142166403</v>
      </c>
      <c r="AO29" s="215">
        <f t="shared" si="4"/>
        <v>-14.7</v>
      </c>
      <c r="AP29" s="216">
        <f t="shared" si="5"/>
        <v>1</v>
      </c>
      <c r="AQ29" s="216">
        <f t="shared" si="6"/>
        <v>1</v>
      </c>
      <c r="AR29" s="215">
        <f t="shared" si="20"/>
        <v>158.47</v>
      </c>
      <c r="AS29" s="216">
        <f t="shared" si="7"/>
        <v>0.9723448696087954</v>
      </c>
      <c r="AT29" s="216">
        <f t="shared" si="8"/>
        <v>1.2538510821608391</v>
      </c>
      <c r="AU29" s="216">
        <f t="shared" si="9"/>
        <v>2.2360679774997898</v>
      </c>
      <c r="AV29" s="217">
        <f t="shared" si="10"/>
        <v>10.368348541764712</v>
      </c>
      <c r="AW29" s="216">
        <f t="shared" si="11"/>
        <v>0</v>
      </c>
      <c r="AX29" s="218">
        <f t="shared" si="12"/>
        <v>1.4831709199797398</v>
      </c>
      <c r="AY29" s="216">
        <f t="shared" si="13"/>
        <v>0.77643477842613629</v>
      </c>
      <c r="AZ29" s="217">
        <f t="shared" si="14"/>
        <v>3.5883638597441294</v>
      </c>
      <c r="BA29" s="216">
        <f t="shared" si="15"/>
        <v>0</v>
      </c>
      <c r="BB29" s="216">
        <f t="shared" si="16"/>
        <v>1.0016542390239327</v>
      </c>
      <c r="BC29" s="216">
        <f t="shared" si="17"/>
        <v>1</v>
      </c>
    </row>
    <row r="30" spans="1:55" ht="20.100000000000001" customHeight="1" x14ac:dyDescent="0.2">
      <c r="A30" s="45">
        <v>0.625</v>
      </c>
      <c r="B30" s="451"/>
      <c r="C30" s="451"/>
      <c r="D30" s="451">
        <v>8.9</v>
      </c>
      <c r="E30" s="451">
        <v>76.8</v>
      </c>
      <c r="F30" s="41">
        <v>1955</v>
      </c>
      <c r="G30" s="37">
        <v>-5.6</v>
      </c>
      <c r="H30" s="37">
        <v>72.8</v>
      </c>
      <c r="I30" s="37">
        <v>22</v>
      </c>
      <c r="J30" s="41">
        <v>502</v>
      </c>
      <c r="K30" s="37">
        <v>13</v>
      </c>
      <c r="L30" s="451">
        <v>137</v>
      </c>
      <c r="M30" s="451">
        <v>228</v>
      </c>
      <c r="N30" s="451">
        <v>90</v>
      </c>
      <c r="O30" s="353">
        <v>45</v>
      </c>
      <c r="P30" s="353">
        <v>13</v>
      </c>
      <c r="Q30" s="353">
        <v>248.28</v>
      </c>
      <c r="R30" s="37"/>
      <c r="S30" s="508" t="str">
        <f t="shared" si="0"/>
        <v/>
      </c>
      <c r="T30" s="508"/>
      <c r="U30" s="508"/>
      <c r="V30" s="508"/>
      <c r="X30" s="45">
        <v>0.625</v>
      </c>
      <c r="Y30" s="106"/>
      <c r="Z30" s="102"/>
      <c r="AA30" s="102"/>
      <c r="AB30" s="45" t="str">
        <f t="shared" si="18"/>
        <v/>
      </c>
      <c r="AC30" s="45" t="str">
        <f t="shared" si="1"/>
        <v/>
      </c>
      <c r="AD30" s="81"/>
      <c r="AE30" s="9" t="str">
        <f>IF(S30="","",IF(COUNTA(Z30:$Z$39)=1,IF(COUNTA(AD30:$AD$39)=1,""," ; "),IF(COUNTA(AD30:$AD$39)=1,IF(Z30="",""," ; ")," ; ")))</f>
        <v/>
      </c>
      <c r="AF30" s="9" t="str">
        <f t="shared" si="2"/>
        <v/>
      </c>
      <c r="AG30" s="90" t="str">
        <f t="shared" si="3"/>
        <v/>
      </c>
      <c r="AH30" s="204" t="s">
        <v>260</v>
      </c>
      <c r="AJ30" s="206">
        <f t="shared" si="19"/>
        <v>500</v>
      </c>
      <c r="AK30" s="206">
        <f t="shared" si="19"/>
        <v>100</v>
      </c>
      <c r="AL30" s="206">
        <f t="shared" si="19"/>
        <v>2</v>
      </c>
      <c r="AM30" s="213">
        <f t="shared" si="19"/>
        <v>0.875</v>
      </c>
      <c r="AN30" s="214">
        <f t="shared" si="19"/>
        <v>0.63607464142166403</v>
      </c>
      <c r="AO30" s="215">
        <f t="shared" si="4"/>
        <v>-14.7</v>
      </c>
      <c r="AP30" s="216">
        <f t="shared" si="5"/>
        <v>1</v>
      </c>
      <c r="AQ30" s="216">
        <f t="shared" si="6"/>
        <v>1</v>
      </c>
      <c r="AR30" s="215">
        <f t="shared" si="20"/>
        <v>158.47</v>
      </c>
      <c r="AS30" s="216">
        <f t="shared" si="7"/>
        <v>0.9723448696087954</v>
      </c>
      <c r="AT30" s="216">
        <f t="shared" si="8"/>
        <v>1.2538510821608391</v>
      </c>
      <c r="AU30" s="216">
        <f t="shared" si="9"/>
        <v>2.2360679774997898</v>
      </c>
      <c r="AV30" s="217">
        <f t="shared" si="10"/>
        <v>10.368348541764712</v>
      </c>
      <c r="AW30" s="216">
        <f t="shared" si="11"/>
        <v>0</v>
      </c>
      <c r="AX30" s="218">
        <f t="shared" si="12"/>
        <v>1.4831709199797398</v>
      </c>
      <c r="AY30" s="216">
        <f t="shared" si="13"/>
        <v>0.77643477842613629</v>
      </c>
      <c r="AZ30" s="217">
        <f t="shared" si="14"/>
        <v>3.5883638597441294</v>
      </c>
      <c r="BA30" s="216">
        <f t="shared" si="15"/>
        <v>0</v>
      </c>
      <c r="BB30" s="216">
        <f t="shared" si="16"/>
        <v>1.0016542390239327</v>
      </c>
      <c r="BC30" s="216">
        <f t="shared" si="17"/>
        <v>1</v>
      </c>
    </row>
    <row r="31" spans="1:55" ht="20.100000000000001" customHeight="1" x14ac:dyDescent="0.2">
      <c r="A31" s="45">
        <v>0.66666666666666696</v>
      </c>
      <c r="B31" s="451"/>
      <c r="C31" s="451"/>
      <c r="D31" s="451">
        <v>8.1</v>
      </c>
      <c r="E31" s="451">
        <v>75.400000000000006</v>
      </c>
      <c r="F31" s="41">
        <v>1966</v>
      </c>
      <c r="G31" s="37">
        <v>-5.6</v>
      </c>
      <c r="H31" s="37">
        <v>72</v>
      </c>
      <c r="I31" s="37">
        <v>22.3</v>
      </c>
      <c r="J31" s="41">
        <v>503</v>
      </c>
      <c r="K31" s="37">
        <v>13</v>
      </c>
      <c r="L31" s="451">
        <v>137</v>
      </c>
      <c r="M31" s="451">
        <v>228</v>
      </c>
      <c r="N31" s="451">
        <v>90</v>
      </c>
      <c r="O31" s="353">
        <v>45</v>
      </c>
      <c r="P31" s="353">
        <v>12</v>
      </c>
      <c r="Q31" s="353">
        <v>238.62</v>
      </c>
      <c r="R31" s="37"/>
      <c r="S31" s="508" t="str">
        <f t="shared" si="0"/>
        <v/>
      </c>
      <c r="T31" s="508"/>
      <c r="U31" s="508"/>
      <c r="V31" s="508"/>
      <c r="X31" s="45">
        <v>0.66666666666666696</v>
      </c>
      <c r="Y31" s="106"/>
      <c r="Z31" s="102"/>
      <c r="AA31" s="102"/>
      <c r="AB31" s="45" t="str">
        <f t="shared" si="18"/>
        <v/>
      </c>
      <c r="AC31" s="45" t="str">
        <f t="shared" si="1"/>
        <v/>
      </c>
      <c r="AD31" s="81"/>
      <c r="AE31" s="9" t="str">
        <f>IF(S31="","",IF(COUNTA(Z31:$Z$39)=1,IF(COUNTA(AD31:$AD$39)=1,""," ; "),IF(COUNTA(AD31:$AD$39)=1,IF(Z31="",""," ; ")," ; ")))</f>
        <v/>
      </c>
      <c r="AF31" s="9" t="str">
        <f t="shared" si="2"/>
        <v/>
      </c>
      <c r="AG31" s="90" t="str">
        <f t="shared" si="3"/>
        <v/>
      </c>
      <c r="AH31" s="204" t="s">
        <v>226</v>
      </c>
      <c r="AJ31" s="206">
        <f t="shared" si="19"/>
        <v>500</v>
      </c>
      <c r="AK31" s="206">
        <f t="shared" si="19"/>
        <v>100</v>
      </c>
      <c r="AL31" s="206">
        <f t="shared" si="19"/>
        <v>2</v>
      </c>
      <c r="AM31" s="213">
        <f t="shared" si="19"/>
        <v>0.875</v>
      </c>
      <c r="AN31" s="214">
        <f t="shared" si="19"/>
        <v>0.63607464142166403</v>
      </c>
      <c r="AO31" s="215">
        <f t="shared" si="4"/>
        <v>-14.7</v>
      </c>
      <c r="AP31" s="216">
        <f t="shared" si="5"/>
        <v>1</v>
      </c>
      <c r="AQ31" s="216">
        <f t="shared" si="6"/>
        <v>1</v>
      </c>
      <c r="AR31" s="215">
        <f t="shared" si="20"/>
        <v>158.47</v>
      </c>
      <c r="AS31" s="216">
        <f t="shared" si="7"/>
        <v>0.9723448696087954</v>
      </c>
      <c r="AT31" s="216">
        <f t="shared" si="8"/>
        <v>1.2538510821608391</v>
      </c>
      <c r="AU31" s="216">
        <f t="shared" si="9"/>
        <v>2.2360679774997898</v>
      </c>
      <c r="AV31" s="217">
        <f t="shared" si="10"/>
        <v>10.368348541764712</v>
      </c>
      <c r="AW31" s="216">
        <f t="shared" si="11"/>
        <v>0</v>
      </c>
      <c r="AX31" s="218">
        <f t="shared" si="12"/>
        <v>1.4831709199797398</v>
      </c>
      <c r="AY31" s="216">
        <f t="shared" si="13"/>
        <v>0.77643477842613629</v>
      </c>
      <c r="AZ31" s="217">
        <f t="shared" si="14"/>
        <v>3.5883638597441294</v>
      </c>
      <c r="BA31" s="216">
        <f t="shared" si="15"/>
        <v>0</v>
      </c>
      <c r="BB31" s="216">
        <f t="shared" si="16"/>
        <v>1.0016542390239327</v>
      </c>
      <c r="BC31" s="216">
        <f t="shared" si="17"/>
        <v>1</v>
      </c>
    </row>
    <row r="32" spans="1:55" ht="20.100000000000001" customHeight="1" x14ac:dyDescent="0.2">
      <c r="A32" s="45">
        <v>0.70833333333333304</v>
      </c>
      <c r="B32" s="451"/>
      <c r="C32" s="451"/>
      <c r="D32" s="451">
        <v>8.5</v>
      </c>
      <c r="E32" s="451">
        <v>76.099999999999994</v>
      </c>
      <c r="F32" s="41">
        <v>1955</v>
      </c>
      <c r="G32" s="37">
        <v>-5.6</v>
      </c>
      <c r="H32" s="37">
        <v>72.099999999999994</v>
      </c>
      <c r="I32" s="37">
        <v>22.7</v>
      </c>
      <c r="J32" s="41">
        <v>504</v>
      </c>
      <c r="K32" s="37">
        <v>13</v>
      </c>
      <c r="L32" s="451">
        <v>136</v>
      </c>
      <c r="M32" s="451">
        <v>227</v>
      </c>
      <c r="N32" s="451">
        <v>90</v>
      </c>
      <c r="O32" s="353">
        <v>45</v>
      </c>
      <c r="P32" s="353">
        <v>13</v>
      </c>
      <c r="Q32" s="353">
        <v>248.28</v>
      </c>
      <c r="R32" s="37"/>
      <c r="S32" s="508" t="str">
        <f t="shared" si="0"/>
        <v/>
      </c>
      <c r="T32" s="508"/>
      <c r="U32" s="508"/>
      <c r="V32" s="508"/>
      <c r="X32" s="45">
        <v>0.70833333333333304</v>
      </c>
      <c r="Y32" s="106"/>
      <c r="Z32" s="102"/>
      <c r="AA32" s="102"/>
      <c r="AB32" s="45" t="str">
        <f t="shared" si="18"/>
        <v/>
      </c>
      <c r="AC32" s="45" t="str">
        <f t="shared" si="1"/>
        <v/>
      </c>
      <c r="AD32" s="81"/>
      <c r="AE32" s="9" t="str">
        <f>IF(S32="","",IF(COUNTA(Z32:$Z$39)=1,IF(COUNTA(AD32:$AD$39)=1,""," ; "),IF(COUNTA(AD32:$AD$39)=1,IF(Z32="",""," ; ")," ; ")))</f>
        <v/>
      </c>
      <c r="AF32" s="9" t="str">
        <f t="shared" si="2"/>
        <v/>
      </c>
      <c r="AG32" s="90" t="str">
        <f t="shared" si="3"/>
        <v/>
      </c>
      <c r="AH32" s="204" t="s">
        <v>313</v>
      </c>
      <c r="AJ32" s="206">
        <f t="shared" si="19"/>
        <v>500</v>
      </c>
      <c r="AK32" s="206">
        <f t="shared" si="19"/>
        <v>100</v>
      </c>
      <c r="AL32" s="206">
        <f t="shared" si="19"/>
        <v>2</v>
      </c>
      <c r="AM32" s="213">
        <f t="shared" si="19"/>
        <v>0.875</v>
      </c>
      <c r="AN32" s="214">
        <f t="shared" si="19"/>
        <v>0.63607464142166403</v>
      </c>
      <c r="AO32" s="215">
        <f t="shared" si="4"/>
        <v>-14.7</v>
      </c>
      <c r="AP32" s="216">
        <f t="shared" si="5"/>
        <v>1</v>
      </c>
      <c r="AQ32" s="216">
        <f t="shared" si="6"/>
        <v>1</v>
      </c>
      <c r="AR32" s="215">
        <f t="shared" si="20"/>
        <v>158.47</v>
      </c>
      <c r="AS32" s="216">
        <f t="shared" si="7"/>
        <v>0.9723448696087954</v>
      </c>
      <c r="AT32" s="216">
        <f t="shared" si="8"/>
        <v>1.2538510821608391</v>
      </c>
      <c r="AU32" s="216">
        <f t="shared" si="9"/>
        <v>2.2360679774997898</v>
      </c>
      <c r="AV32" s="217">
        <f t="shared" si="10"/>
        <v>10.368348541764712</v>
      </c>
      <c r="AW32" s="216">
        <f t="shared" si="11"/>
        <v>0</v>
      </c>
      <c r="AX32" s="218">
        <f t="shared" si="12"/>
        <v>1.4831709199797398</v>
      </c>
      <c r="AY32" s="216">
        <f t="shared" si="13"/>
        <v>0.77643477842613629</v>
      </c>
      <c r="AZ32" s="217">
        <f t="shared" si="14"/>
        <v>3.5883638597441294</v>
      </c>
      <c r="BA32" s="216">
        <f t="shared" si="15"/>
        <v>0</v>
      </c>
      <c r="BB32" s="216">
        <f t="shared" si="16"/>
        <v>1.0016542390239327</v>
      </c>
      <c r="BC32" s="216">
        <f t="shared" si="17"/>
        <v>1</v>
      </c>
    </row>
    <row r="33" spans="1:55" ht="20.100000000000001" customHeight="1" x14ac:dyDescent="0.2">
      <c r="A33" s="45">
        <v>0.75</v>
      </c>
      <c r="B33" s="451"/>
      <c r="C33" s="451"/>
      <c r="D33" s="451">
        <v>8.1999999999999993</v>
      </c>
      <c r="E33" s="451">
        <v>75.8</v>
      </c>
      <c r="F33" s="41">
        <v>1963</v>
      </c>
      <c r="G33" s="37">
        <v>-5.6</v>
      </c>
      <c r="H33" s="37">
        <v>72.8</v>
      </c>
      <c r="I33" s="37">
        <v>22.5</v>
      </c>
      <c r="J33" s="41">
        <v>505</v>
      </c>
      <c r="K33" s="37">
        <v>13</v>
      </c>
      <c r="L33" s="451">
        <v>135</v>
      </c>
      <c r="M33" s="451">
        <v>227</v>
      </c>
      <c r="N33" s="451">
        <v>90</v>
      </c>
      <c r="O33" s="353">
        <v>45</v>
      </c>
      <c r="P33" s="353">
        <v>14</v>
      </c>
      <c r="Q33" s="353">
        <v>257.58</v>
      </c>
      <c r="R33" s="37"/>
      <c r="S33" s="508" t="str">
        <f>IF(Z33="",IF(AD33="","",AD33),CONCATENATE(TEXT(Z33,"[hh]:mm"),IF(AA33="",""," - "&amp;TEXT(AA33,"[hh]:mm")),IF(Y33="",""," "&amp;Y33&amp;"/")," "&amp;AD33))</f>
        <v/>
      </c>
      <c r="T33" s="508"/>
      <c r="U33" s="508"/>
      <c r="V33" s="508"/>
      <c r="X33" s="45">
        <v>0.75</v>
      </c>
      <c r="Y33" s="106"/>
      <c r="Z33" s="102"/>
      <c r="AA33" s="102"/>
      <c r="AB33" s="45" t="str">
        <f t="shared" si="18"/>
        <v/>
      </c>
      <c r="AC33" s="45" t="str">
        <f t="shared" si="1"/>
        <v/>
      </c>
      <c r="AD33" s="81"/>
      <c r="AE33" s="9" t="str">
        <f>IF(S33="","",IF(COUNTA(Z33:$Z$39)=1,IF(COUNTA(AD33:$AD$39)=1,""," ; "),IF(COUNTA(AD33:$AD$39)=1,IF(Z33="",""," ; ")," ; ")))</f>
        <v/>
      </c>
      <c r="AF33" s="9" t="str">
        <f t="shared" si="2"/>
        <v/>
      </c>
      <c r="AG33" s="90" t="str">
        <f t="shared" si="3"/>
        <v/>
      </c>
      <c r="AH33" s="204" t="s">
        <v>308</v>
      </c>
      <c r="AJ33" s="206">
        <f t="shared" ref="AJ33:AN39" si="21">AJ32</f>
        <v>500</v>
      </c>
      <c r="AK33" s="206">
        <f t="shared" si="21"/>
        <v>100</v>
      </c>
      <c r="AL33" s="206">
        <f t="shared" si="21"/>
        <v>2</v>
      </c>
      <c r="AM33" s="213">
        <f t="shared" si="21"/>
        <v>0.875</v>
      </c>
      <c r="AN33" s="214">
        <f t="shared" si="21"/>
        <v>0.63607464142166403</v>
      </c>
      <c r="AO33" s="215">
        <f t="shared" si="4"/>
        <v>-14.7</v>
      </c>
      <c r="AP33" s="216">
        <f t="shared" si="5"/>
        <v>1</v>
      </c>
      <c r="AQ33" s="216">
        <f t="shared" si="6"/>
        <v>1</v>
      </c>
      <c r="AR33" s="215">
        <f t="shared" si="20"/>
        <v>158.47</v>
      </c>
      <c r="AS33" s="216">
        <f t="shared" si="7"/>
        <v>0.9723448696087954</v>
      </c>
      <c r="AT33" s="216">
        <f t="shared" si="8"/>
        <v>1.2538510821608391</v>
      </c>
      <c r="AU33" s="216">
        <f t="shared" si="9"/>
        <v>2.2360679774997898</v>
      </c>
      <c r="AV33" s="217">
        <f t="shared" si="10"/>
        <v>10.368348541764712</v>
      </c>
      <c r="AW33" s="216">
        <f t="shared" si="11"/>
        <v>0</v>
      </c>
      <c r="AX33" s="218">
        <f t="shared" si="12"/>
        <v>1.4831709199797398</v>
      </c>
      <c r="AY33" s="216">
        <f t="shared" si="13"/>
        <v>0.77643477842613629</v>
      </c>
      <c r="AZ33" s="217">
        <f t="shared" si="14"/>
        <v>3.5883638597441294</v>
      </c>
      <c r="BA33" s="216">
        <f t="shared" si="15"/>
        <v>0</v>
      </c>
      <c r="BB33" s="216">
        <f t="shared" si="16"/>
        <v>1.0016542390239327</v>
      </c>
      <c r="BC33" s="216">
        <f t="shared" si="17"/>
        <v>1</v>
      </c>
    </row>
    <row r="34" spans="1:55" ht="20.100000000000001" customHeight="1" x14ac:dyDescent="0.2">
      <c r="A34" s="45">
        <v>0.79166666666666696</v>
      </c>
      <c r="B34" s="451"/>
      <c r="C34" s="451"/>
      <c r="D34" s="451">
        <v>7.6</v>
      </c>
      <c r="E34" s="451">
        <v>75.2</v>
      </c>
      <c r="F34" s="41">
        <v>1951</v>
      </c>
      <c r="G34" s="37">
        <v>-5.6</v>
      </c>
      <c r="H34" s="37">
        <v>72.099999999999994</v>
      </c>
      <c r="I34" s="37">
        <v>22.1</v>
      </c>
      <c r="J34" s="41">
        <v>506</v>
      </c>
      <c r="K34" s="37">
        <v>13</v>
      </c>
      <c r="L34" s="451">
        <v>135</v>
      </c>
      <c r="M34" s="451">
        <v>227</v>
      </c>
      <c r="N34" s="451">
        <v>90</v>
      </c>
      <c r="O34" s="353">
        <v>45</v>
      </c>
      <c r="P34" s="353">
        <v>13</v>
      </c>
      <c r="Q34" s="353">
        <v>248.28</v>
      </c>
      <c r="R34" s="37"/>
      <c r="S34" s="508" t="str">
        <f t="shared" ref="S34:S39" si="22">IF(Z34="",IF(AD34="","",AD34),CONCATENATE(TEXT(Z34,"[hh]:mm"),IF(AA34="",""," - "&amp;TEXT(AA34,"[hh]:mm")),IF(Y34="",""," "&amp;Y34&amp;"/")," "&amp;AD34))</f>
        <v/>
      </c>
      <c r="T34" s="508"/>
      <c r="U34" s="508"/>
      <c r="V34" s="508"/>
      <c r="X34" s="45">
        <v>0.79166666666666696</v>
      </c>
      <c r="Y34" s="106"/>
      <c r="Z34" s="102"/>
      <c r="AA34" s="102"/>
      <c r="AB34" s="45" t="str">
        <f t="shared" si="18"/>
        <v/>
      </c>
      <c r="AC34" s="45" t="str">
        <f t="shared" si="1"/>
        <v/>
      </c>
      <c r="AD34" s="81"/>
      <c r="AE34" s="9" t="str">
        <f>IF(S34="","",IF(COUNTA(Z34:$Z$39)=1,IF(COUNTA(AD34:$AD$39)=1,""," ; "),IF(COUNTA(AD34:$AD$39)=1,IF(Z34="",""," ; ")," ; ")))</f>
        <v/>
      </c>
      <c r="AF34" s="9" t="str">
        <f t="shared" si="2"/>
        <v/>
      </c>
      <c r="AG34" s="90" t="str">
        <f t="shared" si="3"/>
        <v/>
      </c>
      <c r="AH34" s="204" t="s">
        <v>314</v>
      </c>
      <c r="AJ34" s="206">
        <f t="shared" si="21"/>
        <v>500</v>
      </c>
      <c r="AK34" s="206">
        <f t="shared" si="21"/>
        <v>100</v>
      </c>
      <c r="AL34" s="206">
        <f t="shared" si="21"/>
        <v>2</v>
      </c>
      <c r="AM34" s="213">
        <f t="shared" si="21"/>
        <v>0.875</v>
      </c>
      <c r="AN34" s="214">
        <f t="shared" si="21"/>
        <v>0.63607464142166403</v>
      </c>
      <c r="AO34" s="215">
        <f t="shared" si="4"/>
        <v>-14.7</v>
      </c>
      <c r="AP34" s="216">
        <f t="shared" si="5"/>
        <v>1</v>
      </c>
      <c r="AQ34" s="216">
        <f t="shared" si="6"/>
        <v>1</v>
      </c>
      <c r="AR34" s="215">
        <f t="shared" si="20"/>
        <v>158.47</v>
      </c>
      <c r="AS34" s="216">
        <f t="shared" si="7"/>
        <v>0.9723448696087954</v>
      </c>
      <c r="AT34" s="216">
        <f t="shared" si="8"/>
        <v>1.2538510821608391</v>
      </c>
      <c r="AU34" s="216">
        <f t="shared" si="9"/>
        <v>2.2360679774997898</v>
      </c>
      <c r="AV34" s="217">
        <f t="shared" si="10"/>
        <v>10.368348541764712</v>
      </c>
      <c r="AW34" s="216">
        <f t="shared" si="11"/>
        <v>0</v>
      </c>
      <c r="AX34" s="218">
        <f t="shared" si="12"/>
        <v>1.4831709199797398</v>
      </c>
      <c r="AY34" s="216">
        <f t="shared" si="13"/>
        <v>0.77643477842613629</v>
      </c>
      <c r="AZ34" s="217">
        <f t="shared" si="14"/>
        <v>3.5883638597441294</v>
      </c>
      <c r="BA34" s="216">
        <f t="shared" si="15"/>
        <v>0</v>
      </c>
      <c r="BB34" s="216">
        <f t="shared" si="16"/>
        <v>1.0016542390239327</v>
      </c>
      <c r="BC34" s="216">
        <f t="shared" si="17"/>
        <v>1</v>
      </c>
    </row>
    <row r="35" spans="1:55" ht="20.100000000000001" customHeight="1" x14ac:dyDescent="0.2">
      <c r="A35" s="45">
        <v>0.83333333333333304</v>
      </c>
      <c r="B35" s="451"/>
      <c r="C35" s="451"/>
      <c r="D35" s="451">
        <v>7.5</v>
      </c>
      <c r="E35" s="451">
        <v>72.400000000000006</v>
      </c>
      <c r="F35" s="41">
        <v>1930</v>
      </c>
      <c r="G35" s="37">
        <v>-5.6</v>
      </c>
      <c r="H35" s="37">
        <v>72.5</v>
      </c>
      <c r="I35" s="37">
        <v>22.4</v>
      </c>
      <c r="J35" s="41">
        <v>507</v>
      </c>
      <c r="K35" s="37">
        <v>13</v>
      </c>
      <c r="L35" s="451">
        <v>132</v>
      </c>
      <c r="M35" s="451">
        <v>227</v>
      </c>
      <c r="N35" s="451">
        <v>90</v>
      </c>
      <c r="O35" s="353">
        <v>45</v>
      </c>
      <c r="P35" s="353">
        <v>14</v>
      </c>
      <c r="Q35" s="353">
        <v>257.58</v>
      </c>
      <c r="R35" s="37"/>
      <c r="S35" s="508" t="str">
        <f t="shared" si="22"/>
        <v/>
      </c>
      <c r="T35" s="508"/>
      <c r="U35" s="508"/>
      <c r="V35" s="508"/>
      <c r="X35" s="45">
        <v>0.83333333333333304</v>
      </c>
      <c r="Y35" s="106"/>
      <c r="Z35" s="102"/>
      <c r="AA35" s="102"/>
      <c r="AB35" s="45" t="str">
        <f t="shared" si="18"/>
        <v/>
      </c>
      <c r="AC35" s="45" t="str">
        <f t="shared" si="1"/>
        <v/>
      </c>
      <c r="AD35" s="81"/>
      <c r="AE35" s="9" t="str">
        <f>IF(S35="","",IF(COUNTA(Z35:$Z$39)=1,IF(COUNTA(AD35:$AD$39)=1,""," ; "),IF(COUNTA(AD35:$AD$39)=1,IF(Z35="",""," ; ")," ; ")))</f>
        <v/>
      </c>
      <c r="AF35" s="9" t="str">
        <f t="shared" si="2"/>
        <v/>
      </c>
      <c r="AG35" s="90" t="str">
        <f t="shared" si="3"/>
        <v/>
      </c>
      <c r="AH35" s="204" t="s">
        <v>227</v>
      </c>
      <c r="AJ35" s="206">
        <f t="shared" si="21"/>
        <v>500</v>
      </c>
      <c r="AK35" s="206">
        <f t="shared" si="21"/>
        <v>100</v>
      </c>
      <c r="AL35" s="206">
        <f t="shared" si="21"/>
        <v>2</v>
      </c>
      <c r="AM35" s="213">
        <f t="shared" si="21"/>
        <v>0.875</v>
      </c>
      <c r="AN35" s="214">
        <f t="shared" si="21"/>
        <v>0.63607464142166403</v>
      </c>
      <c r="AO35" s="215">
        <f t="shared" si="4"/>
        <v>-14.7</v>
      </c>
      <c r="AP35" s="216">
        <f t="shared" si="5"/>
        <v>1</v>
      </c>
      <c r="AQ35" s="216">
        <f t="shared" si="6"/>
        <v>1</v>
      </c>
      <c r="AR35" s="215">
        <f t="shared" si="20"/>
        <v>158.47</v>
      </c>
      <c r="AS35" s="216">
        <f t="shared" si="7"/>
        <v>0.9723448696087954</v>
      </c>
      <c r="AT35" s="216">
        <f t="shared" si="8"/>
        <v>1.2538510821608391</v>
      </c>
      <c r="AU35" s="216">
        <f t="shared" si="9"/>
        <v>2.2360679774997898</v>
      </c>
      <c r="AV35" s="217">
        <f t="shared" si="10"/>
        <v>10.368348541764712</v>
      </c>
      <c r="AW35" s="216">
        <f t="shared" si="11"/>
        <v>0</v>
      </c>
      <c r="AX35" s="218">
        <f t="shared" si="12"/>
        <v>1.4831709199797398</v>
      </c>
      <c r="AY35" s="216">
        <f t="shared" si="13"/>
        <v>0.77643477842613629</v>
      </c>
      <c r="AZ35" s="217">
        <f t="shared" si="14"/>
        <v>3.5883638597441294</v>
      </c>
      <c r="BA35" s="216">
        <f t="shared" si="15"/>
        <v>0</v>
      </c>
      <c r="BB35" s="216">
        <f t="shared" si="16"/>
        <v>1.0016542390239327</v>
      </c>
      <c r="BC35" s="216">
        <f t="shared" si="17"/>
        <v>1</v>
      </c>
    </row>
    <row r="36" spans="1:55" ht="20.100000000000001" customHeight="1" x14ac:dyDescent="0.2">
      <c r="A36" s="45">
        <v>0.875</v>
      </c>
      <c r="B36" s="451"/>
      <c r="C36" s="451"/>
      <c r="D36" s="451">
        <v>7.2</v>
      </c>
      <c r="E36" s="451">
        <v>66.5</v>
      </c>
      <c r="F36" s="41">
        <v>1942</v>
      </c>
      <c r="G36" s="37">
        <v>-5.6</v>
      </c>
      <c r="H36" s="37">
        <v>72.2</v>
      </c>
      <c r="I36" s="37">
        <v>22.6</v>
      </c>
      <c r="J36" s="41">
        <v>508</v>
      </c>
      <c r="K36" s="37">
        <v>13</v>
      </c>
      <c r="L36" s="451">
        <v>136</v>
      </c>
      <c r="M36" s="451">
        <v>224</v>
      </c>
      <c r="N36" s="451">
        <v>90</v>
      </c>
      <c r="O36" s="353">
        <v>45</v>
      </c>
      <c r="P36" s="353">
        <v>14</v>
      </c>
      <c r="Q36" s="353">
        <v>257.58</v>
      </c>
      <c r="R36" s="37"/>
      <c r="S36" s="508" t="str">
        <f t="shared" si="22"/>
        <v/>
      </c>
      <c r="T36" s="508"/>
      <c r="U36" s="508"/>
      <c r="V36" s="508"/>
      <c r="X36" s="45">
        <v>0.875</v>
      </c>
      <c r="Y36" s="106"/>
      <c r="Z36" s="102"/>
      <c r="AA36" s="102"/>
      <c r="AB36" s="45" t="str">
        <f t="shared" si="18"/>
        <v/>
      </c>
      <c r="AC36" s="45" t="str">
        <f t="shared" si="1"/>
        <v/>
      </c>
      <c r="AD36" s="81"/>
      <c r="AE36" s="9" t="str">
        <f>IF(S36="","",IF(COUNTA(Z36:$Z$39)=1,IF(COUNTA(AD36:$AD$39)=1,""," ; "),IF(COUNTA(AD36:$AD$39)=1,IF(Z36="",""," ; ")," ; ")))</f>
        <v/>
      </c>
      <c r="AF36" s="9" t="str">
        <f t="shared" si="2"/>
        <v/>
      </c>
      <c r="AG36" s="90" t="str">
        <f t="shared" si="3"/>
        <v/>
      </c>
      <c r="AH36" s="204" t="s">
        <v>309</v>
      </c>
      <c r="AJ36" s="206">
        <f t="shared" si="21"/>
        <v>500</v>
      </c>
      <c r="AK36" s="206">
        <f t="shared" si="21"/>
        <v>100</v>
      </c>
      <c r="AL36" s="206">
        <f t="shared" si="21"/>
        <v>2</v>
      </c>
      <c r="AM36" s="213">
        <f t="shared" si="21"/>
        <v>0.875</v>
      </c>
      <c r="AN36" s="214">
        <f t="shared" si="21"/>
        <v>0.63607464142166403</v>
      </c>
      <c r="AO36" s="215">
        <f t="shared" si="4"/>
        <v>-14.7</v>
      </c>
      <c r="AP36" s="216">
        <f t="shared" si="5"/>
        <v>1</v>
      </c>
      <c r="AQ36" s="216">
        <f t="shared" si="6"/>
        <v>1</v>
      </c>
      <c r="AR36" s="215">
        <f t="shared" si="20"/>
        <v>158.47</v>
      </c>
      <c r="AS36" s="216">
        <f t="shared" si="7"/>
        <v>0.9723448696087954</v>
      </c>
      <c r="AT36" s="216">
        <f t="shared" si="8"/>
        <v>1.2538510821608391</v>
      </c>
      <c r="AU36" s="216">
        <f t="shared" si="9"/>
        <v>2.2360679774997898</v>
      </c>
      <c r="AV36" s="217">
        <f t="shared" si="10"/>
        <v>10.368348541764712</v>
      </c>
      <c r="AW36" s="216">
        <f t="shared" si="11"/>
        <v>0</v>
      </c>
      <c r="AX36" s="218">
        <f t="shared" si="12"/>
        <v>1.4831709199797398</v>
      </c>
      <c r="AY36" s="216">
        <f t="shared" si="13"/>
        <v>0.77643477842613629</v>
      </c>
      <c r="AZ36" s="217">
        <f t="shared" si="14"/>
        <v>3.5883638597441294</v>
      </c>
      <c r="BA36" s="216">
        <f t="shared" si="15"/>
        <v>0</v>
      </c>
      <c r="BB36" s="216">
        <f t="shared" si="16"/>
        <v>1.0016542390239327</v>
      </c>
      <c r="BC36" s="216">
        <f t="shared" si="17"/>
        <v>1</v>
      </c>
    </row>
    <row r="37" spans="1:55" ht="20.100000000000001" customHeight="1" x14ac:dyDescent="0.2">
      <c r="A37" s="45">
        <v>0.91666666666666696</v>
      </c>
      <c r="B37" s="451"/>
      <c r="C37" s="451"/>
      <c r="D37" s="451">
        <v>6.7</v>
      </c>
      <c r="E37" s="451">
        <v>63.7</v>
      </c>
      <c r="F37" s="41">
        <v>1933</v>
      </c>
      <c r="G37" s="37">
        <v>-5.6</v>
      </c>
      <c r="H37" s="37">
        <v>72.3</v>
      </c>
      <c r="I37" s="37">
        <v>22.3</v>
      </c>
      <c r="J37" s="41">
        <v>509</v>
      </c>
      <c r="K37" s="37">
        <v>13</v>
      </c>
      <c r="L37" s="451">
        <v>132</v>
      </c>
      <c r="M37" s="451">
        <v>222</v>
      </c>
      <c r="N37" s="451">
        <v>90</v>
      </c>
      <c r="O37" s="353">
        <v>50</v>
      </c>
      <c r="P37" s="353">
        <v>12</v>
      </c>
      <c r="Q37" s="353">
        <v>248.54</v>
      </c>
      <c r="R37" s="37"/>
      <c r="S37" s="508" t="str">
        <f t="shared" si="22"/>
        <v/>
      </c>
      <c r="T37" s="508"/>
      <c r="U37" s="508"/>
      <c r="V37" s="508"/>
      <c r="X37" s="45">
        <v>0.91666666666666696</v>
      </c>
      <c r="Y37" s="106"/>
      <c r="Z37" s="102"/>
      <c r="AA37" s="102"/>
      <c r="AB37" s="45" t="str">
        <f t="shared" si="18"/>
        <v/>
      </c>
      <c r="AC37" s="45" t="str">
        <f t="shared" si="1"/>
        <v/>
      </c>
      <c r="AD37" s="81"/>
      <c r="AE37" s="9" t="str">
        <f>IF(S37="","",IF(COUNTA(Z37:$Z$39)=1,IF(COUNTA(AD37:$AD$39)=1,""," ; "),IF(COUNTA(AD37:$AD$39)=1,IF(Z37="",""," ; ")," ; ")))</f>
        <v/>
      </c>
      <c r="AF37" s="9" t="str">
        <f t="shared" si="2"/>
        <v/>
      </c>
      <c r="AG37" s="90" t="str">
        <f t="shared" si="3"/>
        <v/>
      </c>
      <c r="AH37" s="204" t="s">
        <v>319</v>
      </c>
      <c r="AJ37" s="206">
        <f t="shared" si="21"/>
        <v>500</v>
      </c>
      <c r="AK37" s="206">
        <f t="shared" si="21"/>
        <v>100</v>
      </c>
      <c r="AL37" s="206">
        <f t="shared" si="21"/>
        <v>2</v>
      </c>
      <c r="AM37" s="213">
        <f t="shared" si="21"/>
        <v>0.875</v>
      </c>
      <c r="AN37" s="214">
        <f t="shared" si="21"/>
        <v>0.63607464142166403</v>
      </c>
      <c r="AO37" s="215">
        <f t="shared" si="4"/>
        <v>-14.7</v>
      </c>
      <c r="AP37" s="216">
        <f t="shared" si="5"/>
        <v>1</v>
      </c>
      <c r="AQ37" s="216">
        <f t="shared" si="6"/>
        <v>1</v>
      </c>
      <c r="AR37" s="215">
        <f t="shared" si="20"/>
        <v>158.47</v>
      </c>
      <c r="AS37" s="216">
        <f t="shared" si="7"/>
        <v>0.9723448696087954</v>
      </c>
      <c r="AT37" s="216">
        <f t="shared" si="8"/>
        <v>1.2538510821608391</v>
      </c>
      <c r="AU37" s="216">
        <f t="shared" si="9"/>
        <v>2.2360679774997898</v>
      </c>
      <c r="AV37" s="217">
        <f t="shared" si="10"/>
        <v>10.368348541764712</v>
      </c>
      <c r="AW37" s="216">
        <f t="shared" si="11"/>
        <v>0</v>
      </c>
      <c r="AX37" s="218">
        <f t="shared" si="12"/>
        <v>1.4831709199797398</v>
      </c>
      <c r="AY37" s="216">
        <f t="shared" si="13"/>
        <v>0.77643477842613629</v>
      </c>
      <c r="AZ37" s="217">
        <f t="shared" si="14"/>
        <v>3.5883638597441294</v>
      </c>
      <c r="BA37" s="216">
        <f t="shared" si="15"/>
        <v>0</v>
      </c>
      <c r="BB37" s="216">
        <f t="shared" si="16"/>
        <v>1.0016542390239327</v>
      </c>
      <c r="BC37" s="216">
        <f t="shared" si="17"/>
        <v>1</v>
      </c>
    </row>
    <row r="38" spans="1:55" ht="20.100000000000001" customHeight="1" x14ac:dyDescent="0.2">
      <c r="A38" s="45">
        <v>0.95833333333333304</v>
      </c>
      <c r="B38" s="451"/>
      <c r="C38" s="451"/>
      <c r="D38" s="451">
        <v>6.8</v>
      </c>
      <c r="E38" s="451">
        <v>59.7</v>
      </c>
      <c r="F38" s="41">
        <v>1941</v>
      </c>
      <c r="G38" s="37">
        <v>-5.6</v>
      </c>
      <c r="H38" s="37">
        <v>72.5</v>
      </c>
      <c r="I38" s="37">
        <v>22.7</v>
      </c>
      <c r="J38" s="41">
        <v>510</v>
      </c>
      <c r="K38" s="37">
        <v>13</v>
      </c>
      <c r="L38" s="451">
        <v>134</v>
      </c>
      <c r="M38" s="451">
        <v>221</v>
      </c>
      <c r="N38" s="451">
        <v>90</v>
      </c>
      <c r="O38" s="353">
        <v>50</v>
      </c>
      <c r="P38" s="353">
        <v>13</v>
      </c>
      <c r="Q38" s="353">
        <v>258.61</v>
      </c>
      <c r="R38" s="37"/>
      <c r="S38" s="508" t="str">
        <f t="shared" si="22"/>
        <v/>
      </c>
      <c r="T38" s="508"/>
      <c r="U38" s="508"/>
      <c r="V38" s="508"/>
      <c r="X38" s="45">
        <v>0.95833333333333304</v>
      </c>
      <c r="Y38" s="106"/>
      <c r="Z38" s="102"/>
      <c r="AA38" s="102"/>
      <c r="AB38" s="45" t="str">
        <f t="shared" si="18"/>
        <v/>
      </c>
      <c r="AC38" s="45" t="str">
        <f t="shared" si="1"/>
        <v/>
      </c>
      <c r="AD38" s="81"/>
      <c r="AE38" s="9" t="str">
        <f>IF(S38="","",IF(COUNTA(Z38:$Z$39)=1,IF(COUNTA(AD38:$AD$39)=1,""," ; "),IF(COUNTA(AD38:$AD$39)=1,IF(Z38="",""," ; ")," ; ")))</f>
        <v/>
      </c>
      <c r="AF38" s="9" t="str">
        <f t="shared" si="2"/>
        <v/>
      </c>
      <c r="AG38" s="90" t="str">
        <f t="shared" si="3"/>
        <v/>
      </c>
      <c r="AH38" s="204" t="s">
        <v>219</v>
      </c>
      <c r="AJ38" s="206">
        <f t="shared" si="21"/>
        <v>500</v>
      </c>
      <c r="AK38" s="206">
        <f t="shared" si="21"/>
        <v>100</v>
      </c>
      <c r="AL38" s="206">
        <f t="shared" si="21"/>
        <v>2</v>
      </c>
      <c r="AM38" s="213">
        <f t="shared" si="21"/>
        <v>0.875</v>
      </c>
      <c r="AN38" s="214">
        <f t="shared" si="21"/>
        <v>0.63607464142166403</v>
      </c>
      <c r="AO38" s="215">
        <f t="shared" si="4"/>
        <v>-14.7</v>
      </c>
      <c r="AP38" s="216">
        <f t="shared" si="5"/>
        <v>1</v>
      </c>
      <c r="AQ38" s="216">
        <f t="shared" si="6"/>
        <v>1</v>
      </c>
      <c r="AR38" s="215">
        <f t="shared" si="20"/>
        <v>158.47</v>
      </c>
      <c r="AS38" s="216">
        <f t="shared" si="7"/>
        <v>0.9723448696087954</v>
      </c>
      <c r="AT38" s="216">
        <f t="shared" si="8"/>
        <v>1.2538510821608391</v>
      </c>
      <c r="AU38" s="216">
        <f t="shared" si="9"/>
        <v>2.2360679774997898</v>
      </c>
      <c r="AV38" s="217">
        <f t="shared" si="10"/>
        <v>10.368348541764712</v>
      </c>
      <c r="AW38" s="216">
        <f t="shared" si="11"/>
        <v>0</v>
      </c>
      <c r="AX38" s="218">
        <f t="shared" si="12"/>
        <v>1.4831709199797398</v>
      </c>
      <c r="AY38" s="216">
        <f t="shared" si="13"/>
        <v>0.77643477842613629</v>
      </c>
      <c r="AZ38" s="217">
        <f t="shared" si="14"/>
        <v>3.5883638597441294</v>
      </c>
      <c r="BA38" s="216">
        <f t="shared" si="15"/>
        <v>0</v>
      </c>
      <c r="BB38" s="216">
        <f t="shared" si="16"/>
        <v>1.0016542390239327</v>
      </c>
      <c r="BC38" s="216">
        <f t="shared" si="17"/>
        <v>1</v>
      </c>
    </row>
    <row r="39" spans="1:55" ht="20.100000000000001" customHeight="1" thickBot="1" x14ac:dyDescent="0.25">
      <c r="A39" s="46">
        <v>1</v>
      </c>
      <c r="B39" s="451"/>
      <c r="C39" s="451"/>
      <c r="D39" s="452">
        <v>6.1</v>
      </c>
      <c r="E39" s="452">
        <v>65.2</v>
      </c>
      <c r="F39" s="42">
        <v>1927</v>
      </c>
      <c r="G39" s="37">
        <v>-5.6</v>
      </c>
      <c r="H39" s="38">
        <v>72.599999999999994</v>
      </c>
      <c r="I39" s="37">
        <v>22</v>
      </c>
      <c r="J39" s="41">
        <v>511</v>
      </c>
      <c r="K39" s="37">
        <v>13</v>
      </c>
      <c r="L39" s="452">
        <v>130</v>
      </c>
      <c r="M39" s="452">
        <v>220</v>
      </c>
      <c r="N39" s="451">
        <v>90</v>
      </c>
      <c r="O39" s="353">
        <v>45</v>
      </c>
      <c r="P39" s="353">
        <v>13</v>
      </c>
      <c r="Q39" s="354">
        <v>248.28</v>
      </c>
      <c r="R39" s="38"/>
      <c r="S39" s="512" t="str">
        <f t="shared" si="22"/>
        <v/>
      </c>
      <c r="T39" s="512"/>
      <c r="U39" s="512"/>
      <c r="V39" s="512"/>
      <c r="X39" s="46">
        <v>1</v>
      </c>
      <c r="Y39" s="107"/>
      <c r="Z39" s="103"/>
      <c r="AA39" s="103"/>
      <c r="AB39" s="46" t="str">
        <f t="shared" si="18"/>
        <v/>
      </c>
      <c r="AC39" s="46" t="str">
        <f t="shared" si="1"/>
        <v/>
      </c>
      <c r="AD39" s="82"/>
      <c r="AE39" s="9" t="str">
        <f>IF(S39="","",IF(COUNTA(Z39:$Z$39)=1,IF(COUNTA(AD39:$AD$39)=1,""," ; "),IF(COUNTA(AD39:$AD$39)=1,IF(Z39="",""," ; ")," ; ")))</f>
        <v/>
      </c>
      <c r="AF39" s="9" t="str">
        <f t="shared" si="2"/>
        <v/>
      </c>
      <c r="AG39" s="90" t="str">
        <f t="shared" si="3"/>
        <v/>
      </c>
      <c r="AH39" s="204" t="s">
        <v>220</v>
      </c>
      <c r="AJ39" s="219">
        <f t="shared" si="21"/>
        <v>500</v>
      </c>
      <c r="AK39" s="219">
        <f t="shared" si="21"/>
        <v>100</v>
      </c>
      <c r="AL39" s="219">
        <f t="shared" si="21"/>
        <v>2</v>
      </c>
      <c r="AM39" s="220">
        <f t="shared" si="21"/>
        <v>0.875</v>
      </c>
      <c r="AN39" s="221">
        <f t="shared" si="21"/>
        <v>0.63607464142166403</v>
      </c>
      <c r="AO39" s="222">
        <f t="shared" si="4"/>
        <v>-14.7</v>
      </c>
      <c r="AP39" s="223">
        <f t="shared" si="5"/>
        <v>1</v>
      </c>
      <c r="AQ39" s="223">
        <f t="shared" si="6"/>
        <v>1</v>
      </c>
      <c r="AR39" s="222">
        <f t="shared" si="20"/>
        <v>158.47</v>
      </c>
      <c r="AS39" s="223">
        <f t="shared" si="7"/>
        <v>0.9723448696087954</v>
      </c>
      <c r="AT39" s="223">
        <f t="shared" si="8"/>
        <v>1.2538510821608391</v>
      </c>
      <c r="AU39" s="223">
        <f t="shared" si="9"/>
        <v>2.2360679774997898</v>
      </c>
      <c r="AV39" s="224">
        <f t="shared" si="10"/>
        <v>10.368348541764712</v>
      </c>
      <c r="AW39" s="223">
        <f t="shared" si="11"/>
        <v>0</v>
      </c>
      <c r="AX39" s="225">
        <f t="shared" si="12"/>
        <v>1.4831709199797398</v>
      </c>
      <c r="AY39" s="223">
        <f t="shared" si="13"/>
        <v>0.77643477842613629</v>
      </c>
      <c r="AZ39" s="224">
        <f t="shared" si="14"/>
        <v>3.5883638597441294</v>
      </c>
      <c r="BA39" s="223">
        <f t="shared" si="15"/>
        <v>0</v>
      </c>
      <c r="BB39" s="223">
        <f t="shared" si="16"/>
        <v>1.0016542390239327</v>
      </c>
      <c r="BC39" s="223">
        <f t="shared" si="17"/>
        <v>1</v>
      </c>
    </row>
    <row r="40" spans="1:55" ht="20.100000000000001" customHeight="1" thickBot="1" x14ac:dyDescent="0.3">
      <c r="A40" s="53" t="s">
        <v>11</v>
      </c>
      <c r="B40" s="453" t="str">
        <f>IFERROR(ROUND(AVERAGE(B16:B39),2),"")</f>
        <v/>
      </c>
      <c r="C40" s="453" t="str">
        <f>IFERROR(ROUND(AVERAGE(C16:C39),2),"")</f>
        <v/>
      </c>
      <c r="D40" s="453">
        <f>IFERROR(ROUND(AVERAGE(D16:D39),2),"")</f>
        <v>7.5</v>
      </c>
      <c r="E40" s="453">
        <f>IFERROR(ROUND(AVERAGE(E16:E39),2),"")</f>
        <v>68.099999999999994</v>
      </c>
      <c r="F40" s="55">
        <f>IFERROR(ROUND(AVERAGE(F16:F39),0),"")</f>
        <v>1942</v>
      </c>
      <c r="G40" s="54">
        <f>IFERROR(AVERAGE(G16:G39),"")</f>
        <v>-5.5999999999999979</v>
      </c>
      <c r="H40" s="54">
        <f>IFERROR(AVERAGE(H16:H39),"")</f>
        <v>72.329166666666652</v>
      </c>
      <c r="I40" s="54">
        <f>IFERROR(AVERAGE(I16:I39),"")</f>
        <v>22.404166666666669</v>
      </c>
      <c r="J40" s="71"/>
      <c r="K40" s="111">
        <f>IFERROR(AVERAGE(K16:K39),"")</f>
        <v>13</v>
      </c>
      <c r="L40" s="453">
        <f t="shared" ref="L40:P40" si="23">IFERROR(ROUND(AVERAGE(L16:L39),1),"")</f>
        <v>135</v>
      </c>
      <c r="M40" s="453">
        <f t="shared" si="23"/>
        <v>224</v>
      </c>
      <c r="N40" s="453">
        <f t="shared" si="23"/>
        <v>90</v>
      </c>
      <c r="O40" s="456">
        <f t="shared" si="23"/>
        <v>45.8</v>
      </c>
      <c r="P40" s="456">
        <f t="shared" si="23"/>
        <v>13.4</v>
      </c>
      <c r="Q40" s="456">
        <f>IF($I$47=1,$M$49,$Q$44)</f>
        <v>248.4</v>
      </c>
      <c r="R40" s="54" t="str">
        <f>IFERROR(ROUND(AVERAGE(R16:R39),1),"")</f>
        <v/>
      </c>
      <c r="S40" s="509"/>
      <c r="T40" s="510"/>
      <c r="U40" s="510"/>
      <c r="V40" s="511"/>
      <c r="X40" s="99"/>
      <c r="Y40" s="99"/>
      <c r="Z40" s="99"/>
      <c r="AA40" s="99"/>
      <c r="AB40" s="104">
        <f>SUM(AB16:AB39)</f>
        <v>0</v>
      </c>
      <c r="AC40" s="104">
        <f>SUM(AC16:AC39)</f>
        <v>0</v>
      </c>
      <c r="AD40" s="92" t="str">
        <f>IF(OR(COUNTBLANK(D16:E39)+COUNTBLANK(O16:P39)=0,COUNTA(S16:V39)&lt;&gt;0),"","CEK : Blank Data - Remarks")</f>
        <v/>
      </c>
      <c r="AG40" s="90" t="str">
        <f>IF(COUNTIF(AG16:AG39,"")=COUNTA(AG16:AG39),"","CEK : Data Flowrate")</f>
        <v/>
      </c>
      <c r="AH40" s="204" t="s">
        <v>311</v>
      </c>
    </row>
    <row r="41" spans="1:55" ht="20.100000000000001" hidden="1" customHeight="1" thickBot="1" x14ac:dyDescent="0.3">
      <c r="A41" s="49" t="s">
        <v>12</v>
      </c>
      <c r="B41" s="52" t="str">
        <f>IF(COUNT(B16:B39)&gt;0,ROUND(MIN(B16:B39),2),"")</f>
        <v/>
      </c>
      <c r="C41" s="52" t="str">
        <f>IF(COUNT(C16:C39)&gt;0,ROUND(MIN(C16:C39),2),"")</f>
        <v/>
      </c>
      <c r="D41" s="52">
        <f>IF(COUNT(D16:D39)&gt;0,ROUND(MIN(D16:D39),2),"")</f>
        <v>6.1</v>
      </c>
      <c r="E41" s="52">
        <f>IF(COUNT(E16:E39)&gt;0,ROUND(MIN(E16:E39),2),"")</f>
        <v>54.9</v>
      </c>
      <c r="F41" s="51">
        <f>IF(COUNT(F16:F39)&gt;0,ROUND(MIN(F16:F39),0),"")</f>
        <v>1915</v>
      </c>
      <c r="G41" s="50">
        <f>IF(COUNT(G16:G39)&gt;0,MIN(G16:G39),"")</f>
        <v>-5.6</v>
      </c>
      <c r="H41" s="50">
        <f>IF(COUNT(H16:H39)&gt;0,MIN(H16:H39),"")</f>
        <v>72</v>
      </c>
      <c r="I41" s="50">
        <f>IF(COUNT(I16:I39)&gt;0,MIN(I16:I39),"")</f>
        <v>22</v>
      </c>
      <c r="J41" s="72"/>
      <c r="K41" s="50">
        <f>IF(COUNT(K16:K39)&gt;0,MIN(K16:K39),"")</f>
        <v>13</v>
      </c>
      <c r="L41" s="52">
        <f>IF(COUNT(L16:L39)&gt;0,ROUND(MIN(L16:L39),1),"")</f>
        <v>130</v>
      </c>
      <c r="M41" s="52">
        <f>IF(COUNT(M16:M39)&gt;0,ROUND(MIN(M16:M39),1),"")</f>
        <v>220</v>
      </c>
      <c r="N41" s="52">
        <f>IF(COUNT(N16:N39)&gt;0,ROUND(MIN(N16:N39),1),"")</f>
        <v>90</v>
      </c>
      <c r="O41" s="440">
        <f>IF(COUNT(O16:O39)&gt;0,ROUND(MIN(O16:O39),1),"")</f>
        <v>45</v>
      </c>
      <c r="P41" s="440">
        <f>IF(COUNT(P16:P39)&gt;0,ROUND(MIN(P16:P39),1),"")</f>
        <v>12</v>
      </c>
      <c r="Q41" s="440">
        <f>IF(COUNT(Q16:Q39)&gt;0,ROUND(MIN(Q16:Q39),4),"")</f>
        <v>238.62</v>
      </c>
      <c r="R41" s="121" t="str">
        <f>IF(COUNT(R16:R39)&gt;0,ROUND(MIN(R16:R39),1),"")</f>
        <v/>
      </c>
      <c r="S41" s="509"/>
      <c r="T41" s="510"/>
      <c r="U41" s="510"/>
      <c r="V41" s="511"/>
      <c r="X41" s="99"/>
      <c r="Y41" s="99"/>
      <c r="Z41" s="99"/>
      <c r="AA41" s="99"/>
      <c r="AB41" s="99"/>
      <c r="AC41" s="99"/>
      <c r="AH41" s="204" t="s">
        <v>318</v>
      </c>
    </row>
    <row r="42" spans="1:55" ht="20.100000000000001" hidden="1" customHeight="1" thickBot="1" x14ac:dyDescent="0.3">
      <c r="A42" s="21" t="s">
        <v>13</v>
      </c>
      <c r="B42" s="454" t="str">
        <f>IF(COUNT(B16:B39)&gt;0,ROUND(MAX(B16:B39),2),"")</f>
        <v/>
      </c>
      <c r="C42" s="454" t="str">
        <f>IF(COUNT(C16:C39)&gt;0,ROUND(MAX(C16:C39),2),"")</f>
        <v/>
      </c>
      <c r="D42" s="454">
        <f>IF(COUNT(D16:D39)&gt;0,ROUND(MAX(D16:D39),2),"")</f>
        <v>8.9</v>
      </c>
      <c r="E42" s="454">
        <f>IF(COUNT(E16:E39)&gt;0,ROUND(MAX(E16:E39),2),"")</f>
        <v>88.2</v>
      </c>
      <c r="F42" s="43">
        <f>IF(COUNT(F16:F39)&gt;0,ROUND(MAX(F16:F39),0),"")</f>
        <v>1981</v>
      </c>
      <c r="G42" s="39">
        <f>IF(COUNT(G16:G39)&gt;0,MAX(G16:G39),"")</f>
        <v>-5.6</v>
      </c>
      <c r="H42" s="39">
        <f>IF(COUNT(H16:H39)&gt;0,MAX(H16:H39),"")</f>
        <v>72.8</v>
      </c>
      <c r="I42" s="39">
        <f>IF(COUNT(I16:I39)&gt;0,MAX(I16:I39),"")</f>
        <v>22.9</v>
      </c>
      <c r="J42" s="43">
        <f>IF(COUNT(J16:J39)&gt;0,MAX(J16:J39),"")</f>
        <v>511</v>
      </c>
      <c r="K42" s="39">
        <f>IF(COUNT(K16:K39)&gt;0,MAX(K16:K39),"")</f>
        <v>13</v>
      </c>
      <c r="L42" s="454">
        <f>IF(COUNT(L16:L39)&gt;0,ROUND(MAX(L16:L39),1),"")</f>
        <v>139</v>
      </c>
      <c r="M42" s="454">
        <f>IF(COUNT(M16:M39)&gt;0,ROUND(MAX(M16:M39),1),"")</f>
        <v>228</v>
      </c>
      <c r="N42" s="454">
        <f>IF(COUNT(N16:N39)&gt;0,ROUND(MAX(N16:N39),1),"")</f>
        <v>90</v>
      </c>
      <c r="O42" s="441">
        <f>IF(COUNT(O16:O39)&gt;0,ROUND(MAX(O16:O39),1),"")</f>
        <v>50</v>
      </c>
      <c r="P42" s="441">
        <f>IF(COUNT(P16:P39)&gt;0,ROUND(MAX(P16:P39),1),"")</f>
        <v>16</v>
      </c>
      <c r="Q42" s="441">
        <f>IF(COUNT(Q16:Q39)&gt;0,ROUND(MAX(Q16:Q39),4),"")</f>
        <v>275.22000000000003</v>
      </c>
      <c r="R42" s="39" t="str">
        <f>IF(COUNT(R16:R39)&gt;0,ROUND(MAX(R16:R39),1),"")</f>
        <v/>
      </c>
      <c r="S42" s="509"/>
      <c r="T42" s="510"/>
      <c r="U42" s="510"/>
      <c r="V42" s="511"/>
      <c r="X42" s="99"/>
      <c r="Y42" s="99"/>
      <c r="Z42" s="99"/>
      <c r="AA42" s="99"/>
      <c r="AB42" s="99"/>
      <c r="AC42" s="99"/>
      <c r="AH42" s="204" t="s">
        <v>312</v>
      </c>
    </row>
    <row r="43" spans="1:55" ht="20.100000000000001" hidden="1" customHeight="1" x14ac:dyDescent="0.25">
      <c r="A43" s="109"/>
      <c r="B43" s="110">
        <f>COUNT(B16:B39)</f>
        <v>0</v>
      </c>
      <c r="C43" s="110">
        <f>COUNT(C16:C39)</f>
        <v>0</v>
      </c>
      <c r="D43" s="110">
        <f>COUNT(D16:D39)</f>
        <v>24</v>
      </c>
      <c r="E43" s="110">
        <f t="shared" ref="E43:H43" si="24">COUNT(E16:E39)</f>
        <v>24</v>
      </c>
      <c r="F43" s="110">
        <f t="shared" si="24"/>
        <v>24</v>
      </c>
      <c r="G43" s="110">
        <f t="shared" si="24"/>
        <v>24</v>
      </c>
      <c r="H43" s="110">
        <f t="shared" si="24"/>
        <v>24</v>
      </c>
      <c r="I43" s="110"/>
      <c r="J43" s="110"/>
      <c r="K43" s="110"/>
      <c r="L43" s="110">
        <f t="shared" ref="L43:Q43" si="25">COUNT(L16:L39)</f>
        <v>24</v>
      </c>
      <c r="M43" s="110">
        <f t="shared" si="25"/>
        <v>24</v>
      </c>
      <c r="N43" s="110">
        <f t="shared" si="25"/>
        <v>24</v>
      </c>
      <c r="O43" s="110">
        <f t="shared" si="25"/>
        <v>24</v>
      </c>
      <c r="P43" s="110">
        <f t="shared" si="25"/>
        <v>24</v>
      </c>
      <c r="Q43" s="110">
        <f t="shared" si="25"/>
        <v>24</v>
      </c>
      <c r="R43" s="110"/>
      <c r="S43" s="99"/>
      <c r="T43" s="99"/>
      <c r="U43" s="99"/>
      <c r="V43" s="99"/>
      <c r="X43" s="99"/>
      <c r="Y43" s="99"/>
      <c r="Z43" s="99"/>
      <c r="AA43" s="99"/>
      <c r="AB43" s="99"/>
      <c r="AC43" s="99"/>
      <c r="AD43" s="92" t="str">
        <f>IF(AND(D43=E43,D43=F43,D43=G43,D43=H43,D43=L43,D43=M43,D43=N43,D43=O43,D43=P43,D43=Q43),"","CEK : Data Content")</f>
        <v/>
      </c>
      <c r="AH43" s="204" t="s">
        <v>221</v>
      </c>
    </row>
    <row r="44" spans="1:55" s="6" customFormat="1" ht="15" customHeight="1" x14ac:dyDescent="0.25">
      <c r="J44" s="91" t="str">
        <f>IF(J1="PRINT","",IF(J42="","RH please ! !",""))</f>
        <v/>
      </c>
      <c r="L44" s="24"/>
      <c r="Q44" s="445">
        <f>IFERROR(ROUND(AVERAGE(Q16:Q39),4),"")</f>
        <v>253.7646</v>
      </c>
      <c r="AH44" s="204" t="s">
        <v>323</v>
      </c>
      <c r="AI44" s="7"/>
    </row>
    <row r="45" spans="1:55" s="6" customFormat="1" ht="15" customHeight="1" x14ac:dyDescent="0.25">
      <c r="L45" s="26" t="s">
        <v>290</v>
      </c>
      <c r="Q45" s="445"/>
      <c r="AH45" s="204" t="s">
        <v>288</v>
      </c>
      <c r="AI45" s="7"/>
    </row>
    <row r="46" spans="1:55" s="6" customFormat="1" ht="15" customHeight="1" x14ac:dyDescent="0.25">
      <c r="D46" s="443" t="s">
        <v>90</v>
      </c>
      <c r="E46" s="448" t="str">
        <f>IF(Schedule!C$22="","",Schedule!C$22)</f>
        <v/>
      </c>
      <c r="G46" s="61"/>
      <c r="H46" s="25" t="str">
        <f>IFERROR(IF(OR(I47="",I48="",I49=""),"WAKTU BELUM DI-ISI LENGKAP",IF(SUM(I48:I49)&lt;=1,"","CEK KEMBALI PENULISAN WAKTU SALAH")),"CEK KEMBALI PENULISAN WAKTU SALAH")</f>
        <v/>
      </c>
      <c r="L46" s="26" t="s">
        <v>22</v>
      </c>
      <c r="M46" s="460">
        <f>IF(Volume!$W21="",$O46,Volume!$W21)</f>
        <v>45.402900000000002</v>
      </c>
      <c r="N46" s="27" t="s">
        <v>1</v>
      </c>
      <c r="O46" s="447">
        <f>IF(O40="","",O40)</f>
        <v>45.8</v>
      </c>
      <c r="P46" s="361" t="s">
        <v>29</v>
      </c>
      <c r="Q46" s="362"/>
      <c r="R46" s="362"/>
      <c r="S46" s="362"/>
      <c r="T46" s="361" t="s">
        <v>30</v>
      </c>
      <c r="U46" s="362"/>
      <c r="V46" s="362"/>
      <c r="AH46" s="204" t="s">
        <v>222</v>
      </c>
    </row>
    <row r="47" spans="1:55" s="6" customFormat="1" ht="15" customHeight="1" x14ac:dyDescent="0.25">
      <c r="D47" s="448"/>
      <c r="E47" s="448"/>
      <c r="H47" s="26" t="s">
        <v>26</v>
      </c>
      <c r="I47" s="56">
        <f>IF(OR(I48="",I49=""),"",1-I48-I49)</f>
        <v>1</v>
      </c>
      <c r="J47" s="27" t="s">
        <v>19</v>
      </c>
      <c r="L47" s="26" t="s">
        <v>23</v>
      </c>
      <c r="M47" s="442">
        <f>IF(Volume!$Y21="",$O47,Volume!$Y21)</f>
        <v>13.5947</v>
      </c>
      <c r="N47" s="27" t="s">
        <v>14</v>
      </c>
      <c r="O47" s="447">
        <f>IF(P40="","",P40)</f>
        <v>13.4</v>
      </c>
      <c r="P47" s="361" t="s">
        <v>211</v>
      </c>
      <c r="Q47" s="362"/>
      <c r="R47" s="362"/>
      <c r="S47" s="362"/>
      <c r="T47" s="361" t="s">
        <v>271</v>
      </c>
      <c r="U47" s="362"/>
      <c r="V47" s="362"/>
      <c r="AH47" s="204" t="s">
        <v>223</v>
      </c>
    </row>
    <row r="48" spans="1:55" s="6" customFormat="1" ht="15" customHeight="1" x14ac:dyDescent="0.25">
      <c r="D48" s="443" t="s">
        <v>91</v>
      </c>
      <c r="E48" s="448" t="str">
        <f>IF(Schedule!D$22="","",Schedule!D$22)</f>
        <v/>
      </c>
      <c r="H48" s="26" t="s">
        <v>37</v>
      </c>
      <c r="I48" s="108">
        <f>IF(OR(COUNT($Q$16:$Q$39)&lt;&gt;0,COUNTA($AD$16:$AD$39)&lt;&gt;0),AB40,"")</f>
        <v>0</v>
      </c>
      <c r="J48" s="27" t="s">
        <v>19</v>
      </c>
      <c r="L48" s="26" t="s">
        <v>24</v>
      </c>
      <c r="M48" s="449">
        <f>IF(N40="","",N40)</f>
        <v>90</v>
      </c>
      <c r="N48" s="27" t="s">
        <v>5</v>
      </c>
      <c r="P48" s="362"/>
      <c r="Q48" s="362"/>
      <c r="R48" s="362"/>
      <c r="S48" s="362"/>
      <c r="T48" s="361" t="s">
        <v>291</v>
      </c>
      <c r="U48" s="362"/>
      <c r="V48" s="362"/>
      <c r="AH48" s="204" t="s">
        <v>324</v>
      </c>
    </row>
    <row r="49" spans="1:34" s="6" customFormat="1" ht="15" customHeight="1" x14ac:dyDescent="0.25">
      <c r="D49" s="448"/>
      <c r="E49" s="448"/>
      <c r="H49" s="26" t="s">
        <v>27</v>
      </c>
      <c r="I49" s="108">
        <f>IF(OR(COUNT($Q$16:$Q$39)&lt;&gt;0,COUNTA($AD$16:$AD$39)&lt;&gt;0),AC40,"")</f>
        <v>0</v>
      </c>
      <c r="J49" s="27" t="s">
        <v>19</v>
      </c>
      <c r="L49" s="26" t="s">
        <v>128</v>
      </c>
      <c r="M49" s="442">
        <f>IF(Volume!$L21="",M51,Volume!$L21)</f>
        <v>248.4</v>
      </c>
      <c r="N49" s="27" t="str">
        <f>IF(Q15="MSCFD","MSCF","MMSCF")</f>
        <v>MSCF</v>
      </c>
      <c r="P49" s="362"/>
      <c r="Q49" s="362"/>
      <c r="R49" s="362"/>
      <c r="S49" s="362"/>
      <c r="T49" s="362"/>
      <c r="U49" s="362"/>
      <c r="V49" s="362"/>
      <c r="AH49" s="204" t="s">
        <v>317</v>
      </c>
    </row>
    <row r="50" spans="1:34" s="6" customFormat="1" ht="15" customHeight="1" x14ac:dyDescent="0.25">
      <c r="D50" s="443" t="s">
        <v>92</v>
      </c>
      <c r="E50" s="448" t="str">
        <f>IF(Schedule!E$22="","",Schedule!E$22)</f>
        <v>Marihot Gustafa S.</v>
      </c>
      <c r="L50" s="443" t="str">
        <f>CONCATENATE(MR!L16," ",":")</f>
        <v>Liquid Gain :</v>
      </c>
      <c r="M50" s="446" t="str">
        <f>IF(R40="","",ROUND(SUM(R16:R39),2))</f>
        <v/>
      </c>
      <c r="N50" s="444" t="str">
        <f>R15</f>
        <v>BPD</v>
      </c>
      <c r="P50" s="362"/>
      <c r="Q50" s="362"/>
      <c r="R50" s="362"/>
      <c r="S50" s="362"/>
      <c r="T50" s="362"/>
      <c r="U50" s="362"/>
      <c r="V50" s="362"/>
      <c r="AH50" s="204" t="s">
        <v>282</v>
      </c>
    </row>
    <row r="51" spans="1:34" s="6" customFormat="1" ht="15" customHeight="1" x14ac:dyDescent="0.25">
      <c r="A51" s="4"/>
      <c r="L51" s="443" t="s">
        <v>286</v>
      </c>
      <c r="M51" s="447">
        <f>IF(Q44="","",IF(SUM(I48:I49)=1,IF(Q44&lt;&gt;0,"Cek Tabel",""),ROUND(Q44*I47,4)))</f>
        <v>253.7646</v>
      </c>
      <c r="N51" s="444" t="str">
        <f>IF(Q15="MSCFD","MSCF","MMSCF")</f>
        <v>MSCF</v>
      </c>
      <c r="P51" s="362"/>
      <c r="Q51" s="362"/>
      <c r="R51" s="362"/>
      <c r="S51" s="362"/>
      <c r="T51" s="362"/>
      <c r="U51" s="362"/>
      <c r="V51" s="362"/>
      <c r="AH51" s="204" t="s">
        <v>325</v>
      </c>
    </row>
    <row r="52" spans="1:34" s="6" customFormat="1" ht="15" customHeight="1" x14ac:dyDescent="0.25">
      <c r="D52" s="26" t="s">
        <v>28</v>
      </c>
      <c r="E52" s="47"/>
      <c r="F52" s="47"/>
      <c r="G52" s="47"/>
      <c r="H52" s="47"/>
      <c r="I52" s="47"/>
      <c r="J52" s="47"/>
      <c r="K52" s="47"/>
      <c r="L52" s="5"/>
      <c r="P52" s="362"/>
      <c r="Q52" s="362"/>
      <c r="R52" s="362"/>
      <c r="S52" s="362"/>
      <c r="T52" s="362"/>
      <c r="U52" s="362"/>
      <c r="V52" s="362"/>
      <c r="AH52" s="204" t="s">
        <v>280</v>
      </c>
    </row>
    <row r="53" spans="1:34" s="6" customFormat="1" ht="15" customHeight="1" x14ac:dyDescent="0.25">
      <c r="D53" s="5"/>
      <c r="E53" s="48"/>
      <c r="F53" s="48"/>
      <c r="G53" s="48"/>
      <c r="H53" s="48"/>
      <c r="I53" s="48"/>
      <c r="J53" s="48"/>
      <c r="K53" s="48"/>
      <c r="L53" s="5"/>
      <c r="P53" s="363" t="str">
        <f>UPPER(E50)</f>
        <v>MARIHOT GUSTAFA S.</v>
      </c>
      <c r="Q53" s="362"/>
      <c r="R53" s="362"/>
      <c r="S53" s="362"/>
      <c r="T53" s="363" t="str">
        <f>IF(Schedule!F$22="","",UPPER(Schedule!F$22))</f>
        <v>M. NANANG WAHYU S</v>
      </c>
      <c r="U53" s="362"/>
      <c r="V53" s="362"/>
      <c r="AH53" s="204" t="s">
        <v>316</v>
      </c>
    </row>
    <row r="54" spans="1:34" s="6" customFormat="1" ht="15" customHeight="1" x14ac:dyDescent="0.25">
      <c r="E54" s="48"/>
      <c r="F54" s="48"/>
      <c r="G54" s="48"/>
      <c r="H54" s="48"/>
      <c r="I54" s="48"/>
      <c r="J54" s="48"/>
      <c r="K54" s="48"/>
      <c r="P54" s="361" t="s">
        <v>107</v>
      </c>
      <c r="Q54" s="362"/>
      <c r="R54" s="362"/>
      <c r="S54" s="362"/>
      <c r="T54" s="361" t="s">
        <v>294</v>
      </c>
      <c r="U54" s="362"/>
      <c r="V54" s="362"/>
      <c r="AH54" s="204" t="s">
        <v>326</v>
      </c>
    </row>
    <row r="55" spans="1:34" s="6" customFormat="1" ht="15" customHeight="1" x14ac:dyDescent="0.25">
      <c r="P55" s="364" t="str">
        <f>CONCATENATE("Date : ",TEXT(K12,"[$-409]d mmm yyyy;@"))</f>
        <v>Date : 18 Jun 2025</v>
      </c>
      <c r="Q55" s="362"/>
      <c r="R55" s="364"/>
      <c r="S55" s="362"/>
      <c r="T55" s="364" t="str">
        <f>CONCATENATE("Date : ",TEXT(K12,"[$-409]d mmm yyyy;@"))</f>
        <v>Date : 18 Jun 2025</v>
      </c>
      <c r="U55" s="362"/>
      <c r="V55" s="362"/>
      <c r="AH55" s="204" t="s">
        <v>327</v>
      </c>
    </row>
    <row r="56" spans="1:34" ht="15" customHeight="1" x14ac:dyDescent="0.25">
      <c r="AH56" s="204" t="s">
        <v>281</v>
      </c>
    </row>
    <row r="57" spans="1:34" ht="15" customHeight="1" x14ac:dyDescent="0.25">
      <c r="AH57" s="204" t="s">
        <v>277</v>
      </c>
    </row>
    <row r="58" spans="1:34" ht="15" customHeight="1" x14ac:dyDescent="0.25">
      <c r="AH58" s="204" t="s">
        <v>328</v>
      </c>
    </row>
    <row r="59" spans="1:34" ht="15" customHeight="1" x14ac:dyDescent="0.25">
      <c r="AH59" s="204" t="s">
        <v>329</v>
      </c>
    </row>
    <row r="60" spans="1:34" ht="15" customHeight="1" x14ac:dyDescent="0.25">
      <c r="AH60" s="204" t="s">
        <v>330</v>
      </c>
    </row>
    <row r="61" spans="1:34" ht="15" customHeight="1" x14ac:dyDescent="0.25">
      <c r="AH61" s="204" t="s">
        <v>331</v>
      </c>
    </row>
    <row r="62" spans="1:34" ht="15" customHeight="1" x14ac:dyDescent="0.25">
      <c r="AH62" s="204" t="s">
        <v>332</v>
      </c>
    </row>
    <row r="63" spans="1:34" ht="15" customHeight="1" x14ac:dyDescent="0.25">
      <c r="AH63" s="204" t="s">
        <v>315</v>
      </c>
    </row>
    <row r="64" spans="1:34" ht="15" customHeight="1" x14ac:dyDescent="0.25">
      <c r="AH64" s="204" t="s">
        <v>333</v>
      </c>
    </row>
    <row r="65" spans="34:34" ht="15" customHeight="1" x14ac:dyDescent="0.25">
      <c r="AH65" s="204" t="s">
        <v>310</v>
      </c>
    </row>
    <row r="66" spans="34:34" ht="15" customHeight="1" x14ac:dyDescent="0.25">
      <c r="AH66" s="204" t="s">
        <v>334</v>
      </c>
    </row>
    <row r="67" spans="34:34" ht="15" customHeight="1" x14ac:dyDescent="0.25">
      <c r="AH67" s="204" t="s">
        <v>335</v>
      </c>
    </row>
    <row r="68" spans="34:34" ht="15" customHeight="1" x14ac:dyDescent="0.25">
      <c r="AH68" s="204" t="s">
        <v>336</v>
      </c>
    </row>
    <row r="69" spans="34:34" ht="15" customHeight="1" x14ac:dyDescent="0.25">
      <c r="AH69" s="204" t="s">
        <v>337</v>
      </c>
    </row>
    <row r="70" spans="34:34" ht="15" customHeight="1" x14ac:dyDescent="0.25">
      <c r="AH70" s="204" t="s">
        <v>338</v>
      </c>
    </row>
    <row r="71" spans="34:34" ht="15" customHeight="1" x14ac:dyDescent="0.25">
      <c r="AH71" s="204" t="s">
        <v>339</v>
      </c>
    </row>
    <row r="72" spans="34:34" ht="15" customHeight="1" x14ac:dyDescent="0.25">
      <c r="AH72" s="204" t="s">
        <v>340</v>
      </c>
    </row>
    <row r="85" spans="34:34" ht="0" hidden="1" customHeight="1" x14ac:dyDescent="0.25">
      <c r="AH85" s="6"/>
    </row>
    <row r="86" spans="34:34" ht="0" hidden="1" customHeight="1" x14ac:dyDescent="0.25">
      <c r="AH86" s="6"/>
    </row>
    <row r="87" spans="34:34" ht="0" hidden="1" customHeight="1" x14ac:dyDescent="0.25">
      <c r="AH87" s="6"/>
    </row>
    <row r="88" spans="34:34" ht="0" hidden="1" customHeight="1" x14ac:dyDescent="0.25">
      <c r="AH88" s="6"/>
    </row>
    <row r="89" spans="34:34" ht="0" hidden="1" customHeight="1" x14ac:dyDescent="0.25">
      <c r="AH89" s="6"/>
    </row>
    <row r="90" spans="34:34" ht="0" hidden="1" customHeight="1" x14ac:dyDescent="0.25">
      <c r="AH90" s="6"/>
    </row>
    <row r="91" spans="34:34" ht="0" hidden="1" customHeight="1" x14ac:dyDescent="0.25">
      <c r="AH91" s="6"/>
    </row>
    <row r="92" spans="34:34" ht="0" hidden="1" customHeight="1" x14ac:dyDescent="0.25">
      <c r="AH92" s="6"/>
    </row>
    <row r="93" spans="34:34" ht="0" hidden="1" customHeight="1" x14ac:dyDescent="0.25">
      <c r="AH93" s="6"/>
    </row>
    <row r="94" spans="34:34" ht="0" hidden="1" customHeight="1" x14ac:dyDescent="0.25">
      <c r="AH94" s="6"/>
    </row>
  </sheetData>
  <sheetProtection algorithmName="SHA-512" hashValue="i5lL0Gvcz+UmXSPgEJtL5VG2BsRIP103AKgeQSeQDVvV+P8OSNihV1bwReplpv2URMDn1RNJQBweiMkrcxIQmg==" saltValue="3j5S6krjLffIahY7Ly25sg==" spinCount="100000" sheet="1" objects="1" scenarios="1" formatColumns="0" formatRows="0" insertColumns="0" insertRows="0" sort="0" autoFilter="0" pivotTables="0"/>
  <mergeCells count="69">
    <mergeCell ref="S37:V37"/>
    <mergeCell ref="S38:V38"/>
    <mergeCell ref="S39:V39"/>
    <mergeCell ref="S40:V40"/>
    <mergeCell ref="S41:V42"/>
    <mergeCell ref="S36:V36"/>
    <mergeCell ref="S25:V25"/>
    <mergeCell ref="S26:V26"/>
    <mergeCell ref="S27:V27"/>
    <mergeCell ref="S28:V28"/>
    <mergeCell ref="S29:V29"/>
    <mergeCell ref="S30:V30"/>
    <mergeCell ref="S31:V31"/>
    <mergeCell ref="S32:V32"/>
    <mergeCell ref="S33:V33"/>
    <mergeCell ref="S34:V34"/>
    <mergeCell ref="S35:V35"/>
    <mergeCell ref="S19:V19"/>
    <mergeCell ref="S20:V20"/>
    <mergeCell ref="S21:V21"/>
    <mergeCell ref="S22:V22"/>
    <mergeCell ref="S23:V23"/>
    <mergeCell ref="S24:V24"/>
    <mergeCell ref="BA14:BA15"/>
    <mergeCell ref="BB14:BB15"/>
    <mergeCell ref="BC14:BC15"/>
    <mergeCell ref="S16:V16"/>
    <mergeCell ref="S17:V17"/>
    <mergeCell ref="S18:V18"/>
    <mergeCell ref="AU14:AU15"/>
    <mergeCell ref="AV14:AV15"/>
    <mergeCell ref="AW14:AW15"/>
    <mergeCell ref="AX14:AX15"/>
    <mergeCell ref="AY14:AY15"/>
    <mergeCell ref="AZ14:AZ15"/>
    <mergeCell ref="AO14:AO15"/>
    <mergeCell ref="AP14:AP15"/>
    <mergeCell ref="AQ14:AQ15"/>
    <mergeCell ref="AR14:AR15"/>
    <mergeCell ref="AS14:AS15"/>
    <mergeCell ref="AT14:AT15"/>
    <mergeCell ref="AD14:AD15"/>
    <mergeCell ref="AJ14:AJ15"/>
    <mergeCell ref="AK14:AK15"/>
    <mergeCell ref="AL14:AL15"/>
    <mergeCell ref="AM14:AM15"/>
    <mergeCell ref="AN14:AN15"/>
    <mergeCell ref="Y14:AC14"/>
    <mergeCell ref="H13:H14"/>
    <mergeCell ref="I13:I14"/>
    <mergeCell ref="J13:J14"/>
    <mergeCell ref="K13:K14"/>
    <mergeCell ref="L13:L14"/>
    <mergeCell ref="M13:N13"/>
    <mergeCell ref="Q13:Q14"/>
    <mergeCell ref="R13:R14"/>
    <mergeCell ref="S13:V15"/>
    <mergeCell ref="O13:O14"/>
    <mergeCell ref="P13:P14"/>
    <mergeCell ref="A10:V10"/>
    <mergeCell ref="A11:V11"/>
    <mergeCell ref="K12:L12"/>
    <mergeCell ref="A13:A15"/>
    <mergeCell ref="B13:B14"/>
    <mergeCell ref="C13:C14"/>
    <mergeCell ref="D13:D14"/>
    <mergeCell ref="E13:E14"/>
    <mergeCell ref="F13:F14"/>
    <mergeCell ref="G13:G14"/>
  </mergeCells>
  <conditionalFormatting sqref="I47">
    <cfRule type="cellIs" dxfId="66" priority="5" operator="lessThan">
      <formula>0</formula>
    </cfRule>
  </conditionalFormatting>
  <conditionalFormatting sqref="Y16:Y39">
    <cfRule type="containsText" dxfId="65" priority="3" operator="containsText" text="STBY">
      <formula>NOT(ISERROR(SEARCH("STBY",Y16)))</formula>
    </cfRule>
    <cfRule type="containsText" dxfId="64" priority="4" operator="containsText" text="SD">
      <formula>NOT(ISERROR(SEARCH("SD",Y16)))</formula>
    </cfRule>
  </conditionalFormatting>
  <conditionalFormatting sqref="B16:B39 D16:R39">
    <cfRule type="expression" dxfId="63" priority="2">
      <formula>ISTEXT(B16)</formula>
    </cfRule>
  </conditionalFormatting>
  <conditionalFormatting sqref="C16:C39">
    <cfRule type="expression" dxfId="62" priority="1">
      <formula>ISTEXT(C16)</formula>
    </cfRule>
  </conditionalFormatting>
  <dataValidations count="2">
    <dataValidation type="list" allowBlank="1" showInputMessage="1" showErrorMessage="1" sqref="Y16:Y39" xr:uid="{0F06BFC4-8FA5-4B47-909B-D6E9F91F91AC}">
      <formula1>"SD,STBY"</formula1>
    </dataValidation>
    <dataValidation type="list" allowBlank="1" showInputMessage="1" sqref="AD16:AD39" xr:uid="{9168880F-9ED0-40A1-9204-2F4464E1C617}">
      <formula1>$AH$15:$AH$72</formula1>
    </dataValidation>
  </dataValidations>
  <printOptions horizontalCentered="1"/>
  <pageMargins left="0.39370078740157483" right="0.39370078740157483" top="0.59055118110236227" bottom="0.39370078740157483" header="0.31496062992125984" footer="0.31496062992125984"/>
  <pageSetup paperSize="9" scale="57" orientation="landscape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9A2E7-242E-42F1-A41D-314DFBBB2995}">
  <sheetPr codeName="N19">
    <pageSetUpPr fitToPage="1"/>
  </sheetPr>
  <dimension ref="A1:BC94"/>
  <sheetViews>
    <sheetView topLeftCell="A16" zoomScale="85" zoomScaleNormal="85" workbookViewId="0">
      <selection activeCell="L36" sqref="L36"/>
    </sheetView>
  </sheetViews>
  <sheetFormatPr defaultColWidth="0" defaultRowHeight="0" customHeight="1" zeroHeight="1" x14ac:dyDescent="0.25"/>
  <cols>
    <col min="1" max="1" width="10.7109375" style="7" customWidth="1"/>
    <col min="2" max="3" width="10.7109375" style="7" hidden="1" customWidth="1"/>
    <col min="4" max="14" width="10.7109375" style="7" customWidth="1"/>
    <col min="15" max="17" width="11.7109375" style="7" customWidth="1"/>
    <col min="18" max="18" width="10.7109375" style="7" hidden="1" customWidth="1"/>
    <col min="19" max="22" width="10.7109375" style="7" customWidth="1"/>
    <col min="23" max="23" width="2.7109375" style="7" customWidth="1"/>
    <col min="24" max="29" width="10.7109375" style="7" customWidth="1"/>
    <col min="30" max="30" width="30.7109375" style="7" customWidth="1"/>
    <col min="31" max="33" width="11.7109375" style="7" customWidth="1"/>
    <col min="34" max="34" width="30.7109375" style="7" customWidth="1"/>
    <col min="35" max="35" width="2.7109375" style="7" hidden="1" customWidth="1"/>
    <col min="36" max="55" width="11.7109375" style="7" hidden="1" customWidth="1"/>
    <col min="56" max="16384" width="9.140625" style="7" hidden="1"/>
  </cols>
  <sheetData>
    <row r="1" spans="1:55" ht="15" customHeight="1" x14ac:dyDescent="0.25">
      <c r="A1" s="7" t="s">
        <v>16</v>
      </c>
      <c r="D1" s="11" t="s">
        <v>85</v>
      </c>
      <c r="J1" s="7" t="str">
        <f>IF(MR!U13="Yes","PRINT","No")</f>
        <v>PRINT</v>
      </c>
      <c r="M1" s="191"/>
      <c r="N1" s="191"/>
    </row>
    <row r="2" spans="1:55" ht="15" customHeight="1" thickBot="1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192"/>
      <c r="M2" s="4"/>
      <c r="N2" s="4"/>
      <c r="O2" s="4"/>
      <c r="P2" s="4"/>
      <c r="Q2" s="4"/>
      <c r="R2" s="4"/>
      <c r="S2" s="8"/>
      <c r="T2" s="8"/>
      <c r="U2" s="8"/>
      <c r="V2" s="8"/>
      <c r="X2" s="8"/>
      <c r="Y2" s="8"/>
      <c r="Z2" s="8"/>
      <c r="AA2" s="8"/>
      <c r="AB2" s="8"/>
      <c r="AC2" s="8"/>
      <c r="AD2" s="8"/>
      <c r="AE2" s="8"/>
    </row>
    <row r="3" spans="1:55" ht="15" customHeight="1" x14ac:dyDescent="0.2">
      <c r="A3" s="31"/>
      <c r="B3" s="28"/>
      <c r="C3" s="28"/>
      <c r="D3" s="28"/>
      <c r="E3" s="28"/>
      <c r="F3" s="13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2"/>
      <c r="T3" s="22"/>
      <c r="U3" s="22"/>
      <c r="V3" s="23"/>
      <c r="X3" s="8"/>
      <c r="Y3" s="8"/>
      <c r="Z3" s="8"/>
      <c r="AA3" s="8"/>
      <c r="AB3" s="8"/>
      <c r="AC3" s="8"/>
      <c r="AD3" s="8"/>
      <c r="AE3" s="8"/>
    </row>
    <row r="4" spans="1:55" ht="30" customHeight="1" x14ac:dyDescent="0.25">
      <c r="A4" s="30"/>
      <c r="B4" s="1"/>
      <c r="C4" s="1"/>
      <c r="D4" s="1"/>
      <c r="E4" s="3"/>
      <c r="F4" s="63" t="s">
        <v>210</v>
      </c>
      <c r="G4" s="1"/>
      <c r="H4" s="1"/>
      <c r="I4" s="3"/>
      <c r="J4" s="3"/>
      <c r="K4" s="3"/>
      <c r="L4" s="3"/>
      <c r="M4" s="3"/>
      <c r="N4" s="3"/>
      <c r="O4" s="3"/>
      <c r="P4" s="3"/>
      <c r="Q4" s="3"/>
      <c r="R4" s="3"/>
      <c r="S4" s="1"/>
      <c r="T4" s="1"/>
      <c r="U4" s="1"/>
      <c r="V4" s="2"/>
      <c r="X4" s="5"/>
      <c r="Y4" s="5"/>
      <c r="Z4" s="5"/>
      <c r="AA4" s="5"/>
      <c r="AB4" s="5"/>
      <c r="AC4" s="5"/>
      <c r="AD4" s="5"/>
      <c r="AE4" s="5"/>
    </row>
    <row r="5" spans="1:55" ht="15" customHeight="1" x14ac:dyDescent="0.2">
      <c r="A5" s="32"/>
      <c r="B5" s="33"/>
      <c r="C5" s="33"/>
      <c r="D5" s="12"/>
      <c r="E5" s="3"/>
      <c r="F5" s="10" t="s">
        <v>129</v>
      </c>
      <c r="G5" s="1"/>
      <c r="H5" s="1"/>
      <c r="I5" s="3"/>
      <c r="J5" s="3"/>
      <c r="K5" s="3"/>
      <c r="L5" s="3"/>
      <c r="M5" s="3"/>
      <c r="N5" s="3"/>
      <c r="O5" s="3"/>
      <c r="P5" s="3"/>
      <c r="Q5" s="3"/>
      <c r="R5" s="3"/>
      <c r="S5" s="12"/>
      <c r="T5" s="12"/>
      <c r="U5" s="12"/>
      <c r="V5" s="14"/>
      <c r="X5" s="8"/>
      <c r="Y5" s="8"/>
      <c r="Z5" s="8"/>
      <c r="AA5" s="8"/>
      <c r="AB5" s="8"/>
      <c r="AC5" s="8"/>
      <c r="AD5" s="8"/>
      <c r="AE5" s="8"/>
      <c r="AJ5" s="193" t="s">
        <v>184</v>
      </c>
      <c r="AK5" s="194">
        <f>'V Calc'!B1</f>
        <v>500</v>
      </c>
      <c r="AL5" s="124"/>
    </row>
    <row r="6" spans="1:55" ht="15" customHeight="1" x14ac:dyDescent="0.2">
      <c r="A6" s="32"/>
      <c r="B6" s="33"/>
      <c r="C6" s="33"/>
      <c r="D6" s="12"/>
      <c r="E6" s="3"/>
      <c r="F6" s="10" t="s">
        <v>132</v>
      </c>
      <c r="G6" s="1"/>
      <c r="H6" s="1"/>
      <c r="I6" s="3"/>
      <c r="J6" s="3"/>
      <c r="K6" s="3"/>
      <c r="L6" s="3"/>
      <c r="M6" s="3"/>
      <c r="N6" s="3"/>
      <c r="O6" s="3"/>
      <c r="P6" s="3"/>
      <c r="Q6" s="3"/>
      <c r="R6" s="3"/>
      <c r="S6" s="12"/>
      <c r="T6" s="12"/>
      <c r="U6" s="12"/>
      <c r="V6" s="14"/>
      <c r="X6" s="8"/>
      <c r="Y6" s="8"/>
      <c r="Z6" s="8"/>
      <c r="AA6" s="8"/>
      <c r="AB6" s="8"/>
      <c r="AC6" s="8"/>
      <c r="AD6" s="8"/>
      <c r="AE6" s="8"/>
      <c r="AJ6" s="193" t="s">
        <v>185</v>
      </c>
      <c r="AK6" s="194">
        <f>'V Calc'!B2</f>
        <v>100</v>
      </c>
      <c r="AL6" s="124"/>
    </row>
    <row r="7" spans="1:55" ht="15" customHeight="1" x14ac:dyDescent="0.2">
      <c r="A7" s="32"/>
      <c r="B7" s="33"/>
      <c r="C7" s="33"/>
      <c r="D7" s="12"/>
      <c r="E7" s="3"/>
      <c r="F7" s="10" t="s">
        <v>130</v>
      </c>
      <c r="G7" s="1"/>
      <c r="H7" s="1"/>
      <c r="I7" s="3"/>
      <c r="J7" s="3"/>
      <c r="K7" s="3"/>
      <c r="L7" s="3"/>
      <c r="M7" s="3"/>
      <c r="N7" s="3"/>
      <c r="O7" s="3"/>
      <c r="P7" s="3"/>
      <c r="Q7" s="3"/>
      <c r="R7" s="3"/>
      <c r="S7" s="12"/>
      <c r="T7" s="12"/>
      <c r="U7" s="12"/>
      <c r="V7" s="14"/>
      <c r="X7" s="8"/>
      <c r="Y7" s="8"/>
      <c r="Z7" s="8"/>
      <c r="AA7" s="8"/>
      <c r="AB7" s="8"/>
      <c r="AC7" s="8"/>
      <c r="AD7" s="8"/>
      <c r="AE7" s="8"/>
      <c r="AJ7" s="193" t="s">
        <v>186</v>
      </c>
      <c r="AK7" s="195">
        <f>'V Calc'!B3</f>
        <v>2</v>
      </c>
      <c r="AL7" s="124"/>
    </row>
    <row r="8" spans="1:55" ht="15" customHeight="1" x14ac:dyDescent="0.2">
      <c r="A8" s="32"/>
      <c r="B8" s="33"/>
      <c r="C8" s="33"/>
      <c r="D8" s="12"/>
      <c r="E8" s="3"/>
      <c r="F8" s="10" t="s">
        <v>131</v>
      </c>
      <c r="G8" s="62"/>
      <c r="H8" s="62"/>
      <c r="I8" s="3"/>
      <c r="J8" s="3"/>
      <c r="K8" s="3"/>
      <c r="L8" s="3"/>
      <c r="M8" s="3"/>
      <c r="N8" s="3"/>
      <c r="O8" s="3"/>
      <c r="P8" s="3"/>
      <c r="Q8" s="3"/>
      <c r="R8" s="3"/>
      <c r="S8" s="12"/>
      <c r="T8" s="12"/>
      <c r="U8" s="12"/>
      <c r="V8" s="14"/>
      <c r="X8" s="8"/>
      <c r="Y8" s="8"/>
      <c r="Z8" s="8"/>
      <c r="AA8" s="8"/>
      <c r="AB8" s="8"/>
      <c r="AC8" s="8"/>
      <c r="AD8" s="8"/>
      <c r="AE8" s="8"/>
      <c r="AJ8" s="193" t="s">
        <v>187</v>
      </c>
      <c r="AK8" s="195">
        <f>'V Calc'!B4</f>
        <v>0.875</v>
      </c>
      <c r="AL8" s="124"/>
    </row>
    <row r="9" spans="1:55" ht="15" customHeight="1" thickBot="1" x14ac:dyDescent="0.25">
      <c r="A9" s="34"/>
      <c r="B9" s="29"/>
      <c r="C9" s="29"/>
      <c r="D9" s="29"/>
      <c r="E9" s="29"/>
      <c r="F9" s="15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16"/>
      <c r="T9" s="16"/>
      <c r="U9" s="16"/>
      <c r="V9" s="17"/>
      <c r="X9" s="8"/>
      <c r="Y9" s="8"/>
      <c r="Z9" s="8"/>
      <c r="AA9" s="8"/>
      <c r="AB9" s="8"/>
      <c r="AC9" s="8"/>
      <c r="AD9" s="8"/>
      <c r="AE9" s="8"/>
      <c r="AJ9" s="196" t="s">
        <v>188</v>
      </c>
      <c r="AK9" s="197">
        <f>'V Calc'!B5</f>
        <v>158.47</v>
      </c>
      <c r="AL9" s="198"/>
    </row>
    <row r="10" spans="1:55" s="9" customFormat="1" ht="30" customHeight="1" x14ac:dyDescent="0.2">
      <c r="A10" s="513" t="s">
        <v>20</v>
      </c>
      <c r="B10" s="514"/>
      <c r="C10" s="514"/>
      <c r="D10" s="514"/>
      <c r="E10" s="514"/>
      <c r="F10" s="514"/>
      <c r="G10" s="514"/>
      <c r="H10" s="514"/>
      <c r="I10" s="514"/>
      <c r="J10" s="514"/>
      <c r="K10" s="514"/>
      <c r="L10" s="514"/>
      <c r="M10" s="514"/>
      <c r="N10" s="514"/>
      <c r="O10" s="514"/>
      <c r="P10" s="514"/>
      <c r="Q10" s="514"/>
      <c r="R10" s="514"/>
      <c r="S10" s="514"/>
      <c r="T10" s="514"/>
      <c r="U10" s="514"/>
      <c r="V10" s="515"/>
      <c r="X10" s="96"/>
      <c r="Y10" s="96"/>
      <c r="Z10" s="96"/>
      <c r="AA10" s="96"/>
      <c r="AB10" s="96"/>
      <c r="AC10" s="96"/>
      <c r="AJ10" s="193" t="s">
        <v>189</v>
      </c>
      <c r="AK10" s="199">
        <f>'V Calc'!B6</f>
        <v>0.63607464142166403</v>
      </c>
      <c r="AL10" s="198" t="s">
        <v>190</v>
      </c>
    </row>
    <row r="11" spans="1:55" s="9" customFormat="1" ht="20.100000000000001" customHeight="1" thickBot="1" x14ac:dyDescent="0.25">
      <c r="A11" s="516" t="s">
        <v>21</v>
      </c>
      <c r="B11" s="517"/>
      <c r="C11" s="517"/>
      <c r="D11" s="517"/>
      <c r="E11" s="517"/>
      <c r="F11" s="517"/>
      <c r="G11" s="517"/>
      <c r="H11" s="517"/>
      <c r="I11" s="517"/>
      <c r="J11" s="517"/>
      <c r="K11" s="517"/>
      <c r="L11" s="517"/>
      <c r="M11" s="517"/>
      <c r="N11" s="517"/>
      <c r="O11" s="517"/>
      <c r="P11" s="517"/>
      <c r="Q11" s="517"/>
      <c r="R11" s="517"/>
      <c r="S11" s="517"/>
      <c r="T11" s="517"/>
      <c r="U11" s="517"/>
      <c r="V11" s="518"/>
      <c r="X11" s="97"/>
      <c r="Y11" s="97"/>
      <c r="Z11" s="97"/>
      <c r="AA11" s="97"/>
      <c r="AB11" s="97"/>
      <c r="AC11" s="97"/>
    </row>
    <row r="12" spans="1:55" s="6" customFormat="1" ht="30" customHeight="1" thickBot="1" x14ac:dyDescent="0.3">
      <c r="A12" s="18"/>
      <c r="B12" s="20"/>
      <c r="C12" s="20"/>
      <c r="D12" s="19" t="s">
        <v>121</v>
      </c>
      <c r="E12" s="200" t="str">
        <f>'Day 18'!E12</f>
        <v>MPR 632  RFD</v>
      </c>
      <c r="F12" s="35"/>
      <c r="G12" s="19" t="s">
        <v>120</v>
      </c>
      <c r="H12" s="200" t="str">
        <f>IF(Volume!C$22="","",Volume!C$22)</f>
        <v>FP 65354</v>
      </c>
      <c r="I12" s="20"/>
      <c r="J12" s="19" t="s">
        <v>17</v>
      </c>
      <c r="K12" s="505">
        <f>'Day 18'!K12+1</f>
        <v>45827</v>
      </c>
      <c r="L12" s="505"/>
      <c r="M12" s="100"/>
      <c r="N12" s="19" t="s">
        <v>119</v>
      </c>
      <c r="O12" s="200" t="str">
        <f>IF(Volume!D$22="","",Volume!D$22)</f>
        <v>SP. Tambun - Cluster F</v>
      </c>
      <c r="P12" s="20"/>
      <c r="Q12" s="19" t="s">
        <v>122</v>
      </c>
      <c r="S12" s="201">
        <f>IF(Volume!E$22="","",Volume!E$22)</f>
        <v>1.25</v>
      </c>
      <c r="T12" s="20"/>
      <c r="U12" s="19" t="s">
        <v>126</v>
      </c>
      <c r="V12" s="202" t="str">
        <f>IF(Volume!F$22="","",Volume!F$22)</f>
        <v>4/0</v>
      </c>
    </row>
    <row r="13" spans="1:55" ht="30" customHeight="1" thickBot="1" x14ac:dyDescent="0.3">
      <c r="A13" s="502" t="s">
        <v>0</v>
      </c>
      <c r="B13" s="502" t="s">
        <v>213</v>
      </c>
      <c r="C13" s="502" t="s">
        <v>212</v>
      </c>
      <c r="D13" s="502" t="s">
        <v>31</v>
      </c>
      <c r="E13" s="502" t="s">
        <v>32</v>
      </c>
      <c r="F13" s="502" t="s">
        <v>2</v>
      </c>
      <c r="G13" s="502" t="s">
        <v>33</v>
      </c>
      <c r="H13" s="502" t="s">
        <v>35</v>
      </c>
      <c r="I13" s="502" t="s">
        <v>36</v>
      </c>
      <c r="J13" s="502" t="s">
        <v>110</v>
      </c>
      <c r="K13" s="502" t="s">
        <v>15</v>
      </c>
      <c r="L13" s="502" t="s">
        <v>34</v>
      </c>
      <c r="M13" s="502" t="s">
        <v>10</v>
      </c>
      <c r="N13" s="502"/>
      <c r="O13" s="506" t="s">
        <v>300</v>
      </c>
      <c r="P13" s="506" t="s">
        <v>299</v>
      </c>
      <c r="Q13" s="502" t="s">
        <v>7</v>
      </c>
      <c r="R13" s="502" t="s">
        <v>88</v>
      </c>
      <c r="S13" s="502" t="s">
        <v>8</v>
      </c>
      <c r="T13" s="502"/>
      <c r="U13" s="502"/>
      <c r="V13" s="502"/>
      <c r="X13" s="98"/>
      <c r="Y13" s="98"/>
      <c r="Z13" s="98"/>
      <c r="AA13" s="98"/>
      <c r="AB13" s="98"/>
      <c r="AC13" s="98"/>
    </row>
    <row r="14" spans="1:55" ht="30" customHeight="1" x14ac:dyDescent="0.25">
      <c r="A14" s="504"/>
      <c r="B14" s="504"/>
      <c r="C14" s="504"/>
      <c r="D14" s="504"/>
      <c r="E14" s="504"/>
      <c r="F14" s="504"/>
      <c r="G14" s="504"/>
      <c r="H14" s="504"/>
      <c r="I14" s="504"/>
      <c r="J14" s="504"/>
      <c r="K14" s="504"/>
      <c r="L14" s="504"/>
      <c r="M14" s="94" t="s">
        <v>3</v>
      </c>
      <c r="N14" s="94" t="s">
        <v>4</v>
      </c>
      <c r="O14" s="507"/>
      <c r="P14" s="507"/>
      <c r="Q14" s="504"/>
      <c r="R14" s="504"/>
      <c r="S14" s="504"/>
      <c r="T14" s="504"/>
      <c r="U14" s="504"/>
      <c r="V14" s="504"/>
      <c r="Y14" s="502" t="s">
        <v>230</v>
      </c>
      <c r="Z14" s="502"/>
      <c r="AA14" s="502"/>
      <c r="AB14" s="502"/>
      <c r="AC14" s="502"/>
      <c r="AD14" s="502" t="s">
        <v>231</v>
      </c>
      <c r="AH14" s="203" t="s">
        <v>232</v>
      </c>
      <c r="AJ14" s="520" t="s">
        <v>191</v>
      </c>
      <c r="AK14" s="520" t="s">
        <v>192</v>
      </c>
      <c r="AL14" s="520" t="s">
        <v>193</v>
      </c>
      <c r="AM14" s="520" t="s">
        <v>194</v>
      </c>
      <c r="AN14" s="520" t="s">
        <v>195</v>
      </c>
      <c r="AO14" s="506" t="s">
        <v>196</v>
      </c>
      <c r="AP14" s="506" t="s">
        <v>197</v>
      </c>
      <c r="AQ14" s="506" t="s">
        <v>198</v>
      </c>
      <c r="AR14" s="506" t="s">
        <v>188</v>
      </c>
      <c r="AS14" s="506" t="s">
        <v>199</v>
      </c>
      <c r="AT14" s="506" t="s">
        <v>200</v>
      </c>
      <c r="AU14" s="506" t="s">
        <v>201</v>
      </c>
      <c r="AV14" s="506" t="s">
        <v>202</v>
      </c>
      <c r="AW14" s="506" t="s">
        <v>203</v>
      </c>
      <c r="AX14" s="506" t="s">
        <v>204</v>
      </c>
      <c r="AY14" s="523" t="s">
        <v>205</v>
      </c>
      <c r="AZ14" s="523" t="s">
        <v>206</v>
      </c>
      <c r="BA14" s="523" t="s">
        <v>207</v>
      </c>
      <c r="BB14" s="523" t="s">
        <v>208</v>
      </c>
      <c r="BC14" s="506" t="s">
        <v>197</v>
      </c>
    </row>
    <row r="15" spans="1:55" ht="20.100000000000001" customHeight="1" thickBot="1" x14ac:dyDescent="0.3">
      <c r="A15" s="503"/>
      <c r="B15" s="95" t="s">
        <v>1</v>
      </c>
      <c r="C15" s="95" t="s">
        <v>1</v>
      </c>
      <c r="D15" s="95" t="s">
        <v>1</v>
      </c>
      <c r="E15" s="95" t="s">
        <v>1</v>
      </c>
      <c r="F15" s="95" t="s">
        <v>140</v>
      </c>
      <c r="G15" s="95" t="s">
        <v>1</v>
      </c>
      <c r="H15" s="95" t="s">
        <v>1</v>
      </c>
      <c r="I15" s="95" t="s">
        <v>1</v>
      </c>
      <c r="J15" s="95" t="s">
        <v>18</v>
      </c>
      <c r="K15" s="95" t="s">
        <v>9</v>
      </c>
      <c r="L15" s="95" t="s">
        <v>5</v>
      </c>
      <c r="M15" s="95" t="s">
        <v>5</v>
      </c>
      <c r="N15" s="95" t="s">
        <v>5</v>
      </c>
      <c r="O15" s="95" t="s">
        <v>1</v>
      </c>
      <c r="P15" s="95" t="s">
        <v>14</v>
      </c>
      <c r="Q15" s="95" t="str">
        <f>IF(MR!G17="MSCF","MSCFD","MMSCFD")</f>
        <v>MSCFD</v>
      </c>
      <c r="R15" s="95" t="str">
        <f>MR!L17</f>
        <v>BPD</v>
      </c>
      <c r="S15" s="503"/>
      <c r="T15" s="503"/>
      <c r="U15" s="503"/>
      <c r="V15" s="503"/>
      <c r="X15" s="365"/>
      <c r="Y15" s="95" t="s">
        <v>123</v>
      </c>
      <c r="Z15" s="95" t="s">
        <v>124</v>
      </c>
      <c r="AA15" s="95" t="s">
        <v>125</v>
      </c>
      <c r="AB15" s="95" t="s">
        <v>51</v>
      </c>
      <c r="AC15" s="95" t="s">
        <v>48</v>
      </c>
      <c r="AD15" s="503"/>
      <c r="AH15" s="204" t="s">
        <v>228</v>
      </c>
      <c r="AJ15" s="521"/>
      <c r="AK15" s="521"/>
      <c r="AL15" s="521"/>
      <c r="AM15" s="521"/>
      <c r="AN15" s="521"/>
      <c r="AO15" s="522"/>
      <c r="AP15" s="522"/>
      <c r="AQ15" s="522"/>
      <c r="AR15" s="522"/>
      <c r="AS15" s="522"/>
      <c r="AT15" s="522"/>
      <c r="AU15" s="522"/>
      <c r="AV15" s="522"/>
      <c r="AW15" s="522"/>
      <c r="AX15" s="522"/>
      <c r="AY15" s="524"/>
      <c r="AZ15" s="524"/>
      <c r="BA15" s="524"/>
      <c r="BB15" s="524"/>
      <c r="BC15" s="522"/>
    </row>
    <row r="16" spans="1:55" ht="20.100000000000001" customHeight="1" x14ac:dyDescent="0.2">
      <c r="A16" s="44">
        <v>4.1666666666666664E-2</v>
      </c>
      <c r="B16" s="450"/>
      <c r="C16" s="450"/>
      <c r="D16" s="450">
        <v>7.2</v>
      </c>
      <c r="E16" s="450">
        <v>58.6</v>
      </c>
      <c r="F16" s="40">
        <v>1930</v>
      </c>
      <c r="G16" s="36">
        <v>-5.6</v>
      </c>
      <c r="H16" s="36">
        <v>72.400000000000006</v>
      </c>
      <c r="I16" s="36">
        <v>22.3</v>
      </c>
      <c r="J16" s="40">
        <v>512</v>
      </c>
      <c r="K16" s="36">
        <v>13</v>
      </c>
      <c r="L16" s="450">
        <v>135</v>
      </c>
      <c r="M16" s="450">
        <v>222</v>
      </c>
      <c r="N16" s="450">
        <v>90</v>
      </c>
      <c r="O16" s="352">
        <v>45</v>
      </c>
      <c r="P16" s="352">
        <v>13</v>
      </c>
      <c r="Q16" s="352">
        <v>248.28</v>
      </c>
      <c r="R16" s="36"/>
      <c r="S16" s="519" t="str">
        <f t="shared" ref="S16:S32" si="0">IF(Z16="",IF(AD16="","",AD16),CONCATENATE(TEXT(Z16,"[hh]:mm"),IF(AA16="",""," - "&amp;TEXT(AA16,"[hh]:mm")),IF(Y16="",""," "&amp;Y16&amp;"/")," "&amp;AD16))</f>
        <v/>
      </c>
      <c r="T16" s="519"/>
      <c r="U16" s="519"/>
      <c r="V16" s="519"/>
      <c r="X16" s="44">
        <v>4.1666666666666664E-2</v>
      </c>
      <c r="Y16" s="105"/>
      <c r="Z16" s="101"/>
      <c r="AA16" s="101"/>
      <c r="AB16" s="44" t="str">
        <f>IF(Y16="STBY",AA16-Z16,"")</f>
        <v/>
      </c>
      <c r="AC16" s="44" t="str">
        <f t="shared" ref="AC16:AC39" si="1">IF(Y16="SD",AA16-Z16,"")</f>
        <v/>
      </c>
      <c r="AD16" s="355"/>
      <c r="AE16" s="9" t="str">
        <f>IF(S16="","",IF(COUNTA(Z16:$Z$39)=1,IF(COUNTA(AD16:$AD$39)=1,""," ; "),IF(COUNTA(AD16:$AD$39)=1,IF(Z16="",""," ; ")," ; ")))</f>
        <v/>
      </c>
      <c r="AF16" s="9" t="str">
        <f t="shared" ref="AF16:AF39" si="2">CONCATENATE(S16,AE16)</f>
        <v/>
      </c>
      <c r="AG16" s="90" t="str">
        <f t="shared" ref="AG16:AG39" si="3">IF(AND(COUNTBLANK(N16:P16)&lt;3,Q16=""),"CEK : Data Flowrate","")</f>
        <v/>
      </c>
      <c r="AH16" s="204" t="s">
        <v>229</v>
      </c>
      <c r="AJ16" s="205">
        <f>AK5</f>
        <v>500</v>
      </c>
      <c r="AK16" s="205">
        <f>AK6</f>
        <v>100</v>
      </c>
      <c r="AL16" s="206">
        <f>AK7</f>
        <v>2</v>
      </c>
      <c r="AM16" s="207">
        <f>AK8</f>
        <v>0.875</v>
      </c>
      <c r="AN16" s="208">
        <f>AK10</f>
        <v>0.63607464142166403</v>
      </c>
      <c r="AO16" s="209">
        <f t="shared" ref="AO16:AO39" si="4">T16^2*AJ16/100-14.7</f>
        <v>-14.7</v>
      </c>
      <c r="AP16" s="210">
        <f t="shared" ref="AP16:AP39" si="5">IF(AO16&lt;100,1,BC16)</f>
        <v>1</v>
      </c>
      <c r="AQ16" s="210">
        <f t="shared" ref="AQ16:AQ39" si="6">(1/AP16)^0.5</f>
        <v>1</v>
      </c>
      <c r="AR16" s="52">
        <f>AK9</f>
        <v>158.47</v>
      </c>
      <c r="AS16" s="210">
        <f t="shared" ref="AS16:AS39" si="7">(520/(460+N16))^0.5</f>
        <v>0.9723448696087954</v>
      </c>
      <c r="AT16" s="210">
        <f t="shared" ref="AT16:AT39" si="8">(1/AN16)^0.5</f>
        <v>1.2538510821608391</v>
      </c>
      <c r="AU16" s="210">
        <f t="shared" ref="AU16:AU39" si="9">0.01*(AJ16*AK16)^0.5</f>
        <v>2.2360679774997898</v>
      </c>
      <c r="AV16" s="211">
        <f t="shared" ref="AV16:AV39" si="10">0.024*AQ16*AR16*AS16*AT16*AU16</f>
        <v>10.368348541764712</v>
      </c>
      <c r="AW16" s="210">
        <f t="shared" ref="AW16:AW39" si="11">(AO16+14.7)/(697.2-43*AN16)</f>
        <v>0</v>
      </c>
      <c r="AX16" s="212">
        <f t="shared" ref="AX16:AX39" si="12">(N16+460)/(315.1*AN16+170.4)</f>
        <v>1.4831709199797398</v>
      </c>
      <c r="AY16" s="210">
        <f t="shared" ref="AY16:AY39" si="13">0.3379*LN(LN(AX16))+1.091</f>
        <v>0.77643477842613629</v>
      </c>
      <c r="AZ16" s="211">
        <f t="shared" ref="AZ16:AZ39" si="14">21.46*AY16-11.9*AY16^2-5.9</f>
        <v>3.5883638597441294</v>
      </c>
      <c r="BA16" s="210">
        <f t="shared" ref="BA16:BA39" si="15">AW16/AZ16</f>
        <v>0</v>
      </c>
      <c r="BB16" s="210">
        <f t="shared" ref="BB16:BB39" si="16">(1.1+0.26*AX16+(1.04-1.42*AX16)*BA16)*2.718^BA16/AX16</f>
        <v>1.0016542390239327</v>
      </c>
      <c r="BC16" s="210">
        <f t="shared" ref="BC16:BC39" si="17">1+(AY16-1)*SIN((90*BA16)/57.29578)^BB16</f>
        <v>1</v>
      </c>
    </row>
    <row r="17" spans="1:55" ht="20.100000000000001" customHeight="1" x14ac:dyDescent="0.2">
      <c r="A17" s="45">
        <v>8.3333333333333301E-2</v>
      </c>
      <c r="B17" s="451"/>
      <c r="C17" s="451"/>
      <c r="D17" s="451">
        <v>6.6</v>
      </c>
      <c r="E17" s="451">
        <v>54.9</v>
      </c>
      <c r="F17" s="41">
        <v>1922</v>
      </c>
      <c r="G17" s="37">
        <v>-5.6</v>
      </c>
      <c r="H17" s="37">
        <v>71.599999999999994</v>
      </c>
      <c r="I17" s="37">
        <v>22.7</v>
      </c>
      <c r="J17" s="41">
        <v>513</v>
      </c>
      <c r="K17" s="37">
        <v>13</v>
      </c>
      <c r="L17" s="451">
        <v>130</v>
      </c>
      <c r="M17" s="451">
        <v>222</v>
      </c>
      <c r="N17" s="451">
        <v>90</v>
      </c>
      <c r="O17" s="353">
        <v>45</v>
      </c>
      <c r="P17" s="353">
        <v>13</v>
      </c>
      <c r="Q17" s="353">
        <v>248.28</v>
      </c>
      <c r="R17" s="37"/>
      <c r="S17" s="508" t="str">
        <f t="shared" si="0"/>
        <v/>
      </c>
      <c r="T17" s="508"/>
      <c r="U17" s="508"/>
      <c r="V17" s="508"/>
      <c r="X17" s="45">
        <v>8.3333333333333301E-2</v>
      </c>
      <c r="Y17" s="106"/>
      <c r="Z17" s="102"/>
      <c r="AA17" s="102"/>
      <c r="AB17" s="45" t="str">
        <f t="shared" ref="AB17:AB39" si="18">IF(Y17="STBY",AA17-Z17,"")</f>
        <v/>
      </c>
      <c r="AC17" s="45" t="str">
        <f t="shared" si="1"/>
        <v/>
      </c>
      <c r="AD17" s="81"/>
      <c r="AE17" s="9" t="str">
        <f>IF(S17="","",IF(COUNTA(Z17:$Z$39)=1,IF(COUNTA(AD17:$AD$39)=1,""," ; "),IF(COUNTA(AD17:$AD$39)=1,IF(Z17="",""," ; ")," ; ")))</f>
        <v/>
      </c>
      <c r="AF17" s="9" t="str">
        <f t="shared" si="2"/>
        <v/>
      </c>
      <c r="AG17" s="90" t="str">
        <f t="shared" si="3"/>
        <v/>
      </c>
      <c r="AH17" s="204" t="s">
        <v>289</v>
      </c>
      <c r="AJ17" s="206">
        <f t="shared" ref="AJ17:AN32" si="19">AJ16</f>
        <v>500</v>
      </c>
      <c r="AK17" s="206">
        <f t="shared" si="19"/>
        <v>100</v>
      </c>
      <c r="AL17" s="206">
        <f>AL16</f>
        <v>2</v>
      </c>
      <c r="AM17" s="213">
        <f>AM16</f>
        <v>0.875</v>
      </c>
      <c r="AN17" s="214">
        <f>AN16</f>
        <v>0.63607464142166403</v>
      </c>
      <c r="AO17" s="215">
        <f t="shared" si="4"/>
        <v>-14.7</v>
      </c>
      <c r="AP17" s="216">
        <f t="shared" si="5"/>
        <v>1</v>
      </c>
      <c r="AQ17" s="216">
        <f t="shared" si="6"/>
        <v>1</v>
      </c>
      <c r="AR17" s="215">
        <f>AR16</f>
        <v>158.47</v>
      </c>
      <c r="AS17" s="216">
        <f t="shared" si="7"/>
        <v>0.9723448696087954</v>
      </c>
      <c r="AT17" s="216">
        <f t="shared" si="8"/>
        <v>1.2538510821608391</v>
      </c>
      <c r="AU17" s="216">
        <f t="shared" si="9"/>
        <v>2.2360679774997898</v>
      </c>
      <c r="AV17" s="217">
        <f t="shared" si="10"/>
        <v>10.368348541764712</v>
      </c>
      <c r="AW17" s="216">
        <f t="shared" si="11"/>
        <v>0</v>
      </c>
      <c r="AX17" s="218">
        <f t="shared" si="12"/>
        <v>1.4831709199797398</v>
      </c>
      <c r="AY17" s="216">
        <f t="shared" si="13"/>
        <v>0.77643477842613629</v>
      </c>
      <c r="AZ17" s="217">
        <f t="shared" si="14"/>
        <v>3.5883638597441294</v>
      </c>
      <c r="BA17" s="216">
        <f t="shared" si="15"/>
        <v>0</v>
      </c>
      <c r="BB17" s="216">
        <f t="shared" si="16"/>
        <v>1.0016542390239327</v>
      </c>
      <c r="BC17" s="216">
        <f t="shared" si="17"/>
        <v>1</v>
      </c>
    </row>
    <row r="18" spans="1:55" ht="20.100000000000001" customHeight="1" x14ac:dyDescent="0.2">
      <c r="A18" s="45">
        <v>0.125</v>
      </c>
      <c r="B18" s="451"/>
      <c r="C18" s="451"/>
      <c r="D18" s="451">
        <v>5.2</v>
      </c>
      <c r="E18" s="451">
        <v>69.7</v>
      </c>
      <c r="F18" s="41">
        <v>1946</v>
      </c>
      <c r="G18" s="37">
        <v>-5.6</v>
      </c>
      <c r="H18" s="37">
        <v>72.099999999999994</v>
      </c>
      <c r="I18" s="37">
        <v>22.6</v>
      </c>
      <c r="J18" s="41">
        <v>514</v>
      </c>
      <c r="K18" s="37">
        <v>13</v>
      </c>
      <c r="L18" s="451">
        <v>133</v>
      </c>
      <c r="M18" s="451">
        <v>220</v>
      </c>
      <c r="N18" s="451">
        <v>90</v>
      </c>
      <c r="O18" s="353">
        <v>45</v>
      </c>
      <c r="P18" s="353">
        <v>13</v>
      </c>
      <c r="Q18" s="353">
        <v>248.28</v>
      </c>
      <c r="R18" s="37"/>
      <c r="S18" s="508" t="str">
        <f t="shared" si="0"/>
        <v/>
      </c>
      <c r="T18" s="508"/>
      <c r="U18" s="508"/>
      <c r="V18" s="508"/>
      <c r="X18" s="45">
        <v>0.125</v>
      </c>
      <c r="Y18" s="106"/>
      <c r="Z18" s="102"/>
      <c r="AA18" s="102"/>
      <c r="AB18" s="45" t="str">
        <f t="shared" si="18"/>
        <v/>
      </c>
      <c r="AC18" s="45" t="str">
        <f t="shared" si="1"/>
        <v/>
      </c>
      <c r="AD18" s="81"/>
      <c r="AE18" s="9" t="str">
        <f>IF(S18="","",IF(COUNTA(Z18:$Z$39)=1,IF(COUNTA(AD18:$AD$39)=1,""," ; "),IF(COUNTA(AD18:$AD$39)=1,IF(Z18="",""," ; ")," ; ")))</f>
        <v/>
      </c>
      <c r="AF18" s="9" t="str">
        <f t="shared" si="2"/>
        <v/>
      </c>
      <c r="AG18" s="90" t="str">
        <f t="shared" si="3"/>
        <v/>
      </c>
      <c r="AH18" s="204" t="s">
        <v>321</v>
      </c>
      <c r="AJ18" s="206">
        <f t="shared" si="19"/>
        <v>500</v>
      </c>
      <c r="AK18" s="206">
        <f t="shared" si="19"/>
        <v>100</v>
      </c>
      <c r="AL18" s="206">
        <f t="shared" si="19"/>
        <v>2</v>
      </c>
      <c r="AM18" s="213">
        <f t="shared" si="19"/>
        <v>0.875</v>
      </c>
      <c r="AN18" s="214">
        <f t="shared" si="19"/>
        <v>0.63607464142166403</v>
      </c>
      <c r="AO18" s="215">
        <f t="shared" si="4"/>
        <v>-14.7</v>
      </c>
      <c r="AP18" s="216">
        <f t="shared" si="5"/>
        <v>1</v>
      </c>
      <c r="AQ18" s="216">
        <f t="shared" si="6"/>
        <v>1</v>
      </c>
      <c r="AR18" s="215">
        <f t="shared" ref="AR18:AR39" si="20">AR17</f>
        <v>158.47</v>
      </c>
      <c r="AS18" s="216">
        <f t="shared" si="7"/>
        <v>0.9723448696087954</v>
      </c>
      <c r="AT18" s="216">
        <f t="shared" si="8"/>
        <v>1.2538510821608391</v>
      </c>
      <c r="AU18" s="216">
        <f t="shared" si="9"/>
        <v>2.2360679774997898</v>
      </c>
      <c r="AV18" s="217">
        <f t="shared" si="10"/>
        <v>10.368348541764712</v>
      </c>
      <c r="AW18" s="216">
        <f t="shared" si="11"/>
        <v>0</v>
      </c>
      <c r="AX18" s="218">
        <f t="shared" si="12"/>
        <v>1.4831709199797398</v>
      </c>
      <c r="AY18" s="216">
        <f t="shared" si="13"/>
        <v>0.77643477842613629</v>
      </c>
      <c r="AZ18" s="217">
        <f t="shared" si="14"/>
        <v>3.5883638597441294</v>
      </c>
      <c r="BA18" s="216">
        <f t="shared" si="15"/>
        <v>0</v>
      </c>
      <c r="BB18" s="216">
        <f t="shared" si="16"/>
        <v>1.0016542390239327</v>
      </c>
      <c r="BC18" s="216">
        <f t="shared" si="17"/>
        <v>1</v>
      </c>
    </row>
    <row r="19" spans="1:55" ht="20.100000000000001" customHeight="1" x14ac:dyDescent="0.2">
      <c r="A19" s="45">
        <v>0.16666666666666699</v>
      </c>
      <c r="B19" s="451"/>
      <c r="C19" s="451"/>
      <c r="D19" s="451">
        <v>5.9</v>
      </c>
      <c r="E19" s="451">
        <v>65</v>
      </c>
      <c r="F19" s="41">
        <v>1931</v>
      </c>
      <c r="G19" s="37">
        <v>-5.6</v>
      </c>
      <c r="H19" s="37">
        <v>72.3</v>
      </c>
      <c r="I19" s="37">
        <v>22.3</v>
      </c>
      <c r="J19" s="41">
        <v>515</v>
      </c>
      <c r="K19" s="37">
        <v>13</v>
      </c>
      <c r="L19" s="451">
        <v>137</v>
      </c>
      <c r="M19" s="451">
        <v>220</v>
      </c>
      <c r="N19" s="451">
        <v>90</v>
      </c>
      <c r="O19" s="353">
        <v>50</v>
      </c>
      <c r="P19" s="353">
        <v>16</v>
      </c>
      <c r="Q19" s="353">
        <v>286.67</v>
      </c>
      <c r="R19" s="37"/>
      <c r="S19" s="508" t="str">
        <f t="shared" si="0"/>
        <v/>
      </c>
      <c r="T19" s="508"/>
      <c r="U19" s="508"/>
      <c r="V19" s="508"/>
      <c r="X19" s="45">
        <v>0.16666666666666699</v>
      </c>
      <c r="Y19" s="106"/>
      <c r="Z19" s="102"/>
      <c r="AA19" s="102"/>
      <c r="AB19" s="45" t="str">
        <f t="shared" si="18"/>
        <v/>
      </c>
      <c r="AC19" s="45" t="str">
        <f t="shared" si="1"/>
        <v/>
      </c>
      <c r="AD19" s="81"/>
      <c r="AE19" s="9" t="str">
        <f>IF(S19="","",IF(COUNTA(Z19:$Z$39)=1,IF(COUNTA(AD19:$AD$39)=1,""," ; "),IF(COUNTA(AD19:$AD$39)=1,IF(Z19="",""," ; ")," ; ")))</f>
        <v/>
      </c>
      <c r="AF19" s="9" t="str">
        <f t="shared" si="2"/>
        <v/>
      </c>
      <c r="AG19" s="90" t="str">
        <f t="shared" si="3"/>
        <v/>
      </c>
      <c r="AH19" s="204" t="s">
        <v>272</v>
      </c>
      <c r="AJ19" s="206">
        <f t="shared" si="19"/>
        <v>500</v>
      </c>
      <c r="AK19" s="206">
        <f t="shared" si="19"/>
        <v>100</v>
      </c>
      <c r="AL19" s="206">
        <f t="shared" si="19"/>
        <v>2</v>
      </c>
      <c r="AM19" s="213">
        <f t="shared" si="19"/>
        <v>0.875</v>
      </c>
      <c r="AN19" s="214">
        <f t="shared" si="19"/>
        <v>0.63607464142166403</v>
      </c>
      <c r="AO19" s="215">
        <f t="shared" si="4"/>
        <v>-14.7</v>
      </c>
      <c r="AP19" s="216">
        <f t="shared" si="5"/>
        <v>1</v>
      </c>
      <c r="AQ19" s="216">
        <f t="shared" si="6"/>
        <v>1</v>
      </c>
      <c r="AR19" s="215">
        <f t="shared" si="20"/>
        <v>158.47</v>
      </c>
      <c r="AS19" s="216">
        <f t="shared" si="7"/>
        <v>0.9723448696087954</v>
      </c>
      <c r="AT19" s="216">
        <f t="shared" si="8"/>
        <v>1.2538510821608391</v>
      </c>
      <c r="AU19" s="216">
        <f t="shared" si="9"/>
        <v>2.2360679774997898</v>
      </c>
      <c r="AV19" s="217">
        <f t="shared" si="10"/>
        <v>10.368348541764712</v>
      </c>
      <c r="AW19" s="216">
        <f t="shared" si="11"/>
        <v>0</v>
      </c>
      <c r="AX19" s="218">
        <f t="shared" si="12"/>
        <v>1.4831709199797398</v>
      </c>
      <c r="AY19" s="216">
        <f t="shared" si="13"/>
        <v>0.77643477842613629</v>
      </c>
      <c r="AZ19" s="217">
        <f t="shared" si="14"/>
        <v>3.5883638597441294</v>
      </c>
      <c r="BA19" s="216">
        <f t="shared" si="15"/>
        <v>0</v>
      </c>
      <c r="BB19" s="216">
        <f t="shared" si="16"/>
        <v>1.0016542390239327</v>
      </c>
      <c r="BC19" s="216">
        <f t="shared" si="17"/>
        <v>1</v>
      </c>
    </row>
    <row r="20" spans="1:55" ht="20.100000000000001" customHeight="1" x14ac:dyDescent="0.2">
      <c r="A20" s="45">
        <v>0.20833333333333301</v>
      </c>
      <c r="B20" s="451"/>
      <c r="C20" s="451"/>
      <c r="D20" s="451">
        <v>7.1</v>
      </c>
      <c r="E20" s="451">
        <v>66.7</v>
      </c>
      <c r="F20" s="41">
        <v>1927</v>
      </c>
      <c r="G20" s="37">
        <v>-5.6</v>
      </c>
      <c r="H20" s="37">
        <v>72.3</v>
      </c>
      <c r="I20" s="37">
        <v>22.5</v>
      </c>
      <c r="J20" s="41">
        <v>516</v>
      </c>
      <c r="K20" s="37">
        <v>13</v>
      </c>
      <c r="L20" s="451">
        <v>131</v>
      </c>
      <c r="M20" s="451">
        <v>220</v>
      </c>
      <c r="N20" s="451">
        <v>90</v>
      </c>
      <c r="O20" s="353">
        <v>50</v>
      </c>
      <c r="P20" s="353">
        <v>16</v>
      </c>
      <c r="Q20" s="353">
        <v>286.67</v>
      </c>
      <c r="R20" s="37"/>
      <c r="S20" s="508" t="str">
        <f t="shared" si="0"/>
        <v/>
      </c>
      <c r="T20" s="508"/>
      <c r="U20" s="508"/>
      <c r="V20" s="508"/>
      <c r="X20" s="45">
        <v>0.20833333333333301</v>
      </c>
      <c r="Y20" s="106"/>
      <c r="Z20" s="102"/>
      <c r="AA20" s="102"/>
      <c r="AB20" s="45" t="str">
        <f t="shared" si="18"/>
        <v/>
      </c>
      <c r="AC20" s="45" t="str">
        <f t="shared" si="1"/>
        <v/>
      </c>
      <c r="AD20" s="81"/>
      <c r="AE20" s="9" t="str">
        <f>IF(S20="","",IF(COUNTA(Z20:$Z$39)=1,IF(COUNTA(AD20:$AD$39)=1,""," ; "),IF(COUNTA(AD20:$AD$39)=1,IF(Z20="",""," ; ")," ; ")))</f>
        <v/>
      </c>
      <c r="AF20" s="9" t="str">
        <f t="shared" si="2"/>
        <v/>
      </c>
      <c r="AG20" s="90" t="str">
        <f t="shared" si="3"/>
        <v/>
      </c>
      <c r="AH20" s="204" t="s">
        <v>275</v>
      </c>
      <c r="AJ20" s="206">
        <f t="shared" si="19"/>
        <v>500</v>
      </c>
      <c r="AK20" s="206">
        <f t="shared" si="19"/>
        <v>100</v>
      </c>
      <c r="AL20" s="206">
        <f t="shared" si="19"/>
        <v>2</v>
      </c>
      <c r="AM20" s="213">
        <f t="shared" si="19"/>
        <v>0.875</v>
      </c>
      <c r="AN20" s="214">
        <f t="shared" si="19"/>
        <v>0.63607464142166403</v>
      </c>
      <c r="AO20" s="215">
        <f t="shared" si="4"/>
        <v>-14.7</v>
      </c>
      <c r="AP20" s="216">
        <f t="shared" si="5"/>
        <v>1</v>
      </c>
      <c r="AQ20" s="216">
        <f t="shared" si="6"/>
        <v>1</v>
      </c>
      <c r="AR20" s="215">
        <f t="shared" si="20"/>
        <v>158.47</v>
      </c>
      <c r="AS20" s="216">
        <f t="shared" si="7"/>
        <v>0.9723448696087954</v>
      </c>
      <c r="AT20" s="216">
        <f t="shared" si="8"/>
        <v>1.2538510821608391</v>
      </c>
      <c r="AU20" s="216">
        <f t="shared" si="9"/>
        <v>2.2360679774997898</v>
      </c>
      <c r="AV20" s="217">
        <f t="shared" si="10"/>
        <v>10.368348541764712</v>
      </c>
      <c r="AW20" s="216">
        <f t="shared" si="11"/>
        <v>0</v>
      </c>
      <c r="AX20" s="218">
        <f t="shared" si="12"/>
        <v>1.4831709199797398</v>
      </c>
      <c r="AY20" s="216">
        <f t="shared" si="13"/>
        <v>0.77643477842613629</v>
      </c>
      <c r="AZ20" s="217">
        <f t="shared" si="14"/>
        <v>3.5883638597441294</v>
      </c>
      <c r="BA20" s="216">
        <f t="shared" si="15"/>
        <v>0</v>
      </c>
      <c r="BB20" s="216">
        <f t="shared" si="16"/>
        <v>1.0016542390239327</v>
      </c>
      <c r="BC20" s="216">
        <f t="shared" si="17"/>
        <v>1</v>
      </c>
    </row>
    <row r="21" spans="1:55" ht="20.100000000000001" customHeight="1" x14ac:dyDescent="0.2">
      <c r="A21" s="45">
        <v>0.25</v>
      </c>
      <c r="B21" s="451"/>
      <c r="C21" s="451"/>
      <c r="D21" s="451">
        <v>7.1</v>
      </c>
      <c r="E21" s="451">
        <v>72</v>
      </c>
      <c r="F21" s="41">
        <v>1942</v>
      </c>
      <c r="G21" s="37">
        <v>-5.6</v>
      </c>
      <c r="H21" s="37">
        <v>72.599999999999994</v>
      </c>
      <c r="I21" s="37">
        <v>22.3</v>
      </c>
      <c r="J21" s="41">
        <v>517</v>
      </c>
      <c r="K21" s="37">
        <v>13</v>
      </c>
      <c r="L21" s="451">
        <v>136</v>
      </c>
      <c r="M21" s="451">
        <v>221</v>
      </c>
      <c r="N21" s="451">
        <v>90</v>
      </c>
      <c r="O21" s="353">
        <v>50</v>
      </c>
      <c r="P21" s="353">
        <v>16</v>
      </c>
      <c r="Q21" s="353">
        <v>286.67</v>
      </c>
      <c r="R21" s="37"/>
      <c r="S21" s="508" t="str">
        <f t="shared" si="0"/>
        <v/>
      </c>
      <c r="T21" s="508"/>
      <c r="U21" s="508"/>
      <c r="V21" s="508"/>
      <c r="X21" s="45">
        <v>0.25</v>
      </c>
      <c r="Y21" s="106"/>
      <c r="Z21" s="102"/>
      <c r="AA21" s="102"/>
      <c r="AB21" s="45" t="str">
        <f t="shared" si="18"/>
        <v/>
      </c>
      <c r="AC21" s="45" t="str">
        <f t="shared" si="1"/>
        <v/>
      </c>
      <c r="AD21" s="81"/>
      <c r="AE21" s="9" t="str">
        <f>IF(S21="","",IF(COUNTA(Z21:$Z$39)=1,IF(COUNTA(AD21:$AD$39)=1,""," ; "),IF(COUNTA(AD21:$AD$39)=1,IF(Z21="",""," ; ")," ; ")))</f>
        <v/>
      </c>
      <c r="AF21" s="9" t="str">
        <f t="shared" si="2"/>
        <v/>
      </c>
      <c r="AG21" s="90" t="str">
        <f t="shared" si="3"/>
        <v/>
      </c>
      <c r="AH21" s="204" t="s">
        <v>322</v>
      </c>
      <c r="AJ21" s="206">
        <f t="shared" si="19"/>
        <v>500</v>
      </c>
      <c r="AK21" s="206">
        <f t="shared" si="19"/>
        <v>100</v>
      </c>
      <c r="AL21" s="206">
        <f t="shared" si="19"/>
        <v>2</v>
      </c>
      <c r="AM21" s="213">
        <f t="shared" si="19"/>
        <v>0.875</v>
      </c>
      <c r="AN21" s="214">
        <f t="shared" si="19"/>
        <v>0.63607464142166403</v>
      </c>
      <c r="AO21" s="215">
        <f t="shared" si="4"/>
        <v>-14.7</v>
      </c>
      <c r="AP21" s="216">
        <f t="shared" si="5"/>
        <v>1</v>
      </c>
      <c r="AQ21" s="216">
        <f t="shared" si="6"/>
        <v>1</v>
      </c>
      <c r="AR21" s="215">
        <f t="shared" si="20"/>
        <v>158.47</v>
      </c>
      <c r="AS21" s="216">
        <f t="shared" si="7"/>
        <v>0.9723448696087954</v>
      </c>
      <c r="AT21" s="216">
        <f t="shared" si="8"/>
        <v>1.2538510821608391</v>
      </c>
      <c r="AU21" s="216">
        <f t="shared" si="9"/>
        <v>2.2360679774997898</v>
      </c>
      <c r="AV21" s="217">
        <f t="shared" si="10"/>
        <v>10.368348541764712</v>
      </c>
      <c r="AW21" s="216">
        <f t="shared" si="11"/>
        <v>0</v>
      </c>
      <c r="AX21" s="218">
        <f t="shared" si="12"/>
        <v>1.4831709199797398</v>
      </c>
      <c r="AY21" s="216">
        <f t="shared" si="13"/>
        <v>0.77643477842613629</v>
      </c>
      <c r="AZ21" s="217">
        <f t="shared" si="14"/>
        <v>3.5883638597441294</v>
      </c>
      <c r="BA21" s="216">
        <f t="shared" si="15"/>
        <v>0</v>
      </c>
      <c r="BB21" s="216">
        <f t="shared" si="16"/>
        <v>1.0016542390239327</v>
      </c>
      <c r="BC21" s="216">
        <f t="shared" si="17"/>
        <v>1</v>
      </c>
    </row>
    <row r="22" spans="1:55" ht="20.100000000000001" customHeight="1" x14ac:dyDescent="0.2">
      <c r="A22" s="45">
        <v>0.29166666666666702</v>
      </c>
      <c r="B22" s="451"/>
      <c r="C22" s="451"/>
      <c r="D22" s="451">
        <v>6.4</v>
      </c>
      <c r="E22" s="451">
        <v>77</v>
      </c>
      <c r="F22" s="41">
        <v>1931</v>
      </c>
      <c r="G22" s="37">
        <v>-5.6</v>
      </c>
      <c r="H22" s="37">
        <v>72.400000000000006</v>
      </c>
      <c r="I22" s="37">
        <v>22.7</v>
      </c>
      <c r="J22" s="41">
        <v>518</v>
      </c>
      <c r="K22" s="37">
        <v>13</v>
      </c>
      <c r="L22" s="451">
        <v>132</v>
      </c>
      <c r="M22" s="451">
        <v>221</v>
      </c>
      <c r="N22" s="451">
        <v>90</v>
      </c>
      <c r="O22" s="353">
        <v>45</v>
      </c>
      <c r="P22" s="353">
        <v>16</v>
      </c>
      <c r="Q22" s="353">
        <v>275.22000000000003</v>
      </c>
      <c r="R22" s="37"/>
      <c r="S22" s="508" t="str">
        <f t="shared" si="0"/>
        <v/>
      </c>
      <c r="T22" s="508"/>
      <c r="U22" s="508"/>
      <c r="V22" s="508"/>
      <c r="X22" s="45">
        <v>0.29166666666666702</v>
      </c>
      <c r="Y22" s="106"/>
      <c r="Z22" s="102"/>
      <c r="AA22" s="102"/>
      <c r="AB22" s="45" t="str">
        <f t="shared" si="18"/>
        <v/>
      </c>
      <c r="AC22" s="45" t="str">
        <f t="shared" si="1"/>
        <v/>
      </c>
      <c r="AD22" s="81"/>
      <c r="AE22" s="9" t="str">
        <f>IF(S22="","",IF(COUNTA(Z22:$Z$39)=1,IF(COUNTA(AD22:$AD$39)=1,""," ; "),IF(COUNTA(AD22:$AD$39)=1,IF(Z22="",""," ; ")," ; ")))</f>
        <v/>
      </c>
      <c r="AF22" s="9" t="str">
        <f t="shared" si="2"/>
        <v/>
      </c>
      <c r="AG22" s="90" t="str">
        <f t="shared" si="3"/>
        <v/>
      </c>
      <c r="AH22" s="204" t="s">
        <v>279</v>
      </c>
      <c r="AJ22" s="206">
        <f t="shared" si="19"/>
        <v>500</v>
      </c>
      <c r="AK22" s="206">
        <f t="shared" si="19"/>
        <v>100</v>
      </c>
      <c r="AL22" s="206">
        <f t="shared" si="19"/>
        <v>2</v>
      </c>
      <c r="AM22" s="213">
        <f t="shared" si="19"/>
        <v>0.875</v>
      </c>
      <c r="AN22" s="214">
        <f t="shared" si="19"/>
        <v>0.63607464142166403</v>
      </c>
      <c r="AO22" s="215">
        <f t="shared" si="4"/>
        <v>-14.7</v>
      </c>
      <c r="AP22" s="216">
        <f t="shared" si="5"/>
        <v>1</v>
      </c>
      <c r="AQ22" s="216">
        <f t="shared" si="6"/>
        <v>1</v>
      </c>
      <c r="AR22" s="215">
        <f t="shared" si="20"/>
        <v>158.47</v>
      </c>
      <c r="AS22" s="216">
        <f t="shared" si="7"/>
        <v>0.9723448696087954</v>
      </c>
      <c r="AT22" s="216">
        <f t="shared" si="8"/>
        <v>1.2538510821608391</v>
      </c>
      <c r="AU22" s="216">
        <f t="shared" si="9"/>
        <v>2.2360679774997898</v>
      </c>
      <c r="AV22" s="217">
        <f t="shared" si="10"/>
        <v>10.368348541764712</v>
      </c>
      <c r="AW22" s="216">
        <f t="shared" si="11"/>
        <v>0</v>
      </c>
      <c r="AX22" s="218">
        <f t="shared" si="12"/>
        <v>1.4831709199797398</v>
      </c>
      <c r="AY22" s="216">
        <f t="shared" si="13"/>
        <v>0.77643477842613629</v>
      </c>
      <c r="AZ22" s="217">
        <f t="shared" si="14"/>
        <v>3.5883638597441294</v>
      </c>
      <c r="BA22" s="216">
        <f t="shared" si="15"/>
        <v>0</v>
      </c>
      <c r="BB22" s="216">
        <f t="shared" si="16"/>
        <v>1.0016542390239327</v>
      </c>
      <c r="BC22" s="216">
        <f t="shared" si="17"/>
        <v>1</v>
      </c>
    </row>
    <row r="23" spans="1:55" ht="20.100000000000001" customHeight="1" x14ac:dyDescent="0.2">
      <c r="A23" s="45">
        <v>0.33333333333333298</v>
      </c>
      <c r="B23" s="451"/>
      <c r="C23" s="451"/>
      <c r="D23" s="451">
        <v>6.9</v>
      </c>
      <c r="E23" s="451">
        <v>72.099999999999994</v>
      </c>
      <c r="F23" s="41">
        <v>1945</v>
      </c>
      <c r="G23" s="37">
        <v>-5.6</v>
      </c>
      <c r="H23" s="37">
        <v>72.099999999999994</v>
      </c>
      <c r="I23" s="37">
        <v>22.1</v>
      </c>
      <c r="J23" s="41">
        <v>519</v>
      </c>
      <c r="K23" s="37">
        <v>13</v>
      </c>
      <c r="L23" s="451">
        <v>132</v>
      </c>
      <c r="M23" s="451">
        <v>223</v>
      </c>
      <c r="N23" s="451">
        <v>90</v>
      </c>
      <c r="O23" s="353">
        <v>45</v>
      </c>
      <c r="P23" s="353">
        <v>13</v>
      </c>
      <c r="Q23" s="353">
        <v>248.28</v>
      </c>
      <c r="R23" s="37"/>
      <c r="S23" s="508" t="str">
        <f t="shared" si="0"/>
        <v/>
      </c>
      <c r="T23" s="508"/>
      <c r="U23" s="508"/>
      <c r="V23" s="508"/>
      <c r="X23" s="45">
        <v>0.33333333333333298</v>
      </c>
      <c r="Y23" s="106"/>
      <c r="Z23" s="102"/>
      <c r="AA23" s="102"/>
      <c r="AB23" s="45" t="str">
        <f t="shared" si="18"/>
        <v/>
      </c>
      <c r="AC23" s="45" t="str">
        <f t="shared" si="1"/>
        <v/>
      </c>
      <c r="AD23" s="81"/>
      <c r="AE23" s="9" t="str">
        <f>IF(S23="","",IF(COUNTA(Z23:$Z$39)=1,IF(COUNTA(AD23:$AD$39)=1,""," ; "),IF(COUNTA(AD23:$AD$39)=1,IF(Z23="",""," ; ")," ; ")))</f>
        <v/>
      </c>
      <c r="AF23" s="9" t="str">
        <f t="shared" si="2"/>
        <v/>
      </c>
      <c r="AG23" s="90" t="str">
        <f t="shared" si="3"/>
        <v/>
      </c>
      <c r="AH23" s="204" t="s">
        <v>274</v>
      </c>
      <c r="AJ23" s="206">
        <f t="shared" si="19"/>
        <v>500</v>
      </c>
      <c r="AK23" s="206">
        <f t="shared" si="19"/>
        <v>100</v>
      </c>
      <c r="AL23" s="206">
        <f t="shared" si="19"/>
        <v>2</v>
      </c>
      <c r="AM23" s="213">
        <f t="shared" si="19"/>
        <v>0.875</v>
      </c>
      <c r="AN23" s="214">
        <f t="shared" si="19"/>
        <v>0.63607464142166403</v>
      </c>
      <c r="AO23" s="215">
        <f t="shared" si="4"/>
        <v>-14.7</v>
      </c>
      <c r="AP23" s="216">
        <f t="shared" si="5"/>
        <v>1</v>
      </c>
      <c r="AQ23" s="216">
        <f t="shared" si="6"/>
        <v>1</v>
      </c>
      <c r="AR23" s="215">
        <f t="shared" si="20"/>
        <v>158.47</v>
      </c>
      <c r="AS23" s="216">
        <f t="shared" si="7"/>
        <v>0.9723448696087954</v>
      </c>
      <c r="AT23" s="216">
        <f t="shared" si="8"/>
        <v>1.2538510821608391</v>
      </c>
      <c r="AU23" s="216">
        <f t="shared" si="9"/>
        <v>2.2360679774997898</v>
      </c>
      <c r="AV23" s="217">
        <f t="shared" si="10"/>
        <v>10.368348541764712</v>
      </c>
      <c r="AW23" s="216">
        <f t="shared" si="11"/>
        <v>0</v>
      </c>
      <c r="AX23" s="218">
        <f t="shared" si="12"/>
        <v>1.4831709199797398</v>
      </c>
      <c r="AY23" s="216">
        <f t="shared" si="13"/>
        <v>0.77643477842613629</v>
      </c>
      <c r="AZ23" s="217">
        <f t="shared" si="14"/>
        <v>3.5883638597441294</v>
      </c>
      <c r="BA23" s="216">
        <f t="shared" si="15"/>
        <v>0</v>
      </c>
      <c r="BB23" s="216">
        <f t="shared" si="16"/>
        <v>1.0016542390239327</v>
      </c>
      <c r="BC23" s="216">
        <f t="shared" si="17"/>
        <v>1</v>
      </c>
    </row>
    <row r="24" spans="1:55" ht="20.100000000000001" customHeight="1" x14ac:dyDescent="0.2">
      <c r="A24" s="45">
        <v>0.375</v>
      </c>
      <c r="B24" s="451"/>
      <c r="C24" s="451"/>
      <c r="D24" s="451">
        <v>7.2</v>
      </c>
      <c r="E24" s="451">
        <v>72.3</v>
      </c>
      <c r="F24" s="41">
        <v>1960</v>
      </c>
      <c r="G24" s="37">
        <v>-5.6</v>
      </c>
      <c r="H24" s="37">
        <v>72.8</v>
      </c>
      <c r="I24" s="37">
        <v>22.9</v>
      </c>
      <c r="J24" s="41">
        <v>520</v>
      </c>
      <c r="K24" s="37">
        <v>13</v>
      </c>
      <c r="L24" s="451">
        <v>133</v>
      </c>
      <c r="M24" s="451">
        <v>224</v>
      </c>
      <c r="N24" s="451">
        <v>90</v>
      </c>
      <c r="O24" s="353">
        <v>45</v>
      </c>
      <c r="P24" s="353">
        <v>14</v>
      </c>
      <c r="Q24" s="353">
        <v>257.58</v>
      </c>
      <c r="R24" s="37"/>
      <c r="S24" s="508" t="str">
        <f t="shared" si="0"/>
        <v/>
      </c>
      <c r="T24" s="508"/>
      <c r="U24" s="508"/>
      <c r="V24" s="508"/>
      <c r="X24" s="45">
        <v>0.375</v>
      </c>
      <c r="Y24" s="106"/>
      <c r="Z24" s="102"/>
      <c r="AA24" s="102"/>
      <c r="AB24" s="45" t="str">
        <f t="shared" si="18"/>
        <v/>
      </c>
      <c r="AC24" s="45" t="str">
        <f t="shared" si="1"/>
        <v/>
      </c>
      <c r="AD24" s="81"/>
      <c r="AE24" s="9" t="str">
        <f>IF(S24="","",IF(COUNTA(Z24:$Z$39)=1,IF(COUNTA(AD24:$AD$39)=1,""," ; "),IF(COUNTA(AD24:$AD$39)=1,IF(Z24="",""," ; ")," ; ")))</f>
        <v/>
      </c>
      <c r="AF24" s="9" t="str">
        <f t="shared" si="2"/>
        <v/>
      </c>
      <c r="AG24" s="90" t="str">
        <f t="shared" si="3"/>
        <v/>
      </c>
      <c r="AH24" s="204" t="s">
        <v>307</v>
      </c>
      <c r="AJ24" s="206">
        <f t="shared" si="19"/>
        <v>500</v>
      </c>
      <c r="AK24" s="206">
        <f t="shared" si="19"/>
        <v>100</v>
      </c>
      <c r="AL24" s="206">
        <f t="shared" si="19"/>
        <v>2</v>
      </c>
      <c r="AM24" s="213">
        <f t="shared" si="19"/>
        <v>0.875</v>
      </c>
      <c r="AN24" s="214">
        <f t="shared" si="19"/>
        <v>0.63607464142166403</v>
      </c>
      <c r="AO24" s="215">
        <f t="shared" si="4"/>
        <v>-14.7</v>
      </c>
      <c r="AP24" s="216">
        <f t="shared" si="5"/>
        <v>1</v>
      </c>
      <c r="AQ24" s="216">
        <f t="shared" si="6"/>
        <v>1</v>
      </c>
      <c r="AR24" s="215">
        <f t="shared" si="20"/>
        <v>158.47</v>
      </c>
      <c r="AS24" s="216">
        <f t="shared" si="7"/>
        <v>0.9723448696087954</v>
      </c>
      <c r="AT24" s="216">
        <f t="shared" si="8"/>
        <v>1.2538510821608391</v>
      </c>
      <c r="AU24" s="216">
        <f t="shared" si="9"/>
        <v>2.2360679774997898</v>
      </c>
      <c r="AV24" s="217">
        <f t="shared" si="10"/>
        <v>10.368348541764712</v>
      </c>
      <c r="AW24" s="216">
        <f t="shared" si="11"/>
        <v>0</v>
      </c>
      <c r="AX24" s="218">
        <f t="shared" si="12"/>
        <v>1.4831709199797398</v>
      </c>
      <c r="AY24" s="216">
        <f t="shared" si="13"/>
        <v>0.77643477842613629</v>
      </c>
      <c r="AZ24" s="217">
        <f t="shared" si="14"/>
        <v>3.5883638597441294</v>
      </c>
      <c r="BA24" s="216">
        <f t="shared" si="15"/>
        <v>0</v>
      </c>
      <c r="BB24" s="216">
        <f t="shared" si="16"/>
        <v>1.0016542390239327</v>
      </c>
      <c r="BC24" s="216">
        <f t="shared" si="17"/>
        <v>1</v>
      </c>
    </row>
    <row r="25" spans="1:55" ht="20.100000000000001" customHeight="1" x14ac:dyDescent="0.2">
      <c r="A25" s="45">
        <v>0.41666666666666702</v>
      </c>
      <c r="B25" s="451"/>
      <c r="C25" s="451"/>
      <c r="D25" s="451">
        <v>7.8</v>
      </c>
      <c r="E25" s="451">
        <v>72.8</v>
      </c>
      <c r="F25" s="41">
        <v>1981</v>
      </c>
      <c r="G25" s="37">
        <v>-5.6</v>
      </c>
      <c r="H25" s="37">
        <v>72.400000000000006</v>
      </c>
      <c r="I25" s="37">
        <v>22.4</v>
      </c>
      <c r="J25" s="41">
        <v>521</v>
      </c>
      <c r="K25" s="37">
        <v>13</v>
      </c>
      <c r="L25" s="451">
        <v>133</v>
      </c>
      <c r="M25" s="451">
        <v>224</v>
      </c>
      <c r="N25" s="451">
        <v>90</v>
      </c>
      <c r="O25" s="353">
        <v>45</v>
      </c>
      <c r="P25" s="353">
        <v>15</v>
      </c>
      <c r="Q25" s="353">
        <v>266.55</v>
      </c>
      <c r="R25" s="37"/>
      <c r="S25" s="508" t="str">
        <f t="shared" si="0"/>
        <v/>
      </c>
      <c r="T25" s="508"/>
      <c r="U25" s="508"/>
      <c r="V25" s="508"/>
      <c r="X25" s="45">
        <v>0.41666666666666702</v>
      </c>
      <c r="Y25" s="106"/>
      <c r="Z25" s="102"/>
      <c r="AA25" s="102"/>
      <c r="AB25" s="45" t="str">
        <f t="shared" si="18"/>
        <v/>
      </c>
      <c r="AC25" s="45" t="str">
        <f t="shared" si="1"/>
        <v/>
      </c>
      <c r="AD25" s="81"/>
      <c r="AE25" s="9" t="str">
        <f>IF(S25="","",IF(COUNTA(Z25:$Z$39)=1,IF(COUNTA(AD25:$AD$39)=1,""," ; "),IF(COUNTA(AD25:$AD$39)=1,IF(Z25="",""," ; ")," ; ")))</f>
        <v/>
      </c>
      <c r="AF25" s="9" t="str">
        <f t="shared" si="2"/>
        <v/>
      </c>
      <c r="AG25" s="90" t="str">
        <f t="shared" si="3"/>
        <v/>
      </c>
      <c r="AH25" s="204" t="s">
        <v>225</v>
      </c>
      <c r="AJ25" s="206">
        <f t="shared" si="19"/>
        <v>500</v>
      </c>
      <c r="AK25" s="206">
        <f t="shared" si="19"/>
        <v>100</v>
      </c>
      <c r="AL25" s="206">
        <f t="shared" si="19"/>
        <v>2</v>
      </c>
      <c r="AM25" s="213">
        <f t="shared" si="19"/>
        <v>0.875</v>
      </c>
      <c r="AN25" s="214">
        <f t="shared" si="19"/>
        <v>0.63607464142166403</v>
      </c>
      <c r="AO25" s="215">
        <f t="shared" si="4"/>
        <v>-14.7</v>
      </c>
      <c r="AP25" s="216">
        <f t="shared" si="5"/>
        <v>1</v>
      </c>
      <c r="AQ25" s="216">
        <f t="shared" si="6"/>
        <v>1</v>
      </c>
      <c r="AR25" s="215">
        <f t="shared" si="20"/>
        <v>158.47</v>
      </c>
      <c r="AS25" s="216">
        <f t="shared" si="7"/>
        <v>0.9723448696087954</v>
      </c>
      <c r="AT25" s="216">
        <f t="shared" si="8"/>
        <v>1.2538510821608391</v>
      </c>
      <c r="AU25" s="216">
        <f t="shared" si="9"/>
        <v>2.2360679774997898</v>
      </c>
      <c r="AV25" s="217">
        <f t="shared" si="10"/>
        <v>10.368348541764712</v>
      </c>
      <c r="AW25" s="216">
        <f t="shared" si="11"/>
        <v>0</v>
      </c>
      <c r="AX25" s="218">
        <f t="shared" si="12"/>
        <v>1.4831709199797398</v>
      </c>
      <c r="AY25" s="216">
        <f t="shared" si="13"/>
        <v>0.77643477842613629</v>
      </c>
      <c r="AZ25" s="217">
        <f t="shared" si="14"/>
        <v>3.5883638597441294</v>
      </c>
      <c r="BA25" s="216">
        <f t="shared" si="15"/>
        <v>0</v>
      </c>
      <c r="BB25" s="216">
        <f t="shared" si="16"/>
        <v>1.0016542390239327</v>
      </c>
      <c r="BC25" s="216">
        <f t="shared" si="17"/>
        <v>1</v>
      </c>
    </row>
    <row r="26" spans="1:55" ht="20.100000000000001" customHeight="1" x14ac:dyDescent="0.2">
      <c r="A26" s="45">
        <v>0.45833333333333298</v>
      </c>
      <c r="B26" s="451"/>
      <c r="C26" s="451"/>
      <c r="D26" s="451">
        <v>8.1999999999999993</v>
      </c>
      <c r="E26" s="451">
        <v>73.099999999999994</v>
      </c>
      <c r="F26" s="41">
        <v>1975</v>
      </c>
      <c r="G26" s="37">
        <v>-5.6</v>
      </c>
      <c r="H26" s="37">
        <v>72.8</v>
      </c>
      <c r="I26" s="37">
        <v>22.3</v>
      </c>
      <c r="J26" s="41">
        <v>522</v>
      </c>
      <c r="K26" s="37">
        <v>13</v>
      </c>
      <c r="L26" s="451">
        <v>133</v>
      </c>
      <c r="M26" s="451">
        <v>226</v>
      </c>
      <c r="N26" s="451">
        <v>90</v>
      </c>
      <c r="O26" s="353">
        <v>45</v>
      </c>
      <c r="P26" s="353">
        <v>13</v>
      </c>
      <c r="Q26" s="353">
        <v>248.28</v>
      </c>
      <c r="R26" s="37"/>
      <c r="S26" s="508" t="str">
        <f t="shared" si="0"/>
        <v/>
      </c>
      <c r="T26" s="508"/>
      <c r="U26" s="508"/>
      <c r="V26" s="508"/>
      <c r="X26" s="45">
        <v>0.45833333333333298</v>
      </c>
      <c r="Y26" s="106"/>
      <c r="Z26" s="102"/>
      <c r="AA26" s="102"/>
      <c r="AB26" s="45" t="str">
        <f t="shared" si="18"/>
        <v/>
      </c>
      <c r="AC26" s="45" t="str">
        <f t="shared" si="1"/>
        <v/>
      </c>
      <c r="AD26" s="81"/>
      <c r="AE26" s="9" t="str">
        <f>IF(S26="","",IF(COUNTA(Z26:$Z$39)=1,IF(COUNTA(AD26:$AD$39)=1,""," ; "),IF(COUNTA(AD26:$AD$39)=1,IF(Z26="",""," ; ")," ; ")))</f>
        <v/>
      </c>
      <c r="AF26" s="9" t="str">
        <f t="shared" si="2"/>
        <v/>
      </c>
      <c r="AG26" s="90" t="str">
        <f t="shared" si="3"/>
        <v/>
      </c>
      <c r="AH26" s="204" t="s">
        <v>287</v>
      </c>
      <c r="AJ26" s="206">
        <f t="shared" si="19"/>
        <v>500</v>
      </c>
      <c r="AK26" s="206">
        <f t="shared" si="19"/>
        <v>100</v>
      </c>
      <c r="AL26" s="206">
        <f t="shared" si="19"/>
        <v>2</v>
      </c>
      <c r="AM26" s="213">
        <f t="shared" si="19"/>
        <v>0.875</v>
      </c>
      <c r="AN26" s="214">
        <f t="shared" si="19"/>
        <v>0.63607464142166403</v>
      </c>
      <c r="AO26" s="215">
        <f t="shared" si="4"/>
        <v>-14.7</v>
      </c>
      <c r="AP26" s="216">
        <f t="shared" si="5"/>
        <v>1</v>
      </c>
      <c r="AQ26" s="216">
        <f t="shared" si="6"/>
        <v>1</v>
      </c>
      <c r="AR26" s="215">
        <f t="shared" si="20"/>
        <v>158.47</v>
      </c>
      <c r="AS26" s="216">
        <f t="shared" si="7"/>
        <v>0.9723448696087954</v>
      </c>
      <c r="AT26" s="216">
        <f t="shared" si="8"/>
        <v>1.2538510821608391</v>
      </c>
      <c r="AU26" s="216">
        <f t="shared" si="9"/>
        <v>2.2360679774997898</v>
      </c>
      <c r="AV26" s="217">
        <f t="shared" si="10"/>
        <v>10.368348541764712</v>
      </c>
      <c r="AW26" s="216">
        <f t="shared" si="11"/>
        <v>0</v>
      </c>
      <c r="AX26" s="218">
        <f t="shared" si="12"/>
        <v>1.4831709199797398</v>
      </c>
      <c r="AY26" s="216">
        <f t="shared" si="13"/>
        <v>0.77643477842613629</v>
      </c>
      <c r="AZ26" s="217">
        <f t="shared" si="14"/>
        <v>3.5883638597441294</v>
      </c>
      <c r="BA26" s="216">
        <f t="shared" si="15"/>
        <v>0</v>
      </c>
      <c r="BB26" s="216">
        <f t="shared" si="16"/>
        <v>1.0016542390239327</v>
      </c>
      <c r="BC26" s="216">
        <f t="shared" si="17"/>
        <v>1</v>
      </c>
    </row>
    <row r="27" spans="1:55" ht="20.100000000000001" customHeight="1" x14ac:dyDescent="0.2">
      <c r="A27" s="45">
        <v>0.5</v>
      </c>
      <c r="B27" s="451"/>
      <c r="C27" s="451"/>
      <c r="D27" s="451">
        <v>8.1999999999999993</v>
      </c>
      <c r="E27" s="451">
        <v>73.3</v>
      </c>
      <c r="F27" s="41">
        <v>1968</v>
      </c>
      <c r="G27" s="37">
        <v>-5.6</v>
      </c>
      <c r="H27" s="37">
        <v>72</v>
      </c>
      <c r="I27" s="37">
        <v>22.1</v>
      </c>
      <c r="J27" s="41">
        <v>523</v>
      </c>
      <c r="K27" s="37">
        <v>13</v>
      </c>
      <c r="L27" s="451">
        <v>134</v>
      </c>
      <c r="M27" s="451">
        <v>226</v>
      </c>
      <c r="N27" s="451">
        <v>90</v>
      </c>
      <c r="O27" s="353">
        <v>45</v>
      </c>
      <c r="P27" s="353">
        <v>13</v>
      </c>
      <c r="Q27" s="353">
        <v>248.28</v>
      </c>
      <c r="R27" s="37"/>
      <c r="S27" s="508" t="str">
        <f t="shared" si="0"/>
        <v/>
      </c>
      <c r="T27" s="508"/>
      <c r="U27" s="508"/>
      <c r="V27" s="508"/>
      <c r="X27" s="45">
        <v>0.5</v>
      </c>
      <c r="Y27" s="106"/>
      <c r="Z27" s="102"/>
      <c r="AA27" s="102"/>
      <c r="AB27" s="45" t="str">
        <f t="shared" si="18"/>
        <v/>
      </c>
      <c r="AC27" s="45" t="str">
        <f t="shared" si="1"/>
        <v/>
      </c>
      <c r="AD27" s="81"/>
      <c r="AE27" s="9" t="str">
        <f>IF(S27="","",IF(COUNTA(Z27:$Z$39)=1,IF(COUNTA(AD27:$AD$39)=1,""," ; "),IF(COUNTA(AD27:$AD$39)=1,IF(Z27="",""," ; ")," ; ")))</f>
        <v/>
      </c>
      <c r="AF27" s="9" t="str">
        <f t="shared" si="2"/>
        <v/>
      </c>
      <c r="AG27" s="90" t="str">
        <f t="shared" si="3"/>
        <v/>
      </c>
      <c r="AH27" s="204" t="s">
        <v>276</v>
      </c>
      <c r="AJ27" s="206">
        <f t="shared" si="19"/>
        <v>500</v>
      </c>
      <c r="AK27" s="206">
        <f t="shared" si="19"/>
        <v>100</v>
      </c>
      <c r="AL27" s="206">
        <f t="shared" si="19"/>
        <v>2</v>
      </c>
      <c r="AM27" s="213">
        <f t="shared" si="19"/>
        <v>0.875</v>
      </c>
      <c r="AN27" s="214">
        <f t="shared" si="19"/>
        <v>0.63607464142166403</v>
      </c>
      <c r="AO27" s="215">
        <f t="shared" si="4"/>
        <v>-14.7</v>
      </c>
      <c r="AP27" s="216">
        <f t="shared" si="5"/>
        <v>1</v>
      </c>
      <c r="AQ27" s="216">
        <f t="shared" si="6"/>
        <v>1</v>
      </c>
      <c r="AR27" s="215">
        <f t="shared" si="20"/>
        <v>158.47</v>
      </c>
      <c r="AS27" s="216">
        <f t="shared" si="7"/>
        <v>0.9723448696087954</v>
      </c>
      <c r="AT27" s="216">
        <f t="shared" si="8"/>
        <v>1.2538510821608391</v>
      </c>
      <c r="AU27" s="216">
        <f t="shared" si="9"/>
        <v>2.2360679774997898</v>
      </c>
      <c r="AV27" s="217">
        <f t="shared" si="10"/>
        <v>10.368348541764712</v>
      </c>
      <c r="AW27" s="216">
        <f t="shared" si="11"/>
        <v>0</v>
      </c>
      <c r="AX27" s="218">
        <f t="shared" si="12"/>
        <v>1.4831709199797398</v>
      </c>
      <c r="AY27" s="216">
        <f t="shared" si="13"/>
        <v>0.77643477842613629</v>
      </c>
      <c r="AZ27" s="217">
        <f t="shared" si="14"/>
        <v>3.5883638597441294</v>
      </c>
      <c r="BA27" s="216">
        <f t="shared" si="15"/>
        <v>0</v>
      </c>
      <c r="BB27" s="216">
        <f t="shared" si="16"/>
        <v>1.0016542390239327</v>
      </c>
      <c r="BC27" s="216">
        <f t="shared" si="17"/>
        <v>1</v>
      </c>
    </row>
    <row r="28" spans="1:55" ht="20.100000000000001" customHeight="1" x14ac:dyDescent="0.2">
      <c r="A28" s="45">
        <v>0.54166666666666696</v>
      </c>
      <c r="B28" s="451"/>
      <c r="C28" s="451"/>
      <c r="D28" s="451">
        <v>8.4</v>
      </c>
      <c r="E28" s="451">
        <v>71.2</v>
      </c>
      <c r="F28" s="41">
        <v>1951</v>
      </c>
      <c r="G28" s="37">
        <v>-5.6</v>
      </c>
      <c r="H28" s="37">
        <v>72.8</v>
      </c>
      <c r="I28" s="37">
        <v>22.3</v>
      </c>
      <c r="J28" s="41">
        <v>524</v>
      </c>
      <c r="K28" s="37">
        <v>13</v>
      </c>
      <c r="L28" s="451">
        <v>134</v>
      </c>
      <c r="M28" s="451">
        <v>226</v>
      </c>
      <c r="N28" s="451">
        <v>90</v>
      </c>
      <c r="O28" s="353">
        <v>45</v>
      </c>
      <c r="P28" s="353">
        <v>13</v>
      </c>
      <c r="Q28" s="353">
        <v>248.28</v>
      </c>
      <c r="R28" s="37"/>
      <c r="S28" s="508" t="str">
        <f t="shared" si="0"/>
        <v/>
      </c>
      <c r="T28" s="508"/>
      <c r="U28" s="508"/>
      <c r="V28" s="508"/>
      <c r="X28" s="45">
        <v>0.54166666666666696</v>
      </c>
      <c r="Y28" s="106"/>
      <c r="Z28" s="102"/>
      <c r="AA28" s="102"/>
      <c r="AB28" s="45" t="str">
        <f t="shared" si="18"/>
        <v/>
      </c>
      <c r="AC28" s="45" t="str">
        <f t="shared" si="1"/>
        <v/>
      </c>
      <c r="AD28" s="81"/>
      <c r="AE28" s="9" t="str">
        <f>IF(S28="","",IF(COUNTA(Z28:$Z$39)=1,IF(COUNTA(AD28:$AD$39)=1,""," ; "),IF(COUNTA(AD28:$AD$39)=1,IF(Z28="",""," ; ")," ; ")))</f>
        <v/>
      </c>
      <c r="AF28" s="9" t="str">
        <f t="shared" si="2"/>
        <v/>
      </c>
      <c r="AG28" s="90" t="str">
        <f t="shared" si="3"/>
        <v/>
      </c>
      <c r="AH28" s="204" t="s">
        <v>278</v>
      </c>
      <c r="AJ28" s="206">
        <f t="shared" si="19"/>
        <v>500</v>
      </c>
      <c r="AK28" s="206">
        <f t="shared" si="19"/>
        <v>100</v>
      </c>
      <c r="AL28" s="206">
        <f t="shared" si="19"/>
        <v>2</v>
      </c>
      <c r="AM28" s="213">
        <f t="shared" si="19"/>
        <v>0.875</v>
      </c>
      <c r="AN28" s="214">
        <f t="shared" si="19"/>
        <v>0.63607464142166403</v>
      </c>
      <c r="AO28" s="215">
        <f t="shared" si="4"/>
        <v>-14.7</v>
      </c>
      <c r="AP28" s="216">
        <f t="shared" si="5"/>
        <v>1</v>
      </c>
      <c r="AQ28" s="216">
        <f t="shared" si="6"/>
        <v>1</v>
      </c>
      <c r="AR28" s="215">
        <f t="shared" si="20"/>
        <v>158.47</v>
      </c>
      <c r="AS28" s="216">
        <f t="shared" si="7"/>
        <v>0.9723448696087954</v>
      </c>
      <c r="AT28" s="216">
        <f t="shared" si="8"/>
        <v>1.2538510821608391</v>
      </c>
      <c r="AU28" s="216">
        <f t="shared" si="9"/>
        <v>2.2360679774997898</v>
      </c>
      <c r="AV28" s="217">
        <f t="shared" si="10"/>
        <v>10.368348541764712</v>
      </c>
      <c r="AW28" s="216">
        <f t="shared" si="11"/>
        <v>0</v>
      </c>
      <c r="AX28" s="218">
        <f t="shared" si="12"/>
        <v>1.4831709199797398</v>
      </c>
      <c r="AY28" s="216">
        <f t="shared" si="13"/>
        <v>0.77643477842613629</v>
      </c>
      <c r="AZ28" s="217">
        <f t="shared" si="14"/>
        <v>3.5883638597441294</v>
      </c>
      <c r="BA28" s="216">
        <f t="shared" si="15"/>
        <v>0</v>
      </c>
      <c r="BB28" s="216">
        <f t="shared" si="16"/>
        <v>1.0016542390239327</v>
      </c>
      <c r="BC28" s="216">
        <f t="shared" si="17"/>
        <v>1</v>
      </c>
    </row>
    <row r="29" spans="1:55" ht="20.100000000000001" customHeight="1" x14ac:dyDescent="0.2">
      <c r="A29" s="45">
        <v>0.58333333333333304</v>
      </c>
      <c r="B29" s="451"/>
      <c r="C29" s="451"/>
      <c r="D29" s="451">
        <v>8.8000000000000007</v>
      </c>
      <c r="E29" s="451">
        <v>71.599999999999994</v>
      </c>
      <c r="F29" s="41">
        <v>1966</v>
      </c>
      <c r="G29" s="37">
        <v>-5.6</v>
      </c>
      <c r="H29" s="37">
        <v>72.099999999999994</v>
      </c>
      <c r="I29" s="37">
        <v>22.1</v>
      </c>
      <c r="J29" s="41">
        <v>525</v>
      </c>
      <c r="K29" s="37">
        <v>13</v>
      </c>
      <c r="L29" s="451">
        <v>135</v>
      </c>
      <c r="M29" s="451">
        <v>226</v>
      </c>
      <c r="N29" s="451">
        <v>90</v>
      </c>
      <c r="O29" s="353">
        <v>45</v>
      </c>
      <c r="P29" s="353">
        <v>14</v>
      </c>
      <c r="Q29" s="353">
        <v>257.58</v>
      </c>
      <c r="R29" s="37"/>
      <c r="S29" s="508" t="str">
        <f t="shared" si="0"/>
        <v/>
      </c>
      <c r="T29" s="508"/>
      <c r="U29" s="508"/>
      <c r="V29" s="508"/>
      <c r="X29" s="45">
        <v>0.58333333333333304</v>
      </c>
      <c r="Y29" s="106"/>
      <c r="Z29" s="102"/>
      <c r="AA29" s="102"/>
      <c r="AB29" s="45" t="str">
        <f t="shared" si="18"/>
        <v/>
      </c>
      <c r="AC29" s="45" t="str">
        <f t="shared" si="1"/>
        <v/>
      </c>
      <c r="AD29" s="81"/>
      <c r="AE29" s="9" t="str">
        <f>IF(S29="","",IF(COUNTA(Z29:$Z$39)=1,IF(COUNTA(AD29:$AD$39)=1,""," ; "),IF(COUNTA(AD29:$AD$39)=1,IF(Z29="",""," ; ")," ; ")))</f>
        <v/>
      </c>
      <c r="AF29" s="9" t="str">
        <f t="shared" si="2"/>
        <v/>
      </c>
      <c r="AG29" s="90" t="str">
        <f t="shared" si="3"/>
        <v/>
      </c>
      <c r="AH29" s="204" t="s">
        <v>224</v>
      </c>
      <c r="AJ29" s="206">
        <f t="shared" si="19"/>
        <v>500</v>
      </c>
      <c r="AK29" s="206">
        <f t="shared" si="19"/>
        <v>100</v>
      </c>
      <c r="AL29" s="206">
        <f t="shared" si="19"/>
        <v>2</v>
      </c>
      <c r="AM29" s="213">
        <f t="shared" si="19"/>
        <v>0.875</v>
      </c>
      <c r="AN29" s="214">
        <f t="shared" si="19"/>
        <v>0.63607464142166403</v>
      </c>
      <c r="AO29" s="215">
        <f t="shared" si="4"/>
        <v>-14.7</v>
      </c>
      <c r="AP29" s="216">
        <f t="shared" si="5"/>
        <v>1</v>
      </c>
      <c r="AQ29" s="216">
        <f t="shared" si="6"/>
        <v>1</v>
      </c>
      <c r="AR29" s="215">
        <f t="shared" si="20"/>
        <v>158.47</v>
      </c>
      <c r="AS29" s="216">
        <f t="shared" si="7"/>
        <v>0.9723448696087954</v>
      </c>
      <c r="AT29" s="216">
        <f t="shared" si="8"/>
        <v>1.2538510821608391</v>
      </c>
      <c r="AU29" s="216">
        <f t="shared" si="9"/>
        <v>2.2360679774997898</v>
      </c>
      <c r="AV29" s="217">
        <f t="shared" si="10"/>
        <v>10.368348541764712</v>
      </c>
      <c r="AW29" s="216">
        <f t="shared" si="11"/>
        <v>0</v>
      </c>
      <c r="AX29" s="218">
        <f t="shared" si="12"/>
        <v>1.4831709199797398</v>
      </c>
      <c r="AY29" s="216">
        <f t="shared" si="13"/>
        <v>0.77643477842613629</v>
      </c>
      <c r="AZ29" s="217">
        <f t="shared" si="14"/>
        <v>3.5883638597441294</v>
      </c>
      <c r="BA29" s="216">
        <f t="shared" si="15"/>
        <v>0</v>
      </c>
      <c r="BB29" s="216">
        <f t="shared" si="16"/>
        <v>1.0016542390239327</v>
      </c>
      <c r="BC29" s="216">
        <f t="shared" si="17"/>
        <v>1</v>
      </c>
    </row>
    <row r="30" spans="1:55" ht="20.100000000000001" customHeight="1" x14ac:dyDescent="0.2">
      <c r="A30" s="45">
        <v>0.625</v>
      </c>
      <c r="B30" s="451"/>
      <c r="C30" s="451"/>
      <c r="D30" s="451">
        <v>8.4</v>
      </c>
      <c r="E30" s="451">
        <v>71.2</v>
      </c>
      <c r="F30" s="41">
        <v>1945</v>
      </c>
      <c r="G30" s="37">
        <v>-5.6</v>
      </c>
      <c r="H30" s="37">
        <v>72.900000000000006</v>
      </c>
      <c r="I30" s="37">
        <v>22.9</v>
      </c>
      <c r="J30" s="41">
        <v>526</v>
      </c>
      <c r="K30" s="37">
        <v>13</v>
      </c>
      <c r="L30" s="451">
        <v>136</v>
      </c>
      <c r="M30" s="451">
        <v>227</v>
      </c>
      <c r="N30" s="451">
        <v>90</v>
      </c>
      <c r="O30" s="353">
        <v>30</v>
      </c>
      <c r="P30" s="353">
        <v>17</v>
      </c>
      <c r="Q30" s="353">
        <v>244.99</v>
      </c>
      <c r="R30" s="37"/>
      <c r="S30" s="508" t="str">
        <f t="shared" si="0"/>
        <v/>
      </c>
      <c r="T30" s="508"/>
      <c r="U30" s="508"/>
      <c r="V30" s="508"/>
      <c r="X30" s="45">
        <v>0.625</v>
      </c>
      <c r="Y30" s="106"/>
      <c r="Z30" s="102"/>
      <c r="AA30" s="102"/>
      <c r="AB30" s="45" t="str">
        <f t="shared" si="18"/>
        <v/>
      </c>
      <c r="AC30" s="45" t="str">
        <f t="shared" si="1"/>
        <v/>
      </c>
      <c r="AD30" s="81"/>
      <c r="AE30" s="9" t="str">
        <f>IF(S30="","",IF(COUNTA(Z30:$Z$39)=1,IF(COUNTA(AD30:$AD$39)=1,""," ; "),IF(COUNTA(AD30:$AD$39)=1,IF(Z30="",""," ; ")," ; ")))</f>
        <v/>
      </c>
      <c r="AF30" s="9" t="str">
        <f t="shared" si="2"/>
        <v/>
      </c>
      <c r="AG30" s="90" t="str">
        <f t="shared" si="3"/>
        <v/>
      </c>
      <c r="AH30" s="204" t="s">
        <v>260</v>
      </c>
      <c r="AJ30" s="206">
        <f t="shared" si="19"/>
        <v>500</v>
      </c>
      <c r="AK30" s="206">
        <f t="shared" si="19"/>
        <v>100</v>
      </c>
      <c r="AL30" s="206">
        <f t="shared" si="19"/>
        <v>2</v>
      </c>
      <c r="AM30" s="213">
        <f t="shared" si="19"/>
        <v>0.875</v>
      </c>
      <c r="AN30" s="214">
        <f t="shared" si="19"/>
        <v>0.63607464142166403</v>
      </c>
      <c r="AO30" s="215">
        <f t="shared" si="4"/>
        <v>-14.7</v>
      </c>
      <c r="AP30" s="216">
        <f t="shared" si="5"/>
        <v>1</v>
      </c>
      <c r="AQ30" s="216">
        <f t="shared" si="6"/>
        <v>1</v>
      </c>
      <c r="AR30" s="215">
        <f t="shared" si="20"/>
        <v>158.47</v>
      </c>
      <c r="AS30" s="216">
        <f t="shared" si="7"/>
        <v>0.9723448696087954</v>
      </c>
      <c r="AT30" s="216">
        <f t="shared" si="8"/>
        <v>1.2538510821608391</v>
      </c>
      <c r="AU30" s="216">
        <f t="shared" si="9"/>
        <v>2.2360679774997898</v>
      </c>
      <c r="AV30" s="217">
        <f t="shared" si="10"/>
        <v>10.368348541764712</v>
      </c>
      <c r="AW30" s="216">
        <f t="shared" si="11"/>
        <v>0</v>
      </c>
      <c r="AX30" s="218">
        <f t="shared" si="12"/>
        <v>1.4831709199797398</v>
      </c>
      <c r="AY30" s="216">
        <f t="shared" si="13"/>
        <v>0.77643477842613629</v>
      </c>
      <c r="AZ30" s="217">
        <f t="shared" si="14"/>
        <v>3.5883638597441294</v>
      </c>
      <c r="BA30" s="216">
        <f t="shared" si="15"/>
        <v>0</v>
      </c>
      <c r="BB30" s="216">
        <f t="shared" si="16"/>
        <v>1.0016542390239327</v>
      </c>
      <c r="BC30" s="216">
        <f t="shared" si="17"/>
        <v>1</v>
      </c>
    </row>
    <row r="31" spans="1:55" ht="20.100000000000001" customHeight="1" x14ac:dyDescent="0.2">
      <c r="A31" s="45">
        <v>0.66666666666666696</v>
      </c>
      <c r="B31" s="451"/>
      <c r="C31" s="451"/>
      <c r="D31" s="451">
        <v>8.1999999999999993</v>
      </c>
      <c r="E31" s="451">
        <v>70.8</v>
      </c>
      <c r="F31" s="41">
        <v>1951</v>
      </c>
      <c r="G31" s="37">
        <v>-5.6</v>
      </c>
      <c r="H31" s="37">
        <v>72.400000000000006</v>
      </c>
      <c r="I31" s="37">
        <v>22.3</v>
      </c>
      <c r="J31" s="41">
        <v>527</v>
      </c>
      <c r="K31" s="37">
        <v>13</v>
      </c>
      <c r="L31" s="451">
        <v>136</v>
      </c>
      <c r="M31" s="451">
        <v>227</v>
      </c>
      <c r="N31" s="451">
        <v>90</v>
      </c>
      <c r="O31" s="353">
        <v>30</v>
      </c>
      <c r="P31" s="353">
        <v>16</v>
      </c>
      <c r="Q31" s="353">
        <v>237.74</v>
      </c>
      <c r="R31" s="37"/>
      <c r="S31" s="508" t="str">
        <f t="shared" si="0"/>
        <v/>
      </c>
      <c r="T31" s="508"/>
      <c r="U31" s="508"/>
      <c r="V31" s="508"/>
      <c r="X31" s="45">
        <v>0.66666666666666696</v>
      </c>
      <c r="Y31" s="106"/>
      <c r="Z31" s="102"/>
      <c r="AA31" s="102"/>
      <c r="AB31" s="45" t="str">
        <f t="shared" si="18"/>
        <v/>
      </c>
      <c r="AC31" s="45" t="str">
        <f t="shared" si="1"/>
        <v/>
      </c>
      <c r="AD31" s="81"/>
      <c r="AE31" s="9" t="str">
        <f>IF(S31="","",IF(COUNTA(Z31:$Z$39)=1,IF(COUNTA(AD31:$AD$39)=1,""," ; "),IF(COUNTA(AD31:$AD$39)=1,IF(Z31="",""," ; ")," ; ")))</f>
        <v/>
      </c>
      <c r="AF31" s="9" t="str">
        <f t="shared" si="2"/>
        <v/>
      </c>
      <c r="AG31" s="90" t="str">
        <f t="shared" si="3"/>
        <v/>
      </c>
      <c r="AH31" s="204" t="s">
        <v>226</v>
      </c>
      <c r="AJ31" s="206">
        <f t="shared" si="19"/>
        <v>500</v>
      </c>
      <c r="AK31" s="206">
        <f t="shared" si="19"/>
        <v>100</v>
      </c>
      <c r="AL31" s="206">
        <f t="shared" si="19"/>
        <v>2</v>
      </c>
      <c r="AM31" s="213">
        <f t="shared" si="19"/>
        <v>0.875</v>
      </c>
      <c r="AN31" s="214">
        <f t="shared" si="19"/>
        <v>0.63607464142166403</v>
      </c>
      <c r="AO31" s="215">
        <f t="shared" si="4"/>
        <v>-14.7</v>
      </c>
      <c r="AP31" s="216">
        <f t="shared" si="5"/>
        <v>1</v>
      </c>
      <c r="AQ31" s="216">
        <f t="shared" si="6"/>
        <v>1</v>
      </c>
      <c r="AR31" s="215">
        <f t="shared" si="20"/>
        <v>158.47</v>
      </c>
      <c r="AS31" s="216">
        <f t="shared" si="7"/>
        <v>0.9723448696087954</v>
      </c>
      <c r="AT31" s="216">
        <f t="shared" si="8"/>
        <v>1.2538510821608391</v>
      </c>
      <c r="AU31" s="216">
        <f t="shared" si="9"/>
        <v>2.2360679774997898</v>
      </c>
      <c r="AV31" s="217">
        <f t="shared" si="10"/>
        <v>10.368348541764712</v>
      </c>
      <c r="AW31" s="216">
        <f t="shared" si="11"/>
        <v>0</v>
      </c>
      <c r="AX31" s="218">
        <f t="shared" si="12"/>
        <v>1.4831709199797398</v>
      </c>
      <c r="AY31" s="216">
        <f t="shared" si="13"/>
        <v>0.77643477842613629</v>
      </c>
      <c r="AZ31" s="217">
        <f t="shared" si="14"/>
        <v>3.5883638597441294</v>
      </c>
      <c r="BA31" s="216">
        <f t="shared" si="15"/>
        <v>0</v>
      </c>
      <c r="BB31" s="216">
        <f t="shared" si="16"/>
        <v>1.0016542390239327</v>
      </c>
      <c r="BC31" s="216">
        <f t="shared" si="17"/>
        <v>1</v>
      </c>
    </row>
    <row r="32" spans="1:55" ht="20.100000000000001" customHeight="1" x14ac:dyDescent="0.2">
      <c r="A32" s="45">
        <v>0.70833333333333304</v>
      </c>
      <c r="B32" s="451"/>
      <c r="C32" s="451"/>
      <c r="D32" s="451">
        <v>8.4</v>
      </c>
      <c r="E32" s="451">
        <v>68.2</v>
      </c>
      <c r="F32" s="41">
        <v>1966</v>
      </c>
      <c r="G32" s="37">
        <v>-5.6</v>
      </c>
      <c r="H32" s="37">
        <v>72.099999999999994</v>
      </c>
      <c r="I32" s="37">
        <v>22.1</v>
      </c>
      <c r="J32" s="41">
        <v>528</v>
      </c>
      <c r="K32" s="37">
        <v>13</v>
      </c>
      <c r="L32" s="451">
        <v>136</v>
      </c>
      <c r="M32" s="451">
        <v>227</v>
      </c>
      <c r="N32" s="451">
        <v>90</v>
      </c>
      <c r="O32" s="353">
        <v>30</v>
      </c>
      <c r="P32" s="353">
        <v>16</v>
      </c>
      <c r="Q32" s="353">
        <v>237.74</v>
      </c>
      <c r="R32" s="37"/>
      <c r="S32" s="508" t="str">
        <f t="shared" si="0"/>
        <v/>
      </c>
      <c r="T32" s="508"/>
      <c r="U32" s="508"/>
      <c r="V32" s="508"/>
      <c r="X32" s="45">
        <v>0.70833333333333304</v>
      </c>
      <c r="Y32" s="106"/>
      <c r="Z32" s="102"/>
      <c r="AA32" s="102"/>
      <c r="AB32" s="45" t="str">
        <f t="shared" si="18"/>
        <v/>
      </c>
      <c r="AC32" s="45" t="str">
        <f t="shared" si="1"/>
        <v/>
      </c>
      <c r="AD32" s="81"/>
      <c r="AE32" s="9" t="str">
        <f>IF(S32="","",IF(COUNTA(Z32:$Z$39)=1,IF(COUNTA(AD32:$AD$39)=1,""," ; "),IF(COUNTA(AD32:$AD$39)=1,IF(Z32="",""," ; ")," ; ")))</f>
        <v/>
      </c>
      <c r="AF32" s="9" t="str">
        <f t="shared" si="2"/>
        <v/>
      </c>
      <c r="AG32" s="90" t="str">
        <f t="shared" si="3"/>
        <v/>
      </c>
      <c r="AH32" s="204" t="s">
        <v>313</v>
      </c>
      <c r="AJ32" s="206">
        <f t="shared" si="19"/>
        <v>500</v>
      </c>
      <c r="AK32" s="206">
        <f t="shared" si="19"/>
        <v>100</v>
      </c>
      <c r="AL32" s="206">
        <f t="shared" si="19"/>
        <v>2</v>
      </c>
      <c r="AM32" s="213">
        <f t="shared" si="19"/>
        <v>0.875</v>
      </c>
      <c r="AN32" s="214">
        <f t="shared" si="19"/>
        <v>0.63607464142166403</v>
      </c>
      <c r="AO32" s="215">
        <f t="shared" si="4"/>
        <v>-14.7</v>
      </c>
      <c r="AP32" s="216">
        <f t="shared" si="5"/>
        <v>1</v>
      </c>
      <c r="AQ32" s="216">
        <f t="shared" si="6"/>
        <v>1</v>
      </c>
      <c r="AR32" s="215">
        <f t="shared" si="20"/>
        <v>158.47</v>
      </c>
      <c r="AS32" s="216">
        <f t="shared" si="7"/>
        <v>0.9723448696087954</v>
      </c>
      <c r="AT32" s="216">
        <f t="shared" si="8"/>
        <v>1.2538510821608391</v>
      </c>
      <c r="AU32" s="216">
        <f t="shared" si="9"/>
        <v>2.2360679774997898</v>
      </c>
      <c r="AV32" s="217">
        <f t="shared" si="10"/>
        <v>10.368348541764712</v>
      </c>
      <c r="AW32" s="216">
        <f t="shared" si="11"/>
        <v>0</v>
      </c>
      <c r="AX32" s="218">
        <f t="shared" si="12"/>
        <v>1.4831709199797398</v>
      </c>
      <c r="AY32" s="216">
        <f t="shared" si="13"/>
        <v>0.77643477842613629</v>
      </c>
      <c r="AZ32" s="217">
        <f t="shared" si="14"/>
        <v>3.5883638597441294</v>
      </c>
      <c r="BA32" s="216">
        <f t="shared" si="15"/>
        <v>0</v>
      </c>
      <c r="BB32" s="216">
        <f t="shared" si="16"/>
        <v>1.0016542390239327</v>
      </c>
      <c r="BC32" s="216">
        <f t="shared" si="17"/>
        <v>1</v>
      </c>
    </row>
    <row r="33" spans="1:55" ht="20.100000000000001" customHeight="1" x14ac:dyDescent="0.2">
      <c r="A33" s="45">
        <v>0.75</v>
      </c>
      <c r="B33" s="451"/>
      <c r="C33" s="451"/>
      <c r="D33" s="451">
        <v>7.9</v>
      </c>
      <c r="E33" s="451">
        <v>68.7</v>
      </c>
      <c r="F33" s="41">
        <v>1948</v>
      </c>
      <c r="G33" s="37">
        <v>-5.6</v>
      </c>
      <c r="H33" s="37">
        <v>72.8</v>
      </c>
      <c r="I33" s="37">
        <v>22.8</v>
      </c>
      <c r="J33" s="41">
        <v>529</v>
      </c>
      <c r="K33" s="37">
        <v>13</v>
      </c>
      <c r="L33" s="451">
        <v>136</v>
      </c>
      <c r="M33" s="451">
        <v>225</v>
      </c>
      <c r="N33" s="451">
        <v>90</v>
      </c>
      <c r="O33" s="353">
        <v>30</v>
      </c>
      <c r="P33" s="353">
        <v>17</v>
      </c>
      <c r="Q33" s="353">
        <v>244.99</v>
      </c>
      <c r="R33" s="37"/>
      <c r="S33" s="508" t="str">
        <f>IF(Z33="",IF(AD33="","",AD33),CONCATENATE(TEXT(Z33,"[hh]:mm"),IF(AA33="",""," - "&amp;TEXT(AA33,"[hh]:mm")),IF(Y33="",""," "&amp;Y33&amp;"/")," "&amp;AD33))</f>
        <v/>
      </c>
      <c r="T33" s="508"/>
      <c r="U33" s="508"/>
      <c r="V33" s="508"/>
      <c r="X33" s="45">
        <v>0.75</v>
      </c>
      <c r="Y33" s="106"/>
      <c r="Z33" s="102"/>
      <c r="AA33" s="102"/>
      <c r="AB33" s="45" t="str">
        <f t="shared" si="18"/>
        <v/>
      </c>
      <c r="AC33" s="45" t="str">
        <f t="shared" si="1"/>
        <v/>
      </c>
      <c r="AD33" s="81"/>
      <c r="AE33" s="9" t="str">
        <f>IF(S33="","",IF(COUNTA(Z33:$Z$39)=1,IF(COUNTA(AD33:$AD$39)=1,""," ; "),IF(COUNTA(AD33:$AD$39)=1,IF(Z33="",""," ; ")," ; ")))</f>
        <v/>
      </c>
      <c r="AF33" s="9" t="str">
        <f t="shared" si="2"/>
        <v/>
      </c>
      <c r="AG33" s="90" t="str">
        <f t="shared" si="3"/>
        <v/>
      </c>
      <c r="AH33" s="204" t="s">
        <v>308</v>
      </c>
      <c r="AJ33" s="206">
        <f t="shared" ref="AJ33:AN39" si="21">AJ32</f>
        <v>500</v>
      </c>
      <c r="AK33" s="206">
        <f t="shared" si="21"/>
        <v>100</v>
      </c>
      <c r="AL33" s="206">
        <f t="shared" si="21"/>
        <v>2</v>
      </c>
      <c r="AM33" s="213">
        <f t="shared" si="21"/>
        <v>0.875</v>
      </c>
      <c r="AN33" s="214">
        <f t="shared" si="21"/>
        <v>0.63607464142166403</v>
      </c>
      <c r="AO33" s="215">
        <f t="shared" si="4"/>
        <v>-14.7</v>
      </c>
      <c r="AP33" s="216">
        <f t="shared" si="5"/>
        <v>1</v>
      </c>
      <c r="AQ33" s="216">
        <f t="shared" si="6"/>
        <v>1</v>
      </c>
      <c r="AR33" s="215">
        <f t="shared" si="20"/>
        <v>158.47</v>
      </c>
      <c r="AS33" s="216">
        <f t="shared" si="7"/>
        <v>0.9723448696087954</v>
      </c>
      <c r="AT33" s="216">
        <f t="shared" si="8"/>
        <v>1.2538510821608391</v>
      </c>
      <c r="AU33" s="216">
        <f t="shared" si="9"/>
        <v>2.2360679774997898</v>
      </c>
      <c r="AV33" s="217">
        <f t="shared" si="10"/>
        <v>10.368348541764712</v>
      </c>
      <c r="AW33" s="216">
        <f t="shared" si="11"/>
        <v>0</v>
      </c>
      <c r="AX33" s="218">
        <f t="shared" si="12"/>
        <v>1.4831709199797398</v>
      </c>
      <c r="AY33" s="216">
        <f t="shared" si="13"/>
        <v>0.77643477842613629</v>
      </c>
      <c r="AZ33" s="217">
        <f t="shared" si="14"/>
        <v>3.5883638597441294</v>
      </c>
      <c r="BA33" s="216">
        <f t="shared" si="15"/>
        <v>0</v>
      </c>
      <c r="BB33" s="216">
        <f t="shared" si="16"/>
        <v>1.0016542390239327</v>
      </c>
      <c r="BC33" s="216">
        <f t="shared" si="17"/>
        <v>1</v>
      </c>
    </row>
    <row r="34" spans="1:55" ht="20.100000000000001" customHeight="1" x14ac:dyDescent="0.2">
      <c r="A34" s="45">
        <v>0.79166666666666696</v>
      </c>
      <c r="B34" s="451"/>
      <c r="C34" s="451"/>
      <c r="D34" s="451">
        <v>7.3</v>
      </c>
      <c r="E34" s="451">
        <v>68.2</v>
      </c>
      <c r="F34" s="41">
        <v>1935</v>
      </c>
      <c r="G34" s="37">
        <v>-5.6</v>
      </c>
      <c r="H34" s="37">
        <v>72.099999999999994</v>
      </c>
      <c r="I34" s="37">
        <v>22.5</v>
      </c>
      <c r="J34" s="41">
        <v>530</v>
      </c>
      <c r="K34" s="37">
        <v>13</v>
      </c>
      <c r="L34" s="451">
        <v>135</v>
      </c>
      <c r="M34" s="451">
        <v>222</v>
      </c>
      <c r="N34" s="451">
        <v>90</v>
      </c>
      <c r="O34" s="353">
        <v>30</v>
      </c>
      <c r="P34" s="353">
        <v>16</v>
      </c>
      <c r="Q34" s="353">
        <v>237.74</v>
      </c>
      <c r="R34" s="37"/>
      <c r="S34" s="508" t="str">
        <f t="shared" ref="S34:S39" si="22">IF(Z34="",IF(AD34="","",AD34),CONCATENATE(TEXT(Z34,"[hh]:mm"),IF(AA34="",""," - "&amp;TEXT(AA34,"[hh]:mm")),IF(Y34="",""," "&amp;Y34&amp;"/")," "&amp;AD34))</f>
        <v/>
      </c>
      <c r="T34" s="508"/>
      <c r="U34" s="508"/>
      <c r="V34" s="508"/>
      <c r="X34" s="45">
        <v>0.79166666666666696</v>
      </c>
      <c r="Y34" s="106"/>
      <c r="Z34" s="102"/>
      <c r="AA34" s="102"/>
      <c r="AB34" s="45" t="str">
        <f t="shared" si="18"/>
        <v/>
      </c>
      <c r="AC34" s="45" t="str">
        <f t="shared" si="1"/>
        <v/>
      </c>
      <c r="AD34" s="81"/>
      <c r="AE34" s="9" t="str">
        <f>IF(S34="","",IF(COUNTA(Z34:$Z$39)=1,IF(COUNTA(AD34:$AD$39)=1,""," ; "),IF(COUNTA(AD34:$AD$39)=1,IF(Z34="",""," ; ")," ; ")))</f>
        <v/>
      </c>
      <c r="AF34" s="9" t="str">
        <f t="shared" si="2"/>
        <v/>
      </c>
      <c r="AG34" s="90" t="str">
        <f t="shared" si="3"/>
        <v/>
      </c>
      <c r="AH34" s="204" t="s">
        <v>314</v>
      </c>
      <c r="AJ34" s="206">
        <f t="shared" si="21"/>
        <v>500</v>
      </c>
      <c r="AK34" s="206">
        <f t="shared" si="21"/>
        <v>100</v>
      </c>
      <c r="AL34" s="206">
        <f t="shared" si="21"/>
        <v>2</v>
      </c>
      <c r="AM34" s="213">
        <f t="shared" si="21"/>
        <v>0.875</v>
      </c>
      <c r="AN34" s="214">
        <f t="shared" si="21"/>
        <v>0.63607464142166403</v>
      </c>
      <c r="AO34" s="215">
        <f t="shared" si="4"/>
        <v>-14.7</v>
      </c>
      <c r="AP34" s="216">
        <f t="shared" si="5"/>
        <v>1</v>
      </c>
      <c r="AQ34" s="216">
        <f t="shared" si="6"/>
        <v>1</v>
      </c>
      <c r="AR34" s="215">
        <f t="shared" si="20"/>
        <v>158.47</v>
      </c>
      <c r="AS34" s="216">
        <f t="shared" si="7"/>
        <v>0.9723448696087954</v>
      </c>
      <c r="AT34" s="216">
        <f t="shared" si="8"/>
        <v>1.2538510821608391</v>
      </c>
      <c r="AU34" s="216">
        <f t="shared" si="9"/>
        <v>2.2360679774997898</v>
      </c>
      <c r="AV34" s="217">
        <f t="shared" si="10"/>
        <v>10.368348541764712</v>
      </c>
      <c r="AW34" s="216">
        <f t="shared" si="11"/>
        <v>0</v>
      </c>
      <c r="AX34" s="218">
        <f t="shared" si="12"/>
        <v>1.4831709199797398</v>
      </c>
      <c r="AY34" s="216">
        <f t="shared" si="13"/>
        <v>0.77643477842613629</v>
      </c>
      <c r="AZ34" s="217">
        <f t="shared" si="14"/>
        <v>3.5883638597441294</v>
      </c>
      <c r="BA34" s="216">
        <f t="shared" si="15"/>
        <v>0</v>
      </c>
      <c r="BB34" s="216">
        <f t="shared" si="16"/>
        <v>1.0016542390239327</v>
      </c>
      <c r="BC34" s="216">
        <f t="shared" si="17"/>
        <v>1</v>
      </c>
    </row>
    <row r="35" spans="1:55" ht="20.100000000000001" customHeight="1" x14ac:dyDescent="0.2">
      <c r="A35" s="45">
        <v>0.83333333333333304</v>
      </c>
      <c r="B35" s="451"/>
      <c r="C35" s="451"/>
      <c r="D35" s="451">
        <v>6.6</v>
      </c>
      <c r="E35" s="451">
        <v>65.400000000000006</v>
      </c>
      <c r="F35" s="41">
        <v>1922</v>
      </c>
      <c r="G35" s="37">
        <v>-5.6</v>
      </c>
      <c r="H35" s="37">
        <v>72.400000000000006</v>
      </c>
      <c r="I35" s="37">
        <v>22.6</v>
      </c>
      <c r="J35" s="41">
        <v>531</v>
      </c>
      <c r="K35" s="37">
        <v>13</v>
      </c>
      <c r="L35" s="451">
        <v>132</v>
      </c>
      <c r="M35" s="451">
        <v>222</v>
      </c>
      <c r="N35" s="451">
        <v>90</v>
      </c>
      <c r="O35" s="353">
        <v>30</v>
      </c>
      <c r="P35" s="353">
        <v>16</v>
      </c>
      <c r="Q35" s="353">
        <v>237.74</v>
      </c>
      <c r="R35" s="37"/>
      <c r="S35" s="508" t="str">
        <f t="shared" si="22"/>
        <v/>
      </c>
      <c r="T35" s="508"/>
      <c r="U35" s="508"/>
      <c r="V35" s="508"/>
      <c r="X35" s="45">
        <v>0.83333333333333304</v>
      </c>
      <c r="Y35" s="106"/>
      <c r="Z35" s="102"/>
      <c r="AA35" s="102"/>
      <c r="AB35" s="45" t="str">
        <f t="shared" si="18"/>
        <v/>
      </c>
      <c r="AC35" s="45" t="str">
        <f t="shared" si="1"/>
        <v/>
      </c>
      <c r="AD35" s="81"/>
      <c r="AE35" s="9" t="str">
        <f>IF(S35="","",IF(COUNTA(Z35:$Z$39)=1,IF(COUNTA(AD35:$AD$39)=1,""," ; "),IF(COUNTA(AD35:$AD$39)=1,IF(Z35="",""," ; ")," ; ")))</f>
        <v/>
      </c>
      <c r="AF35" s="9" t="str">
        <f t="shared" si="2"/>
        <v/>
      </c>
      <c r="AG35" s="90" t="str">
        <f t="shared" si="3"/>
        <v/>
      </c>
      <c r="AH35" s="204" t="s">
        <v>227</v>
      </c>
      <c r="AJ35" s="206">
        <f t="shared" si="21"/>
        <v>500</v>
      </c>
      <c r="AK35" s="206">
        <f t="shared" si="21"/>
        <v>100</v>
      </c>
      <c r="AL35" s="206">
        <f t="shared" si="21"/>
        <v>2</v>
      </c>
      <c r="AM35" s="213">
        <f t="shared" si="21"/>
        <v>0.875</v>
      </c>
      <c r="AN35" s="214">
        <f t="shared" si="21"/>
        <v>0.63607464142166403</v>
      </c>
      <c r="AO35" s="215">
        <f t="shared" si="4"/>
        <v>-14.7</v>
      </c>
      <c r="AP35" s="216">
        <f t="shared" si="5"/>
        <v>1</v>
      </c>
      <c r="AQ35" s="216">
        <f t="shared" si="6"/>
        <v>1</v>
      </c>
      <c r="AR35" s="215">
        <f t="shared" si="20"/>
        <v>158.47</v>
      </c>
      <c r="AS35" s="216">
        <f t="shared" si="7"/>
        <v>0.9723448696087954</v>
      </c>
      <c r="AT35" s="216">
        <f t="shared" si="8"/>
        <v>1.2538510821608391</v>
      </c>
      <c r="AU35" s="216">
        <f t="shared" si="9"/>
        <v>2.2360679774997898</v>
      </c>
      <c r="AV35" s="217">
        <f t="shared" si="10"/>
        <v>10.368348541764712</v>
      </c>
      <c r="AW35" s="216">
        <f t="shared" si="11"/>
        <v>0</v>
      </c>
      <c r="AX35" s="218">
        <f t="shared" si="12"/>
        <v>1.4831709199797398</v>
      </c>
      <c r="AY35" s="216">
        <f t="shared" si="13"/>
        <v>0.77643477842613629</v>
      </c>
      <c r="AZ35" s="217">
        <f t="shared" si="14"/>
        <v>3.5883638597441294</v>
      </c>
      <c r="BA35" s="216">
        <f t="shared" si="15"/>
        <v>0</v>
      </c>
      <c r="BB35" s="216">
        <f t="shared" si="16"/>
        <v>1.0016542390239327</v>
      </c>
      <c r="BC35" s="216">
        <f t="shared" si="17"/>
        <v>1</v>
      </c>
    </row>
    <row r="36" spans="1:55" ht="20.100000000000001" customHeight="1" x14ac:dyDescent="0.2">
      <c r="A36" s="45">
        <v>0.875</v>
      </c>
      <c r="B36" s="451"/>
      <c r="C36" s="451"/>
      <c r="D36" s="451">
        <v>7.2</v>
      </c>
      <c r="E36" s="451">
        <v>63.7</v>
      </c>
      <c r="F36" s="41">
        <v>1937</v>
      </c>
      <c r="G36" s="37">
        <v>-5.6</v>
      </c>
      <c r="H36" s="37">
        <v>72.099999999999994</v>
      </c>
      <c r="I36" s="37">
        <v>22.4</v>
      </c>
      <c r="J36" s="41">
        <v>532</v>
      </c>
      <c r="K36" s="37">
        <v>13</v>
      </c>
      <c r="L36" s="451">
        <v>130</v>
      </c>
      <c r="M36" s="451">
        <v>221</v>
      </c>
      <c r="N36" s="451">
        <v>90</v>
      </c>
      <c r="O36" s="353">
        <v>30</v>
      </c>
      <c r="P36" s="353">
        <v>16</v>
      </c>
      <c r="Q36" s="353">
        <v>237.74</v>
      </c>
      <c r="R36" s="37"/>
      <c r="S36" s="508" t="str">
        <f t="shared" si="22"/>
        <v/>
      </c>
      <c r="T36" s="508"/>
      <c r="U36" s="508"/>
      <c r="V36" s="508"/>
      <c r="X36" s="45">
        <v>0.875</v>
      </c>
      <c r="Y36" s="106"/>
      <c r="Z36" s="102"/>
      <c r="AA36" s="102"/>
      <c r="AB36" s="45" t="str">
        <f t="shared" si="18"/>
        <v/>
      </c>
      <c r="AC36" s="45" t="str">
        <f t="shared" si="1"/>
        <v/>
      </c>
      <c r="AD36" s="81"/>
      <c r="AE36" s="9" t="str">
        <f>IF(S36="","",IF(COUNTA(Z36:$Z$39)=1,IF(COUNTA(AD36:$AD$39)=1,""," ; "),IF(COUNTA(AD36:$AD$39)=1,IF(Z36="",""," ; ")," ; ")))</f>
        <v/>
      </c>
      <c r="AF36" s="9" t="str">
        <f t="shared" si="2"/>
        <v/>
      </c>
      <c r="AG36" s="90" t="str">
        <f t="shared" si="3"/>
        <v/>
      </c>
      <c r="AH36" s="204" t="s">
        <v>309</v>
      </c>
      <c r="AJ36" s="206">
        <f t="shared" si="21"/>
        <v>500</v>
      </c>
      <c r="AK36" s="206">
        <f t="shared" si="21"/>
        <v>100</v>
      </c>
      <c r="AL36" s="206">
        <f t="shared" si="21"/>
        <v>2</v>
      </c>
      <c r="AM36" s="213">
        <f t="shared" si="21"/>
        <v>0.875</v>
      </c>
      <c r="AN36" s="214">
        <f t="shared" si="21"/>
        <v>0.63607464142166403</v>
      </c>
      <c r="AO36" s="215">
        <f t="shared" si="4"/>
        <v>-14.7</v>
      </c>
      <c r="AP36" s="216">
        <f t="shared" si="5"/>
        <v>1</v>
      </c>
      <c r="AQ36" s="216">
        <f t="shared" si="6"/>
        <v>1</v>
      </c>
      <c r="AR36" s="215">
        <f t="shared" si="20"/>
        <v>158.47</v>
      </c>
      <c r="AS36" s="216">
        <f t="shared" si="7"/>
        <v>0.9723448696087954</v>
      </c>
      <c r="AT36" s="216">
        <f t="shared" si="8"/>
        <v>1.2538510821608391</v>
      </c>
      <c r="AU36" s="216">
        <f t="shared" si="9"/>
        <v>2.2360679774997898</v>
      </c>
      <c r="AV36" s="217">
        <f t="shared" si="10"/>
        <v>10.368348541764712</v>
      </c>
      <c r="AW36" s="216">
        <f t="shared" si="11"/>
        <v>0</v>
      </c>
      <c r="AX36" s="218">
        <f t="shared" si="12"/>
        <v>1.4831709199797398</v>
      </c>
      <c r="AY36" s="216">
        <f t="shared" si="13"/>
        <v>0.77643477842613629</v>
      </c>
      <c r="AZ36" s="217">
        <f t="shared" si="14"/>
        <v>3.5883638597441294</v>
      </c>
      <c r="BA36" s="216">
        <f t="shared" si="15"/>
        <v>0</v>
      </c>
      <c r="BB36" s="216">
        <f t="shared" si="16"/>
        <v>1.0016542390239327</v>
      </c>
      <c r="BC36" s="216">
        <f t="shared" si="17"/>
        <v>1</v>
      </c>
    </row>
    <row r="37" spans="1:55" ht="20.100000000000001" customHeight="1" x14ac:dyDescent="0.2">
      <c r="A37" s="45">
        <v>0.91666666666666696</v>
      </c>
      <c r="B37" s="451"/>
      <c r="C37" s="451"/>
      <c r="D37" s="451">
        <v>7.4</v>
      </c>
      <c r="E37" s="451">
        <v>62</v>
      </c>
      <c r="F37" s="41">
        <v>1915</v>
      </c>
      <c r="G37" s="37">
        <v>-5.6</v>
      </c>
      <c r="H37" s="37">
        <v>72</v>
      </c>
      <c r="I37" s="37">
        <v>22.1</v>
      </c>
      <c r="J37" s="41">
        <v>533</v>
      </c>
      <c r="K37" s="37">
        <v>13</v>
      </c>
      <c r="L37" s="451">
        <v>134</v>
      </c>
      <c r="M37" s="451">
        <v>221</v>
      </c>
      <c r="N37" s="451">
        <v>90</v>
      </c>
      <c r="O37" s="353">
        <v>45</v>
      </c>
      <c r="P37" s="353">
        <v>13</v>
      </c>
      <c r="Q37" s="353">
        <v>248.28</v>
      </c>
      <c r="R37" s="37"/>
      <c r="S37" s="508" t="str">
        <f t="shared" si="22"/>
        <v/>
      </c>
      <c r="T37" s="508"/>
      <c r="U37" s="508"/>
      <c r="V37" s="508"/>
      <c r="X37" s="45">
        <v>0.91666666666666696</v>
      </c>
      <c r="Y37" s="106"/>
      <c r="Z37" s="102"/>
      <c r="AA37" s="102"/>
      <c r="AB37" s="45" t="str">
        <f t="shared" si="18"/>
        <v/>
      </c>
      <c r="AC37" s="45" t="str">
        <f t="shared" si="1"/>
        <v/>
      </c>
      <c r="AD37" s="81"/>
      <c r="AE37" s="9" t="str">
        <f>IF(S37="","",IF(COUNTA(Z37:$Z$39)=1,IF(COUNTA(AD37:$AD$39)=1,""," ; "),IF(COUNTA(AD37:$AD$39)=1,IF(Z37="",""," ; ")," ; ")))</f>
        <v/>
      </c>
      <c r="AF37" s="9" t="str">
        <f t="shared" si="2"/>
        <v/>
      </c>
      <c r="AG37" s="90" t="str">
        <f t="shared" si="3"/>
        <v/>
      </c>
      <c r="AH37" s="204" t="s">
        <v>319</v>
      </c>
      <c r="AJ37" s="206">
        <f t="shared" si="21"/>
        <v>500</v>
      </c>
      <c r="AK37" s="206">
        <f t="shared" si="21"/>
        <v>100</v>
      </c>
      <c r="AL37" s="206">
        <f t="shared" si="21"/>
        <v>2</v>
      </c>
      <c r="AM37" s="213">
        <f t="shared" si="21"/>
        <v>0.875</v>
      </c>
      <c r="AN37" s="214">
        <f t="shared" si="21"/>
        <v>0.63607464142166403</v>
      </c>
      <c r="AO37" s="215">
        <f t="shared" si="4"/>
        <v>-14.7</v>
      </c>
      <c r="AP37" s="216">
        <f t="shared" si="5"/>
        <v>1</v>
      </c>
      <c r="AQ37" s="216">
        <f t="shared" si="6"/>
        <v>1</v>
      </c>
      <c r="AR37" s="215">
        <f t="shared" si="20"/>
        <v>158.47</v>
      </c>
      <c r="AS37" s="216">
        <f t="shared" si="7"/>
        <v>0.9723448696087954</v>
      </c>
      <c r="AT37" s="216">
        <f t="shared" si="8"/>
        <v>1.2538510821608391</v>
      </c>
      <c r="AU37" s="216">
        <f t="shared" si="9"/>
        <v>2.2360679774997898</v>
      </c>
      <c r="AV37" s="217">
        <f t="shared" si="10"/>
        <v>10.368348541764712</v>
      </c>
      <c r="AW37" s="216">
        <f t="shared" si="11"/>
        <v>0</v>
      </c>
      <c r="AX37" s="218">
        <f t="shared" si="12"/>
        <v>1.4831709199797398</v>
      </c>
      <c r="AY37" s="216">
        <f t="shared" si="13"/>
        <v>0.77643477842613629</v>
      </c>
      <c r="AZ37" s="217">
        <f t="shared" si="14"/>
        <v>3.5883638597441294</v>
      </c>
      <c r="BA37" s="216">
        <f t="shared" si="15"/>
        <v>0</v>
      </c>
      <c r="BB37" s="216">
        <f t="shared" si="16"/>
        <v>1.0016542390239327</v>
      </c>
      <c r="BC37" s="216">
        <f t="shared" si="17"/>
        <v>1</v>
      </c>
    </row>
    <row r="38" spans="1:55" ht="20.100000000000001" customHeight="1" x14ac:dyDescent="0.2">
      <c r="A38" s="45">
        <v>0.95833333333333304</v>
      </c>
      <c r="B38" s="451"/>
      <c r="C38" s="451"/>
      <c r="D38" s="451">
        <v>8.1999999999999993</v>
      </c>
      <c r="E38" s="451">
        <v>62.5</v>
      </c>
      <c r="F38" s="41">
        <v>1946</v>
      </c>
      <c r="G38" s="37">
        <v>-5.6</v>
      </c>
      <c r="H38" s="37">
        <v>72.5</v>
      </c>
      <c r="I38" s="37">
        <v>22.7</v>
      </c>
      <c r="J38" s="41">
        <v>534</v>
      </c>
      <c r="K38" s="37">
        <v>13</v>
      </c>
      <c r="L38" s="451">
        <v>137</v>
      </c>
      <c r="M38" s="451">
        <v>220</v>
      </c>
      <c r="N38" s="451">
        <v>90</v>
      </c>
      <c r="O38" s="353">
        <v>45</v>
      </c>
      <c r="P38" s="353">
        <v>13</v>
      </c>
      <c r="Q38" s="353">
        <v>248.28</v>
      </c>
      <c r="R38" s="37"/>
      <c r="S38" s="508" t="str">
        <f t="shared" si="22"/>
        <v/>
      </c>
      <c r="T38" s="508"/>
      <c r="U38" s="508"/>
      <c r="V38" s="508"/>
      <c r="X38" s="45">
        <v>0.95833333333333304</v>
      </c>
      <c r="Y38" s="106"/>
      <c r="Z38" s="102"/>
      <c r="AA38" s="102"/>
      <c r="AB38" s="45" t="str">
        <f t="shared" si="18"/>
        <v/>
      </c>
      <c r="AC38" s="45" t="str">
        <f t="shared" si="1"/>
        <v/>
      </c>
      <c r="AD38" s="81"/>
      <c r="AE38" s="9" t="str">
        <f>IF(S38="","",IF(COUNTA(Z38:$Z$39)=1,IF(COUNTA(AD38:$AD$39)=1,""," ; "),IF(COUNTA(AD38:$AD$39)=1,IF(Z38="",""," ; ")," ; ")))</f>
        <v/>
      </c>
      <c r="AF38" s="9" t="str">
        <f t="shared" si="2"/>
        <v/>
      </c>
      <c r="AG38" s="90" t="str">
        <f t="shared" si="3"/>
        <v/>
      </c>
      <c r="AH38" s="204" t="s">
        <v>219</v>
      </c>
      <c r="AJ38" s="206">
        <f t="shared" si="21"/>
        <v>500</v>
      </c>
      <c r="AK38" s="206">
        <f t="shared" si="21"/>
        <v>100</v>
      </c>
      <c r="AL38" s="206">
        <f t="shared" si="21"/>
        <v>2</v>
      </c>
      <c r="AM38" s="213">
        <f t="shared" si="21"/>
        <v>0.875</v>
      </c>
      <c r="AN38" s="214">
        <f t="shared" si="21"/>
        <v>0.63607464142166403</v>
      </c>
      <c r="AO38" s="215">
        <f t="shared" si="4"/>
        <v>-14.7</v>
      </c>
      <c r="AP38" s="216">
        <f t="shared" si="5"/>
        <v>1</v>
      </c>
      <c r="AQ38" s="216">
        <f t="shared" si="6"/>
        <v>1</v>
      </c>
      <c r="AR38" s="215">
        <f t="shared" si="20"/>
        <v>158.47</v>
      </c>
      <c r="AS38" s="216">
        <f t="shared" si="7"/>
        <v>0.9723448696087954</v>
      </c>
      <c r="AT38" s="216">
        <f t="shared" si="8"/>
        <v>1.2538510821608391</v>
      </c>
      <c r="AU38" s="216">
        <f t="shared" si="9"/>
        <v>2.2360679774997898</v>
      </c>
      <c r="AV38" s="217">
        <f t="shared" si="10"/>
        <v>10.368348541764712</v>
      </c>
      <c r="AW38" s="216">
        <f t="shared" si="11"/>
        <v>0</v>
      </c>
      <c r="AX38" s="218">
        <f t="shared" si="12"/>
        <v>1.4831709199797398</v>
      </c>
      <c r="AY38" s="216">
        <f t="shared" si="13"/>
        <v>0.77643477842613629</v>
      </c>
      <c r="AZ38" s="217">
        <f t="shared" si="14"/>
        <v>3.5883638597441294</v>
      </c>
      <c r="BA38" s="216">
        <f t="shared" si="15"/>
        <v>0</v>
      </c>
      <c r="BB38" s="216">
        <f t="shared" si="16"/>
        <v>1.0016542390239327</v>
      </c>
      <c r="BC38" s="216">
        <f t="shared" si="17"/>
        <v>1</v>
      </c>
    </row>
    <row r="39" spans="1:55" ht="20.100000000000001" customHeight="1" thickBot="1" x14ac:dyDescent="0.25">
      <c r="A39" s="46">
        <v>1</v>
      </c>
      <c r="B39" s="451"/>
      <c r="C39" s="451"/>
      <c r="D39" s="452">
        <v>7.1</v>
      </c>
      <c r="E39" s="452">
        <v>58.7</v>
      </c>
      <c r="F39" s="42">
        <v>1930</v>
      </c>
      <c r="G39" s="37">
        <v>-5.6</v>
      </c>
      <c r="H39" s="38">
        <v>72.2</v>
      </c>
      <c r="I39" s="37">
        <v>22.1</v>
      </c>
      <c r="J39" s="41">
        <v>535</v>
      </c>
      <c r="K39" s="37">
        <v>13</v>
      </c>
      <c r="L39" s="452">
        <v>131</v>
      </c>
      <c r="M39" s="452">
        <v>220</v>
      </c>
      <c r="N39" s="451">
        <v>90</v>
      </c>
      <c r="O39" s="353">
        <v>30</v>
      </c>
      <c r="P39" s="353">
        <v>16</v>
      </c>
      <c r="Q39" s="354">
        <v>237.74</v>
      </c>
      <c r="R39" s="38"/>
      <c r="S39" s="512" t="str">
        <f t="shared" si="22"/>
        <v/>
      </c>
      <c r="T39" s="512"/>
      <c r="U39" s="512"/>
      <c r="V39" s="512"/>
      <c r="X39" s="46">
        <v>1</v>
      </c>
      <c r="Y39" s="107"/>
      <c r="Z39" s="103"/>
      <c r="AA39" s="103"/>
      <c r="AB39" s="46" t="str">
        <f t="shared" si="18"/>
        <v/>
      </c>
      <c r="AC39" s="46" t="str">
        <f t="shared" si="1"/>
        <v/>
      </c>
      <c r="AD39" s="82"/>
      <c r="AE39" s="9" t="str">
        <f>IF(S39="","",IF(COUNTA(Z39:$Z$39)=1,IF(COUNTA(AD39:$AD$39)=1,""," ; "),IF(COUNTA(AD39:$AD$39)=1,IF(Z39="",""," ; ")," ; ")))</f>
        <v/>
      </c>
      <c r="AF39" s="9" t="str">
        <f t="shared" si="2"/>
        <v/>
      </c>
      <c r="AG39" s="90" t="str">
        <f t="shared" si="3"/>
        <v/>
      </c>
      <c r="AH39" s="204" t="s">
        <v>220</v>
      </c>
      <c r="AJ39" s="219">
        <f t="shared" si="21"/>
        <v>500</v>
      </c>
      <c r="AK39" s="219">
        <f t="shared" si="21"/>
        <v>100</v>
      </c>
      <c r="AL39" s="219">
        <f t="shared" si="21"/>
        <v>2</v>
      </c>
      <c r="AM39" s="220">
        <f t="shared" si="21"/>
        <v>0.875</v>
      </c>
      <c r="AN39" s="221">
        <f t="shared" si="21"/>
        <v>0.63607464142166403</v>
      </c>
      <c r="AO39" s="222">
        <f t="shared" si="4"/>
        <v>-14.7</v>
      </c>
      <c r="AP39" s="223">
        <f t="shared" si="5"/>
        <v>1</v>
      </c>
      <c r="AQ39" s="223">
        <f t="shared" si="6"/>
        <v>1</v>
      </c>
      <c r="AR39" s="222">
        <f t="shared" si="20"/>
        <v>158.47</v>
      </c>
      <c r="AS39" s="223">
        <f t="shared" si="7"/>
        <v>0.9723448696087954</v>
      </c>
      <c r="AT39" s="223">
        <f t="shared" si="8"/>
        <v>1.2538510821608391</v>
      </c>
      <c r="AU39" s="223">
        <f t="shared" si="9"/>
        <v>2.2360679774997898</v>
      </c>
      <c r="AV39" s="224">
        <f t="shared" si="10"/>
        <v>10.368348541764712</v>
      </c>
      <c r="AW39" s="223">
        <f t="shared" si="11"/>
        <v>0</v>
      </c>
      <c r="AX39" s="225">
        <f t="shared" si="12"/>
        <v>1.4831709199797398</v>
      </c>
      <c r="AY39" s="223">
        <f t="shared" si="13"/>
        <v>0.77643477842613629</v>
      </c>
      <c r="AZ39" s="224">
        <f t="shared" si="14"/>
        <v>3.5883638597441294</v>
      </c>
      <c r="BA39" s="223">
        <f t="shared" si="15"/>
        <v>0</v>
      </c>
      <c r="BB39" s="223">
        <f t="shared" si="16"/>
        <v>1.0016542390239327</v>
      </c>
      <c r="BC39" s="223">
        <f t="shared" si="17"/>
        <v>1</v>
      </c>
    </row>
    <row r="40" spans="1:55" ht="20.100000000000001" customHeight="1" thickBot="1" x14ac:dyDescent="0.3">
      <c r="A40" s="53" t="s">
        <v>11</v>
      </c>
      <c r="B40" s="453" t="str">
        <f>IFERROR(ROUND(AVERAGE(B16:B39),2),"")</f>
        <v/>
      </c>
      <c r="C40" s="453" t="str">
        <f>IFERROR(ROUND(AVERAGE(C16:C39),2),"")</f>
        <v/>
      </c>
      <c r="D40" s="453">
        <f>IFERROR(ROUND(AVERAGE(D16:D39),2),"")</f>
        <v>7.4</v>
      </c>
      <c r="E40" s="453">
        <f>IFERROR(ROUND(AVERAGE(E16:E39),2),"")</f>
        <v>67.900000000000006</v>
      </c>
      <c r="F40" s="55">
        <f>IFERROR(ROUND(AVERAGE(F16:F39),0),"")</f>
        <v>1945</v>
      </c>
      <c r="G40" s="54">
        <f>IFERROR(AVERAGE(G16:G39),"")</f>
        <v>-5.5999999999999979</v>
      </c>
      <c r="H40" s="54">
        <f>IFERROR(AVERAGE(H16:H39),"")</f>
        <v>72.341666666666654</v>
      </c>
      <c r="I40" s="54">
        <f>IFERROR(AVERAGE(I16:I39),"")</f>
        <v>22.420833333333338</v>
      </c>
      <c r="J40" s="71"/>
      <c r="K40" s="111">
        <f>IFERROR(AVERAGE(K16:K39),"")</f>
        <v>13</v>
      </c>
      <c r="L40" s="453">
        <f t="shared" ref="L40:P40" si="23">IFERROR(ROUND(AVERAGE(L16:L39),1),"")</f>
        <v>133.80000000000001</v>
      </c>
      <c r="M40" s="453">
        <f t="shared" si="23"/>
        <v>223</v>
      </c>
      <c r="N40" s="453">
        <f t="shared" si="23"/>
        <v>90</v>
      </c>
      <c r="O40" s="456">
        <f t="shared" si="23"/>
        <v>40.6</v>
      </c>
      <c r="P40" s="456">
        <f t="shared" si="23"/>
        <v>14.8</v>
      </c>
      <c r="Q40" s="456">
        <f>IF($I$47=1,$M$49,$Q$44)</f>
        <v>240</v>
      </c>
      <c r="R40" s="54" t="str">
        <f>IFERROR(ROUND(AVERAGE(R16:R39),1),"")</f>
        <v/>
      </c>
      <c r="S40" s="509"/>
      <c r="T40" s="510"/>
      <c r="U40" s="510"/>
      <c r="V40" s="511"/>
      <c r="X40" s="99"/>
      <c r="Y40" s="99"/>
      <c r="Z40" s="99"/>
      <c r="AA40" s="99"/>
      <c r="AB40" s="104">
        <f>SUM(AB16:AB39)</f>
        <v>0</v>
      </c>
      <c r="AC40" s="104">
        <f>SUM(AC16:AC39)</f>
        <v>0</v>
      </c>
      <c r="AD40" s="92" t="str">
        <f>IF(OR(COUNTBLANK(D16:E39)+COUNTBLANK(O16:P39)=0,COUNTA(S16:V39)&lt;&gt;0),"","CEK : Blank Data - Remarks")</f>
        <v/>
      </c>
      <c r="AG40" s="90" t="str">
        <f>IF(COUNTIF(AG16:AG39,"")=COUNTA(AG16:AG39),"","CEK : Data Flowrate")</f>
        <v/>
      </c>
      <c r="AH40" s="204" t="s">
        <v>311</v>
      </c>
    </row>
    <row r="41" spans="1:55" ht="20.100000000000001" hidden="1" customHeight="1" thickBot="1" x14ac:dyDescent="0.3">
      <c r="A41" s="49" t="s">
        <v>12</v>
      </c>
      <c r="B41" s="52" t="str">
        <f>IF(COUNT(B16:B39)&gt;0,ROUND(MIN(B16:B39),2),"")</f>
        <v/>
      </c>
      <c r="C41" s="52" t="str">
        <f>IF(COUNT(C16:C39)&gt;0,ROUND(MIN(C16:C39),2),"")</f>
        <v/>
      </c>
      <c r="D41" s="52">
        <f>IF(COUNT(D16:D39)&gt;0,ROUND(MIN(D16:D39),2),"")</f>
        <v>5.2</v>
      </c>
      <c r="E41" s="52">
        <f>IF(COUNT(E16:E39)&gt;0,ROUND(MIN(E16:E39),2),"")</f>
        <v>54.9</v>
      </c>
      <c r="F41" s="51">
        <f>IF(COUNT(F16:F39)&gt;0,ROUND(MIN(F16:F39),0),"")</f>
        <v>1915</v>
      </c>
      <c r="G41" s="50">
        <f>IF(COUNT(G16:G39)&gt;0,MIN(G16:G39),"")</f>
        <v>-5.6</v>
      </c>
      <c r="H41" s="50">
        <f>IF(COUNT(H16:H39)&gt;0,MIN(H16:H39),"")</f>
        <v>71.599999999999994</v>
      </c>
      <c r="I41" s="50">
        <f>IF(COUNT(I16:I39)&gt;0,MIN(I16:I39),"")</f>
        <v>22.1</v>
      </c>
      <c r="J41" s="72"/>
      <c r="K41" s="50">
        <f>IF(COUNT(K16:K39)&gt;0,MIN(K16:K39),"")</f>
        <v>13</v>
      </c>
      <c r="L41" s="52">
        <f>IF(COUNT(L16:L39)&gt;0,ROUND(MIN(L16:L39),1),"")</f>
        <v>130</v>
      </c>
      <c r="M41" s="52">
        <f>IF(COUNT(M16:M39)&gt;0,ROUND(MIN(M16:M39),1),"")</f>
        <v>220</v>
      </c>
      <c r="N41" s="52">
        <f>IF(COUNT(N16:N39)&gt;0,ROUND(MIN(N16:N39),1),"")</f>
        <v>90</v>
      </c>
      <c r="O41" s="440">
        <f>IF(COUNT(O16:O39)&gt;0,ROUND(MIN(O16:O39),1),"")</f>
        <v>30</v>
      </c>
      <c r="P41" s="440">
        <f>IF(COUNT(P16:P39)&gt;0,ROUND(MIN(P16:P39),1),"")</f>
        <v>13</v>
      </c>
      <c r="Q41" s="440">
        <f>IF(COUNT(Q16:Q39)&gt;0,ROUND(MIN(Q16:Q39),4),"")</f>
        <v>237.74</v>
      </c>
      <c r="R41" s="121" t="str">
        <f>IF(COUNT(R16:R39)&gt;0,ROUND(MIN(R16:R39),1),"")</f>
        <v/>
      </c>
      <c r="S41" s="509"/>
      <c r="T41" s="510"/>
      <c r="U41" s="510"/>
      <c r="V41" s="511"/>
      <c r="X41" s="99"/>
      <c r="Y41" s="99"/>
      <c r="Z41" s="99"/>
      <c r="AA41" s="99"/>
      <c r="AB41" s="99"/>
      <c r="AC41" s="99"/>
      <c r="AH41" s="204" t="s">
        <v>318</v>
      </c>
    </row>
    <row r="42" spans="1:55" ht="20.100000000000001" hidden="1" customHeight="1" thickBot="1" x14ac:dyDescent="0.3">
      <c r="A42" s="21" t="s">
        <v>13</v>
      </c>
      <c r="B42" s="454" t="str">
        <f>IF(COUNT(B16:B39)&gt;0,ROUND(MAX(B16:B39),2),"")</f>
        <v/>
      </c>
      <c r="C42" s="454" t="str">
        <f>IF(COUNT(C16:C39)&gt;0,ROUND(MAX(C16:C39),2),"")</f>
        <v/>
      </c>
      <c r="D42" s="454">
        <f>IF(COUNT(D16:D39)&gt;0,ROUND(MAX(D16:D39),2),"")</f>
        <v>8.8000000000000007</v>
      </c>
      <c r="E42" s="454">
        <f>IF(COUNT(E16:E39)&gt;0,ROUND(MAX(E16:E39),2),"")</f>
        <v>77</v>
      </c>
      <c r="F42" s="43">
        <f>IF(COUNT(F16:F39)&gt;0,ROUND(MAX(F16:F39),0),"")</f>
        <v>1981</v>
      </c>
      <c r="G42" s="39">
        <f>IF(COUNT(G16:G39)&gt;0,MAX(G16:G39),"")</f>
        <v>-5.6</v>
      </c>
      <c r="H42" s="39">
        <f>IF(COUNT(H16:H39)&gt;0,MAX(H16:H39),"")</f>
        <v>72.900000000000006</v>
      </c>
      <c r="I42" s="39">
        <f>IF(COUNT(I16:I39)&gt;0,MAX(I16:I39),"")</f>
        <v>22.9</v>
      </c>
      <c r="J42" s="43">
        <f>IF(COUNT(J16:J39)&gt;0,MAX(J16:J39),"")</f>
        <v>535</v>
      </c>
      <c r="K42" s="39">
        <f>IF(COUNT(K16:K39)&gt;0,MAX(K16:K39),"")</f>
        <v>13</v>
      </c>
      <c r="L42" s="454">
        <f>IF(COUNT(L16:L39)&gt;0,ROUND(MAX(L16:L39),1),"")</f>
        <v>137</v>
      </c>
      <c r="M42" s="454">
        <f>IF(COUNT(M16:M39)&gt;0,ROUND(MAX(M16:M39),1),"")</f>
        <v>227</v>
      </c>
      <c r="N42" s="454">
        <f>IF(COUNT(N16:N39)&gt;0,ROUND(MAX(N16:N39),1),"")</f>
        <v>90</v>
      </c>
      <c r="O42" s="441">
        <f>IF(COUNT(O16:O39)&gt;0,ROUND(MAX(O16:O39),1),"")</f>
        <v>50</v>
      </c>
      <c r="P42" s="441">
        <f>IF(COUNT(P16:P39)&gt;0,ROUND(MAX(P16:P39),1),"")</f>
        <v>17</v>
      </c>
      <c r="Q42" s="441">
        <f>IF(COUNT(Q16:Q39)&gt;0,ROUND(MAX(Q16:Q39),4),"")</f>
        <v>286.67</v>
      </c>
      <c r="R42" s="39" t="str">
        <f>IF(COUNT(R16:R39)&gt;0,ROUND(MAX(R16:R39),1),"")</f>
        <v/>
      </c>
      <c r="S42" s="509"/>
      <c r="T42" s="510"/>
      <c r="U42" s="510"/>
      <c r="V42" s="511"/>
      <c r="X42" s="99"/>
      <c r="Y42" s="99"/>
      <c r="Z42" s="99"/>
      <c r="AA42" s="99"/>
      <c r="AB42" s="99"/>
      <c r="AC42" s="99"/>
      <c r="AH42" s="204" t="s">
        <v>312</v>
      </c>
    </row>
    <row r="43" spans="1:55" ht="20.100000000000001" hidden="1" customHeight="1" x14ac:dyDescent="0.25">
      <c r="A43" s="109"/>
      <c r="B43" s="110">
        <f>COUNT(B16:B39)</f>
        <v>0</v>
      </c>
      <c r="C43" s="110">
        <f>COUNT(C16:C39)</f>
        <v>0</v>
      </c>
      <c r="D43" s="110">
        <f>COUNT(D16:D39)</f>
        <v>24</v>
      </c>
      <c r="E43" s="110">
        <f t="shared" ref="E43:H43" si="24">COUNT(E16:E39)</f>
        <v>24</v>
      </c>
      <c r="F43" s="110">
        <f t="shared" si="24"/>
        <v>24</v>
      </c>
      <c r="G43" s="110">
        <f t="shared" si="24"/>
        <v>24</v>
      </c>
      <c r="H43" s="110">
        <f t="shared" si="24"/>
        <v>24</v>
      </c>
      <c r="I43" s="110"/>
      <c r="J43" s="110"/>
      <c r="K43" s="110"/>
      <c r="L43" s="110">
        <f t="shared" ref="L43:Q43" si="25">COUNT(L16:L39)</f>
        <v>24</v>
      </c>
      <c r="M43" s="110">
        <f t="shared" si="25"/>
        <v>24</v>
      </c>
      <c r="N43" s="110">
        <f t="shared" si="25"/>
        <v>24</v>
      </c>
      <c r="O43" s="110">
        <f t="shared" si="25"/>
        <v>24</v>
      </c>
      <c r="P43" s="110">
        <f t="shared" si="25"/>
        <v>24</v>
      </c>
      <c r="Q43" s="110">
        <f t="shared" si="25"/>
        <v>24</v>
      </c>
      <c r="R43" s="110"/>
      <c r="S43" s="99"/>
      <c r="T43" s="99"/>
      <c r="U43" s="99"/>
      <c r="V43" s="99"/>
      <c r="X43" s="99"/>
      <c r="Y43" s="99"/>
      <c r="Z43" s="99"/>
      <c r="AA43" s="99"/>
      <c r="AB43" s="99"/>
      <c r="AC43" s="99"/>
      <c r="AD43" s="92" t="str">
        <f>IF(AND(D43=E43,D43=F43,D43=G43,D43=H43,D43=L43,D43=M43,D43=N43,D43=O43,D43=P43,D43=Q43),"","CEK : Data Content")</f>
        <v/>
      </c>
      <c r="AH43" s="204" t="s">
        <v>221</v>
      </c>
    </row>
    <row r="44" spans="1:55" s="6" customFormat="1" ht="15" customHeight="1" x14ac:dyDescent="0.25">
      <c r="J44" s="91" t="str">
        <f>IF(J1="PRINT","",IF(J42="","RH please ! !",""))</f>
        <v/>
      </c>
      <c r="L44" s="24"/>
      <c r="Q44" s="445">
        <f>IFERROR(ROUND(AVERAGE(Q16:Q39),4),"")</f>
        <v>252.82830000000001</v>
      </c>
      <c r="AH44" s="204" t="s">
        <v>323</v>
      </c>
      <c r="AI44" s="7"/>
    </row>
    <row r="45" spans="1:55" s="6" customFormat="1" ht="15" customHeight="1" x14ac:dyDescent="0.25">
      <c r="L45" s="26" t="s">
        <v>290</v>
      </c>
      <c r="Q45" s="445"/>
      <c r="AH45" s="204" t="s">
        <v>288</v>
      </c>
      <c r="AI45" s="7"/>
    </row>
    <row r="46" spans="1:55" s="6" customFormat="1" ht="15" customHeight="1" x14ac:dyDescent="0.25">
      <c r="D46" s="443" t="s">
        <v>90</v>
      </c>
      <c r="E46" s="448" t="str">
        <f>IF(Schedule!C$23="","",Schedule!C$23)</f>
        <v/>
      </c>
      <c r="G46" s="61"/>
      <c r="H46" s="25" t="str">
        <f>IFERROR(IF(OR(I47="",I48="",I49=""),"WAKTU BELUM DI-ISI LENGKAP",IF(SUM(I48:I49)&lt;=1,"","CEK KEMBALI PENULISAN WAKTU SALAH")),"CEK KEMBALI PENULISAN WAKTU SALAH")</f>
        <v/>
      </c>
      <c r="L46" s="26" t="s">
        <v>22</v>
      </c>
      <c r="M46" s="460">
        <f>IF(Volume!$W22="",$O46,Volume!$W22)</f>
        <v>41.064</v>
      </c>
      <c r="N46" s="27" t="s">
        <v>1</v>
      </c>
      <c r="O46" s="447">
        <f>IF(O40="","",O40)</f>
        <v>40.6</v>
      </c>
      <c r="P46" s="361" t="s">
        <v>29</v>
      </c>
      <c r="Q46" s="362"/>
      <c r="R46" s="362"/>
      <c r="S46" s="362"/>
      <c r="T46" s="361" t="s">
        <v>30</v>
      </c>
      <c r="U46" s="362"/>
      <c r="V46" s="362"/>
      <c r="AH46" s="204" t="s">
        <v>222</v>
      </c>
    </row>
    <row r="47" spans="1:55" s="6" customFormat="1" ht="15" customHeight="1" x14ac:dyDescent="0.25">
      <c r="D47" s="448"/>
      <c r="E47" s="448"/>
      <c r="H47" s="26" t="s">
        <v>26</v>
      </c>
      <c r="I47" s="56">
        <f>IF(OR(I48="",I49=""),"",1-I48-I49)</f>
        <v>1</v>
      </c>
      <c r="J47" s="27" t="s">
        <v>19</v>
      </c>
      <c r="L47" s="26" t="s">
        <v>23</v>
      </c>
      <c r="M47" s="442">
        <f>IF(Volume!$Y22="",$O47,Volume!$Y22)</f>
        <v>13.7018</v>
      </c>
      <c r="N47" s="27" t="s">
        <v>14</v>
      </c>
      <c r="O47" s="447">
        <f>IF(P40="","",P40)</f>
        <v>14.8</v>
      </c>
      <c r="P47" s="361" t="s">
        <v>211</v>
      </c>
      <c r="Q47" s="362"/>
      <c r="R47" s="362"/>
      <c r="S47" s="362"/>
      <c r="T47" s="361" t="s">
        <v>271</v>
      </c>
      <c r="U47" s="362"/>
      <c r="V47" s="362"/>
      <c r="AH47" s="204" t="s">
        <v>223</v>
      </c>
    </row>
    <row r="48" spans="1:55" s="6" customFormat="1" ht="15" customHeight="1" x14ac:dyDescent="0.25">
      <c r="D48" s="443" t="s">
        <v>91</v>
      </c>
      <c r="E48" s="448" t="str">
        <f>IF(Schedule!D$23="","",Schedule!D$23)</f>
        <v/>
      </c>
      <c r="H48" s="26" t="s">
        <v>37</v>
      </c>
      <c r="I48" s="108">
        <f>IF(OR(COUNT($Q$16:$Q$39)&lt;&gt;0,COUNTA($AD$16:$AD$39)&lt;&gt;0),AB40,"")</f>
        <v>0</v>
      </c>
      <c r="J48" s="27" t="s">
        <v>19</v>
      </c>
      <c r="L48" s="26" t="s">
        <v>24</v>
      </c>
      <c r="M48" s="449">
        <f>IF(N40="","",N40)</f>
        <v>90</v>
      </c>
      <c r="N48" s="27" t="s">
        <v>5</v>
      </c>
      <c r="P48" s="362"/>
      <c r="Q48" s="362"/>
      <c r="R48" s="362"/>
      <c r="S48" s="362"/>
      <c r="T48" s="361" t="s">
        <v>291</v>
      </c>
      <c r="U48" s="362"/>
      <c r="V48" s="362"/>
      <c r="AH48" s="204" t="s">
        <v>324</v>
      </c>
    </row>
    <row r="49" spans="1:34" s="6" customFormat="1" ht="15" customHeight="1" x14ac:dyDescent="0.25">
      <c r="D49" s="448"/>
      <c r="E49" s="448"/>
      <c r="H49" s="26" t="s">
        <v>27</v>
      </c>
      <c r="I49" s="108">
        <f>IF(OR(COUNT($Q$16:$Q$39)&lt;&gt;0,COUNTA($AD$16:$AD$39)&lt;&gt;0),AC40,"")</f>
        <v>0</v>
      </c>
      <c r="J49" s="27" t="s">
        <v>19</v>
      </c>
      <c r="L49" s="26" t="s">
        <v>128</v>
      </c>
      <c r="M49" s="442">
        <f>IF(Volume!$L22="",M51,Volume!$L22)</f>
        <v>240</v>
      </c>
      <c r="N49" s="27" t="str">
        <f>IF(Q15="MSCFD","MSCF","MMSCF")</f>
        <v>MSCF</v>
      </c>
      <c r="P49" s="362"/>
      <c r="Q49" s="362"/>
      <c r="R49" s="362"/>
      <c r="S49" s="362"/>
      <c r="T49" s="362"/>
      <c r="U49" s="362"/>
      <c r="V49" s="362"/>
      <c r="AH49" s="204" t="s">
        <v>317</v>
      </c>
    </row>
    <row r="50" spans="1:34" s="6" customFormat="1" ht="15" customHeight="1" x14ac:dyDescent="0.25">
      <c r="D50" s="443" t="s">
        <v>92</v>
      </c>
      <c r="E50" s="448" t="str">
        <f>IF(Schedule!E$23="","",Schedule!E$23)</f>
        <v>Marihot Gustafa S.</v>
      </c>
      <c r="L50" s="443" t="str">
        <f>CONCATENATE(MR!L16," ",":")</f>
        <v>Liquid Gain :</v>
      </c>
      <c r="M50" s="446" t="str">
        <f>IF(R40="","",ROUND(SUM(R16:R39),2))</f>
        <v/>
      </c>
      <c r="N50" s="444" t="str">
        <f>R15</f>
        <v>BPD</v>
      </c>
      <c r="P50" s="362"/>
      <c r="Q50" s="362"/>
      <c r="R50" s="362"/>
      <c r="S50" s="362"/>
      <c r="T50" s="362"/>
      <c r="U50" s="362"/>
      <c r="V50" s="362"/>
      <c r="AH50" s="204" t="s">
        <v>282</v>
      </c>
    </row>
    <row r="51" spans="1:34" s="6" customFormat="1" ht="15" customHeight="1" x14ac:dyDescent="0.25">
      <c r="A51" s="4"/>
      <c r="L51" s="443" t="s">
        <v>286</v>
      </c>
      <c r="M51" s="447">
        <f>IF(Q44="","",IF(SUM(I48:I49)=1,IF(Q44&lt;&gt;0,"Cek Tabel",""),ROUND(Q44*I47,4)))</f>
        <v>252.82830000000001</v>
      </c>
      <c r="N51" s="444" t="str">
        <f>IF(Q15="MSCFD","MSCF","MMSCF")</f>
        <v>MSCF</v>
      </c>
      <c r="P51" s="362"/>
      <c r="Q51" s="362"/>
      <c r="R51" s="362"/>
      <c r="S51" s="362"/>
      <c r="T51" s="362"/>
      <c r="U51" s="362"/>
      <c r="V51" s="362"/>
      <c r="AH51" s="204" t="s">
        <v>325</v>
      </c>
    </row>
    <row r="52" spans="1:34" s="6" customFormat="1" ht="15" customHeight="1" x14ac:dyDescent="0.25">
      <c r="D52" s="26" t="s">
        <v>28</v>
      </c>
      <c r="E52" s="47"/>
      <c r="F52" s="47"/>
      <c r="G52" s="47"/>
      <c r="H52" s="47"/>
      <c r="I52" s="47"/>
      <c r="J52" s="47"/>
      <c r="K52" s="47"/>
      <c r="L52" s="5"/>
      <c r="P52" s="362"/>
      <c r="Q52" s="362"/>
      <c r="R52" s="362"/>
      <c r="S52" s="362"/>
      <c r="T52" s="362"/>
      <c r="U52" s="362"/>
      <c r="V52" s="362"/>
      <c r="AH52" s="204" t="s">
        <v>280</v>
      </c>
    </row>
    <row r="53" spans="1:34" s="6" customFormat="1" ht="15" customHeight="1" x14ac:dyDescent="0.25">
      <c r="D53" s="5"/>
      <c r="E53" s="48"/>
      <c r="F53" s="48"/>
      <c r="G53" s="48"/>
      <c r="H53" s="48"/>
      <c r="I53" s="48"/>
      <c r="J53" s="48"/>
      <c r="K53" s="48"/>
      <c r="L53" s="5"/>
      <c r="P53" s="363" t="str">
        <f>UPPER(E50)</f>
        <v>MARIHOT GUSTAFA S.</v>
      </c>
      <c r="Q53" s="362"/>
      <c r="R53" s="362"/>
      <c r="S53" s="362"/>
      <c r="T53" s="363" t="str">
        <f>IF(Schedule!F$23="","",UPPER(Schedule!F$23))</f>
        <v>M. NANANG WAHYU S</v>
      </c>
      <c r="U53" s="362"/>
      <c r="V53" s="362"/>
      <c r="AH53" s="204" t="s">
        <v>316</v>
      </c>
    </row>
    <row r="54" spans="1:34" s="6" customFormat="1" ht="15" customHeight="1" x14ac:dyDescent="0.25">
      <c r="E54" s="48"/>
      <c r="F54" s="48"/>
      <c r="G54" s="48"/>
      <c r="H54" s="48"/>
      <c r="I54" s="48"/>
      <c r="J54" s="48"/>
      <c r="K54" s="48"/>
      <c r="P54" s="361" t="s">
        <v>107</v>
      </c>
      <c r="Q54" s="362"/>
      <c r="R54" s="362"/>
      <c r="S54" s="362"/>
      <c r="T54" s="361" t="s">
        <v>294</v>
      </c>
      <c r="U54" s="362"/>
      <c r="V54" s="362"/>
      <c r="AH54" s="204" t="s">
        <v>326</v>
      </c>
    </row>
    <row r="55" spans="1:34" s="6" customFormat="1" ht="15" customHeight="1" x14ac:dyDescent="0.25">
      <c r="P55" s="364" t="str">
        <f>CONCATENATE("Date : ",TEXT(K12,"[$-409]d mmm yyyy;@"))</f>
        <v>Date : 19 Jun 2025</v>
      </c>
      <c r="Q55" s="362"/>
      <c r="R55" s="364"/>
      <c r="S55" s="362"/>
      <c r="T55" s="364" t="str">
        <f>CONCATENATE("Date : ",TEXT(K12,"[$-409]d mmm yyyy;@"))</f>
        <v>Date : 19 Jun 2025</v>
      </c>
      <c r="U55" s="362"/>
      <c r="V55" s="362"/>
      <c r="AH55" s="204" t="s">
        <v>327</v>
      </c>
    </row>
    <row r="56" spans="1:34" ht="15" customHeight="1" x14ac:dyDescent="0.25">
      <c r="AH56" s="204" t="s">
        <v>281</v>
      </c>
    </row>
    <row r="57" spans="1:34" ht="15" customHeight="1" x14ac:dyDescent="0.25">
      <c r="AH57" s="204" t="s">
        <v>277</v>
      </c>
    </row>
    <row r="58" spans="1:34" ht="15" customHeight="1" x14ac:dyDescent="0.25">
      <c r="AH58" s="204" t="s">
        <v>328</v>
      </c>
    </row>
    <row r="59" spans="1:34" ht="15" customHeight="1" x14ac:dyDescent="0.25">
      <c r="AH59" s="204" t="s">
        <v>329</v>
      </c>
    </row>
    <row r="60" spans="1:34" ht="15" customHeight="1" x14ac:dyDescent="0.25">
      <c r="AH60" s="204" t="s">
        <v>330</v>
      </c>
    </row>
    <row r="61" spans="1:34" ht="15" customHeight="1" x14ac:dyDescent="0.25">
      <c r="AH61" s="204" t="s">
        <v>331</v>
      </c>
    </row>
    <row r="62" spans="1:34" ht="15" customHeight="1" x14ac:dyDescent="0.25">
      <c r="AH62" s="204" t="s">
        <v>332</v>
      </c>
    </row>
    <row r="63" spans="1:34" ht="15" customHeight="1" x14ac:dyDescent="0.25">
      <c r="AH63" s="204" t="s">
        <v>315</v>
      </c>
    </row>
    <row r="64" spans="1:34" ht="15" customHeight="1" x14ac:dyDescent="0.25">
      <c r="AH64" s="204" t="s">
        <v>333</v>
      </c>
    </row>
    <row r="65" spans="34:34" ht="15" customHeight="1" x14ac:dyDescent="0.25">
      <c r="AH65" s="204" t="s">
        <v>310</v>
      </c>
    </row>
    <row r="66" spans="34:34" ht="15" customHeight="1" x14ac:dyDescent="0.25">
      <c r="AH66" s="204" t="s">
        <v>334</v>
      </c>
    </row>
    <row r="67" spans="34:34" ht="15" customHeight="1" x14ac:dyDescent="0.25">
      <c r="AH67" s="204" t="s">
        <v>335</v>
      </c>
    </row>
    <row r="68" spans="34:34" ht="15" customHeight="1" x14ac:dyDescent="0.25">
      <c r="AH68" s="204" t="s">
        <v>336</v>
      </c>
    </row>
    <row r="69" spans="34:34" ht="15" customHeight="1" x14ac:dyDescent="0.25">
      <c r="AH69" s="204" t="s">
        <v>337</v>
      </c>
    </row>
    <row r="70" spans="34:34" ht="15" customHeight="1" x14ac:dyDescent="0.25">
      <c r="AH70" s="204" t="s">
        <v>338</v>
      </c>
    </row>
    <row r="71" spans="34:34" ht="15" customHeight="1" x14ac:dyDescent="0.25">
      <c r="AH71" s="204" t="s">
        <v>339</v>
      </c>
    </row>
    <row r="72" spans="34:34" ht="15" customHeight="1" x14ac:dyDescent="0.25">
      <c r="AH72" s="204" t="s">
        <v>340</v>
      </c>
    </row>
    <row r="85" spans="34:34" ht="0" hidden="1" customHeight="1" x14ac:dyDescent="0.25">
      <c r="AH85" s="6"/>
    </row>
    <row r="86" spans="34:34" ht="0" hidden="1" customHeight="1" x14ac:dyDescent="0.25">
      <c r="AH86" s="6"/>
    </row>
    <row r="87" spans="34:34" ht="0" hidden="1" customHeight="1" x14ac:dyDescent="0.25">
      <c r="AH87" s="6"/>
    </row>
    <row r="88" spans="34:34" ht="0" hidden="1" customHeight="1" x14ac:dyDescent="0.25">
      <c r="AH88" s="6"/>
    </row>
    <row r="89" spans="34:34" ht="0" hidden="1" customHeight="1" x14ac:dyDescent="0.25">
      <c r="AH89" s="6"/>
    </row>
    <row r="90" spans="34:34" ht="0" hidden="1" customHeight="1" x14ac:dyDescent="0.25">
      <c r="AH90" s="6"/>
    </row>
    <row r="91" spans="34:34" ht="0" hidden="1" customHeight="1" x14ac:dyDescent="0.25">
      <c r="AH91" s="6"/>
    </row>
    <row r="92" spans="34:34" ht="0" hidden="1" customHeight="1" x14ac:dyDescent="0.25">
      <c r="AH92" s="6"/>
    </row>
    <row r="93" spans="34:34" ht="0" hidden="1" customHeight="1" x14ac:dyDescent="0.25">
      <c r="AH93" s="6"/>
    </row>
    <row r="94" spans="34:34" ht="0" hidden="1" customHeight="1" x14ac:dyDescent="0.25">
      <c r="AH94" s="6"/>
    </row>
  </sheetData>
  <sheetProtection algorithmName="SHA-512" hashValue="XUtnfleC8fE3PlOHG/YmGFAlj/zBsJRjVDda5K6qXjJP4y/bzx7rSWAfeP7+xCWFRR5l3qU1rmlZoGUV7cUhOw==" saltValue="6tSKQUWvaAr3PI/txkL6Qg==" spinCount="100000" sheet="1" objects="1" scenarios="1" formatColumns="0" formatRows="0" insertColumns="0" insertRows="0" sort="0" autoFilter="0" pivotTables="0"/>
  <mergeCells count="69">
    <mergeCell ref="S37:V37"/>
    <mergeCell ref="S38:V38"/>
    <mergeCell ref="S39:V39"/>
    <mergeCell ref="S40:V40"/>
    <mergeCell ref="S41:V42"/>
    <mergeCell ref="S36:V36"/>
    <mergeCell ref="S25:V25"/>
    <mergeCell ref="S26:V26"/>
    <mergeCell ref="S27:V27"/>
    <mergeCell ref="S28:V28"/>
    <mergeCell ref="S29:V29"/>
    <mergeCell ref="S30:V30"/>
    <mergeCell ref="S31:V31"/>
    <mergeCell ref="S32:V32"/>
    <mergeCell ref="S33:V33"/>
    <mergeCell ref="S34:V34"/>
    <mergeCell ref="S35:V35"/>
    <mergeCell ref="S19:V19"/>
    <mergeCell ref="S20:V20"/>
    <mergeCell ref="S21:V21"/>
    <mergeCell ref="S22:V22"/>
    <mergeCell ref="S23:V23"/>
    <mergeCell ref="S24:V24"/>
    <mergeCell ref="BA14:BA15"/>
    <mergeCell ref="BB14:BB15"/>
    <mergeCell ref="BC14:BC15"/>
    <mergeCell ref="S16:V16"/>
    <mergeCell ref="S17:V17"/>
    <mergeCell ref="S18:V18"/>
    <mergeCell ref="AU14:AU15"/>
    <mergeCell ref="AV14:AV15"/>
    <mergeCell ref="AW14:AW15"/>
    <mergeCell ref="AX14:AX15"/>
    <mergeCell ref="AY14:AY15"/>
    <mergeCell ref="AZ14:AZ15"/>
    <mergeCell ref="AO14:AO15"/>
    <mergeCell ref="AP14:AP15"/>
    <mergeCell ref="AQ14:AQ15"/>
    <mergeCell ref="AR14:AR15"/>
    <mergeCell ref="AS14:AS15"/>
    <mergeCell ref="AT14:AT15"/>
    <mergeCell ref="AD14:AD15"/>
    <mergeCell ref="AJ14:AJ15"/>
    <mergeCell ref="AK14:AK15"/>
    <mergeCell ref="AL14:AL15"/>
    <mergeCell ref="AM14:AM15"/>
    <mergeCell ref="AN14:AN15"/>
    <mergeCell ref="Y14:AC14"/>
    <mergeCell ref="H13:H14"/>
    <mergeCell ref="I13:I14"/>
    <mergeCell ref="J13:J14"/>
    <mergeCell ref="K13:K14"/>
    <mergeCell ref="L13:L14"/>
    <mergeCell ref="M13:N13"/>
    <mergeCell ref="Q13:Q14"/>
    <mergeCell ref="R13:R14"/>
    <mergeCell ref="S13:V15"/>
    <mergeCell ref="O13:O14"/>
    <mergeCell ref="P13:P14"/>
    <mergeCell ref="A10:V10"/>
    <mergeCell ref="A11:V11"/>
    <mergeCell ref="K12:L12"/>
    <mergeCell ref="A13:A15"/>
    <mergeCell ref="B13:B14"/>
    <mergeCell ref="C13:C14"/>
    <mergeCell ref="D13:D14"/>
    <mergeCell ref="E13:E14"/>
    <mergeCell ref="F13:F14"/>
    <mergeCell ref="G13:G14"/>
  </mergeCells>
  <conditionalFormatting sqref="I47">
    <cfRule type="cellIs" dxfId="61" priority="5" operator="lessThan">
      <formula>0</formula>
    </cfRule>
  </conditionalFormatting>
  <conditionalFormatting sqref="Y16:Y39">
    <cfRule type="containsText" dxfId="60" priority="3" operator="containsText" text="STBY">
      <formula>NOT(ISERROR(SEARCH("STBY",Y16)))</formula>
    </cfRule>
    <cfRule type="containsText" dxfId="59" priority="4" operator="containsText" text="SD">
      <formula>NOT(ISERROR(SEARCH("SD",Y16)))</formula>
    </cfRule>
  </conditionalFormatting>
  <conditionalFormatting sqref="B16:B39 D16:R39">
    <cfRule type="expression" dxfId="58" priority="2">
      <formula>ISTEXT(B16)</formula>
    </cfRule>
  </conditionalFormatting>
  <conditionalFormatting sqref="C16:C39">
    <cfRule type="expression" dxfId="57" priority="1">
      <formula>ISTEXT(C16)</formula>
    </cfRule>
  </conditionalFormatting>
  <dataValidations count="2">
    <dataValidation type="list" allowBlank="1" showInputMessage="1" showErrorMessage="1" sqref="Y16:Y39" xr:uid="{70B7A60D-7C90-40D0-B783-804CB202A0E7}">
      <formula1>"SD,STBY"</formula1>
    </dataValidation>
    <dataValidation type="list" allowBlank="1" showInputMessage="1" sqref="AD16:AD39" xr:uid="{085CD9A7-8D30-49D1-AFF2-C5F1D185EB72}">
      <formula1>$AH$15:$AH$72</formula1>
    </dataValidation>
  </dataValidations>
  <printOptions horizontalCentered="1"/>
  <pageMargins left="0.39370078740157483" right="0.39370078740157483" top="0.59055118110236227" bottom="0.39370078740157483" header="0.31496062992125984" footer="0.31496062992125984"/>
  <pageSetup paperSize="9" scale="57" orientation="landscape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8E5B9-75D8-4C69-B415-FE9DC866E200}">
  <sheetPr codeName="N20">
    <pageSetUpPr fitToPage="1"/>
  </sheetPr>
  <dimension ref="A1:BC94"/>
  <sheetViews>
    <sheetView topLeftCell="A16" zoomScale="85" zoomScaleNormal="85" workbookViewId="0">
      <selection activeCell="P31" sqref="P31"/>
    </sheetView>
  </sheetViews>
  <sheetFormatPr defaultColWidth="0" defaultRowHeight="0" customHeight="1" zeroHeight="1" x14ac:dyDescent="0.25"/>
  <cols>
    <col min="1" max="1" width="10.7109375" style="7" customWidth="1"/>
    <col min="2" max="3" width="10.7109375" style="7" hidden="1" customWidth="1"/>
    <col min="4" max="14" width="10.7109375" style="7" customWidth="1"/>
    <col min="15" max="17" width="11.7109375" style="7" customWidth="1"/>
    <col min="18" max="18" width="10.7109375" style="7" hidden="1" customWidth="1"/>
    <col min="19" max="22" width="10.7109375" style="7" customWidth="1"/>
    <col min="23" max="23" width="2.7109375" style="7" customWidth="1"/>
    <col min="24" max="29" width="10.7109375" style="7" customWidth="1"/>
    <col min="30" max="30" width="30.7109375" style="7" customWidth="1"/>
    <col min="31" max="33" width="11.7109375" style="7" customWidth="1"/>
    <col min="34" max="34" width="30.7109375" style="7" customWidth="1"/>
    <col min="35" max="35" width="2.7109375" style="7" hidden="1" customWidth="1"/>
    <col min="36" max="55" width="11.7109375" style="7" hidden="1" customWidth="1"/>
    <col min="56" max="16384" width="9.140625" style="7" hidden="1"/>
  </cols>
  <sheetData>
    <row r="1" spans="1:55" ht="15" customHeight="1" x14ac:dyDescent="0.25">
      <c r="A1" s="7" t="s">
        <v>16</v>
      </c>
      <c r="D1" s="11" t="s">
        <v>85</v>
      </c>
      <c r="J1" s="7" t="str">
        <f>IF(MR!U13="Yes","PRINT","No")</f>
        <v>PRINT</v>
      </c>
      <c r="M1" s="191"/>
      <c r="N1" s="191"/>
    </row>
    <row r="2" spans="1:55" ht="15" customHeight="1" thickBot="1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192"/>
      <c r="M2" s="4"/>
      <c r="N2" s="4"/>
      <c r="O2" s="4"/>
      <c r="P2" s="4"/>
      <c r="Q2" s="4"/>
      <c r="R2" s="4"/>
      <c r="S2" s="8"/>
      <c r="T2" s="8"/>
      <c r="U2" s="8"/>
      <c r="V2" s="8"/>
      <c r="X2" s="8"/>
      <c r="Y2" s="8"/>
      <c r="Z2" s="8"/>
      <c r="AA2" s="8"/>
      <c r="AB2" s="8"/>
      <c r="AC2" s="8"/>
      <c r="AD2" s="8"/>
      <c r="AE2" s="8"/>
    </row>
    <row r="3" spans="1:55" ht="15" customHeight="1" x14ac:dyDescent="0.2">
      <c r="A3" s="31"/>
      <c r="B3" s="28"/>
      <c r="C3" s="28"/>
      <c r="D3" s="28"/>
      <c r="E3" s="28"/>
      <c r="F3" s="13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2"/>
      <c r="T3" s="22"/>
      <c r="U3" s="22"/>
      <c r="V3" s="23"/>
      <c r="X3" s="8"/>
      <c r="Y3" s="8"/>
      <c r="Z3" s="8"/>
      <c r="AA3" s="8"/>
      <c r="AB3" s="8"/>
      <c r="AC3" s="8"/>
      <c r="AD3" s="8"/>
      <c r="AE3" s="8"/>
    </row>
    <row r="4" spans="1:55" ht="30" customHeight="1" x14ac:dyDescent="0.25">
      <c r="A4" s="30"/>
      <c r="B4" s="1"/>
      <c r="C4" s="1"/>
      <c r="D4" s="1"/>
      <c r="E4" s="3"/>
      <c r="F4" s="63" t="s">
        <v>210</v>
      </c>
      <c r="G4" s="1"/>
      <c r="H4" s="1"/>
      <c r="I4" s="3"/>
      <c r="J4" s="3"/>
      <c r="K4" s="3"/>
      <c r="L4" s="3"/>
      <c r="M4" s="3"/>
      <c r="N4" s="3"/>
      <c r="O4" s="3"/>
      <c r="P4" s="3"/>
      <c r="Q4" s="3"/>
      <c r="R4" s="3"/>
      <c r="S4" s="1"/>
      <c r="T4" s="1"/>
      <c r="U4" s="1"/>
      <c r="V4" s="2"/>
      <c r="X4" s="5"/>
      <c r="Y4" s="5"/>
      <c r="Z4" s="5"/>
      <c r="AA4" s="5"/>
      <c r="AB4" s="5"/>
      <c r="AC4" s="5"/>
      <c r="AD4" s="5"/>
      <c r="AE4" s="5"/>
    </row>
    <row r="5" spans="1:55" ht="15" customHeight="1" x14ac:dyDescent="0.2">
      <c r="A5" s="32"/>
      <c r="B5" s="33"/>
      <c r="C5" s="33"/>
      <c r="D5" s="12"/>
      <c r="E5" s="3"/>
      <c r="F5" s="10" t="s">
        <v>129</v>
      </c>
      <c r="G5" s="1"/>
      <c r="H5" s="1"/>
      <c r="I5" s="3"/>
      <c r="J5" s="3"/>
      <c r="K5" s="3"/>
      <c r="L5" s="3"/>
      <c r="M5" s="3"/>
      <c r="N5" s="3"/>
      <c r="O5" s="3"/>
      <c r="P5" s="3"/>
      <c r="Q5" s="3"/>
      <c r="R5" s="3"/>
      <c r="S5" s="12"/>
      <c r="T5" s="12"/>
      <c r="U5" s="12"/>
      <c r="V5" s="14"/>
      <c r="X5" s="8"/>
      <c r="Y5" s="8"/>
      <c r="Z5" s="8"/>
      <c r="AA5" s="8"/>
      <c r="AB5" s="8"/>
      <c r="AC5" s="8"/>
      <c r="AD5" s="8"/>
      <c r="AE5" s="8"/>
      <c r="AJ5" s="193" t="s">
        <v>184</v>
      </c>
      <c r="AK5" s="194">
        <f>'V Calc'!B1</f>
        <v>500</v>
      </c>
      <c r="AL5" s="124"/>
    </row>
    <row r="6" spans="1:55" ht="15" customHeight="1" x14ac:dyDescent="0.2">
      <c r="A6" s="32"/>
      <c r="B6" s="33"/>
      <c r="C6" s="33"/>
      <c r="D6" s="12"/>
      <c r="E6" s="3"/>
      <c r="F6" s="10" t="s">
        <v>132</v>
      </c>
      <c r="G6" s="1"/>
      <c r="H6" s="1"/>
      <c r="I6" s="3"/>
      <c r="J6" s="3"/>
      <c r="K6" s="3"/>
      <c r="L6" s="3"/>
      <c r="M6" s="3"/>
      <c r="N6" s="3"/>
      <c r="O6" s="3"/>
      <c r="P6" s="3"/>
      <c r="Q6" s="3"/>
      <c r="R6" s="3"/>
      <c r="S6" s="12"/>
      <c r="T6" s="12"/>
      <c r="U6" s="12"/>
      <c r="V6" s="14"/>
      <c r="X6" s="8"/>
      <c r="Y6" s="8"/>
      <c r="Z6" s="8"/>
      <c r="AA6" s="8"/>
      <c r="AB6" s="8"/>
      <c r="AC6" s="8"/>
      <c r="AD6" s="8"/>
      <c r="AE6" s="8"/>
      <c r="AJ6" s="193" t="s">
        <v>185</v>
      </c>
      <c r="AK6" s="194">
        <f>'V Calc'!B2</f>
        <v>100</v>
      </c>
      <c r="AL6" s="124"/>
    </row>
    <row r="7" spans="1:55" ht="15" customHeight="1" x14ac:dyDescent="0.2">
      <c r="A7" s="32"/>
      <c r="B7" s="33"/>
      <c r="C7" s="33"/>
      <c r="D7" s="12"/>
      <c r="E7" s="3"/>
      <c r="F7" s="10" t="s">
        <v>130</v>
      </c>
      <c r="G7" s="1"/>
      <c r="H7" s="1"/>
      <c r="I7" s="3"/>
      <c r="J7" s="3"/>
      <c r="K7" s="3"/>
      <c r="L7" s="3"/>
      <c r="M7" s="3"/>
      <c r="N7" s="3"/>
      <c r="O7" s="3"/>
      <c r="P7" s="3"/>
      <c r="Q7" s="3"/>
      <c r="R7" s="3"/>
      <c r="S7" s="12"/>
      <c r="T7" s="12"/>
      <c r="U7" s="12"/>
      <c r="V7" s="14"/>
      <c r="X7" s="8"/>
      <c r="Y7" s="8"/>
      <c r="Z7" s="8"/>
      <c r="AA7" s="8"/>
      <c r="AB7" s="8"/>
      <c r="AC7" s="8"/>
      <c r="AD7" s="8"/>
      <c r="AE7" s="8"/>
      <c r="AJ7" s="193" t="s">
        <v>186</v>
      </c>
      <c r="AK7" s="195">
        <f>'V Calc'!B3</f>
        <v>2</v>
      </c>
      <c r="AL7" s="124"/>
    </row>
    <row r="8" spans="1:55" ht="15" customHeight="1" x14ac:dyDescent="0.2">
      <c r="A8" s="32"/>
      <c r="B8" s="33"/>
      <c r="C8" s="33"/>
      <c r="D8" s="12"/>
      <c r="E8" s="3"/>
      <c r="F8" s="10" t="s">
        <v>131</v>
      </c>
      <c r="G8" s="62"/>
      <c r="H8" s="62"/>
      <c r="I8" s="3"/>
      <c r="J8" s="3"/>
      <c r="K8" s="3"/>
      <c r="L8" s="3"/>
      <c r="M8" s="3"/>
      <c r="N8" s="3"/>
      <c r="O8" s="3"/>
      <c r="P8" s="3"/>
      <c r="Q8" s="3"/>
      <c r="R8" s="3"/>
      <c r="S8" s="12"/>
      <c r="T8" s="12"/>
      <c r="U8" s="12"/>
      <c r="V8" s="14"/>
      <c r="X8" s="8"/>
      <c r="Y8" s="8"/>
      <c r="Z8" s="8"/>
      <c r="AA8" s="8"/>
      <c r="AB8" s="8"/>
      <c r="AC8" s="8"/>
      <c r="AD8" s="8"/>
      <c r="AE8" s="8"/>
      <c r="AJ8" s="193" t="s">
        <v>187</v>
      </c>
      <c r="AK8" s="195">
        <f>'V Calc'!B4</f>
        <v>0.875</v>
      </c>
      <c r="AL8" s="124"/>
    </row>
    <row r="9" spans="1:55" ht="15" customHeight="1" thickBot="1" x14ac:dyDescent="0.25">
      <c r="A9" s="34"/>
      <c r="B9" s="29"/>
      <c r="C9" s="29"/>
      <c r="D9" s="29"/>
      <c r="E9" s="29"/>
      <c r="F9" s="15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16"/>
      <c r="T9" s="16"/>
      <c r="U9" s="16"/>
      <c r="V9" s="17"/>
      <c r="X9" s="8"/>
      <c r="Y9" s="8"/>
      <c r="Z9" s="8"/>
      <c r="AA9" s="8"/>
      <c r="AB9" s="8"/>
      <c r="AC9" s="8"/>
      <c r="AD9" s="8"/>
      <c r="AE9" s="8"/>
      <c r="AJ9" s="196" t="s">
        <v>188</v>
      </c>
      <c r="AK9" s="197">
        <f>'V Calc'!B5</f>
        <v>158.47</v>
      </c>
      <c r="AL9" s="198"/>
    </row>
    <row r="10" spans="1:55" s="9" customFormat="1" ht="30" customHeight="1" x14ac:dyDescent="0.2">
      <c r="A10" s="513" t="s">
        <v>20</v>
      </c>
      <c r="B10" s="514"/>
      <c r="C10" s="514"/>
      <c r="D10" s="514"/>
      <c r="E10" s="514"/>
      <c r="F10" s="514"/>
      <c r="G10" s="514"/>
      <c r="H10" s="514"/>
      <c r="I10" s="514"/>
      <c r="J10" s="514"/>
      <c r="K10" s="514"/>
      <c r="L10" s="514"/>
      <c r="M10" s="514"/>
      <c r="N10" s="514"/>
      <c r="O10" s="514"/>
      <c r="P10" s="514"/>
      <c r="Q10" s="514"/>
      <c r="R10" s="514"/>
      <c r="S10" s="514"/>
      <c r="T10" s="514"/>
      <c r="U10" s="514"/>
      <c r="V10" s="515"/>
      <c r="X10" s="96"/>
      <c r="Y10" s="96"/>
      <c r="Z10" s="96"/>
      <c r="AA10" s="96"/>
      <c r="AB10" s="96"/>
      <c r="AC10" s="96"/>
      <c r="AJ10" s="193" t="s">
        <v>189</v>
      </c>
      <c r="AK10" s="199">
        <f>'V Calc'!B6</f>
        <v>0.63607464142166403</v>
      </c>
      <c r="AL10" s="198" t="s">
        <v>190</v>
      </c>
    </row>
    <row r="11" spans="1:55" s="9" customFormat="1" ht="20.100000000000001" customHeight="1" thickBot="1" x14ac:dyDescent="0.25">
      <c r="A11" s="516" t="s">
        <v>21</v>
      </c>
      <c r="B11" s="517"/>
      <c r="C11" s="517"/>
      <c r="D11" s="517"/>
      <c r="E11" s="517"/>
      <c r="F11" s="517"/>
      <c r="G11" s="517"/>
      <c r="H11" s="517"/>
      <c r="I11" s="517"/>
      <c r="J11" s="517"/>
      <c r="K11" s="517"/>
      <c r="L11" s="517"/>
      <c r="M11" s="517"/>
      <c r="N11" s="517"/>
      <c r="O11" s="517"/>
      <c r="P11" s="517"/>
      <c r="Q11" s="517"/>
      <c r="R11" s="517"/>
      <c r="S11" s="517"/>
      <c r="T11" s="517"/>
      <c r="U11" s="517"/>
      <c r="V11" s="518"/>
      <c r="X11" s="97"/>
      <c r="Y11" s="97"/>
      <c r="Z11" s="97"/>
      <c r="AA11" s="97"/>
      <c r="AB11" s="97"/>
      <c r="AC11" s="97"/>
    </row>
    <row r="12" spans="1:55" s="6" customFormat="1" ht="30" customHeight="1" thickBot="1" x14ac:dyDescent="0.3">
      <c r="A12" s="18"/>
      <c r="B12" s="20"/>
      <c r="C12" s="20"/>
      <c r="D12" s="19" t="s">
        <v>121</v>
      </c>
      <c r="E12" s="200" t="str">
        <f>'Day 19'!E12</f>
        <v>MPR 632  RFD</v>
      </c>
      <c r="F12" s="35"/>
      <c r="G12" s="19" t="s">
        <v>120</v>
      </c>
      <c r="H12" s="200" t="str">
        <f>IF(Volume!C$23="","",Volume!C$23)</f>
        <v>FP 65354</v>
      </c>
      <c r="I12" s="20"/>
      <c r="J12" s="19" t="s">
        <v>17</v>
      </c>
      <c r="K12" s="505">
        <f>'Day 19'!K12+1</f>
        <v>45828</v>
      </c>
      <c r="L12" s="505"/>
      <c r="M12" s="100"/>
      <c r="N12" s="19" t="s">
        <v>119</v>
      </c>
      <c r="O12" s="200" t="str">
        <f>IF(Volume!D$23="","",Volume!D$23)</f>
        <v>SP. Tambun - Cluster F</v>
      </c>
      <c r="P12" s="20"/>
      <c r="Q12" s="19" t="s">
        <v>122</v>
      </c>
      <c r="S12" s="201">
        <f>IF(Volume!E$23="","",Volume!E$23)</f>
        <v>1.25</v>
      </c>
      <c r="T12" s="20"/>
      <c r="U12" s="19" t="s">
        <v>126</v>
      </c>
      <c r="V12" s="202" t="str">
        <f>IF(Volume!F$23="","",Volume!F$23)</f>
        <v>4/0</v>
      </c>
    </row>
    <row r="13" spans="1:55" ht="30" customHeight="1" thickBot="1" x14ac:dyDescent="0.3">
      <c r="A13" s="502" t="s">
        <v>0</v>
      </c>
      <c r="B13" s="502" t="s">
        <v>213</v>
      </c>
      <c r="C13" s="502" t="s">
        <v>212</v>
      </c>
      <c r="D13" s="502" t="s">
        <v>31</v>
      </c>
      <c r="E13" s="502" t="s">
        <v>32</v>
      </c>
      <c r="F13" s="502" t="s">
        <v>2</v>
      </c>
      <c r="G13" s="502" t="s">
        <v>33</v>
      </c>
      <c r="H13" s="502" t="s">
        <v>35</v>
      </c>
      <c r="I13" s="502" t="s">
        <v>36</v>
      </c>
      <c r="J13" s="502" t="s">
        <v>110</v>
      </c>
      <c r="K13" s="502" t="s">
        <v>15</v>
      </c>
      <c r="L13" s="502" t="s">
        <v>34</v>
      </c>
      <c r="M13" s="502" t="s">
        <v>10</v>
      </c>
      <c r="N13" s="502"/>
      <c r="O13" s="506" t="s">
        <v>300</v>
      </c>
      <c r="P13" s="506" t="s">
        <v>299</v>
      </c>
      <c r="Q13" s="502" t="s">
        <v>7</v>
      </c>
      <c r="R13" s="502" t="s">
        <v>88</v>
      </c>
      <c r="S13" s="502" t="s">
        <v>8</v>
      </c>
      <c r="T13" s="502"/>
      <c r="U13" s="502"/>
      <c r="V13" s="502"/>
      <c r="X13" s="98"/>
      <c r="Y13" s="98"/>
      <c r="Z13" s="98"/>
      <c r="AA13" s="98"/>
      <c r="AB13" s="98"/>
      <c r="AC13" s="98"/>
    </row>
    <row r="14" spans="1:55" ht="30" customHeight="1" x14ac:dyDescent="0.25">
      <c r="A14" s="504"/>
      <c r="B14" s="504"/>
      <c r="C14" s="504"/>
      <c r="D14" s="504"/>
      <c r="E14" s="504"/>
      <c r="F14" s="504"/>
      <c r="G14" s="504"/>
      <c r="H14" s="504"/>
      <c r="I14" s="504"/>
      <c r="J14" s="504"/>
      <c r="K14" s="504"/>
      <c r="L14" s="504"/>
      <c r="M14" s="94" t="s">
        <v>3</v>
      </c>
      <c r="N14" s="94" t="s">
        <v>4</v>
      </c>
      <c r="O14" s="507"/>
      <c r="P14" s="507"/>
      <c r="Q14" s="504"/>
      <c r="R14" s="504"/>
      <c r="S14" s="504"/>
      <c r="T14" s="504"/>
      <c r="U14" s="504"/>
      <c r="V14" s="504"/>
      <c r="Y14" s="502" t="s">
        <v>230</v>
      </c>
      <c r="Z14" s="502"/>
      <c r="AA14" s="502"/>
      <c r="AB14" s="502"/>
      <c r="AC14" s="502"/>
      <c r="AD14" s="502" t="s">
        <v>231</v>
      </c>
      <c r="AH14" s="203" t="s">
        <v>232</v>
      </c>
      <c r="AJ14" s="520" t="s">
        <v>191</v>
      </c>
      <c r="AK14" s="520" t="s">
        <v>192</v>
      </c>
      <c r="AL14" s="520" t="s">
        <v>193</v>
      </c>
      <c r="AM14" s="520" t="s">
        <v>194</v>
      </c>
      <c r="AN14" s="520" t="s">
        <v>195</v>
      </c>
      <c r="AO14" s="506" t="s">
        <v>196</v>
      </c>
      <c r="AP14" s="506" t="s">
        <v>197</v>
      </c>
      <c r="AQ14" s="506" t="s">
        <v>198</v>
      </c>
      <c r="AR14" s="506" t="s">
        <v>188</v>
      </c>
      <c r="AS14" s="506" t="s">
        <v>199</v>
      </c>
      <c r="AT14" s="506" t="s">
        <v>200</v>
      </c>
      <c r="AU14" s="506" t="s">
        <v>201</v>
      </c>
      <c r="AV14" s="506" t="s">
        <v>202</v>
      </c>
      <c r="AW14" s="506" t="s">
        <v>203</v>
      </c>
      <c r="AX14" s="506" t="s">
        <v>204</v>
      </c>
      <c r="AY14" s="523" t="s">
        <v>205</v>
      </c>
      <c r="AZ14" s="523" t="s">
        <v>206</v>
      </c>
      <c r="BA14" s="523" t="s">
        <v>207</v>
      </c>
      <c r="BB14" s="523" t="s">
        <v>208</v>
      </c>
      <c r="BC14" s="506" t="s">
        <v>197</v>
      </c>
    </row>
    <row r="15" spans="1:55" ht="20.100000000000001" customHeight="1" thickBot="1" x14ac:dyDescent="0.3">
      <c r="A15" s="503"/>
      <c r="B15" s="95" t="s">
        <v>1</v>
      </c>
      <c r="C15" s="95" t="s">
        <v>1</v>
      </c>
      <c r="D15" s="95" t="s">
        <v>1</v>
      </c>
      <c r="E15" s="95" t="s">
        <v>1</v>
      </c>
      <c r="F15" s="95" t="s">
        <v>140</v>
      </c>
      <c r="G15" s="95" t="s">
        <v>1</v>
      </c>
      <c r="H15" s="95" t="s">
        <v>1</v>
      </c>
      <c r="I15" s="95" t="s">
        <v>1</v>
      </c>
      <c r="J15" s="95" t="s">
        <v>18</v>
      </c>
      <c r="K15" s="95" t="s">
        <v>9</v>
      </c>
      <c r="L15" s="95" t="s">
        <v>5</v>
      </c>
      <c r="M15" s="95" t="s">
        <v>5</v>
      </c>
      <c r="N15" s="95" t="s">
        <v>5</v>
      </c>
      <c r="O15" s="95" t="s">
        <v>1</v>
      </c>
      <c r="P15" s="95" t="s">
        <v>14</v>
      </c>
      <c r="Q15" s="95" t="str">
        <f>IF(MR!G17="MSCF","MSCFD","MMSCFD")</f>
        <v>MSCFD</v>
      </c>
      <c r="R15" s="95" t="str">
        <f>MR!L17</f>
        <v>BPD</v>
      </c>
      <c r="S15" s="503"/>
      <c r="T15" s="503"/>
      <c r="U15" s="503"/>
      <c r="V15" s="503"/>
      <c r="X15" s="365"/>
      <c r="Y15" s="95" t="s">
        <v>123</v>
      </c>
      <c r="Z15" s="95" t="s">
        <v>124</v>
      </c>
      <c r="AA15" s="95" t="s">
        <v>125</v>
      </c>
      <c r="AB15" s="95" t="s">
        <v>51</v>
      </c>
      <c r="AC15" s="95" t="s">
        <v>48</v>
      </c>
      <c r="AD15" s="503"/>
      <c r="AH15" s="204" t="s">
        <v>228</v>
      </c>
      <c r="AJ15" s="521"/>
      <c r="AK15" s="521"/>
      <c r="AL15" s="521"/>
      <c r="AM15" s="521"/>
      <c r="AN15" s="521"/>
      <c r="AO15" s="522"/>
      <c r="AP15" s="522"/>
      <c r="AQ15" s="522"/>
      <c r="AR15" s="522"/>
      <c r="AS15" s="522"/>
      <c r="AT15" s="522"/>
      <c r="AU15" s="522"/>
      <c r="AV15" s="522"/>
      <c r="AW15" s="522"/>
      <c r="AX15" s="522"/>
      <c r="AY15" s="524"/>
      <c r="AZ15" s="524"/>
      <c r="BA15" s="524"/>
      <c r="BB15" s="524"/>
      <c r="BC15" s="522"/>
    </row>
    <row r="16" spans="1:55" ht="20.100000000000001" customHeight="1" x14ac:dyDescent="0.2">
      <c r="A16" s="44">
        <v>4.1666666666666664E-2</v>
      </c>
      <c r="B16" s="450"/>
      <c r="C16" s="450"/>
      <c r="D16" s="450">
        <v>7.4</v>
      </c>
      <c r="E16" s="450">
        <v>64.8</v>
      </c>
      <c r="F16" s="40">
        <v>1915</v>
      </c>
      <c r="G16" s="36">
        <v>-5.6</v>
      </c>
      <c r="H16" s="36">
        <v>72.400000000000006</v>
      </c>
      <c r="I16" s="36">
        <v>22.6</v>
      </c>
      <c r="J16" s="40">
        <v>536</v>
      </c>
      <c r="K16" s="36">
        <v>13</v>
      </c>
      <c r="L16" s="450">
        <v>132</v>
      </c>
      <c r="M16" s="450">
        <v>221</v>
      </c>
      <c r="N16" s="450">
        <v>90</v>
      </c>
      <c r="O16" s="352">
        <v>45</v>
      </c>
      <c r="P16" s="352">
        <v>13</v>
      </c>
      <c r="Q16" s="352">
        <v>248.28</v>
      </c>
      <c r="R16" s="36"/>
      <c r="S16" s="519" t="str">
        <f t="shared" ref="S16:S32" si="0">IF(Z16="",IF(AD16="","",AD16),CONCATENATE(TEXT(Z16,"[hh]:mm"),IF(AA16="",""," - "&amp;TEXT(AA16,"[hh]:mm")),IF(Y16="",""," "&amp;Y16&amp;"/")," "&amp;AD16))</f>
        <v/>
      </c>
      <c r="T16" s="519"/>
      <c r="U16" s="519"/>
      <c r="V16" s="519"/>
      <c r="X16" s="44">
        <v>4.1666666666666664E-2</v>
      </c>
      <c r="Y16" s="105"/>
      <c r="Z16" s="101"/>
      <c r="AA16" s="101"/>
      <c r="AB16" s="44" t="str">
        <f>IF(Y16="STBY",AA16-Z16,"")</f>
        <v/>
      </c>
      <c r="AC16" s="44" t="str">
        <f t="shared" ref="AC16:AC39" si="1">IF(Y16="SD",AA16-Z16,"")</f>
        <v/>
      </c>
      <c r="AD16" s="355"/>
      <c r="AE16" s="9" t="str">
        <f>IF(S16="","",IF(COUNTA(Z16:$Z$39)=1,IF(COUNTA(AD16:$AD$39)=1,""," ; "),IF(COUNTA(AD16:$AD$39)=1,IF(Z16="",""," ; ")," ; ")))</f>
        <v/>
      </c>
      <c r="AF16" s="9" t="str">
        <f t="shared" ref="AF16:AF39" si="2">CONCATENATE(S16,AE16)</f>
        <v/>
      </c>
      <c r="AG16" s="90" t="str">
        <f t="shared" ref="AG16:AG39" si="3">IF(AND(COUNTBLANK(N16:P16)&lt;3,Q16=""),"CEK : Data Flowrate","")</f>
        <v/>
      </c>
      <c r="AH16" s="204" t="s">
        <v>229</v>
      </c>
      <c r="AJ16" s="205">
        <f>AK5</f>
        <v>500</v>
      </c>
      <c r="AK16" s="205">
        <f>AK6</f>
        <v>100</v>
      </c>
      <c r="AL16" s="206">
        <f>AK7</f>
        <v>2</v>
      </c>
      <c r="AM16" s="207">
        <f>AK8</f>
        <v>0.875</v>
      </c>
      <c r="AN16" s="208">
        <f>AK10</f>
        <v>0.63607464142166403</v>
      </c>
      <c r="AO16" s="209">
        <f t="shared" ref="AO16:AO39" si="4">T16^2*AJ16/100-14.7</f>
        <v>-14.7</v>
      </c>
      <c r="AP16" s="210">
        <f t="shared" ref="AP16:AP39" si="5">IF(AO16&lt;100,1,BC16)</f>
        <v>1</v>
      </c>
      <c r="AQ16" s="210">
        <f t="shared" ref="AQ16:AQ39" si="6">(1/AP16)^0.5</f>
        <v>1</v>
      </c>
      <c r="AR16" s="52">
        <f>AK9</f>
        <v>158.47</v>
      </c>
      <c r="AS16" s="210">
        <f t="shared" ref="AS16:AS39" si="7">(520/(460+N16))^0.5</f>
        <v>0.9723448696087954</v>
      </c>
      <c r="AT16" s="210">
        <f t="shared" ref="AT16:AT39" si="8">(1/AN16)^0.5</f>
        <v>1.2538510821608391</v>
      </c>
      <c r="AU16" s="210">
        <f t="shared" ref="AU16:AU39" si="9">0.01*(AJ16*AK16)^0.5</f>
        <v>2.2360679774997898</v>
      </c>
      <c r="AV16" s="211">
        <f t="shared" ref="AV16:AV39" si="10">0.024*AQ16*AR16*AS16*AT16*AU16</f>
        <v>10.368348541764712</v>
      </c>
      <c r="AW16" s="210">
        <f t="shared" ref="AW16:AW39" si="11">(AO16+14.7)/(697.2-43*AN16)</f>
        <v>0</v>
      </c>
      <c r="AX16" s="212">
        <f t="shared" ref="AX16:AX39" si="12">(N16+460)/(315.1*AN16+170.4)</f>
        <v>1.4831709199797398</v>
      </c>
      <c r="AY16" s="210">
        <f t="shared" ref="AY16:AY39" si="13">0.3379*LN(LN(AX16))+1.091</f>
        <v>0.77643477842613629</v>
      </c>
      <c r="AZ16" s="211">
        <f t="shared" ref="AZ16:AZ39" si="14">21.46*AY16-11.9*AY16^2-5.9</f>
        <v>3.5883638597441294</v>
      </c>
      <c r="BA16" s="210">
        <f t="shared" ref="BA16:BA39" si="15">AW16/AZ16</f>
        <v>0</v>
      </c>
      <c r="BB16" s="210">
        <f t="shared" ref="BB16:BB39" si="16">(1.1+0.26*AX16+(1.04-1.42*AX16)*BA16)*2.718^BA16/AX16</f>
        <v>1.0016542390239327</v>
      </c>
      <c r="BC16" s="210">
        <f t="shared" ref="BC16:BC39" si="17">1+(AY16-1)*SIN((90*BA16)/57.29578)^BB16</f>
        <v>1</v>
      </c>
    </row>
    <row r="17" spans="1:55" ht="20.100000000000001" customHeight="1" x14ac:dyDescent="0.2">
      <c r="A17" s="45">
        <v>8.3333333333333301E-2</v>
      </c>
      <c r="B17" s="451"/>
      <c r="C17" s="451"/>
      <c r="D17" s="451">
        <v>7</v>
      </c>
      <c r="E17" s="451">
        <v>63.7</v>
      </c>
      <c r="F17" s="41">
        <v>1922</v>
      </c>
      <c r="G17" s="37">
        <v>-5.6</v>
      </c>
      <c r="H17" s="37">
        <v>72.599999999999994</v>
      </c>
      <c r="I17" s="37">
        <v>22.4</v>
      </c>
      <c r="J17" s="41">
        <v>537</v>
      </c>
      <c r="K17" s="37">
        <v>13</v>
      </c>
      <c r="L17" s="451">
        <v>130</v>
      </c>
      <c r="M17" s="451">
        <v>221</v>
      </c>
      <c r="N17" s="451">
        <v>90</v>
      </c>
      <c r="O17" s="353">
        <v>45</v>
      </c>
      <c r="P17" s="353">
        <v>13</v>
      </c>
      <c r="Q17" s="353">
        <v>248.28</v>
      </c>
      <c r="R17" s="37"/>
      <c r="S17" s="508" t="str">
        <f t="shared" si="0"/>
        <v/>
      </c>
      <c r="T17" s="508"/>
      <c r="U17" s="508"/>
      <c r="V17" s="508"/>
      <c r="X17" s="45">
        <v>8.3333333333333301E-2</v>
      </c>
      <c r="Y17" s="106"/>
      <c r="Z17" s="102"/>
      <c r="AA17" s="102"/>
      <c r="AB17" s="45" t="str">
        <f t="shared" ref="AB17:AB39" si="18">IF(Y17="STBY",AA17-Z17,"")</f>
        <v/>
      </c>
      <c r="AC17" s="45" t="str">
        <f t="shared" si="1"/>
        <v/>
      </c>
      <c r="AD17" s="81"/>
      <c r="AE17" s="9" t="str">
        <f>IF(S17="","",IF(COUNTA(Z17:$Z$39)=1,IF(COUNTA(AD17:$AD$39)=1,""," ; "),IF(COUNTA(AD17:$AD$39)=1,IF(Z17="",""," ; ")," ; ")))</f>
        <v/>
      </c>
      <c r="AF17" s="9" t="str">
        <f t="shared" si="2"/>
        <v/>
      </c>
      <c r="AG17" s="90" t="str">
        <f t="shared" si="3"/>
        <v/>
      </c>
      <c r="AH17" s="204" t="s">
        <v>289</v>
      </c>
      <c r="AJ17" s="206">
        <f t="shared" ref="AJ17:AN32" si="19">AJ16</f>
        <v>500</v>
      </c>
      <c r="AK17" s="206">
        <f t="shared" si="19"/>
        <v>100</v>
      </c>
      <c r="AL17" s="206">
        <f>AL16</f>
        <v>2</v>
      </c>
      <c r="AM17" s="213">
        <f>AM16</f>
        <v>0.875</v>
      </c>
      <c r="AN17" s="214">
        <f>AN16</f>
        <v>0.63607464142166403</v>
      </c>
      <c r="AO17" s="215">
        <f t="shared" si="4"/>
        <v>-14.7</v>
      </c>
      <c r="AP17" s="216">
        <f t="shared" si="5"/>
        <v>1</v>
      </c>
      <c r="AQ17" s="216">
        <f t="shared" si="6"/>
        <v>1</v>
      </c>
      <c r="AR17" s="215">
        <f>AR16</f>
        <v>158.47</v>
      </c>
      <c r="AS17" s="216">
        <f t="shared" si="7"/>
        <v>0.9723448696087954</v>
      </c>
      <c r="AT17" s="216">
        <f t="shared" si="8"/>
        <v>1.2538510821608391</v>
      </c>
      <c r="AU17" s="216">
        <f t="shared" si="9"/>
        <v>2.2360679774997898</v>
      </c>
      <c r="AV17" s="217">
        <f t="shared" si="10"/>
        <v>10.368348541764712</v>
      </c>
      <c r="AW17" s="216">
        <f t="shared" si="11"/>
        <v>0</v>
      </c>
      <c r="AX17" s="218">
        <f t="shared" si="12"/>
        <v>1.4831709199797398</v>
      </c>
      <c r="AY17" s="216">
        <f t="shared" si="13"/>
        <v>0.77643477842613629</v>
      </c>
      <c r="AZ17" s="217">
        <f t="shared" si="14"/>
        <v>3.5883638597441294</v>
      </c>
      <c r="BA17" s="216">
        <f t="shared" si="15"/>
        <v>0</v>
      </c>
      <c r="BB17" s="216">
        <f t="shared" si="16"/>
        <v>1.0016542390239327</v>
      </c>
      <c r="BC17" s="216">
        <f t="shared" si="17"/>
        <v>1</v>
      </c>
    </row>
    <row r="18" spans="1:55" ht="20.100000000000001" customHeight="1" x14ac:dyDescent="0.2">
      <c r="A18" s="45">
        <v>0.125</v>
      </c>
      <c r="B18" s="451"/>
      <c r="C18" s="451"/>
      <c r="D18" s="451">
        <v>6.3</v>
      </c>
      <c r="E18" s="451">
        <v>58.2</v>
      </c>
      <c r="F18" s="41">
        <v>1930</v>
      </c>
      <c r="G18" s="37">
        <v>-5.6</v>
      </c>
      <c r="H18" s="37">
        <v>72.2</v>
      </c>
      <c r="I18" s="37">
        <v>22.2</v>
      </c>
      <c r="J18" s="41">
        <v>538</v>
      </c>
      <c r="K18" s="37">
        <v>13</v>
      </c>
      <c r="L18" s="451">
        <v>133</v>
      </c>
      <c r="M18" s="451">
        <v>220</v>
      </c>
      <c r="N18" s="451">
        <v>90</v>
      </c>
      <c r="O18" s="353">
        <v>45</v>
      </c>
      <c r="P18" s="353">
        <v>12</v>
      </c>
      <c r="Q18" s="353">
        <v>238.62</v>
      </c>
      <c r="R18" s="37"/>
      <c r="S18" s="508" t="str">
        <f t="shared" si="0"/>
        <v/>
      </c>
      <c r="T18" s="508"/>
      <c r="U18" s="508"/>
      <c r="V18" s="508"/>
      <c r="X18" s="45">
        <v>0.125</v>
      </c>
      <c r="Y18" s="106"/>
      <c r="Z18" s="102"/>
      <c r="AA18" s="102"/>
      <c r="AB18" s="45" t="str">
        <f t="shared" si="18"/>
        <v/>
      </c>
      <c r="AC18" s="45" t="str">
        <f t="shared" si="1"/>
        <v/>
      </c>
      <c r="AD18" s="81"/>
      <c r="AE18" s="9" t="str">
        <f>IF(S18="","",IF(COUNTA(Z18:$Z$39)=1,IF(COUNTA(AD18:$AD$39)=1,""," ; "),IF(COUNTA(AD18:$AD$39)=1,IF(Z18="",""," ; ")," ; ")))</f>
        <v/>
      </c>
      <c r="AF18" s="9" t="str">
        <f t="shared" si="2"/>
        <v/>
      </c>
      <c r="AG18" s="90" t="str">
        <f t="shared" si="3"/>
        <v/>
      </c>
      <c r="AH18" s="204" t="s">
        <v>321</v>
      </c>
      <c r="AJ18" s="206">
        <f t="shared" si="19"/>
        <v>500</v>
      </c>
      <c r="AK18" s="206">
        <f t="shared" si="19"/>
        <v>100</v>
      </c>
      <c r="AL18" s="206">
        <f t="shared" si="19"/>
        <v>2</v>
      </c>
      <c r="AM18" s="213">
        <f t="shared" si="19"/>
        <v>0.875</v>
      </c>
      <c r="AN18" s="214">
        <f t="shared" si="19"/>
        <v>0.63607464142166403</v>
      </c>
      <c r="AO18" s="215">
        <f t="shared" si="4"/>
        <v>-14.7</v>
      </c>
      <c r="AP18" s="216">
        <f t="shared" si="5"/>
        <v>1</v>
      </c>
      <c r="AQ18" s="216">
        <f t="shared" si="6"/>
        <v>1</v>
      </c>
      <c r="AR18" s="215">
        <f t="shared" ref="AR18:AR39" si="20">AR17</f>
        <v>158.47</v>
      </c>
      <c r="AS18" s="216">
        <f t="shared" si="7"/>
        <v>0.9723448696087954</v>
      </c>
      <c r="AT18" s="216">
        <f t="shared" si="8"/>
        <v>1.2538510821608391</v>
      </c>
      <c r="AU18" s="216">
        <f t="shared" si="9"/>
        <v>2.2360679774997898</v>
      </c>
      <c r="AV18" s="217">
        <f t="shared" si="10"/>
        <v>10.368348541764712</v>
      </c>
      <c r="AW18" s="216">
        <f t="shared" si="11"/>
        <v>0</v>
      </c>
      <c r="AX18" s="218">
        <f t="shared" si="12"/>
        <v>1.4831709199797398</v>
      </c>
      <c r="AY18" s="216">
        <f t="shared" si="13"/>
        <v>0.77643477842613629</v>
      </c>
      <c r="AZ18" s="217">
        <f t="shared" si="14"/>
        <v>3.5883638597441294</v>
      </c>
      <c r="BA18" s="216">
        <f t="shared" si="15"/>
        <v>0</v>
      </c>
      <c r="BB18" s="216">
        <f t="shared" si="16"/>
        <v>1.0016542390239327</v>
      </c>
      <c r="BC18" s="216">
        <f t="shared" si="17"/>
        <v>1</v>
      </c>
    </row>
    <row r="19" spans="1:55" ht="20.100000000000001" customHeight="1" x14ac:dyDescent="0.2">
      <c r="A19" s="45">
        <v>0.16666666666666699</v>
      </c>
      <c r="B19" s="451"/>
      <c r="C19" s="451"/>
      <c r="D19" s="451">
        <v>7.1</v>
      </c>
      <c r="E19" s="451">
        <v>54.7</v>
      </c>
      <c r="F19" s="41">
        <v>1946</v>
      </c>
      <c r="G19" s="37">
        <v>-5.6</v>
      </c>
      <c r="H19" s="37">
        <v>72.599999999999994</v>
      </c>
      <c r="I19" s="37">
        <v>22.7</v>
      </c>
      <c r="J19" s="41">
        <v>539</v>
      </c>
      <c r="K19" s="37">
        <v>13</v>
      </c>
      <c r="L19" s="451">
        <v>135</v>
      </c>
      <c r="M19" s="451">
        <v>222</v>
      </c>
      <c r="N19" s="451">
        <v>90</v>
      </c>
      <c r="O19" s="353">
        <v>50</v>
      </c>
      <c r="P19" s="353">
        <v>16</v>
      </c>
      <c r="Q19" s="353">
        <v>286.67</v>
      </c>
      <c r="R19" s="37"/>
      <c r="S19" s="508" t="str">
        <f t="shared" si="0"/>
        <v/>
      </c>
      <c r="T19" s="508"/>
      <c r="U19" s="508"/>
      <c r="V19" s="508"/>
      <c r="X19" s="45">
        <v>0.16666666666666699</v>
      </c>
      <c r="Y19" s="106"/>
      <c r="Z19" s="102"/>
      <c r="AA19" s="102"/>
      <c r="AB19" s="45" t="str">
        <f t="shared" si="18"/>
        <v/>
      </c>
      <c r="AC19" s="45" t="str">
        <f t="shared" si="1"/>
        <v/>
      </c>
      <c r="AD19" s="81"/>
      <c r="AE19" s="9" t="str">
        <f>IF(S19="","",IF(COUNTA(Z19:$Z$39)=1,IF(COUNTA(AD19:$AD$39)=1,""," ; "),IF(COUNTA(AD19:$AD$39)=1,IF(Z19="",""," ; ")," ; ")))</f>
        <v/>
      </c>
      <c r="AF19" s="9" t="str">
        <f t="shared" si="2"/>
        <v/>
      </c>
      <c r="AG19" s="90" t="str">
        <f t="shared" si="3"/>
        <v/>
      </c>
      <c r="AH19" s="204" t="s">
        <v>272</v>
      </c>
      <c r="AJ19" s="206">
        <f t="shared" si="19"/>
        <v>500</v>
      </c>
      <c r="AK19" s="206">
        <f t="shared" si="19"/>
        <v>100</v>
      </c>
      <c r="AL19" s="206">
        <f t="shared" si="19"/>
        <v>2</v>
      </c>
      <c r="AM19" s="213">
        <f t="shared" si="19"/>
        <v>0.875</v>
      </c>
      <c r="AN19" s="214">
        <f t="shared" si="19"/>
        <v>0.63607464142166403</v>
      </c>
      <c r="AO19" s="215">
        <f t="shared" si="4"/>
        <v>-14.7</v>
      </c>
      <c r="AP19" s="216">
        <f t="shared" si="5"/>
        <v>1</v>
      </c>
      <c r="AQ19" s="216">
        <f t="shared" si="6"/>
        <v>1</v>
      </c>
      <c r="AR19" s="215">
        <f t="shared" si="20"/>
        <v>158.47</v>
      </c>
      <c r="AS19" s="216">
        <f t="shared" si="7"/>
        <v>0.9723448696087954</v>
      </c>
      <c r="AT19" s="216">
        <f t="shared" si="8"/>
        <v>1.2538510821608391</v>
      </c>
      <c r="AU19" s="216">
        <f t="shared" si="9"/>
        <v>2.2360679774997898</v>
      </c>
      <c r="AV19" s="217">
        <f t="shared" si="10"/>
        <v>10.368348541764712</v>
      </c>
      <c r="AW19" s="216">
        <f t="shared" si="11"/>
        <v>0</v>
      </c>
      <c r="AX19" s="218">
        <f t="shared" si="12"/>
        <v>1.4831709199797398</v>
      </c>
      <c r="AY19" s="216">
        <f t="shared" si="13"/>
        <v>0.77643477842613629</v>
      </c>
      <c r="AZ19" s="217">
        <f t="shared" si="14"/>
        <v>3.5883638597441294</v>
      </c>
      <c r="BA19" s="216">
        <f t="shared" si="15"/>
        <v>0</v>
      </c>
      <c r="BB19" s="216">
        <f t="shared" si="16"/>
        <v>1.0016542390239327</v>
      </c>
      <c r="BC19" s="216">
        <f t="shared" si="17"/>
        <v>1</v>
      </c>
    </row>
    <row r="20" spans="1:55" ht="20.100000000000001" customHeight="1" x14ac:dyDescent="0.2">
      <c r="A20" s="45">
        <v>0.20833333333333301</v>
      </c>
      <c r="B20" s="451"/>
      <c r="C20" s="451"/>
      <c r="D20" s="451">
        <v>8</v>
      </c>
      <c r="E20" s="451">
        <v>59.6</v>
      </c>
      <c r="F20" s="41">
        <v>1922</v>
      </c>
      <c r="G20" s="37">
        <v>-5.6</v>
      </c>
      <c r="H20" s="37">
        <v>72</v>
      </c>
      <c r="I20" s="37">
        <v>22.5</v>
      </c>
      <c r="J20" s="41">
        <v>540</v>
      </c>
      <c r="K20" s="37">
        <v>13</v>
      </c>
      <c r="L20" s="451">
        <v>137</v>
      </c>
      <c r="M20" s="451">
        <v>222</v>
      </c>
      <c r="N20" s="451">
        <v>90</v>
      </c>
      <c r="O20" s="353">
        <v>50</v>
      </c>
      <c r="P20" s="353">
        <v>16</v>
      </c>
      <c r="Q20" s="353">
        <v>286.67</v>
      </c>
      <c r="R20" s="37"/>
      <c r="S20" s="508" t="str">
        <f t="shared" si="0"/>
        <v/>
      </c>
      <c r="T20" s="508"/>
      <c r="U20" s="508"/>
      <c r="V20" s="508"/>
      <c r="X20" s="45">
        <v>0.20833333333333301</v>
      </c>
      <c r="Y20" s="106"/>
      <c r="Z20" s="102"/>
      <c r="AA20" s="102"/>
      <c r="AB20" s="45" t="str">
        <f t="shared" si="18"/>
        <v/>
      </c>
      <c r="AC20" s="45" t="str">
        <f t="shared" si="1"/>
        <v/>
      </c>
      <c r="AD20" s="81"/>
      <c r="AE20" s="9" t="str">
        <f>IF(S20="","",IF(COUNTA(Z20:$Z$39)=1,IF(COUNTA(AD20:$AD$39)=1,""," ; "),IF(COUNTA(AD20:$AD$39)=1,IF(Z20="",""," ; ")," ; ")))</f>
        <v/>
      </c>
      <c r="AF20" s="9" t="str">
        <f t="shared" si="2"/>
        <v/>
      </c>
      <c r="AG20" s="90" t="str">
        <f t="shared" si="3"/>
        <v/>
      </c>
      <c r="AH20" s="204" t="s">
        <v>275</v>
      </c>
      <c r="AJ20" s="206">
        <f t="shared" si="19"/>
        <v>500</v>
      </c>
      <c r="AK20" s="206">
        <f t="shared" si="19"/>
        <v>100</v>
      </c>
      <c r="AL20" s="206">
        <f t="shared" si="19"/>
        <v>2</v>
      </c>
      <c r="AM20" s="213">
        <f t="shared" si="19"/>
        <v>0.875</v>
      </c>
      <c r="AN20" s="214">
        <f t="shared" si="19"/>
        <v>0.63607464142166403</v>
      </c>
      <c r="AO20" s="215">
        <f t="shared" si="4"/>
        <v>-14.7</v>
      </c>
      <c r="AP20" s="216">
        <f t="shared" si="5"/>
        <v>1</v>
      </c>
      <c r="AQ20" s="216">
        <f t="shared" si="6"/>
        <v>1</v>
      </c>
      <c r="AR20" s="215">
        <f t="shared" si="20"/>
        <v>158.47</v>
      </c>
      <c r="AS20" s="216">
        <f t="shared" si="7"/>
        <v>0.9723448696087954</v>
      </c>
      <c r="AT20" s="216">
        <f t="shared" si="8"/>
        <v>1.2538510821608391</v>
      </c>
      <c r="AU20" s="216">
        <f t="shared" si="9"/>
        <v>2.2360679774997898</v>
      </c>
      <c r="AV20" s="217">
        <f t="shared" si="10"/>
        <v>10.368348541764712</v>
      </c>
      <c r="AW20" s="216">
        <f t="shared" si="11"/>
        <v>0</v>
      </c>
      <c r="AX20" s="218">
        <f t="shared" si="12"/>
        <v>1.4831709199797398</v>
      </c>
      <c r="AY20" s="216">
        <f t="shared" si="13"/>
        <v>0.77643477842613629</v>
      </c>
      <c r="AZ20" s="217">
        <f t="shared" si="14"/>
        <v>3.5883638597441294</v>
      </c>
      <c r="BA20" s="216">
        <f t="shared" si="15"/>
        <v>0</v>
      </c>
      <c r="BB20" s="216">
        <f t="shared" si="16"/>
        <v>1.0016542390239327</v>
      </c>
      <c r="BC20" s="216">
        <f t="shared" si="17"/>
        <v>1</v>
      </c>
    </row>
    <row r="21" spans="1:55" ht="20.100000000000001" customHeight="1" x14ac:dyDescent="0.2">
      <c r="A21" s="45">
        <v>0.25</v>
      </c>
      <c r="B21" s="451"/>
      <c r="C21" s="451"/>
      <c r="D21" s="451">
        <v>7.2</v>
      </c>
      <c r="E21" s="451">
        <v>53.4</v>
      </c>
      <c r="F21" s="41">
        <v>1915</v>
      </c>
      <c r="G21" s="37">
        <v>-5.6</v>
      </c>
      <c r="H21" s="37">
        <v>72.099999999999994</v>
      </c>
      <c r="I21" s="37">
        <v>22</v>
      </c>
      <c r="J21" s="41">
        <v>541</v>
      </c>
      <c r="K21" s="37">
        <v>13</v>
      </c>
      <c r="L21" s="451">
        <v>131</v>
      </c>
      <c r="M21" s="451">
        <v>227</v>
      </c>
      <c r="N21" s="451">
        <v>90</v>
      </c>
      <c r="O21" s="353">
        <v>50</v>
      </c>
      <c r="P21" s="353">
        <v>12</v>
      </c>
      <c r="Q21" s="353">
        <v>248.54</v>
      </c>
      <c r="R21" s="37"/>
      <c r="S21" s="508" t="str">
        <f t="shared" si="0"/>
        <v/>
      </c>
      <c r="T21" s="508"/>
      <c r="U21" s="508"/>
      <c r="V21" s="508"/>
      <c r="X21" s="45">
        <v>0.25</v>
      </c>
      <c r="Y21" s="106"/>
      <c r="Z21" s="102"/>
      <c r="AA21" s="102"/>
      <c r="AB21" s="45" t="str">
        <f t="shared" si="18"/>
        <v/>
      </c>
      <c r="AC21" s="45" t="str">
        <f t="shared" si="1"/>
        <v/>
      </c>
      <c r="AD21" s="81"/>
      <c r="AE21" s="9" t="str">
        <f>IF(S21="","",IF(COUNTA(Z21:$Z$39)=1,IF(COUNTA(AD21:$AD$39)=1,""," ; "),IF(COUNTA(AD21:$AD$39)=1,IF(Z21="",""," ; ")," ; ")))</f>
        <v/>
      </c>
      <c r="AF21" s="9" t="str">
        <f t="shared" si="2"/>
        <v/>
      </c>
      <c r="AG21" s="90" t="str">
        <f t="shared" si="3"/>
        <v/>
      </c>
      <c r="AH21" s="204" t="s">
        <v>322</v>
      </c>
      <c r="AJ21" s="206">
        <f t="shared" si="19"/>
        <v>500</v>
      </c>
      <c r="AK21" s="206">
        <f t="shared" si="19"/>
        <v>100</v>
      </c>
      <c r="AL21" s="206">
        <f t="shared" si="19"/>
        <v>2</v>
      </c>
      <c r="AM21" s="213">
        <f t="shared" si="19"/>
        <v>0.875</v>
      </c>
      <c r="AN21" s="214">
        <f t="shared" si="19"/>
        <v>0.63607464142166403</v>
      </c>
      <c r="AO21" s="215">
        <f t="shared" si="4"/>
        <v>-14.7</v>
      </c>
      <c r="AP21" s="216">
        <f t="shared" si="5"/>
        <v>1</v>
      </c>
      <c r="AQ21" s="216">
        <f t="shared" si="6"/>
        <v>1</v>
      </c>
      <c r="AR21" s="215">
        <f t="shared" si="20"/>
        <v>158.47</v>
      </c>
      <c r="AS21" s="216">
        <f t="shared" si="7"/>
        <v>0.9723448696087954</v>
      </c>
      <c r="AT21" s="216">
        <f t="shared" si="8"/>
        <v>1.2538510821608391</v>
      </c>
      <c r="AU21" s="216">
        <f t="shared" si="9"/>
        <v>2.2360679774997898</v>
      </c>
      <c r="AV21" s="217">
        <f t="shared" si="10"/>
        <v>10.368348541764712</v>
      </c>
      <c r="AW21" s="216">
        <f t="shared" si="11"/>
        <v>0</v>
      </c>
      <c r="AX21" s="218">
        <f t="shared" si="12"/>
        <v>1.4831709199797398</v>
      </c>
      <c r="AY21" s="216">
        <f t="shared" si="13"/>
        <v>0.77643477842613629</v>
      </c>
      <c r="AZ21" s="217">
        <f t="shared" si="14"/>
        <v>3.5883638597441294</v>
      </c>
      <c r="BA21" s="216">
        <f t="shared" si="15"/>
        <v>0</v>
      </c>
      <c r="BB21" s="216">
        <f t="shared" si="16"/>
        <v>1.0016542390239327</v>
      </c>
      <c r="BC21" s="216">
        <f t="shared" si="17"/>
        <v>1</v>
      </c>
    </row>
    <row r="22" spans="1:55" ht="20.100000000000001" customHeight="1" x14ac:dyDescent="0.2">
      <c r="A22" s="45">
        <v>0.29166666666666702</v>
      </c>
      <c r="B22" s="451"/>
      <c r="C22" s="451"/>
      <c r="D22" s="451">
        <v>6.4</v>
      </c>
      <c r="E22" s="451">
        <v>54.2</v>
      </c>
      <c r="F22" s="41">
        <v>1946</v>
      </c>
      <c r="G22" s="37">
        <v>-5.6</v>
      </c>
      <c r="H22" s="37">
        <v>72.5</v>
      </c>
      <c r="I22" s="37">
        <v>22.1</v>
      </c>
      <c r="J22" s="41">
        <v>542</v>
      </c>
      <c r="K22" s="37">
        <v>13</v>
      </c>
      <c r="L22" s="451">
        <v>134</v>
      </c>
      <c r="M22" s="451">
        <v>221</v>
      </c>
      <c r="N22" s="451">
        <v>90</v>
      </c>
      <c r="O22" s="353">
        <v>45</v>
      </c>
      <c r="P22" s="353">
        <v>12</v>
      </c>
      <c r="Q22" s="353">
        <v>238.62</v>
      </c>
      <c r="R22" s="37"/>
      <c r="S22" s="508" t="str">
        <f t="shared" si="0"/>
        <v/>
      </c>
      <c r="T22" s="508"/>
      <c r="U22" s="508"/>
      <c r="V22" s="508"/>
      <c r="X22" s="45">
        <v>0.29166666666666702</v>
      </c>
      <c r="Y22" s="106"/>
      <c r="Z22" s="102"/>
      <c r="AA22" s="102"/>
      <c r="AB22" s="45" t="str">
        <f t="shared" si="18"/>
        <v/>
      </c>
      <c r="AC22" s="45" t="str">
        <f t="shared" si="1"/>
        <v/>
      </c>
      <c r="AD22" s="81"/>
      <c r="AE22" s="9" t="str">
        <f>IF(S22="","",IF(COUNTA(Z22:$Z$39)=1,IF(COUNTA(AD22:$AD$39)=1,""," ; "),IF(COUNTA(AD22:$AD$39)=1,IF(Z22="",""," ; ")," ; ")))</f>
        <v/>
      </c>
      <c r="AF22" s="9" t="str">
        <f t="shared" si="2"/>
        <v/>
      </c>
      <c r="AG22" s="90" t="str">
        <f t="shared" si="3"/>
        <v/>
      </c>
      <c r="AH22" s="204" t="s">
        <v>279</v>
      </c>
      <c r="AJ22" s="206">
        <f t="shared" si="19"/>
        <v>500</v>
      </c>
      <c r="AK22" s="206">
        <f t="shared" si="19"/>
        <v>100</v>
      </c>
      <c r="AL22" s="206">
        <f t="shared" si="19"/>
        <v>2</v>
      </c>
      <c r="AM22" s="213">
        <f t="shared" si="19"/>
        <v>0.875</v>
      </c>
      <c r="AN22" s="214">
        <f t="shared" si="19"/>
        <v>0.63607464142166403</v>
      </c>
      <c r="AO22" s="215">
        <f t="shared" si="4"/>
        <v>-14.7</v>
      </c>
      <c r="AP22" s="216">
        <f t="shared" si="5"/>
        <v>1</v>
      </c>
      <c r="AQ22" s="216">
        <f t="shared" si="6"/>
        <v>1</v>
      </c>
      <c r="AR22" s="215">
        <f t="shared" si="20"/>
        <v>158.47</v>
      </c>
      <c r="AS22" s="216">
        <f t="shared" si="7"/>
        <v>0.9723448696087954</v>
      </c>
      <c r="AT22" s="216">
        <f t="shared" si="8"/>
        <v>1.2538510821608391</v>
      </c>
      <c r="AU22" s="216">
        <f t="shared" si="9"/>
        <v>2.2360679774997898</v>
      </c>
      <c r="AV22" s="217">
        <f t="shared" si="10"/>
        <v>10.368348541764712</v>
      </c>
      <c r="AW22" s="216">
        <f t="shared" si="11"/>
        <v>0</v>
      </c>
      <c r="AX22" s="218">
        <f t="shared" si="12"/>
        <v>1.4831709199797398</v>
      </c>
      <c r="AY22" s="216">
        <f t="shared" si="13"/>
        <v>0.77643477842613629</v>
      </c>
      <c r="AZ22" s="217">
        <f t="shared" si="14"/>
        <v>3.5883638597441294</v>
      </c>
      <c r="BA22" s="216">
        <f t="shared" si="15"/>
        <v>0</v>
      </c>
      <c r="BB22" s="216">
        <f t="shared" si="16"/>
        <v>1.0016542390239327</v>
      </c>
      <c r="BC22" s="216">
        <f t="shared" si="17"/>
        <v>1</v>
      </c>
    </row>
    <row r="23" spans="1:55" ht="20.100000000000001" customHeight="1" x14ac:dyDescent="0.2">
      <c r="A23" s="45">
        <v>0.33333333333333298</v>
      </c>
      <c r="B23" s="451"/>
      <c r="C23" s="451"/>
      <c r="D23" s="451">
        <v>7.6</v>
      </c>
      <c r="E23" s="451">
        <v>59.5</v>
      </c>
      <c r="F23" s="41">
        <v>1950</v>
      </c>
      <c r="G23" s="37">
        <v>-5.6</v>
      </c>
      <c r="H23" s="37">
        <v>72.599999999999994</v>
      </c>
      <c r="I23" s="37">
        <v>22.3</v>
      </c>
      <c r="J23" s="41">
        <v>543</v>
      </c>
      <c r="K23" s="37">
        <v>13</v>
      </c>
      <c r="L23" s="451">
        <v>130</v>
      </c>
      <c r="M23" s="451">
        <v>223</v>
      </c>
      <c r="N23" s="451">
        <v>90</v>
      </c>
      <c r="O23" s="353">
        <v>45</v>
      </c>
      <c r="P23" s="353">
        <v>13</v>
      </c>
      <c r="Q23" s="353">
        <v>248.28</v>
      </c>
      <c r="R23" s="37"/>
      <c r="S23" s="508" t="str">
        <f t="shared" si="0"/>
        <v/>
      </c>
      <c r="T23" s="508"/>
      <c r="U23" s="508"/>
      <c r="V23" s="508"/>
      <c r="X23" s="45">
        <v>0.33333333333333298</v>
      </c>
      <c r="Y23" s="106"/>
      <c r="Z23" s="102"/>
      <c r="AA23" s="102"/>
      <c r="AB23" s="45" t="str">
        <f t="shared" si="18"/>
        <v/>
      </c>
      <c r="AC23" s="45" t="str">
        <f t="shared" si="1"/>
        <v/>
      </c>
      <c r="AD23" s="81"/>
      <c r="AE23" s="9" t="str">
        <f>IF(S23="","",IF(COUNTA(Z23:$Z$39)=1,IF(COUNTA(AD23:$AD$39)=1,""," ; "),IF(COUNTA(AD23:$AD$39)=1,IF(Z23="",""," ; ")," ; ")))</f>
        <v/>
      </c>
      <c r="AF23" s="9" t="str">
        <f t="shared" si="2"/>
        <v/>
      </c>
      <c r="AG23" s="90" t="str">
        <f t="shared" si="3"/>
        <v/>
      </c>
      <c r="AH23" s="204" t="s">
        <v>274</v>
      </c>
      <c r="AJ23" s="206">
        <f t="shared" si="19"/>
        <v>500</v>
      </c>
      <c r="AK23" s="206">
        <f t="shared" si="19"/>
        <v>100</v>
      </c>
      <c r="AL23" s="206">
        <f t="shared" si="19"/>
        <v>2</v>
      </c>
      <c r="AM23" s="213">
        <f t="shared" si="19"/>
        <v>0.875</v>
      </c>
      <c r="AN23" s="214">
        <f t="shared" si="19"/>
        <v>0.63607464142166403</v>
      </c>
      <c r="AO23" s="215">
        <f t="shared" si="4"/>
        <v>-14.7</v>
      </c>
      <c r="AP23" s="216">
        <f t="shared" si="5"/>
        <v>1</v>
      </c>
      <c r="AQ23" s="216">
        <f t="shared" si="6"/>
        <v>1</v>
      </c>
      <c r="AR23" s="215">
        <f t="shared" si="20"/>
        <v>158.47</v>
      </c>
      <c r="AS23" s="216">
        <f t="shared" si="7"/>
        <v>0.9723448696087954</v>
      </c>
      <c r="AT23" s="216">
        <f t="shared" si="8"/>
        <v>1.2538510821608391</v>
      </c>
      <c r="AU23" s="216">
        <f t="shared" si="9"/>
        <v>2.2360679774997898</v>
      </c>
      <c r="AV23" s="217">
        <f t="shared" si="10"/>
        <v>10.368348541764712</v>
      </c>
      <c r="AW23" s="216">
        <f t="shared" si="11"/>
        <v>0</v>
      </c>
      <c r="AX23" s="218">
        <f t="shared" si="12"/>
        <v>1.4831709199797398</v>
      </c>
      <c r="AY23" s="216">
        <f t="shared" si="13"/>
        <v>0.77643477842613629</v>
      </c>
      <c r="AZ23" s="217">
        <f t="shared" si="14"/>
        <v>3.5883638597441294</v>
      </c>
      <c r="BA23" s="216">
        <f t="shared" si="15"/>
        <v>0</v>
      </c>
      <c r="BB23" s="216">
        <f t="shared" si="16"/>
        <v>1.0016542390239327</v>
      </c>
      <c r="BC23" s="216">
        <f t="shared" si="17"/>
        <v>1</v>
      </c>
    </row>
    <row r="24" spans="1:55" ht="20.100000000000001" customHeight="1" x14ac:dyDescent="0.2">
      <c r="A24" s="45">
        <v>0.375</v>
      </c>
      <c r="B24" s="451"/>
      <c r="C24" s="451"/>
      <c r="D24" s="451">
        <v>7.5</v>
      </c>
      <c r="E24" s="451">
        <v>59.3</v>
      </c>
      <c r="F24" s="41">
        <v>1930</v>
      </c>
      <c r="G24" s="37">
        <v>-5.6</v>
      </c>
      <c r="H24" s="37">
        <v>72.5</v>
      </c>
      <c r="I24" s="37">
        <v>22.6</v>
      </c>
      <c r="J24" s="41">
        <v>544</v>
      </c>
      <c r="K24" s="37">
        <v>13</v>
      </c>
      <c r="L24" s="451">
        <v>130</v>
      </c>
      <c r="M24" s="451">
        <v>223</v>
      </c>
      <c r="N24" s="451">
        <v>90</v>
      </c>
      <c r="O24" s="353">
        <v>45</v>
      </c>
      <c r="P24" s="353">
        <v>13</v>
      </c>
      <c r="Q24" s="353">
        <v>248.28</v>
      </c>
      <c r="R24" s="37"/>
      <c r="S24" s="508" t="str">
        <f t="shared" si="0"/>
        <v/>
      </c>
      <c r="T24" s="508"/>
      <c r="U24" s="508"/>
      <c r="V24" s="508"/>
      <c r="X24" s="45">
        <v>0.375</v>
      </c>
      <c r="Y24" s="106"/>
      <c r="Z24" s="102"/>
      <c r="AA24" s="102"/>
      <c r="AB24" s="45" t="str">
        <f t="shared" si="18"/>
        <v/>
      </c>
      <c r="AC24" s="45" t="str">
        <f t="shared" si="1"/>
        <v/>
      </c>
      <c r="AD24" s="81"/>
      <c r="AE24" s="9" t="str">
        <f>IF(S24="","",IF(COUNTA(Z24:$Z$39)=1,IF(COUNTA(AD24:$AD$39)=1,""," ; "),IF(COUNTA(AD24:$AD$39)=1,IF(Z24="",""," ; ")," ; ")))</f>
        <v/>
      </c>
      <c r="AF24" s="9" t="str">
        <f t="shared" si="2"/>
        <v/>
      </c>
      <c r="AG24" s="90" t="str">
        <f t="shared" si="3"/>
        <v/>
      </c>
      <c r="AH24" s="204" t="s">
        <v>307</v>
      </c>
      <c r="AJ24" s="206">
        <f t="shared" si="19"/>
        <v>500</v>
      </c>
      <c r="AK24" s="206">
        <f t="shared" si="19"/>
        <v>100</v>
      </c>
      <c r="AL24" s="206">
        <f t="shared" si="19"/>
        <v>2</v>
      </c>
      <c r="AM24" s="213">
        <f t="shared" si="19"/>
        <v>0.875</v>
      </c>
      <c r="AN24" s="214">
        <f t="shared" si="19"/>
        <v>0.63607464142166403</v>
      </c>
      <c r="AO24" s="215">
        <f t="shared" si="4"/>
        <v>-14.7</v>
      </c>
      <c r="AP24" s="216">
        <f t="shared" si="5"/>
        <v>1</v>
      </c>
      <c r="AQ24" s="216">
        <f t="shared" si="6"/>
        <v>1</v>
      </c>
      <c r="AR24" s="215">
        <f t="shared" si="20"/>
        <v>158.47</v>
      </c>
      <c r="AS24" s="216">
        <f t="shared" si="7"/>
        <v>0.9723448696087954</v>
      </c>
      <c r="AT24" s="216">
        <f t="shared" si="8"/>
        <v>1.2538510821608391</v>
      </c>
      <c r="AU24" s="216">
        <f t="shared" si="9"/>
        <v>2.2360679774997898</v>
      </c>
      <c r="AV24" s="217">
        <f t="shared" si="10"/>
        <v>10.368348541764712</v>
      </c>
      <c r="AW24" s="216">
        <f t="shared" si="11"/>
        <v>0</v>
      </c>
      <c r="AX24" s="218">
        <f t="shared" si="12"/>
        <v>1.4831709199797398</v>
      </c>
      <c r="AY24" s="216">
        <f t="shared" si="13"/>
        <v>0.77643477842613629</v>
      </c>
      <c r="AZ24" s="217">
        <f t="shared" si="14"/>
        <v>3.5883638597441294</v>
      </c>
      <c r="BA24" s="216">
        <f t="shared" si="15"/>
        <v>0</v>
      </c>
      <c r="BB24" s="216">
        <f t="shared" si="16"/>
        <v>1.0016542390239327</v>
      </c>
      <c r="BC24" s="216">
        <f t="shared" si="17"/>
        <v>1</v>
      </c>
    </row>
    <row r="25" spans="1:55" ht="20.100000000000001" customHeight="1" x14ac:dyDescent="0.2">
      <c r="A25" s="45">
        <v>0.41666666666666702</v>
      </c>
      <c r="B25" s="451"/>
      <c r="C25" s="451"/>
      <c r="D25" s="451">
        <v>7.3</v>
      </c>
      <c r="E25" s="451">
        <v>61.9</v>
      </c>
      <c r="F25" s="41">
        <v>1956</v>
      </c>
      <c r="G25" s="37">
        <v>-5.6</v>
      </c>
      <c r="H25" s="37">
        <v>72.3</v>
      </c>
      <c r="I25" s="37">
        <v>22.9</v>
      </c>
      <c r="J25" s="41">
        <v>545</v>
      </c>
      <c r="K25" s="37">
        <v>13</v>
      </c>
      <c r="L25" s="451">
        <v>132</v>
      </c>
      <c r="M25" s="451">
        <v>226</v>
      </c>
      <c r="N25" s="451">
        <v>90</v>
      </c>
      <c r="O25" s="353">
        <v>45</v>
      </c>
      <c r="P25" s="353">
        <v>14</v>
      </c>
      <c r="Q25" s="353">
        <v>257.58</v>
      </c>
      <c r="R25" s="37"/>
      <c r="S25" s="508" t="str">
        <f t="shared" si="0"/>
        <v/>
      </c>
      <c r="T25" s="508"/>
      <c r="U25" s="508"/>
      <c r="V25" s="508"/>
      <c r="X25" s="45">
        <v>0.41666666666666702</v>
      </c>
      <c r="Y25" s="106"/>
      <c r="Z25" s="102"/>
      <c r="AA25" s="102"/>
      <c r="AB25" s="45" t="str">
        <f t="shared" si="18"/>
        <v/>
      </c>
      <c r="AC25" s="45" t="str">
        <f t="shared" si="1"/>
        <v/>
      </c>
      <c r="AD25" s="81"/>
      <c r="AE25" s="9" t="str">
        <f>IF(S25="","",IF(COUNTA(Z25:$Z$39)=1,IF(COUNTA(AD25:$AD$39)=1,""," ; "),IF(COUNTA(AD25:$AD$39)=1,IF(Z25="",""," ; ")," ; ")))</f>
        <v/>
      </c>
      <c r="AF25" s="9" t="str">
        <f t="shared" si="2"/>
        <v/>
      </c>
      <c r="AG25" s="90" t="str">
        <f t="shared" si="3"/>
        <v/>
      </c>
      <c r="AH25" s="204" t="s">
        <v>225</v>
      </c>
      <c r="AJ25" s="206">
        <f t="shared" si="19"/>
        <v>500</v>
      </c>
      <c r="AK25" s="206">
        <f t="shared" si="19"/>
        <v>100</v>
      </c>
      <c r="AL25" s="206">
        <f t="shared" si="19"/>
        <v>2</v>
      </c>
      <c r="AM25" s="213">
        <f t="shared" si="19"/>
        <v>0.875</v>
      </c>
      <c r="AN25" s="214">
        <f t="shared" si="19"/>
        <v>0.63607464142166403</v>
      </c>
      <c r="AO25" s="215">
        <f t="shared" si="4"/>
        <v>-14.7</v>
      </c>
      <c r="AP25" s="216">
        <f t="shared" si="5"/>
        <v>1</v>
      </c>
      <c r="AQ25" s="216">
        <f t="shared" si="6"/>
        <v>1</v>
      </c>
      <c r="AR25" s="215">
        <f t="shared" si="20"/>
        <v>158.47</v>
      </c>
      <c r="AS25" s="216">
        <f t="shared" si="7"/>
        <v>0.9723448696087954</v>
      </c>
      <c r="AT25" s="216">
        <f t="shared" si="8"/>
        <v>1.2538510821608391</v>
      </c>
      <c r="AU25" s="216">
        <f t="shared" si="9"/>
        <v>2.2360679774997898</v>
      </c>
      <c r="AV25" s="217">
        <f t="shared" si="10"/>
        <v>10.368348541764712</v>
      </c>
      <c r="AW25" s="216">
        <f t="shared" si="11"/>
        <v>0</v>
      </c>
      <c r="AX25" s="218">
        <f t="shared" si="12"/>
        <v>1.4831709199797398</v>
      </c>
      <c r="AY25" s="216">
        <f t="shared" si="13"/>
        <v>0.77643477842613629</v>
      </c>
      <c r="AZ25" s="217">
        <f t="shared" si="14"/>
        <v>3.5883638597441294</v>
      </c>
      <c r="BA25" s="216">
        <f t="shared" si="15"/>
        <v>0</v>
      </c>
      <c r="BB25" s="216">
        <f t="shared" si="16"/>
        <v>1.0016542390239327</v>
      </c>
      <c r="BC25" s="216">
        <f t="shared" si="17"/>
        <v>1</v>
      </c>
    </row>
    <row r="26" spans="1:55" ht="20.100000000000001" customHeight="1" x14ac:dyDescent="0.2">
      <c r="A26" s="45">
        <v>0.45833333333333298</v>
      </c>
      <c r="B26" s="451"/>
      <c r="C26" s="451"/>
      <c r="D26" s="451">
        <v>7.9</v>
      </c>
      <c r="E26" s="451">
        <v>61.3</v>
      </c>
      <c r="F26" s="41">
        <v>1945</v>
      </c>
      <c r="G26" s="37">
        <v>-5.6</v>
      </c>
      <c r="H26" s="37">
        <v>72.599999999999994</v>
      </c>
      <c r="I26" s="37">
        <v>22.5</v>
      </c>
      <c r="J26" s="41">
        <v>546</v>
      </c>
      <c r="K26" s="37">
        <v>13</v>
      </c>
      <c r="L26" s="451">
        <v>132</v>
      </c>
      <c r="M26" s="451">
        <v>226</v>
      </c>
      <c r="N26" s="451">
        <v>90</v>
      </c>
      <c r="O26" s="353">
        <v>45</v>
      </c>
      <c r="P26" s="353">
        <v>13</v>
      </c>
      <c r="Q26" s="353">
        <v>248.28</v>
      </c>
      <c r="R26" s="37"/>
      <c r="S26" s="508" t="str">
        <f t="shared" si="0"/>
        <v/>
      </c>
      <c r="T26" s="508"/>
      <c r="U26" s="508"/>
      <c r="V26" s="508"/>
      <c r="X26" s="45">
        <v>0.45833333333333298</v>
      </c>
      <c r="Y26" s="106"/>
      <c r="Z26" s="102"/>
      <c r="AA26" s="102"/>
      <c r="AB26" s="45" t="str">
        <f t="shared" si="18"/>
        <v/>
      </c>
      <c r="AC26" s="45" t="str">
        <f t="shared" si="1"/>
        <v/>
      </c>
      <c r="AD26" s="81"/>
      <c r="AE26" s="9" t="str">
        <f>IF(S26="","",IF(COUNTA(Z26:$Z$39)=1,IF(COUNTA(AD26:$AD$39)=1,""," ; "),IF(COUNTA(AD26:$AD$39)=1,IF(Z26="",""," ; ")," ; ")))</f>
        <v/>
      </c>
      <c r="AF26" s="9" t="str">
        <f t="shared" si="2"/>
        <v/>
      </c>
      <c r="AG26" s="90" t="str">
        <f t="shared" si="3"/>
        <v/>
      </c>
      <c r="AH26" s="204" t="s">
        <v>287</v>
      </c>
      <c r="AJ26" s="206">
        <f t="shared" si="19"/>
        <v>500</v>
      </c>
      <c r="AK26" s="206">
        <f t="shared" si="19"/>
        <v>100</v>
      </c>
      <c r="AL26" s="206">
        <f t="shared" si="19"/>
        <v>2</v>
      </c>
      <c r="AM26" s="213">
        <f t="shared" si="19"/>
        <v>0.875</v>
      </c>
      <c r="AN26" s="214">
        <f t="shared" si="19"/>
        <v>0.63607464142166403</v>
      </c>
      <c r="AO26" s="215">
        <f t="shared" si="4"/>
        <v>-14.7</v>
      </c>
      <c r="AP26" s="216">
        <f t="shared" si="5"/>
        <v>1</v>
      </c>
      <c r="AQ26" s="216">
        <f t="shared" si="6"/>
        <v>1</v>
      </c>
      <c r="AR26" s="215">
        <f t="shared" si="20"/>
        <v>158.47</v>
      </c>
      <c r="AS26" s="216">
        <f t="shared" si="7"/>
        <v>0.9723448696087954</v>
      </c>
      <c r="AT26" s="216">
        <f t="shared" si="8"/>
        <v>1.2538510821608391</v>
      </c>
      <c r="AU26" s="216">
        <f t="shared" si="9"/>
        <v>2.2360679774997898</v>
      </c>
      <c r="AV26" s="217">
        <f t="shared" si="10"/>
        <v>10.368348541764712</v>
      </c>
      <c r="AW26" s="216">
        <f t="shared" si="11"/>
        <v>0</v>
      </c>
      <c r="AX26" s="218">
        <f t="shared" si="12"/>
        <v>1.4831709199797398</v>
      </c>
      <c r="AY26" s="216">
        <f t="shared" si="13"/>
        <v>0.77643477842613629</v>
      </c>
      <c r="AZ26" s="217">
        <f t="shared" si="14"/>
        <v>3.5883638597441294</v>
      </c>
      <c r="BA26" s="216">
        <f t="shared" si="15"/>
        <v>0</v>
      </c>
      <c r="BB26" s="216">
        <f t="shared" si="16"/>
        <v>1.0016542390239327</v>
      </c>
      <c r="BC26" s="216">
        <f t="shared" si="17"/>
        <v>1</v>
      </c>
    </row>
    <row r="27" spans="1:55" ht="20.100000000000001" customHeight="1" x14ac:dyDescent="0.2">
      <c r="A27" s="45">
        <v>0.5</v>
      </c>
      <c r="B27" s="451"/>
      <c r="C27" s="451"/>
      <c r="D27" s="451">
        <v>7.3</v>
      </c>
      <c r="E27" s="451">
        <v>61</v>
      </c>
      <c r="F27" s="41">
        <v>1930</v>
      </c>
      <c r="G27" s="37">
        <v>-5.6</v>
      </c>
      <c r="H27" s="37">
        <v>72</v>
      </c>
      <c r="I27" s="37">
        <v>22.1</v>
      </c>
      <c r="J27" s="41">
        <v>547</v>
      </c>
      <c r="K27" s="37">
        <v>13</v>
      </c>
      <c r="L27" s="451">
        <v>135</v>
      </c>
      <c r="M27" s="451">
        <v>228</v>
      </c>
      <c r="N27" s="451">
        <v>90</v>
      </c>
      <c r="O27" s="353">
        <v>45</v>
      </c>
      <c r="P27" s="353">
        <v>13</v>
      </c>
      <c r="Q27" s="353">
        <v>248.28</v>
      </c>
      <c r="R27" s="37"/>
      <c r="S27" s="508" t="str">
        <f t="shared" si="0"/>
        <v/>
      </c>
      <c r="T27" s="508"/>
      <c r="U27" s="508"/>
      <c r="V27" s="508"/>
      <c r="X27" s="45">
        <v>0.5</v>
      </c>
      <c r="Y27" s="106"/>
      <c r="Z27" s="102"/>
      <c r="AA27" s="102"/>
      <c r="AB27" s="45" t="str">
        <f t="shared" si="18"/>
        <v/>
      </c>
      <c r="AC27" s="45" t="str">
        <f t="shared" si="1"/>
        <v/>
      </c>
      <c r="AD27" s="81"/>
      <c r="AE27" s="9" t="str">
        <f>IF(S27="","",IF(COUNTA(Z27:$Z$39)=1,IF(COUNTA(AD27:$AD$39)=1,""," ; "),IF(COUNTA(AD27:$AD$39)=1,IF(Z27="",""," ; ")," ; ")))</f>
        <v/>
      </c>
      <c r="AF27" s="9" t="str">
        <f t="shared" si="2"/>
        <v/>
      </c>
      <c r="AG27" s="90" t="str">
        <f t="shared" si="3"/>
        <v/>
      </c>
      <c r="AH27" s="204" t="s">
        <v>276</v>
      </c>
      <c r="AJ27" s="206">
        <f t="shared" si="19"/>
        <v>500</v>
      </c>
      <c r="AK27" s="206">
        <f t="shared" si="19"/>
        <v>100</v>
      </c>
      <c r="AL27" s="206">
        <f t="shared" si="19"/>
        <v>2</v>
      </c>
      <c r="AM27" s="213">
        <f t="shared" si="19"/>
        <v>0.875</v>
      </c>
      <c r="AN27" s="214">
        <f t="shared" si="19"/>
        <v>0.63607464142166403</v>
      </c>
      <c r="AO27" s="215">
        <f t="shared" si="4"/>
        <v>-14.7</v>
      </c>
      <c r="AP27" s="216">
        <f t="shared" si="5"/>
        <v>1</v>
      </c>
      <c r="AQ27" s="216">
        <f t="shared" si="6"/>
        <v>1</v>
      </c>
      <c r="AR27" s="215">
        <f t="shared" si="20"/>
        <v>158.47</v>
      </c>
      <c r="AS27" s="216">
        <f t="shared" si="7"/>
        <v>0.9723448696087954</v>
      </c>
      <c r="AT27" s="216">
        <f t="shared" si="8"/>
        <v>1.2538510821608391</v>
      </c>
      <c r="AU27" s="216">
        <f t="shared" si="9"/>
        <v>2.2360679774997898</v>
      </c>
      <c r="AV27" s="217">
        <f t="shared" si="10"/>
        <v>10.368348541764712</v>
      </c>
      <c r="AW27" s="216">
        <f t="shared" si="11"/>
        <v>0</v>
      </c>
      <c r="AX27" s="218">
        <f t="shared" si="12"/>
        <v>1.4831709199797398</v>
      </c>
      <c r="AY27" s="216">
        <f t="shared" si="13"/>
        <v>0.77643477842613629</v>
      </c>
      <c r="AZ27" s="217">
        <f t="shared" si="14"/>
        <v>3.5883638597441294</v>
      </c>
      <c r="BA27" s="216">
        <f t="shared" si="15"/>
        <v>0</v>
      </c>
      <c r="BB27" s="216">
        <f t="shared" si="16"/>
        <v>1.0016542390239327</v>
      </c>
      <c r="BC27" s="216">
        <f t="shared" si="17"/>
        <v>1</v>
      </c>
    </row>
    <row r="28" spans="1:55" ht="20.100000000000001" customHeight="1" x14ac:dyDescent="0.2">
      <c r="A28" s="45">
        <v>0.54166666666666696</v>
      </c>
      <c r="B28" s="451"/>
      <c r="C28" s="451"/>
      <c r="D28" s="451">
        <v>8</v>
      </c>
      <c r="E28" s="451">
        <v>65.5</v>
      </c>
      <c r="F28" s="41">
        <v>1955</v>
      </c>
      <c r="G28" s="37">
        <v>-5.6</v>
      </c>
      <c r="H28" s="37">
        <v>72.599999999999994</v>
      </c>
      <c r="I28" s="37">
        <v>22.3</v>
      </c>
      <c r="J28" s="41">
        <v>548</v>
      </c>
      <c r="K28" s="37">
        <v>13</v>
      </c>
      <c r="L28" s="451">
        <v>135</v>
      </c>
      <c r="M28" s="451">
        <v>228</v>
      </c>
      <c r="N28" s="451">
        <v>90</v>
      </c>
      <c r="O28" s="353">
        <v>40</v>
      </c>
      <c r="P28" s="353">
        <v>13</v>
      </c>
      <c r="Q28" s="353">
        <v>237.53</v>
      </c>
      <c r="R28" s="37"/>
      <c r="S28" s="508" t="str">
        <f t="shared" si="0"/>
        <v/>
      </c>
      <c r="T28" s="508"/>
      <c r="U28" s="508"/>
      <c r="V28" s="508"/>
      <c r="X28" s="45">
        <v>0.54166666666666696</v>
      </c>
      <c r="Y28" s="106"/>
      <c r="Z28" s="102"/>
      <c r="AA28" s="102"/>
      <c r="AB28" s="45" t="str">
        <f t="shared" si="18"/>
        <v/>
      </c>
      <c r="AC28" s="45" t="str">
        <f t="shared" si="1"/>
        <v/>
      </c>
      <c r="AD28" s="81"/>
      <c r="AE28" s="9" t="str">
        <f>IF(S28="","",IF(COUNTA(Z28:$Z$39)=1,IF(COUNTA(AD28:$AD$39)=1,""," ; "),IF(COUNTA(AD28:$AD$39)=1,IF(Z28="",""," ; ")," ; ")))</f>
        <v/>
      </c>
      <c r="AF28" s="9" t="str">
        <f t="shared" si="2"/>
        <v/>
      </c>
      <c r="AG28" s="90" t="str">
        <f t="shared" si="3"/>
        <v/>
      </c>
      <c r="AH28" s="204" t="s">
        <v>278</v>
      </c>
      <c r="AJ28" s="206">
        <f t="shared" si="19"/>
        <v>500</v>
      </c>
      <c r="AK28" s="206">
        <f t="shared" si="19"/>
        <v>100</v>
      </c>
      <c r="AL28" s="206">
        <f t="shared" si="19"/>
        <v>2</v>
      </c>
      <c r="AM28" s="213">
        <f t="shared" si="19"/>
        <v>0.875</v>
      </c>
      <c r="AN28" s="214">
        <f t="shared" si="19"/>
        <v>0.63607464142166403</v>
      </c>
      <c r="AO28" s="215">
        <f t="shared" si="4"/>
        <v>-14.7</v>
      </c>
      <c r="AP28" s="216">
        <f t="shared" si="5"/>
        <v>1</v>
      </c>
      <c r="AQ28" s="216">
        <f t="shared" si="6"/>
        <v>1</v>
      </c>
      <c r="AR28" s="215">
        <f t="shared" si="20"/>
        <v>158.47</v>
      </c>
      <c r="AS28" s="216">
        <f t="shared" si="7"/>
        <v>0.9723448696087954</v>
      </c>
      <c r="AT28" s="216">
        <f t="shared" si="8"/>
        <v>1.2538510821608391</v>
      </c>
      <c r="AU28" s="216">
        <f t="shared" si="9"/>
        <v>2.2360679774997898</v>
      </c>
      <c r="AV28" s="217">
        <f t="shared" si="10"/>
        <v>10.368348541764712</v>
      </c>
      <c r="AW28" s="216">
        <f t="shared" si="11"/>
        <v>0</v>
      </c>
      <c r="AX28" s="218">
        <f t="shared" si="12"/>
        <v>1.4831709199797398</v>
      </c>
      <c r="AY28" s="216">
        <f t="shared" si="13"/>
        <v>0.77643477842613629</v>
      </c>
      <c r="AZ28" s="217">
        <f t="shared" si="14"/>
        <v>3.5883638597441294</v>
      </c>
      <c r="BA28" s="216">
        <f t="shared" si="15"/>
        <v>0</v>
      </c>
      <c r="BB28" s="216">
        <f t="shared" si="16"/>
        <v>1.0016542390239327</v>
      </c>
      <c r="BC28" s="216">
        <f t="shared" si="17"/>
        <v>1</v>
      </c>
    </row>
    <row r="29" spans="1:55" ht="20.100000000000001" customHeight="1" x14ac:dyDescent="0.2">
      <c r="A29" s="45">
        <v>0.58333333333333304</v>
      </c>
      <c r="B29" s="451"/>
      <c r="C29" s="451"/>
      <c r="D29" s="451">
        <v>8.5</v>
      </c>
      <c r="E29" s="451">
        <v>65.099999999999994</v>
      </c>
      <c r="F29" s="41">
        <v>1941</v>
      </c>
      <c r="G29" s="37">
        <v>-5.6</v>
      </c>
      <c r="H29" s="37">
        <v>72.5</v>
      </c>
      <c r="I29" s="37">
        <v>22.8</v>
      </c>
      <c r="J29" s="41">
        <v>549</v>
      </c>
      <c r="K29" s="37">
        <v>13</v>
      </c>
      <c r="L29" s="451">
        <v>135</v>
      </c>
      <c r="M29" s="451">
        <v>229</v>
      </c>
      <c r="N29" s="451">
        <v>90</v>
      </c>
      <c r="O29" s="353">
        <v>40</v>
      </c>
      <c r="P29" s="353">
        <v>13</v>
      </c>
      <c r="Q29" s="353">
        <v>237.53</v>
      </c>
      <c r="R29" s="37"/>
      <c r="S29" s="508" t="str">
        <f t="shared" si="0"/>
        <v/>
      </c>
      <c r="T29" s="508"/>
      <c r="U29" s="508"/>
      <c r="V29" s="508"/>
      <c r="X29" s="45">
        <v>0.58333333333333304</v>
      </c>
      <c r="Y29" s="106"/>
      <c r="Z29" s="102"/>
      <c r="AA29" s="102"/>
      <c r="AB29" s="45" t="str">
        <f t="shared" si="18"/>
        <v/>
      </c>
      <c r="AC29" s="45" t="str">
        <f t="shared" si="1"/>
        <v/>
      </c>
      <c r="AD29" s="81"/>
      <c r="AE29" s="9" t="str">
        <f>IF(S29="","",IF(COUNTA(Z29:$Z$39)=1,IF(COUNTA(AD29:$AD$39)=1,""," ; "),IF(COUNTA(AD29:$AD$39)=1,IF(Z29="",""," ; ")," ; ")))</f>
        <v/>
      </c>
      <c r="AF29" s="9" t="str">
        <f t="shared" si="2"/>
        <v/>
      </c>
      <c r="AG29" s="90" t="str">
        <f t="shared" si="3"/>
        <v/>
      </c>
      <c r="AH29" s="204" t="s">
        <v>224</v>
      </c>
      <c r="AJ29" s="206">
        <f t="shared" si="19"/>
        <v>500</v>
      </c>
      <c r="AK29" s="206">
        <f t="shared" si="19"/>
        <v>100</v>
      </c>
      <c r="AL29" s="206">
        <f t="shared" si="19"/>
        <v>2</v>
      </c>
      <c r="AM29" s="213">
        <f t="shared" si="19"/>
        <v>0.875</v>
      </c>
      <c r="AN29" s="214">
        <f t="shared" si="19"/>
        <v>0.63607464142166403</v>
      </c>
      <c r="AO29" s="215">
        <f t="shared" si="4"/>
        <v>-14.7</v>
      </c>
      <c r="AP29" s="216">
        <f t="shared" si="5"/>
        <v>1</v>
      </c>
      <c r="AQ29" s="216">
        <f t="shared" si="6"/>
        <v>1</v>
      </c>
      <c r="AR29" s="215">
        <f t="shared" si="20"/>
        <v>158.47</v>
      </c>
      <c r="AS29" s="216">
        <f t="shared" si="7"/>
        <v>0.9723448696087954</v>
      </c>
      <c r="AT29" s="216">
        <f t="shared" si="8"/>
        <v>1.2538510821608391</v>
      </c>
      <c r="AU29" s="216">
        <f t="shared" si="9"/>
        <v>2.2360679774997898</v>
      </c>
      <c r="AV29" s="217">
        <f t="shared" si="10"/>
        <v>10.368348541764712</v>
      </c>
      <c r="AW29" s="216">
        <f t="shared" si="11"/>
        <v>0</v>
      </c>
      <c r="AX29" s="218">
        <f t="shared" si="12"/>
        <v>1.4831709199797398</v>
      </c>
      <c r="AY29" s="216">
        <f t="shared" si="13"/>
        <v>0.77643477842613629</v>
      </c>
      <c r="AZ29" s="217">
        <f t="shared" si="14"/>
        <v>3.5883638597441294</v>
      </c>
      <c r="BA29" s="216">
        <f t="shared" si="15"/>
        <v>0</v>
      </c>
      <c r="BB29" s="216">
        <f t="shared" si="16"/>
        <v>1.0016542390239327</v>
      </c>
      <c r="BC29" s="216">
        <f t="shared" si="17"/>
        <v>1</v>
      </c>
    </row>
    <row r="30" spans="1:55" ht="20.100000000000001" customHeight="1" x14ac:dyDescent="0.2">
      <c r="A30" s="45">
        <v>0.625</v>
      </c>
      <c r="B30" s="451"/>
      <c r="C30" s="451"/>
      <c r="D30" s="451">
        <v>8.6</v>
      </c>
      <c r="E30" s="451">
        <v>65.5</v>
      </c>
      <c r="F30" s="41">
        <v>1983</v>
      </c>
      <c r="G30" s="37">
        <v>-5.6</v>
      </c>
      <c r="H30" s="37">
        <v>72.3</v>
      </c>
      <c r="I30" s="37">
        <v>22</v>
      </c>
      <c r="J30" s="41">
        <v>550</v>
      </c>
      <c r="K30" s="37">
        <v>13</v>
      </c>
      <c r="L30" s="451">
        <v>133</v>
      </c>
      <c r="M30" s="451">
        <v>229</v>
      </c>
      <c r="N30" s="451">
        <v>90</v>
      </c>
      <c r="O30" s="353">
        <v>40</v>
      </c>
      <c r="P30" s="353">
        <v>13</v>
      </c>
      <c r="Q30" s="353">
        <v>237.53</v>
      </c>
      <c r="R30" s="37"/>
      <c r="S30" s="508" t="str">
        <f t="shared" si="0"/>
        <v/>
      </c>
      <c r="T30" s="508"/>
      <c r="U30" s="508"/>
      <c r="V30" s="508"/>
      <c r="X30" s="45">
        <v>0.625</v>
      </c>
      <c r="Y30" s="106"/>
      <c r="Z30" s="102"/>
      <c r="AA30" s="102"/>
      <c r="AB30" s="45" t="str">
        <f t="shared" si="18"/>
        <v/>
      </c>
      <c r="AC30" s="45" t="str">
        <f t="shared" si="1"/>
        <v/>
      </c>
      <c r="AD30" s="81"/>
      <c r="AE30" s="9" t="str">
        <f>IF(S30="","",IF(COUNTA(Z30:$Z$39)=1,IF(COUNTA(AD30:$AD$39)=1,""," ; "),IF(COUNTA(AD30:$AD$39)=1,IF(Z30="",""," ; ")," ; ")))</f>
        <v/>
      </c>
      <c r="AF30" s="9" t="str">
        <f t="shared" si="2"/>
        <v/>
      </c>
      <c r="AG30" s="90" t="str">
        <f t="shared" si="3"/>
        <v/>
      </c>
      <c r="AH30" s="204" t="s">
        <v>260</v>
      </c>
      <c r="AJ30" s="206">
        <f t="shared" si="19"/>
        <v>500</v>
      </c>
      <c r="AK30" s="206">
        <f t="shared" si="19"/>
        <v>100</v>
      </c>
      <c r="AL30" s="206">
        <f t="shared" si="19"/>
        <v>2</v>
      </c>
      <c r="AM30" s="213">
        <f t="shared" si="19"/>
        <v>0.875</v>
      </c>
      <c r="AN30" s="214">
        <f t="shared" si="19"/>
        <v>0.63607464142166403</v>
      </c>
      <c r="AO30" s="215">
        <f t="shared" si="4"/>
        <v>-14.7</v>
      </c>
      <c r="AP30" s="216">
        <f t="shared" si="5"/>
        <v>1</v>
      </c>
      <c r="AQ30" s="216">
        <f t="shared" si="6"/>
        <v>1</v>
      </c>
      <c r="AR30" s="215">
        <f t="shared" si="20"/>
        <v>158.47</v>
      </c>
      <c r="AS30" s="216">
        <f t="shared" si="7"/>
        <v>0.9723448696087954</v>
      </c>
      <c r="AT30" s="216">
        <f t="shared" si="8"/>
        <v>1.2538510821608391</v>
      </c>
      <c r="AU30" s="216">
        <f t="shared" si="9"/>
        <v>2.2360679774997898</v>
      </c>
      <c r="AV30" s="217">
        <f t="shared" si="10"/>
        <v>10.368348541764712</v>
      </c>
      <c r="AW30" s="216">
        <f t="shared" si="11"/>
        <v>0</v>
      </c>
      <c r="AX30" s="218">
        <f t="shared" si="12"/>
        <v>1.4831709199797398</v>
      </c>
      <c r="AY30" s="216">
        <f t="shared" si="13"/>
        <v>0.77643477842613629</v>
      </c>
      <c r="AZ30" s="217">
        <f t="shared" si="14"/>
        <v>3.5883638597441294</v>
      </c>
      <c r="BA30" s="216">
        <f t="shared" si="15"/>
        <v>0</v>
      </c>
      <c r="BB30" s="216">
        <f t="shared" si="16"/>
        <v>1.0016542390239327</v>
      </c>
      <c r="BC30" s="216">
        <f t="shared" si="17"/>
        <v>1</v>
      </c>
    </row>
    <row r="31" spans="1:55" ht="20.100000000000001" customHeight="1" x14ac:dyDescent="0.2">
      <c r="A31" s="45">
        <v>0.66666666666666696</v>
      </c>
      <c r="B31" s="451"/>
      <c r="C31" s="451"/>
      <c r="D31" s="451">
        <v>7.5</v>
      </c>
      <c r="E31" s="451">
        <v>63.3</v>
      </c>
      <c r="F31" s="41">
        <v>1950</v>
      </c>
      <c r="G31" s="37">
        <v>-5.6</v>
      </c>
      <c r="H31" s="37">
        <v>72.099999999999994</v>
      </c>
      <c r="I31" s="37">
        <v>22.5</v>
      </c>
      <c r="J31" s="41">
        <v>551</v>
      </c>
      <c r="K31" s="37">
        <v>13</v>
      </c>
      <c r="L31" s="451">
        <v>133</v>
      </c>
      <c r="M31" s="451">
        <v>227</v>
      </c>
      <c r="N31" s="451">
        <v>90</v>
      </c>
      <c r="O31" s="353">
        <v>40</v>
      </c>
      <c r="P31" s="353">
        <v>15</v>
      </c>
      <c r="Q31" s="353">
        <v>255</v>
      </c>
      <c r="R31" s="37"/>
      <c r="S31" s="508" t="str">
        <f t="shared" si="0"/>
        <v/>
      </c>
      <c r="T31" s="508"/>
      <c r="U31" s="508"/>
      <c r="V31" s="508"/>
      <c r="X31" s="45">
        <v>0.66666666666666696</v>
      </c>
      <c r="Y31" s="106"/>
      <c r="Z31" s="102"/>
      <c r="AA31" s="102"/>
      <c r="AB31" s="45" t="str">
        <f t="shared" si="18"/>
        <v/>
      </c>
      <c r="AC31" s="45" t="str">
        <f t="shared" si="1"/>
        <v/>
      </c>
      <c r="AD31" s="81"/>
      <c r="AE31" s="9" t="str">
        <f>IF(S31="","",IF(COUNTA(Z31:$Z$39)=1,IF(COUNTA(AD31:$AD$39)=1,""," ; "),IF(COUNTA(AD31:$AD$39)=1,IF(Z31="",""," ; ")," ; ")))</f>
        <v/>
      </c>
      <c r="AF31" s="9" t="str">
        <f t="shared" si="2"/>
        <v/>
      </c>
      <c r="AG31" s="90" t="str">
        <f t="shared" si="3"/>
        <v/>
      </c>
      <c r="AH31" s="204" t="s">
        <v>226</v>
      </c>
      <c r="AJ31" s="206">
        <f t="shared" si="19"/>
        <v>500</v>
      </c>
      <c r="AK31" s="206">
        <f t="shared" si="19"/>
        <v>100</v>
      </c>
      <c r="AL31" s="206">
        <f t="shared" si="19"/>
        <v>2</v>
      </c>
      <c r="AM31" s="213">
        <f t="shared" si="19"/>
        <v>0.875</v>
      </c>
      <c r="AN31" s="214">
        <f t="shared" si="19"/>
        <v>0.63607464142166403</v>
      </c>
      <c r="AO31" s="215">
        <f t="shared" si="4"/>
        <v>-14.7</v>
      </c>
      <c r="AP31" s="216">
        <f t="shared" si="5"/>
        <v>1</v>
      </c>
      <c r="AQ31" s="216">
        <f t="shared" si="6"/>
        <v>1</v>
      </c>
      <c r="AR31" s="215">
        <f t="shared" si="20"/>
        <v>158.47</v>
      </c>
      <c r="AS31" s="216">
        <f t="shared" si="7"/>
        <v>0.9723448696087954</v>
      </c>
      <c r="AT31" s="216">
        <f t="shared" si="8"/>
        <v>1.2538510821608391</v>
      </c>
      <c r="AU31" s="216">
        <f t="shared" si="9"/>
        <v>2.2360679774997898</v>
      </c>
      <c r="AV31" s="217">
        <f t="shared" si="10"/>
        <v>10.368348541764712</v>
      </c>
      <c r="AW31" s="216">
        <f t="shared" si="11"/>
        <v>0</v>
      </c>
      <c r="AX31" s="218">
        <f t="shared" si="12"/>
        <v>1.4831709199797398</v>
      </c>
      <c r="AY31" s="216">
        <f t="shared" si="13"/>
        <v>0.77643477842613629</v>
      </c>
      <c r="AZ31" s="217">
        <f t="shared" si="14"/>
        <v>3.5883638597441294</v>
      </c>
      <c r="BA31" s="216">
        <f t="shared" si="15"/>
        <v>0</v>
      </c>
      <c r="BB31" s="216">
        <f t="shared" si="16"/>
        <v>1.0016542390239327</v>
      </c>
      <c r="BC31" s="216">
        <f t="shared" si="17"/>
        <v>1</v>
      </c>
    </row>
    <row r="32" spans="1:55" ht="20.100000000000001" customHeight="1" x14ac:dyDescent="0.2">
      <c r="A32" s="45">
        <v>0.70833333333333304</v>
      </c>
      <c r="B32" s="451"/>
      <c r="C32" s="451"/>
      <c r="D32" s="451">
        <v>7.8</v>
      </c>
      <c r="E32" s="451">
        <v>63.9</v>
      </c>
      <c r="F32" s="41">
        <v>1961</v>
      </c>
      <c r="G32" s="37">
        <v>-5.6</v>
      </c>
      <c r="H32" s="37">
        <v>72.900000000000006</v>
      </c>
      <c r="I32" s="37">
        <v>22.6</v>
      </c>
      <c r="J32" s="41">
        <v>552</v>
      </c>
      <c r="K32" s="37">
        <v>13</v>
      </c>
      <c r="L32" s="451">
        <v>131</v>
      </c>
      <c r="M32" s="451">
        <v>227</v>
      </c>
      <c r="N32" s="451">
        <v>90</v>
      </c>
      <c r="O32" s="353">
        <v>40</v>
      </c>
      <c r="P32" s="353">
        <v>12</v>
      </c>
      <c r="Q32" s="353">
        <v>228.29</v>
      </c>
      <c r="R32" s="37"/>
      <c r="S32" s="508" t="str">
        <f t="shared" si="0"/>
        <v/>
      </c>
      <c r="T32" s="508"/>
      <c r="U32" s="508"/>
      <c r="V32" s="508"/>
      <c r="X32" s="45">
        <v>0.70833333333333304</v>
      </c>
      <c r="Y32" s="106"/>
      <c r="Z32" s="102"/>
      <c r="AA32" s="102"/>
      <c r="AB32" s="45" t="str">
        <f t="shared" si="18"/>
        <v/>
      </c>
      <c r="AC32" s="45" t="str">
        <f t="shared" si="1"/>
        <v/>
      </c>
      <c r="AD32" s="81"/>
      <c r="AE32" s="9" t="str">
        <f>IF(S32="","",IF(COUNTA(Z32:$Z$39)=1,IF(COUNTA(AD32:$AD$39)=1,""," ; "),IF(COUNTA(AD32:$AD$39)=1,IF(Z32="",""," ; ")," ; ")))</f>
        <v/>
      </c>
      <c r="AF32" s="9" t="str">
        <f t="shared" si="2"/>
        <v/>
      </c>
      <c r="AG32" s="90" t="str">
        <f t="shared" si="3"/>
        <v/>
      </c>
      <c r="AH32" s="204" t="s">
        <v>313</v>
      </c>
      <c r="AJ32" s="206">
        <f t="shared" si="19"/>
        <v>500</v>
      </c>
      <c r="AK32" s="206">
        <f t="shared" si="19"/>
        <v>100</v>
      </c>
      <c r="AL32" s="206">
        <f t="shared" si="19"/>
        <v>2</v>
      </c>
      <c r="AM32" s="213">
        <f t="shared" si="19"/>
        <v>0.875</v>
      </c>
      <c r="AN32" s="214">
        <f t="shared" si="19"/>
        <v>0.63607464142166403</v>
      </c>
      <c r="AO32" s="215">
        <f t="shared" si="4"/>
        <v>-14.7</v>
      </c>
      <c r="AP32" s="216">
        <f t="shared" si="5"/>
        <v>1</v>
      </c>
      <c r="AQ32" s="216">
        <f t="shared" si="6"/>
        <v>1</v>
      </c>
      <c r="AR32" s="215">
        <f t="shared" si="20"/>
        <v>158.47</v>
      </c>
      <c r="AS32" s="216">
        <f t="shared" si="7"/>
        <v>0.9723448696087954</v>
      </c>
      <c r="AT32" s="216">
        <f t="shared" si="8"/>
        <v>1.2538510821608391</v>
      </c>
      <c r="AU32" s="216">
        <f t="shared" si="9"/>
        <v>2.2360679774997898</v>
      </c>
      <c r="AV32" s="217">
        <f t="shared" si="10"/>
        <v>10.368348541764712</v>
      </c>
      <c r="AW32" s="216">
        <f t="shared" si="11"/>
        <v>0</v>
      </c>
      <c r="AX32" s="218">
        <f t="shared" si="12"/>
        <v>1.4831709199797398</v>
      </c>
      <c r="AY32" s="216">
        <f t="shared" si="13"/>
        <v>0.77643477842613629</v>
      </c>
      <c r="AZ32" s="217">
        <f t="shared" si="14"/>
        <v>3.5883638597441294</v>
      </c>
      <c r="BA32" s="216">
        <f t="shared" si="15"/>
        <v>0</v>
      </c>
      <c r="BB32" s="216">
        <f t="shared" si="16"/>
        <v>1.0016542390239327</v>
      </c>
      <c r="BC32" s="216">
        <f t="shared" si="17"/>
        <v>1</v>
      </c>
    </row>
    <row r="33" spans="1:55" ht="20.100000000000001" customHeight="1" x14ac:dyDescent="0.2">
      <c r="A33" s="45">
        <v>0.75</v>
      </c>
      <c r="B33" s="451"/>
      <c r="C33" s="451"/>
      <c r="D33" s="451">
        <v>7.1</v>
      </c>
      <c r="E33" s="451">
        <v>61</v>
      </c>
      <c r="F33" s="41">
        <v>1965</v>
      </c>
      <c r="G33" s="37">
        <v>-5.6</v>
      </c>
      <c r="H33" s="37">
        <v>72.2</v>
      </c>
      <c r="I33" s="37">
        <v>22.8</v>
      </c>
      <c r="J33" s="41">
        <v>553</v>
      </c>
      <c r="K33" s="37">
        <v>13</v>
      </c>
      <c r="L33" s="451">
        <v>131</v>
      </c>
      <c r="M33" s="451">
        <v>228</v>
      </c>
      <c r="N33" s="451">
        <v>90</v>
      </c>
      <c r="O33" s="353">
        <v>40</v>
      </c>
      <c r="P33" s="353">
        <v>13</v>
      </c>
      <c r="Q33" s="353">
        <v>237.53</v>
      </c>
      <c r="R33" s="37"/>
      <c r="S33" s="508" t="str">
        <f>IF(Z33="",IF(AD33="","",AD33),CONCATENATE(TEXT(Z33,"[hh]:mm"),IF(AA33="",""," - "&amp;TEXT(AA33,"[hh]:mm")),IF(Y33="",""," "&amp;Y33&amp;"/")," "&amp;AD33))</f>
        <v/>
      </c>
      <c r="T33" s="508"/>
      <c r="U33" s="508"/>
      <c r="V33" s="508"/>
      <c r="X33" s="45">
        <v>0.75</v>
      </c>
      <c r="Y33" s="106"/>
      <c r="Z33" s="102"/>
      <c r="AA33" s="102"/>
      <c r="AB33" s="45" t="str">
        <f t="shared" si="18"/>
        <v/>
      </c>
      <c r="AC33" s="45" t="str">
        <f t="shared" si="1"/>
        <v/>
      </c>
      <c r="AD33" s="81"/>
      <c r="AE33" s="9" t="str">
        <f>IF(S33="","",IF(COUNTA(Z33:$Z$39)=1,IF(COUNTA(AD33:$AD$39)=1,""," ; "),IF(COUNTA(AD33:$AD$39)=1,IF(Z33="",""," ; ")," ; ")))</f>
        <v/>
      </c>
      <c r="AF33" s="9" t="str">
        <f t="shared" si="2"/>
        <v/>
      </c>
      <c r="AG33" s="90" t="str">
        <f t="shared" si="3"/>
        <v/>
      </c>
      <c r="AH33" s="204" t="s">
        <v>308</v>
      </c>
      <c r="AJ33" s="206">
        <f t="shared" ref="AJ33:AN39" si="21">AJ32</f>
        <v>500</v>
      </c>
      <c r="AK33" s="206">
        <f t="shared" si="21"/>
        <v>100</v>
      </c>
      <c r="AL33" s="206">
        <f t="shared" si="21"/>
        <v>2</v>
      </c>
      <c r="AM33" s="213">
        <f t="shared" si="21"/>
        <v>0.875</v>
      </c>
      <c r="AN33" s="214">
        <f t="shared" si="21"/>
        <v>0.63607464142166403</v>
      </c>
      <c r="AO33" s="215">
        <f t="shared" si="4"/>
        <v>-14.7</v>
      </c>
      <c r="AP33" s="216">
        <f t="shared" si="5"/>
        <v>1</v>
      </c>
      <c r="AQ33" s="216">
        <f t="shared" si="6"/>
        <v>1</v>
      </c>
      <c r="AR33" s="215">
        <f t="shared" si="20"/>
        <v>158.47</v>
      </c>
      <c r="AS33" s="216">
        <f t="shared" si="7"/>
        <v>0.9723448696087954</v>
      </c>
      <c r="AT33" s="216">
        <f t="shared" si="8"/>
        <v>1.2538510821608391</v>
      </c>
      <c r="AU33" s="216">
        <f t="shared" si="9"/>
        <v>2.2360679774997898</v>
      </c>
      <c r="AV33" s="217">
        <f t="shared" si="10"/>
        <v>10.368348541764712</v>
      </c>
      <c r="AW33" s="216">
        <f t="shared" si="11"/>
        <v>0</v>
      </c>
      <c r="AX33" s="218">
        <f t="shared" si="12"/>
        <v>1.4831709199797398</v>
      </c>
      <c r="AY33" s="216">
        <f t="shared" si="13"/>
        <v>0.77643477842613629</v>
      </c>
      <c r="AZ33" s="217">
        <f t="shared" si="14"/>
        <v>3.5883638597441294</v>
      </c>
      <c r="BA33" s="216">
        <f t="shared" si="15"/>
        <v>0</v>
      </c>
      <c r="BB33" s="216">
        <f t="shared" si="16"/>
        <v>1.0016542390239327</v>
      </c>
      <c r="BC33" s="216">
        <f t="shared" si="17"/>
        <v>1</v>
      </c>
    </row>
    <row r="34" spans="1:55" ht="20.100000000000001" customHeight="1" x14ac:dyDescent="0.2">
      <c r="A34" s="45">
        <v>0.79166666666666696</v>
      </c>
      <c r="B34" s="451"/>
      <c r="C34" s="451"/>
      <c r="D34" s="451">
        <v>7.5</v>
      </c>
      <c r="E34" s="451">
        <v>61.5</v>
      </c>
      <c r="F34" s="41">
        <v>1973</v>
      </c>
      <c r="G34" s="37">
        <v>-5.6</v>
      </c>
      <c r="H34" s="37">
        <v>72.400000000000006</v>
      </c>
      <c r="I34" s="37">
        <v>22.3</v>
      </c>
      <c r="J34" s="41">
        <v>554</v>
      </c>
      <c r="K34" s="37">
        <v>13</v>
      </c>
      <c r="L34" s="451">
        <v>132</v>
      </c>
      <c r="M34" s="451">
        <v>224</v>
      </c>
      <c r="N34" s="451">
        <v>90</v>
      </c>
      <c r="O34" s="353">
        <v>40</v>
      </c>
      <c r="P34" s="353">
        <v>13</v>
      </c>
      <c r="Q34" s="353">
        <v>237.53</v>
      </c>
      <c r="R34" s="37"/>
      <c r="S34" s="508" t="str">
        <f t="shared" ref="S34:S39" si="22">IF(Z34="",IF(AD34="","",AD34),CONCATENATE(TEXT(Z34,"[hh]:mm"),IF(AA34="",""," - "&amp;TEXT(AA34,"[hh]:mm")),IF(Y34="",""," "&amp;Y34&amp;"/")," "&amp;AD34))</f>
        <v/>
      </c>
      <c r="T34" s="508"/>
      <c r="U34" s="508"/>
      <c r="V34" s="508"/>
      <c r="X34" s="45">
        <v>0.79166666666666696</v>
      </c>
      <c r="Y34" s="106"/>
      <c r="Z34" s="102"/>
      <c r="AA34" s="102"/>
      <c r="AB34" s="45" t="str">
        <f t="shared" si="18"/>
        <v/>
      </c>
      <c r="AC34" s="45" t="str">
        <f t="shared" si="1"/>
        <v/>
      </c>
      <c r="AD34" s="81"/>
      <c r="AE34" s="9" t="str">
        <f>IF(S34="","",IF(COUNTA(Z34:$Z$39)=1,IF(COUNTA(AD34:$AD$39)=1,""," ; "),IF(COUNTA(AD34:$AD$39)=1,IF(Z34="",""," ; ")," ; ")))</f>
        <v/>
      </c>
      <c r="AF34" s="9" t="str">
        <f t="shared" si="2"/>
        <v/>
      </c>
      <c r="AG34" s="90" t="str">
        <f t="shared" si="3"/>
        <v/>
      </c>
      <c r="AH34" s="204" t="s">
        <v>314</v>
      </c>
      <c r="AJ34" s="206">
        <f t="shared" si="21"/>
        <v>500</v>
      </c>
      <c r="AK34" s="206">
        <f t="shared" si="21"/>
        <v>100</v>
      </c>
      <c r="AL34" s="206">
        <f t="shared" si="21"/>
        <v>2</v>
      </c>
      <c r="AM34" s="213">
        <f t="shared" si="21"/>
        <v>0.875</v>
      </c>
      <c r="AN34" s="214">
        <f t="shared" si="21"/>
        <v>0.63607464142166403</v>
      </c>
      <c r="AO34" s="215">
        <f t="shared" si="4"/>
        <v>-14.7</v>
      </c>
      <c r="AP34" s="216">
        <f t="shared" si="5"/>
        <v>1</v>
      </c>
      <c r="AQ34" s="216">
        <f t="shared" si="6"/>
        <v>1</v>
      </c>
      <c r="AR34" s="215">
        <f t="shared" si="20"/>
        <v>158.47</v>
      </c>
      <c r="AS34" s="216">
        <f t="shared" si="7"/>
        <v>0.9723448696087954</v>
      </c>
      <c r="AT34" s="216">
        <f t="shared" si="8"/>
        <v>1.2538510821608391</v>
      </c>
      <c r="AU34" s="216">
        <f t="shared" si="9"/>
        <v>2.2360679774997898</v>
      </c>
      <c r="AV34" s="217">
        <f t="shared" si="10"/>
        <v>10.368348541764712</v>
      </c>
      <c r="AW34" s="216">
        <f t="shared" si="11"/>
        <v>0</v>
      </c>
      <c r="AX34" s="218">
        <f t="shared" si="12"/>
        <v>1.4831709199797398</v>
      </c>
      <c r="AY34" s="216">
        <f t="shared" si="13"/>
        <v>0.77643477842613629</v>
      </c>
      <c r="AZ34" s="217">
        <f t="shared" si="14"/>
        <v>3.5883638597441294</v>
      </c>
      <c r="BA34" s="216">
        <f t="shared" si="15"/>
        <v>0</v>
      </c>
      <c r="BB34" s="216">
        <f t="shared" si="16"/>
        <v>1.0016542390239327</v>
      </c>
      <c r="BC34" s="216">
        <f t="shared" si="17"/>
        <v>1</v>
      </c>
    </row>
    <row r="35" spans="1:55" ht="20.100000000000001" customHeight="1" x14ac:dyDescent="0.2">
      <c r="A35" s="45">
        <v>0.83333333333333304</v>
      </c>
      <c r="B35" s="451"/>
      <c r="C35" s="451"/>
      <c r="D35" s="451">
        <v>7.2</v>
      </c>
      <c r="E35" s="451">
        <v>63.7</v>
      </c>
      <c r="F35" s="41">
        <v>1920</v>
      </c>
      <c r="G35" s="37">
        <v>-5.6</v>
      </c>
      <c r="H35" s="37">
        <v>72.400000000000006</v>
      </c>
      <c r="I35" s="37">
        <v>22.6</v>
      </c>
      <c r="J35" s="41">
        <v>555</v>
      </c>
      <c r="K35" s="37">
        <v>13</v>
      </c>
      <c r="L35" s="451">
        <v>134</v>
      </c>
      <c r="M35" s="451">
        <v>222</v>
      </c>
      <c r="N35" s="451">
        <v>90</v>
      </c>
      <c r="O35" s="353">
        <v>40</v>
      </c>
      <c r="P35" s="353">
        <v>12</v>
      </c>
      <c r="Q35" s="353">
        <v>228.29</v>
      </c>
      <c r="R35" s="37"/>
      <c r="S35" s="508" t="str">
        <f t="shared" si="22"/>
        <v/>
      </c>
      <c r="T35" s="508"/>
      <c r="U35" s="508"/>
      <c r="V35" s="508"/>
      <c r="X35" s="45">
        <v>0.83333333333333304</v>
      </c>
      <c r="Y35" s="106"/>
      <c r="Z35" s="102"/>
      <c r="AA35" s="102"/>
      <c r="AB35" s="45" t="str">
        <f t="shared" si="18"/>
        <v/>
      </c>
      <c r="AC35" s="45" t="str">
        <f t="shared" si="1"/>
        <v/>
      </c>
      <c r="AD35" s="81"/>
      <c r="AE35" s="9" t="str">
        <f>IF(S35="","",IF(COUNTA(Z35:$Z$39)=1,IF(COUNTA(AD35:$AD$39)=1,""," ; "),IF(COUNTA(AD35:$AD$39)=1,IF(Z35="",""," ; ")," ; ")))</f>
        <v/>
      </c>
      <c r="AF35" s="9" t="str">
        <f t="shared" si="2"/>
        <v/>
      </c>
      <c r="AG35" s="90" t="str">
        <f t="shared" si="3"/>
        <v/>
      </c>
      <c r="AH35" s="204" t="s">
        <v>227</v>
      </c>
      <c r="AJ35" s="206">
        <f t="shared" si="21"/>
        <v>500</v>
      </c>
      <c r="AK35" s="206">
        <f t="shared" si="21"/>
        <v>100</v>
      </c>
      <c r="AL35" s="206">
        <f t="shared" si="21"/>
        <v>2</v>
      </c>
      <c r="AM35" s="213">
        <f t="shared" si="21"/>
        <v>0.875</v>
      </c>
      <c r="AN35" s="214">
        <f t="shared" si="21"/>
        <v>0.63607464142166403</v>
      </c>
      <c r="AO35" s="215">
        <f t="shared" si="4"/>
        <v>-14.7</v>
      </c>
      <c r="AP35" s="216">
        <f t="shared" si="5"/>
        <v>1</v>
      </c>
      <c r="AQ35" s="216">
        <f t="shared" si="6"/>
        <v>1</v>
      </c>
      <c r="AR35" s="215">
        <f t="shared" si="20"/>
        <v>158.47</v>
      </c>
      <c r="AS35" s="216">
        <f t="shared" si="7"/>
        <v>0.9723448696087954</v>
      </c>
      <c r="AT35" s="216">
        <f t="shared" si="8"/>
        <v>1.2538510821608391</v>
      </c>
      <c r="AU35" s="216">
        <f t="shared" si="9"/>
        <v>2.2360679774997898</v>
      </c>
      <c r="AV35" s="217">
        <f t="shared" si="10"/>
        <v>10.368348541764712</v>
      </c>
      <c r="AW35" s="216">
        <f t="shared" si="11"/>
        <v>0</v>
      </c>
      <c r="AX35" s="218">
        <f t="shared" si="12"/>
        <v>1.4831709199797398</v>
      </c>
      <c r="AY35" s="216">
        <f t="shared" si="13"/>
        <v>0.77643477842613629</v>
      </c>
      <c r="AZ35" s="217">
        <f t="shared" si="14"/>
        <v>3.5883638597441294</v>
      </c>
      <c r="BA35" s="216">
        <f t="shared" si="15"/>
        <v>0</v>
      </c>
      <c r="BB35" s="216">
        <f t="shared" si="16"/>
        <v>1.0016542390239327</v>
      </c>
      <c r="BC35" s="216">
        <f t="shared" si="17"/>
        <v>1</v>
      </c>
    </row>
    <row r="36" spans="1:55" ht="20.100000000000001" customHeight="1" x14ac:dyDescent="0.2">
      <c r="A36" s="45">
        <v>0.875</v>
      </c>
      <c r="B36" s="451"/>
      <c r="C36" s="451"/>
      <c r="D36" s="451">
        <v>7.6</v>
      </c>
      <c r="E36" s="451">
        <v>65.400000000000006</v>
      </c>
      <c r="F36" s="41">
        <v>1946</v>
      </c>
      <c r="G36" s="37">
        <v>-5.6</v>
      </c>
      <c r="H36" s="37">
        <v>72.599999999999994</v>
      </c>
      <c r="I36" s="37">
        <v>22.4</v>
      </c>
      <c r="J36" s="41">
        <v>556</v>
      </c>
      <c r="K36" s="37">
        <v>13</v>
      </c>
      <c r="L36" s="451">
        <v>130</v>
      </c>
      <c r="M36" s="451">
        <v>222</v>
      </c>
      <c r="N36" s="451">
        <v>90</v>
      </c>
      <c r="O36" s="353">
        <v>40</v>
      </c>
      <c r="P36" s="353">
        <v>12</v>
      </c>
      <c r="Q36" s="353">
        <v>228.29</v>
      </c>
      <c r="R36" s="37"/>
      <c r="S36" s="508" t="str">
        <f t="shared" si="22"/>
        <v/>
      </c>
      <c r="T36" s="508"/>
      <c r="U36" s="508"/>
      <c r="V36" s="508"/>
      <c r="X36" s="45">
        <v>0.875</v>
      </c>
      <c r="Y36" s="106"/>
      <c r="Z36" s="102"/>
      <c r="AA36" s="102"/>
      <c r="AB36" s="45" t="str">
        <f t="shared" si="18"/>
        <v/>
      </c>
      <c r="AC36" s="45" t="str">
        <f t="shared" si="1"/>
        <v/>
      </c>
      <c r="AD36" s="81"/>
      <c r="AE36" s="9" t="str">
        <f>IF(S36="","",IF(COUNTA(Z36:$Z$39)=1,IF(COUNTA(AD36:$AD$39)=1,""," ; "),IF(COUNTA(AD36:$AD$39)=1,IF(Z36="",""," ; ")," ; ")))</f>
        <v/>
      </c>
      <c r="AF36" s="9" t="str">
        <f t="shared" si="2"/>
        <v/>
      </c>
      <c r="AG36" s="90" t="str">
        <f t="shared" si="3"/>
        <v/>
      </c>
      <c r="AH36" s="204" t="s">
        <v>309</v>
      </c>
      <c r="AJ36" s="206">
        <f t="shared" si="21"/>
        <v>500</v>
      </c>
      <c r="AK36" s="206">
        <f t="shared" si="21"/>
        <v>100</v>
      </c>
      <c r="AL36" s="206">
        <f t="shared" si="21"/>
        <v>2</v>
      </c>
      <c r="AM36" s="213">
        <f t="shared" si="21"/>
        <v>0.875</v>
      </c>
      <c r="AN36" s="214">
        <f t="shared" si="21"/>
        <v>0.63607464142166403</v>
      </c>
      <c r="AO36" s="215">
        <f t="shared" si="4"/>
        <v>-14.7</v>
      </c>
      <c r="AP36" s="216">
        <f t="shared" si="5"/>
        <v>1</v>
      </c>
      <c r="AQ36" s="216">
        <f t="shared" si="6"/>
        <v>1</v>
      </c>
      <c r="AR36" s="215">
        <f t="shared" si="20"/>
        <v>158.47</v>
      </c>
      <c r="AS36" s="216">
        <f t="shared" si="7"/>
        <v>0.9723448696087954</v>
      </c>
      <c r="AT36" s="216">
        <f t="shared" si="8"/>
        <v>1.2538510821608391</v>
      </c>
      <c r="AU36" s="216">
        <f t="shared" si="9"/>
        <v>2.2360679774997898</v>
      </c>
      <c r="AV36" s="217">
        <f t="shared" si="10"/>
        <v>10.368348541764712</v>
      </c>
      <c r="AW36" s="216">
        <f t="shared" si="11"/>
        <v>0</v>
      </c>
      <c r="AX36" s="218">
        <f t="shared" si="12"/>
        <v>1.4831709199797398</v>
      </c>
      <c r="AY36" s="216">
        <f t="shared" si="13"/>
        <v>0.77643477842613629</v>
      </c>
      <c r="AZ36" s="217">
        <f t="shared" si="14"/>
        <v>3.5883638597441294</v>
      </c>
      <c r="BA36" s="216">
        <f t="shared" si="15"/>
        <v>0</v>
      </c>
      <c r="BB36" s="216">
        <f t="shared" si="16"/>
        <v>1.0016542390239327</v>
      </c>
      <c r="BC36" s="216">
        <f t="shared" si="17"/>
        <v>1</v>
      </c>
    </row>
    <row r="37" spans="1:55" ht="20.100000000000001" customHeight="1" x14ac:dyDescent="0.2">
      <c r="A37" s="45">
        <v>0.91666666666666696</v>
      </c>
      <c r="B37" s="451"/>
      <c r="C37" s="451"/>
      <c r="D37" s="451">
        <v>5.8</v>
      </c>
      <c r="E37" s="451">
        <v>61.8</v>
      </c>
      <c r="F37" s="41">
        <v>1927</v>
      </c>
      <c r="G37" s="37">
        <v>-5.6</v>
      </c>
      <c r="H37" s="37">
        <v>72.900000000000006</v>
      </c>
      <c r="I37" s="37">
        <v>22</v>
      </c>
      <c r="J37" s="41">
        <v>557</v>
      </c>
      <c r="K37" s="37">
        <v>13</v>
      </c>
      <c r="L37" s="451">
        <v>132</v>
      </c>
      <c r="M37" s="451">
        <v>221</v>
      </c>
      <c r="N37" s="451">
        <v>90</v>
      </c>
      <c r="O37" s="353">
        <v>40</v>
      </c>
      <c r="P37" s="353">
        <v>12</v>
      </c>
      <c r="Q37" s="353">
        <v>228.29</v>
      </c>
      <c r="R37" s="37"/>
      <c r="S37" s="508" t="str">
        <f t="shared" si="22"/>
        <v/>
      </c>
      <c r="T37" s="508"/>
      <c r="U37" s="508"/>
      <c r="V37" s="508"/>
      <c r="X37" s="45">
        <v>0.91666666666666696</v>
      </c>
      <c r="Y37" s="106"/>
      <c r="Z37" s="102"/>
      <c r="AA37" s="102"/>
      <c r="AB37" s="45" t="str">
        <f t="shared" si="18"/>
        <v/>
      </c>
      <c r="AC37" s="45" t="str">
        <f t="shared" si="1"/>
        <v/>
      </c>
      <c r="AD37" s="81"/>
      <c r="AE37" s="9" t="str">
        <f>IF(S37="","",IF(COUNTA(Z37:$Z$39)=1,IF(COUNTA(AD37:$AD$39)=1,""," ; "),IF(COUNTA(AD37:$AD$39)=1,IF(Z37="",""," ; ")," ; ")))</f>
        <v/>
      </c>
      <c r="AF37" s="9" t="str">
        <f t="shared" si="2"/>
        <v/>
      </c>
      <c r="AG37" s="90" t="str">
        <f t="shared" si="3"/>
        <v/>
      </c>
      <c r="AH37" s="204" t="s">
        <v>319</v>
      </c>
      <c r="AJ37" s="206">
        <f t="shared" si="21"/>
        <v>500</v>
      </c>
      <c r="AK37" s="206">
        <f t="shared" si="21"/>
        <v>100</v>
      </c>
      <c r="AL37" s="206">
        <f t="shared" si="21"/>
        <v>2</v>
      </c>
      <c r="AM37" s="213">
        <f t="shared" si="21"/>
        <v>0.875</v>
      </c>
      <c r="AN37" s="214">
        <f t="shared" si="21"/>
        <v>0.63607464142166403</v>
      </c>
      <c r="AO37" s="215">
        <f t="shared" si="4"/>
        <v>-14.7</v>
      </c>
      <c r="AP37" s="216">
        <f t="shared" si="5"/>
        <v>1</v>
      </c>
      <c r="AQ37" s="216">
        <f t="shared" si="6"/>
        <v>1</v>
      </c>
      <c r="AR37" s="215">
        <f t="shared" si="20"/>
        <v>158.47</v>
      </c>
      <c r="AS37" s="216">
        <f t="shared" si="7"/>
        <v>0.9723448696087954</v>
      </c>
      <c r="AT37" s="216">
        <f t="shared" si="8"/>
        <v>1.2538510821608391</v>
      </c>
      <c r="AU37" s="216">
        <f t="shared" si="9"/>
        <v>2.2360679774997898</v>
      </c>
      <c r="AV37" s="217">
        <f t="shared" si="10"/>
        <v>10.368348541764712</v>
      </c>
      <c r="AW37" s="216">
        <f t="shared" si="11"/>
        <v>0</v>
      </c>
      <c r="AX37" s="218">
        <f t="shared" si="12"/>
        <v>1.4831709199797398</v>
      </c>
      <c r="AY37" s="216">
        <f t="shared" si="13"/>
        <v>0.77643477842613629</v>
      </c>
      <c r="AZ37" s="217">
        <f t="shared" si="14"/>
        <v>3.5883638597441294</v>
      </c>
      <c r="BA37" s="216">
        <f t="shared" si="15"/>
        <v>0</v>
      </c>
      <c r="BB37" s="216">
        <f t="shared" si="16"/>
        <v>1.0016542390239327</v>
      </c>
      <c r="BC37" s="216">
        <f t="shared" si="17"/>
        <v>1</v>
      </c>
    </row>
    <row r="38" spans="1:55" ht="20.100000000000001" customHeight="1" x14ac:dyDescent="0.2">
      <c r="A38" s="45">
        <v>0.95833333333333304</v>
      </c>
      <c r="B38" s="451"/>
      <c r="C38" s="451"/>
      <c r="D38" s="451">
        <v>6.2</v>
      </c>
      <c r="E38" s="451">
        <v>58.6</v>
      </c>
      <c r="F38" s="41">
        <v>1921</v>
      </c>
      <c r="G38" s="37">
        <v>-5.6</v>
      </c>
      <c r="H38" s="37">
        <v>72</v>
      </c>
      <c r="I38" s="37">
        <v>22.1</v>
      </c>
      <c r="J38" s="41">
        <v>558</v>
      </c>
      <c r="K38" s="37">
        <v>13</v>
      </c>
      <c r="L38" s="451">
        <v>137</v>
      </c>
      <c r="M38" s="451">
        <v>220</v>
      </c>
      <c r="N38" s="451">
        <v>90</v>
      </c>
      <c r="O38" s="353">
        <v>45</v>
      </c>
      <c r="P38" s="353">
        <v>13</v>
      </c>
      <c r="Q38" s="353">
        <v>248.28</v>
      </c>
      <c r="R38" s="37"/>
      <c r="S38" s="508" t="str">
        <f t="shared" si="22"/>
        <v/>
      </c>
      <c r="T38" s="508"/>
      <c r="U38" s="508"/>
      <c r="V38" s="508"/>
      <c r="X38" s="45">
        <v>0.95833333333333304</v>
      </c>
      <c r="Y38" s="106"/>
      <c r="Z38" s="102"/>
      <c r="AA38" s="102"/>
      <c r="AB38" s="45" t="str">
        <f t="shared" si="18"/>
        <v/>
      </c>
      <c r="AC38" s="45" t="str">
        <f t="shared" si="1"/>
        <v/>
      </c>
      <c r="AD38" s="81"/>
      <c r="AE38" s="9" t="str">
        <f>IF(S38="","",IF(COUNTA(Z38:$Z$39)=1,IF(COUNTA(AD38:$AD$39)=1,""," ; "),IF(COUNTA(AD38:$AD$39)=1,IF(Z38="",""," ; ")," ; ")))</f>
        <v/>
      </c>
      <c r="AF38" s="9" t="str">
        <f t="shared" si="2"/>
        <v/>
      </c>
      <c r="AG38" s="90" t="str">
        <f t="shared" si="3"/>
        <v/>
      </c>
      <c r="AH38" s="204" t="s">
        <v>219</v>
      </c>
      <c r="AJ38" s="206">
        <f t="shared" si="21"/>
        <v>500</v>
      </c>
      <c r="AK38" s="206">
        <f t="shared" si="21"/>
        <v>100</v>
      </c>
      <c r="AL38" s="206">
        <f t="shared" si="21"/>
        <v>2</v>
      </c>
      <c r="AM38" s="213">
        <f t="shared" si="21"/>
        <v>0.875</v>
      </c>
      <c r="AN38" s="214">
        <f t="shared" si="21"/>
        <v>0.63607464142166403</v>
      </c>
      <c r="AO38" s="215">
        <f t="shared" si="4"/>
        <v>-14.7</v>
      </c>
      <c r="AP38" s="216">
        <f t="shared" si="5"/>
        <v>1</v>
      </c>
      <c r="AQ38" s="216">
        <f t="shared" si="6"/>
        <v>1</v>
      </c>
      <c r="AR38" s="215">
        <f t="shared" si="20"/>
        <v>158.47</v>
      </c>
      <c r="AS38" s="216">
        <f t="shared" si="7"/>
        <v>0.9723448696087954</v>
      </c>
      <c r="AT38" s="216">
        <f t="shared" si="8"/>
        <v>1.2538510821608391</v>
      </c>
      <c r="AU38" s="216">
        <f t="shared" si="9"/>
        <v>2.2360679774997898</v>
      </c>
      <c r="AV38" s="217">
        <f t="shared" si="10"/>
        <v>10.368348541764712</v>
      </c>
      <c r="AW38" s="216">
        <f t="shared" si="11"/>
        <v>0</v>
      </c>
      <c r="AX38" s="218">
        <f t="shared" si="12"/>
        <v>1.4831709199797398</v>
      </c>
      <c r="AY38" s="216">
        <f t="shared" si="13"/>
        <v>0.77643477842613629</v>
      </c>
      <c r="AZ38" s="217">
        <f t="shared" si="14"/>
        <v>3.5883638597441294</v>
      </c>
      <c r="BA38" s="216">
        <f t="shared" si="15"/>
        <v>0</v>
      </c>
      <c r="BB38" s="216">
        <f t="shared" si="16"/>
        <v>1.0016542390239327</v>
      </c>
      <c r="BC38" s="216">
        <f t="shared" si="17"/>
        <v>1</v>
      </c>
    </row>
    <row r="39" spans="1:55" ht="20.100000000000001" customHeight="1" thickBot="1" x14ac:dyDescent="0.25">
      <c r="A39" s="46">
        <v>1</v>
      </c>
      <c r="B39" s="451"/>
      <c r="C39" s="451"/>
      <c r="D39" s="452">
        <v>6.4</v>
      </c>
      <c r="E39" s="452">
        <v>57.2</v>
      </c>
      <c r="F39" s="42">
        <v>1930</v>
      </c>
      <c r="G39" s="37">
        <v>-5.6</v>
      </c>
      <c r="H39" s="38">
        <v>72.400000000000006</v>
      </c>
      <c r="I39" s="37">
        <v>22.7</v>
      </c>
      <c r="J39" s="41">
        <v>559</v>
      </c>
      <c r="K39" s="37">
        <v>13</v>
      </c>
      <c r="L39" s="452">
        <v>130</v>
      </c>
      <c r="M39" s="452">
        <v>220</v>
      </c>
      <c r="N39" s="451">
        <v>90</v>
      </c>
      <c r="O39" s="353">
        <v>45</v>
      </c>
      <c r="P39" s="353">
        <v>13</v>
      </c>
      <c r="Q39" s="354">
        <v>248.28</v>
      </c>
      <c r="R39" s="38"/>
      <c r="S39" s="512" t="str">
        <f t="shared" si="22"/>
        <v/>
      </c>
      <c r="T39" s="512"/>
      <c r="U39" s="512"/>
      <c r="V39" s="512"/>
      <c r="X39" s="46">
        <v>1</v>
      </c>
      <c r="Y39" s="107"/>
      <c r="Z39" s="103"/>
      <c r="AA39" s="103"/>
      <c r="AB39" s="46" t="str">
        <f t="shared" si="18"/>
        <v/>
      </c>
      <c r="AC39" s="46" t="str">
        <f t="shared" si="1"/>
        <v/>
      </c>
      <c r="AD39" s="82"/>
      <c r="AE39" s="9" t="str">
        <f>IF(S39="","",IF(COUNTA(Z39:$Z$39)=1,IF(COUNTA(AD39:$AD$39)=1,""," ; "),IF(COUNTA(AD39:$AD$39)=1,IF(Z39="",""," ; ")," ; ")))</f>
        <v/>
      </c>
      <c r="AF39" s="9" t="str">
        <f t="shared" si="2"/>
        <v/>
      </c>
      <c r="AG39" s="90" t="str">
        <f t="shared" si="3"/>
        <v/>
      </c>
      <c r="AH39" s="204" t="s">
        <v>220</v>
      </c>
      <c r="AJ39" s="219">
        <f t="shared" si="21"/>
        <v>500</v>
      </c>
      <c r="AK39" s="219">
        <f t="shared" si="21"/>
        <v>100</v>
      </c>
      <c r="AL39" s="219">
        <f t="shared" si="21"/>
        <v>2</v>
      </c>
      <c r="AM39" s="220">
        <f t="shared" si="21"/>
        <v>0.875</v>
      </c>
      <c r="AN39" s="221">
        <f t="shared" si="21"/>
        <v>0.63607464142166403</v>
      </c>
      <c r="AO39" s="222">
        <f t="shared" si="4"/>
        <v>-14.7</v>
      </c>
      <c r="AP39" s="223">
        <f t="shared" si="5"/>
        <v>1</v>
      </c>
      <c r="AQ39" s="223">
        <f t="shared" si="6"/>
        <v>1</v>
      </c>
      <c r="AR39" s="222">
        <f t="shared" si="20"/>
        <v>158.47</v>
      </c>
      <c r="AS39" s="223">
        <f t="shared" si="7"/>
        <v>0.9723448696087954</v>
      </c>
      <c r="AT39" s="223">
        <f t="shared" si="8"/>
        <v>1.2538510821608391</v>
      </c>
      <c r="AU39" s="223">
        <f t="shared" si="9"/>
        <v>2.2360679774997898</v>
      </c>
      <c r="AV39" s="224">
        <f t="shared" si="10"/>
        <v>10.368348541764712</v>
      </c>
      <c r="AW39" s="223">
        <f t="shared" si="11"/>
        <v>0</v>
      </c>
      <c r="AX39" s="225">
        <f t="shared" si="12"/>
        <v>1.4831709199797398</v>
      </c>
      <c r="AY39" s="223">
        <f t="shared" si="13"/>
        <v>0.77643477842613629</v>
      </c>
      <c r="AZ39" s="224">
        <f t="shared" si="14"/>
        <v>3.5883638597441294</v>
      </c>
      <c r="BA39" s="223">
        <f t="shared" si="15"/>
        <v>0</v>
      </c>
      <c r="BB39" s="223">
        <f t="shared" si="16"/>
        <v>1.0016542390239327</v>
      </c>
      <c r="BC39" s="223">
        <f t="shared" si="17"/>
        <v>1</v>
      </c>
    </row>
    <row r="40" spans="1:55" ht="20.100000000000001" customHeight="1" thickBot="1" x14ac:dyDescent="0.3">
      <c r="A40" s="53" t="s">
        <v>11</v>
      </c>
      <c r="B40" s="453" t="str">
        <f>IFERROR(ROUND(AVERAGE(B16:B39),2),"")</f>
        <v/>
      </c>
      <c r="C40" s="453" t="str">
        <f>IFERROR(ROUND(AVERAGE(C16:C39),2),"")</f>
        <v/>
      </c>
      <c r="D40" s="453">
        <f>IFERROR(ROUND(AVERAGE(D16:D39),2),"")</f>
        <v>7.3</v>
      </c>
      <c r="E40" s="453">
        <f>IFERROR(ROUND(AVERAGE(E16:E39),2),"")</f>
        <v>61</v>
      </c>
      <c r="F40" s="55">
        <f>IFERROR(ROUND(AVERAGE(F16:F39),0),"")</f>
        <v>1941</v>
      </c>
      <c r="G40" s="54">
        <f>IFERROR(AVERAGE(G16:G39),"")</f>
        <v>-5.5999999999999979</v>
      </c>
      <c r="H40" s="54">
        <f>IFERROR(AVERAGE(H16:H39),"")</f>
        <v>72.404166666666683</v>
      </c>
      <c r="I40" s="54">
        <f>IFERROR(AVERAGE(I16:I39),"")</f>
        <v>22.416666666666671</v>
      </c>
      <c r="J40" s="71"/>
      <c r="K40" s="111">
        <f>IFERROR(AVERAGE(K16:K39),"")</f>
        <v>13</v>
      </c>
      <c r="L40" s="453">
        <f t="shared" ref="L40:P40" si="23">IFERROR(ROUND(AVERAGE(L16:L39),1),"")</f>
        <v>132.69999999999999</v>
      </c>
      <c r="M40" s="453">
        <f t="shared" si="23"/>
        <v>224</v>
      </c>
      <c r="N40" s="453">
        <f t="shared" si="23"/>
        <v>90</v>
      </c>
      <c r="O40" s="456">
        <f t="shared" si="23"/>
        <v>43.5</v>
      </c>
      <c r="P40" s="456">
        <f t="shared" si="23"/>
        <v>13.1</v>
      </c>
      <c r="Q40" s="456">
        <f>IF($I$47=1,$M$49,$Q$44)</f>
        <v>243.6</v>
      </c>
      <c r="R40" s="54" t="str">
        <f>IFERROR(ROUND(AVERAGE(R16:R39),1),"")</f>
        <v/>
      </c>
      <c r="S40" s="509"/>
      <c r="T40" s="510"/>
      <c r="U40" s="510"/>
      <c r="V40" s="511"/>
      <c r="X40" s="99"/>
      <c r="Y40" s="99"/>
      <c r="Z40" s="99"/>
      <c r="AA40" s="99"/>
      <c r="AB40" s="104">
        <f>SUM(AB16:AB39)</f>
        <v>0</v>
      </c>
      <c r="AC40" s="104">
        <f>SUM(AC16:AC39)</f>
        <v>0</v>
      </c>
      <c r="AD40" s="92" t="str">
        <f>IF(OR(COUNTBLANK(D16:E39)+COUNTBLANK(O16:P39)=0,COUNTA(S16:V39)&lt;&gt;0),"","CEK : Blank Data - Remarks")</f>
        <v/>
      </c>
      <c r="AG40" s="90" t="str">
        <f>IF(COUNTIF(AG16:AG39,"")=COUNTA(AG16:AG39),"","CEK : Data Flowrate")</f>
        <v/>
      </c>
      <c r="AH40" s="204" t="s">
        <v>311</v>
      </c>
    </row>
    <row r="41" spans="1:55" ht="20.100000000000001" hidden="1" customHeight="1" thickBot="1" x14ac:dyDescent="0.3">
      <c r="A41" s="49" t="s">
        <v>12</v>
      </c>
      <c r="B41" s="52" t="str">
        <f>IF(COUNT(B16:B39)&gt;0,ROUND(MIN(B16:B39),2),"")</f>
        <v/>
      </c>
      <c r="C41" s="52" t="str">
        <f>IF(COUNT(C16:C39)&gt;0,ROUND(MIN(C16:C39),2),"")</f>
        <v/>
      </c>
      <c r="D41" s="52">
        <f>IF(COUNT(D16:D39)&gt;0,ROUND(MIN(D16:D39),2),"")</f>
        <v>5.8</v>
      </c>
      <c r="E41" s="52">
        <f>IF(COUNT(E16:E39)&gt;0,ROUND(MIN(E16:E39),2),"")</f>
        <v>53.4</v>
      </c>
      <c r="F41" s="51">
        <f>IF(COUNT(F16:F39)&gt;0,ROUND(MIN(F16:F39),0),"")</f>
        <v>1915</v>
      </c>
      <c r="G41" s="50">
        <f>IF(COUNT(G16:G39)&gt;0,MIN(G16:G39),"")</f>
        <v>-5.6</v>
      </c>
      <c r="H41" s="50">
        <f>IF(COUNT(H16:H39)&gt;0,MIN(H16:H39),"")</f>
        <v>72</v>
      </c>
      <c r="I41" s="50">
        <f>IF(COUNT(I16:I39)&gt;0,MIN(I16:I39),"")</f>
        <v>22</v>
      </c>
      <c r="J41" s="72"/>
      <c r="K41" s="50">
        <f>IF(COUNT(K16:K39)&gt;0,MIN(K16:K39),"")</f>
        <v>13</v>
      </c>
      <c r="L41" s="52">
        <f>IF(COUNT(L16:L39)&gt;0,ROUND(MIN(L16:L39),1),"")</f>
        <v>130</v>
      </c>
      <c r="M41" s="52">
        <f>IF(COUNT(M16:M39)&gt;0,ROUND(MIN(M16:M39),1),"")</f>
        <v>220</v>
      </c>
      <c r="N41" s="52">
        <f>IF(COUNT(N16:N39)&gt;0,ROUND(MIN(N16:N39),1),"")</f>
        <v>90</v>
      </c>
      <c r="O41" s="440">
        <f>IF(COUNT(O16:O39)&gt;0,ROUND(MIN(O16:O39),1),"")</f>
        <v>40</v>
      </c>
      <c r="P41" s="440">
        <f>IF(COUNT(P16:P39)&gt;0,ROUND(MIN(P16:P39),1),"")</f>
        <v>12</v>
      </c>
      <c r="Q41" s="440">
        <f>IF(COUNT(Q16:Q39)&gt;0,ROUND(MIN(Q16:Q39),4),"")</f>
        <v>228.29</v>
      </c>
      <c r="R41" s="121" t="str">
        <f>IF(COUNT(R16:R39)&gt;0,ROUND(MIN(R16:R39),1),"")</f>
        <v/>
      </c>
      <c r="S41" s="509"/>
      <c r="T41" s="510"/>
      <c r="U41" s="510"/>
      <c r="V41" s="511"/>
      <c r="X41" s="99"/>
      <c r="Y41" s="99"/>
      <c r="Z41" s="99"/>
      <c r="AA41" s="99"/>
      <c r="AB41" s="99"/>
      <c r="AC41" s="99"/>
      <c r="AH41" s="204" t="s">
        <v>318</v>
      </c>
    </row>
    <row r="42" spans="1:55" ht="20.100000000000001" hidden="1" customHeight="1" thickBot="1" x14ac:dyDescent="0.3">
      <c r="A42" s="21" t="s">
        <v>13</v>
      </c>
      <c r="B42" s="454" t="str">
        <f>IF(COUNT(B16:B39)&gt;0,ROUND(MAX(B16:B39),2),"")</f>
        <v/>
      </c>
      <c r="C42" s="454" t="str">
        <f>IF(COUNT(C16:C39)&gt;0,ROUND(MAX(C16:C39),2),"")</f>
        <v/>
      </c>
      <c r="D42" s="454">
        <f>IF(COUNT(D16:D39)&gt;0,ROUND(MAX(D16:D39),2),"")</f>
        <v>8.6</v>
      </c>
      <c r="E42" s="454">
        <f>IF(COUNT(E16:E39)&gt;0,ROUND(MAX(E16:E39),2),"")</f>
        <v>65.5</v>
      </c>
      <c r="F42" s="43">
        <f>IF(COUNT(F16:F39)&gt;0,ROUND(MAX(F16:F39),0),"")</f>
        <v>1983</v>
      </c>
      <c r="G42" s="39">
        <f>IF(COUNT(G16:G39)&gt;0,MAX(G16:G39),"")</f>
        <v>-5.6</v>
      </c>
      <c r="H42" s="39">
        <f>IF(COUNT(H16:H39)&gt;0,MAX(H16:H39),"")</f>
        <v>72.900000000000006</v>
      </c>
      <c r="I42" s="39">
        <f>IF(COUNT(I16:I39)&gt;0,MAX(I16:I39),"")</f>
        <v>22.9</v>
      </c>
      <c r="J42" s="43">
        <f>IF(COUNT(J16:J39)&gt;0,MAX(J16:J39),"")</f>
        <v>559</v>
      </c>
      <c r="K42" s="39">
        <f>IF(COUNT(K16:K39)&gt;0,MAX(K16:K39),"")</f>
        <v>13</v>
      </c>
      <c r="L42" s="454">
        <f>IF(COUNT(L16:L39)&gt;0,ROUND(MAX(L16:L39),1),"")</f>
        <v>137</v>
      </c>
      <c r="M42" s="454">
        <f>IF(COUNT(M16:M39)&gt;0,ROUND(MAX(M16:M39),1),"")</f>
        <v>229</v>
      </c>
      <c r="N42" s="454">
        <f>IF(COUNT(N16:N39)&gt;0,ROUND(MAX(N16:N39),1),"")</f>
        <v>90</v>
      </c>
      <c r="O42" s="441">
        <f>IF(COUNT(O16:O39)&gt;0,ROUND(MAX(O16:O39),1),"")</f>
        <v>50</v>
      </c>
      <c r="P42" s="441">
        <f>IF(COUNT(P16:P39)&gt;0,ROUND(MAX(P16:P39),1),"")</f>
        <v>16</v>
      </c>
      <c r="Q42" s="441">
        <f>IF(COUNT(Q16:Q39)&gt;0,ROUND(MAX(Q16:Q39),4),"")</f>
        <v>286.67</v>
      </c>
      <c r="R42" s="39" t="str">
        <f>IF(COUNT(R16:R39)&gt;0,ROUND(MAX(R16:R39),1),"")</f>
        <v/>
      </c>
      <c r="S42" s="509"/>
      <c r="T42" s="510"/>
      <c r="U42" s="510"/>
      <c r="V42" s="511"/>
      <c r="X42" s="99"/>
      <c r="Y42" s="99"/>
      <c r="Z42" s="99"/>
      <c r="AA42" s="99"/>
      <c r="AB42" s="99"/>
      <c r="AC42" s="99"/>
      <c r="AH42" s="204" t="s">
        <v>312</v>
      </c>
    </row>
    <row r="43" spans="1:55" ht="20.100000000000001" hidden="1" customHeight="1" x14ac:dyDescent="0.25">
      <c r="A43" s="109"/>
      <c r="B43" s="110">
        <f>COUNT(B16:B39)</f>
        <v>0</v>
      </c>
      <c r="C43" s="110">
        <f>COUNT(C16:C39)</f>
        <v>0</v>
      </c>
      <c r="D43" s="110">
        <f>COUNT(D16:D39)</f>
        <v>24</v>
      </c>
      <c r="E43" s="110">
        <f t="shared" ref="E43:H43" si="24">COUNT(E16:E39)</f>
        <v>24</v>
      </c>
      <c r="F43" s="110">
        <f t="shared" si="24"/>
        <v>24</v>
      </c>
      <c r="G43" s="110">
        <f t="shared" si="24"/>
        <v>24</v>
      </c>
      <c r="H43" s="110">
        <f t="shared" si="24"/>
        <v>24</v>
      </c>
      <c r="I43" s="110"/>
      <c r="J43" s="110"/>
      <c r="K43" s="110"/>
      <c r="L43" s="110">
        <f t="shared" ref="L43:Q43" si="25">COUNT(L16:L39)</f>
        <v>24</v>
      </c>
      <c r="M43" s="110">
        <f t="shared" si="25"/>
        <v>24</v>
      </c>
      <c r="N43" s="110">
        <f t="shared" si="25"/>
        <v>24</v>
      </c>
      <c r="O43" s="110">
        <f t="shared" si="25"/>
        <v>24</v>
      </c>
      <c r="P43" s="110">
        <f t="shared" si="25"/>
        <v>24</v>
      </c>
      <c r="Q43" s="110">
        <f t="shared" si="25"/>
        <v>24</v>
      </c>
      <c r="R43" s="110"/>
      <c r="S43" s="99"/>
      <c r="T43" s="99"/>
      <c r="U43" s="99"/>
      <c r="V43" s="99"/>
      <c r="X43" s="99"/>
      <c r="Y43" s="99"/>
      <c r="Z43" s="99"/>
      <c r="AA43" s="99"/>
      <c r="AB43" s="99"/>
      <c r="AC43" s="99"/>
      <c r="AD43" s="92" t="str">
        <f>IF(AND(D43=E43,D43=F43,D43=G43,D43=H43,D43=L43,D43=M43,D43=N43,D43=O43,D43=P43,D43=Q43),"","CEK : Data Content")</f>
        <v/>
      </c>
      <c r="AH43" s="204" t="s">
        <v>221</v>
      </c>
    </row>
    <row r="44" spans="1:55" s="6" customFormat="1" ht="15" customHeight="1" x14ac:dyDescent="0.25">
      <c r="J44" s="91" t="str">
        <f>IF(J1="PRINT","",IF(J42="","RH please ! !",""))</f>
        <v/>
      </c>
      <c r="L44" s="24"/>
      <c r="Q44" s="445">
        <f>IFERROR(ROUND(AVERAGE(Q16:Q39),4),"")</f>
        <v>245.78129999999999</v>
      </c>
      <c r="AH44" s="204" t="s">
        <v>323</v>
      </c>
      <c r="AI44" s="7"/>
    </row>
    <row r="45" spans="1:55" s="6" customFormat="1" ht="15" customHeight="1" x14ac:dyDescent="0.25">
      <c r="L45" s="26" t="s">
        <v>290</v>
      </c>
      <c r="Q45" s="445"/>
      <c r="AH45" s="204" t="s">
        <v>288</v>
      </c>
      <c r="AI45" s="7"/>
    </row>
    <row r="46" spans="1:55" s="6" customFormat="1" ht="15" customHeight="1" x14ac:dyDescent="0.25">
      <c r="D46" s="443" t="s">
        <v>90</v>
      </c>
      <c r="E46" s="448" t="str">
        <f>IF(Schedule!C$24="","",Schedule!C$24)</f>
        <v/>
      </c>
      <c r="G46" s="61"/>
      <c r="H46" s="25" t="str">
        <f>IFERROR(IF(OR(I47="",I48="",I49=""),"WAKTU BELUM DI-ISI LENGKAP",IF(SUM(I48:I49)&lt;=1,"","CEK KEMBALI PENULISAN WAKTU SALAH")),"CEK KEMBALI PENULISAN WAKTU SALAH")</f>
        <v/>
      </c>
      <c r="L46" s="26" t="s">
        <v>22</v>
      </c>
      <c r="M46" s="460">
        <f>IF(Volume!$W23="",$O46,Volume!$W23)</f>
        <v>41.313800000000001</v>
      </c>
      <c r="N46" s="27" t="s">
        <v>1</v>
      </c>
      <c r="O46" s="447">
        <f>IF(O40="","",O40)</f>
        <v>43.5</v>
      </c>
      <c r="P46" s="361" t="s">
        <v>29</v>
      </c>
      <c r="Q46" s="362"/>
      <c r="R46" s="362"/>
      <c r="S46" s="362"/>
      <c r="T46" s="361" t="s">
        <v>30</v>
      </c>
      <c r="U46" s="362"/>
      <c r="V46" s="362"/>
      <c r="AH46" s="204" t="s">
        <v>222</v>
      </c>
    </row>
    <row r="47" spans="1:55" s="6" customFormat="1" ht="15" customHeight="1" x14ac:dyDescent="0.25">
      <c r="D47" s="448"/>
      <c r="E47" s="448"/>
      <c r="H47" s="26" t="s">
        <v>26</v>
      </c>
      <c r="I47" s="56">
        <f>IF(OR(I48="",I49=""),"",1-I48-I49)</f>
        <v>1</v>
      </c>
      <c r="J47" s="27" t="s">
        <v>19</v>
      </c>
      <c r="L47" s="26" t="s">
        <v>23</v>
      </c>
      <c r="M47" s="442">
        <f>IF(Volume!$Y23="",$O47,Volume!$Y23)</f>
        <v>14.043799999999999</v>
      </c>
      <c r="N47" s="27" t="s">
        <v>14</v>
      </c>
      <c r="O47" s="447">
        <f>IF(P40="","",P40)</f>
        <v>13.1</v>
      </c>
      <c r="P47" s="361" t="s">
        <v>211</v>
      </c>
      <c r="Q47" s="362"/>
      <c r="R47" s="362"/>
      <c r="S47" s="362"/>
      <c r="T47" s="361" t="s">
        <v>271</v>
      </c>
      <c r="U47" s="362"/>
      <c r="V47" s="362"/>
      <c r="AH47" s="204" t="s">
        <v>223</v>
      </c>
    </row>
    <row r="48" spans="1:55" s="6" customFormat="1" ht="15" customHeight="1" x14ac:dyDescent="0.25">
      <c r="D48" s="443" t="s">
        <v>91</v>
      </c>
      <c r="E48" s="448" t="str">
        <f>IF(Schedule!D$24="","",Schedule!D$24)</f>
        <v/>
      </c>
      <c r="H48" s="26" t="s">
        <v>37</v>
      </c>
      <c r="I48" s="108">
        <f>IF(OR(COUNT($Q$16:$Q$39)&lt;&gt;0,COUNTA($AD$16:$AD$39)&lt;&gt;0),AB40,"")</f>
        <v>0</v>
      </c>
      <c r="J48" s="27" t="s">
        <v>19</v>
      </c>
      <c r="L48" s="26" t="s">
        <v>24</v>
      </c>
      <c r="M48" s="449">
        <f>IF(N40="","",N40)</f>
        <v>90</v>
      </c>
      <c r="N48" s="27" t="s">
        <v>5</v>
      </c>
      <c r="P48" s="362"/>
      <c r="Q48" s="362"/>
      <c r="R48" s="362"/>
      <c r="S48" s="362"/>
      <c r="T48" s="361" t="s">
        <v>291</v>
      </c>
      <c r="U48" s="362"/>
      <c r="V48" s="362"/>
      <c r="AH48" s="204" t="s">
        <v>324</v>
      </c>
    </row>
    <row r="49" spans="1:34" s="6" customFormat="1" ht="15" customHeight="1" x14ac:dyDescent="0.25">
      <c r="D49" s="448"/>
      <c r="E49" s="448"/>
      <c r="H49" s="26" t="s">
        <v>27</v>
      </c>
      <c r="I49" s="108">
        <f>IF(OR(COUNT($Q$16:$Q$39)&lt;&gt;0,COUNTA($AD$16:$AD$39)&lt;&gt;0),AC40,"")</f>
        <v>0</v>
      </c>
      <c r="J49" s="27" t="s">
        <v>19</v>
      </c>
      <c r="L49" s="26" t="s">
        <v>128</v>
      </c>
      <c r="M49" s="442">
        <f>IF(Volume!$L23="",M51,Volume!$L23)</f>
        <v>243.6</v>
      </c>
      <c r="N49" s="27" t="str">
        <f>IF(Q15="MSCFD","MSCF","MMSCF")</f>
        <v>MSCF</v>
      </c>
      <c r="P49" s="362"/>
      <c r="Q49" s="362"/>
      <c r="R49" s="362"/>
      <c r="S49" s="362"/>
      <c r="T49" s="362"/>
      <c r="U49" s="362"/>
      <c r="V49" s="362"/>
      <c r="AH49" s="204" t="s">
        <v>317</v>
      </c>
    </row>
    <row r="50" spans="1:34" s="6" customFormat="1" ht="15" customHeight="1" x14ac:dyDescent="0.25">
      <c r="D50" s="443" t="s">
        <v>92</v>
      </c>
      <c r="E50" s="448" t="str">
        <f>IF(Schedule!E$24="","",Schedule!E$24)</f>
        <v>Marihot Gustafa S.</v>
      </c>
      <c r="L50" s="443" t="str">
        <f>CONCATENATE(MR!L16," ",":")</f>
        <v>Liquid Gain :</v>
      </c>
      <c r="M50" s="446" t="str">
        <f>IF(R40="","",ROUND(SUM(R16:R39),2))</f>
        <v/>
      </c>
      <c r="N50" s="444" t="str">
        <f>R15</f>
        <v>BPD</v>
      </c>
      <c r="P50" s="362"/>
      <c r="Q50" s="362"/>
      <c r="R50" s="362"/>
      <c r="S50" s="362"/>
      <c r="T50" s="362"/>
      <c r="U50" s="362"/>
      <c r="V50" s="362"/>
      <c r="AH50" s="204" t="s">
        <v>282</v>
      </c>
    </row>
    <row r="51" spans="1:34" s="6" customFormat="1" ht="15" customHeight="1" x14ac:dyDescent="0.25">
      <c r="A51" s="4"/>
      <c r="L51" s="443" t="s">
        <v>286</v>
      </c>
      <c r="M51" s="447">
        <f>IF(Q44="","",IF(SUM(I48:I49)=1,IF(Q44&lt;&gt;0,"Cek Tabel",""),ROUND(Q44*I47,4)))</f>
        <v>245.78129999999999</v>
      </c>
      <c r="N51" s="444" t="str">
        <f>IF(Q15="MSCFD","MSCF","MMSCF")</f>
        <v>MSCF</v>
      </c>
      <c r="P51" s="362"/>
      <c r="Q51" s="362"/>
      <c r="R51" s="362"/>
      <c r="S51" s="362"/>
      <c r="T51" s="362"/>
      <c r="U51" s="362"/>
      <c r="V51" s="362"/>
      <c r="AH51" s="204" t="s">
        <v>325</v>
      </c>
    </row>
    <row r="52" spans="1:34" s="6" customFormat="1" ht="15" customHeight="1" x14ac:dyDescent="0.25">
      <c r="D52" s="26" t="s">
        <v>28</v>
      </c>
      <c r="E52" s="47"/>
      <c r="F52" s="47"/>
      <c r="G52" s="47"/>
      <c r="H52" s="47"/>
      <c r="I52" s="47"/>
      <c r="J52" s="47"/>
      <c r="K52" s="47"/>
      <c r="L52" s="5"/>
      <c r="P52" s="362"/>
      <c r="Q52" s="362"/>
      <c r="R52" s="362"/>
      <c r="S52" s="362"/>
      <c r="T52" s="362"/>
      <c r="U52" s="362"/>
      <c r="V52" s="362"/>
      <c r="AH52" s="204" t="s">
        <v>280</v>
      </c>
    </row>
    <row r="53" spans="1:34" s="6" customFormat="1" ht="15" customHeight="1" x14ac:dyDescent="0.25">
      <c r="D53" s="5"/>
      <c r="E53" s="48"/>
      <c r="F53" s="48"/>
      <c r="G53" s="48"/>
      <c r="H53" s="48"/>
      <c r="I53" s="48"/>
      <c r="J53" s="48"/>
      <c r="K53" s="48"/>
      <c r="L53" s="5"/>
      <c r="P53" s="363" t="str">
        <f>UPPER(E50)</f>
        <v>MARIHOT GUSTAFA S.</v>
      </c>
      <c r="Q53" s="362"/>
      <c r="R53" s="362"/>
      <c r="S53" s="362"/>
      <c r="T53" s="363" t="str">
        <f>IF(Schedule!F$24="","",UPPER(Schedule!F$24))</f>
        <v>M. NANANG WAHYU S</v>
      </c>
      <c r="U53" s="362"/>
      <c r="V53" s="362"/>
      <c r="AH53" s="204" t="s">
        <v>316</v>
      </c>
    </row>
    <row r="54" spans="1:34" s="6" customFormat="1" ht="15" customHeight="1" x14ac:dyDescent="0.25">
      <c r="E54" s="48"/>
      <c r="F54" s="48"/>
      <c r="G54" s="48"/>
      <c r="H54" s="48"/>
      <c r="I54" s="48"/>
      <c r="J54" s="48"/>
      <c r="K54" s="48"/>
      <c r="P54" s="361" t="s">
        <v>107</v>
      </c>
      <c r="Q54" s="362"/>
      <c r="R54" s="362"/>
      <c r="S54" s="362"/>
      <c r="T54" s="361" t="s">
        <v>294</v>
      </c>
      <c r="U54" s="362"/>
      <c r="V54" s="362"/>
      <c r="AH54" s="204" t="s">
        <v>326</v>
      </c>
    </row>
    <row r="55" spans="1:34" s="6" customFormat="1" ht="15" customHeight="1" x14ac:dyDescent="0.25">
      <c r="P55" s="364" t="str">
        <f>CONCATENATE("Date : ",TEXT(K12,"[$-409]d mmm yyyy;@"))</f>
        <v>Date : 20 Jun 2025</v>
      </c>
      <c r="Q55" s="362"/>
      <c r="R55" s="364"/>
      <c r="S55" s="362"/>
      <c r="T55" s="364" t="str">
        <f>CONCATENATE("Date : ",TEXT(K12,"[$-409]d mmm yyyy;@"))</f>
        <v>Date : 20 Jun 2025</v>
      </c>
      <c r="U55" s="362"/>
      <c r="V55" s="362"/>
      <c r="AH55" s="204" t="s">
        <v>327</v>
      </c>
    </row>
    <row r="56" spans="1:34" ht="15" customHeight="1" x14ac:dyDescent="0.25">
      <c r="AH56" s="204" t="s">
        <v>281</v>
      </c>
    </row>
    <row r="57" spans="1:34" ht="15" customHeight="1" x14ac:dyDescent="0.25">
      <c r="AH57" s="204" t="s">
        <v>277</v>
      </c>
    </row>
    <row r="58" spans="1:34" ht="15" customHeight="1" x14ac:dyDescent="0.25">
      <c r="AH58" s="204" t="s">
        <v>328</v>
      </c>
    </row>
    <row r="59" spans="1:34" ht="15" customHeight="1" x14ac:dyDescent="0.25">
      <c r="AH59" s="204" t="s">
        <v>329</v>
      </c>
    </row>
    <row r="60" spans="1:34" ht="15" customHeight="1" x14ac:dyDescent="0.25">
      <c r="AH60" s="204" t="s">
        <v>330</v>
      </c>
    </row>
    <row r="61" spans="1:34" ht="15" customHeight="1" x14ac:dyDescent="0.25">
      <c r="AH61" s="204" t="s">
        <v>331</v>
      </c>
    </row>
    <row r="62" spans="1:34" ht="15" customHeight="1" x14ac:dyDescent="0.25">
      <c r="AH62" s="204" t="s">
        <v>332</v>
      </c>
    </row>
    <row r="63" spans="1:34" ht="15" customHeight="1" x14ac:dyDescent="0.25">
      <c r="AH63" s="204" t="s">
        <v>315</v>
      </c>
    </row>
    <row r="64" spans="1:34" ht="15" customHeight="1" x14ac:dyDescent="0.25">
      <c r="AH64" s="204" t="s">
        <v>333</v>
      </c>
    </row>
    <row r="65" spans="34:34" ht="15" customHeight="1" x14ac:dyDescent="0.25">
      <c r="AH65" s="204" t="s">
        <v>310</v>
      </c>
    </row>
    <row r="66" spans="34:34" ht="15" customHeight="1" x14ac:dyDescent="0.25">
      <c r="AH66" s="204" t="s">
        <v>334</v>
      </c>
    </row>
    <row r="67" spans="34:34" ht="15" customHeight="1" x14ac:dyDescent="0.25">
      <c r="AH67" s="204" t="s">
        <v>335</v>
      </c>
    </row>
    <row r="68" spans="34:34" ht="15" customHeight="1" x14ac:dyDescent="0.25">
      <c r="AH68" s="204" t="s">
        <v>336</v>
      </c>
    </row>
    <row r="69" spans="34:34" ht="15" customHeight="1" x14ac:dyDescent="0.25">
      <c r="AH69" s="204" t="s">
        <v>337</v>
      </c>
    </row>
    <row r="70" spans="34:34" ht="15" customHeight="1" x14ac:dyDescent="0.25">
      <c r="AH70" s="204" t="s">
        <v>338</v>
      </c>
    </row>
    <row r="71" spans="34:34" ht="15" customHeight="1" x14ac:dyDescent="0.25">
      <c r="AH71" s="204" t="s">
        <v>339</v>
      </c>
    </row>
    <row r="72" spans="34:34" ht="15" customHeight="1" x14ac:dyDescent="0.25">
      <c r="AH72" s="204" t="s">
        <v>340</v>
      </c>
    </row>
    <row r="85" spans="34:34" ht="0" hidden="1" customHeight="1" x14ac:dyDescent="0.25">
      <c r="AH85" s="6"/>
    </row>
    <row r="86" spans="34:34" ht="0" hidden="1" customHeight="1" x14ac:dyDescent="0.25">
      <c r="AH86" s="6"/>
    </row>
    <row r="87" spans="34:34" ht="0" hidden="1" customHeight="1" x14ac:dyDescent="0.25">
      <c r="AH87" s="6"/>
    </row>
    <row r="88" spans="34:34" ht="0" hidden="1" customHeight="1" x14ac:dyDescent="0.25">
      <c r="AH88" s="6"/>
    </row>
    <row r="89" spans="34:34" ht="0" hidden="1" customHeight="1" x14ac:dyDescent="0.25">
      <c r="AH89" s="6"/>
    </row>
    <row r="90" spans="34:34" ht="0" hidden="1" customHeight="1" x14ac:dyDescent="0.25">
      <c r="AH90" s="6"/>
    </row>
    <row r="91" spans="34:34" ht="0" hidden="1" customHeight="1" x14ac:dyDescent="0.25">
      <c r="AH91" s="6"/>
    </row>
    <row r="92" spans="34:34" ht="0" hidden="1" customHeight="1" x14ac:dyDescent="0.25">
      <c r="AH92" s="6"/>
    </row>
    <row r="93" spans="34:34" ht="0" hidden="1" customHeight="1" x14ac:dyDescent="0.25">
      <c r="AH93" s="6"/>
    </row>
    <row r="94" spans="34:34" ht="0" hidden="1" customHeight="1" x14ac:dyDescent="0.25">
      <c r="AH94" s="6"/>
    </row>
  </sheetData>
  <sheetProtection algorithmName="SHA-512" hashValue="W1SzWok1LSOGaDbS2A92SjWUaest7Y2g4y/LzYwMkoWuo6R+9dmRHq+5889dLxvs2oT/R3kb/zzgfTmdzuqLeA==" saltValue="Vkc8MTfSseUhqRUJG74JgQ==" spinCount="100000" sheet="1" objects="1" scenarios="1" formatColumns="0" formatRows="0" insertColumns="0" insertRows="0" sort="0" autoFilter="0" pivotTables="0"/>
  <mergeCells count="69">
    <mergeCell ref="S37:V37"/>
    <mergeCell ref="S38:V38"/>
    <mergeCell ref="S39:V39"/>
    <mergeCell ref="S40:V40"/>
    <mergeCell ref="S41:V42"/>
    <mergeCell ref="S36:V36"/>
    <mergeCell ref="S25:V25"/>
    <mergeCell ref="S26:V26"/>
    <mergeCell ref="S27:V27"/>
    <mergeCell ref="S28:V28"/>
    <mergeCell ref="S29:V29"/>
    <mergeCell ref="S30:V30"/>
    <mergeCell ref="S31:V31"/>
    <mergeCell ref="S32:V32"/>
    <mergeCell ref="S33:V33"/>
    <mergeCell ref="S34:V34"/>
    <mergeCell ref="S35:V35"/>
    <mergeCell ref="S19:V19"/>
    <mergeCell ref="S20:V20"/>
    <mergeCell ref="S21:V21"/>
    <mergeCell ref="S22:V22"/>
    <mergeCell ref="S23:V23"/>
    <mergeCell ref="S24:V24"/>
    <mergeCell ref="BA14:BA15"/>
    <mergeCell ref="BB14:BB15"/>
    <mergeCell ref="BC14:BC15"/>
    <mergeCell ref="S16:V16"/>
    <mergeCell ref="S17:V17"/>
    <mergeCell ref="S18:V18"/>
    <mergeCell ref="AU14:AU15"/>
    <mergeCell ref="AV14:AV15"/>
    <mergeCell ref="AW14:AW15"/>
    <mergeCell ref="AX14:AX15"/>
    <mergeCell ref="AY14:AY15"/>
    <mergeCell ref="AZ14:AZ15"/>
    <mergeCell ref="AO14:AO15"/>
    <mergeCell ref="AP14:AP15"/>
    <mergeCell ref="AQ14:AQ15"/>
    <mergeCell ref="AR14:AR15"/>
    <mergeCell ref="AS14:AS15"/>
    <mergeCell ref="AT14:AT15"/>
    <mergeCell ref="AD14:AD15"/>
    <mergeCell ref="AJ14:AJ15"/>
    <mergeCell ref="AK14:AK15"/>
    <mergeCell ref="AL14:AL15"/>
    <mergeCell ref="AM14:AM15"/>
    <mergeCell ref="AN14:AN15"/>
    <mergeCell ref="Y14:AC14"/>
    <mergeCell ref="H13:H14"/>
    <mergeCell ref="I13:I14"/>
    <mergeCell ref="J13:J14"/>
    <mergeCell ref="K13:K14"/>
    <mergeCell ref="L13:L14"/>
    <mergeCell ref="M13:N13"/>
    <mergeCell ref="Q13:Q14"/>
    <mergeCell ref="R13:R14"/>
    <mergeCell ref="S13:V15"/>
    <mergeCell ref="O13:O14"/>
    <mergeCell ref="P13:P14"/>
    <mergeCell ref="A10:V10"/>
    <mergeCell ref="A11:V11"/>
    <mergeCell ref="K12:L12"/>
    <mergeCell ref="A13:A15"/>
    <mergeCell ref="B13:B14"/>
    <mergeCell ref="C13:C14"/>
    <mergeCell ref="D13:D14"/>
    <mergeCell ref="E13:E14"/>
    <mergeCell ref="F13:F14"/>
    <mergeCell ref="G13:G14"/>
  </mergeCells>
  <conditionalFormatting sqref="I47">
    <cfRule type="cellIs" dxfId="56" priority="5" operator="lessThan">
      <formula>0</formula>
    </cfRule>
  </conditionalFormatting>
  <conditionalFormatting sqref="Y16:Y39">
    <cfRule type="containsText" dxfId="55" priority="3" operator="containsText" text="STBY">
      <formula>NOT(ISERROR(SEARCH("STBY",Y16)))</formula>
    </cfRule>
    <cfRule type="containsText" dxfId="54" priority="4" operator="containsText" text="SD">
      <formula>NOT(ISERROR(SEARCH("SD",Y16)))</formula>
    </cfRule>
  </conditionalFormatting>
  <conditionalFormatting sqref="B16:B39 D16:R39">
    <cfRule type="expression" dxfId="53" priority="2">
      <formula>ISTEXT(B16)</formula>
    </cfRule>
  </conditionalFormatting>
  <conditionalFormatting sqref="C16:C39">
    <cfRule type="expression" dxfId="52" priority="1">
      <formula>ISTEXT(C16)</formula>
    </cfRule>
  </conditionalFormatting>
  <dataValidations count="2">
    <dataValidation type="list" allowBlank="1" showInputMessage="1" showErrorMessage="1" sqref="Y16:Y39" xr:uid="{B472BAE4-01F7-4544-9C17-51F5A33DE8FD}">
      <formula1>"SD,STBY"</formula1>
    </dataValidation>
    <dataValidation type="list" allowBlank="1" showInputMessage="1" sqref="AD16:AD39" xr:uid="{434CC9E0-DE4F-44E2-B922-D461972277B3}">
      <formula1>$AH$15:$AH$72</formula1>
    </dataValidation>
  </dataValidations>
  <printOptions horizontalCentered="1"/>
  <pageMargins left="0.39370078740157483" right="0.39370078740157483" top="0.59055118110236227" bottom="0.39370078740157483" header="0.31496062992125984" footer="0.31496062992125984"/>
  <pageSetup paperSize="9" scale="57" orientation="landscape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50CF8-CE9B-4C05-8E14-8DEE23CE41F2}">
  <sheetPr codeName="N21">
    <pageSetUpPr fitToPage="1"/>
  </sheetPr>
  <dimension ref="A1:BC94"/>
  <sheetViews>
    <sheetView topLeftCell="A16" zoomScale="85" zoomScaleNormal="85" workbookViewId="0">
      <selection activeCell="L31" sqref="L31"/>
    </sheetView>
  </sheetViews>
  <sheetFormatPr defaultColWidth="0" defaultRowHeight="0" customHeight="1" zeroHeight="1" x14ac:dyDescent="0.25"/>
  <cols>
    <col min="1" max="1" width="10.7109375" style="7" customWidth="1"/>
    <col min="2" max="3" width="10.7109375" style="7" hidden="1" customWidth="1"/>
    <col min="4" max="14" width="10.7109375" style="7" customWidth="1"/>
    <col min="15" max="17" width="11.7109375" style="7" customWidth="1"/>
    <col min="18" max="18" width="10.7109375" style="7" hidden="1" customWidth="1"/>
    <col min="19" max="22" width="10.7109375" style="7" customWidth="1"/>
    <col min="23" max="23" width="2.7109375" style="7" customWidth="1"/>
    <col min="24" max="29" width="10.7109375" style="7" customWidth="1"/>
    <col min="30" max="30" width="30.7109375" style="7" customWidth="1"/>
    <col min="31" max="33" width="11.7109375" style="7" customWidth="1"/>
    <col min="34" max="34" width="30.7109375" style="7" customWidth="1"/>
    <col min="35" max="35" width="2.7109375" style="7" hidden="1" customWidth="1"/>
    <col min="36" max="55" width="11.7109375" style="7" hidden="1" customWidth="1"/>
    <col min="56" max="16384" width="9.140625" style="7" hidden="1"/>
  </cols>
  <sheetData>
    <row r="1" spans="1:55" ht="15" customHeight="1" x14ac:dyDescent="0.25">
      <c r="A1" s="7" t="s">
        <v>16</v>
      </c>
      <c r="D1" s="11" t="s">
        <v>85</v>
      </c>
      <c r="J1" s="7" t="str">
        <f>IF(MR!U13="Yes","PRINT","No")</f>
        <v>PRINT</v>
      </c>
      <c r="M1" s="191"/>
      <c r="N1" s="191"/>
    </row>
    <row r="2" spans="1:55" ht="15" customHeight="1" thickBot="1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192"/>
      <c r="M2" s="4"/>
      <c r="N2" s="4"/>
      <c r="O2" s="4"/>
      <c r="P2" s="4"/>
      <c r="Q2" s="4"/>
      <c r="R2" s="4"/>
      <c r="S2" s="8"/>
      <c r="T2" s="8"/>
      <c r="U2" s="8"/>
      <c r="V2" s="8"/>
      <c r="X2" s="8"/>
      <c r="Y2" s="8"/>
      <c r="Z2" s="8"/>
      <c r="AA2" s="8"/>
      <c r="AB2" s="8"/>
      <c r="AC2" s="8"/>
      <c r="AD2" s="8"/>
      <c r="AE2" s="8"/>
    </row>
    <row r="3" spans="1:55" ht="15" customHeight="1" x14ac:dyDescent="0.2">
      <c r="A3" s="31"/>
      <c r="B3" s="28"/>
      <c r="C3" s="28"/>
      <c r="D3" s="28"/>
      <c r="E3" s="28"/>
      <c r="F3" s="13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2"/>
      <c r="T3" s="22"/>
      <c r="U3" s="22"/>
      <c r="V3" s="23"/>
      <c r="X3" s="8"/>
      <c r="Y3" s="8"/>
      <c r="Z3" s="8"/>
      <c r="AA3" s="8"/>
      <c r="AB3" s="8"/>
      <c r="AC3" s="8"/>
      <c r="AD3" s="8"/>
      <c r="AE3" s="8"/>
    </row>
    <row r="4" spans="1:55" ht="30" customHeight="1" x14ac:dyDescent="0.25">
      <c r="A4" s="30"/>
      <c r="B4" s="1"/>
      <c r="C4" s="1"/>
      <c r="D4" s="1"/>
      <c r="E4" s="3"/>
      <c r="F4" s="63" t="s">
        <v>210</v>
      </c>
      <c r="G4" s="1"/>
      <c r="H4" s="1"/>
      <c r="I4" s="3"/>
      <c r="J4" s="3"/>
      <c r="K4" s="3"/>
      <c r="L4" s="3"/>
      <c r="M4" s="3"/>
      <c r="N4" s="3"/>
      <c r="O4" s="3"/>
      <c r="P4" s="3"/>
      <c r="Q4" s="3"/>
      <c r="R4" s="3"/>
      <c r="S4" s="1"/>
      <c r="T4" s="1"/>
      <c r="U4" s="1"/>
      <c r="V4" s="2"/>
      <c r="X4" s="5"/>
      <c r="Y4" s="5"/>
      <c r="Z4" s="5"/>
      <c r="AA4" s="5"/>
      <c r="AB4" s="5"/>
      <c r="AC4" s="5"/>
      <c r="AD4" s="5"/>
      <c r="AE4" s="5"/>
    </row>
    <row r="5" spans="1:55" ht="15" customHeight="1" x14ac:dyDescent="0.2">
      <c r="A5" s="32"/>
      <c r="B5" s="33"/>
      <c r="C5" s="33"/>
      <c r="D5" s="12"/>
      <c r="E5" s="3"/>
      <c r="F5" s="10" t="s">
        <v>129</v>
      </c>
      <c r="G5" s="1"/>
      <c r="H5" s="1"/>
      <c r="I5" s="3"/>
      <c r="J5" s="3"/>
      <c r="K5" s="3"/>
      <c r="L5" s="3"/>
      <c r="M5" s="3"/>
      <c r="N5" s="3"/>
      <c r="O5" s="3"/>
      <c r="P5" s="3"/>
      <c r="Q5" s="3"/>
      <c r="R5" s="3"/>
      <c r="S5" s="12"/>
      <c r="T5" s="12"/>
      <c r="U5" s="12"/>
      <c r="V5" s="14"/>
      <c r="X5" s="8"/>
      <c r="Y5" s="8"/>
      <c r="Z5" s="8"/>
      <c r="AA5" s="8"/>
      <c r="AB5" s="8"/>
      <c r="AC5" s="8"/>
      <c r="AD5" s="8"/>
      <c r="AE5" s="8"/>
      <c r="AJ5" s="193" t="s">
        <v>184</v>
      </c>
      <c r="AK5" s="194">
        <f>'V Calc'!B1</f>
        <v>500</v>
      </c>
      <c r="AL5" s="124"/>
    </row>
    <row r="6" spans="1:55" ht="15" customHeight="1" x14ac:dyDescent="0.2">
      <c r="A6" s="32"/>
      <c r="B6" s="33"/>
      <c r="C6" s="33"/>
      <c r="D6" s="12"/>
      <c r="E6" s="3"/>
      <c r="F6" s="10" t="s">
        <v>132</v>
      </c>
      <c r="G6" s="1"/>
      <c r="H6" s="1"/>
      <c r="I6" s="3"/>
      <c r="J6" s="3"/>
      <c r="K6" s="3"/>
      <c r="L6" s="3"/>
      <c r="M6" s="3"/>
      <c r="N6" s="3"/>
      <c r="O6" s="3"/>
      <c r="P6" s="3"/>
      <c r="Q6" s="3"/>
      <c r="R6" s="3"/>
      <c r="S6" s="12"/>
      <c r="T6" s="12"/>
      <c r="U6" s="12"/>
      <c r="V6" s="14"/>
      <c r="X6" s="8"/>
      <c r="Y6" s="8"/>
      <c r="Z6" s="8"/>
      <c r="AA6" s="8"/>
      <c r="AB6" s="8"/>
      <c r="AC6" s="8"/>
      <c r="AD6" s="8"/>
      <c r="AE6" s="8"/>
      <c r="AJ6" s="193" t="s">
        <v>185</v>
      </c>
      <c r="AK6" s="194">
        <f>'V Calc'!B2</f>
        <v>100</v>
      </c>
      <c r="AL6" s="124"/>
    </row>
    <row r="7" spans="1:55" ht="15" customHeight="1" x14ac:dyDescent="0.2">
      <c r="A7" s="32"/>
      <c r="B7" s="33"/>
      <c r="C7" s="33"/>
      <c r="D7" s="12"/>
      <c r="E7" s="3"/>
      <c r="F7" s="10" t="s">
        <v>130</v>
      </c>
      <c r="G7" s="1"/>
      <c r="H7" s="1"/>
      <c r="I7" s="3"/>
      <c r="J7" s="3"/>
      <c r="K7" s="3"/>
      <c r="L7" s="3"/>
      <c r="M7" s="3"/>
      <c r="N7" s="3"/>
      <c r="O7" s="3"/>
      <c r="P7" s="3"/>
      <c r="Q7" s="3"/>
      <c r="R7" s="3"/>
      <c r="S7" s="12"/>
      <c r="T7" s="12"/>
      <c r="U7" s="12"/>
      <c r="V7" s="14"/>
      <c r="X7" s="8"/>
      <c r="Y7" s="8"/>
      <c r="Z7" s="8"/>
      <c r="AA7" s="8"/>
      <c r="AB7" s="8"/>
      <c r="AC7" s="8"/>
      <c r="AD7" s="8"/>
      <c r="AE7" s="8"/>
      <c r="AJ7" s="193" t="s">
        <v>186</v>
      </c>
      <c r="AK7" s="195">
        <f>'V Calc'!B3</f>
        <v>2</v>
      </c>
      <c r="AL7" s="124"/>
    </row>
    <row r="8" spans="1:55" ht="15" customHeight="1" x14ac:dyDescent="0.2">
      <c r="A8" s="32"/>
      <c r="B8" s="33"/>
      <c r="C8" s="33"/>
      <c r="D8" s="12"/>
      <c r="E8" s="3"/>
      <c r="F8" s="10" t="s">
        <v>131</v>
      </c>
      <c r="G8" s="62"/>
      <c r="H8" s="62"/>
      <c r="I8" s="3"/>
      <c r="J8" s="3"/>
      <c r="K8" s="3"/>
      <c r="L8" s="3"/>
      <c r="M8" s="3"/>
      <c r="N8" s="3"/>
      <c r="O8" s="3"/>
      <c r="P8" s="3"/>
      <c r="Q8" s="3"/>
      <c r="R8" s="3"/>
      <c r="S8" s="12"/>
      <c r="T8" s="12"/>
      <c r="U8" s="12"/>
      <c r="V8" s="14"/>
      <c r="X8" s="8"/>
      <c r="Y8" s="8"/>
      <c r="Z8" s="8"/>
      <c r="AA8" s="8"/>
      <c r="AB8" s="8"/>
      <c r="AC8" s="8"/>
      <c r="AD8" s="8"/>
      <c r="AE8" s="8"/>
      <c r="AJ8" s="193" t="s">
        <v>187</v>
      </c>
      <c r="AK8" s="195">
        <f>'V Calc'!B4</f>
        <v>0.875</v>
      </c>
      <c r="AL8" s="124"/>
    </row>
    <row r="9" spans="1:55" ht="15" customHeight="1" thickBot="1" x14ac:dyDescent="0.25">
      <c r="A9" s="34"/>
      <c r="B9" s="29"/>
      <c r="C9" s="29"/>
      <c r="D9" s="29"/>
      <c r="E9" s="29"/>
      <c r="F9" s="15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16"/>
      <c r="T9" s="16"/>
      <c r="U9" s="16"/>
      <c r="V9" s="17"/>
      <c r="X9" s="8"/>
      <c r="Y9" s="8"/>
      <c r="Z9" s="8"/>
      <c r="AA9" s="8"/>
      <c r="AB9" s="8"/>
      <c r="AC9" s="8"/>
      <c r="AD9" s="8"/>
      <c r="AE9" s="8"/>
      <c r="AJ9" s="196" t="s">
        <v>188</v>
      </c>
      <c r="AK9" s="197">
        <f>'V Calc'!B5</f>
        <v>158.47</v>
      </c>
      <c r="AL9" s="198"/>
    </row>
    <row r="10" spans="1:55" s="9" customFormat="1" ht="30" customHeight="1" x14ac:dyDescent="0.2">
      <c r="A10" s="513" t="s">
        <v>20</v>
      </c>
      <c r="B10" s="514"/>
      <c r="C10" s="514"/>
      <c r="D10" s="514"/>
      <c r="E10" s="514"/>
      <c r="F10" s="514"/>
      <c r="G10" s="514"/>
      <c r="H10" s="514"/>
      <c r="I10" s="514"/>
      <c r="J10" s="514"/>
      <c r="K10" s="514"/>
      <c r="L10" s="514"/>
      <c r="M10" s="514"/>
      <c r="N10" s="514"/>
      <c r="O10" s="514"/>
      <c r="P10" s="514"/>
      <c r="Q10" s="514"/>
      <c r="R10" s="514"/>
      <c r="S10" s="514"/>
      <c r="T10" s="514"/>
      <c r="U10" s="514"/>
      <c r="V10" s="515"/>
      <c r="X10" s="96"/>
      <c r="Y10" s="96"/>
      <c r="Z10" s="96"/>
      <c r="AA10" s="96"/>
      <c r="AB10" s="96"/>
      <c r="AC10" s="96"/>
      <c r="AJ10" s="193" t="s">
        <v>189</v>
      </c>
      <c r="AK10" s="199">
        <f>'V Calc'!B6</f>
        <v>0.63607464142166403</v>
      </c>
      <c r="AL10" s="198" t="s">
        <v>190</v>
      </c>
    </row>
    <row r="11" spans="1:55" s="9" customFormat="1" ht="20.100000000000001" customHeight="1" thickBot="1" x14ac:dyDescent="0.25">
      <c r="A11" s="516" t="s">
        <v>21</v>
      </c>
      <c r="B11" s="517"/>
      <c r="C11" s="517"/>
      <c r="D11" s="517"/>
      <c r="E11" s="517"/>
      <c r="F11" s="517"/>
      <c r="G11" s="517"/>
      <c r="H11" s="517"/>
      <c r="I11" s="517"/>
      <c r="J11" s="517"/>
      <c r="K11" s="517"/>
      <c r="L11" s="517"/>
      <c r="M11" s="517"/>
      <c r="N11" s="517"/>
      <c r="O11" s="517"/>
      <c r="P11" s="517"/>
      <c r="Q11" s="517"/>
      <c r="R11" s="517"/>
      <c r="S11" s="517"/>
      <c r="T11" s="517"/>
      <c r="U11" s="517"/>
      <c r="V11" s="518"/>
      <c r="X11" s="97"/>
      <c r="Y11" s="97"/>
      <c r="Z11" s="97"/>
      <c r="AA11" s="97"/>
      <c r="AB11" s="97"/>
      <c r="AC11" s="97"/>
    </row>
    <row r="12" spans="1:55" s="6" customFormat="1" ht="30" customHeight="1" thickBot="1" x14ac:dyDescent="0.3">
      <c r="A12" s="18"/>
      <c r="B12" s="20"/>
      <c r="C12" s="20"/>
      <c r="D12" s="19" t="s">
        <v>121</v>
      </c>
      <c r="E12" s="200" t="str">
        <f>'Day 20'!E12</f>
        <v>MPR 632  RFD</v>
      </c>
      <c r="F12" s="35"/>
      <c r="G12" s="19" t="s">
        <v>120</v>
      </c>
      <c r="H12" s="200" t="str">
        <f>IF(Volume!C$24="","",Volume!C$24)</f>
        <v>FP 65354</v>
      </c>
      <c r="I12" s="20"/>
      <c r="J12" s="19" t="s">
        <v>17</v>
      </c>
      <c r="K12" s="505">
        <f>'Day 20'!K12+1</f>
        <v>45829</v>
      </c>
      <c r="L12" s="505"/>
      <c r="M12" s="100"/>
      <c r="N12" s="19" t="s">
        <v>119</v>
      </c>
      <c r="O12" s="200" t="str">
        <f>IF(Volume!D$24="","",Volume!D$24)</f>
        <v>SP. Tambun - Cluster F</v>
      </c>
      <c r="P12" s="20"/>
      <c r="Q12" s="19" t="s">
        <v>122</v>
      </c>
      <c r="S12" s="201">
        <f>IF(Volume!E$24="","",Volume!E$24)</f>
        <v>1.25</v>
      </c>
      <c r="T12" s="20"/>
      <c r="U12" s="19" t="s">
        <v>126</v>
      </c>
      <c r="V12" s="202" t="str">
        <f>IF(Volume!F$24="","",Volume!F$24)</f>
        <v>4/0</v>
      </c>
    </row>
    <row r="13" spans="1:55" ht="30" customHeight="1" thickBot="1" x14ac:dyDescent="0.3">
      <c r="A13" s="502" t="s">
        <v>0</v>
      </c>
      <c r="B13" s="502" t="s">
        <v>213</v>
      </c>
      <c r="C13" s="502" t="s">
        <v>212</v>
      </c>
      <c r="D13" s="502" t="s">
        <v>31</v>
      </c>
      <c r="E13" s="502" t="s">
        <v>32</v>
      </c>
      <c r="F13" s="502" t="s">
        <v>2</v>
      </c>
      <c r="G13" s="502" t="s">
        <v>33</v>
      </c>
      <c r="H13" s="502" t="s">
        <v>35</v>
      </c>
      <c r="I13" s="502" t="s">
        <v>36</v>
      </c>
      <c r="J13" s="502" t="s">
        <v>110</v>
      </c>
      <c r="K13" s="502" t="s">
        <v>15</v>
      </c>
      <c r="L13" s="502" t="s">
        <v>34</v>
      </c>
      <c r="M13" s="502" t="s">
        <v>10</v>
      </c>
      <c r="N13" s="502"/>
      <c r="O13" s="506" t="s">
        <v>300</v>
      </c>
      <c r="P13" s="506" t="s">
        <v>299</v>
      </c>
      <c r="Q13" s="502" t="s">
        <v>7</v>
      </c>
      <c r="R13" s="502" t="s">
        <v>88</v>
      </c>
      <c r="S13" s="502" t="s">
        <v>8</v>
      </c>
      <c r="T13" s="502"/>
      <c r="U13" s="502"/>
      <c r="V13" s="502"/>
      <c r="X13" s="98"/>
      <c r="Y13" s="98"/>
      <c r="Z13" s="98"/>
      <c r="AA13" s="98"/>
      <c r="AB13" s="98"/>
      <c r="AC13" s="98"/>
    </row>
    <row r="14" spans="1:55" ht="30" customHeight="1" x14ac:dyDescent="0.25">
      <c r="A14" s="504"/>
      <c r="B14" s="504"/>
      <c r="C14" s="504"/>
      <c r="D14" s="504"/>
      <c r="E14" s="504"/>
      <c r="F14" s="504"/>
      <c r="G14" s="504"/>
      <c r="H14" s="504"/>
      <c r="I14" s="504"/>
      <c r="J14" s="504"/>
      <c r="K14" s="504"/>
      <c r="L14" s="504"/>
      <c r="M14" s="94" t="s">
        <v>3</v>
      </c>
      <c r="N14" s="94" t="s">
        <v>4</v>
      </c>
      <c r="O14" s="507"/>
      <c r="P14" s="507"/>
      <c r="Q14" s="504"/>
      <c r="R14" s="504"/>
      <c r="S14" s="504"/>
      <c r="T14" s="504"/>
      <c r="U14" s="504"/>
      <c r="V14" s="504"/>
      <c r="Y14" s="502" t="s">
        <v>230</v>
      </c>
      <c r="Z14" s="502"/>
      <c r="AA14" s="502"/>
      <c r="AB14" s="502"/>
      <c r="AC14" s="502"/>
      <c r="AD14" s="502" t="s">
        <v>231</v>
      </c>
      <c r="AH14" s="203" t="s">
        <v>232</v>
      </c>
      <c r="AJ14" s="520" t="s">
        <v>191</v>
      </c>
      <c r="AK14" s="520" t="s">
        <v>192</v>
      </c>
      <c r="AL14" s="520" t="s">
        <v>193</v>
      </c>
      <c r="AM14" s="520" t="s">
        <v>194</v>
      </c>
      <c r="AN14" s="520" t="s">
        <v>195</v>
      </c>
      <c r="AO14" s="506" t="s">
        <v>196</v>
      </c>
      <c r="AP14" s="506" t="s">
        <v>197</v>
      </c>
      <c r="AQ14" s="506" t="s">
        <v>198</v>
      </c>
      <c r="AR14" s="506" t="s">
        <v>188</v>
      </c>
      <c r="AS14" s="506" t="s">
        <v>199</v>
      </c>
      <c r="AT14" s="506" t="s">
        <v>200</v>
      </c>
      <c r="AU14" s="506" t="s">
        <v>201</v>
      </c>
      <c r="AV14" s="506" t="s">
        <v>202</v>
      </c>
      <c r="AW14" s="506" t="s">
        <v>203</v>
      </c>
      <c r="AX14" s="506" t="s">
        <v>204</v>
      </c>
      <c r="AY14" s="523" t="s">
        <v>205</v>
      </c>
      <c r="AZ14" s="523" t="s">
        <v>206</v>
      </c>
      <c r="BA14" s="523" t="s">
        <v>207</v>
      </c>
      <c r="BB14" s="523" t="s">
        <v>208</v>
      </c>
      <c r="BC14" s="506" t="s">
        <v>197</v>
      </c>
    </row>
    <row r="15" spans="1:55" ht="20.100000000000001" customHeight="1" thickBot="1" x14ac:dyDescent="0.3">
      <c r="A15" s="503"/>
      <c r="B15" s="95" t="s">
        <v>1</v>
      </c>
      <c r="C15" s="95" t="s">
        <v>1</v>
      </c>
      <c r="D15" s="95" t="s">
        <v>1</v>
      </c>
      <c r="E15" s="95" t="s">
        <v>1</v>
      </c>
      <c r="F15" s="95" t="s">
        <v>140</v>
      </c>
      <c r="G15" s="95" t="s">
        <v>1</v>
      </c>
      <c r="H15" s="95" t="s">
        <v>1</v>
      </c>
      <c r="I15" s="95" t="s">
        <v>1</v>
      </c>
      <c r="J15" s="95" t="s">
        <v>18</v>
      </c>
      <c r="K15" s="95" t="s">
        <v>9</v>
      </c>
      <c r="L15" s="95" t="s">
        <v>5</v>
      </c>
      <c r="M15" s="95" t="s">
        <v>5</v>
      </c>
      <c r="N15" s="95" t="s">
        <v>5</v>
      </c>
      <c r="O15" s="95" t="s">
        <v>1</v>
      </c>
      <c r="P15" s="95" t="s">
        <v>14</v>
      </c>
      <c r="Q15" s="95" t="str">
        <f>IF(MR!G17="MSCF","MSCFD","MMSCFD")</f>
        <v>MSCFD</v>
      </c>
      <c r="R15" s="95" t="str">
        <f>MR!L17</f>
        <v>BPD</v>
      </c>
      <c r="S15" s="503"/>
      <c r="T15" s="503"/>
      <c r="U15" s="503"/>
      <c r="V15" s="503"/>
      <c r="X15" s="365"/>
      <c r="Y15" s="95" t="s">
        <v>123</v>
      </c>
      <c r="Z15" s="95" t="s">
        <v>124</v>
      </c>
      <c r="AA15" s="95" t="s">
        <v>125</v>
      </c>
      <c r="AB15" s="95" t="s">
        <v>51</v>
      </c>
      <c r="AC15" s="95" t="s">
        <v>48</v>
      </c>
      <c r="AD15" s="503"/>
      <c r="AH15" s="204" t="s">
        <v>228</v>
      </c>
      <c r="AJ15" s="521"/>
      <c r="AK15" s="521"/>
      <c r="AL15" s="521"/>
      <c r="AM15" s="521"/>
      <c r="AN15" s="521"/>
      <c r="AO15" s="522"/>
      <c r="AP15" s="522"/>
      <c r="AQ15" s="522"/>
      <c r="AR15" s="522"/>
      <c r="AS15" s="522"/>
      <c r="AT15" s="522"/>
      <c r="AU15" s="522"/>
      <c r="AV15" s="522"/>
      <c r="AW15" s="522"/>
      <c r="AX15" s="522"/>
      <c r="AY15" s="524"/>
      <c r="AZ15" s="524"/>
      <c r="BA15" s="524"/>
      <c r="BB15" s="524"/>
      <c r="BC15" s="522"/>
    </row>
    <row r="16" spans="1:55" ht="20.100000000000001" customHeight="1" x14ac:dyDescent="0.2">
      <c r="A16" s="44">
        <v>4.1666666666666664E-2</v>
      </c>
      <c r="B16" s="450"/>
      <c r="C16" s="450"/>
      <c r="D16" s="450">
        <v>5.3</v>
      </c>
      <c r="E16" s="450">
        <v>56.3</v>
      </c>
      <c r="F16" s="40">
        <v>1946</v>
      </c>
      <c r="G16" s="36">
        <v>-5.6</v>
      </c>
      <c r="H16" s="36">
        <v>72.099999999999994</v>
      </c>
      <c r="I16" s="36">
        <v>22.6</v>
      </c>
      <c r="J16" s="40">
        <v>560</v>
      </c>
      <c r="K16" s="36">
        <v>13</v>
      </c>
      <c r="L16" s="450">
        <v>137</v>
      </c>
      <c r="M16" s="450">
        <v>221</v>
      </c>
      <c r="N16" s="450">
        <v>90</v>
      </c>
      <c r="O16" s="352">
        <v>40</v>
      </c>
      <c r="P16" s="352">
        <v>14</v>
      </c>
      <c r="Q16" s="352">
        <v>246.42</v>
      </c>
      <c r="R16" s="36"/>
      <c r="S16" s="519" t="str">
        <f t="shared" ref="S16:S32" si="0">IF(Z16="",IF(AD16="","",AD16),CONCATENATE(TEXT(Z16,"[hh]:mm"),IF(AA16="",""," - "&amp;TEXT(AA16,"[hh]:mm")),IF(Y16="",""," "&amp;Y16&amp;"/")," "&amp;AD16))</f>
        <v/>
      </c>
      <c r="T16" s="519"/>
      <c r="U16" s="519"/>
      <c r="V16" s="519"/>
      <c r="X16" s="44">
        <v>4.1666666666666664E-2</v>
      </c>
      <c r="Y16" s="105"/>
      <c r="Z16" s="101"/>
      <c r="AA16" s="101"/>
      <c r="AB16" s="44" t="str">
        <f>IF(Y16="STBY",AA16-Z16,"")</f>
        <v/>
      </c>
      <c r="AC16" s="44" t="str">
        <f t="shared" ref="AC16:AC39" si="1">IF(Y16="SD",AA16-Z16,"")</f>
        <v/>
      </c>
      <c r="AD16" s="355"/>
      <c r="AE16" s="9" t="str">
        <f>IF(S16="","",IF(COUNTA(Z16:$Z$39)=1,IF(COUNTA(AD16:$AD$39)=1,""," ; "),IF(COUNTA(AD16:$AD$39)=1,IF(Z16="",""," ; ")," ; ")))</f>
        <v/>
      </c>
      <c r="AF16" s="9" t="str">
        <f t="shared" ref="AF16:AF39" si="2">CONCATENATE(S16,AE16)</f>
        <v/>
      </c>
      <c r="AG16" s="90" t="str">
        <f t="shared" ref="AG16:AG39" si="3">IF(AND(COUNTBLANK(N16:P16)&lt;3,Q16=""),"CEK : Data Flowrate","")</f>
        <v/>
      </c>
      <c r="AH16" s="204" t="s">
        <v>229</v>
      </c>
      <c r="AJ16" s="205">
        <f>AK5</f>
        <v>500</v>
      </c>
      <c r="AK16" s="205">
        <f>AK6</f>
        <v>100</v>
      </c>
      <c r="AL16" s="206">
        <f>AK7</f>
        <v>2</v>
      </c>
      <c r="AM16" s="207">
        <f>AK8</f>
        <v>0.875</v>
      </c>
      <c r="AN16" s="208">
        <f>AK10</f>
        <v>0.63607464142166403</v>
      </c>
      <c r="AO16" s="209">
        <f t="shared" ref="AO16:AO39" si="4">T16^2*AJ16/100-14.7</f>
        <v>-14.7</v>
      </c>
      <c r="AP16" s="210">
        <f t="shared" ref="AP16:AP39" si="5">IF(AO16&lt;100,1,BC16)</f>
        <v>1</v>
      </c>
      <c r="AQ16" s="210">
        <f t="shared" ref="AQ16:AQ39" si="6">(1/AP16)^0.5</f>
        <v>1</v>
      </c>
      <c r="AR16" s="52">
        <f>AK9</f>
        <v>158.47</v>
      </c>
      <c r="AS16" s="210">
        <f t="shared" ref="AS16:AS39" si="7">(520/(460+N16))^0.5</f>
        <v>0.9723448696087954</v>
      </c>
      <c r="AT16" s="210">
        <f t="shared" ref="AT16:AT39" si="8">(1/AN16)^0.5</f>
        <v>1.2538510821608391</v>
      </c>
      <c r="AU16" s="210">
        <f t="shared" ref="AU16:AU39" si="9">0.01*(AJ16*AK16)^0.5</f>
        <v>2.2360679774997898</v>
      </c>
      <c r="AV16" s="211">
        <f t="shared" ref="AV16:AV39" si="10">0.024*AQ16*AR16*AS16*AT16*AU16</f>
        <v>10.368348541764712</v>
      </c>
      <c r="AW16" s="210">
        <f t="shared" ref="AW16:AW39" si="11">(AO16+14.7)/(697.2-43*AN16)</f>
        <v>0</v>
      </c>
      <c r="AX16" s="212">
        <f t="shared" ref="AX16:AX39" si="12">(N16+460)/(315.1*AN16+170.4)</f>
        <v>1.4831709199797398</v>
      </c>
      <c r="AY16" s="210">
        <f t="shared" ref="AY16:AY39" si="13">0.3379*LN(LN(AX16))+1.091</f>
        <v>0.77643477842613629</v>
      </c>
      <c r="AZ16" s="211">
        <f t="shared" ref="AZ16:AZ39" si="14">21.46*AY16-11.9*AY16^2-5.9</f>
        <v>3.5883638597441294</v>
      </c>
      <c r="BA16" s="210">
        <f t="shared" ref="BA16:BA39" si="15">AW16/AZ16</f>
        <v>0</v>
      </c>
      <c r="BB16" s="210">
        <f t="shared" ref="BB16:BB39" si="16">(1.1+0.26*AX16+(1.04-1.42*AX16)*BA16)*2.718^BA16/AX16</f>
        <v>1.0016542390239327</v>
      </c>
      <c r="BC16" s="210">
        <f t="shared" ref="BC16:BC39" si="17">1+(AY16-1)*SIN((90*BA16)/57.29578)^BB16</f>
        <v>1</v>
      </c>
    </row>
    <row r="17" spans="1:55" ht="20.100000000000001" customHeight="1" x14ac:dyDescent="0.2">
      <c r="A17" s="45">
        <v>8.3333333333333301E-2</v>
      </c>
      <c r="B17" s="451"/>
      <c r="C17" s="451"/>
      <c r="D17" s="451">
        <v>6.6</v>
      </c>
      <c r="E17" s="451">
        <v>58.1</v>
      </c>
      <c r="F17" s="41">
        <v>1922</v>
      </c>
      <c r="G17" s="37">
        <v>-5.6</v>
      </c>
      <c r="H17" s="37">
        <v>72.599999999999994</v>
      </c>
      <c r="I17" s="37">
        <v>22.4</v>
      </c>
      <c r="J17" s="41">
        <v>561</v>
      </c>
      <c r="K17" s="37">
        <v>13</v>
      </c>
      <c r="L17" s="451">
        <v>130</v>
      </c>
      <c r="M17" s="451">
        <v>220</v>
      </c>
      <c r="N17" s="451">
        <v>90</v>
      </c>
      <c r="O17" s="353">
        <v>40</v>
      </c>
      <c r="P17" s="353">
        <v>14</v>
      </c>
      <c r="Q17" s="353">
        <v>246.42</v>
      </c>
      <c r="R17" s="37"/>
      <c r="S17" s="508" t="str">
        <f t="shared" si="0"/>
        <v/>
      </c>
      <c r="T17" s="508"/>
      <c r="U17" s="508"/>
      <c r="V17" s="508"/>
      <c r="X17" s="45">
        <v>8.3333333333333301E-2</v>
      </c>
      <c r="Y17" s="106"/>
      <c r="Z17" s="102"/>
      <c r="AA17" s="102"/>
      <c r="AB17" s="45" t="str">
        <f t="shared" ref="AB17:AB39" si="18">IF(Y17="STBY",AA17-Z17,"")</f>
        <v/>
      </c>
      <c r="AC17" s="45" t="str">
        <f t="shared" si="1"/>
        <v/>
      </c>
      <c r="AD17" s="81"/>
      <c r="AE17" s="9" t="str">
        <f>IF(S17="","",IF(COUNTA(Z17:$Z$39)=1,IF(COUNTA(AD17:$AD$39)=1,""," ; "),IF(COUNTA(AD17:$AD$39)=1,IF(Z17="",""," ; ")," ; ")))</f>
        <v/>
      </c>
      <c r="AF17" s="9" t="str">
        <f t="shared" si="2"/>
        <v/>
      </c>
      <c r="AG17" s="90" t="str">
        <f t="shared" si="3"/>
        <v/>
      </c>
      <c r="AH17" s="204" t="s">
        <v>289</v>
      </c>
      <c r="AJ17" s="206">
        <f t="shared" ref="AJ17:AN32" si="19">AJ16</f>
        <v>500</v>
      </c>
      <c r="AK17" s="206">
        <f t="shared" si="19"/>
        <v>100</v>
      </c>
      <c r="AL17" s="206">
        <f>AL16</f>
        <v>2</v>
      </c>
      <c r="AM17" s="213">
        <f>AM16</f>
        <v>0.875</v>
      </c>
      <c r="AN17" s="214">
        <f>AN16</f>
        <v>0.63607464142166403</v>
      </c>
      <c r="AO17" s="215">
        <f t="shared" si="4"/>
        <v>-14.7</v>
      </c>
      <c r="AP17" s="216">
        <f t="shared" si="5"/>
        <v>1</v>
      </c>
      <c r="AQ17" s="216">
        <f t="shared" si="6"/>
        <v>1</v>
      </c>
      <c r="AR17" s="215">
        <f>AR16</f>
        <v>158.47</v>
      </c>
      <c r="AS17" s="216">
        <f t="shared" si="7"/>
        <v>0.9723448696087954</v>
      </c>
      <c r="AT17" s="216">
        <f t="shared" si="8"/>
        <v>1.2538510821608391</v>
      </c>
      <c r="AU17" s="216">
        <f t="shared" si="9"/>
        <v>2.2360679774997898</v>
      </c>
      <c r="AV17" s="217">
        <f t="shared" si="10"/>
        <v>10.368348541764712</v>
      </c>
      <c r="AW17" s="216">
        <f t="shared" si="11"/>
        <v>0</v>
      </c>
      <c r="AX17" s="218">
        <f t="shared" si="12"/>
        <v>1.4831709199797398</v>
      </c>
      <c r="AY17" s="216">
        <f t="shared" si="13"/>
        <v>0.77643477842613629</v>
      </c>
      <c r="AZ17" s="217">
        <f t="shared" si="14"/>
        <v>3.5883638597441294</v>
      </c>
      <c r="BA17" s="216">
        <f t="shared" si="15"/>
        <v>0</v>
      </c>
      <c r="BB17" s="216">
        <f t="shared" si="16"/>
        <v>1.0016542390239327</v>
      </c>
      <c r="BC17" s="216">
        <f t="shared" si="17"/>
        <v>1</v>
      </c>
    </row>
    <row r="18" spans="1:55" ht="20.100000000000001" customHeight="1" x14ac:dyDescent="0.2">
      <c r="A18" s="45">
        <v>0.125</v>
      </c>
      <c r="B18" s="451"/>
      <c r="C18" s="451"/>
      <c r="D18" s="451">
        <v>5.8</v>
      </c>
      <c r="E18" s="451">
        <v>66.2</v>
      </c>
      <c r="F18" s="41">
        <v>1937</v>
      </c>
      <c r="G18" s="37">
        <v>-5.6</v>
      </c>
      <c r="H18" s="37">
        <v>72.400000000000006</v>
      </c>
      <c r="I18" s="37">
        <v>22.6</v>
      </c>
      <c r="J18" s="41">
        <v>562</v>
      </c>
      <c r="K18" s="37">
        <v>13</v>
      </c>
      <c r="L18" s="451">
        <v>131</v>
      </c>
      <c r="M18" s="451">
        <v>220</v>
      </c>
      <c r="N18" s="451">
        <v>90</v>
      </c>
      <c r="O18" s="353">
        <v>40</v>
      </c>
      <c r="P18" s="353">
        <v>14</v>
      </c>
      <c r="Q18" s="353">
        <v>246.42</v>
      </c>
      <c r="R18" s="37"/>
      <c r="S18" s="508" t="str">
        <f t="shared" si="0"/>
        <v/>
      </c>
      <c r="T18" s="508"/>
      <c r="U18" s="508"/>
      <c r="V18" s="508"/>
      <c r="X18" s="45">
        <v>0.125</v>
      </c>
      <c r="Y18" s="106"/>
      <c r="Z18" s="102"/>
      <c r="AA18" s="102"/>
      <c r="AB18" s="45" t="str">
        <f t="shared" si="18"/>
        <v/>
      </c>
      <c r="AC18" s="45" t="str">
        <f t="shared" si="1"/>
        <v/>
      </c>
      <c r="AD18" s="81"/>
      <c r="AE18" s="9" t="str">
        <f>IF(S18="","",IF(COUNTA(Z18:$Z$39)=1,IF(COUNTA(AD18:$AD$39)=1,""," ; "),IF(COUNTA(AD18:$AD$39)=1,IF(Z18="",""," ; ")," ; ")))</f>
        <v/>
      </c>
      <c r="AF18" s="9" t="str">
        <f t="shared" si="2"/>
        <v/>
      </c>
      <c r="AG18" s="90" t="str">
        <f t="shared" si="3"/>
        <v/>
      </c>
      <c r="AH18" s="204" t="s">
        <v>321</v>
      </c>
      <c r="AJ18" s="206">
        <f t="shared" si="19"/>
        <v>500</v>
      </c>
      <c r="AK18" s="206">
        <f t="shared" si="19"/>
        <v>100</v>
      </c>
      <c r="AL18" s="206">
        <f t="shared" si="19"/>
        <v>2</v>
      </c>
      <c r="AM18" s="213">
        <f t="shared" si="19"/>
        <v>0.875</v>
      </c>
      <c r="AN18" s="214">
        <f t="shared" si="19"/>
        <v>0.63607464142166403</v>
      </c>
      <c r="AO18" s="215">
        <f t="shared" si="4"/>
        <v>-14.7</v>
      </c>
      <c r="AP18" s="216">
        <f t="shared" si="5"/>
        <v>1</v>
      </c>
      <c r="AQ18" s="216">
        <f t="shared" si="6"/>
        <v>1</v>
      </c>
      <c r="AR18" s="215">
        <f t="shared" ref="AR18:AR39" si="20">AR17</f>
        <v>158.47</v>
      </c>
      <c r="AS18" s="216">
        <f t="shared" si="7"/>
        <v>0.9723448696087954</v>
      </c>
      <c r="AT18" s="216">
        <f t="shared" si="8"/>
        <v>1.2538510821608391</v>
      </c>
      <c r="AU18" s="216">
        <f t="shared" si="9"/>
        <v>2.2360679774997898</v>
      </c>
      <c r="AV18" s="217">
        <f t="shared" si="10"/>
        <v>10.368348541764712</v>
      </c>
      <c r="AW18" s="216">
        <f t="shared" si="11"/>
        <v>0</v>
      </c>
      <c r="AX18" s="218">
        <f t="shared" si="12"/>
        <v>1.4831709199797398</v>
      </c>
      <c r="AY18" s="216">
        <f t="shared" si="13"/>
        <v>0.77643477842613629</v>
      </c>
      <c r="AZ18" s="217">
        <f t="shared" si="14"/>
        <v>3.5883638597441294</v>
      </c>
      <c r="BA18" s="216">
        <f t="shared" si="15"/>
        <v>0</v>
      </c>
      <c r="BB18" s="216">
        <f t="shared" si="16"/>
        <v>1.0016542390239327</v>
      </c>
      <c r="BC18" s="216">
        <f t="shared" si="17"/>
        <v>1</v>
      </c>
    </row>
    <row r="19" spans="1:55" ht="20.100000000000001" customHeight="1" x14ac:dyDescent="0.2">
      <c r="A19" s="45">
        <v>0.16666666666666699</v>
      </c>
      <c r="B19" s="451"/>
      <c r="C19" s="451"/>
      <c r="D19" s="451">
        <v>7.1</v>
      </c>
      <c r="E19" s="451">
        <v>63.7</v>
      </c>
      <c r="F19" s="41">
        <v>1927</v>
      </c>
      <c r="G19" s="37">
        <v>-5.6</v>
      </c>
      <c r="H19" s="37">
        <v>72.2</v>
      </c>
      <c r="I19" s="37">
        <v>22.1</v>
      </c>
      <c r="J19" s="41">
        <v>563</v>
      </c>
      <c r="K19" s="37">
        <v>13</v>
      </c>
      <c r="L19" s="451">
        <v>134</v>
      </c>
      <c r="M19" s="451">
        <v>225</v>
      </c>
      <c r="N19" s="451">
        <v>90</v>
      </c>
      <c r="O19" s="353">
        <v>40</v>
      </c>
      <c r="P19" s="353">
        <v>14</v>
      </c>
      <c r="Q19" s="353">
        <v>246.42</v>
      </c>
      <c r="R19" s="37"/>
      <c r="S19" s="508" t="str">
        <f t="shared" si="0"/>
        <v/>
      </c>
      <c r="T19" s="508"/>
      <c r="U19" s="508"/>
      <c r="V19" s="508"/>
      <c r="X19" s="45">
        <v>0.16666666666666699</v>
      </c>
      <c r="Y19" s="106"/>
      <c r="Z19" s="102"/>
      <c r="AA19" s="102"/>
      <c r="AB19" s="45" t="str">
        <f t="shared" si="18"/>
        <v/>
      </c>
      <c r="AC19" s="45" t="str">
        <f t="shared" si="1"/>
        <v/>
      </c>
      <c r="AD19" s="81"/>
      <c r="AE19" s="9" t="str">
        <f>IF(S19="","",IF(COUNTA(Z19:$Z$39)=1,IF(COUNTA(AD19:$AD$39)=1,""," ; "),IF(COUNTA(AD19:$AD$39)=1,IF(Z19="",""," ; ")," ; ")))</f>
        <v/>
      </c>
      <c r="AF19" s="9" t="str">
        <f t="shared" si="2"/>
        <v/>
      </c>
      <c r="AG19" s="90" t="str">
        <f t="shared" si="3"/>
        <v/>
      </c>
      <c r="AH19" s="204" t="s">
        <v>272</v>
      </c>
      <c r="AJ19" s="206">
        <f t="shared" si="19"/>
        <v>500</v>
      </c>
      <c r="AK19" s="206">
        <f t="shared" si="19"/>
        <v>100</v>
      </c>
      <c r="AL19" s="206">
        <f t="shared" si="19"/>
        <v>2</v>
      </c>
      <c r="AM19" s="213">
        <f t="shared" si="19"/>
        <v>0.875</v>
      </c>
      <c r="AN19" s="214">
        <f t="shared" si="19"/>
        <v>0.63607464142166403</v>
      </c>
      <c r="AO19" s="215">
        <f t="shared" si="4"/>
        <v>-14.7</v>
      </c>
      <c r="AP19" s="216">
        <f t="shared" si="5"/>
        <v>1</v>
      </c>
      <c r="AQ19" s="216">
        <f t="shared" si="6"/>
        <v>1</v>
      </c>
      <c r="AR19" s="215">
        <f t="shared" si="20"/>
        <v>158.47</v>
      </c>
      <c r="AS19" s="216">
        <f t="shared" si="7"/>
        <v>0.9723448696087954</v>
      </c>
      <c r="AT19" s="216">
        <f t="shared" si="8"/>
        <v>1.2538510821608391</v>
      </c>
      <c r="AU19" s="216">
        <f t="shared" si="9"/>
        <v>2.2360679774997898</v>
      </c>
      <c r="AV19" s="217">
        <f t="shared" si="10"/>
        <v>10.368348541764712</v>
      </c>
      <c r="AW19" s="216">
        <f t="shared" si="11"/>
        <v>0</v>
      </c>
      <c r="AX19" s="218">
        <f t="shared" si="12"/>
        <v>1.4831709199797398</v>
      </c>
      <c r="AY19" s="216">
        <f t="shared" si="13"/>
        <v>0.77643477842613629</v>
      </c>
      <c r="AZ19" s="217">
        <f t="shared" si="14"/>
        <v>3.5883638597441294</v>
      </c>
      <c r="BA19" s="216">
        <f t="shared" si="15"/>
        <v>0</v>
      </c>
      <c r="BB19" s="216">
        <f t="shared" si="16"/>
        <v>1.0016542390239327</v>
      </c>
      <c r="BC19" s="216">
        <f t="shared" si="17"/>
        <v>1</v>
      </c>
    </row>
    <row r="20" spans="1:55" ht="20.100000000000001" customHeight="1" x14ac:dyDescent="0.2">
      <c r="A20" s="45">
        <v>0.20833333333333301</v>
      </c>
      <c r="B20" s="451"/>
      <c r="C20" s="451"/>
      <c r="D20" s="451">
        <v>7.2</v>
      </c>
      <c r="E20" s="451">
        <v>58.6</v>
      </c>
      <c r="F20" s="41">
        <v>1946</v>
      </c>
      <c r="G20" s="37">
        <v>-5.6</v>
      </c>
      <c r="H20" s="37">
        <v>72</v>
      </c>
      <c r="I20" s="37">
        <v>22</v>
      </c>
      <c r="J20" s="41">
        <v>564</v>
      </c>
      <c r="K20" s="37">
        <v>13</v>
      </c>
      <c r="L20" s="451">
        <v>137</v>
      </c>
      <c r="M20" s="451">
        <v>225</v>
      </c>
      <c r="N20" s="451">
        <v>90</v>
      </c>
      <c r="O20" s="353">
        <v>40</v>
      </c>
      <c r="P20" s="353">
        <v>14</v>
      </c>
      <c r="Q20" s="353">
        <v>246.42</v>
      </c>
      <c r="R20" s="37"/>
      <c r="S20" s="508" t="str">
        <f t="shared" si="0"/>
        <v/>
      </c>
      <c r="T20" s="508"/>
      <c r="U20" s="508"/>
      <c r="V20" s="508"/>
      <c r="X20" s="45">
        <v>0.20833333333333301</v>
      </c>
      <c r="Y20" s="106"/>
      <c r="Z20" s="102"/>
      <c r="AA20" s="102"/>
      <c r="AB20" s="45" t="str">
        <f t="shared" si="18"/>
        <v/>
      </c>
      <c r="AC20" s="45" t="str">
        <f t="shared" si="1"/>
        <v/>
      </c>
      <c r="AD20" s="81"/>
      <c r="AE20" s="9" t="str">
        <f>IF(S20="","",IF(COUNTA(Z20:$Z$39)=1,IF(COUNTA(AD20:$AD$39)=1,""," ; "),IF(COUNTA(AD20:$AD$39)=1,IF(Z20="",""," ; ")," ; ")))</f>
        <v/>
      </c>
      <c r="AF20" s="9" t="str">
        <f t="shared" si="2"/>
        <v/>
      </c>
      <c r="AG20" s="90" t="str">
        <f t="shared" si="3"/>
        <v/>
      </c>
      <c r="AH20" s="204" t="s">
        <v>275</v>
      </c>
      <c r="AJ20" s="206">
        <f t="shared" si="19"/>
        <v>500</v>
      </c>
      <c r="AK20" s="206">
        <f t="shared" si="19"/>
        <v>100</v>
      </c>
      <c r="AL20" s="206">
        <f t="shared" si="19"/>
        <v>2</v>
      </c>
      <c r="AM20" s="213">
        <f t="shared" si="19"/>
        <v>0.875</v>
      </c>
      <c r="AN20" s="214">
        <f t="shared" si="19"/>
        <v>0.63607464142166403</v>
      </c>
      <c r="AO20" s="215">
        <f t="shared" si="4"/>
        <v>-14.7</v>
      </c>
      <c r="AP20" s="216">
        <f t="shared" si="5"/>
        <v>1</v>
      </c>
      <c r="AQ20" s="216">
        <f t="shared" si="6"/>
        <v>1</v>
      </c>
      <c r="AR20" s="215">
        <f t="shared" si="20"/>
        <v>158.47</v>
      </c>
      <c r="AS20" s="216">
        <f t="shared" si="7"/>
        <v>0.9723448696087954</v>
      </c>
      <c r="AT20" s="216">
        <f t="shared" si="8"/>
        <v>1.2538510821608391</v>
      </c>
      <c r="AU20" s="216">
        <f t="shared" si="9"/>
        <v>2.2360679774997898</v>
      </c>
      <c r="AV20" s="217">
        <f t="shared" si="10"/>
        <v>10.368348541764712</v>
      </c>
      <c r="AW20" s="216">
        <f t="shared" si="11"/>
        <v>0</v>
      </c>
      <c r="AX20" s="218">
        <f t="shared" si="12"/>
        <v>1.4831709199797398</v>
      </c>
      <c r="AY20" s="216">
        <f t="shared" si="13"/>
        <v>0.77643477842613629</v>
      </c>
      <c r="AZ20" s="217">
        <f t="shared" si="14"/>
        <v>3.5883638597441294</v>
      </c>
      <c r="BA20" s="216">
        <f t="shared" si="15"/>
        <v>0</v>
      </c>
      <c r="BB20" s="216">
        <f t="shared" si="16"/>
        <v>1.0016542390239327</v>
      </c>
      <c r="BC20" s="216">
        <f t="shared" si="17"/>
        <v>1</v>
      </c>
    </row>
    <row r="21" spans="1:55" ht="20.100000000000001" customHeight="1" x14ac:dyDescent="0.2">
      <c r="A21" s="45">
        <v>0.25</v>
      </c>
      <c r="B21" s="451"/>
      <c r="C21" s="451"/>
      <c r="D21" s="451">
        <v>5.9</v>
      </c>
      <c r="E21" s="451">
        <v>60.1</v>
      </c>
      <c r="F21" s="41">
        <v>1968</v>
      </c>
      <c r="G21" s="37">
        <v>-5.6</v>
      </c>
      <c r="H21" s="37">
        <v>72.099999999999994</v>
      </c>
      <c r="I21" s="37">
        <v>22.4</v>
      </c>
      <c r="J21" s="41">
        <v>565</v>
      </c>
      <c r="K21" s="37">
        <v>13</v>
      </c>
      <c r="L21" s="451">
        <v>132</v>
      </c>
      <c r="M21" s="451">
        <v>220</v>
      </c>
      <c r="N21" s="451">
        <v>90</v>
      </c>
      <c r="O21" s="353">
        <v>40</v>
      </c>
      <c r="P21" s="353">
        <v>14</v>
      </c>
      <c r="Q21" s="353">
        <v>246.42</v>
      </c>
      <c r="R21" s="37"/>
      <c r="S21" s="508" t="str">
        <f t="shared" si="0"/>
        <v/>
      </c>
      <c r="T21" s="508"/>
      <c r="U21" s="508"/>
      <c r="V21" s="508"/>
      <c r="X21" s="45">
        <v>0.25</v>
      </c>
      <c r="Y21" s="106"/>
      <c r="Z21" s="102"/>
      <c r="AA21" s="102"/>
      <c r="AB21" s="45" t="str">
        <f t="shared" si="18"/>
        <v/>
      </c>
      <c r="AC21" s="45" t="str">
        <f t="shared" si="1"/>
        <v/>
      </c>
      <c r="AD21" s="81"/>
      <c r="AE21" s="9" t="str">
        <f>IF(S21="","",IF(COUNTA(Z21:$Z$39)=1,IF(COUNTA(AD21:$AD$39)=1,""," ; "),IF(COUNTA(AD21:$AD$39)=1,IF(Z21="",""," ; ")," ; ")))</f>
        <v/>
      </c>
      <c r="AF21" s="9" t="str">
        <f t="shared" si="2"/>
        <v/>
      </c>
      <c r="AG21" s="90" t="str">
        <f t="shared" si="3"/>
        <v/>
      </c>
      <c r="AH21" s="204" t="s">
        <v>322</v>
      </c>
      <c r="AJ21" s="206">
        <f t="shared" si="19"/>
        <v>500</v>
      </c>
      <c r="AK21" s="206">
        <f t="shared" si="19"/>
        <v>100</v>
      </c>
      <c r="AL21" s="206">
        <f t="shared" si="19"/>
        <v>2</v>
      </c>
      <c r="AM21" s="213">
        <f t="shared" si="19"/>
        <v>0.875</v>
      </c>
      <c r="AN21" s="214">
        <f t="shared" si="19"/>
        <v>0.63607464142166403</v>
      </c>
      <c r="AO21" s="215">
        <f t="shared" si="4"/>
        <v>-14.7</v>
      </c>
      <c r="AP21" s="216">
        <f t="shared" si="5"/>
        <v>1</v>
      </c>
      <c r="AQ21" s="216">
        <f t="shared" si="6"/>
        <v>1</v>
      </c>
      <c r="AR21" s="215">
        <f t="shared" si="20"/>
        <v>158.47</v>
      </c>
      <c r="AS21" s="216">
        <f t="shared" si="7"/>
        <v>0.9723448696087954</v>
      </c>
      <c r="AT21" s="216">
        <f t="shared" si="8"/>
        <v>1.2538510821608391</v>
      </c>
      <c r="AU21" s="216">
        <f t="shared" si="9"/>
        <v>2.2360679774997898</v>
      </c>
      <c r="AV21" s="217">
        <f t="shared" si="10"/>
        <v>10.368348541764712</v>
      </c>
      <c r="AW21" s="216">
        <f t="shared" si="11"/>
        <v>0</v>
      </c>
      <c r="AX21" s="218">
        <f t="shared" si="12"/>
        <v>1.4831709199797398</v>
      </c>
      <c r="AY21" s="216">
        <f t="shared" si="13"/>
        <v>0.77643477842613629</v>
      </c>
      <c r="AZ21" s="217">
        <f t="shared" si="14"/>
        <v>3.5883638597441294</v>
      </c>
      <c r="BA21" s="216">
        <f t="shared" si="15"/>
        <v>0</v>
      </c>
      <c r="BB21" s="216">
        <f t="shared" si="16"/>
        <v>1.0016542390239327</v>
      </c>
      <c r="BC21" s="216">
        <f t="shared" si="17"/>
        <v>1</v>
      </c>
    </row>
    <row r="22" spans="1:55" ht="20.100000000000001" customHeight="1" x14ac:dyDescent="0.2">
      <c r="A22" s="45">
        <v>0.29166666666666702</v>
      </c>
      <c r="B22" s="451"/>
      <c r="C22" s="451"/>
      <c r="D22" s="451">
        <v>5.7</v>
      </c>
      <c r="E22" s="451">
        <v>58.7</v>
      </c>
      <c r="F22" s="41">
        <v>1944</v>
      </c>
      <c r="G22" s="37">
        <v>-5.6</v>
      </c>
      <c r="H22" s="37">
        <v>72.400000000000006</v>
      </c>
      <c r="I22" s="37">
        <v>22.7</v>
      </c>
      <c r="J22" s="41">
        <v>566</v>
      </c>
      <c r="K22" s="37">
        <v>13</v>
      </c>
      <c r="L22" s="451">
        <v>136</v>
      </c>
      <c r="M22" s="451">
        <v>220</v>
      </c>
      <c r="N22" s="451">
        <v>90</v>
      </c>
      <c r="O22" s="353">
        <v>40</v>
      </c>
      <c r="P22" s="353">
        <v>15</v>
      </c>
      <c r="Q22" s="353">
        <v>255</v>
      </c>
      <c r="R22" s="37"/>
      <c r="S22" s="508" t="str">
        <f t="shared" si="0"/>
        <v/>
      </c>
      <c r="T22" s="508"/>
      <c r="U22" s="508"/>
      <c r="V22" s="508"/>
      <c r="X22" s="45">
        <v>0.29166666666666702</v>
      </c>
      <c r="Y22" s="106"/>
      <c r="Z22" s="102"/>
      <c r="AA22" s="102"/>
      <c r="AB22" s="45" t="str">
        <f t="shared" si="18"/>
        <v/>
      </c>
      <c r="AC22" s="45" t="str">
        <f t="shared" si="1"/>
        <v/>
      </c>
      <c r="AD22" s="81"/>
      <c r="AE22" s="9" t="str">
        <f>IF(S22="","",IF(COUNTA(Z22:$Z$39)=1,IF(COUNTA(AD22:$AD$39)=1,""," ; "),IF(COUNTA(AD22:$AD$39)=1,IF(Z22="",""," ; ")," ; ")))</f>
        <v/>
      </c>
      <c r="AF22" s="9" t="str">
        <f t="shared" si="2"/>
        <v/>
      </c>
      <c r="AG22" s="90" t="str">
        <f t="shared" si="3"/>
        <v/>
      </c>
      <c r="AH22" s="204" t="s">
        <v>279</v>
      </c>
      <c r="AJ22" s="206">
        <f t="shared" si="19"/>
        <v>500</v>
      </c>
      <c r="AK22" s="206">
        <f t="shared" si="19"/>
        <v>100</v>
      </c>
      <c r="AL22" s="206">
        <f t="shared" si="19"/>
        <v>2</v>
      </c>
      <c r="AM22" s="213">
        <f t="shared" si="19"/>
        <v>0.875</v>
      </c>
      <c r="AN22" s="214">
        <f t="shared" si="19"/>
        <v>0.63607464142166403</v>
      </c>
      <c r="AO22" s="215">
        <f t="shared" si="4"/>
        <v>-14.7</v>
      </c>
      <c r="AP22" s="216">
        <f t="shared" si="5"/>
        <v>1</v>
      </c>
      <c r="AQ22" s="216">
        <f t="shared" si="6"/>
        <v>1</v>
      </c>
      <c r="AR22" s="215">
        <f t="shared" si="20"/>
        <v>158.47</v>
      </c>
      <c r="AS22" s="216">
        <f t="shared" si="7"/>
        <v>0.9723448696087954</v>
      </c>
      <c r="AT22" s="216">
        <f t="shared" si="8"/>
        <v>1.2538510821608391</v>
      </c>
      <c r="AU22" s="216">
        <f t="shared" si="9"/>
        <v>2.2360679774997898</v>
      </c>
      <c r="AV22" s="217">
        <f t="shared" si="10"/>
        <v>10.368348541764712</v>
      </c>
      <c r="AW22" s="216">
        <f t="shared" si="11"/>
        <v>0</v>
      </c>
      <c r="AX22" s="218">
        <f t="shared" si="12"/>
        <v>1.4831709199797398</v>
      </c>
      <c r="AY22" s="216">
        <f t="shared" si="13"/>
        <v>0.77643477842613629</v>
      </c>
      <c r="AZ22" s="217">
        <f t="shared" si="14"/>
        <v>3.5883638597441294</v>
      </c>
      <c r="BA22" s="216">
        <f t="shared" si="15"/>
        <v>0</v>
      </c>
      <c r="BB22" s="216">
        <f t="shared" si="16"/>
        <v>1.0016542390239327</v>
      </c>
      <c r="BC22" s="216">
        <f t="shared" si="17"/>
        <v>1</v>
      </c>
    </row>
    <row r="23" spans="1:55" ht="20.100000000000001" customHeight="1" x14ac:dyDescent="0.2">
      <c r="A23" s="45">
        <v>0.33333333333333298</v>
      </c>
      <c r="B23" s="451"/>
      <c r="C23" s="451"/>
      <c r="D23" s="451">
        <v>7.6</v>
      </c>
      <c r="E23" s="451">
        <v>61.3</v>
      </c>
      <c r="F23" s="41">
        <v>1960</v>
      </c>
      <c r="G23" s="37">
        <v>-5.6</v>
      </c>
      <c r="H23" s="37">
        <v>72.5</v>
      </c>
      <c r="I23" s="37">
        <v>22.1</v>
      </c>
      <c r="J23" s="41">
        <v>567</v>
      </c>
      <c r="K23" s="37">
        <v>13</v>
      </c>
      <c r="L23" s="451">
        <v>128</v>
      </c>
      <c r="M23" s="451">
        <v>222</v>
      </c>
      <c r="N23" s="451">
        <v>90</v>
      </c>
      <c r="O23" s="353">
        <v>40</v>
      </c>
      <c r="P23" s="353">
        <v>13</v>
      </c>
      <c r="Q23" s="353">
        <v>237.53</v>
      </c>
      <c r="R23" s="37"/>
      <c r="S23" s="508" t="str">
        <f t="shared" si="0"/>
        <v/>
      </c>
      <c r="T23" s="508"/>
      <c r="U23" s="508"/>
      <c r="V23" s="508"/>
      <c r="X23" s="45">
        <v>0.33333333333333298</v>
      </c>
      <c r="Y23" s="106"/>
      <c r="Z23" s="102"/>
      <c r="AA23" s="102"/>
      <c r="AB23" s="45" t="str">
        <f t="shared" si="18"/>
        <v/>
      </c>
      <c r="AC23" s="45" t="str">
        <f t="shared" si="1"/>
        <v/>
      </c>
      <c r="AD23" s="81"/>
      <c r="AE23" s="9" t="str">
        <f>IF(S23="","",IF(COUNTA(Z23:$Z$39)=1,IF(COUNTA(AD23:$AD$39)=1,""," ; "),IF(COUNTA(AD23:$AD$39)=1,IF(Z23="",""," ; ")," ; ")))</f>
        <v/>
      </c>
      <c r="AF23" s="9" t="str">
        <f t="shared" si="2"/>
        <v/>
      </c>
      <c r="AG23" s="90" t="str">
        <f t="shared" si="3"/>
        <v/>
      </c>
      <c r="AH23" s="204" t="s">
        <v>274</v>
      </c>
      <c r="AJ23" s="206">
        <f t="shared" si="19"/>
        <v>500</v>
      </c>
      <c r="AK23" s="206">
        <f t="shared" si="19"/>
        <v>100</v>
      </c>
      <c r="AL23" s="206">
        <f t="shared" si="19"/>
        <v>2</v>
      </c>
      <c r="AM23" s="213">
        <f t="shared" si="19"/>
        <v>0.875</v>
      </c>
      <c r="AN23" s="214">
        <f t="shared" si="19"/>
        <v>0.63607464142166403</v>
      </c>
      <c r="AO23" s="215">
        <f t="shared" si="4"/>
        <v>-14.7</v>
      </c>
      <c r="AP23" s="216">
        <f t="shared" si="5"/>
        <v>1</v>
      </c>
      <c r="AQ23" s="216">
        <f t="shared" si="6"/>
        <v>1</v>
      </c>
      <c r="AR23" s="215">
        <f t="shared" si="20"/>
        <v>158.47</v>
      </c>
      <c r="AS23" s="216">
        <f t="shared" si="7"/>
        <v>0.9723448696087954</v>
      </c>
      <c r="AT23" s="216">
        <f t="shared" si="8"/>
        <v>1.2538510821608391</v>
      </c>
      <c r="AU23" s="216">
        <f t="shared" si="9"/>
        <v>2.2360679774997898</v>
      </c>
      <c r="AV23" s="217">
        <f t="shared" si="10"/>
        <v>10.368348541764712</v>
      </c>
      <c r="AW23" s="216">
        <f t="shared" si="11"/>
        <v>0</v>
      </c>
      <c r="AX23" s="218">
        <f t="shared" si="12"/>
        <v>1.4831709199797398</v>
      </c>
      <c r="AY23" s="216">
        <f t="shared" si="13"/>
        <v>0.77643477842613629</v>
      </c>
      <c r="AZ23" s="217">
        <f t="shared" si="14"/>
        <v>3.5883638597441294</v>
      </c>
      <c r="BA23" s="216">
        <f t="shared" si="15"/>
        <v>0</v>
      </c>
      <c r="BB23" s="216">
        <f t="shared" si="16"/>
        <v>1.0016542390239327</v>
      </c>
      <c r="BC23" s="216">
        <f t="shared" si="17"/>
        <v>1</v>
      </c>
    </row>
    <row r="24" spans="1:55" ht="20.100000000000001" customHeight="1" x14ac:dyDescent="0.2">
      <c r="A24" s="45">
        <v>0.375</v>
      </c>
      <c r="B24" s="451"/>
      <c r="C24" s="451"/>
      <c r="D24" s="451">
        <v>7.5</v>
      </c>
      <c r="E24" s="451">
        <v>61.6</v>
      </c>
      <c r="F24" s="41">
        <v>1935</v>
      </c>
      <c r="G24" s="37">
        <v>-5.6</v>
      </c>
      <c r="H24" s="37">
        <v>72.5</v>
      </c>
      <c r="I24" s="37">
        <v>22.32</v>
      </c>
      <c r="J24" s="41">
        <v>568</v>
      </c>
      <c r="K24" s="37">
        <v>13</v>
      </c>
      <c r="L24" s="451">
        <v>128</v>
      </c>
      <c r="M24" s="451">
        <v>222</v>
      </c>
      <c r="N24" s="451">
        <v>90</v>
      </c>
      <c r="O24" s="353">
        <v>40</v>
      </c>
      <c r="P24" s="353">
        <v>14</v>
      </c>
      <c r="Q24" s="353">
        <v>246.42</v>
      </c>
      <c r="R24" s="37"/>
      <c r="S24" s="508" t="str">
        <f t="shared" si="0"/>
        <v/>
      </c>
      <c r="T24" s="508"/>
      <c r="U24" s="508"/>
      <c r="V24" s="508"/>
      <c r="X24" s="45">
        <v>0.375</v>
      </c>
      <c r="Y24" s="106"/>
      <c r="Z24" s="102"/>
      <c r="AA24" s="102"/>
      <c r="AB24" s="45" t="str">
        <f t="shared" si="18"/>
        <v/>
      </c>
      <c r="AC24" s="45" t="str">
        <f t="shared" si="1"/>
        <v/>
      </c>
      <c r="AD24" s="81"/>
      <c r="AE24" s="9" t="str">
        <f>IF(S24="","",IF(COUNTA(Z24:$Z$39)=1,IF(COUNTA(AD24:$AD$39)=1,""," ; "),IF(COUNTA(AD24:$AD$39)=1,IF(Z24="",""," ; ")," ; ")))</f>
        <v/>
      </c>
      <c r="AF24" s="9" t="str">
        <f t="shared" si="2"/>
        <v/>
      </c>
      <c r="AG24" s="90" t="str">
        <f t="shared" si="3"/>
        <v/>
      </c>
      <c r="AH24" s="204" t="s">
        <v>307</v>
      </c>
      <c r="AJ24" s="206">
        <f t="shared" si="19"/>
        <v>500</v>
      </c>
      <c r="AK24" s="206">
        <f t="shared" si="19"/>
        <v>100</v>
      </c>
      <c r="AL24" s="206">
        <f t="shared" si="19"/>
        <v>2</v>
      </c>
      <c r="AM24" s="213">
        <f t="shared" si="19"/>
        <v>0.875</v>
      </c>
      <c r="AN24" s="214">
        <f t="shared" si="19"/>
        <v>0.63607464142166403</v>
      </c>
      <c r="AO24" s="215">
        <f t="shared" si="4"/>
        <v>-14.7</v>
      </c>
      <c r="AP24" s="216">
        <f t="shared" si="5"/>
        <v>1</v>
      </c>
      <c r="AQ24" s="216">
        <f t="shared" si="6"/>
        <v>1</v>
      </c>
      <c r="AR24" s="215">
        <f t="shared" si="20"/>
        <v>158.47</v>
      </c>
      <c r="AS24" s="216">
        <f t="shared" si="7"/>
        <v>0.9723448696087954</v>
      </c>
      <c r="AT24" s="216">
        <f t="shared" si="8"/>
        <v>1.2538510821608391</v>
      </c>
      <c r="AU24" s="216">
        <f t="shared" si="9"/>
        <v>2.2360679774997898</v>
      </c>
      <c r="AV24" s="217">
        <f t="shared" si="10"/>
        <v>10.368348541764712</v>
      </c>
      <c r="AW24" s="216">
        <f t="shared" si="11"/>
        <v>0</v>
      </c>
      <c r="AX24" s="218">
        <f t="shared" si="12"/>
        <v>1.4831709199797398</v>
      </c>
      <c r="AY24" s="216">
        <f t="shared" si="13"/>
        <v>0.77643477842613629</v>
      </c>
      <c r="AZ24" s="217">
        <f t="shared" si="14"/>
        <v>3.5883638597441294</v>
      </c>
      <c r="BA24" s="216">
        <f t="shared" si="15"/>
        <v>0</v>
      </c>
      <c r="BB24" s="216">
        <f t="shared" si="16"/>
        <v>1.0016542390239327</v>
      </c>
      <c r="BC24" s="216">
        <f t="shared" si="17"/>
        <v>1</v>
      </c>
    </row>
    <row r="25" spans="1:55" ht="20.100000000000001" customHeight="1" x14ac:dyDescent="0.2">
      <c r="A25" s="45">
        <v>0.41666666666666702</v>
      </c>
      <c r="B25" s="451"/>
      <c r="C25" s="451"/>
      <c r="D25" s="451">
        <v>6.3</v>
      </c>
      <c r="E25" s="451">
        <v>60.9</v>
      </c>
      <c r="F25" s="41">
        <v>1930</v>
      </c>
      <c r="G25" s="37">
        <v>-5.6</v>
      </c>
      <c r="H25" s="37">
        <v>72.099999999999994</v>
      </c>
      <c r="I25" s="37">
        <v>22.6</v>
      </c>
      <c r="J25" s="41">
        <v>569</v>
      </c>
      <c r="K25" s="37">
        <v>13</v>
      </c>
      <c r="L25" s="451">
        <v>130</v>
      </c>
      <c r="M25" s="451">
        <v>225</v>
      </c>
      <c r="N25" s="451">
        <v>90</v>
      </c>
      <c r="O25" s="353">
        <v>40</v>
      </c>
      <c r="P25" s="353">
        <v>13</v>
      </c>
      <c r="Q25" s="353">
        <v>237.53</v>
      </c>
      <c r="R25" s="37"/>
      <c r="S25" s="508" t="str">
        <f t="shared" si="0"/>
        <v/>
      </c>
      <c r="T25" s="508"/>
      <c r="U25" s="508"/>
      <c r="V25" s="508"/>
      <c r="X25" s="45">
        <v>0.41666666666666702</v>
      </c>
      <c r="Y25" s="106"/>
      <c r="Z25" s="102"/>
      <c r="AA25" s="102"/>
      <c r="AB25" s="45" t="str">
        <f t="shared" si="18"/>
        <v/>
      </c>
      <c r="AC25" s="45" t="str">
        <f t="shared" si="1"/>
        <v/>
      </c>
      <c r="AD25" s="81"/>
      <c r="AE25" s="9" t="str">
        <f>IF(S25="","",IF(COUNTA(Z25:$Z$39)=1,IF(COUNTA(AD25:$AD$39)=1,""," ; "),IF(COUNTA(AD25:$AD$39)=1,IF(Z25="",""," ; ")," ; ")))</f>
        <v/>
      </c>
      <c r="AF25" s="9" t="str">
        <f t="shared" si="2"/>
        <v/>
      </c>
      <c r="AG25" s="90" t="str">
        <f t="shared" si="3"/>
        <v/>
      </c>
      <c r="AH25" s="204" t="s">
        <v>225</v>
      </c>
      <c r="AJ25" s="206">
        <f t="shared" si="19"/>
        <v>500</v>
      </c>
      <c r="AK25" s="206">
        <f t="shared" si="19"/>
        <v>100</v>
      </c>
      <c r="AL25" s="206">
        <f t="shared" si="19"/>
        <v>2</v>
      </c>
      <c r="AM25" s="213">
        <f t="shared" si="19"/>
        <v>0.875</v>
      </c>
      <c r="AN25" s="214">
        <f t="shared" si="19"/>
        <v>0.63607464142166403</v>
      </c>
      <c r="AO25" s="215">
        <f t="shared" si="4"/>
        <v>-14.7</v>
      </c>
      <c r="AP25" s="216">
        <f t="shared" si="5"/>
        <v>1</v>
      </c>
      <c r="AQ25" s="216">
        <f t="shared" si="6"/>
        <v>1</v>
      </c>
      <c r="AR25" s="215">
        <f t="shared" si="20"/>
        <v>158.47</v>
      </c>
      <c r="AS25" s="216">
        <f t="shared" si="7"/>
        <v>0.9723448696087954</v>
      </c>
      <c r="AT25" s="216">
        <f t="shared" si="8"/>
        <v>1.2538510821608391</v>
      </c>
      <c r="AU25" s="216">
        <f t="shared" si="9"/>
        <v>2.2360679774997898</v>
      </c>
      <c r="AV25" s="217">
        <f t="shared" si="10"/>
        <v>10.368348541764712</v>
      </c>
      <c r="AW25" s="216">
        <f t="shared" si="11"/>
        <v>0</v>
      </c>
      <c r="AX25" s="218">
        <f t="shared" si="12"/>
        <v>1.4831709199797398</v>
      </c>
      <c r="AY25" s="216">
        <f t="shared" si="13"/>
        <v>0.77643477842613629</v>
      </c>
      <c r="AZ25" s="217">
        <f t="shared" si="14"/>
        <v>3.5883638597441294</v>
      </c>
      <c r="BA25" s="216">
        <f t="shared" si="15"/>
        <v>0</v>
      </c>
      <c r="BB25" s="216">
        <f t="shared" si="16"/>
        <v>1.0016542390239327</v>
      </c>
      <c r="BC25" s="216">
        <f t="shared" si="17"/>
        <v>1</v>
      </c>
    </row>
    <row r="26" spans="1:55" ht="20.100000000000001" customHeight="1" x14ac:dyDescent="0.2">
      <c r="A26" s="45">
        <v>0.45833333333333298</v>
      </c>
      <c r="B26" s="451"/>
      <c r="C26" s="451"/>
      <c r="D26" s="451">
        <v>6.9</v>
      </c>
      <c r="E26" s="451">
        <v>60.3</v>
      </c>
      <c r="F26" s="41">
        <v>1951</v>
      </c>
      <c r="G26" s="37">
        <v>-5.6</v>
      </c>
      <c r="H26" s="37">
        <v>72.3</v>
      </c>
      <c r="I26" s="37">
        <v>22.5</v>
      </c>
      <c r="J26" s="41">
        <v>570</v>
      </c>
      <c r="K26" s="37">
        <v>13</v>
      </c>
      <c r="L26" s="451">
        <v>130</v>
      </c>
      <c r="M26" s="451">
        <v>225</v>
      </c>
      <c r="N26" s="451">
        <v>90</v>
      </c>
      <c r="O26" s="353">
        <v>40</v>
      </c>
      <c r="P26" s="353">
        <v>13</v>
      </c>
      <c r="Q26" s="353">
        <v>237.53</v>
      </c>
      <c r="R26" s="37"/>
      <c r="S26" s="508" t="str">
        <f t="shared" si="0"/>
        <v/>
      </c>
      <c r="T26" s="508"/>
      <c r="U26" s="508"/>
      <c r="V26" s="508"/>
      <c r="X26" s="45">
        <v>0.45833333333333298</v>
      </c>
      <c r="Y26" s="106"/>
      <c r="Z26" s="102"/>
      <c r="AA26" s="102"/>
      <c r="AB26" s="45" t="str">
        <f t="shared" si="18"/>
        <v/>
      </c>
      <c r="AC26" s="45" t="str">
        <f t="shared" si="1"/>
        <v/>
      </c>
      <c r="AD26" s="81"/>
      <c r="AE26" s="9" t="str">
        <f>IF(S26="","",IF(COUNTA(Z26:$Z$39)=1,IF(COUNTA(AD26:$AD$39)=1,""," ; "),IF(COUNTA(AD26:$AD$39)=1,IF(Z26="",""," ; ")," ; ")))</f>
        <v/>
      </c>
      <c r="AF26" s="9" t="str">
        <f t="shared" si="2"/>
        <v/>
      </c>
      <c r="AG26" s="90" t="str">
        <f t="shared" si="3"/>
        <v/>
      </c>
      <c r="AH26" s="204" t="s">
        <v>287</v>
      </c>
      <c r="AJ26" s="206">
        <f t="shared" si="19"/>
        <v>500</v>
      </c>
      <c r="AK26" s="206">
        <f t="shared" si="19"/>
        <v>100</v>
      </c>
      <c r="AL26" s="206">
        <f t="shared" si="19"/>
        <v>2</v>
      </c>
      <c r="AM26" s="213">
        <f t="shared" si="19"/>
        <v>0.875</v>
      </c>
      <c r="AN26" s="214">
        <f t="shared" si="19"/>
        <v>0.63607464142166403</v>
      </c>
      <c r="AO26" s="215">
        <f t="shared" si="4"/>
        <v>-14.7</v>
      </c>
      <c r="AP26" s="216">
        <f t="shared" si="5"/>
        <v>1</v>
      </c>
      <c r="AQ26" s="216">
        <f t="shared" si="6"/>
        <v>1</v>
      </c>
      <c r="AR26" s="215">
        <f t="shared" si="20"/>
        <v>158.47</v>
      </c>
      <c r="AS26" s="216">
        <f t="shared" si="7"/>
        <v>0.9723448696087954</v>
      </c>
      <c r="AT26" s="216">
        <f t="shared" si="8"/>
        <v>1.2538510821608391</v>
      </c>
      <c r="AU26" s="216">
        <f t="shared" si="9"/>
        <v>2.2360679774997898</v>
      </c>
      <c r="AV26" s="217">
        <f t="shared" si="10"/>
        <v>10.368348541764712</v>
      </c>
      <c r="AW26" s="216">
        <f t="shared" si="11"/>
        <v>0</v>
      </c>
      <c r="AX26" s="218">
        <f t="shared" si="12"/>
        <v>1.4831709199797398</v>
      </c>
      <c r="AY26" s="216">
        <f t="shared" si="13"/>
        <v>0.77643477842613629</v>
      </c>
      <c r="AZ26" s="217">
        <f t="shared" si="14"/>
        <v>3.5883638597441294</v>
      </c>
      <c r="BA26" s="216">
        <f t="shared" si="15"/>
        <v>0</v>
      </c>
      <c r="BB26" s="216">
        <f t="shared" si="16"/>
        <v>1.0016542390239327</v>
      </c>
      <c r="BC26" s="216">
        <f t="shared" si="17"/>
        <v>1</v>
      </c>
    </row>
    <row r="27" spans="1:55" ht="20.100000000000001" customHeight="1" x14ac:dyDescent="0.2">
      <c r="A27" s="45">
        <v>0.5</v>
      </c>
      <c r="B27" s="451"/>
      <c r="C27" s="451"/>
      <c r="D27" s="451">
        <v>6.5</v>
      </c>
      <c r="E27" s="451">
        <v>58</v>
      </c>
      <c r="F27" s="41">
        <v>1965</v>
      </c>
      <c r="G27" s="37">
        <v>-5.6</v>
      </c>
      <c r="H27" s="37">
        <v>72.599999999999994</v>
      </c>
      <c r="I27" s="37">
        <v>22.8</v>
      </c>
      <c r="J27" s="41">
        <v>571</v>
      </c>
      <c r="K27" s="37">
        <v>13</v>
      </c>
      <c r="L27" s="451">
        <v>133</v>
      </c>
      <c r="M27" s="451">
        <v>228</v>
      </c>
      <c r="N27" s="451">
        <v>90</v>
      </c>
      <c r="O27" s="353">
        <v>40</v>
      </c>
      <c r="P27" s="353">
        <v>14</v>
      </c>
      <c r="Q27" s="353">
        <v>246.42</v>
      </c>
      <c r="R27" s="37"/>
      <c r="S27" s="508" t="str">
        <f t="shared" si="0"/>
        <v/>
      </c>
      <c r="T27" s="508"/>
      <c r="U27" s="508"/>
      <c r="V27" s="508"/>
      <c r="X27" s="45">
        <v>0.5</v>
      </c>
      <c r="Y27" s="106"/>
      <c r="Z27" s="102"/>
      <c r="AA27" s="102"/>
      <c r="AB27" s="45" t="str">
        <f t="shared" si="18"/>
        <v/>
      </c>
      <c r="AC27" s="45" t="str">
        <f t="shared" si="1"/>
        <v/>
      </c>
      <c r="AD27" s="81"/>
      <c r="AE27" s="9" t="str">
        <f>IF(S27="","",IF(COUNTA(Z27:$Z$39)=1,IF(COUNTA(AD27:$AD$39)=1,""," ; "),IF(COUNTA(AD27:$AD$39)=1,IF(Z27="",""," ; ")," ; ")))</f>
        <v/>
      </c>
      <c r="AF27" s="9" t="str">
        <f t="shared" si="2"/>
        <v/>
      </c>
      <c r="AG27" s="90" t="str">
        <f t="shared" si="3"/>
        <v/>
      </c>
      <c r="AH27" s="204" t="s">
        <v>276</v>
      </c>
      <c r="AJ27" s="206">
        <f t="shared" si="19"/>
        <v>500</v>
      </c>
      <c r="AK27" s="206">
        <f t="shared" si="19"/>
        <v>100</v>
      </c>
      <c r="AL27" s="206">
        <f t="shared" si="19"/>
        <v>2</v>
      </c>
      <c r="AM27" s="213">
        <f t="shared" si="19"/>
        <v>0.875</v>
      </c>
      <c r="AN27" s="214">
        <f t="shared" si="19"/>
        <v>0.63607464142166403</v>
      </c>
      <c r="AO27" s="215">
        <f t="shared" si="4"/>
        <v>-14.7</v>
      </c>
      <c r="AP27" s="216">
        <f t="shared" si="5"/>
        <v>1</v>
      </c>
      <c r="AQ27" s="216">
        <f t="shared" si="6"/>
        <v>1</v>
      </c>
      <c r="AR27" s="215">
        <f t="shared" si="20"/>
        <v>158.47</v>
      </c>
      <c r="AS27" s="216">
        <f t="shared" si="7"/>
        <v>0.9723448696087954</v>
      </c>
      <c r="AT27" s="216">
        <f t="shared" si="8"/>
        <v>1.2538510821608391</v>
      </c>
      <c r="AU27" s="216">
        <f t="shared" si="9"/>
        <v>2.2360679774997898</v>
      </c>
      <c r="AV27" s="217">
        <f t="shared" si="10"/>
        <v>10.368348541764712</v>
      </c>
      <c r="AW27" s="216">
        <f t="shared" si="11"/>
        <v>0</v>
      </c>
      <c r="AX27" s="218">
        <f t="shared" si="12"/>
        <v>1.4831709199797398</v>
      </c>
      <c r="AY27" s="216">
        <f t="shared" si="13"/>
        <v>0.77643477842613629</v>
      </c>
      <c r="AZ27" s="217">
        <f t="shared" si="14"/>
        <v>3.5883638597441294</v>
      </c>
      <c r="BA27" s="216">
        <f t="shared" si="15"/>
        <v>0</v>
      </c>
      <c r="BB27" s="216">
        <f t="shared" si="16"/>
        <v>1.0016542390239327</v>
      </c>
      <c r="BC27" s="216">
        <f t="shared" si="17"/>
        <v>1</v>
      </c>
    </row>
    <row r="28" spans="1:55" ht="20.100000000000001" customHeight="1" x14ac:dyDescent="0.2">
      <c r="A28" s="45">
        <v>0.54166666666666696</v>
      </c>
      <c r="B28" s="451"/>
      <c r="C28" s="451"/>
      <c r="D28" s="451">
        <v>6.8</v>
      </c>
      <c r="E28" s="451">
        <v>58.5</v>
      </c>
      <c r="F28" s="41">
        <v>1980</v>
      </c>
      <c r="G28" s="37">
        <v>-5.6</v>
      </c>
      <c r="H28" s="37">
        <v>72.900000000000006</v>
      </c>
      <c r="I28" s="37">
        <v>22</v>
      </c>
      <c r="J28" s="41">
        <v>572</v>
      </c>
      <c r="K28" s="37">
        <v>13</v>
      </c>
      <c r="L28" s="451">
        <v>133</v>
      </c>
      <c r="M28" s="451">
        <v>228</v>
      </c>
      <c r="N28" s="451">
        <v>90</v>
      </c>
      <c r="O28" s="353">
        <v>35</v>
      </c>
      <c r="P28" s="353">
        <v>15</v>
      </c>
      <c r="Q28" s="353">
        <v>242.93</v>
      </c>
      <c r="R28" s="37"/>
      <c r="S28" s="508" t="str">
        <f t="shared" si="0"/>
        <v/>
      </c>
      <c r="T28" s="508"/>
      <c r="U28" s="508"/>
      <c r="V28" s="508"/>
      <c r="X28" s="45">
        <v>0.54166666666666696</v>
      </c>
      <c r="Y28" s="106"/>
      <c r="Z28" s="102"/>
      <c r="AA28" s="102"/>
      <c r="AB28" s="45" t="str">
        <f t="shared" si="18"/>
        <v/>
      </c>
      <c r="AC28" s="45" t="str">
        <f t="shared" si="1"/>
        <v/>
      </c>
      <c r="AD28" s="81"/>
      <c r="AE28" s="9" t="str">
        <f>IF(S28="","",IF(COUNTA(Z28:$Z$39)=1,IF(COUNTA(AD28:$AD$39)=1,""," ; "),IF(COUNTA(AD28:$AD$39)=1,IF(Z28="",""," ; ")," ; ")))</f>
        <v/>
      </c>
      <c r="AF28" s="9" t="str">
        <f t="shared" si="2"/>
        <v/>
      </c>
      <c r="AG28" s="90" t="str">
        <f t="shared" si="3"/>
        <v/>
      </c>
      <c r="AH28" s="204" t="s">
        <v>278</v>
      </c>
      <c r="AJ28" s="206">
        <f t="shared" si="19"/>
        <v>500</v>
      </c>
      <c r="AK28" s="206">
        <f t="shared" si="19"/>
        <v>100</v>
      </c>
      <c r="AL28" s="206">
        <f t="shared" si="19"/>
        <v>2</v>
      </c>
      <c r="AM28" s="213">
        <f t="shared" si="19"/>
        <v>0.875</v>
      </c>
      <c r="AN28" s="214">
        <f t="shared" si="19"/>
        <v>0.63607464142166403</v>
      </c>
      <c r="AO28" s="215">
        <f t="shared" si="4"/>
        <v>-14.7</v>
      </c>
      <c r="AP28" s="216">
        <f t="shared" si="5"/>
        <v>1</v>
      </c>
      <c r="AQ28" s="216">
        <f t="shared" si="6"/>
        <v>1</v>
      </c>
      <c r="AR28" s="215">
        <f t="shared" si="20"/>
        <v>158.47</v>
      </c>
      <c r="AS28" s="216">
        <f t="shared" si="7"/>
        <v>0.9723448696087954</v>
      </c>
      <c r="AT28" s="216">
        <f t="shared" si="8"/>
        <v>1.2538510821608391</v>
      </c>
      <c r="AU28" s="216">
        <f t="shared" si="9"/>
        <v>2.2360679774997898</v>
      </c>
      <c r="AV28" s="217">
        <f t="shared" si="10"/>
        <v>10.368348541764712</v>
      </c>
      <c r="AW28" s="216">
        <f t="shared" si="11"/>
        <v>0</v>
      </c>
      <c r="AX28" s="218">
        <f t="shared" si="12"/>
        <v>1.4831709199797398</v>
      </c>
      <c r="AY28" s="216">
        <f t="shared" si="13"/>
        <v>0.77643477842613629</v>
      </c>
      <c r="AZ28" s="217">
        <f t="shared" si="14"/>
        <v>3.5883638597441294</v>
      </c>
      <c r="BA28" s="216">
        <f t="shared" si="15"/>
        <v>0</v>
      </c>
      <c r="BB28" s="216">
        <f t="shared" si="16"/>
        <v>1.0016542390239327</v>
      </c>
      <c r="BC28" s="216">
        <f t="shared" si="17"/>
        <v>1</v>
      </c>
    </row>
    <row r="29" spans="1:55" ht="20.100000000000001" customHeight="1" x14ac:dyDescent="0.2">
      <c r="A29" s="45">
        <v>0.58333333333333304</v>
      </c>
      <c r="B29" s="451"/>
      <c r="C29" s="451"/>
      <c r="D29" s="451">
        <v>7.4</v>
      </c>
      <c r="E29" s="451">
        <v>65.099999999999994</v>
      </c>
      <c r="F29" s="41">
        <v>1975</v>
      </c>
      <c r="G29" s="37">
        <v>-5.6</v>
      </c>
      <c r="H29" s="37">
        <v>72.099999999999994</v>
      </c>
      <c r="I29" s="37">
        <v>22.3</v>
      </c>
      <c r="J29" s="41">
        <v>573</v>
      </c>
      <c r="K29" s="37">
        <v>13</v>
      </c>
      <c r="L29" s="451">
        <v>133</v>
      </c>
      <c r="M29" s="451">
        <v>230</v>
      </c>
      <c r="N29" s="451">
        <v>90</v>
      </c>
      <c r="O29" s="353">
        <v>35</v>
      </c>
      <c r="P29" s="353">
        <v>19</v>
      </c>
      <c r="Q29" s="353">
        <v>273.14</v>
      </c>
      <c r="R29" s="37"/>
      <c r="S29" s="508" t="str">
        <f t="shared" si="0"/>
        <v/>
      </c>
      <c r="T29" s="508"/>
      <c r="U29" s="508"/>
      <c r="V29" s="508"/>
      <c r="X29" s="45">
        <v>0.58333333333333304</v>
      </c>
      <c r="Y29" s="106"/>
      <c r="Z29" s="102"/>
      <c r="AA29" s="102"/>
      <c r="AB29" s="45" t="str">
        <f t="shared" si="18"/>
        <v/>
      </c>
      <c r="AC29" s="45" t="str">
        <f t="shared" si="1"/>
        <v/>
      </c>
      <c r="AD29" s="81"/>
      <c r="AE29" s="9" t="str">
        <f>IF(S29="","",IF(COUNTA(Z29:$Z$39)=1,IF(COUNTA(AD29:$AD$39)=1,""," ; "),IF(COUNTA(AD29:$AD$39)=1,IF(Z29="",""," ; ")," ; ")))</f>
        <v/>
      </c>
      <c r="AF29" s="9" t="str">
        <f t="shared" si="2"/>
        <v/>
      </c>
      <c r="AG29" s="90" t="str">
        <f t="shared" si="3"/>
        <v/>
      </c>
      <c r="AH29" s="204" t="s">
        <v>224</v>
      </c>
      <c r="AJ29" s="206">
        <f t="shared" si="19"/>
        <v>500</v>
      </c>
      <c r="AK29" s="206">
        <f t="shared" si="19"/>
        <v>100</v>
      </c>
      <c r="AL29" s="206">
        <f t="shared" si="19"/>
        <v>2</v>
      </c>
      <c r="AM29" s="213">
        <f t="shared" si="19"/>
        <v>0.875</v>
      </c>
      <c r="AN29" s="214">
        <f t="shared" si="19"/>
        <v>0.63607464142166403</v>
      </c>
      <c r="AO29" s="215">
        <f t="shared" si="4"/>
        <v>-14.7</v>
      </c>
      <c r="AP29" s="216">
        <f t="shared" si="5"/>
        <v>1</v>
      </c>
      <c r="AQ29" s="216">
        <f t="shared" si="6"/>
        <v>1</v>
      </c>
      <c r="AR29" s="215">
        <f t="shared" si="20"/>
        <v>158.47</v>
      </c>
      <c r="AS29" s="216">
        <f t="shared" si="7"/>
        <v>0.9723448696087954</v>
      </c>
      <c r="AT29" s="216">
        <f t="shared" si="8"/>
        <v>1.2538510821608391</v>
      </c>
      <c r="AU29" s="216">
        <f t="shared" si="9"/>
        <v>2.2360679774997898</v>
      </c>
      <c r="AV29" s="217">
        <f t="shared" si="10"/>
        <v>10.368348541764712</v>
      </c>
      <c r="AW29" s="216">
        <f t="shared" si="11"/>
        <v>0</v>
      </c>
      <c r="AX29" s="218">
        <f t="shared" si="12"/>
        <v>1.4831709199797398</v>
      </c>
      <c r="AY29" s="216">
        <f t="shared" si="13"/>
        <v>0.77643477842613629</v>
      </c>
      <c r="AZ29" s="217">
        <f t="shared" si="14"/>
        <v>3.5883638597441294</v>
      </c>
      <c r="BA29" s="216">
        <f t="shared" si="15"/>
        <v>0</v>
      </c>
      <c r="BB29" s="216">
        <f t="shared" si="16"/>
        <v>1.0016542390239327</v>
      </c>
      <c r="BC29" s="216">
        <f t="shared" si="17"/>
        <v>1</v>
      </c>
    </row>
    <row r="30" spans="1:55" ht="20.100000000000001" customHeight="1" x14ac:dyDescent="0.2">
      <c r="A30" s="45">
        <v>0.625</v>
      </c>
      <c r="B30" s="451"/>
      <c r="C30" s="451"/>
      <c r="D30" s="451">
        <v>7.1</v>
      </c>
      <c r="E30" s="451">
        <v>65.599999999999994</v>
      </c>
      <c r="F30" s="41">
        <v>1973</v>
      </c>
      <c r="G30" s="37">
        <v>-5.6</v>
      </c>
      <c r="H30" s="37">
        <v>72.5</v>
      </c>
      <c r="I30" s="37">
        <v>22.1</v>
      </c>
      <c r="J30" s="41">
        <v>574</v>
      </c>
      <c r="K30" s="37">
        <v>13</v>
      </c>
      <c r="L30" s="451">
        <v>131</v>
      </c>
      <c r="M30" s="451">
        <v>230</v>
      </c>
      <c r="N30" s="451">
        <v>90</v>
      </c>
      <c r="O30" s="353">
        <v>35</v>
      </c>
      <c r="P30" s="353">
        <v>18</v>
      </c>
      <c r="Q30" s="353">
        <v>265.91000000000003</v>
      </c>
      <c r="R30" s="37"/>
      <c r="S30" s="508" t="str">
        <f t="shared" si="0"/>
        <v/>
      </c>
      <c r="T30" s="508"/>
      <c r="U30" s="508"/>
      <c r="V30" s="508"/>
      <c r="X30" s="45">
        <v>0.625</v>
      </c>
      <c r="Y30" s="106"/>
      <c r="Z30" s="102"/>
      <c r="AA30" s="102"/>
      <c r="AB30" s="45" t="str">
        <f t="shared" si="18"/>
        <v/>
      </c>
      <c r="AC30" s="45" t="str">
        <f t="shared" si="1"/>
        <v/>
      </c>
      <c r="AD30" s="81"/>
      <c r="AE30" s="9" t="str">
        <f>IF(S30="","",IF(COUNTA(Z30:$Z$39)=1,IF(COUNTA(AD30:$AD$39)=1,""," ; "),IF(COUNTA(AD30:$AD$39)=1,IF(Z30="",""," ; ")," ; ")))</f>
        <v/>
      </c>
      <c r="AF30" s="9" t="str">
        <f t="shared" si="2"/>
        <v/>
      </c>
      <c r="AG30" s="90" t="str">
        <f t="shared" si="3"/>
        <v/>
      </c>
      <c r="AH30" s="204" t="s">
        <v>260</v>
      </c>
      <c r="AJ30" s="206">
        <f t="shared" si="19"/>
        <v>500</v>
      </c>
      <c r="AK30" s="206">
        <f t="shared" si="19"/>
        <v>100</v>
      </c>
      <c r="AL30" s="206">
        <f t="shared" si="19"/>
        <v>2</v>
      </c>
      <c r="AM30" s="213">
        <f t="shared" si="19"/>
        <v>0.875</v>
      </c>
      <c r="AN30" s="214">
        <f t="shared" si="19"/>
        <v>0.63607464142166403</v>
      </c>
      <c r="AO30" s="215">
        <f t="shared" si="4"/>
        <v>-14.7</v>
      </c>
      <c r="AP30" s="216">
        <f t="shared" si="5"/>
        <v>1</v>
      </c>
      <c r="AQ30" s="216">
        <f t="shared" si="6"/>
        <v>1</v>
      </c>
      <c r="AR30" s="215">
        <f t="shared" si="20"/>
        <v>158.47</v>
      </c>
      <c r="AS30" s="216">
        <f t="shared" si="7"/>
        <v>0.9723448696087954</v>
      </c>
      <c r="AT30" s="216">
        <f t="shared" si="8"/>
        <v>1.2538510821608391</v>
      </c>
      <c r="AU30" s="216">
        <f t="shared" si="9"/>
        <v>2.2360679774997898</v>
      </c>
      <c r="AV30" s="217">
        <f t="shared" si="10"/>
        <v>10.368348541764712</v>
      </c>
      <c r="AW30" s="216">
        <f t="shared" si="11"/>
        <v>0</v>
      </c>
      <c r="AX30" s="218">
        <f t="shared" si="12"/>
        <v>1.4831709199797398</v>
      </c>
      <c r="AY30" s="216">
        <f t="shared" si="13"/>
        <v>0.77643477842613629</v>
      </c>
      <c r="AZ30" s="217">
        <f t="shared" si="14"/>
        <v>3.5883638597441294</v>
      </c>
      <c r="BA30" s="216">
        <f t="shared" si="15"/>
        <v>0</v>
      </c>
      <c r="BB30" s="216">
        <f t="shared" si="16"/>
        <v>1.0016542390239327</v>
      </c>
      <c r="BC30" s="216">
        <f t="shared" si="17"/>
        <v>1</v>
      </c>
    </row>
    <row r="31" spans="1:55" ht="20.100000000000001" customHeight="1" x14ac:dyDescent="0.2">
      <c r="A31" s="45">
        <v>0.66666666666666696</v>
      </c>
      <c r="B31" s="451"/>
      <c r="C31" s="451"/>
      <c r="D31" s="451">
        <v>8.1999999999999993</v>
      </c>
      <c r="E31" s="451">
        <v>67.400000000000006</v>
      </c>
      <c r="F31" s="41">
        <v>1940</v>
      </c>
      <c r="G31" s="37">
        <v>-5.6</v>
      </c>
      <c r="H31" s="37">
        <v>72</v>
      </c>
      <c r="I31" s="37">
        <v>22.5</v>
      </c>
      <c r="J31" s="41">
        <v>575</v>
      </c>
      <c r="K31" s="37">
        <v>13</v>
      </c>
      <c r="L31" s="451">
        <v>131</v>
      </c>
      <c r="M31" s="451">
        <v>227</v>
      </c>
      <c r="N31" s="451">
        <v>90</v>
      </c>
      <c r="O31" s="353">
        <v>20</v>
      </c>
      <c r="P31" s="353">
        <v>18</v>
      </c>
      <c r="Q31" s="353">
        <v>221.78</v>
      </c>
      <c r="R31" s="37"/>
      <c r="S31" s="508" t="str">
        <f t="shared" si="0"/>
        <v/>
      </c>
      <c r="T31" s="508"/>
      <c r="U31" s="508"/>
      <c r="V31" s="508"/>
      <c r="X31" s="45">
        <v>0.66666666666666696</v>
      </c>
      <c r="Y31" s="106"/>
      <c r="Z31" s="102"/>
      <c r="AA31" s="102"/>
      <c r="AB31" s="45" t="str">
        <f t="shared" si="18"/>
        <v/>
      </c>
      <c r="AC31" s="45" t="str">
        <f t="shared" si="1"/>
        <v/>
      </c>
      <c r="AD31" s="81"/>
      <c r="AE31" s="9" t="str">
        <f>IF(S31="","",IF(COUNTA(Z31:$Z$39)=1,IF(COUNTA(AD31:$AD$39)=1,""," ; "),IF(COUNTA(AD31:$AD$39)=1,IF(Z31="",""," ; ")," ; ")))</f>
        <v/>
      </c>
      <c r="AF31" s="9" t="str">
        <f t="shared" si="2"/>
        <v/>
      </c>
      <c r="AG31" s="90" t="str">
        <f t="shared" si="3"/>
        <v/>
      </c>
      <c r="AH31" s="204" t="s">
        <v>226</v>
      </c>
      <c r="AJ31" s="206">
        <f t="shared" si="19"/>
        <v>500</v>
      </c>
      <c r="AK31" s="206">
        <f t="shared" si="19"/>
        <v>100</v>
      </c>
      <c r="AL31" s="206">
        <f t="shared" si="19"/>
        <v>2</v>
      </c>
      <c r="AM31" s="213">
        <f t="shared" si="19"/>
        <v>0.875</v>
      </c>
      <c r="AN31" s="214">
        <f t="shared" si="19"/>
        <v>0.63607464142166403</v>
      </c>
      <c r="AO31" s="215">
        <f t="shared" si="4"/>
        <v>-14.7</v>
      </c>
      <c r="AP31" s="216">
        <f t="shared" si="5"/>
        <v>1</v>
      </c>
      <c r="AQ31" s="216">
        <f t="shared" si="6"/>
        <v>1</v>
      </c>
      <c r="AR31" s="215">
        <f t="shared" si="20"/>
        <v>158.47</v>
      </c>
      <c r="AS31" s="216">
        <f t="shared" si="7"/>
        <v>0.9723448696087954</v>
      </c>
      <c r="AT31" s="216">
        <f t="shared" si="8"/>
        <v>1.2538510821608391</v>
      </c>
      <c r="AU31" s="216">
        <f t="shared" si="9"/>
        <v>2.2360679774997898</v>
      </c>
      <c r="AV31" s="217">
        <f t="shared" si="10"/>
        <v>10.368348541764712</v>
      </c>
      <c r="AW31" s="216">
        <f t="shared" si="11"/>
        <v>0</v>
      </c>
      <c r="AX31" s="218">
        <f t="shared" si="12"/>
        <v>1.4831709199797398</v>
      </c>
      <c r="AY31" s="216">
        <f t="shared" si="13"/>
        <v>0.77643477842613629</v>
      </c>
      <c r="AZ31" s="217">
        <f t="shared" si="14"/>
        <v>3.5883638597441294</v>
      </c>
      <c r="BA31" s="216">
        <f t="shared" si="15"/>
        <v>0</v>
      </c>
      <c r="BB31" s="216">
        <f t="shared" si="16"/>
        <v>1.0016542390239327</v>
      </c>
      <c r="BC31" s="216">
        <f t="shared" si="17"/>
        <v>1</v>
      </c>
    </row>
    <row r="32" spans="1:55" ht="20.100000000000001" customHeight="1" x14ac:dyDescent="0.2">
      <c r="A32" s="45">
        <v>0.70833333333333304</v>
      </c>
      <c r="B32" s="451"/>
      <c r="C32" s="451"/>
      <c r="D32" s="451">
        <v>7.8</v>
      </c>
      <c r="E32" s="451">
        <v>67.3</v>
      </c>
      <c r="F32" s="41">
        <v>1936</v>
      </c>
      <c r="G32" s="37">
        <v>-5.6</v>
      </c>
      <c r="H32" s="37">
        <v>72.599999999999994</v>
      </c>
      <c r="I32" s="37">
        <v>22.4</v>
      </c>
      <c r="J32" s="41">
        <v>576</v>
      </c>
      <c r="K32" s="37">
        <v>13</v>
      </c>
      <c r="L32" s="451">
        <v>132</v>
      </c>
      <c r="M32" s="451">
        <v>227</v>
      </c>
      <c r="N32" s="451">
        <v>90</v>
      </c>
      <c r="O32" s="353">
        <v>20</v>
      </c>
      <c r="P32" s="353">
        <v>20</v>
      </c>
      <c r="Q32" s="353">
        <v>233.65</v>
      </c>
      <c r="R32" s="37"/>
      <c r="S32" s="508" t="str">
        <f t="shared" si="0"/>
        <v/>
      </c>
      <c r="T32" s="508"/>
      <c r="U32" s="508"/>
      <c r="V32" s="508"/>
      <c r="X32" s="45">
        <v>0.70833333333333304</v>
      </c>
      <c r="Y32" s="106"/>
      <c r="Z32" s="102"/>
      <c r="AA32" s="102"/>
      <c r="AB32" s="45" t="str">
        <f t="shared" si="18"/>
        <v/>
      </c>
      <c r="AC32" s="45" t="str">
        <f t="shared" si="1"/>
        <v/>
      </c>
      <c r="AD32" s="81"/>
      <c r="AE32" s="9" t="str">
        <f>IF(S32="","",IF(COUNTA(Z32:$Z$39)=1,IF(COUNTA(AD32:$AD$39)=1,""," ; "),IF(COUNTA(AD32:$AD$39)=1,IF(Z32="",""," ; ")," ; ")))</f>
        <v/>
      </c>
      <c r="AF32" s="9" t="str">
        <f t="shared" si="2"/>
        <v/>
      </c>
      <c r="AG32" s="90" t="str">
        <f t="shared" si="3"/>
        <v/>
      </c>
      <c r="AH32" s="204" t="s">
        <v>313</v>
      </c>
      <c r="AJ32" s="206">
        <f t="shared" si="19"/>
        <v>500</v>
      </c>
      <c r="AK32" s="206">
        <f t="shared" si="19"/>
        <v>100</v>
      </c>
      <c r="AL32" s="206">
        <f t="shared" si="19"/>
        <v>2</v>
      </c>
      <c r="AM32" s="213">
        <f t="shared" si="19"/>
        <v>0.875</v>
      </c>
      <c r="AN32" s="214">
        <f t="shared" si="19"/>
        <v>0.63607464142166403</v>
      </c>
      <c r="AO32" s="215">
        <f t="shared" si="4"/>
        <v>-14.7</v>
      </c>
      <c r="AP32" s="216">
        <f t="shared" si="5"/>
        <v>1</v>
      </c>
      <c r="AQ32" s="216">
        <f t="shared" si="6"/>
        <v>1</v>
      </c>
      <c r="AR32" s="215">
        <f t="shared" si="20"/>
        <v>158.47</v>
      </c>
      <c r="AS32" s="216">
        <f t="shared" si="7"/>
        <v>0.9723448696087954</v>
      </c>
      <c r="AT32" s="216">
        <f t="shared" si="8"/>
        <v>1.2538510821608391</v>
      </c>
      <c r="AU32" s="216">
        <f t="shared" si="9"/>
        <v>2.2360679774997898</v>
      </c>
      <c r="AV32" s="217">
        <f t="shared" si="10"/>
        <v>10.368348541764712</v>
      </c>
      <c r="AW32" s="216">
        <f t="shared" si="11"/>
        <v>0</v>
      </c>
      <c r="AX32" s="218">
        <f t="shared" si="12"/>
        <v>1.4831709199797398</v>
      </c>
      <c r="AY32" s="216">
        <f t="shared" si="13"/>
        <v>0.77643477842613629</v>
      </c>
      <c r="AZ32" s="217">
        <f t="shared" si="14"/>
        <v>3.5883638597441294</v>
      </c>
      <c r="BA32" s="216">
        <f t="shared" si="15"/>
        <v>0</v>
      </c>
      <c r="BB32" s="216">
        <f t="shared" si="16"/>
        <v>1.0016542390239327</v>
      </c>
      <c r="BC32" s="216">
        <f t="shared" si="17"/>
        <v>1</v>
      </c>
    </row>
    <row r="33" spans="1:55" ht="20.100000000000001" customHeight="1" x14ac:dyDescent="0.2">
      <c r="A33" s="45">
        <v>0.75</v>
      </c>
      <c r="B33" s="451"/>
      <c r="C33" s="451"/>
      <c r="D33" s="451">
        <v>7.3</v>
      </c>
      <c r="E33" s="451">
        <v>64.5</v>
      </c>
      <c r="F33" s="41">
        <v>1958</v>
      </c>
      <c r="G33" s="37">
        <v>-5.6</v>
      </c>
      <c r="H33" s="37">
        <v>72.3</v>
      </c>
      <c r="I33" s="37">
        <v>22.1</v>
      </c>
      <c r="J33" s="41">
        <v>577</v>
      </c>
      <c r="K33" s="37">
        <v>13</v>
      </c>
      <c r="L33" s="451">
        <v>132</v>
      </c>
      <c r="M33" s="451">
        <v>229</v>
      </c>
      <c r="N33" s="451">
        <v>90</v>
      </c>
      <c r="O33" s="353">
        <v>20</v>
      </c>
      <c r="P33" s="353">
        <v>18</v>
      </c>
      <c r="Q33" s="353">
        <v>221.78</v>
      </c>
      <c r="R33" s="37"/>
      <c r="S33" s="508" t="str">
        <f>IF(Z33="",IF(AD33="","",AD33),CONCATENATE(TEXT(Z33,"[hh]:mm"),IF(AA33="",""," - "&amp;TEXT(AA33,"[hh]:mm")),IF(Y33="",""," "&amp;Y33&amp;"/")," "&amp;AD33))</f>
        <v/>
      </c>
      <c r="T33" s="508"/>
      <c r="U33" s="508"/>
      <c r="V33" s="508"/>
      <c r="X33" s="45">
        <v>0.75</v>
      </c>
      <c r="Y33" s="106"/>
      <c r="Z33" s="102"/>
      <c r="AA33" s="102"/>
      <c r="AB33" s="45" t="str">
        <f t="shared" si="18"/>
        <v/>
      </c>
      <c r="AC33" s="45" t="str">
        <f t="shared" si="1"/>
        <v/>
      </c>
      <c r="AD33" s="81"/>
      <c r="AE33" s="9" t="str">
        <f>IF(S33="","",IF(COUNTA(Z33:$Z$39)=1,IF(COUNTA(AD33:$AD$39)=1,""," ; "),IF(COUNTA(AD33:$AD$39)=1,IF(Z33="",""," ; ")," ; ")))</f>
        <v/>
      </c>
      <c r="AF33" s="9" t="str">
        <f t="shared" si="2"/>
        <v/>
      </c>
      <c r="AG33" s="90" t="str">
        <f t="shared" si="3"/>
        <v/>
      </c>
      <c r="AH33" s="204" t="s">
        <v>308</v>
      </c>
      <c r="AJ33" s="206">
        <f t="shared" ref="AJ33:AN39" si="21">AJ32</f>
        <v>500</v>
      </c>
      <c r="AK33" s="206">
        <f t="shared" si="21"/>
        <v>100</v>
      </c>
      <c r="AL33" s="206">
        <f t="shared" si="21"/>
        <v>2</v>
      </c>
      <c r="AM33" s="213">
        <f t="shared" si="21"/>
        <v>0.875</v>
      </c>
      <c r="AN33" s="214">
        <f t="shared" si="21"/>
        <v>0.63607464142166403</v>
      </c>
      <c r="AO33" s="215">
        <f t="shared" si="4"/>
        <v>-14.7</v>
      </c>
      <c r="AP33" s="216">
        <f t="shared" si="5"/>
        <v>1</v>
      </c>
      <c r="AQ33" s="216">
        <f t="shared" si="6"/>
        <v>1</v>
      </c>
      <c r="AR33" s="215">
        <f t="shared" si="20"/>
        <v>158.47</v>
      </c>
      <c r="AS33" s="216">
        <f t="shared" si="7"/>
        <v>0.9723448696087954</v>
      </c>
      <c r="AT33" s="216">
        <f t="shared" si="8"/>
        <v>1.2538510821608391</v>
      </c>
      <c r="AU33" s="216">
        <f t="shared" si="9"/>
        <v>2.2360679774997898</v>
      </c>
      <c r="AV33" s="217">
        <f t="shared" si="10"/>
        <v>10.368348541764712</v>
      </c>
      <c r="AW33" s="216">
        <f t="shared" si="11"/>
        <v>0</v>
      </c>
      <c r="AX33" s="218">
        <f t="shared" si="12"/>
        <v>1.4831709199797398</v>
      </c>
      <c r="AY33" s="216">
        <f t="shared" si="13"/>
        <v>0.77643477842613629</v>
      </c>
      <c r="AZ33" s="217">
        <f t="shared" si="14"/>
        <v>3.5883638597441294</v>
      </c>
      <c r="BA33" s="216">
        <f t="shared" si="15"/>
        <v>0</v>
      </c>
      <c r="BB33" s="216">
        <f t="shared" si="16"/>
        <v>1.0016542390239327</v>
      </c>
      <c r="BC33" s="216">
        <f t="shared" si="17"/>
        <v>1</v>
      </c>
    </row>
    <row r="34" spans="1:55" ht="20.100000000000001" customHeight="1" x14ac:dyDescent="0.2">
      <c r="A34" s="45">
        <v>0.79166666666666696</v>
      </c>
      <c r="B34" s="451"/>
      <c r="C34" s="451"/>
      <c r="D34" s="451">
        <v>7.6</v>
      </c>
      <c r="E34" s="451">
        <v>64.3</v>
      </c>
      <c r="F34" s="41">
        <v>1950</v>
      </c>
      <c r="G34" s="37">
        <v>-5.6</v>
      </c>
      <c r="H34" s="37">
        <v>72.5</v>
      </c>
      <c r="I34" s="37">
        <v>22.5</v>
      </c>
      <c r="J34" s="41">
        <v>578</v>
      </c>
      <c r="K34" s="37">
        <v>13</v>
      </c>
      <c r="L34" s="451">
        <v>132</v>
      </c>
      <c r="M34" s="451">
        <v>229</v>
      </c>
      <c r="N34" s="451">
        <v>90</v>
      </c>
      <c r="O34" s="353">
        <v>20</v>
      </c>
      <c r="P34" s="353">
        <v>17</v>
      </c>
      <c r="Q34" s="353">
        <v>215.59</v>
      </c>
      <c r="R34" s="37"/>
      <c r="S34" s="508" t="str">
        <f t="shared" ref="S34:S39" si="22">IF(Z34="",IF(AD34="","",AD34),CONCATENATE(TEXT(Z34,"[hh]:mm"),IF(AA34="",""," - "&amp;TEXT(AA34,"[hh]:mm")),IF(Y34="",""," "&amp;Y34&amp;"/")," "&amp;AD34))</f>
        <v/>
      </c>
      <c r="T34" s="508"/>
      <c r="U34" s="508"/>
      <c r="V34" s="508"/>
      <c r="X34" s="45">
        <v>0.79166666666666696</v>
      </c>
      <c r="Y34" s="106"/>
      <c r="Z34" s="102"/>
      <c r="AA34" s="102"/>
      <c r="AB34" s="45" t="str">
        <f t="shared" si="18"/>
        <v/>
      </c>
      <c r="AC34" s="45" t="str">
        <f t="shared" si="1"/>
        <v/>
      </c>
      <c r="AD34" s="81"/>
      <c r="AE34" s="9" t="str">
        <f>IF(S34="","",IF(COUNTA(Z34:$Z$39)=1,IF(COUNTA(AD34:$AD$39)=1,""," ; "),IF(COUNTA(AD34:$AD$39)=1,IF(Z34="",""," ; ")," ; ")))</f>
        <v/>
      </c>
      <c r="AF34" s="9" t="str">
        <f t="shared" si="2"/>
        <v/>
      </c>
      <c r="AG34" s="90" t="str">
        <f t="shared" si="3"/>
        <v/>
      </c>
      <c r="AH34" s="204" t="s">
        <v>314</v>
      </c>
      <c r="AJ34" s="206">
        <f t="shared" si="21"/>
        <v>500</v>
      </c>
      <c r="AK34" s="206">
        <f t="shared" si="21"/>
        <v>100</v>
      </c>
      <c r="AL34" s="206">
        <f t="shared" si="21"/>
        <v>2</v>
      </c>
      <c r="AM34" s="213">
        <f t="shared" si="21"/>
        <v>0.875</v>
      </c>
      <c r="AN34" s="214">
        <f t="shared" si="21"/>
        <v>0.63607464142166403</v>
      </c>
      <c r="AO34" s="215">
        <f t="shared" si="4"/>
        <v>-14.7</v>
      </c>
      <c r="AP34" s="216">
        <f t="shared" si="5"/>
        <v>1</v>
      </c>
      <c r="AQ34" s="216">
        <f t="shared" si="6"/>
        <v>1</v>
      </c>
      <c r="AR34" s="215">
        <f t="shared" si="20"/>
        <v>158.47</v>
      </c>
      <c r="AS34" s="216">
        <f t="shared" si="7"/>
        <v>0.9723448696087954</v>
      </c>
      <c r="AT34" s="216">
        <f t="shared" si="8"/>
        <v>1.2538510821608391</v>
      </c>
      <c r="AU34" s="216">
        <f t="shared" si="9"/>
        <v>2.2360679774997898</v>
      </c>
      <c r="AV34" s="217">
        <f t="shared" si="10"/>
        <v>10.368348541764712</v>
      </c>
      <c r="AW34" s="216">
        <f t="shared" si="11"/>
        <v>0</v>
      </c>
      <c r="AX34" s="218">
        <f t="shared" si="12"/>
        <v>1.4831709199797398</v>
      </c>
      <c r="AY34" s="216">
        <f t="shared" si="13"/>
        <v>0.77643477842613629</v>
      </c>
      <c r="AZ34" s="217">
        <f t="shared" si="14"/>
        <v>3.5883638597441294</v>
      </c>
      <c r="BA34" s="216">
        <f t="shared" si="15"/>
        <v>0</v>
      </c>
      <c r="BB34" s="216">
        <f t="shared" si="16"/>
        <v>1.0016542390239327</v>
      </c>
      <c r="BC34" s="216">
        <f t="shared" si="17"/>
        <v>1</v>
      </c>
    </row>
    <row r="35" spans="1:55" ht="20.100000000000001" customHeight="1" x14ac:dyDescent="0.2">
      <c r="A35" s="45">
        <v>0.83333333333333304</v>
      </c>
      <c r="B35" s="451"/>
      <c r="C35" s="451"/>
      <c r="D35" s="451">
        <v>7.4</v>
      </c>
      <c r="E35" s="451">
        <v>66.8</v>
      </c>
      <c r="F35" s="41">
        <v>1925</v>
      </c>
      <c r="G35" s="37">
        <v>-5.6</v>
      </c>
      <c r="H35" s="37">
        <v>72.099999999999994</v>
      </c>
      <c r="I35" s="37">
        <v>22.7</v>
      </c>
      <c r="J35" s="41">
        <v>579</v>
      </c>
      <c r="K35" s="37">
        <v>13</v>
      </c>
      <c r="L35" s="451">
        <v>131</v>
      </c>
      <c r="M35" s="451">
        <v>227</v>
      </c>
      <c r="N35" s="451">
        <v>90</v>
      </c>
      <c r="O35" s="353">
        <v>20</v>
      </c>
      <c r="P35" s="353">
        <v>17</v>
      </c>
      <c r="Q35" s="353">
        <v>215.59</v>
      </c>
      <c r="R35" s="37"/>
      <c r="S35" s="508" t="str">
        <f t="shared" si="22"/>
        <v/>
      </c>
      <c r="T35" s="508"/>
      <c r="U35" s="508"/>
      <c r="V35" s="508"/>
      <c r="X35" s="45">
        <v>0.83333333333333304</v>
      </c>
      <c r="Y35" s="106"/>
      <c r="Z35" s="102"/>
      <c r="AA35" s="102"/>
      <c r="AB35" s="45" t="str">
        <f t="shared" si="18"/>
        <v/>
      </c>
      <c r="AC35" s="45" t="str">
        <f t="shared" si="1"/>
        <v/>
      </c>
      <c r="AD35" s="81"/>
      <c r="AE35" s="9" t="str">
        <f>IF(S35="","",IF(COUNTA(Z35:$Z$39)=1,IF(COUNTA(AD35:$AD$39)=1,""," ; "),IF(COUNTA(AD35:$AD$39)=1,IF(Z35="",""," ; ")," ; ")))</f>
        <v/>
      </c>
      <c r="AF35" s="9" t="str">
        <f t="shared" si="2"/>
        <v/>
      </c>
      <c r="AG35" s="90" t="str">
        <f t="shared" si="3"/>
        <v/>
      </c>
      <c r="AH35" s="204" t="s">
        <v>227</v>
      </c>
      <c r="AJ35" s="206">
        <f t="shared" si="21"/>
        <v>500</v>
      </c>
      <c r="AK35" s="206">
        <f t="shared" si="21"/>
        <v>100</v>
      </c>
      <c r="AL35" s="206">
        <f t="shared" si="21"/>
        <v>2</v>
      </c>
      <c r="AM35" s="213">
        <f t="shared" si="21"/>
        <v>0.875</v>
      </c>
      <c r="AN35" s="214">
        <f t="shared" si="21"/>
        <v>0.63607464142166403</v>
      </c>
      <c r="AO35" s="215">
        <f t="shared" si="4"/>
        <v>-14.7</v>
      </c>
      <c r="AP35" s="216">
        <f t="shared" si="5"/>
        <v>1</v>
      </c>
      <c r="AQ35" s="216">
        <f t="shared" si="6"/>
        <v>1</v>
      </c>
      <c r="AR35" s="215">
        <f t="shared" si="20"/>
        <v>158.47</v>
      </c>
      <c r="AS35" s="216">
        <f t="shared" si="7"/>
        <v>0.9723448696087954</v>
      </c>
      <c r="AT35" s="216">
        <f t="shared" si="8"/>
        <v>1.2538510821608391</v>
      </c>
      <c r="AU35" s="216">
        <f t="shared" si="9"/>
        <v>2.2360679774997898</v>
      </c>
      <c r="AV35" s="217">
        <f t="shared" si="10"/>
        <v>10.368348541764712</v>
      </c>
      <c r="AW35" s="216">
        <f t="shared" si="11"/>
        <v>0</v>
      </c>
      <c r="AX35" s="218">
        <f t="shared" si="12"/>
        <v>1.4831709199797398</v>
      </c>
      <c r="AY35" s="216">
        <f t="shared" si="13"/>
        <v>0.77643477842613629</v>
      </c>
      <c r="AZ35" s="217">
        <f t="shared" si="14"/>
        <v>3.5883638597441294</v>
      </c>
      <c r="BA35" s="216">
        <f t="shared" si="15"/>
        <v>0</v>
      </c>
      <c r="BB35" s="216">
        <f t="shared" si="16"/>
        <v>1.0016542390239327</v>
      </c>
      <c r="BC35" s="216">
        <f t="shared" si="17"/>
        <v>1</v>
      </c>
    </row>
    <row r="36" spans="1:55" ht="20.100000000000001" customHeight="1" x14ac:dyDescent="0.2">
      <c r="A36" s="45">
        <v>0.875</v>
      </c>
      <c r="B36" s="451"/>
      <c r="C36" s="451"/>
      <c r="D36" s="451">
        <v>7.8</v>
      </c>
      <c r="E36" s="451">
        <v>67.099999999999994</v>
      </c>
      <c r="F36" s="41">
        <v>1931</v>
      </c>
      <c r="G36" s="37">
        <v>-5.6</v>
      </c>
      <c r="H36" s="37">
        <v>72.8</v>
      </c>
      <c r="I36" s="37">
        <v>22.4</v>
      </c>
      <c r="J36" s="41">
        <v>580</v>
      </c>
      <c r="K36" s="37">
        <v>13</v>
      </c>
      <c r="L36" s="451">
        <v>130</v>
      </c>
      <c r="M36" s="451">
        <v>226</v>
      </c>
      <c r="N36" s="451">
        <v>90</v>
      </c>
      <c r="O36" s="353">
        <v>20</v>
      </c>
      <c r="P36" s="353">
        <v>17</v>
      </c>
      <c r="Q36" s="353">
        <v>215.59</v>
      </c>
      <c r="R36" s="37"/>
      <c r="S36" s="508" t="str">
        <f t="shared" si="22"/>
        <v/>
      </c>
      <c r="T36" s="508"/>
      <c r="U36" s="508"/>
      <c r="V36" s="508"/>
      <c r="X36" s="45">
        <v>0.875</v>
      </c>
      <c r="Y36" s="106"/>
      <c r="Z36" s="102"/>
      <c r="AA36" s="102"/>
      <c r="AB36" s="45" t="str">
        <f t="shared" si="18"/>
        <v/>
      </c>
      <c r="AC36" s="45" t="str">
        <f t="shared" si="1"/>
        <v/>
      </c>
      <c r="AD36" s="81"/>
      <c r="AE36" s="9" t="str">
        <f>IF(S36="","",IF(COUNTA(Z36:$Z$39)=1,IF(COUNTA(AD36:$AD$39)=1,""," ; "),IF(COUNTA(AD36:$AD$39)=1,IF(Z36="",""," ; ")," ; ")))</f>
        <v/>
      </c>
      <c r="AF36" s="9" t="str">
        <f t="shared" si="2"/>
        <v/>
      </c>
      <c r="AG36" s="90" t="str">
        <f t="shared" si="3"/>
        <v/>
      </c>
      <c r="AH36" s="204" t="s">
        <v>309</v>
      </c>
      <c r="AJ36" s="206">
        <f t="shared" si="21"/>
        <v>500</v>
      </c>
      <c r="AK36" s="206">
        <f t="shared" si="21"/>
        <v>100</v>
      </c>
      <c r="AL36" s="206">
        <f t="shared" si="21"/>
        <v>2</v>
      </c>
      <c r="AM36" s="213">
        <f t="shared" si="21"/>
        <v>0.875</v>
      </c>
      <c r="AN36" s="214">
        <f t="shared" si="21"/>
        <v>0.63607464142166403</v>
      </c>
      <c r="AO36" s="215">
        <f t="shared" si="4"/>
        <v>-14.7</v>
      </c>
      <c r="AP36" s="216">
        <f t="shared" si="5"/>
        <v>1</v>
      </c>
      <c r="AQ36" s="216">
        <f t="shared" si="6"/>
        <v>1</v>
      </c>
      <c r="AR36" s="215">
        <f t="shared" si="20"/>
        <v>158.47</v>
      </c>
      <c r="AS36" s="216">
        <f t="shared" si="7"/>
        <v>0.9723448696087954</v>
      </c>
      <c r="AT36" s="216">
        <f t="shared" si="8"/>
        <v>1.2538510821608391</v>
      </c>
      <c r="AU36" s="216">
        <f t="shared" si="9"/>
        <v>2.2360679774997898</v>
      </c>
      <c r="AV36" s="217">
        <f t="shared" si="10"/>
        <v>10.368348541764712</v>
      </c>
      <c r="AW36" s="216">
        <f t="shared" si="11"/>
        <v>0</v>
      </c>
      <c r="AX36" s="218">
        <f t="shared" si="12"/>
        <v>1.4831709199797398</v>
      </c>
      <c r="AY36" s="216">
        <f t="shared" si="13"/>
        <v>0.77643477842613629</v>
      </c>
      <c r="AZ36" s="217">
        <f t="shared" si="14"/>
        <v>3.5883638597441294</v>
      </c>
      <c r="BA36" s="216">
        <f t="shared" si="15"/>
        <v>0</v>
      </c>
      <c r="BB36" s="216">
        <f t="shared" si="16"/>
        <v>1.0016542390239327</v>
      </c>
      <c r="BC36" s="216">
        <f t="shared" si="17"/>
        <v>1</v>
      </c>
    </row>
    <row r="37" spans="1:55" ht="20.100000000000001" customHeight="1" x14ac:dyDescent="0.2">
      <c r="A37" s="45">
        <v>0.91666666666666696</v>
      </c>
      <c r="B37" s="451"/>
      <c r="C37" s="451"/>
      <c r="D37" s="451">
        <v>7.2</v>
      </c>
      <c r="E37" s="451">
        <v>66.3</v>
      </c>
      <c r="F37" s="41">
        <v>1948</v>
      </c>
      <c r="G37" s="37">
        <v>-5.6</v>
      </c>
      <c r="H37" s="37">
        <v>72.400000000000006</v>
      </c>
      <c r="I37" s="37">
        <v>22.2</v>
      </c>
      <c r="J37" s="41">
        <v>581</v>
      </c>
      <c r="K37" s="37">
        <v>13</v>
      </c>
      <c r="L37" s="451">
        <v>128</v>
      </c>
      <c r="M37" s="451">
        <v>226</v>
      </c>
      <c r="N37" s="451">
        <v>90</v>
      </c>
      <c r="O37" s="353">
        <v>25</v>
      </c>
      <c r="P37" s="353">
        <v>18</v>
      </c>
      <c r="Q37" s="353">
        <v>237.37</v>
      </c>
      <c r="R37" s="37"/>
      <c r="S37" s="508" t="str">
        <f t="shared" si="22"/>
        <v/>
      </c>
      <c r="T37" s="508"/>
      <c r="U37" s="508"/>
      <c r="V37" s="508"/>
      <c r="X37" s="45">
        <v>0.91666666666666696</v>
      </c>
      <c r="Y37" s="106"/>
      <c r="Z37" s="102"/>
      <c r="AA37" s="102"/>
      <c r="AB37" s="45" t="str">
        <f t="shared" si="18"/>
        <v/>
      </c>
      <c r="AC37" s="45" t="str">
        <f t="shared" si="1"/>
        <v/>
      </c>
      <c r="AD37" s="81"/>
      <c r="AE37" s="9" t="str">
        <f>IF(S37="","",IF(COUNTA(Z37:$Z$39)=1,IF(COUNTA(AD37:$AD$39)=1,""," ; "),IF(COUNTA(AD37:$AD$39)=1,IF(Z37="",""," ; ")," ; ")))</f>
        <v/>
      </c>
      <c r="AF37" s="9" t="str">
        <f t="shared" si="2"/>
        <v/>
      </c>
      <c r="AG37" s="90" t="str">
        <f t="shared" si="3"/>
        <v/>
      </c>
      <c r="AH37" s="204" t="s">
        <v>319</v>
      </c>
      <c r="AJ37" s="206">
        <f t="shared" si="21"/>
        <v>500</v>
      </c>
      <c r="AK37" s="206">
        <f t="shared" si="21"/>
        <v>100</v>
      </c>
      <c r="AL37" s="206">
        <f t="shared" si="21"/>
        <v>2</v>
      </c>
      <c r="AM37" s="213">
        <f t="shared" si="21"/>
        <v>0.875</v>
      </c>
      <c r="AN37" s="214">
        <f t="shared" si="21"/>
        <v>0.63607464142166403</v>
      </c>
      <c r="AO37" s="215">
        <f t="shared" si="4"/>
        <v>-14.7</v>
      </c>
      <c r="AP37" s="216">
        <f t="shared" si="5"/>
        <v>1</v>
      </c>
      <c r="AQ37" s="216">
        <f t="shared" si="6"/>
        <v>1</v>
      </c>
      <c r="AR37" s="215">
        <f t="shared" si="20"/>
        <v>158.47</v>
      </c>
      <c r="AS37" s="216">
        <f t="shared" si="7"/>
        <v>0.9723448696087954</v>
      </c>
      <c r="AT37" s="216">
        <f t="shared" si="8"/>
        <v>1.2538510821608391</v>
      </c>
      <c r="AU37" s="216">
        <f t="shared" si="9"/>
        <v>2.2360679774997898</v>
      </c>
      <c r="AV37" s="217">
        <f t="shared" si="10"/>
        <v>10.368348541764712</v>
      </c>
      <c r="AW37" s="216">
        <f t="shared" si="11"/>
        <v>0</v>
      </c>
      <c r="AX37" s="218">
        <f t="shared" si="12"/>
        <v>1.4831709199797398</v>
      </c>
      <c r="AY37" s="216">
        <f t="shared" si="13"/>
        <v>0.77643477842613629</v>
      </c>
      <c r="AZ37" s="217">
        <f t="shared" si="14"/>
        <v>3.5883638597441294</v>
      </c>
      <c r="BA37" s="216">
        <f t="shared" si="15"/>
        <v>0</v>
      </c>
      <c r="BB37" s="216">
        <f t="shared" si="16"/>
        <v>1.0016542390239327</v>
      </c>
      <c r="BC37" s="216">
        <f t="shared" si="17"/>
        <v>1</v>
      </c>
    </row>
    <row r="38" spans="1:55" ht="20.100000000000001" customHeight="1" x14ac:dyDescent="0.2">
      <c r="A38" s="45">
        <v>0.95833333333333304</v>
      </c>
      <c r="B38" s="451"/>
      <c r="C38" s="451"/>
      <c r="D38" s="451">
        <v>7.9</v>
      </c>
      <c r="E38" s="451">
        <v>66</v>
      </c>
      <c r="F38" s="41">
        <v>1955</v>
      </c>
      <c r="G38" s="37">
        <v>-5.6</v>
      </c>
      <c r="H38" s="37">
        <v>72.900000000000006</v>
      </c>
      <c r="I38" s="37">
        <v>22.6</v>
      </c>
      <c r="J38" s="41">
        <v>582</v>
      </c>
      <c r="K38" s="37">
        <v>13</v>
      </c>
      <c r="L38" s="451">
        <v>127</v>
      </c>
      <c r="M38" s="451">
        <v>225</v>
      </c>
      <c r="N38" s="451">
        <v>90</v>
      </c>
      <c r="O38" s="353">
        <v>25</v>
      </c>
      <c r="P38" s="353">
        <v>18</v>
      </c>
      <c r="Q38" s="353">
        <v>237.37</v>
      </c>
      <c r="R38" s="37"/>
      <c r="S38" s="508" t="str">
        <f t="shared" si="22"/>
        <v/>
      </c>
      <c r="T38" s="508"/>
      <c r="U38" s="508"/>
      <c r="V38" s="508"/>
      <c r="X38" s="45">
        <v>0.95833333333333304</v>
      </c>
      <c r="Y38" s="106"/>
      <c r="Z38" s="102"/>
      <c r="AA38" s="102"/>
      <c r="AB38" s="45" t="str">
        <f t="shared" si="18"/>
        <v/>
      </c>
      <c r="AC38" s="45" t="str">
        <f t="shared" si="1"/>
        <v/>
      </c>
      <c r="AD38" s="81"/>
      <c r="AE38" s="9" t="str">
        <f>IF(S38="","",IF(COUNTA(Z38:$Z$39)=1,IF(COUNTA(AD38:$AD$39)=1,""," ; "),IF(COUNTA(AD38:$AD$39)=1,IF(Z38="",""," ; ")," ; ")))</f>
        <v/>
      </c>
      <c r="AF38" s="9" t="str">
        <f t="shared" si="2"/>
        <v/>
      </c>
      <c r="AG38" s="90" t="str">
        <f t="shared" si="3"/>
        <v/>
      </c>
      <c r="AH38" s="204" t="s">
        <v>219</v>
      </c>
      <c r="AJ38" s="206">
        <f t="shared" si="21"/>
        <v>500</v>
      </c>
      <c r="AK38" s="206">
        <f t="shared" si="21"/>
        <v>100</v>
      </c>
      <c r="AL38" s="206">
        <f t="shared" si="21"/>
        <v>2</v>
      </c>
      <c r="AM38" s="213">
        <f t="shared" si="21"/>
        <v>0.875</v>
      </c>
      <c r="AN38" s="214">
        <f t="shared" si="21"/>
        <v>0.63607464142166403</v>
      </c>
      <c r="AO38" s="215">
        <f t="shared" si="4"/>
        <v>-14.7</v>
      </c>
      <c r="AP38" s="216">
        <f t="shared" si="5"/>
        <v>1</v>
      </c>
      <c r="AQ38" s="216">
        <f t="shared" si="6"/>
        <v>1</v>
      </c>
      <c r="AR38" s="215">
        <f t="shared" si="20"/>
        <v>158.47</v>
      </c>
      <c r="AS38" s="216">
        <f t="shared" si="7"/>
        <v>0.9723448696087954</v>
      </c>
      <c r="AT38" s="216">
        <f t="shared" si="8"/>
        <v>1.2538510821608391</v>
      </c>
      <c r="AU38" s="216">
        <f t="shared" si="9"/>
        <v>2.2360679774997898</v>
      </c>
      <c r="AV38" s="217">
        <f t="shared" si="10"/>
        <v>10.368348541764712</v>
      </c>
      <c r="AW38" s="216">
        <f t="shared" si="11"/>
        <v>0</v>
      </c>
      <c r="AX38" s="218">
        <f t="shared" si="12"/>
        <v>1.4831709199797398</v>
      </c>
      <c r="AY38" s="216">
        <f t="shared" si="13"/>
        <v>0.77643477842613629</v>
      </c>
      <c r="AZ38" s="217">
        <f t="shared" si="14"/>
        <v>3.5883638597441294</v>
      </c>
      <c r="BA38" s="216">
        <f t="shared" si="15"/>
        <v>0</v>
      </c>
      <c r="BB38" s="216">
        <f t="shared" si="16"/>
        <v>1.0016542390239327</v>
      </c>
      <c r="BC38" s="216">
        <f t="shared" si="17"/>
        <v>1</v>
      </c>
    </row>
    <row r="39" spans="1:55" ht="20.100000000000001" customHeight="1" thickBot="1" x14ac:dyDescent="0.25">
      <c r="A39" s="46">
        <v>1</v>
      </c>
      <c r="B39" s="451"/>
      <c r="C39" s="451"/>
      <c r="D39" s="452">
        <v>7.2</v>
      </c>
      <c r="E39" s="452">
        <v>66.8</v>
      </c>
      <c r="F39" s="42">
        <v>1920</v>
      </c>
      <c r="G39" s="37">
        <v>-5.6</v>
      </c>
      <c r="H39" s="38">
        <v>72.7</v>
      </c>
      <c r="I39" s="37">
        <v>22.3</v>
      </c>
      <c r="J39" s="41">
        <v>583</v>
      </c>
      <c r="K39" s="37">
        <v>13</v>
      </c>
      <c r="L39" s="452">
        <v>127</v>
      </c>
      <c r="M39" s="452">
        <v>223</v>
      </c>
      <c r="N39" s="451">
        <v>90</v>
      </c>
      <c r="O39" s="353">
        <v>30</v>
      </c>
      <c r="P39" s="353">
        <v>13</v>
      </c>
      <c r="Q39" s="354">
        <v>214.5</v>
      </c>
      <c r="R39" s="38"/>
      <c r="S39" s="512" t="str">
        <f t="shared" si="22"/>
        <v/>
      </c>
      <c r="T39" s="512"/>
      <c r="U39" s="512"/>
      <c r="V39" s="512"/>
      <c r="X39" s="46">
        <v>1</v>
      </c>
      <c r="Y39" s="107"/>
      <c r="Z39" s="103"/>
      <c r="AA39" s="103"/>
      <c r="AB39" s="46" t="str">
        <f t="shared" si="18"/>
        <v/>
      </c>
      <c r="AC39" s="46" t="str">
        <f t="shared" si="1"/>
        <v/>
      </c>
      <c r="AD39" s="82"/>
      <c r="AE39" s="9" t="str">
        <f>IF(S39="","",IF(COUNTA(Z39:$Z$39)=1,IF(COUNTA(AD39:$AD$39)=1,""," ; "),IF(COUNTA(AD39:$AD$39)=1,IF(Z39="",""," ; ")," ; ")))</f>
        <v/>
      </c>
      <c r="AF39" s="9" t="str">
        <f t="shared" si="2"/>
        <v/>
      </c>
      <c r="AG39" s="90" t="str">
        <f t="shared" si="3"/>
        <v/>
      </c>
      <c r="AH39" s="204" t="s">
        <v>220</v>
      </c>
      <c r="AJ39" s="219">
        <f t="shared" si="21"/>
        <v>500</v>
      </c>
      <c r="AK39" s="219">
        <f t="shared" si="21"/>
        <v>100</v>
      </c>
      <c r="AL39" s="219">
        <f t="shared" si="21"/>
        <v>2</v>
      </c>
      <c r="AM39" s="220">
        <f t="shared" si="21"/>
        <v>0.875</v>
      </c>
      <c r="AN39" s="221">
        <f t="shared" si="21"/>
        <v>0.63607464142166403</v>
      </c>
      <c r="AO39" s="222">
        <f t="shared" si="4"/>
        <v>-14.7</v>
      </c>
      <c r="AP39" s="223">
        <f t="shared" si="5"/>
        <v>1</v>
      </c>
      <c r="AQ39" s="223">
        <f t="shared" si="6"/>
        <v>1</v>
      </c>
      <c r="AR39" s="222">
        <f t="shared" si="20"/>
        <v>158.47</v>
      </c>
      <c r="AS39" s="223">
        <f t="shared" si="7"/>
        <v>0.9723448696087954</v>
      </c>
      <c r="AT39" s="223">
        <f t="shared" si="8"/>
        <v>1.2538510821608391</v>
      </c>
      <c r="AU39" s="223">
        <f t="shared" si="9"/>
        <v>2.2360679774997898</v>
      </c>
      <c r="AV39" s="224">
        <f t="shared" si="10"/>
        <v>10.368348541764712</v>
      </c>
      <c r="AW39" s="223">
        <f t="shared" si="11"/>
        <v>0</v>
      </c>
      <c r="AX39" s="225">
        <f t="shared" si="12"/>
        <v>1.4831709199797398</v>
      </c>
      <c r="AY39" s="223">
        <f t="shared" si="13"/>
        <v>0.77643477842613629</v>
      </c>
      <c r="AZ39" s="224">
        <f t="shared" si="14"/>
        <v>3.5883638597441294</v>
      </c>
      <c r="BA39" s="223">
        <f t="shared" si="15"/>
        <v>0</v>
      </c>
      <c r="BB39" s="223">
        <f t="shared" si="16"/>
        <v>1.0016542390239327</v>
      </c>
      <c r="BC39" s="223">
        <f t="shared" si="17"/>
        <v>1</v>
      </c>
    </row>
    <row r="40" spans="1:55" ht="20.100000000000001" customHeight="1" thickBot="1" x14ac:dyDescent="0.3">
      <c r="A40" s="53" t="s">
        <v>11</v>
      </c>
      <c r="B40" s="453" t="str">
        <f>IFERROR(ROUND(AVERAGE(B16:B39),2),"")</f>
        <v/>
      </c>
      <c r="C40" s="453" t="str">
        <f>IFERROR(ROUND(AVERAGE(C16:C39),2),"")</f>
        <v/>
      </c>
      <c r="D40" s="453">
        <f>IFERROR(ROUND(AVERAGE(D16:D39),2),"")</f>
        <v>7</v>
      </c>
      <c r="E40" s="453">
        <f>IFERROR(ROUND(AVERAGE(E16:E39),2),"")</f>
        <v>62.9</v>
      </c>
      <c r="F40" s="55">
        <f>IFERROR(ROUND(AVERAGE(F16:F39),0),"")</f>
        <v>1947</v>
      </c>
      <c r="G40" s="54">
        <f>IFERROR(AVERAGE(G16:G39),"")</f>
        <v>-5.5999999999999979</v>
      </c>
      <c r="H40" s="54">
        <f>IFERROR(AVERAGE(H16:H39),"")</f>
        <v>72.399999999999991</v>
      </c>
      <c r="I40" s="54">
        <f>IFERROR(AVERAGE(I16:I39),"")</f>
        <v>22.384166666666662</v>
      </c>
      <c r="J40" s="71"/>
      <c r="K40" s="111">
        <f>IFERROR(AVERAGE(K16:K39),"")</f>
        <v>13</v>
      </c>
      <c r="L40" s="453">
        <f t="shared" ref="L40:P40" si="23">IFERROR(ROUND(AVERAGE(L16:L39),1),"")</f>
        <v>131.4</v>
      </c>
      <c r="M40" s="453">
        <f t="shared" si="23"/>
        <v>225</v>
      </c>
      <c r="N40" s="453">
        <f t="shared" si="23"/>
        <v>90</v>
      </c>
      <c r="O40" s="456">
        <f t="shared" si="23"/>
        <v>32.700000000000003</v>
      </c>
      <c r="P40" s="456">
        <f t="shared" si="23"/>
        <v>15.6</v>
      </c>
      <c r="Q40" s="456">
        <f>IF($I$47=1,$M$49,$Q$44)</f>
        <v>232.6</v>
      </c>
      <c r="R40" s="54" t="str">
        <f>IFERROR(ROUND(AVERAGE(R16:R39),1),"")</f>
        <v/>
      </c>
      <c r="S40" s="509"/>
      <c r="T40" s="510"/>
      <c r="U40" s="510"/>
      <c r="V40" s="511"/>
      <c r="X40" s="99"/>
      <c r="Y40" s="99"/>
      <c r="Z40" s="99"/>
      <c r="AA40" s="99"/>
      <c r="AB40" s="104">
        <f>SUM(AB16:AB39)</f>
        <v>0</v>
      </c>
      <c r="AC40" s="104">
        <f>SUM(AC16:AC39)</f>
        <v>0</v>
      </c>
      <c r="AD40" s="92" t="str">
        <f>IF(OR(COUNTBLANK(D16:E39)+COUNTBLANK(O16:P39)=0,COUNTA(S16:V39)&lt;&gt;0),"","CEK : Blank Data - Remarks")</f>
        <v/>
      </c>
      <c r="AG40" s="90" t="str">
        <f>IF(COUNTIF(AG16:AG39,"")=COUNTA(AG16:AG39),"","CEK : Data Flowrate")</f>
        <v/>
      </c>
      <c r="AH40" s="204" t="s">
        <v>311</v>
      </c>
    </row>
    <row r="41" spans="1:55" ht="20.100000000000001" hidden="1" customHeight="1" thickBot="1" x14ac:dyDescent="0.3">
      <c r="A41" s="49" t="s">
        <v>12</v>
      </c>
      <c r="B41" s="52" t="str">
        <f>IF(COUNT(B16:B39)&gt;0,ROUND(MIN(B16:B39),2),"")</f>
        <v/>
      </c>
      <c r="C41" s="52" t="str">
        <f>IF(COUNT(C16:C39)&gt;0,ROUND(MIN(C16:C39),2),"")</f>
        <v/>
      </c>
      <c r="D41" s="52">
        <f>IF(COUNT(D16:D39)&gt;0,ROUND(MIN(D16:D39),2),"")</f>
        <v>5.3</v>
      </c>
      <c r="E41" s="52">
        <f>IF(COUNT(E16:E39)&gt;0,ROUND(MIN(E16:E39),2),"")</f>
        <v>56.3</v>
      </c>
      <c r="F41" s="51">
        <f>IF(COUNT(F16:F39)&gt;0,ROUND(MIN(F16:F39),0),"")</f>
        <v>1920</v>
      </c>
      <c r="G41" s="50">
        <f>IF(COUNT(G16:G39)&gt;0,MIN(G16:G39),"")</f>
        <v>-5.6</v>
      </c>
      <c r="H41" s="50">
        <f>IF(COUNT(H16:H39)&gt;0,MIN(H16:H39),"")</f>
        <v>72</v>
      </c>
      <c r="I41" s="50">
        <f>IF(COUNT(I16:I39)&gt;0,MIN(I16:I39),"")</f>
        <v>22</v>
      </c>
      <c r="J41" s="72"/>
      <c r="K41" s="50">
        <f>IF(COUNT(K16:K39)&gt;0,MIN(K16:K39),"")</f>
        <v>13</v>
      </c>
      <c r="L41" s="52">
        <f>IF(COUNT(L16:L39)&gt;0,ROUND(MIN(L16:L39),1),"")</f>
        <v>127</v>
      </c>
      <c r="M41" s="52">
        <f>IF(COUNT(M16:M39)&gt;0,ROUND(MIN(M16:M39),1),"")</f>
        <v>220</v>
      </c>
      <c r="N41" s="52">
        <f>IF(COUNT(N16:N39)&gt;0,ROUND(MIN(N16:N39),1),"")</f>
        <v>90</v>
      </c>
      <c r="O41" s="440">
        <f>IF(COUNT(O16:O39)&gt;0,ROUND(MIN(O16:O39),1),"")</f>
        <v>20</v>
      </c>
      <c r="P41" s="440">
        <f>IF(COUNT(P16:P39)&gt;0,ROUND(MIN(P16:P39),1),"")</f>
        <v>13</v>
      </c>
      <c r="Q41" s="440">
        <f>IF(COUNT(Q16:Q39)&gt;0,ROUND(MIN(Q16:Q39),4),"")</f>
        <v>214.5</v>
      </c>
      <c r="R41" s="121" t="str">
        <f>IF(COUNT(R16:R39)&gt;0,ROUND(MIN(R16:R39),1),"")</f>
        <v/>
      </c>
      <c r="S41" s="509"/>
      <c r="T41" s="510"/>
      <c r="U41" s="510"/>
      <c r="V41" s="511"/>
      <c r="X41" s="99"/>
      <c r="Y41" s="99"/>
      <c r="Z41" s="99"/>
      <c r="AA41" s="99"/>
      <c r="AB41" s="99"/>
      <c r="AC41" s="99"/>
      <c r="AH41" s="204" t="s">
        <v>318</v>
      </c>
    </row>
    <row r="42" spans="1:55" ht="20.100000000000001" hidden="1" customHeight="1" thickBot="1" x14ac:dyDescent="0.3">
      <c r="A42" s="21" t="s">
        <v>13</v>
      </c>
      <c r="B42" s="454" t="str">
        <f>IF(COUNT(B16:B39)&gt;0,ROUND(MAX(B16:B39),2),"")</f>
        <v/>
      </c>
      <c r="C42" s="454" t="str">
        <f>IF(COUNT(C16:C39)&gt;0,ROUND(MAX(C16:C39),2),"")</f>
        <v/>
      </c>
      <c r="D42" s="454">
        <f>IF(COUNT(D16:D39)&gt;0,ROUND(MAX(D16:D39),2),"")</f>
        <v>8.1999999999999993</v>
      </c>
      <c r="E42" s="454">
        <f>IF(COUNT(E16:E39)&gt;0,ROUND(MAX(E16:E39),2),"")</f>
        <v>67.400000000000006</v>
      </c>
      <c r="F42" s="43">
        <f>IF(COUNT(F16:F39)&gt;0,ROUND(MAX(F16:F39),0),"")</f>
        <v>1980</v>
      </c>
      <c r="G42" s="39">
        <f>IF(COUNT(G16:G39)&gt;0,MAX(G16:G39),"")</f>
        <v>-5.6</v>
      </c>
      <c r="H42" s="39">
        <f>IF(COUNT(H16:H39)&gt;0,MAX(H16:H39),"")</f>
        <v>72.900000000000006</v>
      </c>
      <c r="I42" s="39">
        <f>IF(COUNT(I16:I39)&gt;0,MAX(I16:I39),"")</f>
        <v>22.8</v>
      </c>
      <c r="J42" s="43">
        <f>IF(COUNT(J16:J39)&gt;0,MAX(J16:J39),"")</f>
        <v>583</v>
      </c>
      <c r="K42" s="39">
        <f>IF(COUNT(K16:K39)&gt;0,MAX(K16:K39),"")</f>
        <v>13</v>
      </c>
      <c r="L42" s="454">
        <f>IF(COUNT(L16:L39)&gt;0,ROUND(MAX(L16:L39),1),"")</f>
        <v>137</v>
      </c>
      <c r="M42" s="454">
        <f>IF(COUNT(M16:M39)&gt;0,ROUND(MAX(M16:M39),1),"")</f>
        <v>230</v>
      </c>
      <c r="N42" s="454">
        <f>IF(COUNT(N16:N39)&gt;0,ROUND(MAX(N16:N39),1),"")</f>
        <v>90</v>
      </c>
      <c r="O42" s="441">
        <f>IF(COUNT(O16:O39)&gt;0,ROUND(MAX(O16:O39),1),"")</f>
        <v>40</v>
      </c>
      <c r="P42" s="441">
        <f>IF(COUNT(P16:P39)&gt;0,ROUND(MAX(P16:P39),1),"")</f>
        <v>20</v>
      </c>
      <c r="Q42" s="441">
        <f>IF(COUNT(Q16:Q39)&gt;0,ROUND(MAX(Q16:Q39),4),"")</f>
        <v>273.14</v>
      </c>
      <c r="R42" s="39" t="str">
        <f>IF(COUNT(R16:R39)&gt;0,ROUND(MAX(R16:R39),1),"")</f>
        <v/>
      </c>
      <c r="S42" s="509"/>
      <c r="T42" s="510"/>
      <c r="U42" s="510"/>
      <c r="V42" s="511"/>
      <c r="X42" s="99"/>
      <c r="Y42" s="99"/>
      <c r="Z42" s="99"/>
      <c r="AA42" s="99"/>
      <c r="AB42" s="99"/>
      <c r="AC42" s="99"/>
      <c r="AH42" s="204" t="s">
        <v>312</v>
      </c>
    </row>
    <row r="43" spans="1:55" ht="20.100000000000001" hidden="1" customHeight="1" x14ac:dyDescent="0.25">
      <c r="A43" s="109"/>
      <c r="B43" s="110">
        <f>COUNT(B16:B39)</f>
        <v>0</v>
      </c>
      <c r="C43" s="110">
        <f>COUNT(C16:C39)</f>
        <v>0</v>
      </c>
      <c r="D43" s="110">
        <f>COUNT(D16:D39)</f>
        <v>24</v>
      </c>
      <c r="E43" s="110">
        <f t="shared" ref="E43:H43" si="24">COUNT(E16:E39)</f>
        <v>24</v>
      </c>
      <c r="F43" s="110">
        <f t="shared" si="24"/>
        <v>24</v>
      </c>
      <c r="G43" s="110">
        <f t="shared" si="24"/>
        <v>24</v>
      </c>
      <c r="H43" s="110">
        <f t="shared" si="24"/>
        <v>24</v>
      </c>
      <c r="I43" s="110"/>
      <c r="J43" s="110"/>
      <c r="K43" s="110"/>
      <c r="L43" s="110">
        <f t="shared" ref="L43:Q43" si="25">COUNT(L16:L39)</f>
        <v>24</v>
      </c>
      <c r="M43" s="110">
        <f t="shared" si="25"/>
        <v>24</v>
      </c>
      <c r="N43" s="110">
        <f t="shared" si="25"/>
        <v>24</v>
      </c>
      <c r="O43" s="110">
        <f t="shared" si="25"/>
        <v>24</v>
      </c>
      <c r="P43" s="110">
        <f t="shared" si="25"/>
        <v>24</v>
      </c>
      <c r="Q43" s="110">
        <f t="shared" si="25"/>
        <v>24</v>
      </c>
      <c r="R43" s="110"/>
      <c r="S43" s="99"/>
      <c r="T43" s="99"/>
      <c r="U43" s="99"/>
      <c r="V43" s="99"/>
      <c r="X43" s="99"/>
      <c r="Y43" s="99"/>
      <c r="Z43" s="99"/>
      <c r="AA43" s="99"/>
      <c r="AB43" s="99"/>
      <c r="AC43" s="99"/>
      <c r="AD43" s="92" t="str">
        <f>IF(AND(D43=E43,D43=F43,D43=G43,D43=H43,D43=L43,D43=M43,D43=N43,D43=O43,D43=P43,D43=Q43),"","CEK : Data Content")</f>
        <v/>
      </c>
      <c r="AH43" s="204" t="s">
        <v>221</v>
      </c>
    </row>
    <row r="44" spans="1:55" s="6" customFormat="1" ht="15" customHeight="1" x14ac:dyDescent="0.25">
      <c r="J44" s="91" t="str">
        <f>IF(J1="PRINT","",IF(J42="","RH please ! !",""))</f>
        <v/>
      </c>
      <c r="L44" s="24"/>
      <c r="Q44" s="445">
        <f>IFERROR(ROUND(AVERAGE(Q16:Q39),4),"")</f>
        <v>238.9229</v>
      </c>
      <c r="AH44" s="204" t="s">
        <v>323</v>
      </c>
      <c r="AI44" s="7"/>
    </row>
    <row r="45" spans="1:55" s="6" customFormat="1" ht="15" customHeight="1" x14ac:dyDescent="0.25">
      <c r="L45" s="26" t="s">
        <v>290</v>
      </c>
      <c r="Q45" s="445"/>
      <c r="AH45" s="204" t="s">
        <v>288</v>
      </c>
      <c r="AI45" s="7"/>
    </row>
    <row r="46" spans="1:55" s="6" customFormat="1" ht="15" customHeight="1" x14ac:dyDescent="0.25">
      <c r="D46" s="443" t="s">
        <v>90</v>
      </c>
      <c r="E46" s="448" t="str">
        <f>IF(Schedule!C$25="","",Schedule!C$25)</f>
        <v/>
      </c>
      <c r="G46" s="61"/>
      <c r="H46" s="25" t="str">
        <f>IFERROR(IF(OR(I47="",I48="",I49=""),"WAKTU BELUM DI-ISI LENGKAP",IF(SUM(I48:I49)&lt;=1,"","CEK KEMBALI PENULISAN WAKTU SALAH")),"CEK KEMBALI PENULISAN WAKTU SALAH")</f>
        <v/>
      </c>
      <c r="L46" s="26" t="s">
        <v>22</v>
      </c>
      <c r="M46" s="460">
        <f>IF(Volume!$W24="",$O46,Volume!$W24)</f>
        <v>33.1068</v>
      </c>
      <c r="N46" s="27" t="s">
        <v>1</v>
      </c>
      <c r="O46" s="447">
        <f>IF(O40="","",O40)</f>
        <v>32.700000000000003</v>
      </c>
      <c r="P46" s="361" t="s">
        <v>29</v>
      </c>
      <c r="Q46" s="362"/>
      <c r="R46" s="362"/>
      <c r="S46" s="362"/>
      <c r="T46" s="361" t="s">
        <v>30</v>
      </c>
      <c r="U46" s="362"/>
      <c r="V46" s="362"/>
      <c r="AH46" s="204" t="s">
        <v>222</v>
      </c>
    </row>
    <row r="47" spans="1:55" s="6" customFormat="1" ht="15" customHeight="1" x14ac:dyDescent="0.25">
      <c r="D47" s="448"/>
      <c r="E47" s="448"/>
      <c r="H47" s="26" t="s">
        <v>26</v>
      </c>
      <c r="I47" s="56">
        <f>IF(OR(I48="",I49=""),"",1-I48-I49)</f>
        <v>1</v>
      </c>
      <c r="J47" s="27" t="s">
        <v>19</v>
      </c>
      <c r="L47" s="26" t="s">
        <v>23</v>
      </c>
      <c r="M47" s="442">
        <f>IF(Volume!$Y24="",$O47,Volume!$Y24)</f>
        <v>15.063700000000001</v>
      </c>
      <c r="N47" s="27" t="s">
        <v>14</v>
      </c>
      <c r="O47" s="447">
        <f>IF(P40="","",P40)</f>
        <v>15.6</v>
      </c>
      <c r="P47" s="361" t="s">
        <v>211</v>
      </c>
      <c r="Q47" s="362"/>
      <c r="R47" s="362"/>
      <c r="S47" s="362"/>
      <c r="T47" s="361" t="s">
        <v>271</v>
      </c>
      <c r="U47" s="362"/>
      <c r="V47" s="362"/>
      <c r="AH47" s="204" t="s">
        <v>223</v>
      </c>
    </row>
    <row r="48" spans="1:55" s="6" customFormat="1" ht="15" customHeight="1" x14ac:dyDescent="0.25">
      <c r="D48" s="443" t="s">
        <v>91</v>
      </c>
      <c r="E48" s="448" t="str">
        <f>IF(Schedule!D$25="","",Schedule!D$25)</f>
        <v/>
      </c>
      <c r="H48" s="26" t="s">
        <v>37</v>
      </c>
      <c r="I48" s="108">
        <f>IF(OR(COUNT($Q$16:$Q$39)&lt;&gt;0,COUNTA($AD$16:$AD$39)&lt;&gt;0),AB40,"")</f>
        <v>0</v>
      </c>
      <c r="J48" s="27" t="s">
        <v>19</v>
      </c>
      <c r="L48" s="26" t="s">
        <v>24</v>
      </c>
      <c r="M48" s="449">
        <f>IF(N40="","",N40)</f>
        <v>90</v>
      </c>
      <c r="N48" s="27" t="s">
        <v>5</v>
      </c>
      <c r="P48" s="362"/>
      <c r="Q48" s="362"/>
      <c r="R48" s="362"/>
      <c r="S48" s="362"/>
      <c r="T48" s="361" t="s">
        <v>291</v>
      </c>
      <c r="U48" s="362"/>
      <c r="V48" s="362"/>
      <c r="AH48" s="204" t="s">
        <v>324</v>
      </c>
    </row>
    <row r="49" spans="1:34" s="6" customFormat="1" ht="15" customHeight="1" x14ac:dyDescent="0.25">
      <c r="D49" s="448"/>
      <c r="E49" s="448"/>
      <c r="H49" s="26" t="s">
        <v>27</v>
      </c>
      <c r="I49" s="108">
        <f>IF(OR(COUNT($Q$16:$Q$39)&lt;&gt;0,COUNTA($AD$16:$AD$39)&lt;&gt;0),AC40,"")</f>
        <v>0</v>
      </c>
      <c r="J49" s="27" t="s">
        <v>19</v>
      </c>
      <c r="L49" s="26" t="s">
        <v>128</v>
      </c>
      <c r="M49" s="442">
        <f>IF(Volume!$L24="",M51,Volume!$L24)</f>
        <v>232.6</v>
      </c>
      <c r="N49" s="27" t="str">
        <f>IF(Q15="MSCFD","MSCF","MMSCF")</f>
        <v>MSCF</v>
      </c>
      <c r="P49" s="362"/>
      <c r="Q49" s="362"/>
      <c r="R49" s="362"/>
      <c r="S49" s="362"/>
      <c r="T49" s="362"/>
      <c r="U49" s="362"/>
      <c r="V49" s="362"/>
      <c r="AH49" s="204" t="s">
        <v>317</v>
      </c>
    </row>
    <row r="50" spans="1:34" s="6" customFormat="1" ht="15" customHeight="1" x14ac:dyDescent="0.25">
      <c r="D50" s="443" t="s">
        <v>92</v>
      </c>
      <c r="E50" s="448" t="str">
        <f>IF(Schedule!E$25="","",Schedule!E$25)</f>
        <v>Marihot Gustafa S.</v>
      </c>
      <c r="L50" s="443" t="str">
        <f>CONCATENATE(MR!L16," ",":")</f>
        <v>Liquid Gain :</v>
      </c>
      <c r="M50" s="446" t="str">
        <f>IF(R40="","",ROUND(SUM(R16:R39),2))</f>
        <v/>
      </c>
      <c r="N50" s="444" t="str">
        <f>R15</f>
        <v>BPD</v>
      </c>
      <c r="P50" s="362"/>
      <c r="Q50" s="362"/>
      <c r="R50" s="362"/>
      <c r="S50" s="362"/>
      <c r="T50" s="362"/>
      <c r="U50" s="362"/>
      <c r="V50" s="362"/>
      <c r="AH50" s="204" t="s">
        <v>282</v>
      </c>
    </row>
    <row r="51" spans="1:34" s="6" customFormat="1" ht="15" customHeight="1" x14ac:dyDescent="0.25">
      <c r="A51" s="4"/>
      <c r="L51" s="443" t="s">
        <v>286</v>
      </c>
      <c r="M51" s="447">
        <f>IF(Q44="","",IF(SUM(I48:I49)=1,IF(Q44&lt;&gt;0,"Cek Tabel",""),ROUND(Q44*I47,4)))</f>
        <v>238.9229</v>
      </c>
      <c r="N51" s="444" t="str">
        <f>IF(Q15="MSCFD","MSCF","MMSCF")</f>
        <v>MSCF</v>
      </c>
      <c r="P51" s="362"/>
      <c r="Q51" s="362"/>
      <c r="R51" s="362"/>
      <c r="S51" s="362"/>
      <c r="T51" s="362"/>
      <c r="U51" s="362"/>
      <c r="V51" s="362"/>
      <c r="AH51" s="204" t="s">
        <v>325</v>
      </c>
    </row>
    <row r="52" spans="1:34" s="6" customFormat="1" ht="15" customHeight="1" x14ac:dyDescent="0.25">
      <c r="D52" s="26" t="s">
        <v>28</v>
      </c>
      <c r="E52" s="47"/>
      <c r="F52" s="47"/>
      <c r="G52" s="47"/>
      <c r="H52" s="47"/>
      <c r="I52" s="47"/>
      <c r="J52" s="47"/>
      <c r="K52" s="47"/>
      <c r="L52" s="5"/>
      <c r="P52" s="362"/>
      <c r="Q52" s="362"/>
      <c r="R52" s="362"/>
      <c r="S52" s="362"/>
      <c r="T52" s="362"/>
      <c r="U52" s="362"/>
      <c r="V52" s="362"/>
      <c r="AH52" s="204" t="s">
        <v>280</v>
      </c>
    </row>
    <row r="53" spans="1:34" s="6" customFormat="1" ht="15" customHeight="1" x14ac:dyDescent="0.25">
      <c r="D53" s="5"/>
      <c r="E53" s="48"/>
      <c r="F53" s="48"/>
      <c r="G53" s="48"/>
      <c r="H53" s="48"/>
      <c r="I53" s="48"/>
      <c r="J53" s="48"/>
      <c r="K53" s="48"/>
      <c r="L53" s="5"/>
      <c r="P53" s="363" t="str">
        <f>UPPER(E50)</f>
        <v>MARIHOT GUSTAFA S.</v>
      </c>
      <c r="Q53" s="362"/>
      <c r="R53" s="362"/>
      <c r="S53" s="362"/>
      <c r="T53" s="363" t="str">
        <f>IF(Schedule!F$25="","",UPPER(Schedule!F$25))</f>
        <v>SAPUAN</v>
      </c>
      <c r="U53" s="362"/>
      <c r="V53" s="362"/>
      <c r="AH53" s="204" t="s">
        <v>316</v>
      </c>
    </row>
    <row r="54" spans="1:34" s="6" customFormat="1" ht="15" customHeight="1" x14ac:dyDescent="0.25">
      <c r="E54" s="48"/>
      <c r="F54" s="48"/>
      <c r="G54" s="48"/>
      <c r="H54" s="48"/>
      <c r="I54" s="48"/>
      <c r="J54" s="48"/>
      <c r="K54" s="48"/>
      <c r="P54" s="361" t="s">
        <v>107</v>
      </c>
      <c r="Q54" s="362"/>
      <c r="R54" s="362"/>
      <c r="S54" s="362"/>
      <c r="T54" s="361" t="s">
        <v>294</v>
      </c>
      <c r="U54" s="362"/>
      <c r="V54" s="362"/>
      <c r="AH54" s="204" t="s">
        <v>326</v>
      </c>
    </row>
    <row r="55" spans="1:34" s="6" customFormat="1" ht="15" customHeight="1" x14ac:dyDescent="0.25">
      <c r="P55" s="364" t="str">
        <f>CONCATENATE("Date : ",TEXT(K12,"[$-409]d mmm yyyy;@"))</f>
        <v>Date : 21 Jun 2025</v>
      </c>
      <c r="Q55" s="362"/>
      <c r="R55" s="364"/>
      <c r="S55" s="362"/>
      <c r="T55" s="364" t="str">
        <f>CONCATENATE("Date : ",TEXT(K12,"[$-409]d mmm yyyy;@"))</f>
        <v>Date : 21 Jun 2025</v>
      </c>
      <c r="U55" s="362"/>
      <c r="V55" s="362"/>
      <c r="AH55" s="204" t="s">
        <v>327</v>
      </c>
    </row>
    <row r="56" spans="1:34" ht="15" customHeight="1" x14ac:dyDescent="0.25">
      <c r="AH56" s="204" t="s">
        <v>281</v>
      </c>
    </row>
    <row r="57" spans="1:34" ht="15" customHeight="1" x14ac:dyDescent="0.25">
      <c r="AH57" s="204" t="s">
        <v>277</v>
      </c>
    </row>
    <row r="58" spans="1:34" ht="15" customHeight="1" x14ac:dyDescent="0.25">
      <c r="AH58" s="204" t="s">
        <v>328</v>
      </c>
    </row>
    <row r="59" spans="1:34" ht="15" customHeight="1" x14ac:dyDescent="0.25">
      <c r="AH59" s="204" t="s">
        <v>329</v>
      </c>
    </row>
    <row r="60" spans="1:34" ht="15" customHeight="1" x14ac:dyDescent="0.25">
      <c r="AH60" s="204" t="s">
        <v>330</v>
      </c>
    </row>
    <row r="61" spans="1:34" ht="15" customHeight="1" x14ac:dyDescent="0.25">
      <c r="AH61" s="204" t="s">
        <v>331</v>
      </c>
    </row>
    <row r="62" spans="1:34" ht="15" customHeight="1" x14ac:dyDescent="0.25">
      <c r="AH62" s="204" t="s">
        <v>332</v>
      </c>
    </row>
    <row r="63" spans="1:34" ht="15" customHeight="1" x14ac:dyDescent="0.25">
      <c r="AH63" s="204" t="s">
        <v>315</v>
      </c>
    </row>
    <row r="64" spans="1:34" ht="15" customHeight="1" x14ac:dyDescent="0.25">
      <c r="AH64" s="204" t="s">
        <v>333</v>
      </c>
    </row>
    <row r="65" spans="34:34" ht="15" customHeight="1" x14ac:dyDescent="0.25">
      <c r="AH65" s="204" t="s">
        <v>310</v>
      </c>
    </row>
    <row r="66" spans="34:34" ht="15" customHeight="1" x14ac:dyDescent="0.25">
      <c r="AH66" s="204" t="s">
        <v>334</v>
      </c>
    </row>
    <row r="67" spans="34:34" ht="15" customHeight="1" x14ac:dyDescent="0.25">
      <c r="AH67" s="204" t="s">
        <v>335</v>
      </c>
    </row>
    <row r="68" spans="34:34" ht="15" customHeight="1" x14ac:dyDescent="0.25">
      <c r="AH68" s="204" t="s">
        <v>336</v>
      </c>
    </row>
    <row r="69" spans="34:34" ht="15" customHeight="1" x14ac:dyDescent="0.25">
      <c r="AH69" s="204" t="s">
        <v>337</v>
      </c>
    </row>
    <row r="70" spans="34:34" ht="15" customHeight="1" x14ac:dyDescent="0.25">
      <c r="AH70" s="204" t="s">
        <v>338</v>
      </c>
    </row>
    <row r="71" spans="34:34" ht="15" customHeight="1" x14ac:dyDescent="0.25">
      <c r="AH71" s="204" t="s">
        <v>339</v>
      </c>
    </row>
    <row r="72" spans="34:34" ht="15" customHeight="1" x14ac:dyDescent="0.25">
      <c r="AH72" s="204" t="s">
        <v>340</v>
      </c>
    </row>
    <row r="85" spans="34:34" ht="0" hidden="1" customHeight="1" x14ac:dyDescent="0.25">
      <c r="AH85" s="6"/>
    </row>
    <row r="86" spans="34:34" ht="0" hidden="1" customHeight="1" x14ac:dyDescent="0.25">
      <c r="AH86" s="6"/>
    </row>
    <row r="87" spans="34:34" ht="0" hidden="1" customHeight="1" x14ac:dyDescent="0.25">
      <c r="AH87" s="6"/>
    </row>
    <row r="88" spans="34:34" ht="0" hidden="1" customHeight="1" x14ac:dyDescent="0.25">
      <c r="AH88" s="6"/>
    </row>
    <row r="89" spans="34:34" ht="0" hidden="1" customHeight="1" x14ac:dyDescent="0.25">
      <c r="AH89" s="6"/>
    </row>
    <row r="90" spans="34:34" ht="0" hidden="1" customHeight="1" x14ac:dyDescent="0.25">
      <c r="AH90" s="6"/>
    </row>
    <row r="91" spans="34:34" ht="0" hidden="1" customHeight="1" x14ac:dyDescent="0.25">
      <c r="AH91" s="6"/>
    </row>
    <row r="92" spans="34:34" ht="0" hidden="1" customHeight="1" x14ac:dyDescent="0.25">
      <c r="AH92" s="6"/>
    </row>
    <row r="93" spans="34:34" ht="0" hidden="1" customHeight="1" x14ac:dyDescent="0.25">
      <c r="AH93" s="6"/>
    </row>
    <row r="94" spans="34:34" ht="0" hidden="1" customHeight="1" x14ac:dyDescent="0.25">
      <c r="AH94" s="6"/>
    </row>
  </sheetData>
  <sheetProtection algorithmName="SHA-512" hashValue="Jfmpz+i+vyqwti7mCS8kM3PYczKdfrMoxwJha0Psl2i8k48HQd5br5IYSlMuNa1LD3I1obpWy6hg85avNmatzA==" saltValue="iMeci9BWEOOTmB06hO+Ilw==" spinCount="100000" sheet="1" objects="1" scenarios="1" formatColumns="0" formatRows="0" insertColumns="0" insertRows="0" sort="0" autoFilter="0" pivotTables="0"/>
  <mergeCells count="69">
    <mergeCell ref="S37:V37"/>
    <mergeCell ref="S38:V38"/>
    <mergeCell ref="S39:V39"/>
    <mergeCell ref="S40:V40"/>
    <mergeCell ref="S41:V42"/>
    <mergeCell ref="S36:V36"/>
    <mergeCell ref="S25:V25"/>
    <mergeCell ref="S26:V26"/>
    <mergeCell ref="S27:V27"/>
    <mergeCell ref="S28:V28"/>
    <mergeCell ref="S29:V29"/>
    <mergeCell ref="S30:V30"/>
    <mergeCell ref="S31:V31"/>
    <mergeCell ref="S32:V32"/>
    <mergeCell ref="S33:V33"/>
    <mergeCell ref="S34:V34"/>
    <mergeCell ref="S35:V35"/>
    <mergeCell ref="S19:V19"/>
    <mergeCell ref="S20:V20"/>
    <mergeCell ref="S21:V21"/>
    <mergeCell ref="S22:V22"/>
    <mergeCell ref="S23:V23"/>
    <mergeCell ref="S24:V24"/>
    <mergeCell ref="BA14:BA15"/>
    <mergeCell ref="BB14:BB15"/>
    <mergeCell ref="BC14:BC15"/>
    <mergeCell ref="S16:V16"/>
    <mergeCell ref="S17:V17"/>
    <mergeCell ref="S18:V18"/>
    <mergeCell ref="AU14:AU15"/>
    <mergeCell ref="AV14:AV15"/>
    <mergeCell ref="AW14:AW15"/>
    <mergeCell ref="AX14:AX15"/>
    <mergeCell ref="AY14:AY15"/>
    <mergeCell ref="AZ14:AZ15"/>
    <mergeCell ref="AO14:AO15"/>
    <mergeCell ref="AP14:AP15"/>
    <mergeCell ref="AQ14:AQ15"/>
    <mergeCell ref="AR14:AR15"/>
    <mergeCell ref="AS14:AS15"/>
    <mergeCell ref="AT14:AT15"/>
    <mergeCell ref="AD14:AD15"/>
    <mergeCell ref="AJ14:AJ15"/>
    <mergeCell ref="AK14:AK15"/>
    <mergeCell ref="AL14:AL15"/>
    <mergeCell ref="AM14:AM15"/>
    <mergeCell ref="AN14:AN15"/>
    <mergeCell ref="Y14:AC14"/>
    <mergeCell ref="H13:H14"/>
    <mergeCell ref="I13:I14"/>
    <mergeCell ref="J13:J14"/>
    <mergeCell ref="K13:K14"/>
    <mergeCell ref="L13:L14"/>
    <mergeCell ref="M13:N13"/>
    <mergeCell ref="Q13:Q14"/>
    <mergeCell ref="R13:R14"/>
    <mergeCell ref="S13:V15"/>
    <mergeCell ref="O13:O14"/>
    <mergeCell ref="P13:P14"/>
    <mergeCell ref="A10:V10"/>
    <mergeCell ref="A11:V11"/>
    <mergeCell ref="K12:L12"/>
    <mergeCell ref="A13:A15"/>
    <mergeCell ref="B13:B14"/>
    <mergeCell ref="C13:C14"/>
    <mergeCell ref="D13:D14"/>
    <mergeCell ref="E13:E14"/>
    <mergeCell ref="F13:F14"/>
    <mergeCell ref="G13:G14"/>
  </mergeCells>
  <conditionalFormatting sqref="I47">
    <cfRule type="cellIs" dxfId="51" priority="5" operator="lessThan">
      <formula>0</formula>
    </cfRule>
  </conditionalFormatting>
  <conditionalFormatting sqref="Y16:Y39">
    <cfRule type="containsText" dxfId="50" priority="3" operator="containsText" text="STBY">
      <formula>NOT(ISERROR(SEARCH("STBY",Y16)))</formula>
    </cfRule>
    <cfRule type="containsText" dxfId="49" priority="4" operator="containsText" text="SD">
      <formula>NOT(ISERROR(SEARCH("SD",Y16)))</formula>
    </cfRule>
  </conditionalFormatting>
  <conditionalFormatting sqref="B16:B39 D16:R39">
    <cfRule type="expression" dxfId="48" priority="2">
      <formula>ISTEXT(B16)</formula>
    </cfRule>
  </conditionalFormatting>
  <conditionalFormatting sqref="C16:C39">
    <cfRule type="expression" dxfId="47" priority="1">
      <formula>ISTEXT(C16)</formula>
    </cfRule>
  </conditionalFormatting>
  <dataValidations count="2">
    <dataValidation type="list" allowBlank="1" showInputMessage="1" showErrorMessage="1" sqref="Y16:Y39" xr:uid="{F17EF759-DAE8-4D7C-B1A3-DAFF20231657}">
      <formula1>"SD,STBY"</formula1>
    </dataValidation>
    <dataValidation type="list" allowBlank="1" showInputMessage="1" sqref="AD16:AD39" xr:uid="{47DA77F0-ED8E-4126-9772-A49A3D887DDF}">
      <formula1>$AH$15:$AH$72</formula1>
    </dataValidation>
  </dataValidations>
  <printOptions horizontalCentered="1"/>
  <pageMargins left="0.39370078740157483" right="0.39370078740157483" top="0.59055118110236227" bottom="0.39370078740157483" header="0.31496062992125984" footer="0.31496062992125984"/>
  <pageSetup paperSize="9" scale="57" orientation="landscape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0FD1-7A42-49BB-85D1-99BC0982596A}">
  <sheetPr codeName="N22">
    <pageSetUpPr fitToPage="1"/>
  </sheetPr>
  <dimension ref="A1:BC94"/>
  <sheetViews>
    <sheetView topLeftCell="A16" zoomScale="85" zoomScaleNormal="85" workbookViewId="0">
      <selection activeCell="N27" sqref="N27"/>
    </sheetView>
  </sheetViews>
  <sheetFormatPr defaultColWidth="0" defaultRowHeight="0" customHeight="1" zeroHeight="1" x14ac:dyDescent="0.25"/>
  <cols>
    <col min="1" max="1" width="10.7109375" style="7" customWidth="1"/>
    <col min="2" max="3" width="10.7109375" style="7" hidden="1" customWidth="1"/>
    <col min="4" max="14" width="10.7109375" style="7" customWidth="1"/>
    <col min="15" max="17" width="11.7109375" style="7" customWidth="1"/>
    <col min="18" max="18" width="10.7109375" style="7" hidden="1" customWidth="1"/>
    <col min="19" max="22" width="10.7109375" style="7" customWidth="1"/>
    <col min="23" max="23" width="2.7109375" style="7" customWidth="1"/>
    <col min="24" max="29" width="10.7109375" style="7" customWidth="1"/>
    <col min="30" max="30" width="30.7109375" style="7" customWidth="1"/>
    <col min="31" max="33" width="11.7109375" style="7" customWidth="1"/>
    <col min="34" max="34" width="30.7109375" style="7" customWidth="1"/>
    <col min="35" max="35" width="2.7109375" style="7" hidden="1" customWidth="1"/>
    <col min="36" max="55" width="11.7109375" style="7" hidden="1" customWidth="1"/>
    <col min="56" max="16384" width="9.140625" style="7" hidden="1"/>
  </cols>
  <sheetData>
    <row r="1" spans="1:55" ht="15" customHeight="1" x14ac:dyDescent="0.25">
      <c r="A1" s="7" t="s">
        <v>16</v>
      </c>
      <c r="D1" s="11" t="s">
        <v>85</v>
      </c>
      <c r="J1" s="7" t="str">
        <f>IF(MR!U13="Yes","PRINT","No")</f>
        <v>PRINT</v>
      </c>
      <c r="M1" s="191"/>
      <c r="N1" s="191"/>
    </row>
    <row r="2" spans="1:55" ht="15" customHeight="1" thickBot="1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192"/>
      <c r="M2" s="4"/>
      <c r="N2" s="4"/>
      <c r="O2" s="4"/>
      <c r="P2" s="4"/>
      <c r="Q2" s="4"/>
      <c r="R2" s="4"/>
      <c r="S2" s="8"/>
      <c r="T2" s="8"/>
      <c r="U2" s="8"/>
      <c r="V2" s="8"/>
      <c r="X2" s="8"/>
      <c r="Y2" s="8"/>
      <c r="Z2" s="8"/>
      <c r="AA2" s="8"/>
      <c r="AB2" s="8"/>
      <c r="AC2" s="8"/>
      <c r="AD2" s="8"/>
      <c r="AE2" s="8"/>
    </row>
    <row r="3" spans="1:55" ht="15" customHeight="1" x14ac:dyDescent="0.2">
      <c r="A3" s="31"/>
      <c r="B3" s="28"/>
      <c r="C3" s="28"/>
      <c r="D3" s="28"/>
      <c r="E3" s="28"/>
      <c r="F3" s="13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2"/>
      <c r="T3" s="22"/>
      <c r="U3" s="22"/>
      <c r="V3" s="23"/>
      <c r="X3" s="8"/>
      <c r="Y3" s="8"/>
      <c r="Z3" s="8"/>
      <c r="AA3" s="8"/>
      <c r="AB3" s="8"/>
      <c r="AC3" s="8"/>
      <c r="AD3" s="8"/>
      <c r="AE3" s="8"/>
    </row>
    <row r="4" spans="1:55" ht="30" customHeight="1" x14ac:dyDescent="0.25">
      <c r="A4" s="30"/>
      <c r="B4" s="1"/>
      <c r="C4" s="1"/>
      <c r="D4" s="1"/>
      <c r="E4" s="3"/>
      <c r="F4" s="63" t="s">
        <v>210</v>
      </c>
      <c r="G4" s="1"/>
      <c r="H4" s="1"/>
      <c r="I4" s="3"/>
      <c r="J4" s="3"/>
      <c r="K4" s="3"/>
      <c r="L4" s="3"/>
      <c r="M4" s="3"/>
      <c r="N4" s="3"/>
      <c r="O4" s="3"/>
      <c r="P4" s="3"/>
      <c r="Q4" s="3"/>
      <c r="R4" s="3"/>
      <c r="S4" s="1"/>
      <c r="T4" s="1"/>
      <c r="U4" s="1"/>
      <c r="V4" s="2"/>
      <c r="X4" s="5"/>
      <c r="Y4" s="5"/>
      <c r="Z4" s="5"/>
      <c r="AA4" s="5"/>
      <c r="AB4" s="5"/>
      <c r="AC4" s="5"/>
      <c r="AD4" s="5"/>
      <c r="AE4" s="5"/>
    </row>
    <row r="5" spans="1:55" ht="15" customHeight="1" x14ac:dyDescent="0.2">
      <c r="A5" s="32"/>
      <c r="B5" s="33"/>
      <c r="C5" s="33"/>
      <c r="D5" s="12"/>
      <c r="E5" s="3"/>
      <c r="F5" s="10" t="s">
        <v>129</v>
      </c>
      <c r="G5" s="1"/>
      <c r="H5" s="1"/>
      <c r="I5" s="3"/>
      <c r="J5" s="3"/>
      <c r="K5" s="3"/>
      <c r="L5" s="3"/>
      <c r="M5" s="3"/>
      <c r="N5" s="3"/>
      <c r="O5" s="3"/>
      <c r="P5" s="3"/>
      <c r="Q5" s="3"/>
      <c r="R5" s="3"/>
      <c r="S5" s="12"/>
      <c r="T5" s="12"/>
      <c r="U5" s="12"/>
      <c r="V5" s="14"/>
      <c r="X5" s="8"/>
      <c r="Y5" s="8"/>
      <c r="Z5" s="8"/>
      <c r="AA5" s="8"/>
      <c r="AB5" s="8"/>
      <c r="AC5" s="8"/>
      <c r="AD5" s="8"/>
      <c r="AE5" s="8"/>
      <c r="AJ5" s="193" t="s">
        <v>184</v>
      </c>
      <c r="AK5" s="194">
        <f>'V Calc'!B1</f>
        <v>500</v>
      </c>
      <c r="AL5" s="124"/>
    </row>
    <row r="6" spans="1:55" ht="15" customHeight="1" x14ac:dyDescent="0.2">
      <c r="A6" s="32"/>
      <c r="B6" s="33"/>
      <c r="C6" s="33"/>
      <c r="D6" s="12"/>
      <c r="E6" s="3"/>
      <c r="F6" s="10" t="s">
        <v>132</v>
      </c>
      <c r="G6" s="1"/>
      <c r="H6" s="1"/>
      <c r="I6" s="3"/>
      <c r="J6" s="3"/>
      <c r="K6" s="3"/>
      <c r="L6" s="3"/>
      <c r="M6" s="3"/>
      <c r="N6" s="3"/>
      <c r="O6" s="3"/>
      <c r="P6" s="3"/>
      <c r="Q6" s="3"/>
      <c r="R6" s="3"/>
      <c r="S6" s="12"/>
      <c r="T6" s="12"/>
      <c r="U6" s="12"/>
      <c r="V6" s="14"/>
      <c r="X6" s="8"/>
      <c r="Y6" s="8"/>
      <c r="Z6" s="8"/>
      <c r="AA6" s="8"/>
      <c r="AB6" s="8"/>
      <c r="AC6" s="8"/>
      <c r="AD6" s="8"/>
      <c r="AE6" s="8"/>
      <c r="AJ6" s="193" t="s">
        <v>185</v>
      </c>
      <c r="AK6" s="194">
        <f>'V Calc'!B2</f>
        <v>100</v>
      </c>
      <c r="AL6" s="124"/>
    </row>
    <row r="7" spans="1:55" ht="15" customHeight="1" x14ac:dyDescent="0.2">
      <c r="A7" s="32"/>
      <c r="B7" s="33"/>
      <c r="C7" s="33"/>
      <c r="D7" s="12"/>
      <c r="E7" s="3"/>
      <c r="F7" s="10" t="s">
        <v>130</v>
      </c>
      <c r="G7" s="1"/>
      <c r="H7" s="1"/>
      <c r="I7" s="3"/>
      <c r="J7" s="3"/>
      <c r="K7" s="3"/>
      <c r="L7" s="3"/>
      <c r="M7" s="3"/>
      <c r="N7" s="3"/>
      <c r="O7" s="3"/>
      <c r="P7" s="3"/>
      <c r="Q7" s="3"/>
      <c r="R7" s="3"/>
      <c r="S7" s="12"/>
      <c r="T7" s="12"/>
      <c r="U7" s="12"/>
      <c r="V7" s="14"/>
      <c r="X7" s="8"/>
      <c r="Y7" s="8"/>
      <c r="Z7" s="8"/>
      <c r="AA7" s="8"/>
      <c r="AB7" s="8"/>
      <c r="AC7" s="8"/>
      <c r="AD7" s="8"/>
      <c r="AE7" s="8"/>
      <c r="AJ7" s="193" t="s">
        <v>186</v>
      </c>
      <c r="AK7" s="195">
        <f>'V Calc'!B3</f>
        <v>2</v>
      </c>
      <c r="AL7" s="124"/>
    </row>
    <row r="8" spans="1:55" ht="15" customHeight="1" x14ac:dyDescent="0.2">
      <c r="A8" s="32"/>
      <c r="B8" s="33"/>
      <c r="C8" s="33"/>
      <c r="D8" s="12"/>
      <c r="E8" s="3"/>
      <c r="F8" s="10" t="s">
        <v>131</v>
      </c>
      <c r="G8" s="62"/>
      <c r="H8" s="62"/>
      <c r="I8" s="3"/>
      <c r="J8" s="3"/>
      <c r="K8" s="3"/>
      <c r="L8" s="3"/>
      <c r="M8" s="3"/>
      <c r="N8" s="3"/>
      <c r="O8" s="3"/>
      <c r="P8" s="3"/>
      <c r="Q8" s="3"/>
      <c r="R8" s="3"/>
      <c r="S8" s="12"/>
      <c r="T8" s="12"/>
      <c r="U8" s="12"/>
      <c r="V8" s="14"/>
      <c r="X8" s="8"/>
      <c r="Y8" s="8"/>
      <c r="Z8" s="8"/>
      <c r="AA8" s="8"/>
      <c r="AB8" s="8"/>
      <c r="AC8" s="8"/>
      <c r="AD8" s="8"/>
      <c r="AE8" s="8"/>
      <c r="AJ8" s="193" t="s">
        <v>187</v>
      </c>
      <c r="AK8" s="195">
        <f>'V Calc'!B4</f>
        <v>0.875</v>
      </c>
      <c r="AL8" s="124"/>
    </row>
    <row r="9" spans="1:55" ht="15" customHeight="1" thickBot="1" x14ac:dyDescent="0.25">
      <c r="A9" s="34"/>
      <c r="B9" s="29"/>
      <c r="C9" s="29"/>
      <c r="D9" s="29"/>
      <c r="E9" s="29"/>
      <c r="F9" s="15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16"/>
      <c r="T9" s="16"/>
      <c r="U9" s="16"/>
      <c r="V9" s="17"/>
      <c r="X9" s="8"/>
      <c r="Y9" s="8"/>
      <c r="Z9" s="8"/>
      <c r="AA9" s="8"/>
      <c r="AB9" s="8"/>
      <c r="AC9" s="8"/>
      <c r="AD9" s="8"/>
      <c r="AE9" s="8"/>
      <c r="AJ9" s="196" t="s">
        <v>188</v>
      </c>
      <c r="AK9" s="197">
        <f>'V Calc'!B5</f>
        <v>158.47</v>
      </c>
      <c r="AL9" s="198"/>
    </row>
    <row r="10" spans="1:55" s="9" customFormat="1" ht="30" customHeight="1" x14ac:dyDescent="0.2">
      <c r="A10" s="513" t="s">
        <v>20</v>
      </c>
      <c r="B10" s="514"/>
      <c r="C10" s="514"/>
      <c r="D10" s="514"/>
      <c r="E10" s="514"/>
      <c r="F10" s="514"/>
      <c r="G10" s="514"/>
      <c r="H10" s="514"/>
      <c r="I10" s="514"/>
      <c r="J10" s="514"/>
      <c r="K10" s="514"/>
      <c r="L10" s="514"/>
      <c r="M10" s="514"/>
      <c r="N10" s="514"/>
      <c r="O10" s="514"/>
      <c r="P10" s="514"/>
      <c r="Q10" s="514"/>
      <c r="R10" s="514"/>
      <c r="S10" s="514"/>
      <c r="T10" s="514"/>
      <c r="U10" s="514"/>
      <c r="V10" s="515"/>
      <c r="X10" s="96"/>
      <c r="Y10" s="96"/>
      <c r="Z10" s="96"/>
      <c r="AA10" s="96"/>
      <c r="AB10" s="96"/>
      <c r="AC10" s="96"/>
      <c r="AJ10" s="193" t="s">
        <v>189</v>
      </c>
      <c r="AK10" s="199">
        <f>'V Calc'!B6</f>
        <v>0.63607464142166403</v>
      </c>
      <c r="AL10" s="198" t="s">
        <v>190</v>
      </c>
    </row>
    <row r="11" spans="1:55" s="9" customFormat="1" ht="20.100000000000001" customHeight="1" thickBot="1" x14ac:dyDescent="0.25">
      <c r="A11" s="516" t="s">
        <v>21</v>
      </c>
      <c r="B11" s="517"/>
      <c r="C11" s="517"/>
      <c r="D11" s="517"/>
      <c r="E11" s="517"/>
      <c r="F11" s="517"/>
      <c r="G11" s="517"/>
      <c r="H11" s="517"/>
      <c r="I11" s="517"/>
      <c r="J11" s="517"/>
      <c r="K11" s="517"/>
      <c r="L11" s="517"/>
      <c r="M11" s="517"/>
      <c r="N11" s="517"/>
      <c r="O11" s="517"/>
      <c r="P11" s="517"/>
      <c r="Q11" s="517"/>
      <c r="R11" s="517"/>
      <c r="S11" s="517"/>
      <c r="T11" s="517"/>
      <c r="U11" s="517"/>
      <c r="V11" s="518"/>
      <c r="X11" s="97"/>
      <c r="Y11" s="97"/>
      <c r="Z11" s="97"/>
      <c r="AA11" s="97"/>
      <c r="AB11" s="97"/>
      <c r="AC11" s="97"/>
    </row>
    <row r="12" spans="1:55" s="6" customFormat="1" ht="30" customHeight="1" thickBot="1" x14ac:dyDescent="0.3">
      <c r="A12" s="18"/>
      <c r="B12" s="20"/>
      <c r="C12" s="20"/>
      <c r="D12" s="19" t="s">
        <v>121</v>
      </c>
      <c r="E12" s="200" t="str">
        <f>'Day 21'!E12</f>
        <v>MPR 632  RFD</v>
      </c>
      <c r="F12" s="35"/>
      <c r="G12" s="19" t="s">
        <v>120</v>
      </c>
      <c r="H12" s="200" t="str">
        <f>IF(Volume!C$25="","",Volume!C$25)</f>
        <v>FP 65354</v>
      </c>
      <c r="I12" s="20"/>
      <c r="J12" s="19" t="s">
        <v>17</v>
      </c>
      <c r="K12" s="505">
        <f>'Day 21'!K12+1</f>
        <v>45830</v>
      </c>
      <c r="L12" s="505"/>
      <c r="M12" s="100"/>
      <c r="N12" s="19" t="s">
        <v>119</v>
      </c>
      <c r="O12" s="200" t="str">
        <f>IF(Volume!D$25="","",Volume!D$25)</f>
        <v>SP. Tambun - Cluster F</v>
      </c>
      <c r="P12" s="20"/>
      <c r="Q12" s="19" t="s">
        <v>122</v>
      </c>
      <c r="S12" s="201">
        <f>IF(Volume!E$25="","",Volume!E$25)</f>
        <v>1.25</v>
      </c>
      <c r="T12" s="20"/>
      <c r="U12" s="19" t="s">
        <v>126</v>
      </c>
      <c r="V12" s="202" t="str">
        <f>IF(Volume!F$25="","",Volume!F$25)</f>
        <v>4/0</v>
      </c>
    </row>
    <row r="13" spans="1:55" ht="30" customHeight="1" thickBot="1" x14ac:dyDescent="0.3">
      <c r="A13" s="502" t="s">
        <v>0</v>
      </c>
      <c r="B13" s="502" t="s">
        <v>213</v>
      </c>
      <c r="C13" s="502" t="s">
        <v>212</v>
      </c>
      <c r="D13" s="502" t="s">
        <v>31</v>
      </c>
      <c r="E13" s="502" t="s">
        <v>32</v>
      </c>
      <c r="F13" s="502" t="s">
        <v>2</v>
      </c>
      <c r="G13" s="502" t="s">
        <v>33</v>
      </c>
      <c r="H13" s="502" t="s">
        <v>35</v>
      </c>
      <c r="I13" s="502" t="s">
        <v>36</v>
      </c>
      <c r="J13" s="502" t="s">
        <v>110</v>
      </c>
      <c r="K13" s="502" t="s">
        <v>15</v>
      </c>
      <c r="L13" s="502" t="s">
        <v>34</v>
      </c>
      <c r="M13" s="502" t="s">
        <v>10</v>
      </c>
      <c r="N13" s="502"/>
      <c r="O13" s="506" t="s">
        <v>300</v>
      </c>
      <c r="P13" s="506" t="s">
        <v>299</v>
      </c>
      <c r="Q13" s="502" t="s">
        <v>7</v>
      </c>
      <c r="R13" s="502" t="s">
        <v>88</v>
      </c>
      <c r="S13" s="502" t="s">
        <v>8</v>
      </c>
      <c r="T13" s="502"/>
      <c r="U13" s="502"/>
      <c r="V13" s="502"/>
      <c r="X13" s="98"/>
      <c r="Y13" s="98"/>
      <c r="Z13" s="98"/>
      <c r="AA13" s="98"/>
      <c r="AB13" s="98"/>
      <c r="AC13" s="98"/>
    </row>
    <row r="14" spans="1:55" ht="30" customHeight="1" x14ac:dyDescent="0.25">
      <c r="A14" s="504"/>
      <c r="B14" s="504"/>
      <c r="C14" s="504"/>
      <c r="D14" s="504"/>
      <c r="E14" s="504"/>
      <c r="F14" s="504"/>
      <c r="G14" s="504"/>
      <c r="H14" s="504"/>
      <c r="I14" s="504"/>
      <c r="J14" s="504"/>
      <c r="K14" s="504"/>
      <c r="L14" s="504"/>
      <c r="M14" s="94" t="s">
        <v>3</v>
      </c>
      <c r="N14" s="94" t="s">
        <v>4</v>
      </c>
      <c r="O14" s="507"/>
      <c r="P14" s="507"/>
      <c r="Q14" s="504"/>
      <c r="R14" s="504"/>
      <c r="S14" s="504"/>
      <c r="T14" s="504"/>
      <c r="U14" s="504"/>
      <c r="V14" s="504"/>
      <c r="Y14" s="502" t="s">
        <v>230</v>
      </c>
      <c r="Z14" s="502"/>
      <c r="AA14" s="502"/>
      <c r="AB14" s="502"/>
      <c r="AC14" s="502"/>
      <c r="AD14" s="502" t="s">
        <v>231</v>
      </c>
      <c r="AH14" s="203" t="s">
        <v>232</v>
      </c>
      <c r="AJ14" s="520" t="s">
        <v>191</v>
      </c>
      <c r="AK14" s="520" t="s">
        <v>192</v>
      </c>
      <c r="AL14" s="520" t="s">
        <v>193</v>
      </c>
      <c r="AM14" s="520" t="s">
        <v>194</v>
      </c>
      <c r="AN14" s="520" t="s">
        <v>195</v>
      </c>
      <c r="AO14" s="506" t="s">
        <v>196</v>
      </c>
      <c r="AP14" s="506" t="s">
        <v>197</v>
      </c>
      <c r="AQ14" s="506" t="s">
        <v>198</v>
      </c>
      <c r="AR14" s="506" t="s">
        <v>188</v>
      </c>
      <c r="AS14" s="506" t="s">
        <v>199</v>
      </c>
      <c r="AT14" s="506" t="s">
        <v>200</v>
      </c>
      <c r="AU14" s="506" t="s">
        <v>201</v>
      </c>
      <c r="AV14" s="506" t="s">
        <v>202</v>
      </c>
      <c r="AW14" s="506" t="s">
        <v>203</v>
      </c>
      <c r="AX14" s="506" t="s">
        <v>204</v>
      </c>
      <c r="AY14" s="523" t="s">
        <v>205</v>
      </c>
      <c r="AZ14" s="523" t="s">
        <v>206</v>
      </c>
      <c r="BA14" s="523" t="s">
        <v>207</v>
      </c>
      <c r="BB14" s="523" t="s">
        <v>208</v>
      </c>
      <c r="BC14" s="506" t="s">
        <v>197</v>
      </c>
    </row>
    <row r="15" spans="1:55" ht="20.100000000000001" customHeight="1" thickBot="1" x14ac:dyDescent="0.3">
      <c r="A15" s="503"/>
      <c r="B15" s="95" t="s">
        <v>1</v>
      </c>
      <c r="C15" s="95" t="s">
        <v>1</v>
      </c>
      <c r="D15" s="95" t="s">
        <v>1</v>
      </c>
      <c r="E15" s="95" t="s">
        <v>1</v>
      </c>
      <c r="F15" s="95" t="s">
        <v>140</v>
      </c>
      <c r="G15" s="95" t="s">
        <v>1</v>
      </c>
      <c r="H15" s="95" t="s">
        <v>1</v>
      </c>
      <c r="I15" s="95" t="s">
        <v>1</v>
      </c>
      <c r="J15" s="95" t="s">
        <v>18</v>
      </c>
      <c r="K15" s="95" t="s">
        <v>9</v>
      </c>
      <c r="L15" s="95" t="s">
        <v>5</v>
      </c>
      <c r="M15" s="95" t="s">
        <v>5</v>
      </c>
      <c r="N15" s="95" t="s">
        <v>5</v>
      </c>
      <c r="O15" s="95" t="s">
        <v>1</v>
      </c>
      <c r="P15" s="95" t="s">
        <v>14</v>
      </c>
      <c r="Q15" s="95" t="str">
        <f>IF(MR!G17="MSCF","MSCFD","MMSCFD")</f>
        <v>MSCFD</v>
      </c>
      <c r="R15" s="95" t="str">
        <f>MR!L17</f>
        <v>BPD</v>
      </c>
      <c r="S15" s="503"/>
      <c r="T15" s="503"/>
      <c r="U15" s="503"/>
      <c r="V15" s="503"/>
      <c r="X15" s="365"/>
      <c r="Y15" s="95" t="s">
        <v>123</v>
      </c>
      <c r="Z15" s="95" t="s">
        <v>124</v>
      </c>
      <c r="AA15" s="95" t="s">
        <v>125</v>
      </c>
      <c r="AB15" s="95" t="s">
        <v>51</v>
      </c>
      <c r="AC15" s="95" t="s">
        <v>48</v>
      </c>
      <c r="AD15" s="503"/>
      <c r="AH15" s="204" t="s">
        <v>228</v>
      </c>
      <c r="AJ15" s="521"/>
      <c r="AK15" s="521"/>
      <c r="AL15" s="521"/>
      <c r="AM15" s="521"/>
      <c r="AN15" s="521"/>
      <c r="AO15" s="522"/>
      <c r="AP15" s="522"/>
      <c r="AQ15" s="522"/>
      <c r="AR15" s="522"/>
      <c r="AS15" s="522"/>
      <c r="AT15" s="522"/>
      <c r="AU15" s="522"/>
      <c r="AV15" s="522"/>
      <c r="AW15" s="522"/>
      <c r="AX15" s="522"/>
      <c r="AY15" s="524"/>
      <c r="AZ15" s="524"/>
      <c r="BA15" s="524"/>
      <c r="BB15" s="524"/>
      <c r="BC15" s="522"/>
    </row>
    <row r="16" spans="1:55" ht="20.100000000000001" customHeight="1" x14ac:dyDescent="0.2">
      <c r="A16" s="44">
        <v>4.1666666666666664E-2</v>
      </c>
      <c r="B16" s="450"/>
      <c r="C16" s="450"/>
      <c r="D16" s="450">
        <v>7.7</v>
      </c>
      <c r="E16" s="450">
        <v>62.1</v>
      </c>
      <c r="F16" s="40">
        <v>1973</v>
      </c>
      <c r="G16" s="36">
        <v>-5.6</v>
      </c>
      <c r="H16" s="36">
        <v>72.599999999999994</v>
      </c>
      <c r="I16" s="36">
        <v>22.3</v>
      </c>
      <c r="J16" s="40">
        <v>584</v>
      </c>
      <c r="K16" s="36">
        <v>13</v>
      </c>
      <c r="L16" s="450">
        <v>126</v>
      </c>
      <c r="M16" s="450">
        <v>220</v>
      </c>
      <c r="N16" s="450">
        <v>90</v>
      </c>
      <c r="O16" s="352">
        <v>40</v>
      </c>
      <c r="P16" s="352">
        <v>13</v>
      </c>
      <c r="Q16" s="352">
        <v>237.53</v>
      </c>
      <c r="R16" s="36"/>
      <c r="S16" s="519" t="str">
        <f t="shared" ref="S16:S32" si="0">IF(Z16="",IF(AD16="","",AD16),CONCATENATE(TEXT(Z16,"[hh]:mm"),IF(AA16="",""," - "&amp;TEXT(AA16,"[hh]:mm")),IF(Y16="",""," "&amp;Y16&amp;"/")," "&amp;AD16))</f>
        <v/>
      </c>
      <c r="T16" s="519"/>
      <c r="U16" s="519"/>
      <c r="V16" s="519"/>
      <c r="X16" s="44">
        <v>4.1666666666666664E-2</v>
      </c>
      <c r="Y16" s="105"/>
      <c r="Z16" s="101"/>
      <c r="AA16" s="101"/>
      <c r="AB16" s="44" t="str">
        <f>IF(Y16="STBY",AA16-Z16,"")</f>
        <v/>
      </c>
      <c r="AC16" s="44" t="str">
        <f t="shared" ref="AC16:AC39" si="1">IF(Y16="SD",AA16-Z16,"")</f>
        <v/>
      </c>
      <c r="AD16" s="355"/>
      <c r="AE16" s="9" t="str">
        <f>IF(S16="","",IF(COUNTA(Z16:$Z$39)=1,IF(COUNTA(AD16:$AD$39)=1,""," ; "),IF(COUNTA(AD16:$AD$39)=1,IF(Z16="",""," ; ")," ; ")))</f>
        <v/>
      </c>
      <c r="AF16" s="9" t="str">
        <f t="shared" ref="AF16:AF39" si="2">CONCATENATE(S16,AE16)</f>
        <v/>
      </c>
      <c r="AG16" s="90" t="str">
        <f t="shared" ref="AG16:AG39" si="3">IF(AND(COUNTBLANK(N16:P16)&lt;3,Q16=""),"CEK : Data Flowrate","")</f>
        <v/>
      </c>
      <c r="AH16" s="204" t="s">
        <v>229</v>
      </c>
      <c r="AJ16" s="205">
        <f>AK5</f>
        <v>500</v>
      </c>
      <c r="AK16" s="205">
        <f>AK6</f>
        <v>100</v>
      </c>
      <c r="AL16" s="206">
        <f>AK7</f>
        <v>2</v>
      </c>
      <c r="AM16" s="207">
        <f>AK8</f>
        <v>0.875</v>
      </c>
      <c r="AN16" s="208">
        <f>AK10</f>
        <v>0.63607464142166403</v>
      </c>
      <c r="AO16" s="209">
        <f t="shared" ref="AO16:AO39" si="4">T16^2*AJ16/100-14.7</f>
        <v>-14.7</v>
      </c>
      <c r="AP16" s="210">
        <f t="shared" ref="AP16:AP39" si="5">IF(AO16&lt;100,1,BC16)</f>
        <v>1</v>
      </c>
      <c r="AQ16" s="210">
        <f t="shared" ref="AQ16:AQ39" si="6">(1/AP16)^0.5</f>
        <v>1</v>
      </c>
      <c r="AR16" s="52">
        <f>AK9</f>
        <v>158.47</v>
      </c>
      <c r="AS16" s="210">
        <f t="shared" ref="AS16:AS39" si="7">(520/(460+N16))^0.5</f>
        <v>0.9723448696087954</v>
      </c>
      <c r="AT16" s="210">
        <f t="shared" ref="AT16:AT39" si="8">(1/AN16)^0.5</f>
        <v>1.2538510821608391</v>
      </c>
      <c r="AU16" s="210">
        <f t="shared" ref="AU16:AU39" si="9">0.01*(AJ16*AK16)^0.5</f>
        <v>2.2360679774997898</v>
      </c>
      <c r="AV16" s="211">
        <f t="shared" ref="AV16:AV39" si="10">0.024*AQ16*AR16*AS16*AT16*AU16</f>
        <v>10.368348541764712</v>
      </c>
      <c r="AW16" s="210">
        <f t="shared" ref="AW16:AW39" si="11">(AO16+14.7)/(697.2-43*AN16)</f>
        <v>0</v>
      </c>
      <c r="AX16" s="212">
        <f t="shared" ref="AX16:AX39" si="12">(N16+460)/(315.1*AN16+170.4)</f>
        <v>1.4831709199797398</v>
      </c>
      <c r="AY16" s="210">
        <f t="shared" ref="AY16:AY39" si="13">0.3379*LN(LN(AX16))+1.091</f>
        <v>0.77643477842613629</v>
      </c>
      <c r="AZ16" s="211">
        <f t="shared" ref="AZ16:AZ39" si="14">21.46*AY16-11.9*AY16^2-5.9</f>
        <v>3.5883638597441294</v>
      </c>
      <c r="BA16" s="210">
        <f t="shared" ref="BA16:BA39" si="15">AW16/AZ16</f>
        <v>0</v>
      </c>
      <c r="BB16" s="210">
        <f t="shared" ref="BB16:BB39" si="16">(1.1+0.26*AX16+(1.04-1.42*AX16)*BA16)*2.718^BA16/AX16</f>
        <v>1.0016542390239327</v>
      </c>
      <c r="BC16" s="210">
        <f t="shared" ref="BC16:BC39" si="17">1+(AY16-1)*SIN((90*BA16)/57.29578)^BB16</f>
        <v>1</v>
      </c>
    </row>
    <row r="17" spans="1:55" ht="20.100000000000001" customHeight="1" x14ac:dyDescent="0.2">
      <c r="A17" s="45">
        <v>8.3333333333333301E-2</v>
      </c>
      <c r="B17" s="451"/>
      <c r="C17" s="451"/>
      <c r="D17" s="451">
        <v>6.6</v>
      </c>
      <c r="E17" s="451">
        <v>61.6</v>
      </c>
      <c r="F17" s="41">
        <v>1981</v>
      </c>
      <c r="G17" s="37">
        <v>-5.6</v>
      </c>
      <c r="H17" s="37">
        <v>72.3</v>
      </c>
      <c r="I17" s="37">
        <v>22.1</v>
      </c>
      <c r="J17" s="41">
        <v>585</v>
      </c>
      <c r="K17" s="37">
        <v>13</v>
      </c>
      <c r="L17" s="451">
        <v>124</v>
      </c>
      <c r="M17" s="451">
        <v>221</v>
      </c>
      <c r="N17" s="451">
        <v>90</v>
      </c>
      <c r="O17" s="353">
        <v>40</v>
      </c>
      <c r="P17" s="353">
        <v>13</v>
      </c>
      <c r="Q17" s="353">
        <v>237.53</v>
      </c>
      <c r="R17" s="37"/>
      <c r="S17" s="508" t="str">
        <f t="shared" si="0"/>
        <v/>
      </c>
      <c r="T17" s="508"/>
      <c r="U17" s="508"/>
      <c r="V17" s="508"/>
      <c r="X17" s="45">
        <v>8.3333333333333301E-2</v>
      </c>
      <c r="Y17" s="106"/>
      <c r="Z17" s="102"/>
      <c r="AA17" s="102"/>
      <c r="AB17" s="45" t="str">
        <f t="shared" ref="AB17:AB39" si="18">IF(Y17="STBY",AA17-Z17,"")</f>
        <v/>
      </c>
      <c r="AC17" s="45" t="str">
        <f t="shared" si="1"/>
        <v/>
      </c>
      <c r="AD17" s="81"/>
      <c r="AE17" s="9" t="str">
        <f>IF(S17="","",IF(COUNTA(Z17:$Z$39)=1,IF(COUNTA(AD17:$AD$39)=1,""," ; "),IF(COUNTA(AD17:$AD$39)=1,IF(Z17="",""," ; ")," ; ")))</f>
        <v/>
      </c>
      <c r="AF17" s="9" t="str">
        <f t="shared" si="2"/>
        <v/>
      </c>
      <c r="AG17" s="90" t="str">
        <f t="shared" si="3"/>
        <v/>
      </c>
      <c r="AH17" s="204" t="s">
        <v>289</v>
      </c>
      <c r="AJ17" s="206">
        <f t="shared" ref="AJ17:AN32" si="19">AJ16</f>
        <v>500</v>
      </c>
      <c r="AK17" s="206">
        <f t="shared" si="19"/>
        <v>100</v>
      </c>
      <c r="AL17" s="206">
        <f>AL16</f>
        <v>2</v>
      </c>
      <c r="AM17" s="213">
        <f>AM16</f>
        <v>0.875</v>
      </c>
      <c r="AN17" s="214">
        <f>AN16</f>
        <v>0.63607464142166403</v>
      </c>
      <c r="AO17" s="215">
        <f t="shared" si="4"/>
        <v>-14.7</v>
      </c>
      <c r="AP17" s="216">
        <f t="shared" si="5"/>
        <v>1</v>
      </c>
      <c r="AQ17" s="216">
        <f t="shared" si="6"/>
        <v>1</v>
      </c>
      <c r="AR17" s="215">
        <f>AR16</f>
        <v>158.47</v>
      </c>
      <c r="AS17" s="216">
        <f t="shared" si="7"/>
        <v>0.9723448696087954</v>
      </c>
      <c r="AT17" s="216">
        <f t="shared" si="8"/>
        <v>1.2538510821608391</v>
      </c>
      <c r="AU17" s="216">
        <f t="shared" si="9"/>
        <v>2.2360679774997898</v>
      </c>
      <c r="AV17" s="217">
        <f t="shared" si="10"/>
        <v>10.368348541764712</v>
      </c>
      <c r="AW17" s="216">
        <f t="shared" si="11"/>
        <v>0</v>
      </c>
      <c r="AX17" s="218">
        <f t="shared" si="12"/>
        <v>1.4831709199797398</v>
      </c>
      <c r="AY17" s="216">
        <f t="shared" si="13"/>
        <v>0.77643477842613629</v>
      </c>
      <c r="AZ17" s="217">
        <f t="shared" si="14"/>
        <v>3.5883638597441294</v>
      </c>
      <c r="BA17" s="216">
        <f t="shared" si="15"/>
        <v>0</v>
      </c>
      <c r="BB17" s="216">
        <f t="shared" si="16"/>
        <v>1.0016542390239327</v>
      </c>
      <c r="BC17" s="216">
        <f t="shared" si="17"/>
        <v>1</v>
      </c>
    </row>
    <row r="18" spans="1:55" ht="20.100000000000001" customHeight="1" x14ac:dyDescent="0.2">
      <c r="A18" s="45">
        <v>0.125</v>
      </c>
      <c r="B18" s="451"/>
      <c r="C18" s="451"/>
      <c r="D18" s="451">
        <v>6.4</v>
      </c>
      <c r="E18" s="451">
        <v>61.4</v>
      </c>
      <c r="F18" s="41">
        <v>1933</v>
      </c>
      <c r="G18" s="37">
        <v>-5.6</v>
      </c>
      <c r="H18" s="37">
        <v>72.8</v>
      </c>
      <c r="I18" s="37">
        <v>22.5</v>
      </c>
      <c r="J18" s="41">
        <v>586</v>
      </c>
      <c r="K18" s="37">
        <v>13</v>
      </c>
      <c r="L18" s="451">
        <v>123</v>
      </c>
      <c r="M18" s="451">
        <v>220</v>
      </c>
      <c r="N18" s="451">
        <v>85</v>
      </c>
      <c r="O18" s="353">
        <v>40</v>
      </c>
      <c r="P18" s="353">
        <v>13</v>
      </c>
      <c r="Q18" s="353">
        <v>238.62</v>
      </c>
      <c r="R18" s="37"/>
      <c r="S18" s="508" t="str">
        <f t="shared" si="0"/>
        <v/>
      </c>
      <c r="T18" s="508"/>
      <c r="U18" s="508"/>
      <c r="V18" s="508"/>
      <c r="X18" s="45">
        <v>0.125</v>
      </c>
      <c r="Y18" s="106"/>
      <c r="Z18" s="102"/>
      <c r="AA18" s="102"/>
      <c r="AB18" s="45" t="str">
        <f t="shared" si="18"/>
        <v/>
      </c>
      <c r="AC18" s="45" t="str">
        <f t="shared" si="1"/>
        <v/>
      </c>
      <c r="AD18" s="81"/>
      <c r="AE18" s="9" t="str">
        <f>IF(S18="","",IF(COUNTA(Z18:$Z$39)=1,IF(COUNTA(AD18:$AD$39)=1,""," ; "),IF(COUNTA(AD18:$AD$39)=1,IF(Z18="",""," ; ")," ; ")))</f>
        <v/>
      </c>
      <c r="AF18" s="9" t="str">
        <f t="shared" si="2"/>
        <v/>
      </c>
      <c r="AG18" s="90" t="str">
        <f t="shared" si="3"/>
        <v/>
      </c>
      <c r="AH18" s="204" t="s">
        <v>321</v>
      </c>
      <c r="AJ18" s="206">
        <f t="shared" si="19"/>
        <v>500</v>
      </c>
      <c r="AK18" s="206">
        <f t="shared" si="19"/>
        <v>100</v>
      </c>
      <c r="AL18" s="206">
        <f t="shared" si="19"/>
        <v>2</v>
      </c>
      <c r="AM18" s="213">
        <f t="shared" si="19"/>
        <v>0.875</v>
      </c>
      <c r="AN18" s="214">
        <f t="shared" si="19"/>
        <v>0.63607464142166403</v>
      </c>
      <c r="AO18" s="215">
        <f t="shared" si="4"/>
        <v>-14.7</v>
      </c>
      <c r="AP18" s="216">
        <f t="shared" si="5"/>
        <v>1</v>
      </c>
      <c r="AQ18" s="216">
        <f t="shared" si="6"/>
        <v>1</v>
      </c>
      <c r="AR18" s="215">
        <f t="shared" ref="AR18:AR39" si="20">AR17</f>
        <v>158.47</v>
      </c>
      <c r="AS18" s="216">
        <f t="shared" si="7"/>
        <v>0.97679498379494789</v>
      </c>
      <c r="AT18" s="216">
        <f t="shared" si="8"/>
        <v>1.2538510821608391</v>
      </c>
      <c r="AU18" s="216">
        <f t="shared" si="9"/>
        <v>2.2360679774997898</v>
      </c>
      <c r="AV18" s="217">
        <f t="shared" si="10"/>
        <v>10.415801185754333</v>
      </c>
      <c r="AW18" s="216">
        <f t="shared" si="11"/>
        <v>0</v>
      </c>
      <c r="AX18" s="218">
        <f t="shared" si="12"/>
        <v>1.4696875479799241</v>
      </c>
      <c r="AY18" s="216">
        <f t="shared" si="13"/>
        <v>0.76851414128953044</v>
      </c>
      <c r="AZ18" s="217">
        <f t="shared" si="14"/>
        <v>3.5640070462657096</v>
      </c>
      <c r="BA18" s="216">
        <f t="shared" si="15"/>
        <v>0</v>
      </c>
      <c r="BB18" s="216">
        <f t="shared" si="16"/>
        <v>1.0084584063544275</v>
      </c>
      <c r="BC18" s="216">
        <f t="shared" si="17"/>
        <v>1</v>
      </c>
    </row>
    <row r="19" spans="1:55" ht="20.100000000000001" customHeight="1" x14ac:dyDescent="0.2">
      <c r="A19" s="45">
        <v>0.16666666666666699</v>
      </c>
      <c r="B19" s="451"/>
      <c r="C19" s="451"/>
      <c r="D19" s="451">
        <v>7.8</v>
      </c>
      <c r="E19" s="451">
        <v>62.3</v>
      </c>
      <c r="F19" s="41">
        <v>1960</v>
      </c>
      <c r="G19" s="37">
        <v>-5.6</v>
      </c>
      <c r="H19" s="37">
        <v>72.400000000000006</v>
      </c>
      <c r="I19" s="37">
        <v>22.7</v>
      </c>
      <c r="J19" s="41">
        <v>587</v>
      </c>
      <c r="K19" s="37">
        <v>13</v>
      </c>
      <c r="L19" s="451">
        <v>123</v>
      </c>
      <c r="M19" s="451">
        <v>217</v>
      </c>
      <c r="N19" s="451">
        <v>85</v>
      </c>
      <c r="O19" s="353">
        <v>40</v>
      </c>
      <c r="P19" s="353">
        <v>13</v>
      </c>
      <c r="Q19" s="353">
        <v>238.62</v>
      </c>
      <c r="R19" s="37"/>
      <c r="S19" s="508" t="str">
        <f t="shared" si="0"/>
        <v/>
      </c>
      <c r="T19" s="508"/>
      <c r="U19" s="508"/>
      <c r="V19" s="508"/>
      <c r="X19" s="45">
        <v>0.16666666666666699</v>
      </c>
      <c r="Y19" s="106"/>
      <c r="Z19" s="102"/>
      <c r="AA19" s="102"/>
      <c r="AB19" s="45" t="str">
        <f t="shared" si="18"/>
        <v/>
      </c>
      <c r="AC19" s="45" t="str">
        <f t="shared" si="1"/>
        <v/>
      </c>
      <c r="AD19" s="81"/>
      <c r="AE19" s="9" t="str">
        <f>IF(S19="","",IF(COUNTA(Z19:$Z$39)=1,IF(COUNTA(AD19:$AD$39)=1,""," ; "),IF(COUNTA(AD19:$AD$39)=1,IF(Z19="",""," ; ")," ; ")))</f>
        <v/>
      </c>
      <c r="AF19" s="9" t="str">
        <f t="shared" si="2"/>
        <v/>
      </c>
      <c r="AG19" s="90" t="str">
        <f t="shared" si="3"/>
        <v/>
      </c>
      <c r="AH19" s="204" t="s">
        <v>272</v>
      </c>
      <c r="AJ19" s="206">
        <f t="shared" si="19"/>
        <v>500</v>
      </c>
      <c r="AK19" s="206">
        <f t="shared" si="19"/>
        <v>100</v>
      </c>
      <c r="AL19" s="206">
        <f t="shared" si="19"/>
        <v>2</v>
      </c>
      <c r="AM19" s="213">
        <f t="shared" si="19"/>
        <v>0.875</v>
      </c>
      <c r="AN19" s="214">
        <f t="shared" si="19"/>
        <v>0.63607464142166403</v>
      </c>
      <c r="AO19" s="215">
        <f t="shared" si="4"/>
        <v>-14.7</v>
      </c>
      <c r="AP19" s="216">
        <f t="shared" si="5"/>
        <v>1</v>
      </c>
      <c r="AQ19" s="216">
        <f t="shared" si="6"/>
        <v>1</v>
      </c>
      <c r="AR19" s="215">
        <f t="shared" si="20"/>
        <v>158.47</v>
      </c>
      <c r="AS19" s="216">
        <f t="shared" si="7"/>
        <v>0.97679498379494789</v>
      </c>
      <c r="AT19" s="216">
        <f t="shared" si="8"/>
        <v>1.2538510821608391</v>
      </c>
      <c r="AU19" s="216">
        <f t="shared" si="9"/>
        <v>2.2360679774997898</v>
      </c>
      <c r="AV19" s="217">
        <f t="shared" si="10"/>
        <v>10.415801185754333</v>
      </c>
      <c r="AW19" s="216">
        <f t="shared" si="11"/>
        <v>0</v>
      </c>
      <c r="AX19" s="218">
        <f t="shared" si="12"/>
        <v>1.4696875479799241</v>
      </c>
      <c r="AY19" s="216">
        <f t="shared" si="13"/>
        <v>0.76851414128953044</v>
      </c>
      <c r="AZ19" s="217">
        <f t="shared" si="14"/>
        <v>3.5640070462657096</v>
      </c>
      <c r="BA19" s="216">
        <f t="shared" si="15"/>
        <v>0</v>
      </c>
      <c r="BB19" s="216">
        <f t="shared" si="16"/>
        <v>1.0084584063544275</v>
      </c>
      <c r="BC19" s="216">
        <f t="shared" si="17"/>
        <v>1</v>
      </c>
    </row>
    <row r="20" spans="1:55" ht="20.100000000000001" customHeight="1" x14ac:dyDescent="0.2">
      <c r="A20" s="45">
        <v>0.20833333333333301</v>
      </c>
      <c r="B20" s="451"/>
      <c r="C20" s="451"/>
      <c r="D20" s="451">
        <v>7.5</v>
      </c>
      <c r="E20" s="451">
        <v>62.7</v>
      </c>
      <c r="F20" s="41">
        <v>1955</v>
      </c>
      <c r="G20" s="37">
        <v>-5.6</v>
      </c>
      <c r="H20" s="37">
        <v>72.099999999999994</v>
      </c>
      <c r="I20" s="37">
        <v>22</v>
      </c>
      <c r="J20" s="41">
        <v>588</v>
      </c>
      <c r="K20" s="37">
        <v>13</v>
      </c>
      <c r="L20" s="451">
        <v>122</v>
      </c>
      <c r="M20" s="451">
        <v>217</v>
      </c>
      <c r="N20" s="451">
        <v>85</v>
      </c>
      <c r="O20" s="353">
        <v>40</v>
      </c>
      <c r="P20" s="353">
        <v>13</v>
      </c>
      <c r="Q20" s="353">
        <v>238.62</v>
      </c>
      <c r="R20" s="37"/>
      <c r="S20" s="508" t="str">
        <f t="shared" si="0"/>
        <v/>
      </c>
      <c r="T20" s="508"/>
      <c r="U20" s="508"/>
      <c r="V20" s="508"/>
      <c r="X20" s="45">
        <v>0.20833333333333301</v>
      </c>
      <c r="Y20" s="106"/>
      <c r="Z20" s="102"/>
      <c r="AA20" s="102"/>
      <c r="AB20" s="45" t="str">
        <f t="shared" si="18"/>
        <v/>
      </c>
      <c r="AC20" s="45" t="str">
        <f t="shared" si="1"/>
        <v/>
      </c>
      <c r="AD20" s="81"/>
      <c r="AE20" s="9" t="str">
        <f>IF(S20="","",IF(COUNTA(Z20:$Z$39)=1,IF(COUNTA(AD20:$AD$39)=1,""," ; "),IF(COUNTA(AD20:$AD$39)=1,IF(Z20="",""," ; ")," ; ")))</f>
        <v/>
      </c>
      <c r="AF20" s="9" t="str">
        <f t="shared" si="2"/>
        <v/>
      </c>
      <c r="AG20" s="90" t="str">
        <f t="shared" si="3"/>
        <v/>
      </c>
      <c r="AH20" s="204" t="s">
        <v>275</v>
      </c>
      <c r="AJ20" s="206">
        <f t="shared" si="19"/>
        <v>500</v>
      </c>
      <c r="AK20" s="206">
        <f t="shared" si="19"/>
        <v>100</v>
      </c>
      <c r="AL20" s="206">
        <f t="shared" si="19"/>
        <v>2</v>
      </c>
      <c r="AM20" s="213">
        <f t="shared" si="19"/>
        <v>0.875</v>
      </c>
      <c r="AN20" s="214">
        <f t="shared" si="19"/>
        <v>0.63607464142166403</v>
      </c>
      <c r="AO20" s="215">
        <f t="shared" si="4"/>
        <v>-14.7</v>
      </c>
      <c r="AP20" s="216">
        <f t="shared" si="5"/>
        <v>1</v>
      </c>
      <c r="AQ20" s="216">
        <f t="shared" si="6"/>
        <v>1</v>
      </c>
      <c r="AR20" s="215">
        <f t="shared" si="20"/>
        <v>158.47</v>
      </c>
      <c r="AS20" s="216">
        <f t="shared" si="7"/>
        <v>0.97679498379494789</v>
      </c>
      <c r="AT20" s="216">
        <f t="shared" si="8"/>
        <v>1.2538510821608391</v>
      </c>
      <c r="AU20" s="216">
        <f t="shared" si="9"/>
        <v>2.2360679774997898</v>
      </c>
      <c r="AV20" s="217">
        <f t="shared" si="10"/>
        <v>10.415801185754333</v>
      </c>
      <c r="AW20" s="216">
        <f t="shared" si="11"/>
        <v>0</v>
      </c>
      <c r="AX20" s="218">
        <f t="shared" si="12"/>
        <v>1.4696875479799241</v>
      </c>
      <c r="AY20" s="216">
        <f t="shared" si="13"/>
        <v>0.76851414128953044</v>
      </c>
      <c r="AZ20" s="217">
        <f t="shared" si="14"/>
        <v>3.5640070462657096</v>
      </c>
      <c r="BA20" s="216">
        <f t="shared" si="15"/>
        <v>0</v>
      </c>
      <c r="BB20" s="216">
        <f t="shared" si="16"/>
        <v>1.0084584063544275</v>
      </c>
      <c r="BC20" s="216">
        <f t="shared" si="17"/>
        <v>1</v>
      </c>
    </row>
    <row r="21" spans="1:55" ht="20.100000000000001" customHeight="1" x14ac:dyDescent="0.2">
      <c r="A21" s="45">
        <v>0.25</v>
      </c>
      <c r="B21" s="451"/>
      <c r="C21" s="451"/>
      <c r="D21" s="451">
        <v>6.8</v>
      </c>
      <c r="E21" s="451">
        <v>62.1</v>
      </c>
      <c r="F21" s="41">
        <v>1933</v>
      </c>
      <c r="G21" s="37">
        <v>-5.6</v>
      </c>
      <c r="H21" s="37">
        <v>72.3</v>
      </c>
      <c r="I21" s="37">
        <v>22.2</v>
      </c>
      <c r="J21" s="41">
        <v>589</v>
      </c>
      <c r="K21" s="37">
        <v>13</v>
      </c>
      <c r="L21" s="451">
        <v>123</v>
      </c>
      <c r="M21" s="451">
        <v>218</v>
      </c>
      <c r="N21" s="451">
        <v>85</v>
      </c>
      <c r="O21" s="353">
        <v>40</v>
      </c>
      <c r="P21" s="353">
        <v>14</v>
      </c>
      <c r="Q21" s="353">
        <v>247.56</v>
      </c>
      <c r="R21" s="37"/>
      <c r="S21" s="508" t="str">
        <f t="shared" si="0"/>
        <v/>
      </c>
      <c r="T21" s="508"/>
      <c r="U21" s="508"/>
      <c r="V21" s="508"/>
      <c r="X21" s="45">
        <v>0.25</v>
      </c>
      <c r="Y21" s="106"/>
      <c r="Z21" s="102"/>
      <c r="AA21" s="102"/>
      <c r="AB21" s="45" t="str">
        <f t="shared" si="18"/>
        <v/>
      </c>
      <c r="AC21" s="45" t="str">
        <f t="shared" si="1"/>
        <v/>
      </c>
      <c r="AD21" s="81"/>
      <c r="AE21" s="9" t="str">
        <f>IF(S21="","",IF(COUNTA(Z21:$Z$39)=1,IF(COUNTA(AD21:$AD$39)=1,""," ; "),IF(COUNTA(AD21:$AD$39)=1,IF(Z21="",""," ; ")," ; ")))</f>
        <v/>
      </c>
      <c r="AF21" s="9" t="str">
        <f t="shared" si="2"/>
        <v/>
      </c>
      <c r="AG21" s="90" t="str">
        <f t="shared" si="3"/>
        <v/>
      </c>
      <c r="AH21" s="204" t="s">
        <v>322</v>
      </c>
      <c r="AJ21" s="206">
        <f t="shared" si="19"/>
        <v>500</v>
      </c>
      <c r="AK21" s="206">
        <f t="shared" si="19"/>
        <v>100</v>
      </c>
      <c r="AL21" s="206">
        <f t="shared" si="19"/>
        <v>2</v>
      </c>
      <c r="AM21" s="213">
        <f t="shared" si="19"/>
        <v>0.875</v>
      </c>
      <c r="AN21" s="214">
        <f t="shared" si="19"/>
        <v>0.63607464142166403</v>
      </c>
      <c r="AO21" s="215">
        <f t="shared" si="4"/>
        <v>-14.7</v>
      </c>
      <c r="AP21" s="216">
        <f t="shared" si="5"/>
        <v>1</v>
      </c>
      <c r="AQ21" s="216">
        <f t="shared" si="6"/>
        <v>1</v>
      </c>
      <c r="AR21" s="215">
        <f t="shared" si="20"/>
        <v>158.47</v>
      </c>
      <c r="AS21" s="216">
        <f t="shared" si="7"/>
        <v>0.97679498379494789</v>
      </c>
      <c r="AT21" s="216">
        <f t="shared" si="8"/>
        <v>1.2538510821608391</v>
      </c>
      <c r="AU21" s="216">
        <f t="shared" si="9"/>
        <v>2.2360679774997898</v>
      </c>
      <c r="AV21" s="217">
        <f t="shared" si="10"/>
        <v>10.415801185754333</v>
      </c>
      <c r="AW21" s="216">
        <f t="shared" si="11"/>
        <v>0</v>
      </c>
      <c r="AX21" s="218">
        <f t="shared" si="12"/>
        <v>1.4696875479799241</v>
      </c>
      <c r="AY21" s="216">
        <f t="shared" si="13"/>
        <v>0.76851414128953044</v>
      </c>
      <c r="AZ21" s="217">
        <f t="shared" si="14"/>
        <v>3.5640070462657096</v>
      </c>
      <c r="BA21" s="216">
        <f t="shared" si="15"/>
        <v>0</v>
      </c>
      <c r="BB21" s="216">
        <f t="shared" si="16"/>
        <v>1.0084584063544275</v>
      </c>
      <c r="BC21" s="216">
        <f t="shared" si="17"/>
        <v>1</v>
      </c>
    </row>
    <row r="22" spans="1:55" ht="20.100000000000001" customHeight="1" x14ac:dyDescent="0.2">
      <c r="A22" s="45">
        <v>0.29166666666666702</v>
      </c>
      <c r="B22" s="451"/>
      <c r="C22" s="451"/>
      <c r="D22" s="451">
        <v>6.5</v>
      </c>
      <c r="E22" s="451">
        <v>62.7</v>
      </c>
      <c r="F22" s="41">
        <v>1961</v>
      </c>
      <c r="G22" s="37">
        <v>-5.6</v>
      </c>
      <c r="H22" s="37">
        <v>72.599999999999994</v>
      </c>
      <c r="I22" s="37">
        <v>22.8</v>
      </c>
      <c r="J22" s="41">
        <v>590</v>
      </c>
      <c r="K22" s="37">
        <v>13</v>
      </c>
      <c r="L22" s="451">
        <v>124</v>
      </c>
      <c r="M22" s="451">
        <v>218</v>
      </c>
      <c r="N22" s="451">
        <v>85</v>
      </c>
      <c r="O22" s="353">
        <v>40</v>
      </c>
      <c r="P22" s="353">
        <v>14</v>
      </c>
      <c r="Q22" s="353">
        <v>247.56</v>
      </c>
      <c r="R22" s="37"/>
      <c r="S22" s="508" t="str">
        <f t="shared" si="0"/>
        <v/>
      </c>
      <c r="T22" s="508"/>
      <c r="U22" s="508"/>
      <c r="V22" s="508"/>
      <c r="X22" s="45">
        <v>0.29166666666666702</v>
      </c>
      <c r="Y22" s="106"/>
      <c r="Z22" s="102"/>
      <c r="AA22" s="102"/>
      <c r="AB22" s="45" t="str">
        <f t="shared" si="18"/>
        <v/>
      </c>
      <c r="AC22" s="45" t="str">
        <f t="shared" si="1"/>
        <v/>
      </c>
      <c r="AD22" s="81"/>
      <c r="AE22" s="9" t="str">
        <f>IF(S22="","",IF(COUNTA(Z22:$Z$39)=1,IF(COUNTA(AD22:$AD$39)=1,""," ; "),IF(COUNTA(AD22:$AD$39)=1,IF(Z22="",""," ; ")," ; ")))</f>
        <v/>
      </c>
      <c r="AF22" s="9" t="str">
        <f t="shared" si="2"/>
        <v/>
      </c>
      <c r="AG22" s="90" t="str">
        <f t="shared" si="3"/>
        <v/>
      </c>
      <c r="AH22" s="204" t="s">
        <v>279</v>
      </c>
      <c r="AJ22" s="206">
        <f t="shared" si="19"/>
        <v>500</v>
      </c>
      <c r="AK22" s="206">
        <f t="shared" si="19"/>
        <v>100</v>
      </c>
      <c r="AL22" s="206">
        <f t="shared" si="19"/>
        <v>2</v>
      </c>
      <c r="AM22" s="213">
        <f t="shared" si="19"/>
        <v>0.875</v>
      </c>
      <c r="AN22" s="214">
        <f t="shared" si="19"/>
        <v>0.63607464142166403</v>
      </c>
      <c r="AO22" s="215">
        <f t="shared" si="4"/>
        <v>-14.7</v>
      </c>
      <c r="AP22" s="216">
        <f t="shared" si="5"/>
        <v>1</v>
      </c>
      <c r="AQ22" s="216">
        <f t="shared" si="6"/>
        <v>1</v>
      </c>
      <c r="AR22" s="215">
        <f t="shared" si="20"/>
        <v>158.47</v>
      </c>
      <c r="AS22" s="216">
        <f t="shared" si="7"/>
        <v>0.97679498379494789</v>
      </c>
      <c r="AT22" s="216">
        <f t="shared" si="8"/>
        <v>1.2538510821608391</v>
      </c>
      <c r="AU22" s="216">
        <f t="shared" si="9"/>
        <v>2.2360679774997898</v>
      </c>
      <c r="AV22" s="217">
        <f t="shared" si="10"/>
        <v>10.415801185754333</v>
      </c>
      <c r="AW22" s="216">
        <f t="shared" si="11"/>
        <v>0</v>
      </c>
      <c r="AX22" s="218">
        <f t="shared" si="12"/>
        <v>1.4696875479799241</v>
      </c>
      <c r="AY22" s="216">
        <f t="shared" si="13"/>
        <v>0.76851414128953044</v>
      </c>
      <c r="AZ22" s="217">
        <f t="shared" si="14"/>
        <v>3.5640070462657096</v>
      </c>
      <c r="BA22" s="216">
        <f t="shared" si="15"/>
        <v>0</v>
      </c>
      <c r="BB22" s="216">
        <f t="shared" si="16"/>
        <v>1.0084584063544275</v>
      </c>
      <c r="BC22" s="216">
        <f t="shared" si="17"/>
        <v>1</v>
      </c>
    </row>
    <row r="23" spans="1:55" ht="20.100000000000001" customHeight="1" x14ac:dyDescent="0.2">
      <c r="A23" s="45">
        <v>0.33333333333333298</v>
      </c>
      <c r="B23" s="451"/>
      <c r="C23" s="451"/>
      <c r="D23" s="451">
        <v>6.3</v>
      </c>
      <c r="E23" s="451">
        <v>61.2</v>
      </c>
      <c r="F23" s="41">
        <v>1986</v>
      </c>
      <c r="G23" s="37">
        <v>-5.6</v>
      </c>
      <c r="H23" s="37">
        <v>72.3</v>
      </c>
      <c r="I23" s="37">
        <v>22.6</v>
      </c>
      <c r="J23" s="41">
        <v>591</v>
      </c>
      <c r="K23" s="37">
        <v>13</v>
      </c>
      <c r="L23" s="451">
        <v>126</v>
      </c>
      <c r="M23" s="451">
        <v>220</v>
      </c>
      <c r="N23" s="451">
        <v>85</v>
      </c>
      <c r="O23" s="353">
        <v>40</v>
      </c>
      <c r="P23" s="353">
        <v>15</v>
      </c>
      <c r="Q23" s="353">
        <v>256.17</v>
      </c>
      <c r="R23" s="37"/>
      <c r="S23" s="508" t="str">
        <f t="shared" si="0"/>
        <v/>
      </c>
      <c r="T23" s="508"/>
      <c r="U23" s="508"/>
      <c r="V23" s="508"/>
      <c r="X23" s="45">
        <v>0.33333333333333298</v>
      </c>
      <c r="Y23" s="106"/>
      <c r="Z23" s="102"/>
      <c r="AA23" s="102"/>
      <c r="AB23" s="45" t="str">
        <f t="shared" si="18"/>
        <v/>
      </c>
      <c r="AC23" s="45" t="str">
        <f t="shared" si="1"/>
        <v/>
      </c>
      <c r="AD23" s="81"/>
      <c r="AE23" s="9" t="str">
        <f>IF(S23="","",IF(COUNTA(Z23:$Z$39)=1,IF(COUNTA(AD23:$AD$39)=1,""," ; "),IF(COUNTA(AD23:$AD$39)=1,IF(Z23="",""," ; ")," ; ")))</f>
        <v/>
      </c>
      <c r="AF23" s="9" t="str">
        <f t="shared" si="2"/>
        <v/>
      </c>
      <c r="AG23" s="90" t="str">
        <f t="shared" si="3"/>
        <v/>
      </c>
      <c r="AH23" s="204" t="s">
        <v>274</v>
      </c>
      <c r="AJ23" s="206">
        <f t="shared" si="19"/>
        <v>500</v>
      </c>
      <c r="AK23" s="206">
        <f t="shared" si="19"/>
        <v>100</v>
      </c>
      <c r="AL23" s="206">
        <f t="shared" si="19"/>
        <v>2</v>
      </c>
      <c r="AM23" s="213">
        <f t="shared" si="19"/>
        <v>0.875</v>
      </c>
      <c r="AN23" s="214">
        <f t="shared" si="19"/>
        <v>0.63607464142166403</v>
      </c>
      <c r="AO23" s="215">
        <f t="shared" si="4"/>
        <v>-14.7</v>
      </c>
      <c r="AP23" s="216">
        <f t="shared" si="5"/>
        <v>1</v>
      </c>
      <c r="AQ23" s="216">
        <f t="shared" si="6"/>
        <v>1</v>
      </c>
      <c r="AR23" s="215">
        <f t="shared" si="20"/>
        <v>158.47</v>
      </c>
      <c r="AS23" s="216">
        <f t="shared" si="7"/>
        <v>0.97679498379494789</v>
      </c>
      <c r="AT23" s="216">
        <f t="shared" si="8"/>
        <v>1.2538510821608391</v>
      </c>
      <c r="AU23" s="216">
        <f t="shared" si="9"/>
        <v>2.2360679774997898</v>
      </c>
      <c r="AV23" s="217">
        <f t="shared" si="10"/>
        <v>10.415801185754333</v>
      </c>
      <c r="AW23" s="216">
        <f t="shared" si="11"/>
        <v>0</v>
      </c>
      <c r="AX23" s="218">
        <f t="shared" si="12"/>
        <v>1.4696875479799241</v>
      </c>
      <c r="AY23" s="216">
        <f t="shared" si="13"/>
        <v>0.76851414128953044</v>
      </c>
      <c r="AZ23" s="217">
        <f t="shared" si="14"/>
        <v>3.5640070462657096</v>
      </c>
      <c r="BA23" s="216">
        <f t="shared" si="15"/>
        <v>0</v>
      </c>
      <c r="BB23" s="216">
        <f t="shared" si="16"/>
        <v>1.0084584063544275</v>
      </c>
      <c r="BC23" s="216">
        <f t="shared" si="17"/>
        <v>1</v>
      </c>
    </row>
    <row r="24" spans="1:55" ht="20.100000000000001" customHeight="1" x14ac:dyDescent="0.2">
      <c r="A24" s="45">
        <v>0.375</v>
      </c>
      <c r="B24" s="451"/>
      <c r="C24" s="451"/>
      <c r="D24" s="451">
        <v>8.6</v>
      </c>
      <c r="E24" s="451">
        <v>65.8</v>
      </c>
      <c r="F24" s="41">
        <v>1945</v>
      </c>
      <c r="G24" s="37">
        <v>-5.6</v>
      </c>
      <c r="H24" s="37">
        <v>72.599999999999994</v>
      </c>
      <c r="I24" s="37">
        <v>22</v>
      </c>
      <c r="J24" s="41">
        <v>592</v>
      </c>
      <c r="K24" s="37">
        <v>13</v>
      </c>
      <c r="L24" s="451">
        <v>126</v>
      </c>
      <c r="M24" s="451">
        <v>220</v>
      </c>
      <c r="N24" s="451">
        <v>85</v>
      </c>
      <c r="O24" s="353">
        <v>40</v>
      </c>
      <c r="P24" s="353">
        <v>15</v>
      </c>
      <c r="Q24" s="353">
        <v>256.17</v>
      </c>
      <c r="R24" s="37"/>
      <c r="S24" s="508" t="str">
        <f t="shared" si="0"/>
        <v/>
      </c>
      <c r="T24" s="508"/>
      <c r="U24" s="508"/>
      <c r="V24" s="508"/>
      <c r="X24" s="45">
        <v>0.375</v>
      </c>
      <c r="Y24" s="106"/>
      <c r="Z24" s="102"/>
      <c r="AA24" s="102"/>
      <c r="AB24" s="45" t="str">
        <f t="shared" si="18"/>
        <v/>
      </c>
      <c r="AC24" s="45" t="str">
        <f t="shared" si="1"/>
        <v/>
      </c>
      <c r="AD24" s="81"/>
      <c r="AE24" s="9" t="str">
        <f>IF(S24="","",IF(COUNTA(Z24:$Z$39)=1,IF(COUNTA(AD24:$AD$39)=1,""," ; "),IF(COUNTA(AD24:$AD$39)=1,IF(Z24="",""," ; ")," ; ")))</f>
        <v/>
      </c>
      <c r="AF24" s="9" t="str">
        <f t="shared" si="2"/>
        <v/>
      </c>
      <c r="AG24" s="90" t="str">
        <f t="shared" si="3"/>
        <v/>
      </c>
      <c r="AH24" s="204" t="s">
        <v>307</v>
      </c>
      <c r="AJ24" s="206">
        <f t="shared" si="19"/>
        <v>500</v>
      </c>
      <c r="AK24" s="206">
        <f t="shared" si="19"/>
        <v>100</v>
      </c>
      <c r="AL24" s="206">
        <f t="shared" si="19"/>
        <v>2</v>
      </c>
      <c r="AM24" s="213">
        <f t="shared" si="19"/>
        <v>0.875</v>
      </c>
      <c r="AN24" s="214">
        <f t="shared" si="19"/>
        <v>0.63607464142166403</v>
      </c>
      <c r="AO24" s="215">
        <f t="shared" si="4"/>
        <v>-14.7</v>
      </c>
      <c r="AP24" s="216">
        <f t="shared" si="5"/>
        <v>1</v>
      </c>
      <c r="AQ24" s="216">
        <f t="shared" si="6"/>
        <v>1</v>
      </c>
      <c r="AR24" s="215">
        <f t="shared" si="20"/>
        <v>158.47</v>
      </c>
      <c r="AS24" s="216">
        <f t="shared" si="7"/>
        <v>0.97679498379494789</v>
      </c>
      <c r="AT24" s="216">
        <f t="shared" si="8"/>
        <v>1.2538510821608391</v>
      </c>
      <c r="AU24" s="216">
        <f t="shared" si="9"/>
        <v>2.2360679774997898</v>
      </c>
      <c r="AV24" s="217">
        <f t="shared" si="10"/>
        <v>10.415801185754333</v>
      </c>
      <c r="AW24" s="216">
        <f t="shared" si="11"/>
        <v>0</v>
      </c>
      <c r="AX24" s="218">
        <f t="shared" si="12"/>
        <v>1.4696875479799241</v>
      </c>
      <c r="AY24" s="216">
        <f t="shared" si="13"/>
        <v>0.76851414128953044</v>
      </c>
      <c r="AZ24" s="217">
        <f t="shared" si="14"/>
        <v>3.5640070462657096</v>
      </c>
      <c r="BA24" s="216">
        <f t="shared" si="15"/>
        <v>0</v>
      </c>
      <c r="BB24" s="216">
        <f t="shared" si="16"/>
        <v>1.0084584063544275</v>
      </c>
      <c r="BC24" s="216">
        <f t="shared" si="17"/>
        <v>1</v>
      </c>
    </row>
    <row r="25" spans="1:55" ht="20.100000000000001" customHeight="1" x14ac:dyDescent="0.2">
      <c r="A25" s="45">
        <v>0.41666666666666702</v>
      </c>
      <c r="B25" s="451"/>
      <c r="C25" s="451"/>
      <c r="D25" s="451">
        <v>8.5</v>
      </c>
      <c r="E25" s="451">
        <v>65.3</v>
      </c>
      <c r="F25" s="41">
        <v>1930</v>
      </c>
      <c r="G25" s="37">
        <v>-5.6</v>
      </c>
      <c r="H25" s="37">
        <v>72.099999999999994</v>
      </c>
      <c r="I25" s="37">
        <v>22.5</v>
      </c>
      <c r="J25" s="41">
        <v>593</v>
      </c>
      <c r="K25" s="37">
        <v>13</v>
      </c>
      <c r="L25" s="451">
        <v>128</v>
      </c>
      <c r="M25" s="451">
        <v>223</v>
      </c>
      <c r="N25" s="451">
        <v>85</v>
      </c>
      <c r="O25" s="353">
        <v>40</v>
      </c>
      <c r="P25" s="353">
        <v>14</v>
      </c>
      <c r="Q25" s="353">
        <v>246.42</v>
      </c>
      <c r="R25" s="37"/>
      <c r="S25" s="508" t="str">
        <f t="shared" si="0"/>
        <v/>
      </c>
      <c r="T25" s="508"/>
      <c r="U25" s="508"/>
      <c r="V25" s="508"/>
      <c r="X25" s="45">
        <v>0.41666666666666702</v>
      </c>
      <c r="Y25" s="106"/>
      <c r="Z25" s="102"/>
      <c r="AA25" s="102"/>
      <c r="AB25" s="45" t="str">
        <f t="shared" si="18"/>
        <v/>
      </c>
      <c r="AC25" s="45" t="str">
        <f t="shared" si="1"/>
        <v/>
      </c>
      <c r="AD25" s="81"/>
      <c r="AE25" s="9" t="str">
        <f>IF(S25="","",IF(COUNTA(Z25:$Z$39)=1,IF(COUNTA(AD25:$AD$39)=1,""," ; "),IF(COUNTA(AD25:$AD$39)=1,IF(Z25="",""," ; ")," ; ")))</f>
        <v/>
      </c>
      <c r="AF25" s="9" t="str">
        <f t="shared" si="2"/>
        <v/>
      </c>
      <c r="AG25" s="90" t="str">
        <f t="shared" si="3"/>
        <v/>
      </c>
      <c r="AH25" s="204" t="s">
        <v>225</v>
      </c>
      <c r="AJ25" s="206">
        <f t="shared" si="19"/>
        <v>500</v>
      </c>
      <c r="AK25" s="206">
        <f t="shared" si="19"/>
        <v>100</v>
      </c>
      <c r="AL25" s="206">
        <f t="shared" si="19"/>
        <v>2</v>
      </c>
      <c r="AM25" s="213">
        <f t="shared" si="19"/>
        <v>0.875</v>
      </c>
      <c r="AN25" s="214">
        <f t="shared" si="19"/>
        <v>0.63607464142166403</v>
      </c>
      <c r="AO25" s="215">
        <f t="shared" si="4"/>
        <v>-14.7</v>
      </c>
      <c r="AP25" s="216">
        <f t="shared" si="5"/>
        <v>1</v>
      </c>
      <c r="AQ25" s="216">
        <f t="shared" si="6"/>
        <v>1</v>
      </c>
      <c r="AR25" s="215">
        <f t="shared" si="20"/>
        <v>158.47</v>
      </c>
      <c r="AS25" s="216">
        <f t="shared" si="7"/>
        <v>0.97679498379494789</v>
      </c>
      <c r="AT25" s="216">
        <f t="shared" si="8"/>
        <v>1.2538510821608391</v>
      </c>
      <c r="AU25" s="216">
        <f t="shared" si="9"/>
        <v>2.2360679774997898</v>
      </c>
      <c r="AV25" s="217">
        <f t="shared" si="10"/>
        <v>10.415801185754333</v>
      </c>
      <c r="AW25" s="216">
        <f t="shared" si="11"/>
        <v>0</v>
      </c>
      <c r="AX25" s="218">
        <f t="shared" si="12"/>
        <v>1.4696875479799241</v>
      </c>
      <c r="AY25" s="216">
        <f t="shared" si="13"/>
        <v>0.76851414128953044</v>
      </c>
      <c r="AZ25" s="217">
        <f t="shared" si="14"/>
        <v>3.5640070462657096</v>
      </c>
      <c r="BA25" s="216">
        <f t="shared" si="15"/>
        <v>0</v>
      </c>
      <c r="BB25" s="216">
        <f t="shared" si="16"/>
        <v>1.0084584063544275</v>
      </c>
      <c r="BC25" s="216">
        <f t="shared" si="17"/>
        <v>1</v>
      </c>
    </row>
    <row r="26" spans="1:55" ht="20.100000000000001" customHeight="1" x14ac:dyDescent="0.2">
      <c r="A26" s="45">
        <v>0.45833333333333298</v>
      </c>
      <c r="B26" s="451"/>
      <c r="C26" s="451"/>
      <c r="D26" s="451">
        <v>8.9</v>
      </c>
      <c r="E26" s="451">
        <v>63.1</v>
      </c>
      <c r="F26" s="41">
        <v>1951</v>
      </c>
      <c r="G26" s="37">
        <v>-5.6</v>
      </c>
      <c r="H26" s="37">
        <v>72.5</v>
      </c>
      <c r="I26" s="37">
        <v>22.3</v>
      </c>
      <c r="J26" s="41">
        <v>594</v>
      </c>
      <c r="K26" s="37">
        <v>13</v>
      </c>
      <c r="L26" s="451">
        <v>128</v>
      </c>
      <c r="M26" s="451">
        <v>223</v>
      </c>
      <c r="N26" s="451">
        <v>85</v>
      </c>
      <c r="O26" s="353">
        <v>40</v>
      </c>
      <c r="P26" s="353">
        <v>12</v>
      </c>
      <c r="Q26" s="353">
        <v>228.29</v>
      </c>
      <c r="R26" s="37"/>
      <c r="S26" s="508" t="str">
        <f t="shared" si="0"/>
        <v/>
      </c>
      <c r="T26" s="508"/>
      <c r="U26" s="508"/>
      <c r="V26" s="508"/>
      <c r="X26" s="45">
        <v>0.45833333333333298</v>
      </c>
      <c r="Y26" s="106"/>
      <c r="Z26" s="102"/>
      <c r="AA26" s="102"/>
      <c r="AB26" s="45" t="str">
        <f t="shared" si="18"/>
        <v/>
      </c>
      <c r="AC26" s="45" t="str">
        <f t="shared" si="1"/>
        <v/>
      </c>
      <c r="AD26" s="81"/>
      <c r="AE26" s="9" t="str">
        <f>IF(S26="","",IF(COUNTA(Z26:$Z$39)=1,IF(COUNTA(AD26:$AD$39)=1,""," ; "),IF(COUNTA(AD26:$AD$39)=1,IF(Z26="",""," ; ")," ; ")))</f>
        <v/>
      </c>
      <c r="AF26" s="9" t="str">
        <f t="shared" si="2"/>
        <v/>
      </c>
      <c r="AG26" s="90" t="str">
        <f t="shared" si="3"/>
        <v/>
      </c>
      <c r="AH26" s="204" t="s">
        <v>287</v>
      </c>
      <c r="AJ26" s="206">
        <f t="shared" si="19"/>
        <v>500</v>
      </c>
      <c r="AK26" s="206">
        <f t="shared" si="19"/>
        <v>100</v>
      </c>
      <c r="AL26" s="206">
        <f t="shared" si="19"/>
        <v>2</v>
      </c>
      <c r="AM26" s="213">
        <f t="shared" si="19"/>
        <v>0.875</v>
      </c>
      <c r="AN26" s="214">
        <f t="shared" si="19"/>
        <v>0.63607464142166403</v>
      </c>
      <c r="AO26" s="215">
        <f t="shared" si="4"/>
        <v>-14.7</v>
      </c>
      <c r="AP26" s="216">
        <f t="shared" si="5"/>
        <v>1</v>
      </c>
      <c r="AQ26" s="216">
        <f t="shared" si="6"/>
        <v>1</v>
      </c>
      <c r="AR26" s="215">
        <f t="shared" si="20"/>
        <v>158.47</v>
      </c>
      <c r="AS26" s="216">
        <f t="shared" si="7"/>
        <v>0.97679498379494789</v>
      </c>
      <c r="AT26" s="216">
        <f t="shared" si="8"/>
        <v>1.2538510821608391</v>
      </c>
      <c r="AU26" s="216">
        <f t="shared" si="9"/>
        <v>2.2360679774997898</v>
      </c>
      <c r="AV26" s="217">
        <f t="shared" si="10"/>
        <v>10.415801185754333</v>
      </c>
      <c r="AW26" s="216">
        <f t="shared" si="11"/>
        <v>0</v>
      </c>
      <c r="AX26" s="218">
        <f t="shared" si="12"/>
        <v>1.4696875479799241</v>
      </c>
      <c r="AY26" s="216">
        <f t="shared" si="13"/>
        <v>0.76851414128953044</v>
      </c>
      <c r="AZ26" s="217">
        <f t="shared" si="14"/>
        <v>3.5640070462657096</v>
      </c>
      <c r="BA26" s="216">
        <f t="shared" si="15"/>
        <v>0</v>
      </c>
      <c r="BB26" s="216">
        <f t="shared" si="16"/>
        <v>1.0084584063544275</v>
      </c>
      <c r="BC26" s="216">
        <f t="shared" si="17"/>
        <v>1</v>
      </c>
    </row>
    <row r="27" spans="1:55" ht="20.100000000000001" customHeight="1" x14ac:dyDescent="0.2">
      <c r="A27" s="45">
        <v>0.5</v>
      </c>
      <c r="B27" s="451"/>
      <c r="C27" s="451"/>
      <c r="D27" s="451">
        <v>8</v>
      </c>
      <c r="E27" s="451">
        <v>63.6</v>
      </c>
      <c r="F27" s="41">
        <v>1965</v>
      </c>
      <c r="G27" s="37">
        <v>-5.6</v>
      </c>
      <c r="H27" s="37">
        <v>72.8</v>
      </c>
      <c r="I27" s="37">
        <v>22.6</v>
      </c>
      <c r="J27" s="41">
        <v>595</v>
      </c>
      <c r="K27" s="37">
        <v>13</v>
      </c>
      <c r="L27" s="451">
        <v>131</v>
      </c>
      <c r="M27" s="451">
        <v>226</v>
      </c>
      <c r="N27" s="451">
        <v>90</v>
      </c>
      <c r="O27" s="353">
        <v>40</v>
      </c>
      <c r="P27" s="353">
        <v>11</v>
      </c>
      <c r="Q27" s="353">
        <v>218.65</v>
      </c>
      <c r="R27" s="37"/>
      <c r="S27" s="508" t="str">
        <f t="shared" si="0"/>
        <v/>
      </c>
      <c r="T27" s="508"/>
      <c r="U27" s="508"/>
      <c r="V27" s="508"/>
      <c r="X27" s="45">
        <v>0.5</v>
      </c>
      <c r="Y27" s="106"/>
      <c r="Z27" s="102"/>
      <c r="AA27" s="102"/>
      <c r="AB27" s="45" t="str">
        <f t="shared" si="18"/>
        <v/>
      </c>
      <c r="AC27" s="45" t="str">
        <f t="shared" si="1"/>
        <v/>
      </c>
      <c r="AD27" s="81"/>
      <c r="AE27" s="9" t="str">
        <f>IF(S27="","",IF(COUNTA(Z27:$Z$39)=1,IF(COUNTA(AD27:$AD$39)=1,""," ; "),IF(COUNTA(AD27:$AD$39)=1,IF(Z27="",""," ; ")," ; ")))</f>
        <v/>
      </c>
      <c r="AF27" s="9" t="str">
        <f t="shared" si="2"/>
        <v/>
      </c>
      <c r="AG27" s="90" t="str">
        <f t="shared" si="3"/>
        <v/>
      </c>
      <c r="AH27" s="204" t="s">
        <v>276</v>
      </c>
      <c r="AJ27" s="206">
        <f t="shared" si="19"/>
        <v>500</v>
      </c>
      <c r="AK27" s="206">
        <f t="shared" si="19"/>
        <v>100</v>
      </c>
      <c r="AL27" s="206">
        <f t="shared" si="19"/>
        <v>2</v>
      </c>
      <c r="AM27" s="213">
        <f t="shared" si="19"/>
        <v>0.875</v>
      </c>
      <c r="AN27" s="214">
        <f t="shared" si="19"/>
        <v>0.63607464142166403</v>
      </c>
      <c r="AO27" s="215">
        <f t="shared" si="4"/>
        <v>-14.7</v>
      </c>
      <c r="AP27" s="216">
        <f t="shared" si="5"/>
        <v>1</v>
      </c>
      <c r="AQ27" s="216">
        <f t="shared" si="6"/>
        <v>1</v>
      </c>
      <c r="AR27" s="215">
        <f t="shared" si="20"/>
        <v>158.47</v>
      </c>
      <c r="AS27" s="216">
        <f t="shared" si="7"/>
        <v>0.9723448696087954</v>
      </c>
      <c r="AT27" s="216">
        <f t="shared" si="8"/>
        <v>1.2538510821608391</v>
      </c>
      <c r="AU27" s="216">
        <f t="shared" si="9"/>
        <v>2.2360679774997898</v>
      </c>
      <c r="AV27" s="217">
        <f t="shared" si="10"/>
        <v>10.368348541764712</v>
      </c>
      <c r="AW27" s="216">
        <f t="shared" si="11"/>
        <v>0</v>
      </c>
      <c r="AX27" s="218">
        <f t="shared" si="12"/>
        <v>1.4831709199797398</v>
      </c>
      <c r="AY27" s="216">
        <f t="shared" si="13"/>
        <v>0.77643477842613629</v>
      </c>
      <c r="AZ27" s="217">
        <f t="shared" si="14"/>
        <v>3.5883638597441294</v>
      </c>
      <c r="BA27" s="216">
        <f t="shared" si="15"/>
        <v>0</v>
      </c>
      <c r="BB27" s="216">
        <f t="shared" si="16"/>
        <v>1.0016542390239327</v>
      </c>
      <c r="BC27" s="216">
        <f t="shared" si="17"/>
        <v>1</v>
      </c>
    </row>
    <row r="28" spans="1:55" ht="20.100000000000001" customHeight="1" x14ac:dyDescent="0.2">
      <c r="A28" s="45">
        <v>0.54166666666666696</v>
      </c>
      <c r="B28" s="451"/>
      <c r="C28" s="451"/>
      <c r="D28" s="451">
        <v>8.5</v>
      </c>
      <c r="E28" s="451">
        <v>63.8</v>
      </c>
      <c r="F28" s="41">
        <v>1930</v>
      </c>
      <c r="G28" s="37">
        <v>-5.6</v>
      </c>
      <c r="H28" s="37">
        <v>72.3</v>
      </c>
      <c r="I28" s="37">
        <v>22.9</v>
      </c>
      <c r="J28" s="41">
        <v>596</v>
      </c>
      <c r="K28" s="37">
        <v>13</v>
      </c>
      <c r="L28" s="451">
        <v>131</v>
      </c>
      <c r="M28" s="451">
        <v>226</v>
      </c>
      <c r="N28" s="451">
        <v>90</v>
      </c>
      <c r="O28" s="353">
        <v>40</v>
      </c>
      <c r="P28" s="353">
        <v>14</v>
      </c>
      <c r="Q28" s="353">
        <v>246.42</v>
      </c>
      <c r="R28" s="37"/>
      <c r="S28" s="508" t="str">
        <f t="shared" si="0"/>
        <v/>
      </c>
      <c r="T28" s="508"/>
      <c r="U28" s="508"/>
      <c r="V28" s="508"/>
      <c r="X28" s="45">
        <v>0.54166666666666696</v>
      </c>
      <c r="Y28" s="106"/>
      <c r="Z28" s="102"/>
      <c r="AA28" s="102"/>
      <c r="AB28" s="45" t="str">
        <f t="shared" si="18"/>
        <v/>
      </c>
      <c r="AC28" s="45" t="str">
        <f t="shared" si="1"/>
        <v/>
      </c>
      <c r="AD28" s="81"/>
      <c r="AE28" s="9" t="str">
        <f>IF(S28="","",IF(COUNTA(Z28:$Z$39)=1,IF(COUNTA(AD28:$AD$39)=1,""," ; "),IF(COUNTA(AD28:$AD$39)=1,IF(Z28="",""," ; ")," ; ")))</f>
        <v/>
      </c>
      <c r="AF28" s="9" t="str">
        <f t="shared" si="2"/>
        <v/>
      </c>
      <c r="AG28" s="90" t="str">
        <f t="shared" si="3"/>
        <v/>
      </c>
      <c r="AH28" s="204" t="s">
        <v>278</v>
      </c>
      <c r="AJ28" s="206">
        <f t="shared" si="19"/>
        <v>500</v>
      </c>
      <c r="AK28" s="206">
        <f t="shared" si="19"/>
        <v>100</v>
      </c>
      <c r="AL28" s="206">
        <f t="shared" si="19"/>
        <v>2</v>
      </c>
      <c r="AM28" s="213">
        <f t="shared" si="19"/>
        <v>0.875</v>
      </c>
      <c r="AN28" s="214">
        <f t="shared" si="19"/>
        <v>0.63607464142166403</v>
      </c>
      <c r="AO28" s="215">
        <f t="shared" si="4"/>
        <v>-14.7</v>
      </c>
      <c r="AP28" s="216">
        <f t="shared" si="5"/>
        <v>1</v>
      </c>
      <c r="AQ28" s="216">
        <f t="shared" si="6"/>
        <v>1</v>
      </c>
      <c r="AR28" s="215">
        <f t="shared" si="20"/>
        <v>158.47</v>
      </c>
      <c r="AS28" s="216">
        <f t="shared" si="7"/>
        <v>0.9723448696087954</v>
      </c>
      <c r="AT28" s="216">
        <f t="shared" si="8"/>
        <v>1.2538510821608391</v>
      </c>
      <c r="AU28" s="216">
        <f t="shared" si="9"/>
        <v>2.2360679774997898</v>
      </c>
      <c r="AV28" s="217">
        <f t="shared" si="10"/>
        <v>10.368348541764712</v>
      </c>
      <c r="AW28" s="216">
        <f t="shared" si="11"/>
        <v>0</v>
      </c>
      <c r="AX28" s="218">
        <f t="shared" si="12"/>
        <v>1.4831709199797398</v>
      </c>
      <c r="AY28" s="216">
        <f t="shared" si="13"/>
        <v>0.77643477842613629</v>
      </c>
      <c r="AZ28" s="217">
        <f t="shared" si="14"/>
        <v>3.5883638597441294</v>
      </c>
      <c r="BA28" s="216">
        <f t="shared" si="15"/>
        <v>0</v>
      </c>
      <c r="BB28" s="216">
        <f t="shared" si="16"/>
        <v>1.0016542390239327</v>
      </c>
      <c r="BC28" s="216">
        <f t="shared" si="17"/>
        <v>1</v>
      </c>
    </row>
    <row r="29" spans="1:55" ht="20.100000000000001" customHeight="1" x14ac:dyDescent="0.2">
      <c r="A29" s="45">
        <v>0.58333333333333304</v>
      </c>
      <c r="B29" s="451"/>
      <c r="C29" s="451"/>
      <c r="D29" s="451">
        <v>7.3</v>
      </c>
      <c r="E29" s="451">
        <v>61.4</v>
      </c>
      <c r="F29" s="41">
        <v>1945</v>
      </c>
      <c r="G29" s="37">
        <v>-5.6</v>
      </c>
      <c r="H29" s="37">
        <v>72</v>
      </c>
      <c r="I29" s="37">
        <v>22.4</v>
      </c>
      <c r="J29" s="41">
        <v>597</v>
      </c>
      <c r="K29" s="37">
        <v>13</v>
      </c>
      <c r="L29" s="451">
        <v>133</v>
      </c>
      <c r="M29" s="451">
        <v>230</v>
      </c>
      <c r="N29" s="451">
        <v>90</v>
      </c>
      <c r="O29" s="353">
        <v>40</v>
      </c>
      <c r="P29" s="353">
        <v>12</v>
      </c>
      <c r="Q29" s="353">
        <v>228.29</v>
      </c>
      <c r="R29" s="37"/>
      <c r="S29" s="508" t="str">
        <f t="shared" si="0"/>
        <v/>
      </c>
      <c r="T29" s="508"/>
      <c r="U29" s="508"/>
      <c r="V29" s="508"/>
      <c r="X29" s="45">
        <v>0.58333333333333304</v>
      </c>
      <c r="Y29" s="106"/>
      <c r="Z29" s="102"/>
      <c r="AA29" s="102"/>
      <c r="AB29" s="45" t="str">
        <f t="shared" si="18"/>
        <v/>
      </c>
      <c r="AC29" s="45" t="str">
        <f t="shared" si="1"/>
        <v/>
      </c>
      <c r="AD29" s="81"/>
      <c r="AE29" s="9" t="str">
        <f>IF(S29="","",IF(COUNTA(Z29:$Z$39)=1,IF(COUNTA(AD29:$AD$39)=1,""," ; "),IF(COUNTA(AD29:$AD$39)=1,IF(Z29="",""," ; ")," ; ")))</f>
        <v/>
      </c>
      <c r="AF29" s="9" t="str">
        <f t="shared" si="2"/>
        <v/>
      </c>
      <c r="AG29" s="90" t="str">
        <f t="shared" si="3"/>
        <v/>
      </c>
      <c r="AH29" s="204" t="s">
        <v>224</v>
      </c>
      <c r="AJ29" s="206">
        <f t="shared" si="19"/>
        <v>500</v>
      </c>
      <c r="AK29" s="206">
        <f t="shared" si="19"/>
        <v>100</v>
      </c>
      <c r="AL29" s="206">
        <f t="shared" si="19"/>
        <v>2</v>
      </c>
      <c r="AM29" s="213">
        <f t="shared" si="19"/>
        <v>0.875</v>
      </c>
      <c r="AN29" s="214">
        <f t="shared" si="19"/>
        <v>0.63607464142166403</v>
      </c>
      <c r="AO29" s="215">
        <f t="shared" si="4"/>
        <v>-14.7</v>
      </c>
      <c r="AP29" s="216">
        <f t="shared" si="5"/>
        <v>1</v>
      </c>
      <c r="AQ29" s="216">
        <f t="shared" si="6"/>
        <v>1</v>
      </c>
      <c r="AR29" s="215">
        <f t="shared" si="20"/>
        <v>158.47</v>
      </c>
      <c r="AS29" s="216">
        <f t="shared" si="7"/>
        <v>0.9723448696087954</v>
      </c>
      <c r="AT29" s="216">
        <f t="shared" si="8"/>
        <v>1.2538510821608391</v>
      </c>
      <c r="AU29" s="216">
        <f t="shared" si="9"/>
        <v>2.2360679774997898</v>
      </c>
      <c r="AV29" s="217">
        <f t="shared" si="10"/>
        <v>10.368348541764712</v>
      </c>
      <c r="AW29" s="216">
        <f t="shared" si="11"/>
        <v>0</v>
      </c>
      <c r="AX29" s="218">
        <f t="shared" si="12"/>
        <v>1.4831709199797398</v>
      </c>
      <c r="AY29" s="216">
        <f t="shared" si="13"/>
        <v>0.77643477842613629</v>
      </c>
      <c r="AZ29" s="217">
        <f t="shared" si="14"/>
        <v>3.5883638597441294</v>
      </c>
      <c r="BA29" s="216">
        <f t="shared" si="15"/>
        <v>0</v>
      </c>
      <c r="BB29" s="216">
        <f t="shared" si="16"/>
        <v>1.0016542390239327</v>
      </c>
      <c r="BC29" s="216">
        <f t="shared" si="17"/>
        <v>1</v>
      </c>
    </row>
    <row r="30" spans="1:55" ht="20.100000000000001" customHeight="1" x14ac:dyDescent="0.2">
      <c r="A30" s="45">
        <v>0.625</v>
      </c>
      <c r="B30" s="451"/>
      <c r="C30" s="451"/>
      <c r="D30" s="451">
        <v>7.1</v>
      </c>
      <c r="E30" s="451">
        <v>61.5</v>
      </c>
      <c r="F30" s="41">
        <v>1965</v>
      </c>
      <c r="G30" s="37">
        <v>-5.6</v>
      </c>
      <c r="H30" s="37">
        <v>72.5</v>
      </c>
      <c r="I30" s="37">
        <v>22.8</v>
      </c>
      <c r="J30" s="41">
        <v>598</v>
      </c>
      <c r="K30" s="37">
        <v>13</v>
      </c>
      <c r="L30" s="451">
        <v>133</v>
      </c>
      <c r="M30" s="451">
        <v>230</v>
      </c>
      <c r="N30" s="451">
        <v>90</v>
      </c>
      <c r="O30" s="353">
        <v>40</v>
      </c>
      <c r="P30" s="353">
        <v>13</v>
      </c>
      <c r="Q30" s="353">
        <v>237.53</v>
      </c>
      <c r="R30" s="37"/>
      <c r="S30" s="508" t="str">
        <f t="shared" si="0"/>
        <v/>
      </c>
      <c r="T30" s="508"/>
      <c r="U30" s="508"/>
      <c r="V30" s="508"/>
      <c r="X30" s="45">
        <v>0.625</v>
      </c>
      <c r="Y30" s="106"/>
      <c r="Z30" s="102"/>
      <c r="AA30" s="102"/>
      <c r="AB30" s="45" t="str">
        <f t="shared" si="18"/>
        <v/>
      </c>
      <c r="AC30" s="45" t="str">
        <f t="shared" si="1"/>
        <v/>
      </c>
      <c r="AD30" s="81"/>
      <c r="AE30" s="9" t="str">
        <f>IF(S30="","",IF(COUNTA(Z30:$Z$39)=1,IF(COUNTA(AD30:$AD$39)=1,""," ; "),IF(COUNTA(AD30:$AD$39)=1,IF(Z30="",""," ; ")," ; ")))</f>
        <v/>
      </c>
      <c r="AF30" s="9" t="str">
        <f t="shared" si="2"/>
        <v/>
      </c>
      <c r="AG30" s="90" t="str">
        <f t="shared" si="3"/>
        <v/>
      </c>
      <c r="AH30" s="204" t="s">
        <v>260</v>
      </c>
      <c r="AJ30" s="206">
        <f t="shared" si="19"/>
        <v>500</v>
      </c>
      <c r="AK30" s="206">
        <f t="shared" si="19"/>
        <v>100</v>
      </c>
      <c r="AL30" s="206">
        <f t="shared" si="19"/>
        <v>2</v>
      </c>
      <c r="AM30" s="213">
        <f t="shared" si="19"/>
        <v>0.875</v>
      </c>
      <c r="AN30" s="214">
        <f t="shared" si="19"/>
        <v>0.63607464142166403</v>
      </c>
      <c r="AO30" s="215">
        <f t="shared" si="4"/>
        <v>-14.7</v>
      </c>
      <c r="AP30" s="216">
        <f t="shared" si="5"/>
        <v>1</v>
      </c>
      <c r="AQ30" s="216">
        <f t="shared" si="6"/>
        <v>1</v>
      </c>
      <c r="AR30" s="215">
        <f t="shared" si="20"/>
        <v>158.47</v>
      </c>
      <c r="AS30" s="216">
        <f t="shared" si="7"/>
        <v>0.9723448696087954</v>
      </c>
      <c r="AT30" s="216">
        <f t="shared" si="8"/>
        <v>1.2538510821608391</v>
      </c>
      <c r="AU30" s="216">
        <f t="shared" si="9"/>
        <v>2.2360679774997898</v>
      </c>
      <c r="AV30" s="217">
        <f t="shared" si="10"/>
        <v>10.368348541764712</v>
      </c>
      <c r="AW30" s="216">
        <f t="shared" si="11"/>
        <v>0</v>
      </c>
      <c r="AX30" s="218">
        <f t="shared" si="12"/>
        <v>1.4831709199797398</v>
      </c>
      <c r="AY30" s="216">
        <f t="shared" si="13"/>
        <v>0.77643477842613629</v>
      </c>
      <c r="AZ30" s="217">
        <f t="shared" si="14"/>
        <v>3.5883638597441294</v>
      </c>
      <c r="BA30" s="216">
        <f t="shared" si="15"/>
        <v>0</v>
      </c>
      <c r="BB30" s="216">
        <f t="shared" si="16"/>
        <v>1.0016542390239327</v>
      </c>
      <c r="BC30" s="216">
        <f t="shared" si="17"/>
        <v>1</v>
      </c>
    </row>
    <row r="31" spans="1:55" ht="20.100000000000001" customHeight="1" x14ac:dyDescent="0.2">
      <c r="A31" s="45">
        <v>0.66666666666666696</v>
      </c>
      <c r="B31" s="451"/>
      <c r="C31" s="451"/>
      <c r="D31" s="451">
        <v>7.4</v>
      </c>
      <c r="E31" s="451">
        <v>64.3</v>
      </c>
      <c r="F31" s="41">
        <v>1930</v>
      </c>
      <c r="G31" s="37">
        <v>-5.6</v>
      </c>
      <c r="H31" s="37">
        <v>72.400000000000006</v>
      </c>
      <c r="I31" s="37">
        <v>22.1</v>
      </c>
      <c r="J31" s="41">
        <v>599</v>
      </c>
      <c r="K31" s="37">
        <v>13</v>
      </c>
      <c r="L31" s="451">
        <v>130</v>
      </c>
      <c r="M31" s="451">
        <v>227</v>
      </c>
      <c r="N31" s="451">
        <v>90</v>
      </c>
      <c r="O31" s="353">
        <v>40</v>
      </c>
      <c r="P31" s="353">
        <v>12</v>
      </c>
      <c r="Q31" s="353">
        <v>228.29</v>
      </c>
      <c r="R31" s="37"/>
      <c r="S31" s="508" t="str">
        <f t="shared" si="0"/>
        <v/>
      </c>
      <c r="T31" s="508"/>
      <c r="U31" s="508"/>
      <c r="V31" s="508"/>
      <c r="X31" s="45">
        <v>0.66666666666666696</v>
      </c>
      <c r="Y31" s="106"/>
      <c r="Z31" s="102"/>
      <c r="AA31" s="102"/>
      <c r="AB31" s="45" t="str">
        <f t="shared" si="18"/>
        <v/>
      </c>
      <c r="AC31" s="45" t="str">
        <f t="shared" si="1"/>
        <v/>
      </c>
      <c r="AD31" s="81"/>
      <c r="AE31" s="9" t="str">
        <f>IF(S31="","",IF(COUNTA(Z31:$Z$39)=1,IF(COUNTA(AD31:$AD$39)=1,""," ; "),IF(COUNTA(AD31:$AD$39)=1,IF(Z31="",""," ; ")," ; ")))</f>
        <v/>
      </c>
      <c r="AF31" s="9" t="str">
        <f t="shared" si="2"/>
        <v/>
      </c>
      <c r="AG31" s="90" t="str">
        <f t="shared" si="3"/>
        <v/>
      </c>
      <c r="AH31" s="204" t="s">
        <v>226</v>
      </c>
      <c r="AJ31" s="206">
        <f t="shared" si="19"/>
        <v>500</v>
      </c>
      <c r="AK31" s="206">
        <f t="shared" si="19"/>
        <v>100</v>
      </c>
      <c r="AL31" s="206">
        <f t="shared" si="19"/>
        <v>2</v>
      </c>
      <c r="AM31" s="213">
        <f t="shared" si="19"/>
        <v>0.875</v>
      </c>
      <c r="AN31" s="214">
        <f t="shared" si="19"/>
        <v>0.63607464142166403</v>
      </c>
      <c r="AO31" s="215">
        <f t="shared" si="4"/>
        <v>-14.7</v>
      </c>
      <c r="AP31" s="216">
        <f t="shared" si="5"/>
        <v>1</v>
      </c>
      <c r="AQ31" s="216">
        <f t="shared" si="6"/>
        <v>1</v>
      </c>
      <c r="AR31" s="215">
        <f t="shared" si="20"/>
        <v>158.47</v>
      </c>
      <c r="AS31" s="216">
        <f t="shared" si="7"/>
        <v>0.9723448696087954</v>
      </c>
      <c r="AT31" s="216">
        <f t="shared" si="8"/>
        <v>1.2538510821608391</v>
      </c>
      <c r="AU31" s="216">
        <f t="shared" si="9"/>
        <v>2.2360679774997898</v>
      </c>
      <c r="AV31" s="217">
        <f t="shared" si="10"/>
        <v>10.368348541764712</v>
      </c>
      <c r="AW31" s="216">
        <f t="shared" si="11"/>
        <v>0</v>
      </c>
      <c r="AX31" s="218">
        <f t="shared" si="12"/>
        <v>1.4831709199797398</v>
      </c>
      <c r="AY31" s="216">
        <f t="shared" si="13"/>
        <v>0.77643477842613629</v>
      </c>
      <c r="AZ31" s="217">
        <f t="shared" si="14"/>
        <v>3.5883638597441294</v>
      </c>
      <c r="BA31" s="216">
        <f t="shared" si="15"/>
        <v>0</v>
      </c>
      <c r="BB31" s="216">
        <f t="shared" si="16"/>
        <v>1.0016542390239327</v>
      </c>
      <c r="BC31" s="216">
        <f t="shared" si="17"/>
        <v>1</v>
      </c>
    </row>
    <row r="32" spans="1:55" ht="20.100000000000001" customHeight="1" x14ac:dyDescent="0.2">
      <c r="A32" s="45">
        <v>0.70833333333333304</v>
      </c>
      <c r="B32" s="451"/>
      <c r="C32" s="451"/>
      <c r="D32" s="451">
        <v>7.8</v>
      </c>
      <c r="E32" s="451">
        <v>64.599999999999994</v>
      </c>
      <c r="F32" s="41">
        <v>1930</v>
      </c>
      <c r="G32" s="37">
        <v>-5.6</v>
      </c>
      <c r="H32" s="37">
        <v>72.099999999999994</v>
      </c>
      <c r="I32" s="37">
        <v>22.3</v>
      </c>
      <c r="J32" s="41">
        <v>600</v>
      </c>
      <c r="K32" s="37">
        <v>13</v>
      </c>
      <c r="L32" s="451">
        <v>130</v>
      </c>
      <c r="M32" s="451">
        <v>227</v>
      </c>
      <c r="N32" s="451">
        <v>90</v>
      </c>
      <c r="O32" s="353">
        <v>55</v>
      </c>
      <c r="P32" s="353">
        <v>11</v>
      </c>
      <c r="Q32" s="353">
        <v>247.2</v>
      </c>
      <c r="R32" s="37"/>
      <c r="S32" s="508" t="str">
        <f t="shared" si="0"/>
        <v/>
      </c>
      <c r="T32" s="508"/>
      <c r="U32" s="508"/>
      <c r="V32" s="508"/>
      <c r="X32" s="45">
        <v>0.70833333333333304</v>
      </c>
      <c r="Y32" s="106"/>
      <c r="Z32" s="102"/>
      <c r="AA32" s="102"/>
      <c r="AB32" s="45" t="str">
        <f t="shared" si="18"/>
        <v/>
      </c>
      <c r="AC32" s="45" t="str">
        <f t="shared" si="1"/>
        <v/>
      </c>
      <c r="AD32" s="81"/>
      <c r="AE32" s="9" t="str">
        <f>IF(S32="","",IF(COUNTA(Z32:$Z$39)=1,IF(COUNTA(AD32:$AD$39)=1,""," ; "),IF(COUNTA(AD32:$AD$39)=1,IF(Z32="",""," ; ")," ; ")))</f>
        <v/>
      </c>
      <c r="AF32" s="9" t="str">
        <f t="shared" si="2"/>
        <v/>
      </c>
      <c r="AG32" s="90" t="str">
        <f t="shared" si="3"/>
        <v/>
      </c>
      <c r="AH32" s="204" t="s">
        <v>313</v>
      </c>
      <c r="AJ32" s="206">
        <f t="shared" si="19"/>
        <v>500</v>
      </c>
      <c r="AK32" s="206">
        <f t="shared" si="19"/>
        <v>100</v>
      </c>
      <c r="AL32" s="206">
        <f t="shared" si="19"/>
        <v>2</v>
      </c>
      <c r="AM32" s="213">
        <f t="shared" si="19"/>
        <v>0.875</v>
      </c>
      <c r="AN32" s="214">
        <f t="shared" si="19"/>
        <v>0.63607464142166403</v>
      </c>
      <c r="AO32" s="215">
        <f t="shared" si="4"/>
        <v>-14.7</v>
      </c>
      <c r="AP32" s="216">
        <f t="shared" si="5"/>
        <v>1</v>
      </c>
      <c r="AQ32" s="216">
        <f t="shared" si="6"/>
        <v>1</v>
      </c>
      <c r="AR32" s="215">
        <f t="shared" si="20"/>
        <v>158.47</v>
      </c>
      <c r="AS32" s="216">
        <f t="shared" si="7"/>
        <v>0.9723448696087954</v>
      </c>
      <c r="AT32" s="216">
        <f t="shared" si="8"/>
        <v>1.2538510821608391</v>
      </c>
      <c r="AU32" s="216">
        <f t="shared" si="9"/>
        <v>2.2360679774997898</v>
      </c>
      <c r="AV32" s="217">
        <f t="shared" si="10"/>
        <v>10.368348541764712</v>
      </c>
      <c r="AW32" s="216">
        <f t="shared" si="11"/>
        <v>0</v>
      </c>
      <c r="AX32" s="218">
        <f t="shared" si="12"/>
        <v>1.4831709199797398</v>
      </c>
      <c r="AY32" s="216">
        <f t="shared" si="13"/>
        <v>0.77643477842613629</v>
      </c>
      <c r="AZ32" s="217">
        <f t="shared" si="14"/>
        <v>3.5883638597441294</v>
      </c>
      <c r="BA32" s="216">
        <f t="shared" si="15"/>
        <v>0</v>
      </c>
      <c r="BB32" s="216">
        <f t="shared" si="16"/>
        <v>1.0016542390239327</v>
      </c>
      <c r="BC32" s="216">
        <f t="shared" si="17"/>
        <v>1</v>
      </c>
    </row>
    <row r="33" spans="1:55" ht="20.100000000000001" customHeight="1" x14ac:dyDescent="0.2">
      <c r="A33" s="45">
        <v>0.75</v>
      </c>
      <c r="B33" s="451"/>
      <c r="C33" s="451"/>
      <c r="D33" s="451">
        <v>7.3</v>
      </c>
      <c r="E33" s="451">
        <v>62.8</v>
      </c>
      <c r="F33" s="41">
        <v>1986</v>
      </c>
      <c r="G33" s="37">
        <v>-5.6</v>
      </c>
      <c r="H33" s="37">
        <v>72.2</v>
      </c>
      <c r="I33" s="37">
        <v>22.9</v>
      </c>
      <c r="J33" s="41">
        <v>601</v>
      </c>
      <c r="K33" s="37">
        <v>13</v>
      </c>
      <c r="L33" s="451">
        <v>132</v>
      </c>
      <c r="M33" s="451">
        <v>229</v>
      </c>
      <c r="N33" s="451">
        <v>90</v>
      </c>
      <c r="O33" s="353">
        <v>55</v>
      </c>
      <c r="P33" s="353">
        <v>9</v>
      </c>
      <c r="Q33" s="353">
        <v>223.78</v>
      </c>
      <c r="R33" s="37"/>
      <c r="S33" s="508" t="str">
        <f>IF(Z33="",IF(AD33="","",AD33),CONCATENATE(TEXT(Z33,"[hh]:mm"),IF(AA33="",""," - "&amp;TEXT(AA33,"[hh]:mm")),IF(Y33="",""," "&amp;Y33&amp;"/")," "&amp;AD33))</f>
        <v/>
      </c>
      <c r="T33" s="508"/>
      <c r="U33" s="508"/>
      <c r="V33" s="508"/>
      <c r="X33" s="45">
        <v>0.75</v>
      </c>
      <c r="Y33" s="106"/>
      <c r="Z33" s="102"/>
      <c r="AA33" s="102"/>
      <c r="AB33" s="45" t="str">
        <f t="shared" si="18"/>
        <v/>
      </c>
      <c r="AC33" s="45" t="str">
        <f t="shared" si="1"/>
        <v/>
      </c>
      <c r="AD33" s="81"/>
      <c r="AE33" s="9" t="str">
        <f>IF(S33="","",IF(COUNTA(Z33:$Z$39)=1,IF(COUNTA(AD33:$AD$39)=1,""," ; "),IF(COUNTA(AD33:$AD$39)=1,IF(Z33="",""," ; ")," ; ")))</f>
        <v/>
      </c>
      <c r="AF33" s="9" t="str">
        <f t="shared" si="2"/>
        <v/>
      </c>
      <c r="AG33" s="90" t="str">
        <f t="shared" si="3"/>
        <v/>
      </c>
      <c r="AH33" s="204" t="s">
        <v>308</v>
      </c>
      <c r="AJ33" s="206">
        <f t="shared" ref="AJ33:AN39" si="21">AJ32</f>
        <v>500</v>
      </c>
      <c r="AK33" s="206">
        <f t="shared" si="21"/>
        <v>100</v>
      </c>
      <c r="AL33" s="206">
        <f t="shared" si="21"/>
        <v>2</v>
      </c>
      <c r="AM33" s="213">
        <f t="shared" si="21"/>
        <v>0.875</v>
      </c>
      <c r="AN33" s="214">
        <f t="shared" si="21"/>
        <v>0.63607464142166403</v>
      </c>
      <c r="AO33" s="215">
        <f t="shared" si="4"/>
        <v>-14.7</v>
      </c>
      <c r="AP33" s="216">
        <f t="shared" si="5"/>
        <v>1</v>
      </c>
      <c r="AQ33" s="216">
        <f t="shared" si="6"/>
        <v>1</v>
      </c>
      <c r="AR33" s="215">
        <f t="shared" si="20"/>
        <v>158.47</v>
      </c>
      <c r="AS33" s="216">
        <f t="shared" si="7"/>
        <v>0.9723448696087954</v>
      </c>
      <c r="AT33" s="216">
        <f t="shared" si="8"/>
        <v>1.2538510821608391</v>
      </c>
      <c r="AU33" s="216">
        <f t="shared" si="9"/>
        <v>2.2360679774997898</v>
      </c>
      <c r="AV33" s="217">
        <f t="shared" si="10"/>
        <v>10.368348541764712</v>
      </c>
      <c r="AW33" s="216">
        <f t="shared" si="11"/>
        <v>0</v>
      </c>
      <c r="AX33" s="218">
        <f t="shared" si="12"/>
        <v>1.4831709199797398</v>
      </c>
      <c r="AY33" s="216">
        <f t="shared" si="13"/>
        <v>0.77643477842613629</v>
      </c>
      <c r="AZ33" s="217">
        <f t="shared" si="14"/>
        <v>3.5883638597441294</v>
      </c>
      <c r="BA33" s="216">
        <f t="shared" si="15"/>
        <v>0</v>
      </c>
      <c r="BB33" s="216">
        <f t="shared" si="16"/>
        <v>1.0016542390239327</v>
      </c>
      <c r="BC33" s="216">
        <f t="shared" si="17"/>
        <v>1</v>
      </c>
    </row>
    <row r="34" spans="1:55" ht="20.100000000000001" customHeight="1" x14ac:dyDescent="0.2">
      <c r="A34" s="45">
        <v>0.79166666666666696</v>
      </c>
      <c r="B34" s="451"/>
      <c r="C34" s="451"/>
      <c r="D34" s="451">
        <v>7.6</v>
      </c>
      <c r="E34" s="451">
        <v>62.1</v>
      </c>
      <c r="F34" s="41">
        <v>1925</v>
      </c>
      <c r="G34" s="37">
        <v>-5.6</v>
      </c>
      <c r="H34" s="37">
        <v>72.400000000000006</v>
      </c>
      <c r="I34" s="37">
        <v>22.5</v>
      </c>
      <c r="J34" s="41">
        <v>602</v>
      </c>
      <c r="K34" s="37">
        <v>13</v>
      </c>
      <c r="L34" s="451">
        <v>132</v>
      </c>
      <c r="M34" s="451">
        <v>227</v>
      </c>
      <c r="N34" s="451">
        <v>90</v>
      </c>
      <c r="O34" s="353">
        <v>55</v>
      </c>
      <c r="P34" s="353">
        <v>9</v>
      </c>
      <c r="Q34" s="353">
        <v>223.78</v>
      </c>
      <c r="R34" s="37"/>
      <c r="S34" s="508" t="str">
        <f t="shared" ref="S34:S39" si="22">IF(Z34="",IF(AD34="","",AD34),CONCATENATE(TEXT(Z34,"[hh]:mm"),IF(AA34="",""," - "&amp;TEXT(AA34,"[hh]:mm")),IF(Y34="",""," "&amp;Y34&amp;"/")," "&amp;AD34))</f>
        <v/>
      </c>
      <c r="T34" s="508"/>
      <c r="U34" s="508"/>
      <c r="V34" s="508"/>
      <c r="X34" s="45">
        <v>0.79166666666666696</v>
      </c>
      <c r="Y34" s="106"/>
      <c r="Z34" s="102"/>
      <c r="AA34" s="102"/>
      <c r="AB34" s="45" t="str">
        <f t="shared" si="18"/>
        <v/>
      </c>
      <c r="AC34" s="45" t="str">
        <f t="shared" si="1"/>
        <v/>
      </c>
      <c r="AD34" s="81"/>
      <c r="AE34" s="9" t="str">
        <f>IF(S34="","",IF(COUNTA(Z34:$Z$39)=1,IF(COUNTA(AD34:$AD$39)=1,""," ; "),IF(COUNTA(AD34:$AD$39)=1,IF(Z34="",""," ; ")," ; ")))</f>
        <v/>
      </c>
      <c r="AF34" s="9" t="str">
        <f t="shared" si="2"/>
        <v/>
      </c>
      <c r="AG34" s="90" t="str">
        <f t="shared" si="3"/>
        <v/>
      </c>
      <c r="AH34" s="204" t="s">
        <v>314</v>
      </c>
      <c r="AJ34" s="206">
        <f t="shared" si="21"/>
        <v>500</v>
      </c>
      <c r="AK34" s="206">
        <f t="shared" si="21"/>
        <v>100</v>
      </c>
      <c r="AL34" s="206">
        <f t="shared" si="21"/>
        <v>2</v>
      </c>
      <c r="AM34" s="213">
        <f t="shared" si="21"/>
        <v>0.875</v>
      </c>
      <c r="AN34" s="214">
        <f t="shared" si="21"/>
        <v>0.63607464142166403</v>
      </c>
      <c r="AO34" s="215">
        <f t="shared" si="4"/>
        <v>-14.7</v>
      </c>
      <c r="AP34" s="216">
        <f t="shared" si="5"/>
        <v>1</v>
      </c>
      <c r="AQ34" s="216">
        <f t="shared" si="6"/>
        <v>1</v>
      </c>
      <c r="AR34" s="215">
        <f t="shared" si="20"/>
        <v>158.47</v>
      </c>
      <c r="AS34" s="216">
        <f t="shared" si="7"/>
        <v>0.9723448696087954</v>
      </c>
      <c r="AT34" s="216">
        <f t="shared" si="8"/>
        <v>1.2538510821608391</v>
      </c>
      <c r="AU34" s="216">
        <f t="shared" si="9"/>
        <v>2.2360679774997898</v>
      </c>
      <c r="AV34" s="217">
        <f t="shared" si="10"/>
        <v>10.368348541764712</v>
      </c>
      <c r="AW34" s="216">
        <f t="shared" si="11"/>
        <v>0</v>
      </c>
      <c r="AX34" s="218">
        <f t="shared" si="12"/>
        <v>1.4831709199797398</v>
      </c>
      <c r="AY34" s="216">
        <f t="shared" si="13"/>
        <v>0.77643477842613629</v>
      </c>
      <c r="AZ34" s="217">
        <f t="shared" si="14"/>
        <v>3.5883638597441294</v>
      </c>
      <c r="BA34" s="216">
        <f t="shared" si="15"/>
        <v>0</v>
      </c>
      <c r="BB34" s="216">
        <f t="shared" si="16"/>
        <v>1.0016542390239327</v>
      </c>
      <c r="BC34" s="216">
        <f t="shared" si="17"/>
        <v>1</v>
      </c>
    </row>
    <row r="35" spans="1:55" ht="20.100000000000001" customHeight="1" x14ac:dyDescent="0.2">
      <c r="A35" s="45">
        <v>0.83333333333333304</v>
      </c>
      <c r="B35" s="451"/>
      <c r="C35" s="451"/>
      <c r="D35" s="451">
        <v>7.8</v>
      </c>
      <c r="E35" s="451">
        <v>62.8</v>
      </c>
      <c r="F35" s="41">
        <v>1930</v>
      </c>
      <c r="G35" s="37">
        <v>-5.6</v>
      </c>
      <c r="H35" s="37">
        <v>72.3</v>
      </c>
      <c r="I35" s="37">
        <v>22.9</v>
      </c>
      <c r="J35" s="41">
        <v>603</v>
      </c>
      <c r="K35" s="37">
        <v>13</v>
      </c>
      <c r="L35" s="451">
        <v>132</v>
      </c>
      <c r="M35" s="451">
        <v>225</v>
      </c>
      <c r="N35" s="451">
        <v>90</v>
      </c>
      <c r="O35" s="353">
        <v>55</v>
      </c>
      <c r="P35" s="353">
        <v>9</v>
      </c>
      <c r="Q35" s="353">
        <v>223.78</v>
      </c>
      <c r="R35" s="37"/>
      <c r="S35" s="508" t="str">
        <f t="shared" si="22"/>
        <v/>
      </c>
      <c r="T35" s="508"/>
      <c r="U35" s="508"/>
      <c r="V35" s="508"/>
      <c r="X35" s="45">
        <v>0.83333333333333304</v>
      </c>
      <c r="Y35" s="106"/>
      <c r="Z35" s="102"/>
      <c r="AA35" s="102"/>
      <c r="AB35" s="45" t="str">
        <f t="shared" si="18"/>
        <v/>
      </c>
      <c r="AC35" s="45" t="str">
        <f t="shared" si="1"/>
        <v/>
      </c>
      <c r="AD35" s="81"/>
      <c r="AE35" s="9" t="str">
        <f>IF(S35="","",IF(COUNTA(Z35:$Z$39)=1,IF(COUNTA(AD35:$AD$39)=1,""," ; "),IF(COUNTA(AD35:$AD$39)=1,IF(Z35="",""," ; ")," ; ")))</f>
        <v/>
      </c>
      <c r="AF35" s="9" t="str">
        <f t="shared" si="2"/>
        <v/>
      </c>
      <c r="AG35" s="90" t="str">
        <f t="shared" si="3"/>
        <v/>
      </c>
      <c r="AH35" s="204" t="s">
        <v>227</v>
      </c>
      <c r="AJ35" s="206">
        <f t="shared" si="21"/>
        <v>500</v>
      </c>
      <c r="AK35" s="206">
        <f t="shared" si="21"/>
        <v>100</v>
      </c>
      <c r="AL35" s="206">
        <f t="shared" si="21"/>
        <v>2</v>
      </c>
      <c r="AM35" s="213">
        <f t="shared" si="21"/>
        <v>0.875</v>
      </c>
      <c r="AN35" s="214">
        <f t="shared" si="21"/>
        <v>0.63607464142166403</v>
      </c>
      <c r="AO35" s="215">
        <f t="shared" si="4"/>
        <v>-14.7</v>
      </c>
      <c r="AP35" s="216">
        <f t="shared" si="5"/>
        <v>1</v>
      </c>
      <c r="AQ35" s="216">
        <f t="shared" si="6"/>
        <v>1</v>
      </c>
      <c r="AR35" s="215">
        <f t="shared" si="20"/>
        <v>158.47</v>
      </c>
      <c r="AS35" s="216">
        <f t="shared" si="7"/>
        <v>0.9723448696087954</v>
      </c>
      <c r="AT35" s="216">
        <f t="shared" si="8"/>
        <v>1.2538510821608391</v>
      </c>
      <c r="AU35" s="216">
        <f t="shared" si="9"/>
        <v>2.2360679774997898</v>
      </c>
      <c r="AV35" s="217">
        <f t="shared" si="10"/>
        <v>10.368348541764712</v>
      </c>
      <c r="AW35" s="216">
        <f t="shared" si="11"/>
        <v>0</v>
      </c>
      <c r="AX35" s="218">
        <f t="shared" si="12"/>
        <v>1.4831709199797398</v>
      </c>
      <c r="AY35" s="216">
        <f t="shared" si="13"/>
        <v>0.77643477842613629</v>
      </c>
      <c r="AZ35" s="217">
        <f t="shared" si="14"/>
        <v>3.5883638597441294</v>
      </c>
      <c r="BA35" s="216">
        <f t="shared" si="15"/>
        <v>0</v>
      </c>
      <c r="BB35" s="216">
        <f t="shared" si="16"/>
        <v>1.0016542390239327</v>
      </c>
      <c r="BC35" s="216">
        <f t="shared" si="17"/>
        <v>1</v>
      </c>
    </row>
    <row r="36" spans="1:55" ht="20.100000000000001" customHeight="1" x14ac:dyDescent="0.2">
      <c r="A36" s="45">
        <v>0.875</v>
      </c>
      <c r="B36" s="451"/>
      <c r="C36" s="451"/>
      <c r="D36" s="451">
        <v>7.4</v>
      </c>
      <c r="E36" s="451">
        <v>62</v>
      </c>
      <c r="F36" s="41">
        <v>1941</v>
      </c>
      <c r="G36" s="37">
        <v>-5.6</v>
      </c>
      <c r="H36" s="37">
        <v>72.099999999999994</v>
      </c>
      <c r="I36" s="37">
        <v>22.4</v>
      </c>
      <c r="J36" s="41">
        <v>604</v>
      </c>
      <c r="K36" s="37">
        <v>13</v>
      </c>
      <c r="L36" s="451">
        <v>130</v>
      </c>
      <c r="M36" s="451">
        <v>222</v>
      </c>
      <c r="N36" s="451">
        <v>90</v>
      </c>
      <c r="O36" s="353">
        <v>45</v>
      </c>
      <c r="P36" s="353">
        <v>11</v>
      </c>
      <c r="Q36" s="353">
        <v>228.54</v>
      </c>
      <c r="R36" s="37"/>
      <c r="S36" s="508" t="str">
        <f t="shared" si="22"/>
        <v>21:00 - 23:00 SD/ High disch. press.</v>
      </c>
      <c r="T36" s="508"/>
      <c r="U36" s="508"/>
      <c r="V36" s="508"/>
      <c r="X36" s="45">
        <v>0.875</v>
      </c>
      <c r="Y36" s="106" t="s">
        <v>356</v>
      </c>
      <c r="Z36" s="102">
        <v>0.875</v>
      </c>
      <c r="AA36" s="102">
        <v>0.95833333333333337</v>
      </c>
      <c r="AB36" s="45" t="str">
        <f t="shared" si="18"/>
        <v/>
      </c>
      <c r="AC36" s="45">
        <f t="shared" si="1"/>
        <v>8.333333333333337E-2</v>
      </c>
      <c r="AD36" s="81" t="s">
        <v>307</v>
      </c>
      <c r="AE36" s="9" t="str">
        <f>IF(S36="","",IF(COUNTA(Z36:$Z$39)=1,IF(COUNTA(AD36:$AD$39)=1,""," ; "),IF(COUNTA(AD36:$AD$39)=1,IF(Z36="",""," ; ")," ; ")))</f>
        <v/>
      </c>
      <c r="AF36" s="9" t="str">
        <f t="shared" si="2"/>
        <v>21:00 - 23:00 SD/ High disch. press.</v>
      </c>
      <c r="AG36" s="90" t="str">
        <f t="shared" si="3"/>
        <v/>
      </c>
      <c r="AH36" s="204" t="s">
        <v>309</v>
      </c>
      <c r="AJ36" s="206">
        <f t="shared" si="21"/>
        <v>500</v>
      </c>
      <c r="AK36" s="206">
        <f t="shared" si="21"/>
        <v>100</v>
      </c>
      <c r="AL36" s="206">
        <f t="shared" si="21"/>
        <v>2</v>
      </c>
      <c r="AM36" s="213">
        <f t="shared" si="21"/>
        <v>0.875</v>
      </c>
      <c r="AN36" s="214">
        <f t="shared" si="21"/>
        <v>0.63607464142166403</v>
      </c>
      <c r="AO36" s="215">
        <f t="shared" si="4"/>
        <v>-14.7</v>
      </c>
      <c r="AP36" s="216">
        <f t="shared" si="5"/>
        <v>1</v>
      </c>
      <c r="AQ36" s="216">
        <f t="shared" si="6"/>
        <v>1</v>
      </c>
      <c r="AR36" s="215">
        <f t="shared" si="20"/>
        <v>158.47</v>
      </c>
      <c r="AS36" s="216">
        <f t="shared" si="7"/>
        <v>0.9723448696087954</v>
      </c>
      <c r="AT36" s="216">
        <f t="shared" si="8"/>
        <v>1.2538510821608391</v>
      </c>
      <c r="AU36" s="216">
        <f t="shared" si="9"/>
        <v>2.2360679774997898</v>
      </c>
      <c r="AV36" s="217">
        <f t="shared" si="10"/>
        <v>10.368348541764712</v>
      </c>
      <c r="AW36" s="216">
        <f t="shared" si="11"/>
        <v>0</v>
      </c>
      <c r="AX36" s="218">
        <f t="shared" si="12"/>
        <v>1.4831709199797398</v>
      </c>
      <c r="AY36" s="216">
        <f t="shared" si="13"/>
        <v>0.77643477842613629</v>
      </c>
      <c r="AZ36" s="217">
        <f t="shared" si="14"/>
        <v>3.5883638597441294</v>
      </c>
      <c r="BA36" s="216">
        <f t="shared" si="15"/>
        <v>0</v>
      </c>
      <c r="BB36" s="216">
        <f t="shared" si="16"/>
        <v>1.0016542390239327</v>
      </c>
      <c r="BC36" s="216">
        <f t="shared" si="17"/>
        <v>1</v>
      </c>
    </row>
    <row r="37" spans="1:55" ht="20.100000000000001" customHeight="1" x14ac:dyDescent="0.2">
      <c r="A37" s="45">
        <v>0.91666666666666696</v>
      </c>
      <c r="B37" s="451"/>
      <c r="C37" s="451"/>
      <c r="D37" s="451"/>
      <c r="E37" s="451"/>
      <c r="F37" s="41"/>
      <c r="G37" s="37"/>
      <c r="H37" s="37"/>
      <c r="I37" s="37"/>
      <c r="J37" s="41">
        <v>604</v>
      </c>
      <c r="K37" s="37"/>
      <c r="L37" s="451"/>
      <c r="M37" s="451"/>
      <c r="N37" s="451"/>
      <c r="O37" s="353"/>
      <c r="P37" s="353"/>
      <c r="Q37" s="353"/>
      <c r="R37" s="37"/>
      <c r="S37" s="508" t="str">
        <f t="shared" si="22"/>
        <v/>
      </c>
      <c r="T37" s="508"/>
      <c r="U37" s="508"/>
      <c r="V37" s="508"/>
      <c r="X37" s="45">
        <v>0.91666666666666696</v>
      </c>
      <c r="Y37" s="106"/>
      <c r="Z37" s="102"/>
      <c r="AA37" s="102"/>
      <c r="AB37" s="45" t="str">
        <f t="shared" si="18"/>
        <v/>
      </c>
      <c r="AC37" s="45" t="str">
        <f t="shared" si="1"/>
        <v/>
      </c>
      <c r="AD37" s="81"/>
      <c r="AE37" s="9" t="str">
        <f>IF(S37="","",IF(COUNTA(Z37:$Z$39)=1,IF(COUNTA(AD37:$AD$39)=1,""," ; "),IF(COUNTA(AD37:$AD$39)=1,IF(Z37="",""," ; ")," ; ")))</f>
        <v/>
      </c>
      <c r="AF37" s="9" t="str">
        <f t="shared" si="2"/>
        <v/>
      </c>
      <c r="AG37" s="90" t="str">
        <f t="shared" si="3"/>
        <v/>
      </c>
      <c r="AH37" s="204" t="s">
        <v>319</v>
      </c>
      <c r="AJ37" s="206">
        <f t="shared" si="21"/>
        <v>500</v>
      </c>
      <c r="AK37" s="206">
        <f t="shared" si="21"/>
        <v>100</v>
      </c>
      <c r="AL37" s="206">
        <f t="shared" si="21"/>
        <v>2</v>
      </c>
      <c r="AM37" s="213">
        <f t="shared" si="21"/>
        <v>0.875</v>
      </c>
      <c r="AN37" s="214">
        <f t="shared" si="21"/>
        <v>0.63607464142166403</v>
      </c>
      <c r="AO37" s="215">
        <f t="shared" si="4"/>
        <v>-14.7</v>
      </c>
      <c r="AP37" s="216">
        <f t="shared" si="5"/>
        <v>1</v>
      </c>
      <c r="AQ37" s="216">
        <f t="shared" si="6"/>
        <v>1</v>
      </c>
      <c r="AR37" s="215">
        <f t="shared" si="20"/>
        <v>158.47</v>
      </c>
      <c r="AS37" s="216">
        <f t="shared" si="7"/>
        <v>1.0632190661423899</v>
      </c>
      <c r="AT37" s="216">
        <f t="shared" si="8"/>
        <v>1.2538510821608391</v>
      </c>
      <c r="AU37" s="216">
        <f t="shared" si="9"/>
        <v>2.2360679774997898</v>
      </c>
      <c r="AV37" s="217">
        <f t="shared" si="10"/>
        <v>11.337362080646463</v>
      </c>
      <c r="AW37" s="216">
        <f t="shared" si="11"/>
        <v>0</v>
      </c>
      <c r="AX37" s="218">
        <f t="shared" si="12"/>
        <v>1.2404702239830552</v>
      </c>
      <c r="AY37" s="216">
        <f t="shared" si="13"/>
        <v>0.57237811875342381</v>
      </c>
      <c r="AZ37" s="217">
        <f t="shared" si="14"/>
        <v>2.4845955695987438</v>
      </c>
      <c r="BA37" s="216">
        <f t="shared" si="15"/>
        <v>0</v>
      </c>
      <c r="BB37" s="216">
        <f t="shared" si="16"/>
        <v>1.146760503180789</v>
      </c>
      <c r="BC37" s="216">
        <f t="shared" si="17"/>
        <v>1</v>
      </c>
    </row>
    <row r="38" spans="1:55" ht="20.100000000000001" customHeight="1" x14ac:dyDescent="0.2">
      <c r="A38" s="45">
        <v>0.95833333333333304</v>
      </c>
      <c r="B38" s="451"/>
      <c r="C38" s="451"/>
      <c r="D38" s="451"/>
      <c r="E38" s="451"/>
      <c r="F38" s="41"/>
      <c r="G38" s="37"/>
      <c r="H38" s="37"/>
      <c r="I38" s="37"/>
      <c r="J38" s="41">
        <v>604</v>
      </c>
      <c r="K38" s="37"/>
      <c r="L38" s="451"/>
      <c r="M38" s="451"/>
      <c r="N38" s="451"/>
      <c r="O38" s="353"/>
      <c r="P38" s="353"/>
      <c r="Q38" s="353"/>
      <c r="R38" s="37"/>
      <c r="S38" s="508" t="str">
        <f t="shared" si="22"/>
        <v/>
      </c>
      <c r="T38" s="508"/>
      <c r="U38" s="508"/>
      <c r="V38" s="508"/>
      <c r="X38" s="45">
        <v>0.95833333333333304</v>
      </c>
      <c r="Y38" s="106"/>
      <c r="Z38" s="102"/>
      <c r="AA38" s="102"/>
      <c r="AB38" s="45" t="str">
        <f t="shared" si="18"/>
        <v/>
      </c>
      <c r="AC38" s="45" t="str">
        <f t="shared" si="1"/>
        <v/>
      </c>
      <c r="AD38" s="81"/>
      <c r="AE38" s="9" t="str">
        <f>IF(S38="","",IF(COUNTA(Z38:$Z$39)=1,IF(COUNTA(AD38:$AD$39)=1,""," ; "),IF(COUNTA(AD38:$AD$39)=1,IF(Z38="",""," ; ")," ; ")))</f>
        <v/>
      </c>
      <c r="AF38" s="9" t="str">
        <f t="shared" si="2"/>
        <v/>
      </c>
      <c r="AG38" s="90" t="str">
        <f t="shared" si="3"/>
        <v/>
      </c>
      <c r="AH38" s="204" t="s">
        <v>219</v>
      </c>
      <c r="AJ38" s="206">
        <f t="shared" si="21"/>
        <v>500</v>
      </c>
      <c r="AK38" s="206">
        <f t="shared" si="21"/>
        <v>100</v>
      </c>
      <c r="AL38" s="206">
        <f t="shared" si="21"/>
        <v>2</v>
      </c>
      <c r="AM38" s="213">
        <f t="shared" si="21"/>
        <v>0.875</v>
      </c>
      <c r="AN38" s="214">
        <f t="shared" si="21"/>
        <v>0.63607464142166403</v>
      </c>
      <c r="AO38" s="215">
        <f t="shared" si="4"/>
        <v>-14.7</v>
      </c>
      <c r="AP38" s="216">
        <f t="shared" si="5"/>
        <v>1</v>
      </c>
      <c r="AQ38" s="216">
        <f t="shared" si="6"/>
        <v>1</v>
      </c>
      <c r="AR38" s="215">
        <f t="shared" si="20"/>
        <v>158.47</v>
      </c>
      <c r="AS38" s="216">
        <f t="shared" si="7"/>
        <v>1.0632190661423899</v>
      </c>
      <c r="AT38" s="216">
        <f t="shared" si="8"/>
        <v>1.2538510821608391</v>
      </c>
      <c r="AU38" s="216">
        <f t="shared" si="9"/>
        <v>2.2360679774997898</v>
      </c>
      <c r="AV38" s="217">
        <f t="shared" si="10"/>
        <v>11.337362080646463</v>
      </c>
      <c r="AW38" s="216">
        <f t="shared" si="11"/>
        <v>0</v>
      </c>
      <c r="AX38" s="218">
        <f t="shared" si="12"/>
        <v>1.2404702239830552</v>
      </c>
      <c r="AY38" s="216">
        <f t="shared" si="13"/>
        <v>0.57237811875342381</v>
      </c>
      <c r="AZ38" s="217">
        <f t="shared" si="14"/>
        <v>2.4845955695987438</v>
      </c>
      <c r="BA38" s="216">
        <f t="shared" si="15"/>
        <v>0</v>
      </c>
      <c r="BB38" s="216">
        <f t="shared" si="16"/>
        <v>1.146760503180789</v>
      </c>
      <c r="BC38" s="216">
        <f t="shared" si="17"/>
        <v>1</v>
      </c>
    </row>
    <row r="39" spans="1:55" ht="20.100000000000001" customHeight="1" thickBot="1" x14ac:dyDescent="0.25">
      <c r="A39" s="46">
        <v>1</v>
      </c>
      <c r="B39" s="451"/>
      <c r="C39" s="451"/>
      <c r="D39" s="452">
        <v>9.3000000000000007</v>
      </c>
      <c r="E39" s="452">
        <v>66.900000000000006</v>
      </c>
      <c r="F39" s="42">
        <v>1966</v>
      </c>
      <c r="G39" s="37">
        <v>-5.6</v>
      </c>
      <c r="H39" s="38">
        <v>72.8</v>
      </c>
      <c r="I39" s="37">
        <v>22.2</v>
      </c>
      <c r="J39" s="41">
        <v>605</v>
      </c>
      <c r="K39" s="37">
        <v>13</v>
      </c>
      <c r="L39" s="452">
        <v>128</v>
      </c>
      <c r="M39" s="452">
        <v>220</v>
      </c>
      <c r="N39" s="451">
        <v>90</v>
      </c>
      <c r="O39" s="353">
        <v>40</v>
      </c>
      <c r="P39" s="353">
        <v>12</v>
      </c>
      <c r="Q39" s="354">
        <v>228.29</v>
      </c>
      <c r="R39" s="38"/>
      <c r="S39" s="512" t="str">
        <f t="shared" si="22"/>
        <v/>
      </c>
      <c r="T39" s="512"/>
      <c r="U39" s="512"/>
      <c r="V39" s="512"/>
      <c r="X39" s="46">
        <v>1</v>
      </c>
      <c r="Y39" s="107"/>
      <c r="Z39" s="103"/>
      <c r="AA39" s="103"/>
      <c r="AB39" s="46" t="str">
        <f t="shared" si="18"/>
        <v/>
      </c>
      <c r="AC39" s="46" t="str">
        <f t="shared" si="1"/>
        <v/>
      </c>
      <c r="AD39" s="82"/>
      <c r="AE39" s="9" t="str">
        <f>IF(S39="","",IF(COUNTA(Z39:$Z$39)=1,IF(COUNTA(AD39:$AD$39)=1,""," ; "),IF(COUNTA(AD39:$AD$39)=1,IF(Z39="",""," ; ")," ; ")))</f>
        <v/>
      </c>
      <c r="AF39" s="9" t="str">
        <f t="shared" si="2"/>
        <v/>
      </c>
      <c r="AG39" s="90" t="str">
        <f t="shared" si="3"/>
        <v/>
      </c>
      <c r="AH39" s="204" t="s">
        <v>220</v>
      </c>
      <c r="AJ39" s="219">
        <f t="shared" si="21"/>
        <v>500</v>
      </c>
      <c r="AK39" s="219">
        <f t="shared" si="21"/>
        <v>100</v>
      </c>
      <c r="AL39" s="219">
        <f t="shared" si="21"/>
        <v>2</v>
      </c>
      <c r="AM39" s="220">
        <f t="shared" si="21"/>
        <v>0.875</v>
      </c>
      <c r="AN39" s="221">
        <f t="shared" si="21"/>
        <v>0.63607464142166403</v>
      </c>
      <c r="AO39" s="222">
        <f t="shared" si="4"/>
        <v>-14.7</v>
      </c>
      <c r="AP39" s="223">
        <f t="shared" si="5"/>
        <v>1</v>
      </c>
      <c r="AQ39" s="223">
        <f t="shared" si="6"/>
        <v>1</v>
      </c>
      <c r="AR39" s="222">
        <f t="shared" si="20"/>
        <v>158.47</v>
      </c>
      <c r="AS39" s="223">
        <f t="shared" si="7"/>
        <v>0.9723448696087954</v>
      </c>
      <c r="AT39" s="223">
        <f t="shared" si="8"/>
        <v>1.2538510821608391</v>
      </c>
      <c r="AU39" s="223">
        <f t="shared" si="9"/>
        <v>2.2360679774997898</v>
      </c>
      <c r="AV39" s="224">
        <f t="shared" si="10"/>
        <v>10.368348541764712</v>
      </c>
      <c r="AW39" s="223">
        <f t="shared" si="11"/>
        <v>0</v>
      </c>
      <c r="AX39" s="225">
        <f t="shared" si="12"/>
        <v>1.4831709199797398</v>
      </c>
      <c r="AY39" s="223">
        <f t="shared" si="13"/>
        <v>0.77643477842613629</v>
      </c>
      <c r="AZ39" s="224">
        <f t="shared" si="14"/>
        <v>3.5883638597441294</v>
      </c>
      <c r="BA39" s="223">
        <f t="shared" si="15"/>
        <v>0</v>
      </c>
      <c r="BB39" s="223">
        <f t="shared" si="16"/>
        <v>1.0016542390239327</v>
      </c>
      <c r="BC39" s="223">
        <f t="shared" si="17"/>
        <v>1</v>
      </c>
    </row>
    <row r="40" spans="1:55" ht="20.100000000000001" customHeight="1" thickBot="1" x14ac:dyDescent="0.3">
      <c r="A40" s="53" t="s">
        <v>11</v>
      </c>
      <c r="B40" s="453" t="str">
        <f>IFERROR(ROUND(AVERAGE(B16:B39),2),"")</f>
        <v/>
      </c>
      <c r="C40" s="453" t="str">
        <f>IFERROR(ROUND(AVERAGE(C16:C39),2),"")</f>
        <v/>
      </c>
      <c r="D40" s="453">
        <f>IFERROR(ROUND(AVERAGE(D16:D39),2),"")</f>
        <v>7.6</v>
      </c>
      <c r="E40" s="453">
        <f>IFERROR(ROUND(AVERAGE(E16:E39),2),"")</f>
        <v>63</v>
      </c>
      <c r="F40" s="55">
        <f>IFERROR(ROUND(AVERAGE(F16:F39),0),"")</f>
        <v>1951</v>
      </c>
      <c r="G40" s="54">
        <f>IFERROR(AVERAGE(G16:G39),"")</f>
        <v>-5.5999999999999979</v>
      </c>
      <c r="H40" s="54">
        <f>IFERROR(AVERAGE(H16:H39),"")</f>
        <v>72.386363636363626</v>
      </c>
      <c r="I40" s="54">
        <f>IFERROR(AVERAGE(I16:I39),"")</f>
        <v>22.454545454545453</v>
      </c>
      <c r="J40" s="71"/>
      <c r="K40" s="111">
        <f>IFERROR(AVERAGE(K16:K39),"")</f>
        <v>13</v>
      </c>
      <c r="L40" s="453">
        <f t="shared" ref="L40:P40" si="23">IFERROR(ROUND(AVERAGE(L16:L39),1),"")</f>
        <v>128</v>
      </c>
      <c r="M40" s="453">
        <f t="shared" si="23"/>
        <v>223</v>
      </c>
      <c r="N40" s="453">
        <f t="shared" si="23"/>
        <v>88</v>
      </c>
      <c r="O40" s="456">
        <f t="shared" si="23"/>
        <v>43</v>
      </c>
      <c r="P40" s="456">
        <f t="shared" si="23"/>
        <v>12.4</v>
      </c>
      <c r="Q40" s="456">
        <f>IF($I$47=1,$M$49,$Q$44)</f>
        <v>236.71090000000001</v>
      </c>
      <c r="R40" s="54" t="str">
        <f>IFERROR(ROUND(AVERAGE(R16:R39),1),"")</f>
        <v/>
      </c>
      <c r="S40" s="509"/>
      <c r="T40" s="510"/>
      <c r="U40" s="510"/>
      <c r="V40" s="511"/>
      <c r="X40" s="99"/>
      <c r="Y40" s="99"/>
      <c r="Z40" s="99"/>
      <c r="AA40" s="99"/>
      <c r="AB40" s="104">
        <f>SUM(AB16:AB39)</f>
        <v>0</v>
      </c>
      <c r="AC40" s="104">
        <f>SUM(AC16:AC39)</f>
        <v>8.333333333333337E-2</v>
      </c>
      <c r="AD40" s="92" t="str">
        <f>IF(OR(COUNTBLANK(D16:E39)+COUNTBLANK(O16:P39)=0,COUNTA(S16:V39)&lt;&gt;0),"","CEK : Blank Data - Remarks")</f>
        <v/>
      </c>
      <c r="AG40" s="90" t="str">
        <f>IF(COUNTIF(AG16:AG39,"")=COUNTA(AG16:AG39),"","CEK : Data Flowrate")</f>
        <v/>
      </c>
      <c r="AH40" s="204" t="s">
        <v>311</v>
      </c>
    </row>
    <row r="41" spans="1:55" ht="20.100000000000001" hidden="1" customHeight="1" thickBot="1" x14ac:dyDescent="0.3">
      <c r="A41" s="49" t="s">
        <v>12</v>
      </c>
      <c r="B41" s="52" t="str">
        <f>IF(COUNT(B16:B39)&gt;0,ROUND(MIN(B16:B39),2),"")</f>
        <v/>
      </c>
      <c r="C41" s="52" t="str">
        <f>IF(COUNT(C16:C39)&gt;0,ROUND(MIN(C16:C39),2),"")</f>
        <v/>
      </c>
      <c r="D41" s="52">
        <f>IF(COUNT(D16:D39)&gt;0,ROUND(MIN(D16:D39),2),"")</f>
        <v>6.3</v>
      </c>
      <c r="E41" s="52">
        <f>IF(COUNT(E16:E39)&gt;0,ROUND(MIN(E16:E39),2),"")</f>
        <v>61.2</v>
      </c>
      <c r="F41" s="51">
        <f>IF(COUNT(F16:F39)&gt;0,ROUND(MIN(F16:F39),0),"")</f>
        <v>1925</v>
      </c>
      <c r="G41" s="50">
        <f>IF(COUNT(G16:G39)&gt;0,MIN(G16:G39),"")</f>
        <v>-5.6</v>
      </c>
      <c r="H41" s="50">
        <f>IF(COUNT(H16:H39)&gt;0,MIN(H16:H39),"")</f>
        <v>72</v>
      </c>
      <c r="I41" s="50">
        <f>IF(COUNT(I16:I39)&gt;0,MIN(I16:I39),"")</f>
        <v>22</v>
      </c>
      <c r="J41" s="72"/>
      <c r="K41" s="50">
        <f>IF(COUNT(K16:K39)&gt;0,MIN(K16:K39),"")</f>
        <v>13</v>
      </c>
      <c r="L41" s="52">
        <f>IF(COUNT(L16:L39)&gt;0,ROUND(MIN(L16:L39),1),"")</f>
        <v>122</v>
      </c>
      <c r="M41" s="52">
        <f>IF(COUNT(M16:M39)&gt;0,ROUND(MIN(M16:M39),1),"")</f>
        <v>217</v>
      </c>
      <c r="N41" s="52">
        <f>IF(COUNT(N16:N39)&gt;0,ROUND(MIN(N16:N39),1),"")</f>
        <v>85</v>
      </c>
      <c r="O41" s="440">
        <f>IF(COUNT(O16:O39)&gt;0,ROUND(MIN(O16:O39),1),"")</f>
        <v>40</v>
      </c>
      <c r="P41" s="440">
        <f>IF(COUNT(P16:P39)&gt;0,ROUND(MIN(P16:P39),1),"")</f>
        <v>9</v>
      </c>
      <c r="Q41" s="440">
        <f>IF(COUNT(Q16:Q39)&gt;0,ROUND(MIN(Q16:Q39),4),"")</f>
        <v>218.65</v>
      </c>
      <c r="R41" s="121" t="str">
        <f>IF(COUNT(R16:R39)&gt;0,ROUND(MIN(R16:R39),1),"")</f>
        <v/>
      </c>
      <c r="S41" s="509"/>
      <c r="T41" s="510"/>
      <c r="U41" s="510"/>
      <c r="V41" s="511"/>
      <c r="X41" s="99"/>
      <c r="Y41" s="99"/>
      <c r="Z41" s="99"/>
      <c r="AA41" s="99"/>
      <c r="AB41" s="99"/>
      <c r="AC41" s="99"/>
      <c r="AH41" s="204" t="s">
        <v>318</v>
      </c>
    </row>
    <row r="42" spans="1:55" ht="20.100000000000001" hidden="1" customHeight="1" thickBot="1" x14ac:dyDescent="0.3">
      <c r="A42" s="21" t="s">
        <v>13</v>
      </c>
      <c r="B42" s="454" t="str">
        <f>IF(COUNT(B16:B39)&gt;0,ROUND(MAX(B16:B39),2),"")</f>
        <v/>
      </c>
      <c r="C42" s="454" t="str">
        <f>IF(COUNT(C16:C39)&gt;0,ROUND(MAX(C16:C39),2),"")</f>
        <v/>
      </c>
      <c r="D42" s="454">
        <f>IF(COUNT(D16:D39)&gt;0,ROUND(MAX(D16:D39),2),"")</f>
        <v>9.3000000000000007</v>
      </c>
      <c r="E42" s="454">
        <f>IF(COUNT(E16:E39)&gt;0,ROUND(MAX(E16:E39),2),"")</f>
        <v>66.900000000000006</v>
      </c>
      <c r="F42" s="43">
        <f>IF(COUNT(F16:F39)&gt;0,ROUND(MAX(F16:F39),0),"")</f>
        <v>1986</v>
      </c>
      <c r="G42" s="39">
        <f>IF(COUNT(G16:G39)&gt;0,MAX(G16:G39),"")</f>
        <v>-5.6</v>
      </c>
      <c r="H42" s="39">
        <f>IF(COUNT(H16:H39)&gt;0,MAX(H16:H39),"")</f>
        <v>72.8</v>
      </c>
      <c r="I42" s="39">
        <f>IF(COUNT(I16:I39)&gt;0,MAX(I16:I39),"")</f>
        <v>22.9</v>
      </c>
      <c r="J42" s="43">
        <f>IF(COUNT(J16:J39)&gt;0,MAX(J16:J39),"")</f>
        <v>605</v>
      </c>
      <c r="K42" s="39">
        <f>IF(COUNT(K16:K39)&gt;0,MAX(K16:K39),"")</f>
        <v>13</v>
      </c>
      <c r="L42" s="454">
        <f>IF(COUNT(L16:L39)&gt;0,ROUND(MAX(L16:L39),1),"")</f>
        <v>133</v>
      </c>
      <c r="M42" s="454">
        <f>IF(COUNT(M16:M39)&gt;0,ROUND(MAX(M16:M39),1),"")</f>
        <v>230</v>
      </c>
      <c r="N42" s="454">
        <f>IF(COUNT(N16:N39)&gt;0,ROUND(MAX(N16:N39),1),"")</f>
        <v>90</v>
      </c>
      <c r="O42" s="441">
        <f>IF(COUNT(O16:O39)&gt;0,ROUND(MAX(O16:O39),1),"")</f>
        <v>55</v>
      </c>
      <c r="P42" s="441">
        <f>IF(COUNT(P16:P39)&gt;0,ROUND(MAX(P16:P39),1),"")</f>
        <v>15</v>
      </c>
      <c r="Q42" s="441">
        <f>IF(COUNT(Q16:Q39)&gt;0,ROUND(MAX(Q16:Q39),4),"")</f>
        <v>256.17</v>
      </c>
      <c r="R42" s="39" t="str">
        <f>IF(COUNT(R16:R39)&gt;0,ROUND(MAX(R16:R39),1),"")</f>
        <v/>
      </c>
      <c r="S42" s="509"/>
      <c r="T42" s="510"/>
      <c r="U42" s="510"/>
      <c r="V42" s="511"/>
      <c r="X42" s="99"/>
      <c r="Y42" s="99"/>
      <c r="Z42" s="99"/>
      <c r="AA42" s="99"/>
      <c r="AB42" s="99"/>
      <c r="AC42" s="99"/>
      <c r="AH42" s="204" t="s">
        <v>312</v>
      </c>
    </row>
    <row r="43" spans="1:55" ht="20.100000000000001" hidden="1" customHeight="1" x14ac:dyDescent="0.25">
      <c r="A43" s="109"/>
      <c r="B43" s="110">
        <f>COUNT(B16:B39)</f>
        <v>0</v>
      </c>
      <c r="C43" s="110">
        <f>COUNT(C16:C39)</f>
        <v>0</v>
      </c>
      <c r="D43" s="110">
        <f>COUNT(D16:D39)</f>
        <v>22</v>
      </c>
      <c r="E43" s="110">
        <f t="shared" ref="E43:H43" si="24">COUNT(E16:E39)</f>
        <v>22</v>
      </c>
      <c r="F43" s="110">
        <f t="shared" si="24"/>
        <v>22</v>
      </c>
      <c r="G43" s="110">
        <f t="shared" si="24"/>
        <v>22</v>
      </c>
      <c r="H43" s="110">
        <f t="shared" si="24"/>
        <v>22</v>
      </c>
      <c r="I43" s="110"/>
      <c r="J43" s="110"/>
      <c r="K43" s="110"/>
      <c r="L43" s="110">
        <f t="shared" ref="L43:Q43" si="25">COUNT(L16:L39)</f>
        <v>22</v>
      </c>
      <c r="M43" s="110">
        <f t="shared" si="25"/>
        <v>22</v>
      </c>
      <c r="N43" s="110">
        <f t="shared" si="25"/>
        <v>22</v>
      </c>
      <c r="O43" s="110">
        <f t="shared" si="25"/>
        <v>22</v>
      </c>
      <c r="P43" s="110">
        <f t="shared" si="25"/>
        <v>22</v>
      </c>
      <c r="Q43" s="110">
        <f t="shared" si="25"/>
        <v>22</v>
      </c>
      <c r="R43" s="110"/>
      <c r="S43" s="99"/>
      <c r="T43" s="99"/>
      <c r="U43" s="99"/>
      <c r="V43" s="99"/>
      <c r="X43" s="99"/>
      <c r="Y43" s="99"/>
      <c r="Z43" s="99"/>
      <c r="AA43" s="99"/>
      <c r="AB43" s="99"/>
      <c r="AC43" s="99"/>
      <c r="AD43" s="92" t="str">
        <f>IF(AND(D43=E43,D43=F43,D43=G43,D43=H43,D43=L43,D43=M43,D43=N43,D43=O43,D43=P43,D43=Q43),"","CEK : Data Content")</f>
        <v/>
      </c>
      <c r="AH43" s="204" t="s">
        <v>221</v>
      </c>
    </row>
    <row r="44" spans="1:55" s="6" customFormat="1" ht="15" customHeight="1" x14ac:dyDescent="0.25">
      <c r="J44" s="91" t="str">
        <f>IF(J1="PRINT","",IF(J42="","RH please ! !",""))</f>
        <v/>
      </c>
      <c r="L44" s="24"/>
      <c r="Q44" s="445">
        <f>IFERROR(ROUND(AVERAGE(Q16:Q39),4),"")</f>
        <v>236.71090000000001</v>
      </c>
      <c r="AH44" s="204" t="s">
        <v>323</v>
      </c>
      <c r="AI44" s="7"/>
    </row>
    <row r="45" spans="1:55" s="6" customFormat="1" ht="15" customHeight="1" x14ac:dyDescent="0.25">
      <c r="L45" s="26" t="s">
        <v>290</v>
      </c>
      <c r="Q45" s="445"/>
      <c r="AH45" s="204" t="s">
        <v>288</v>
      </c>
      <c r="AI45" s="7"/>
    </row>
    <row r="46" spans="1:55" s="6" customFormat="1" ht="15" customHeight="1" x14ac:dyDescent="0.25">
      <c r="D46" s="443" t="s">
        <v>90</v>
      </c>
      <c r="E46" s="448" t="str">
        <f>IF(Schedule!C$26="","",Schedule!C$26)</f>
        <v/>
      </c>
      <c r="G46" s="61"/>
      <c r="H46" s="25" t="str">
        <f>IFERROR(IF(OR(I47="",I48="",I49=""),"WAKTU BELUM DI-ISI LENGKAP",IF(SUM(I48:I49)&lt;=1,"","CEK KEMBALI PENULISAN WAKTU SALAH")),"CEK KEMBALI PENULISAN WAKTU SALAH")</f>
        <v/>
      </c>
      <c r="L46" s="26" t="s">
        <v>22</v>
      </c>
      <c r="M46" s="460">
        <f>IF(Volume!$W25="",$O46,Volume!$W25)</f>
        <v>31.29</v>
      </c>
      <c r="N46" s="27" t="s">
        <v>1</v>
      </c>
      <c r="O46" s="447">
        <f>IF(O40="","",O40)</f>
        <v>43</v>
      </c>
      <c r="P46" s="361" t="s">
        <v>29</v>
      </c>
      <c r="Q46" s="362"/>
      <c r="R46" s="362"/>
      <c r="S46" s="362"/>
      <c r="T46" s="361" t="s">
        <v>30</v>
      </c>
      <c r="U46" s="362"/>
      <c r="V46" s="362"/>
      <c r="AH46" s="204" t="s">
        <v>222</v>
      </c>
    </row>
    <row r="47" spans="1:55" s="6" customFormat="1" ht="15" customHeight="1" x14ac:dyDescent="0.25">
      <c r="D47" s="448"/>
      <c r="E47" s="448"/>
      <c r="H47" s="26" t="s">
        <v>26</v>
      </c>
      <c r="I47" s="56">
        <f>IF(OR(I48="",I49=""),"",1-I48-I49)</f>
        <v>0.91666666666666663</v>
      </c>
      <c r="J47" s="27" t="s">
        <v>19</v>
      </c>
      <c r="L47" s="26" t="s">
        <v>23</v>
      </c>
      <c r="M47" s="442">
        <f>IF(Volume!$Y25="",$O47,Volume!$Y25)</f>
        <v>13.0487</v>
      </c>
      <c r="N47" s="27" t="s">
        <v>14</v>
      </c>
      <c r="O47" s="447">
        <f>IF(P40="","",P40)</f>
        <v>12.4</v>
      </c>
      <c r="P47" s="361" t="s">
        <v>211</v>
      </c>
      <c r="Q47" s="362"/>
      <c r="R47" s="362"/>
      <c r="S47" s="362"/>
      <c r="T47" s="361" t="s">
        <v>271</v>
      </c>
      <c r="U47" s="362"/>
      <c r="V47" s="362"/>
      <c r="AH47" s="204" t="s">
        <v>223</v>
      </c>
    </row>
    <row r="48" spans="1:55" s="6" customFormat="1" ht="15" customHeight="1" x14ac:dyDescent="0.25">
      <c r="D48" s="443" t="s">
        <v>91</v>
      </c>
      <c r="E48" s="448" t="str">
        <f>IF(Schedule!D$26="","",Schedule!D$26)</f>
        <v/>
      </c>
      <c r="H48" s="26" t="s">
        <v>37</v>
      </c>
      <c r="I48" s="108">
        <f>IF(OR(COUNT($Q$16:$Q$39)&lt;&gt;0,COUNTA($AD$16:$AD$39)&lt;&gt;0),AB40,"")</f>
        <v>0</v>
      </c>
      <c r="J48" s="27" t="s">
        <v>19</v>
      </c>
      <c r="L48" s="26" t="s">
        <v>24</v>
      </c>
      <c r="M48" s="449">
        <f>IF(N40="","",N40)</f>
        <v>88</v>
      </c>
      <c r="N48" s="27" t="s">
        <v>5</v>
      </c>
      <c r="P48" s="362"/>
      <c r="Q48" s="362"/>
      <c r="R48" s="362"/>
      <c r="S48" s="362"/>
      <c r="T48" s="361" t="s">
        <v>291</v>
      </c>
      <c r="U48" s="362"/>
      <c r="V48" s="362"/>
      <c r="AH48" s="204" t="s">
        <v>324</v>
      </c>
    </row>
    <row r="49" spans="1:34" s="6" customFormat="1" ht="15" customHeight="1" x14ac:dyDescent="0.25">
      <c r="D49" s="448"/>
      <c r="E49" s="448"/>
      <c r="H49" s="26" t="s">
        <v>27</v>
      </c>
      <c r="I49" s="108">
        <f>IF(OR(COUNT($Q$16:$Q$39)&lt;&gt;0,COUNTA($AD$16:$AD$39)&lt;&gt;0),AC40,"")</f>
        <v>8.333333333333337E-2</v>
      </c>
      <c r="J49" s="27" t="s">
        <v>19</v>
      </c>
      <c r="L49" s="26" t="s">
        <v>128</v>
      </c>
      <c r="M49" s="442">
        <f>IF(Volume!$L25="",M51,Volume!$L25)</f>
        <v>212.8</v>
      </c>
      <c r="N49" s="27" t="str">
        <f>IF(Q15="MSCFD","MSCF","MMSCF")</f>
        <v>MSCF</v>
      </c>
      <c r="P49" s="362"/>
      <c r="Q49" s="362"/>
      <c r="R49" s="362"/>
      <c r="S49" s="362"/>
      <c r="T49" s="362"/>
      <c r="U49" s="362"/>
      <c r="V49" s="362"/>
      <c r="AH49" s="204" t="s">
        <v>317</v>
      </c>
    </row>
    <row r="50" spans="1:34" s="6" customFormat="1" ht="15" customHeight="1" x14ac:dyDescent="0.25">
      <c r="D50" s="443" t="s">
        <v>92</v>
      </c>
      <c r="E50" s="448" t="str">
        <f>IF(Schedule!E$26="","",Schedule!E$26)</f>
        <v>Marihot Gustafa S.</v>
      </c>
      <c r="L50" s="443" t="str">
        <f>CONCATENATE(MR!L16," ",":")</f>
        <v>Liquid Gain :</v>
      </c>
      <c r="M50" s="446" t="str">
        <f>IF(R40="","",ROUND(SUM(R16:R39),2))</f>
        <v/>
      </c>
      <c r="N50" s="444" t="str">
        <f>R15</f>
        <v>BPD</v>
      </c>
      <c r="P50" s="362"/>
      <c r="Q50" s="362"/>
      <c r="R50" s="362"/>
      <c r="S50" s="362"/>
      <c r="T50" s="362"/>
      <c r="U50" s="362"/>
      <c r="V50" s="362"/>
      <c r="AH50" s="204" t="s">
        <v>282</v>
      </c>
    </row>
    <row r="51" spans="1:34" s="6" customFormat="1" ht="15" customHeight="1" x14ac:dyDescent="0.25">
      <c r="A51" s="4"/>
      <c r="L51" s="443" t="s">
        <v>286</v>
      </c>
      <c r="M51" s="447">
        <f>IF(Q44="","",IF(SUM(I48:I49)=1,IF(Q44&lt;&gt;0,"Cek Tabel",""),ROUND(Q44*I47,4)))</f>
        <v>216.98500000000001</v>
      </c>
      <c r="N51" s="444" t="str">
        <f>IF(Q15="MSCFD","MSCF","MMSCF")</f>
        <v>MSCF</v>
      </c>
      <c r="P51" s="362"/>
      <c r="Q51" s="362"/>
      <c r="R51" s="362"/>
      <c r="S51" s="362"/>
      <c r="T51" s="362"/>
      <c r="U51" s="362"/>
      <c r="V51" s="362"/>
      <c r="AH51" s="204" t="s">
        <v>325</v>
      </c>
    </row>
    <row r="52" spans="1:34" s="6" customFormat="1" ht="15" customHeight="1" x14ac:dyDescent="0.25">
      <c r="D52" s="26" t="s">
        <v>28</v>
      </c>
      <c r="E52" s="47"/>
      <c r="F52" s="47"/>
      <c r="G52" s="47"/>
      <c r="H52" s="47"/>
      <c r="I52" s="47"/>
      <c r="J52" s="47"/>
      <c r="K52" s="47"/>
      <c r="L52" s="5"/>
      <c r="P52" s="362"/>
      <c r="Q52" s="362"/>
      <c r="R52" s="362"/>
      <c r="S52" s="362"/>
      <c r="T52" s="362"/>
      <c r="U52" s="362"/>
      <c r="V52" s="362"/>
      <c r="AH52" s="204" t="s">
        <v>280</v>
      </c>
    </row>
    <row r="53" spans="1:34" s="6" customFormat="1" ht="15" customHeight="1" x14ac:dyDescent="0.25">
      <c r="D53" s="5"/>
      <c r="E53" s="48"/>
      <c r="F53" s="48"/>
      <c r="G53" s="48"/>
      <c r="H53" s="48"/>
      <c r="I53" s="48"/>
      <c r="J53" s="48"/>
      <c r="K53" s="48"/>
      <c r="L53" s="5"/>
      <c r="P53" s="363" t="str">
        <f>UPPER(E50)</f>
        <v>MARIHOT GUSTAFA S.</v>
      </c>
      <c r="Q53" s="362"/>
      <c r="R53" s="362"/>
      <c r="S53" s="362"/>
      <c r="T53" s="363" t="str">
        <f>IF(Schedule!F$26="","",UPPER(Schedule!F$26))</f>
        <v>SAPUAN</v>
      </c>
      <c r="U53" s="362"/>
      <c r="V53" s="362"/>
      <c r="AH53" s="204" t="s">
        <v>316</v>
      </c>
    </row>
    <row r="54" spans="1:34" s="6" customFormat="1" ht="15" customHeight="1" x14ac:dyDescent="0.25">
      <c r="E54" s="48"/>
      <c r="F54" s="48"/>
      <c r="G54" s="48"/>
      <c r="H54" s="48"/>
      <c r="I54" s="48"/>
      <c r="J54" s="48"/>
      <c r="K54" s="48"/>
      <c r="P54" s="361" t="s">
        <v>107</v>
      </c>
      <c r="Q54" s="362"/>
      <c r="R54" s="362"/>
      <c r="S54" s="362"/>
      <c r="T54" s="361" t="s">
        <v>294</v>
      </c>
      <c r="U54" s="362"/>
      <c r="V54" s="362"/>
      <c r="AH54" s="204" t="s">
        <v>326</v>
      </c>
    </row>
    <row r="55" spans="1:34" s="6" customFormat="1" ht="15" customHeight="1" x14ac:dyDescent="0.25">
      <c r="P55" s="364" t="str">
        <f>CONCATENATE("Date : ",TEXT(K12,"[$-409]d mmm yyyy;@"))</f>
        <v>Date : 22 Jun 2025</v>
      </c>
      <c r="Q55" s="362"/>
      <c r="R55" s="364"/>
      <c r="S55" s="362"/>
      <c r="T55" s="364" t="str">
        <f>CONCATENATE("Date : ",TEXT(K12,"[$-409]d mmm yyyy;@"))</f>
        <v>Date : 22 Jun 2025</v>
      </c>
      <c r="U55" s="362"/>
      <c r="V55" s="362"/>
      <c r="AH55" s="204" t="s">
        <v>327</v>
      </c>
    </row>
    <row r="56" spans="1:34" ht="15" customHeight="1" x14ac:dyDescent="0.25">
      <c r="AH56" s="204" t="s">
        <v>281</v>
      </c>
    </row>
    <row r="57" spans="1:34" ht="15" customHeight="1" x14ac:dyDescent="0.25">
      <c r="AH57" s="204" t="s">
        <v>277</v>
      </c>
    </row>
    <row r="58" spans="1:34" ht="15" customHeight="1" x14ac:dyDescent="0.25">
      <c r="AH58" s="204" t="s">
        <v>328</v>
      </c>
    </row>
    <row r="59" spans="1:34" ht="15" customHeight="1" x14ac:dyDescent="0.25">
      <c r="AH59" s="204" t="s">
        <v>329</v>
      </c>
    </row>
    <row r="60" spans="1:34" ht="15" customHeight="1" x14ac:dyDescent="0.25">
      <c r="AH60" s="204" t="s">
        <v>330</v>
      </c>
    </row>
    <row r="61" spans="1:34" ht="15" customHeight="1" x14ac:dyDescent="0.25">
      <c r="AH61" s="204" t="s">
        <v>331</v>
      </c>
    </row>
    <row r="62" spans="1:34" ht="15" customHeight="1" x14ac:dyDescent="0.25">
      <c r="AH62" s="204" t="s">
        <v>332</v>
      </c>
    </row>
    <row r="63" spans="1:34" ht="15" customHeight="1" x14ac:dyDescent="0.25">
      <c r="AH63" s="204" t="s">
        <v>315</v>
      </c>
    </row>
    <row r="64" spans="1:34" ht="15" customHeight="1" x14ac:dyDescent="0.25">
      <c r="AH64" s="204" t="s">
        <v>333</v>
      </c>
    </row>
    <row r="65" spans="34:34" ht="15" customHeight="1" x14ac:dyDescent="0.25">
      <c r="AH65" s="204" t="s">
        <v>310</v>
      </c>
    </row>
    <row r="66" spans="34:34" ht="15" customHeight="1" x14ac:dyDescent="0.25">
      <c r="AH66" s="204" t="s">
        <v>334</v>
      </c>
    </row>
    <row r="67" spans="34:34" ht="15" customHeight="1" x14ac:dyDescent="0.25">
      <c r="AH67" s="204" t="s">
        <v>335</v>
      </c>
    </row>
    <row r="68" spans="34:34" ht="15" customHeight="1" x14ac:dyDescent="0.25">
      <c r="AH68" s="204" t="s">
        <v>336</v>
      </c>
    </row>
    <row r="69" spans="34:34" ht="15" customHeight="1" x14ac:dyDescent="0.25">
      <c r="AH69" s="204" t="s">
        <v>337</v>
      </c>
    </row>
    <row r="70" spans="34:34" ht="15" customHeight="1" x14ac:dyDescent="0.25">
      <c r="AH70" s="204" t="s">
        <v>338</v>
      </c>
    </row>
    <row r="71" spans="34:34" ht="15" customHeight="1" x14ac:dyDescent="0.25">
      <c r="AH71" s="204" t="s">
        <v>339</v>
      </c>
    </row>
    <row r="72" spans="34:34" ht="15" customHeight="1" x14ac:dyDescent="0.25">
      <c r="AH72" s="204" t="s">
        <v>340</v>
      </c>
    </row>
    <row r="85" spans="34:34" ht="0" hidden="1" customHeight="1" x14ac:dyDescent="0.25">
      <c r="AH85" s="6"/>
    </row>
    <row r="86" spans="34:34" ht="0" hidden="1" customHeight="1" x14ac:dyDescent="0.25">
      <c r="AH86" s="6"/>
    </row>
    <row r="87" spans="34:34" ht="0" hidden="1" customHeight="1" x14ac:dyDescent="0.25">
      <c r="AH87" s="6"/>
    </row>
    <row r="88" spans="34:34" ht="0" hidden="1" customHeight="1" x14ac:dyDescent="0.25">
      <c r="AH88" s="6"/>
    </row>
    <row r="89" spans="34:34" ht="0" hidden="1" customHeight="1" x14ac:dyDescent="0.25">
      <c r="AH89" s="6"/>
    </row>
    <row r="90" spans="34:34" ht="0" hidden="1" customHeight="1" x14ac:dyDescent="0.25">
      <c r="AH90" s="6"/>
    </row>
    <row r="91" spans="34:34" ht="0" hidden="1" customHeight="1" x14ac:dyDescent="0.25">
      <c r="AH91" s="6"/>
    </row>
    <row r="92" spans="34:34" ht="0" hidden="1" customHeight="1" x14ac:dyDescent="0.25">
      <c r="AH92" s="6"/>
    </row>
    <row r="93" spans="34:34" ht="0" hidden="1" customHeight="1" x14ac:dyDescent="0.25">
      <c r="AH93" s="6"/>
    </row>
    <row r="94" spans="34:34" ht="0" hidden="1" customHeight="1" x14ac:dyDescent="0.25">
      <c r="AH94" s="6"/>
    </row>
  </sheetData>
  <sheetProtection algorithmName="SHA-512" hashValue="c3k5kPeHAfQc3E3vJ345Zo4IWnCpqhhl07uZXnhGzpL5090gdRVCeHisUahAe5UBEYCRQkv16dsyBUoKGfffYA==" saltValue="v66HjjevRj8CBWxARVcgfA==" spinCount="100000" sheet="1" objects="1" scenarios="1" formatColumns="0" formatRows="0" insertColumns="0" insertRows="0" sort="0" autoFilter="0" pivotTables="0"/>
  <mergeCells count="69">
    <mergeCell ref="S37:V37"/>
    <mergeCell ref="S38:V38"/>
    <mergeCell ref="S39:V39"/>
    <mergeCell ref="S40:V40"/>
    <mergeCell ref="S41:V42"/>
    <mergeCell ref="S36:V36"/>
    <mergeCell ref="S25:V25"/>
    <mergeCell ref="S26:V26"/>
    <mergeCell ref="S27:V27"/>
    <mergeCell ref="S28:V28"/>
    <mergeCell ref="S29:V29"/>
    <mergeCell ref="S30:V30"/>
    <mergeCell ref="S31:V31"/>
    <mergeCell ref="S32:V32"/>
    <mergeCell ref="S33:V33"/>
    <mergeCell ref="S34:V34"/>
    <mergeCell ref="S35:V35"/>
    <mergeCell ref="S19:V19"/>
    <mergeCell ref="S20:V20"/>
    <mergeCell ref="S21:V21"/>
    <mergeCell ref="S22:V22"/>
    <mergeCell ref="S23:V23"/>
    <mergeCell ref="S24:V24"/>
    <mergeCell ref="BA14:BA15"/>
    <mergeCell ref="BB14:BB15"/>
    <mergeCell ref="BC14:BC15"/>
    <mergeCell ref="S16:V16"/>
    <mergeCell ref="S17:V17"/>
    <mergeCell ref="S18:V18"/>
    <mergeCell ref="AU14:AU15"/>
    <mergeCell ref="AV14:AV15"/>
    <mergeCell ref="AW14:AW15"/>
    <mergeCell ref="AX14:AX15"/>
    <mergeCell ref="AY14:AY15"/>
    <mergeCell ref="AZ14:AZ15"/>
    <mergeCell ref="AO14:AO15"/>
    <mergeCell ref="AP14:AP15"/>
    <mergeCell ref="AQ14:AQ15"/>
    <mergeCell ref="AR14:AR15"/>
    <mergeCell ref="AS14:AS15"/>
    <mergeCell ref="AT14:AT15"/>
    <mergeCell ref="AD14:AD15"/>
    <mergeCell ref="AJ14:AJ15"/>
    <mergeCell ref="AK14:AK15"/>
    <mergeCell ref="AL14:AL15"/>
    <mergeCell ref="AM14:AM15"/>
    <mergeCell ref="AN14:AN15"/>
    <mergeCell ref="Y14:AC14"/>
    <mergeCell ref="H13:H14"/>
    <mergeCell ref="I13:I14"/>
    <mergeCell ref="J13:J14"/>
    <mergeCell ref="K13:K14"/>
    <mergeCell ref="L13:L14"/>
    <mergeCell ref="M13:N13"/>
    <mergeCell ref="Q13:Q14"/>
    <mergeCell ref="R13:R14"/>
    <mergeCell ref="S13:V15"/>
    <mergeCell ref="O13:O14"/>
    <mergeCell ref="P13:P14"/>
    <mergeCell ref="A10:V10"/>
    <mergeCell ref="A11:V11"/>
    <mergeCell ref="K12:L12"/>
    <mergeCell ref="A13:A15"/>
    <mergeCell ref="B13:B14"/>
    <mergeCell ref="C13:C14"/>
    <mergeCell ref="D13:D14"/>
    <mergeCell ref="E13:E14"/>
    <mergeCell ref="F13:F14"/>
    <mergeCell ref="G13:G14"/>
  </mergeCells>
  <conditionalFormatting sqref="I47">
    <cfRule type="cellIs" dxfId="46" priority="5" operator="lessThan">
      <formula>0</formula>
    </cfRule>
  </conditionalFormatting>
  <conditionalFormatting sqref="Y16:Y39">
    <cfRule type="containsText" dxfId="45" priority="3" operator="containsText" text="STBY">
      <formula>NOT(ISERROR(SEARCH("STBY",Y16)))</formula>
    </cfRule>
    <cfRule type="containsText" dxfId="44" priority="4" operator="containsText" text="SD">
      <formula>NOT(ISERROR(SEARCH("SD",Y16)))</formula>
    </cfRule>
  </conditionalFormatting>
  <conditionalFormatting sqref="B16:B39 D16:R39">
    <cfRule type="expression" dxfId="43" priority="2">
      <formula>ISTEXT(B16)</formula>
    </cfRule>
  </conditionalFormatting>
  <conditionalFormatting sqref="C16:C39">
    <cfRule type="expression" dxfId="42" priority="1">
      <formula>ISTEXT(C16)</formula>
    </cfRule>
  </conditionalFormatting>
  <dataValidations count="2">
    <dataValidation type="list" allowBlank="1" showInputMessage="1" showErrorMessage="1" sqref="Y16:Y39" xr:uid="{A188CCC1-13F1-4658-ABA6-1A8311FDED08}">
      <formula1>"SD,STBY"</formula1>
    </dataValidation>
    <dataValidation type="list" allowBlank="1" showInputMessage="1" sqref="AD16:AD39" xr:uid="{9DB2FF1C-67C0-41D6-AAA5-46DE71B83A73}">
      <formula1>$AH$15:$AH$72</formula1>
    </dataValidation>
  </dataValidations>
  <printOptions horizontalCentered="1"/>
  <pageMargins left="0.39370078740157483" right="0.39370078740157483" top="0.59055118110236227" bottom="0.39370078740157483" header="0.31496062992125984" footer="0.31496062992125984"/>
  <pageSetup paperSize="9" scale="57" orientation="landscape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C35D0-F381-46BC-B6EB-F4C9FE4E2542}">
  <sheetPr codeName="N23">
    <pageSetUpPr fitToPage="1"/>
  </sheetPr>
  <dimension ref="A1:BC94"/>
  <sheetViews>
    <sheetView topLeftCell="A16" zoomScale="85" zoomScaleNormal="85" workbookViewId="0">
      <selection activeCell="J22" sqref="J22"/>
    </sheetView>
  </sheetViews>
  <sheetFormatPr defaultColWidth="0" defaultRowHeight="0" customHeight="1" zeroHeight="1" x14ac:dyDescent="0.25"/>
  <cols>
    <col min="1" max="1" width="10.7109375" style="7" customWidth="1"/>
    <col min="2" max="3" width="10.7109375" style="7" hidden="1" customWidth="1"/>
    <col min="4" max="14" width="10.7109375" style="7" customWidth="1"/>
    <col min="15" max="17" width="11.7109375" style="7" customWidth="1"/>
    <col min="18" max="18" width="10.7109375" style="7" hidden="1" customWidth="1"/>
    <col min="19" max="22" width="10.7109375" style="7" customWidth="1"/>
    <col min="23" max="23" width="2.7109375" style="7" customWidth="1"/>
    <col min="24" max="29" width="10.7109375" style="7" customWidth="1"/>
    <col min="30" max="30" width="30.7109375" style="7" customWidth="1"/>
    <col min="31" max="33" width="11.7109375" style="7" customWidth="1"/>
    <col min="34" max="34" width="30.7109375" style="7" customWidth="1"/>
    <col min="35" max="35" width="2.7109375" style="7" hidden="1" customWidth="1"/>
    <col min="36" max="55" width="11.7109375" style="7" hidden="1" customWidth="1"/>
    <col min="56" max="16384" width="9.140625" style="7" hidden="1"/>
  </cols>
  <sheetData>
    <row r="1" spans="1:55" ht="15" customHeight="1" x14ac:dyDescent="0.25">
      <c r="A1" s="7" t="s">
        <v>16</v>
      </c>
      <c r="D1" s="11" t="s">
        <v>85</v>
      </c>
      <c r="J1" s="7" t="str">
        <f>IF(MR!U13="Yes","PRINT","No")</f>
        <v>PRINT</v>
      </c>
      <c r="M1" s="191"/>
      <c r="N1" s="191"/>
    </row>
    <row r="2" spans="1:55" ht="15" customHeight="1" thickBot="1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192"/>
      <c r="M2" s="4"/>
      <c r="N2" s="4"/>
      <c r="O2" s="4"/>
      <c r="P2" s="4"/>
      <c r="Q2" s="4"/>
      <c r="R2" s="4"/>
      <c r="S2" s="8"/>
      <c r="T2" s="8"/>
      <c r="U2" s="8"/>
      <c r="V2" s="8"/>
      <c r="X2" s="8"/>
      <c r="Y2" s="8"/>
      <c r="Z2" s="8"/>
      <c r="AA2" s="8"/>
      <c r="AB2" s="8"/>
      <c r="AC2" s="8"/>
      <c r="AD2" s="8"/>
      <c r="AE2" s="8"/>
    </row>
    <row r="3" spans="1:55" ht="15" customHeight="1" x14ac:dyDescent="0.2">
      <c r="A3" s="31"/>
      <c r="B3" s="28"/>
      <c r="C3" s="28"/>
      <c r="D3" s="28"/>
      <c r="E3" s="28"/>
      <c r="F3" s="13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2"/>
      <c r="T3" s="22"/>
      <c r="U3" s="22"/>
      <c r="V3" s="23"/>
      <c r="X3" s="8"/>
      <c r="Y3" s="8"/>
      <c r="Z3" s="8"/>
      <c r="AA3" s="8"/>
      <c r="AB3" s="8"/>
      <c r="AC3" s="8"/>
      <c r="AD3" s="8"/>
      <c r="AE3" s="8"/>
    </row>
    <row r="4" spans="1:55" ht="30" customHeight="1" x14ac:dyDescent="0.25">
      <c r="A4" s="30"/>
      <c r="B4" s="1"/>
      <c r="C4" s="1"/>
      <c r="D4" s="1"/>
      <c r="E4" s="3"/>
      <c r="F4" s="63" t="s">
        <v>210</v>
      </c>
      <c r="G4" s="1"/>
      <c r="H4" s="1"/>
      <c r="I4" s="3"/>
      <c r="J4" s="3"/>
      <c r="K4" s="3"/>
      <c r="L4" s="3"/>
      <c r="M4" s="3"/>
      <c r="N4" s="3"/>
      <c r="O4" s="3"/>
      <c r="P4" s="3"/>
      <c r="Q4" s="3"/>
      <c r="R4" s="3"/>
      <c r="S4" s="1"/>
      <c r="T4" s="1"/>
      <c r="U4" s="1"/>
      <c r="V4" s="2"/>
      <c r="X4" s="5"/>
      <c r="Y4" s="5"/>
      <c r="Z4" s="5"/>
      <c r="AA4" s="5"/>
      <c r="AB4" s="5"/>
      <c r="AC4" s="5"/>
      <c r="AD4" s="5"/>
      <c r="AE4" s="5"/>
    </row>
    <row r="5" spans="1:55" ht="15" customHeight="1" x14ac:dyDescent="0.2">
      <c r="A5" s="32"/>
      <c r="B5" s="33"/>
      <c r="C5" s="33"/>
      <c r="D5" s="12"/>
      <c r="E5" s="3"/>
      <c r="F5" s="10" t="s">
        <v>129</v>
      </c>
      <c r="G5" s="1"/>
      <c r="H5" s="1"/>
      <c r="I5" s="3"/>
      <c r="J5" s="3"/>
      <c r="K5" s="3"/>
      <c r="L5" s="3"/>
      <c r="M5" s="3"/>
      <c r="N5" s="3"/>
      <c r="O5" s="3"/>
      <c r="P5" s="3"/>
      <c r="Q5" s="3"/>
      <c r="R5" s="3"/>
      <c r="S5" s="12"/>
      <c r="T5" s="12"/>
      <c r="U5" s="12"/>
      <c r="V5" s="14"/>
      <c r="X5" s="8"/>
      <c r="Y5" s="8"/>
      <c r="Z5" s="8"/>
      <c r="AA5" s="8"/>
      <c r="AB5" s="8"/>
      <c r="AC5" s="8"/>
      <c r="AD5" s="8"/>
      <c r="AE5" s="8"/>
      <c r="AJ5" s="193" t="s">
        <v>184</v>
      </c>
      <c r="AK5" s="194">
        <f>'V Calc'!B1</f>
        <v>500</v>
      </c>
      <c r="AL5" s="124"/>
    </row>
    <row r="6" spans="1:55" ht="15" customHeight="1" x14ac:dyDescent="0.2">
      <c r="A6" s="32"/>
      <c r="B6" s="33"/>
      <c r="C6" s="33"/>
      <c r="D6" s="12"/>
      <c r="E6" s="3"/>
      <c r="F6" s="10" t="s">
        <v>132</v>
      </c>
      <c r="G6" s="1"/>
      <c r="H6" s="1"/>
      <c r="I6" s="3"/>
      <c r="J6" s="3"/>
      <c r="K6" s="3"/>
      <c r="L6" s="3"/>
      <c r="M6" s="3"/>
      <c r="N6" s="3"/>
      <c r="O6" s="3"/>
      <c r="P6" s="3"/>
      <c r="Q6" s="3"/>
      <c r="R6" s="3"/>
      <c r="S6" s="12"/>
      <c r="T6" s="12"/>
      <c r="U6" s="12"/>
      <c r="V6" s="14"/>
      <c r="X6" s="8"/>
      <c r="Y6" s="8"/>
      <c r="Z6" s="8"/>
      <c r="AA6" s="8"/>
      <c r="AB6" s="8"/>
      <c r="AC6" s="8"/>
      <c r="AD6" s="8"/>
      <c r="AE6" s="8"/>
      <c r="AJ6" s="193" t="s">
        <v>185</v>
      </c>
      <c r="AK6" s="194">
        <f>'V Calc'!B2</f>
        <v>100</v>
      </c>
      <c r="AL6" s="124"/>
    </row>
    <row r="7" spans="1:55" ht="15" customHeight="1" x14ac:dyDescent="0.2">
      <c r="A7" s="32"/>
      <c r="B7" s="33"/>
      <c r="C7" s="33"/>
      <c r="D7" s="12"/>
      <c r="E7" s="3"/>
      <c r="F7" s="10" t="s">
        <v>130</v>
      </c>
      <c r="G7" s="1"/>
      <c r="H7" s="1"/>
      <c r="I7" s="3"/>
      <c r="J7" s="3"/>
      <c r="K7" s="3"/>
      <c r="L7" s="3"/>
      <c r="M7" s="3"/>
      <c r="N7" s="3"/>
      <c r="O7" s="3"/>
      <c r="P7" s="3"/>
      <c r="Q7" s="3"/>
      <c r="R7" s="3"/>
      <c r="S7" s="12"/>
      <c r="T7" s="12"/>
      <c r="U7" s="12"/>
      <c r="V7" s="14"/>
      <c r="X7" s="8"/>
      <c r="Y7" s="8"/>
      <c r="Z7" s="8"/>
      <c r="AA7" s="8"/>
      <c r="AB7" s="8"/>
      <c r="AC7" s="8"/>
      <c r="AD7" s="8"/>
      <c r="AE7" s="8"/>
      <c r="AJ7" s="193" t="s">
        <v>186</v>
      </c>
      <c r="AK7" s="195">
        <f>'V Calc'!B3</f>
        <v>2</v>
      </c>
      <c r="AL7" s="124"/>
    </row>
    <row r="8" spans="1:55" ht="15" customHeight="1" x14ac:dyDescent="0.2">
      <c r="A8" s="32"/>
      <c r="B8" s="33"/>
      <c r="C8" s="33"/>
      <c r="D8" s="12"/>
      <c r="E8" s="3"/>
      <c r="F8" s="10" t="s">
        <v>131</v>
      </c>
      <c r="G8" s="62"/>
      <c r="H8" s="62"/>
      <c r="I8" s="3"/>
      <c r="J8" s="3"/>
      <c r="K8" s="3"/>
      <c r="L8" s="3"/>
      <c r="M8" s="3"/>
      <c r="N8" s="3"/>
      <c r="O8" s="3"/>
      <c r="P8" s="3"/>
      <c r="Q8" s="3"/>
      <c r="R8" s="3"/>
      <c r="S8" s="12"/>
      <c r="T8" s="12"/>
      <c r="U8" s="12"/>
      <c r="V8" s="14"/>
      <c r="X8" s="8"/>
      <c r="Y8" s="8"/>
      <c r="Z8" s="8"/>
      <c r="AA8" s="8"/>
      <c r="AB8" s="8"/>
      <c r="AC8" s="8"/>
      <c r="AD8" s="8"/>
      <c r="AE8" s="8"/>
      <c r="AJ8" s="193" t="s">
        <v>187</v>
      </c>
      <c r="AK8" s="195">
        <f>'V Calc'!B4</f>
        <v>0.875</v>
      </c>
      <c r="AL8" s="124"/>
    </row>
    <row r="9" spans="1:55" ht="15" customHeight="1" thickBot="1" x14ac:dyDescent="0.25">
      <c r="A9" s="34"/>
      <c r="B9" s="29"/>
      <c r="C9" s="29"/>
      <c r="D9" s="29"/>
      <c r="E9" s="29"/>
      <c r="F9" s="15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16"/>
      <c r="T9" s="16"/>
      <c r="U9" s="16"/>
      <c r="V9" s="17"/>
      <c r="X9" s="8"/>
      <c r="Y9" s="8"/>
      <c r="Z9" s="8"/>
      <c r="AA9" s="8"/>
      <c r="AB9" s="8"/>
      <c r="AC9" s="8"/>
      <c r="AD9" s="8"/>
      <c r="AE9" s="8"/>
      <c r="AJ9" s="196" t="s">
        <v>188</v>
      </c>
      <c r="AK9" s="197">
        <f>'V Calc'!B5</f>
        <v>158.47</v>
      </c>
      <c r="AL9" s="198"/>
    </row>
    <row r="10" spans="1:55" s="9" customFormat="1" ht="30" customHeight="1" x14ac:dyDescent="0.2">
      <c r="A10" s="513" t="s">
        <v>20</v>
      </c>
      <c r="B10" s="514"/>
      <c r="C10" s="514"/>
      <c r="D10" s="514"/>
      <c r="E10" s="514"/>
      <c r="F10" s="514"/>
      <c r="G10" s="514"/>
      <c r="H10" s="514"/>
      <c r="I10" s="514"/>
      <c r="J10" s="514"/>
      <c r="K10" s="514"/>
      <c r="L10" s="514"/>
      <c r="M10" s="514"/>
      <c r="N10" s="514"/>
      <c r="O10" s="514"/>
      <c r="P10" s="514"/>
      <c r="Q10" s="514"/>
      <c r="R10" s="514"/>
      <c r="S10" s="514"/>
      <c r="T10" s="514"/>
      <c r="U10" s="514"/>
      <c r="V10" s="515"/>
      <c r="X10" s="96"/>
      <c r="Y10" s="96"/>
      <c r="Z10" s="96"/>
      <c r="AA10" s="96"/>
      <c r="AB10" s="96"/>
      <c r="AC10" s="96"/>
      <c r="AJ10" s="193" t="s">
        <v>189</v>
      </c>
      <c r="AK10" s="199">
        <f>'V Calc'!B6</f>
        <v>0.63607464142166403</v>
      </c>
      <c r="AL10" s="198" t="s">
        <v>190</v>
      </c>
    </row>
    <row r="11" spans="1:55" s="9" customFormat="1" ht="20.100000000000001" customHeight="1" thickBot="1" x14ac:dyDescent="0.25">
      <c r="A11" s="516" t="s">
        <v>21</v>
      </c>
      <c r="B11" s="517"/>
      <c r="C11" s="517"/>
      <c r="D11" s="517"/>
      <c r="E11" s="517"/>
      <c r="F11" s="517"/>
      <c r="G11" s="517"/>
      <c r="H11" s="517"/>
      <c r="I11" s="517"/>
      <c r="J11" s="517"/>
      <c r="K11" s="517"/>
      <c r="L11" s="517"/>
      <c r="M11" s="517"/>
      <c r="N11" s="517"/>
      <c r="O11" s="517"/>
      <c r="P11" s="517"/>
      <c r="Q11" s="517"/>
      <c r="R11" s="517"/>
      <c r="S11" s="517"/>
      <c r="T11" s="517"/>
      <c r="U11" s="517"/>
      <c r="V11" s="518"/>
      <c r="X11" s="97"/>
      <c r="Y11" s="97"/>
      <c r="Z11" s="97"/>
      <c r="AA11" s="97"/>
      <c r="AB11" s="97"/>
      <c r="AC11" s="97"/>
    </row>
    <row r="12" spans="1:55" s="6" customFormat="1" ht="30" customHeight="1" thickBot="1" x14ac:dyDescent="0.3">
      <c r="A12" s="18"/>
      <c r="B12" s="20"/>
      <c r="C12" s="20"/>
      <c r="D12" s="19" t="s">
        <v>121</v>
      </c>
      <c r="E12" s="200" t="str">
        <f>'Day 22'!E12</f>
        <v>MPR 632  RFD</v>
      </c>
      <c r="F12" s="35"/>
      <c r="G12" s="19" t="s">
        <v>120</v>
      </c>
      <c r="H12" s="200" t="str">
        <f>IF(Volume!C$26="","",Volume!C$26)</f>
        <v>FP 65354</v>
      </c>
      <c r="I12" s="20"/>
      <c r="J12" s="19" t="s">
        <v>17</v>
      </c>
      <c r="K12" s="505">
        <f>'Day 22'!K12+1</f>
        <v>45831</v>
      </c>
      <c r="L12" s="505"/>
      <c r="M12" s="100"/>
      <c r="N12" s="19" t="s">
        <v>119</v>
      </c>
      <c r="O12" s="200" t="str">
        <f>IF(Volume!D$26="","",Volume!D$26)</f>
        <v>SP. Tambun - Cluster F</v>
      </c>
      <c r="P12" s="20"/>
      <c r="Q12" s="19" t="s">
        <v>122</v>
      </c>
      <c r="S12" s="201">
        <f>IF(Volume!E$26="","",Volume!E$26)</f>
        <v>1.25</v>
      </c>
      <c r="T12" s="20"/>
      <c r="U12" s="19" t="s">
        <v>126</v>
      </c>
      <c r="V12" s="202" t="str">
        <f>IF(Volume!F$26="","",Volume!F$26)</f>
        <v>4/0</v>
      </c>
    </row>
    <row r="13" spans="1:55" ht="30" customHeight="1" thickBot="1" x14ac:dyDescent="0.3">
      <c r="A13" s="502" t="s">
        <v>0</v>
      </c>
      <c r="B13" s="502" t="s">
        <v>213</v>
      </c>
      <c r="C13" s="502" t="s">
        <v>212</v>
      </c>
      <c r="D13" s="502" t="s">
        <v>31</v>
      </c>
      <c r="E13" s="502" t="s">
        <v>32</v>
      </c>
      <c r="F13" s="502" t="s">
        <v>2</v>
      </c>
      <c r="G13" s="502" t="s">
        <v>33</v>
      </c>
      <c r="H13" s="502" t="s">
        <v>35</v>
      </c>
      <c r="I13" s="502" t="s">
        <v>36</v>
      </c>
      <c r="J13" s="502" t="s">
        <v>110</v>
      </c>
      <c r="K13" s="502" t="s">
        <v>15</v>
      </c>
      <c r="L13" s="502" t="s">
        <v>34</v>
      </c>
      <c r="M13" s="502" t="s">
        <v>10</v>
      </c>
      <c r="N13" s="502"/>
      <c r="O13" s="506" t="s">
        <v>300</v>
      </c>
      <c r="P13" s="506" t="s">
        <v>299</v>
      </c>
      <c r="Q13" s="502" t="s">
        <v>7</v>
      </c>
      <c r="R13" s="502" t="s">
        <v>88</v>
      </c>
      <c r="S13" s="502" t="s">
        <v>8</v>
      </c>
      <c r="T13" s="502"/>
      <c r="U13" s="502"/>
      <c r="V13" s="502"/>
      <c r="X13" s="98"/>
      <c r="Y13" s="98"/>
      <c r="Z13" s="98"/>
      <c r="AA13" s="98"/>
      <c r="AB13" s="98"/>
      <c r="AC13" s="98"/>
    </row>
    <row r="14" spans="1:55" ht="30" customHeight="1" x14ac:dyDescent="0.25">
      <c r="A14" s="504"/>
      <c r="B14" s="504"/>
      <c r="C14" s="504"/>
      <c r="D14" s="504"/>
      <c r="E14" s="504"/>
      <c r="F14" s="504"/>
      <c r="G14" s="504"/>
      <c r="H14" s="504"/>
      <c r="I14" s="504"/>
      <c r="J14" s="504"/>
      <c r="K14" s="504"/>
      <c r="L14" s="504"/>
      <c r="M14" s="94" t="s">
        <v>3</v>
      </c>
      <c r="N14" s="94" t="s">
        <v>4</v>
      </c>
      <c r="O14" s="507"/>
      <c r="P14" s="507"/>
      <c r="Q14" s="504"/>
      <c r="R14" s="504"/>
      <c r="S14" s="504"/>
      <c r="T14" s="504"/>
      <c r="U14" s="504"/>
      <c r="V14" s="504"/>
      <c r="Y14" s="502" t="s">
        <v>230</v>
      </c>
      <c r="Z14" s="502"/>
      <c r="AA14" s="502"/>
      <c r="AB14" s="502"/>
      <c r="AC14" s="502"/>
      <c r="AD14" s="502" t="s">
        <v>231</v>
      </c>
      <c r="AH14" s="203" t="s">
        <v>232</v>
      </c>
      <c r="AJ14" s="520" t="s">
        <v>191</v>
      </c>
      <c r="AK14" s="520" t="s">
        <v>192</v>
      </c>
      <c r="AL14" s="520" t="s">
        <v>193</v>
      </c>
      <c r="AM14" s="520" t="s">
        <v>194</v>
      </c>
      <c r="AN14" s="520" t="s">
        <v>195</v>
      </c>
      <c r="AO14" s="506" t="s">
        <v>196</v>
      </c>
      <c r="AP14" s="506" t="s">
        <v>197</v>
      </c>
      <c r="AQ14" s="506" t="s">
        <v>198</v>
      </c>
      <c r="AR14" s="506" t="s">
        <v>188</v>
      </c>
      <c r="AS14" s="506" t="s">
        <v>199</v>
      </c>
      <c r="AT14" s="506" t="s">
        <v>200</v>
      </c>
      <c r="AU14" s="506" t="s">
        <v>201</v>
      </c>
      <c r="AV14" s="506" t="s">
        <v>202</v>
      </c>
      <c r="AW14" s="506" t="s">
        <v>203</v>
      </c>
      <c r="AX14" s="506" t="s">
        <v>204</v>
      </c>
      <c r="AY14" s="523" t="s">
        <v>205</v>
      </c>
      <c r="AZ14" s="523" t="s">
        <v>206</v>
      </c>
      <c r="BA14" s="523" t="s">
        <v>207</v>
      </c>
      <c r="BB14" s="523" t="s">
        <v>208</v>
      </c>
      <c r="BC14" s="506" t="s">
        <v>197</v>
      </c>
    </row>
    <row r="15" spans="1:55" ht="20.100000000000001" customHeight="1" thickBot="1" x14ac:dyDescent="0.3">
      <c r="A15" s="503"/>
      <c r="B15" s="95" t="s">
        <v>1</v>
      </c>
      <c r="C15" s="95" t="s">
        <v>1</v>
      </c>
      <c r="D15" s="95" t="s">
        <v>1</v>
      </c>
      <c r="E15" s="95" t="s">
        <v>1</v>
      </c>
      <c r="F15" s="95" t="s">
        <v>140</v>
      </c>
      <c r="G15" s="95" t="s">
        <v>1</v>
      </c>
      <c r="H15" s="95" t="s">
        <v>1</v>
      </c>
      <c r="I15" s="95" t="s">
        <v>1</v>
      </c>
      <c r="J15" s="95" t="s">
        <v>18</v>
      </c>
      <c r="K15" s="95" t="s">
        <v>9</v>
      </c>
      <c r="L15" s="95" t="s">
        <v>5</v>
      </c>
      <c r="M15" s="95" t="s">
        <v>5</v>
      </c>
      <c r="N15" s="95" t="s">
        <v>5</v>
      </c>
      <c r="O15" s="95" t="s">
        <v>1</v>
      </c>
      <c r="P15" s="95" t="s">
        <v>14</v>
      </c>
      <c r="Q15" s="95" t="str">
        <f>IF(MR!G17="MSCF","MSCFD","MMSCFD")</f>
        <v>MSCFD</v>
      </c>
      <c r="R15" s="95" t="str">
        <f>MR!L17</f>
        <v>BPD</v>
      </c>
      <c r="S15" s="503"/>
      <c r="T15" s="503"/>
      <c r="U15" s="503"/>
      <c r="V15" s="503"/>
      <c r="X15" s="365"/>
      <c r="Y15" s="95" t="s">
        <v>123</v>
      </c>
      <c r="Z15" s="95" t="s">
        <v>124</v>
      </c>
      <c r="AA15" s="95" t="s">
        <v>125</v>
      </c>
      <c r="AB15" s="95" t="s">
        <v>51</v>
      </c>
      <c r="AC15" s="95" t="s">
        <v>48</v>
      </c>
      <c r="AD15" s="503"/>
      <c r="AH15" s="204" t="s">
        <v>228</v>
      </c>
      <c r="AJ15" s="521"/>
      <c r="AK15" s="521"/>
      <c r="AL15" s="521"/>
      <c r="AM15" s="521"/>
      <c r="AN15" s="521"/>
      <c r="AO15" s="522"/>
      <c r="AP15" s="522"/>
      <c r="AQ15" s="522"/>
      <c r="AR15" s="522"/>
      <c r="AS15" s="522"/>
      <c r="AT15" s="522"/>
      <c r="AU15" s="522"/>
      <c r="AV15" s="522"/>
      <c r="AW15" s="522"/>
      <c r="AX15" s="522"/>
      <c r="AY15" s="524"/>
      <c r="AZ15" s="524"/>
      <c r="BA15" s="524"/>
      <c r="BB15" s="524"/>
      <c r="BC15" s="522"/>
    </row>
    <row r="16" spans="1:55" ht="20.100000000000001" customHeight="1" x14ac:dyDescent="0.2">
      <c r="A16" s="44">
        <v>4.1666666666666664E-2</v>
      </c>
      <c r="B16" s="450"/>
      <c r="C16" s="450"/>
      <c r="D16" s="450">
        <v>6.8</v>
      </c>
      <c r="E16" s="450">
        <v>61.2</v>
      </c>
      <c r="F16" s="40">
        <v>1966</v>
      </c>
      <c r="G16" s="36">
        <v>-5.5</v>
      </c>
      <c r="H16" s="36">
        <v>72</v>
      </c>
      <c r="I16" s="36">
        <v>22.6</v>
      </c>
      <c r="J16" s="40">
        <v>606</v>
      </c>
      <c r="K16" s="36">
        <v>13</v>
      </c>
      <c r="L16" s="450">
        <v>128</v>
      </c>
      <c r="M16" s="450">
        <v>223</v>
      </c>
      <c r="N16" s="450">
        <v>85</v>
      </c>
      <c r="O16" s="352">
        <v>40</v>
      </c>
      <c r="P16" s="352">
        <v>10</v>
      </c>
      <c r="Q16" s="352">
        <v>209.52</v>
      </c>
      <c r="R16" s="36"/>
      <c r="S16" s="519" t="str">
        <f t="shared" ref="S16:S32" si="0">IF(Z16="",IF(AD16="","",AD16),CONCATENATE(TEXT(Z16,"[hh]:mm"),IF(AA16="",""," - "&amp;TEXT(AA16,"[hh]:mm")),IF(Y16="",""," "&amp;Y16&amp;"/")," "&amp;AD16))</f>
        <v/>
      </c>
      <c r="T16" s="519"/>
      <c r="U16" s="519"/>
      <c r="V16" s="519"/>
      <c r="X16" s="44">
        <v>4.1666666666666664E-2</v>
      </c>
      <c r="Y16" s="105"/>
      <c r="Z16" s="101"/>
      <c r="AA16" s="101"/>
      <c r="AB16" s="44" t="str">
        <f>IF(Y16="STBY",AA16-Z16,"")</f>
        <v/>
      </c>
      <c r="AC16" s="44" t="str">
        <f t="shared" ref="AC16:AC39" si="1">IF(Y16="SD",AA16-Z16,"")</f>
        <v/>
      </c>
      <c r="AD16" s="355"/>
      <c r="AE16" s="9" t="str">
        <f>IF(S16="","",IF(COUNTA(Z16:$Z$39)=1,IF(COUNTA(AD16:$AD$39)=1,""," ; "),IF(COUNTA(AD16:$AD$39)=1,IF(Z16="",""," ; ")," ; ")))</f>
        <v/>
      </c>
      <c r="AF16" s="9" t="str">
        <f t="shared" ref="AF16:AF39" si="2">CONCATENATE(S16,AE16)</f>
        <v/>
      </c>
      <c r="AG16" s="90" t="str">
        <f t="shared" ref="AG16:AG39" si="3">IF(AND(COUNTBLANK(N16:P16)&lt;3,Q16=""),"CEK : Data Flowrate","")</f>
        <v/>
      </c>
      <c r="AH16" s="204" t="s">
        <v>229</v>
      </c>
      <c r="AJ16" s="205">
        <f>AK5</f>
        <v>500</v>
      </c>
      <c r="AK16" s="205">
        <f>AK6</f>
        <v>100</v>
      </c>
      <c r="AL16" s="206">
        <f>AK7</f>
        <v>2</v>
      </c>
      <c r="AM16" s="207">
        <f>AK8</f>
        <v>0.875</v>
      </c>
      <c r="AN16" s="208">
        <f>AK10</f>
        <v>0.63607464142166403</v>
      </c>
      <c r="AO16" s="209">
        <f t="shared" ref="AO16:AO39" si="4">T16^2*AJ16/100-14.7</f>
        <v>-14.7</v>
      </c>
      <c r="AP16" s="210">
        <f t="shared" ref="AP16:AP39" si="5">IF(AO16&lt;100,1,BC16)</f>
        <v>1</v>
      </c>
      <c r="AQ16" s="210">
        <f t="shared" ref="AQ16:AQ39" si="6">(1/AP16)^0.5</f>
        <v>1</v>
      </c>
      <c r="AR16" s="52">
        <f>AK9</f>
        <v>158.47</v>
      </c>
      <c r="AS16" s="210">
        <f t="shared" ref="AS16:AS39" si="7">(520/(460+N16))^0.5</f>
        <v>0.97679498379494789</v>
      </c>
      <c r="AT16" s="210">
        <f t="shared" ref="AT16:AT39" si="8">(1/AN16)^0.5</f>
        <v>1.2538510821608391</v>
      </c>
      <c r="AU16" s="210">
        <f t="shared" ref="AU16:AU39" si="9">0.01*(AJ16*AK16)^0.5</f>
        <v>2.2360679774997898</v>
      </c>
      <c r="AV16" s="211">
        <f t="shared" ref="AV16:AV39" si="10">0.024*AQ16*AR16*AS16*AT16*AU16</f>
        <v>10.415801185754333</v>
      </c>
      <c r="AW16" s="210">
        <f t="shared" ref="AW16:AW39" si="11">(AO16+14.7)/(697.2-43*AN16)</f>
        <v>0</v>
      </c>
      <c r="AX16" s="212">
        <f t="shared" ref="AX16:AX39" si="12">(N16+460)/(315.1*AN16+170.4)</f>
        <v>1.4696875479799241</v>
      </c>
      <c r="AY16" s="210">
        <f t="shared" ref="AY16:AY39" si="13">0.3379*LN(LN(AX16))+1.091</f>
        <v>0.76851414128953044</v>
      </c>
      <c r="AZ16" s="211">
        <f t="shared" ref="AZ16:AZ39" si="14">21.46*AY16-11.9*AY16^2-5.9</f>
        <v>3.5640070462657096</v>
      </c>
      <c r="BA16" s="210">
        <f t="shared" ref="BA16:BA39" si="15">AW16/AZ16</f>
        <v>0</v>
      </c>
      <c r="BB16" s="210">
        <f t="shared" ref="BB16:BB39" si="16">(1.1+0.26*AX16+(1.04-1.42*AX16)*BA16)*2.718^BA16/AX16</f>
        <v>1.0084584063544275</v>
      </c>
      <c r="BC16" s="210">
        <f t="shared" ref="BC16:BC39" si="17">1+(AY16-1)*SIN((90*BA16)/57.29578)^BB16</f>
        <v>1</v>
      </c>
    </row>
    <row r="17" spans="1:55" ht="20.100000000000001" customHeight="1" x14ac:dyDescent="0.2">
      <c r="A17" s="45">
        <v>8.3333333333333301E-2</v>
      </c>
      <c r="B17" s="451"/>
      <c r="C17" s="451"/>
      <c r="D17" s="451">
        <v>6.2</v>
      </c>
      <c r="E17" s="451">
        <v>61.8</v>
      </c>
      <c r="F17" s="41">
        <v>1973</v>
      </c>
      <c r="G17" s="37">
        <v>-5.5</v>
      </c>
      <c r="H17" s="37">
        <v>72.7</v>
      </c>
      <c r="I17" s="37">
        <v>22</v>
      </c>
      <c r="J17" s="41">
        <v>607</v>
      </c>
      <c r="K17" s="37">
        <v>13</v>
      </c>
      <c r="L17" s="451">
        <v>127</v>
      </c>
      <c r="M17" s="451">
        <v>225</v>
      </c>
      <c r="N17" s="451">
        <v>85</v>
      </c>
      <c r="O17" s="353">
        <v>40</v>
      </c>
      <c r="P17" s="353">
        <v>8</v>
      </c>
      <c r="Q17" s="353">
        <v>187.58</v>
      </c>
      <c r="R17" s="37"/>
      <c r="S17" s="508" t="str">
        <f t="shared" si="0"/>
        <v/>
      </c>
      <c r="T17" s="508"/>
      <c r="U17" s="508"/>
      <c r="V17" s="508"/>
      <c r="X17" s="45">
        <v>8.3333333333333301E-2</v>
      </c>
      <c r="Y17" s="106"/>
      <c r="Z17" s="102"/>
      <c r="AA17" s="102"/>
      <c r="AB17" s="45" t="str">
        <f t="shared" ref="AB17:AB39" si="18">IF(Y17="STBY",AA17-Z17,"")</f>
        <v/>
      </c>
      <c r="AC17" s="45" t="str">
        <f t="shared" si="1"/>
        <v/>
      </c>
      <c r="AD17" s="81"/>
      <c r="AE17" s="9" t="str">
        <f>IF(S17="","",IF(COUNTA(Z17:$Z$39)=1,IF(COUNTA(AD17:$AD$39)=1,""," ; "),IF(COUNTA(AD17:$AD$39)=1,IF(Z17="",""," ; ")," ; ")))</f>
        <v/>
      </c>
      <c r="AF17" s="9" t="str">
        <f t="shared" si="2"/>
        <v/>
      </c>
      <c r="AG17" s="90" t="str">
        <f t="shared" si="3"/>
        <v/>
      </c>
      <c r="AH17" s="204" t="s">
        <v>289</v>
      </c>
      <c r="AJ17" s="206">
        <f t="shared" ref="AJ17:AN32" si="19">AJ16</f>
        <v>500</v>
      </c>
      <c r="AK17" s="206">
        <f t="shared" si="19"/>
        <v>100</v>
      </c>
      <c r="AL17" s="206">
        <f>AL16</f>
        <v>2</v>
      </c>
      <c r="AM17" s="213">
        <f>AM16</f>
        <v>0.875</v>
      </c>
      <c r="AN17" s="214">
        <f>AN16</f>
        <v>0.63607464142166403</v>
      </c>
      <c r="AO17" s="215">
        <f t="shared" si="4"/>
        <v>-14.7</v>
      </c>
      <c r="AP17" s="216">
        <f t="shared" si="5"/>
        <v>1</v>
      </c>
      <c r="AQ17" s="216">
        <f t="shared" si="6"/>
        <v>1</v>
      </c>
      <c r="AR17" s="215">
        <f>AR16</f>
        <v>158.47</v>
      </c>
      <c r="AS17" s="216">
        <f t="shared" si="7"/>
        <v>0.97679498379494789</v>
      </c>
      <c r="AT17" s="216">
        <f t="shared" si="8"/>
        <v>1.2538510821608391</v>
      </c>
      <c r="AU17" s="216">
        <f t="shared" si="9"/>
        <v>2.2360679774997898</v>
      </c>
      <c r="AV17" s="217">
        <f t="shared" si="10"/>
        <v>10.415801185754333</v>
      </c>
      <c r="AW17" s="216">
        <f t="shared" si="11"/>
        <v>0</v>
      </c>
      <c r="AX17" s="218">
        <f t="shared" si="12"/>
        <v>1.4696875479799241</v>
      </c>
      <c r="AY17" s="216">
        <f t="shared" si="13"/>
        <v>0.76851414128953044</v>
      </c>
      <c r="AZ17" s="217">
        <f t="shared" si="14"/>
        <v>3.5640070462657096</v>
      </c>
      <c r="BA17" s="216">
        <f t="shared" si="15"/>
        <v>0</v>
      </c>
      <c r="BB17" s="216">
        <f t="shared" si="16"/>
        <v>1.0084584063544275</v>
      </c>
      <c r="BC17" s="216">
        <f t="shared" si="17"/>
        <v>1</v>
      </c>
    </row>
    <row r="18" spans="1:55" ht="20.100000000000001" customHeight="1" x14ac:dyDescent="0.2">
      <c r="A18" s="45">
        <v>0.125</v>
      </c>
      <c r="B18" s="451"/>
      <c r="C18" s="451"/>
      <c r="D18" s="451">
        <v>6.9</v>
      </c>
      <c r="E18" s="451">
        <v>60</v>
      </c>
      <c r="F18" s="41">
        <v>1940</v>
      </c>
      <c r="G18" s="37">
        <v>-5.5</v>
      </c>
      <c r="H18" s="37">
        <v>72.2</v>
      </c>
      <c r="I18" s="37">
        <v>22.2</v>
      </c>
      <c r="J18" s="41">
        <v>608</v>
      </c>
      <c r="K18" s="37">
        <v>13</v>
      </c>
      <c r="L18" s="451">
        <v>125</v>
      </c>
      <c r="M18" s="451">
        <v>223</v>
      </c>
      <c r="N18" s="451">
        <v>85</v>
      </c>
      <c r="O18" s="353">
        <v>40</v>
      </c>
      <c r="P18" s="353">
        <v>8</v>
      </c>
      <c r="Q18" s="353">
        <v>187.58</v>
      </c>
      <c r="R18" s="37"/>
      <c r="S18" s="508" t="str">
        <f t="shared" si="0"/>
        <v/>
      </c>
      <c r="T18" s="508"/>
      <c r="U18" s="508"/>
      <c r="V18" s="508"/>
      <c r="X18" s="45">
        <v>0.125</v>
      </c>
      <c r="Y18" s="106"/>
      <c r="Z18" s="102"/>
      <c r="AA18" s="102"/>
      <c r="AB18" s="45" t="str">
        <f t="shared" si="18"/>
        <v/>
      </c>
      <c r="AC18" s="45" t="str">
        <f t="shared" si="1"/>
        <v/>
      </c>
      <c r="AD18" s="81"/>
      <c r="AE18" s="9" t="str">
        <f>IF(S18="","",IF(COUNTA(Z18:$Z$39)=1,IF(COUNTA(AD18:$AD$39)=1,""," ; "),IF(COUNTA(AD18:$AD$39)=1,IF(Z18="",""," ; ")," ; ")))</f>
        <v/>
      </c>
      <c r="AF18" s="9" t="str">
        <f t="shared" si="2"/>
        <v/>
      </c>
      <c r="AG18" s="90" t="str">
        <f t="shared" si="3"/>
        <v/>
      </c>
      <c r="AH18" s="204" t="s">
        <v>321</v>
      </c>
      <c r="AJ18" s="206">
        <f t="shared" si="19"/>
        <v>500</v>
      </c>
      <c r="AK18" s="206">
        <f t="shared" si="19"/>
        <v>100</v>
      </c>
      <c r="AL18" s="206">
        <f t="shared" si="19"/>
        <v>2</v>
      </c>
      <c r="AM18" s="213">
        <f t="shared" si="19"/>
        <v>0.875</v>
      </c>
      <c r="AN18" s="214">
        <f t="shared" si="19"/>
        <v>0.63607464142166403</v>
      </c>
      <c r="AO18" s="215">
        <f t="shared" si="4"/>
        <v>-14.7</v>
      </c>
      <c r="AP18" s="216">
        <f t="shared" si="5"/>
        <v>1</v>
      </c>
      <c r="AQ18" s="216">
        <f t="shared" si="6"/>
        <v>1</v>
      </c>
      <c r="AR18" s="215">
        <f t="shared" ref="AR18:AR39" si="20">AR17</f>
        <v>158.47</v>
      </c>
      <c r="AS18" s="216">
        <f t="shared" si="7"/>
        <v>0.97679498379494789</v>
      </c>
      <c r="AT18" s="216">
        <f t="shared" si="8"/>
        <v>1.2538510821608391</v>
      </c>
      <c r="AU18" s="216">
        <f t="shared" si="9"/>
        <v>2.2360679774997898</v>
      </c>
      <c r="AV18" s="217">
        <f t="shared" si="10"/>
        <v>10.415801185754333</v>
      </c>
      <c r="AW18" s="216">
        <f t="shared" si="11"/>
        <v>0</v>
      </c>
      <c r="AX18" s="218">
        <f t="shared" si="12"/>
        <v>1.4696875479799241</v>
      </c>
      <c r="AY18" s="216">
        <f t="shared" si="13"/>
        <v>0.76851414128953044</v>
      </c>
      <c r="AZ18" s="217">
        <f t="shared" si="14"/>
        <v>3.5640070462657096</v>
      </c>
      <c r="BA18" s="216">
        <f t="shared" si="15"/>
        <v>0</v>
      </c>
      <c r="BB18" s="216">
        <f t="shared" si="16"/>
        <v>1.0084584063544275</v>
      </c>
      <c r="BC18" s="216">
        <f t="shared" si="17"/>
        <v>1</v>
      </c>
    </row>
    <row r="19" spans="1:55" ht="20.100000000000001" customHeight="1" x14ac:dyDescent="0.2">
      <c r="A19" s="45">
        <v>0.16666666666666699</v>
      </c>
      <c r="B19" s="451"/>
      <c r="C19" s="451"/>
      <c r="D19" s="451">
        <v>6.7</v>
      </c>
      <c r="E19" s="451">
        <v>60.3</v>
      </c>
      <c r="F19" s="41">
        <v>1922</v>
      </c>
      <c r="G19" s="37">
        <v>-5.5</v>
      </c>
      <c r="H19" s="37">
        <v>72.8</v>
      </c>
      <c r="I19" s="37">
        <v>22.5</v>
      </c>
      <c r="J19" s="41">
        <v>609</v>
      </c>
      <c r="K19" s="37">
        <v>13</v>
      </c>
      <c r="L19" s="451">
        <v>122</v>
      </c>
      <c r="M19" s="451">
        <v>221</v>
      </c>
      <c r="N19" s="451">
        <v>85</v>
      </c>
      <c r="O19" s="353">
        <v>30</v>
      </c>
      <c r="P19" s="353">
        <v>18</v>
      </c>
      <c r="Q19" s="353">
        <v>253.18</v>
      </c>
      <c r="R19" s="37"/>
      <c r="S19" s="508" t="str">
        <f t="shared" si="0"/>
        <v/>
      </c>
      <c r="T19" s="508"/>
      <c r="U19" s="508"/>
      <c r="V19" s="508"/>
      <c r="X19" s="45">
        <v>0.16666666666666699</v>
      </c>
      <c r="Y19" s="106"/>
      <c r="Z19" s="102"/>
      <c r="AA19" s="102"/>
      <c r="AB19" s="45" t="str">
        <f t="shared" si="18"/>
        <v/>
      </c>
      <c r="AC19" s="45" t="str">
        <f t="shared" si="1"/>
        <v/>
      </c>
      <c r="AD19" s="81"/>
      <c r="AE19" s="9" t="str">
        <f>IF(S19="","",IF(COUNTA(Z19:$Z$39)=1,IF(COUNTA(AD19:$AD$39)=1,""," ; "),IF(COUNTA(AD19:$AD$39)=1,IF(Z19="",""," ; ")," ; ")))</f>
        <v/>
      </c>
      <c r="AF19" s="9" t="str">
        <f t="shared" si="2"/>
        <v/>
      </c>
      <c r="AG19" s="90" t="str">
        <f t="shared" si="3"/>
        <v/>
      </c>
      <c r="AH19" s="204" t="s">
        <v>272</v>
      </c>
      <c r="AJ19" s="206">
        <f t="shared" si="19"/>
        <v>500</v>
      </c>
      <c r="AK19" s="206">
        <f t="shared" si="19"/>
        <v>100</v>
      </c>
      <c r="AL19" s="206">
        <f t="shared" si="19"/>
        <v>2</v>
      </c>
      <c r="AM19" s="213">
        <f t="shared" si="19"/>
        <v>0.875</v>
      </c>
      <c r="AN19" s="214">
        <f t="shared" si="19"/>
        <v>0.63607464142166403</v>
      </c>
      <c r="AO19" s="215">
        <f t="shared" si="4"/>
        <v>-14.7</v>
      </c>
      <c r="AP19" s="216">
        <f t="shared" si="5"/>
        <v>1</v>
      </c>
      <c r="AQ19" s="216">
        <f t="shared" si="6"/>
        <v>1</v>
      </c>
      <c r="AR19" s="215">
        <f t="shared" si="20"/>
        <v>158.47</v>
      </c>
      <c r="AS19" s="216">
        <f t="shared" si="7"/>
        <v>0.97679498379494789</v>
      </c>
      <c r="AT19" s="216">
        <f t="shared" si="8"/>
        <v>1.2538510821608391</v>
      </c>
      <c r="AU19" s="216">
        <f t="shared" si="9"/>
        <v>2.2360679774997898</v>
      </c>
      <c r="AV19" s="217">
        <f t="shared" si="10"/>
        <v>10.415801185754333</v>
      </c>
      <c r="AW19" s="216">
        <f t="shared" si="11"/>
        <v>0</v>
      </c>
      <c r="AX19" s="218">
        <f t="shared" si="12"/>
        <v>1.4696875479799241</v>
      </c>
      <c r="AY19" s="216">
        <f t="shared" si="13"/>
        <v>0.76851414128953044</v>
      </c>
      <c r="AZ19" s="217">
        <f t="shared" si="14"/>
        <v>3.5640070462657096</v>
      </c>
      <c r="BA19" s="216">
        <f t="shared" si="15"/>
        <v>0</v>
      </c>
      <c r="BB19" s="216">
        <f t="shared" si="16"/>
        <v>1.0084584063544275</v>
      </c>
      <c r="BC19" s="216">
        <f t="shared" si="17"/>
        <v>1</v>
      </c>
    </row>
    <row r="20" spans="1:55" ht="20.100000000000001" customHeight="1" x14ac:dyDescent="0.2">
      <c r="A20" s="45">
        <v>0.20833333333333301</v>
      </c>
      <c r="B20" s="451"/>
      <c r="C20" s="451"/>
      <c r="D20" s="451">
        <v>6.9</v>
      </c>
      <c r="E20" s="451">
        <v>61.7</v>
      </c>
      <c r="F20" s="41">
        <v>1940</v>
      </c>
      <c r="G20" s="37">
        <v>-5.5</v>
      </c>
      <c r="H20" s="37">
        <v>72.400000000000006</v>
      </c>
      <c r="I20" s="37">
        <v>22.1</v>
      </c>
      <c r="J20" s="41">
        <v>610</v>
      </c>
      <c r="K20" s="37">
        <v>13</v>
      </c>
      <c r="L20" s="451">
        <v>122</v>
      </c>
      <c r="M20" s="451">
        <v>221</v>
      </c>
      <c r="N20" s="451">
        <v>85</v>
      </c>
      <c r="O20" s="353">
        <v>30</v>
      </c>
      <c r="P20" s="353">
        <v>17</v>
      </c>
      <c r="Q20" s="353">
        <v>246.11</v>
      </c>
      <c r="R20" s="37"/>
      <c r="S20" s="508" t="str">
        <f t="shared" si="0"/>
        <v/>
      </c>
      <c r="T20" s="508"/>
      <c r="U20" s="508"/>
      <c r="V20" s="508"/>
      <c r="X20" s="45">
        <v>0.20833333333333301</v>
      </c>
      <c r="Y20" s="106"/>
      <c r="Z20" s="102"/>
      <c r="AA20" s="102"/>
      <c r="AB20" s="45" t="str">
        <f t="shared" si="18"/>
        <v/>
      </c>
      <c r="AC20" s="45" t="str">
        <f t="shared" si="1"/>
        <v/>
      </c>
      <c r="AD20" s="81"/>
      <c r="AE20" s="9" t="str">
        <f>IF(S20="","",IF(COUNTA(Z20:$Z$39)=1,IF(COUNTA(AD20:$AD$39)=1,""," ; "),IF(COUNTA(AD20:$AD$39)=1,IF(Z20="",""," ; ")," ; ")))</f>
        <v/>
      </c>
      <c r="AF20" s="9" t="str">
        <f t="shared" si="2"/>
        <v/>
      </c>
      <c r="AG20" s="90" t="str">
        <f t="shared" si="3"/>
        <v/>
      </c>
      <c r="AH20" s="204" t="s">
        <v>275</v>
      </c>
      <c r="AJ20" s="206">
        <f t="shared" si="19"/>
        <v>500</v>
      </c>
      <c r="AK20" s="206">
        <f t="shared" si="19"/>
        <v>100</v>
      </c>
      <c r="AL20" s="206">
        <f t="shared" si="19"/>
        <v>2</v>
      </c>
      <c r="AM20" s="213">
        <f t="shared" si="19"/>
        <v>0.875</v>
      </c>
      <c r="AN20" s="214">
        <f t="shared" si="19"/>
        <v>0.63607464142166403</v>
      </c>
      <c r="AO20" s="215">
        <f t="shared" si="4"/>
        <v>-14.7</v>
      </c>
      <c r="AP20" s="216">
        <f t="shared" si="5"/>
        <v>1</v>
      </c>
      <c r="AQ20" s="216">
        <f t="shared" si="6"/>
        <v>1</v>
      </c>
      <c r="AR20" s="215">
        <f t="shared" si="20"/>
        <v>158.47</v>
      </c>
      <c r="AS20" s="216">
        <f t="shared" si="7"/>
        <v>0.97679498379494789</v>
      </c>
      <c r="AT20" s="216">
        <f t="shared" si="8"/>
        <v>1.2538510821608391</v>
      </c>
      <c r="AU20" s="216">
        <f t="shared" si="9"/>
        <v>2.2360679774997898</v>
      </c>
      <c r="AV20" s="217">
        <f t="shared" si="10"/>
        <v>10.415801185754333</v>
      </c>
      <c r="AW20" s="216">
        <f t="shared" si="11"/>
        <v>0</v>
      </c>
      <c r="AX20" s="218">
        <f t="shared" si="12"/>
        <v>1.4696875479799241</v>
      </c>
      <c r="AY20" s="216">
        <f t="shared" si="13"/>
        <v>0.76851414128953044</v>
      </c>
      <c r="AZ20" s="217">
        <f t="shared" si="14"/>
        <v>3.5640070462657096</v>
      </c>
      <c r="BA20" s="216">
        <f t="shared" si="15"/>
        <v>0</v>
      </c>
      <c r="BB20" s="216">
        <f t="shared" si="16"/>
        <v>1.0084584063544275</v>
      </c>
      <c r="BC20" s="216">
        <f t="shared" si="17"/>
        <v>1</v>
      </c>
    </row>
    <row r="21" spans="1:55" ht="20.100000000000001" customHeight="1" x14ac:dyDescent="0.2">
      <c r="A21" s="45">
        <v>0.25</v>
      </c>
      <c r="B21" s="451"/>
      <c r="C21" s="451"/>
      <c r="D21" s="451">
        <v>6.5</v>
      </c>
      <c r="E21" s="451">
        <v>61</v>
      </c>
      <c r="F21" s="41">
        <v>1975</v>
      </c>
      <c r="G21" s="37">
        <v>-5.5</v>
      </c>
      <c r="H21" s="37">
        <v>72.099999999999994</v>
      </c>
      <c r="I21" s="37">
        <v>22.3</v>
      </c>
      <c r="J21" s="41">
        <v>611</v>
      </c>
      <c r="K21" s="37">
        <v>13</v>
      </c>
      <c r="L21" s="451">
        <v>123</v>
      </c>
      <c r="M21" s="451">
        <v>222</v>
      </c>
      <c r="N21" s="451">
        <v>85</v>
      </c>
      <c r="O21" s="353">
        <v>30</v>
      </c>
      <c r="P21" s="353">
        <v>16</v>
      </c>
      <c r="Q21" s="353">
        <v>238.82</v>
      </c>
      <c r="R21" s="37"/>
      <c r="S21" s="508" t="str">
        <f t="shared" si="0"/>
        <v/>
      </c>
      <c r="T21" s="508"/>
      <c r="U21" s="508"/>
      <c r="V21" s="508"/>
      <c r="X21" s="45">
        <v>0.25</v>
      </c>
      <c r="Y21" s="106"/>
      <c r="Z21" s="102"/>
      <c r="AA21" s="102"/>
      <c r="AB21" s="45" t="str">
        <f t="shared" si="18"/>
        <v/>
      </c>
      <c r="AC21" s="45" t="str">
        <f t="shared" si="1"/>
        <v/>
      </c>
      <c r="AD21" s="81"/>
      <c r="AE21" s="9" t="str">
        <f>IF(S21="","",IF(COUNTA(Z21:$Z$39)=1,IF(COUNTA(AD21:$AD$39)=1,""," ; "),IF(COUNTA(AD21:$AD$39)=1,IF(Z21="",""," ; ")," ; ")))</f>
        <v/>
      </c>
      <c r="AF21" s="9" t="str">
        <f t="shared" si="2"/>
        <v/>
      </c>
      <c r="AG21" s="90" t="str">
        <f t="shared" si="3"/>
        <v/>
      </c>
      <c r="AH21" s="204" t="s">
        <v>322</v>
      </c>
      <c r="AJ21" s="206">
        <f t="shared" si="19"/>
        <v>500</v>
      </c>
      <c r="AK21" s="206">
        <f t="shared" si="19"/>
        <v>100</v>
      </c>
      <c r="AL21" s="206">
        <f t="shared" si="19"/>
        <v>2</v>
      </c>
      <c r="AM21" s="213">
        <f t="shared" si="19"/>
        <v>0.875</v>
      </c>
      <c r="AN21" s="214">
        <f t="shared" si="19"/>
        <v>0.63607464142166403</v>
      </c>
      <c r="AO21" s="215">
        <f t="shared" si="4"/>
        <v>-14.7</v>
      </c>
      <c r="AP21" s="216">
        <f t="shared" si="5"/>
        <v>1</v>
      </c>
      <c r="AQ21" s="216">
        <f t="shared" si="6"/>
        <v>1</v>
      </c>
      <c r="AR21" s="215">
        <f t="shared" si="20"/>
        <v>158.47</v>
      </c>
      <c r="AS21" s="216">
        <f t="shared" si="7"/>
        <v>0.97679498379494789</v>
      </c>
      <c r="AT21" s="216">
        <f t="shared" si="8"/>
        <v>1.2538510821608391</v>
      </c>
      <c r="AU21" s="216">
        <f t="shared" si="9"/>
        <v>2.2360679774997898</v>
      </c>
      <c r="AV21" s="217">
        <f t="shared" si="10"/>
        <v>10.415801185754333</v>
      </c>
      <c r="AW21" s="216">
        <f t="shared" si="11"/>
        <v>0</v>
      </c>
      <c r="AX21" s="218">
        <f t="shared" si="12"/>
        <v>1.4696875479799241</v>
      </c>
      <c r="AY21" s="216">
        <f t="shared" si="13"/>
        <v>0.76851414128953044</v>
      </c>
      <c r="AZ21" s="217">
        <f t="shared" si="14"/>
        <v>3.5640070462657096</v>
      </c>
      <c r="BA21" s="216">
        <f t="shared" si="15"/>
        <v>0</v>
      </c>
      <c r="BB21" s="216">
        <f t="shared" si="16"/>
        <v>1.0084584063544275</v>
      </c>
      <c r="BC21" s="216">
        <f t="shared" si="17"/>
        <v>1</v>
      </c>
    </row>
    <row r="22" spans="1:55" ht="20.100000000000001" customHeight="1" x14ac:dyDescent="0.2">
      <c r="A22" s="45">
        <v>0.29166666666666702</v>
      </c>
      <c r="B22" s="451"/>
      <c r="C22" s="451"/>
      <c r="D22" s="451">
        <v>6.2</v>
      </c>
      <c r="E22" s="451">
        <v>61.3</v>
      </c>
      <c r="F22" s="41">
        <v>1933</v>
      </c>
      <c r="G22" s="37">
        <v>-5.5</v>
      </c>
      <c r="H22" s="37">
        <v>72.3</v>
      </c>
      <c r="I22" s="37">
        <v>22.6</v>
      </c>
      <c r="J22" s="41">
        <v>612</v>
      </c>
      <c r="K22" s="37">
        <v>13</v>
      </c>
      <c r="L22" s="451">
        <v>123</v>
      </c>
      <c r="M22" s="451">
        <v>223</v>
      </c>
      <c r="N22" s="451">
        <v>85</v>
      </c>
      <c r="O22" s="353">
        <v>30</v>
      </c>
      <c r="P22" s="353">
        <v>15</v>
      </c>
      <c r="Q22" s="353">
        <v>231.31</v>
      </c>
      <c r="R22" s="37"/>
      <c r="S22" s="508" t="str">
        <f t="shared" si="0"/>
        <v/>
      </c>
      <c r="T22" s="508"/>
      <c r="U22" s="508"/>
      <c r="V22" s="508"/>
      <c r="X22" s="45">
        <v>0.29166666666666702</v>
      </c>
      <c r="Y22" s="106"/>
      <c r="Z22" s="102"/>
      <c r="AA22" s="102"/>
      <c r="AB22" s="45" t="str">
        <f t="shared" si="18"/>
        <v/>
      </c>
      <c r="AC22" s="45" t="str">
        <f t="shared" si="1"/>
        <v/>
      </c>
      <c r="AD22" s="81"/>
      <c r="AE22" s="9" t="str">
        <f>IF(S22="","",IF(COUNTA(Z22:$Z$39)=1,IF(COUNTA(AD22:$AD$39)=1,""," ; "),IF(COUNTA(AD22:$AD$39)=1,IF(Z22="",""," ; ")," ; ")))</f>
        <v/>
      </c>
      <c r="AF22" s="9" t="str">
        <f t="shared" si="2"/>
        <v/>
      </c>
      <c r="AG22" s="90" t="str">
        <f t="shared" si="3"/>
        <v/>
      </c>
      <c r="AH22" s="204" t="s">
        <v>279</v>
      </c>
      <c r="AJ22" s="206">
        <f t="shared" si="19"/>
        <v>500</v>
      </c>
      <c r="AK22" s="206">
        <f t="shared" si="19"/>
        <v>100</v>
      </c>
      <c r="AL22" s="206">
        <f t="shared" si="19"/>
        <v>2</v>
      </c>
      <c r="AM22" s="213">
        <f t="shared" si="19"/>
        <v>0.875</v>
      </c>
      <c r="AN22" s="214">
        <f t="shared" si="19"/>
        <v>0.63607464142166403</v>
      </c>
      <c r="AO22" s="215">
        <f t="shared" si="4"/>
        <v>-14.7</v>
      </c>
      <c r="AP22" s="216">
        <f t="shared" si="5"/>
        <v>1</v>
      </c>
      <c r="AQ22" s="216">
        <f t="shared" si="6"/>
        <v>1</v>
      </c>
      <c r="AR22" s="215">
        <f t="shared" si="20"/>
        <v>158.47</v>
      </c>
      <c r="AS22" s="216">
        <f t="shared" si="7"/>
        <v>0.97679498379494789</v>
      </c>
      <c r="AT22" s="216">
        <f t="shared" si="8"/>
        <v>1.2538510821608391</v>
      </c>
      <c r="AU22" s="216">
        <f t="shared" si="9"/>
        <v>2.2360679774997898</v>
      </c>
      <c r="AV22" s="217">
        <f t="shared" si="10"/>
        <v>10.415801185754333</v>
      </c>
      <c r="AW22" s="216">
        <f t="shared" si="11"/>
        <v>0</v>
      </c>
      <c r="AX22" s="218">
        <f t="shared" si="12"/>
        <v>1.4696875479799241</v>
      </c>
      <c r="AY22" s="216">
        <f t="shared" si="13"/>
        <v>0.76851414128953044</v>
      </c>
      <c r="AZ22" s="217">
        <f t="shared" si="14"/>
        <v>3.5640070462657096</v>
      </c>
      <c r="BA22" s="216">
        <f t="shared" si="15"/>
        <v>0</v>
      </c>
      <c r="BB22" s="216">
        <f t="shared" si="16"/>
        <v>1.0084584063544275</v>
      </c>
      <c r="BC22" s="216">
        <f t="shared" si="17"/>
        <v>1</v>
      </c>
    </row>
    <row r="23" spans="1:55" ht="20.100000000000001" customHeight="1" x14ac:dyDescent="0.2">
      <c r="A23" s="45">
        <v>0.33333333333333298</v>
      </c>
      <c r="B23" s="451"/>
      <c r="C23" s="451"/>
      <c r="D23" s="451">
        <v>6.9</v>
      </c>
      <c r="E23" s="451">
        <v>63.1</v>
      </c>
      <c r="F23" s="41">
        <v>1958</v>
      </c>
      <c r="G23" s="37">
        <v>-5.5</v>
      </c>
      <c r="H23" s="37">
        <v>72.3</v>
      </c>
      <c r="I23" s="37">
        <v>22</v>
      </c>
      <c r="J23" s="41">
        <v>613</v>
      </c>
      <c r="K23" s="37">
        <v>13</v>
      </c>
      <c r="L23" s="451">
        <v>125</v>
      </c>
      <c r="M23" s="451">
        <v>225</v>
      </c>
      <c r="N23" s="451">
        <v>85</v>
      </c>
      <c r="O23" s="353">
        <v>30</v>
      </c>
      <c r="P23" s="353">
        <v>16</v>
      </c>
      <c r="Q23" s="353">
        <v>238.82</v>
      </c>
      <c r="R23" s="37"/>
      <c r="S23" s="508" t="str">
        <f t="shared" si="0"/>
        <v/>
      </c>
      <c r="T23" s="508"/>
      <c r="U23" s="508"/>
      <c r="V23" s="508"/>
      <c r="X23" s="45">
        <v>0.33333333333333298</v>
      </c>
      <c r="Y23" s="106"/>
      <c r="Z23" s="102"/>
      <c r="AA23" s="102"/>
      <c r="AB23" s="45" t="str">
        <f t="shared" si="18"/>
        <v/>
      </c>
      <c r="AC23" s="45" t="str">
        <f t="shared" si="1"/>
        <v/>
      </c>
      <c r="AD23" s="81"/>
      <c r="AE23" s="9" t="str">
        <f>IF(S23="","",IF(COUNTA(Z23:$Z$39)=1,IF(COUNTA(AD23:$AD$39)=1,""," ; "),IF(COUNTA(AD23:$AD$39)=1,IF(Z23="",""," ; ")," ; ")))</f>
        <v/>
      </c>
      <c r="AF23" s="9" t="str">
        <f t="shared" si="2"/>
        <v/>
      </c>
      <c r="AG23" s="90" t="str">
        <f t="shared" si="3"/>
        <v/>
      </c>
      <c r="AH23" s="204" t="s">
        <v>274</v>
      </c>
      <c r="AJ23" s="206">
        <f t="shared" si="19"/>
        <v>500</v>
      </c>
      <c r="AK23" s="206">
        <f t="shared" si="19"/>
        <v>100</v>
      </c>
      <c r="AL23" s="206">
        <f t="shared" si="19"/>
        <v>2</v>
      </c>
      <c r="AM23" s="213">
        <f t="shared" si="19"/>
        <v>0.875</v>
      </c>
      <c r="AN23" s="214">
        <f t="shared" si="19"/>
        <v>0.63607464142166403</v>
      </c>
      <c r="AO23" s="215">
        <f t="shared" si="4"/>
        <v>-14.7</v>
      </c>
      <c r="AP23" s="216">
        <f t="shared" si="5"/>
        <v>1</v>
      </c>
      <c r="AQ23" s="216">
        <f t="shared" si="6"/>
        <v>1</v>
      </c>
      <c r="AR23" s="215">
        <f t="shared" si="20"/>
        <v>158.47</v>
      </c>
      <c r="AS23" s="216">
        <f t="shared" si="7"/>
        <v>0.97679498379494789</v>
      </c>
      <c r="AT23" s="216">
        <f t="shared" si="8"/>
        <v>1.2538510821608391</v>
      </c>
      <c r="AU23" s="216">
        <f t="shared" si="9"/>
        <v>2.2360679774997898</v>
      </c>
      <c r="AV23" s="217">
        <f t="shared" si="10"/>
        <v>10.415801185754333</v>
      </c>
      <c r="AW23" s="216">
        <f t="shared" si="11"/>
        <v>0</v>
      </c>
      <c r="AX23" s="218">
        <f t="shared" si="12"/>
        <v>1.4696875479799241</v>
      </c>
      <c r="AY23" s="216">
        <f t="shared" si="13"/>
        <v>0.76851414128953044</v>
      </c>
      <c r="AZ23" s="217">
        <f t="shared" si="14"/>
        <v>3.5640070462657096</v>
      </c>
      <c r="BA23" s="216">
        <f t="shared" si="15"/>
        <v>0</v>
      </c>
      <c r="BB23" s="216">
        <f t="shared" si="16"/>
        <v>1.0084584063544275</v>
      </c>
      <c r="BC23" s="216">
        <f t="shared" si="17"/>
        <v>1</v>
      </c>
    </row>
    <row r="24" spans="1:55" ht="20.100000000000001" customHeight="1" x14ac:dyDescent="0.2">
      <c r="A24" s="45">
        <v>0.375</v>
      </c>
      <c r="B24" s="451"/>
      <c r="C24" s="451"/>
      <c r="D24" s="451">
        <v>6.3</v>
      </c>
      <c r="E24" s="451">
        <v>63.6</v>
      </c>
      <c r="F24" s="41">
        <v>1943</v>
      </c>
      <c r="G24" s="37">
        <v>-5.5</v>
      </c>
      <c r="H24" s="37">
        <v>72.099999999999994</v>
      </c>
      <c r="I24" s="37">
        <v>22.5</v>
      </c>
      <c r="J24" s="41">
        <v>614</v>
      </c>
      <c r="K24" s="37">
        <v>13</v>
      </c>
      <c r="L24" s="451">
        <v>127</v>
      </c>
      <c r="M24" s="451">
        <v>228</v>
      </c>
      <c r="N24" s="451">
        <v>85</v>
      </c>
      <c r="O24" s="353">
        <v>30</v>
      </c>
      <c r="P24" s="353">
        <v>16</v>
      </c>
      <c r="Q24" s="353">
        <v>238.82</v>
      </c>
      <c r="R24" s="37"/>
      <c r="S24" s="508" t="str">
        <f t="shared" si="0"/>
        <v/>
      </c>
      <c r="T24" s="508"/>
      <c r="U24" s="508"/>
      <c r="V24" s="508"/>
      <c r="X24" s="45">
        <v>0.375</v>
      </c>
      <c r="Y24" s="106"/>
      <c r="Z24" s="102"/>
      <c r="AA24" s="102"/>
      <c r="AB24" s="45" t="str">
        <f t="shared" si="18"/>
        <v/>
      </c>
      <c r="AC24" s="45" t="str">
        <f t="shared" si="1"/>
        <v/>
      </c>
      <c r="AD24" s="81"/>
      <c r="AE24" s="9" t="str">
        <f>IF(S24="","",IF(COUNTA(Z24:$Z$39)=1,IF(COUNTA(AD24:$AD$39)=1,""," ; "),IF(COUNTA(AD24:$AD$39)=1,IF(Z24="",""," ; ")," ; ")))</f>
        <v/>
      </c>
      <c r="AF24" s="9" t="str">
        <f t="shared" si="2"/>
        <v/>
      </c>
      <c r="AG24" s="90" t="str">
        <f t="shared" si="3"/>
        <v/>
      </c>
      <c r="AH24" s="204" t="s">
        <v>307</v>
      </c>
      <c r="AJ24" s="206">
        <f t="shared" si="19"/>
        <v>500</v>
      </c>
      <c r="AK24" s="206">
        <f t="shared" si="19"/>
        <v>100</v>
      </c>
      <c r="AL24" s="206">
        <f t="shared" si="19"/>
        <v>2</v>
      </c>
      <c r="AM24" s="213">
        <f t="shared" si="19"/>
        <v>0.875</v>
      </c>
      <c r="AN24" s="214">
        <f t="shared" si="19"/>
        <v>0.63607464142166403</v>
      </c>
      <c r="AO24" s="215">
        <f t="shared" si="4"/>
        <v>-14.7</v>
      </c>
      <c r="AP24" s="216">
        <f t="shared" si="5"/>
        <v>1</v>
      </c>
      <c r="AQ24" s="216">
        <f t="shared" si="6"/>
        <v>1</v>
      </c>
      <c r="AR24" s="215">
        <f t="shared" si="20"/>
        <v>158.47</v>
      </c>
      <c r="AS24" s="216">
        <f t="shared" si="7"/>
        <v>0.97679498379494789</v>
      </c>
      <c r="AT24" s="216">
        <f t="shared" si="8"/>
        <v>1.2538510821608391</v>
      </c>
      <c r="AU24" s="216">
        <f t="shared" si="9"/>
        <v>2.2360679774997898</v>
      </c>
      <c r="AV24" s="217">
        <f t="shared" si="10"/>
        <v>10.415801185754333</v>
      </c>
      <c r="AW24" s="216">
        <f t="shared" si="11"/>
        <v>0</v>
      </c>
      <c r="AX24" s="218">
        <f t="shared" si="12"/>
        <v>1.4696875479799241</v>
      </c>
      <c r="AY24" s="216">
        <f t="shared" si="13"/>
        <v>0.76851414128953044</v>
      </c>
      <c r="AZ24" s="217">
        <f t="shared" si="14"/>
        <v>3.5640070462657096</v>
      </c>
      <c r="BA24" s="216">
        <f t="shared" si="15"/>
        <v>0</v>
      </c>
      <c r="BB24" s="216">
        <f t="shared" si="16"/>
        <v>1.0084584063544275</v>
      </c>
      <c r="BC24" s="216">
        <f t="shared" si="17"/>
        <v>1</v>
      </c>
    </row>
    <row r="25" spans="1:55" ht="20.100000000000001" customHeight="1" x14ac:dyDescent="0.2">
      <c r="A25" s="45">
        <v>0.41666666666666702</v>
      </c>
      <c r="B25" s="451"/>
      <c r="C25" s="451"/>
      <c r="D25" s="451">
        <v>6.6</v>
      </c>
      <c r="E25" s="451">
        <v>65.5</v>
      </c>
      <c r="F25" s="41">
        <v>1956</v>
      </c>
      <c r="G25" s="37">
        <v>-5.5</v>
      </c>
      <c r="H25" s="37">
        <v>72.3</v>
      </c>
      <c r="I25" s="37">
        <v>22.3</v>
      </c>
      <c r="J25" s="41">
        <v>615</v>
      </c>
      <c r="K25" s="37">
        <v>13</v>
      </c>
      <c r="L25" s="451">
        <v>127</v>
      </c>
      <c r="M25" s="451">
        <v>228</v>
      </c>
      <c r="N25" s="451">
        <v>85</v>
      </c>
      <c r="O25" s="353">
        <v>25</v>
      </c>
      <c r="P25" s="353">
        <v>17</v>
      </c>
      <c r="Q25" s="353">
        <v>231.79</v>
      </c>
      <c r="R25" s="37"/>
      <c r="S25" s="508" t="str">
        <f t="shared" si="0"/>
        <v/>
      </c>
      <c r="T25" s="508"/>
      <c r="U25" s="508"/>
      <c r="V25" s="508"/>
      <c r="X25" s="45">
        <v>0.41666666666666702</v>
      </c>
      <c r="Y25" s="106"/>
      <c r="Z25" s="102"/>
      <c r="AA25" s="102"/>
      <c r="AB25" s="45" t="str">
        <f t="shared" si="18"/>
        <v/>
      </c>
      <c r="AC25" s="45" t="str">
        <f t="shared" si="1"/>
        <v/>
      </c>
      <c r="AD25" s="81"/>
      <c r="AE25" s="9" t="str">
        <f>IF(S25="","",IF(COUNTA(Z25:$Z$39)=1,IF(COUNTA(AD25:$AD$39)=1,""," ; "),IF(COUNTA(AD25:$AD$39)=1,IF(Z25="",""," ; ")," ; ")))</f>
        <v/>
      </c>
      <c r="AF25" s="9" t="str">
        <f t="shared" si="2"/>
        <v/>
      </c>
      <c r="AG25" s="90" t="str">
        <f t="shared" si="3"/>
        <v/>
      </c>
      <c r="AH25" s="204" t="s">
        <v>225</v>
      </c>
      <c r="AJ25" s="206">
        <f t="shared" si="19"/>
        <v>500</v>
      </c>
      <c r="AK25" s="206">
        <f t="shared" si="19"/>
        <v>100</v>
      </c>
      <c r="AL25" s="206">
        <f t="shared" si="19"/>
        <v>2</v>
      </c>
      <c r="AM25" s="213">
        <f t="shared" si="19"/>
        <v>0.875</v>
      </c>
      <c r="AN25" s="214">
        <f t="shared" si="19"/>
        <v>0.63607464142166403</v>
      </c>
      <c r="AO25" s="215">
        <f t="shared" si="4"/>
        <v>-14.7</v>
      </c>
      <c r="AP25" s="216">
        <f t="shared" si="5"/>
        <v>1</v>
      </c>
      <c r="AQ25" s="216">
        <f t="shared" si="6"/>
        <v>1</v>
      </c>
      <c r="AR25" s="215">
        <f t="shared" si="20"/>
        <v>158.47</v>
      </c>
      <c r="AS25" s="216">
        <f t="shared" si="7"/>
        <v>0.97679498379494789</v>
      </c>
      <c r="AT25" s="216">
        <f t="shared" si="8"/>
        <v>1.2538510821608391</v>
      </c>
      <c r="AU25" s="216">
        <f t="shared" si="9"/>
        <v>2.2360679774997898</v>
      </c>
      <c r="AV25" s="217">
        <f t="shared" si="10"/>
        <v>10.415801185754333</v>
      </c>
      <c r="AW25" s="216">
        <f t="shared" si="11"/>
        <v>0</v>
      </c>
      <c r="AX25" s="218">
        <f t="shared" si="12"/>
        <v>1.4696875479799241</v>
      </c>
      <c r="AY25" s="216">
        <f t="shared" si="13"/>
        <v>0.76851414128953044</v>
      </c>
      <c r="AZ25" s="217">
        <f t="shared" si="14"/>
        <v>3.5640070462657096</v>
      </c>
      <c r="BA25" s="216">
        <f t="shared" si="15"/>
        <v>0</v>
      </c>
      <c r="BB25" s="216">
        <f t="shared" si="16"/>
        <v>1.0084584063544275</v>
      </c>
      <c r="BC25" s="216">
        <f t="shared" si="17"/>
        <v>1</v>
      </c>
    </row>
    <row r="26" spans="1:55" ht="20.100000000000001" customHeight="1" x14ac:dyDescent="0.2">
      <c r="A26" s="45">
        <v>0.45833333333333298</v>
      </c>
      <c r="B26" s="451"/>
      <c r="C26" s="451"/>
      <c r="D26" s="451">
        <v>6.2</v>
      </c>
      <c r="E26" s="451">
        <v>65.3</v>
      </c>
      <c r="F26" s="41">
        <v>1980</v>
      </c>
      <c r="G26" s="37">
        <v>-5.5</v>
      </c>
      <c r="H26" s="37">
        <v>72.900000000000006</v>
      </c>
      <c r="I26" s="37">
        <v>22.6</v>
      </c>
      <c r="J26" s="41">
        <v>616</v>
      </c>
      <c r="K26" s="37">
        <v>13</v>
      </c>
      <c r="L26" s="451">
        <v>127</v>
      </c>
      <c r="M26" s="451">
        <v>228</v>
      </c>
      <c r="N26" s="451">
        <v>85</v>
      </c>
      <c r="O26" s="353">
        <v>25</v>
      </c>
      <c r="P26" s="353">
        <v>18</v>
      </c>
      <c r="Q26" s="353">
        <v>238.45</v>
      </c>
      <c r="R26" s="37"/>
      <c r="S26" s="508" t="str">
        <f t="shared" si="0"/>
        <v/>
      </c>
      <c r="T26" s="508"/>
      <c r="U26" s="508"/>
      <c r="V26" s="508"/>
      <c r="X26" s="45">
        <v>0.45833333333333298</v>
      </c>
      <c r="Y26" s="106"/>
      <c r="Z26" s="102"/>
      <c r="AA26" s="102"/>
      <c r="AB26" s="45" t="str">
        <f t="shared" si="18"/>
        <v/>
      </c>
      <c r="AC26" s="45" t="str">
        <f t="shared" si="1"/>
        <v/>
      </c>
      <c r="AD26" s="81"/>
      <c r="AE26" s="9" t="str">
        <f>IF(S26="","",IF(COUNTA(Z26:$Z$39)=1,IF(COUNTA(AD26:$AD$39)=1,""," ; "),IF(COUNTA(AD26:$AD$39)=1,IF(Z26="",""," ; ")," ; ")))</f>
        <v/>
      </c>
      <c r="AF26" s="9" t="str">
        <f t="shared" si="2"/>
        <v/>
      </c>
      <c r="AG26" s="90" t="str">
        <f t="shared" si="3"/>
        <v/>
      </c>
      <c r="AH26" s="204" t="s">
        <v>287</v>
      </c>
      <c r="AJ26" s="206">
        <f t="shared" si="19"/>
        <v>500</v>
      </c>
      <c r="AK26" s="206">
        <f t="shared" si="19"/>
        <v>100</v>
      </c>
      <c r="AL26" s="206">
        <f t="shared" si="19"/>
        <v>2</v>
      </c>
      <c r="AM26" s="213">
        <f t="shared" si="19"/>
        <v>0.875</v>
      </c>
      <c r="AN26" s="214">
        <f t="shared" si="19"/>
        <v>0.63607464142166403</v>
      </c>
      <c r="AO26" s="215">
        <f t="shared" si="4"/>
        <v>-14.7</v>
      </c>
      <c r="AP26" s="216">
        <f t="shared" si="5"/>
        <v>1</v>
      </c>
      <c r="AQ26" s="216">
        <f t="shared" si="6"/>
        <v>1</v>
      </c>
      <c r="AR26" s="215">
        <f t="shared" si="20"/>
        <v>158.47</v>
      </c>
      <c r="AS26" s="216">
        <f t="shared" si="7"/>
        <v>0.97679498379494789</v>
      </c>
      <c r="AT26" s="216">
        <f t="shared" si="8"/>
        <v>1.2538510821608391</v>
      </c>
      <c r="AU26" s="216">
        <f t="shared" si="9"/>
        <v>2.2360679774997898</v>
      </c>
      <c r="AV26" s="217">
        <f t="shared" si="10"/>
        <v>10.415801185754333</v>
      </c>
      <c r="AW26" s="216">
        <f t="shared" si="11"/>
        <v>0</v>
      </c>
      <c r="AX26" s="218">
        <f t="shared" si="12"/>
        <v>1.4696875479799241</v>
      </c>
      <c r="AY26" s="216">
        <f t="shared" si="13"/>
        <v>0.76851414128953044</v>
      </c>
      <c r="AZ26" s="217">
        <f t="shared" si="14"/>
        <v>3.5640070462657096</v>
      </c>
      <c r="BA26" s="216">
        <f t="shared" si="15"/>
        <v>0</v>
      </c>
      <c r="BB26" s="216">
        <f t="shared" si="16"/>
        <v>1.0084584063544275</v>
      </c>
      <c r="BC26" s="216">
        <f t="shared" si="17"/>
        <v>1</v>
      </c>
    </row>
    <row r="27" spans="1:55" ht="20.100000000000001" customHeight="1" x14ac:dyDescent="0.2">
      <c r="A27" s="45">
        <v>0.5</v>
      </c>
      <c r="B27" s="451"/>
      <c r="C27" s="451"/>
      <c r="D27" s="451">
        <v>5.3</v>
      </c>
      <c r="E27" s="451">
        <v>62</v>
      </c>
      <c r="F27" s="41">
        <v>1930</v>
      </c>
      <c r="G27" s="37">
        <v>-5.5</v>
      </c>
      <c r="H27" s="37">
        <v>72.400000000000006</v>
      </c>
      <c r="I27" s="37">
        <v>22.1</v>
      </c>
      <c r="J27" s="41">
        <v>617</v>
      </c>
      <c r="K27" s="37">
        <v>13</v>
      </c>
      <c r="L27" s="451">
        <v>129</v>
      </c>
      <c r="M27" s="451">
        <v>229</v>
      </c>
      <c r="N27" s="451">
        <v>85</v>
      </c>
      <c r="O27" s="353">
        <v>25</v>
      </c>
      <c r="P27" s="353">
        <v>18</v>
      </c>
      <c r="Q27" s="353">
        <v>238.45</v>
      </c>
      <c r="R27" s="37"/>
      <c r="S27" s="508" t="str">
        <f t="shared" si="0"/>
        <v/>
      </c>
      <c r="T27" s="508"/>
      <c r="U27" s="508"/>
      <c r="V27" s="508"/>
      <c r="X27" s="45">
        <v>0.5</v>
      </c>
      <c r="Y27" s="106"/>
      <c r="Z27" s="102"/>
      <c r="AA27" s="102"/>
      <c r="AB27" s="45" t="str">
        <f t="shared" si="18"/>
        <v/>
      </c>
      <c r="AC27" s="45" t="str">
        <f t="shared" si="1"/>
        <v/>
      </c>
      <c r="AD27" s="81"/>
      <c r="AE27" s="9" t="str">
        <f>IF(S27="","",IF(COUNTA(Z27:$Z$39)=1,IF(COUNTA(AD27:$AD$39)=1,""," ; "),IF(COUNTA(AD27:$AD$39)=1,IF(Z27="",""," ; ")," ; ")))</f>
        <v/>
      </c>
      <c r="AF27" s="9" t="str">
        <f t="shared" si="2"/>
        <v/>
      </c>
      <c r="AG27" s="90" t="str">
        <f t="shared" si="3"/>
        <v/>
      </c>
      <c r="AH27" s="204" t="s">
        <v>276</v>
      </c>
      <c r="AJ27" s="206">
        <f t="shared" si="19"/>
        <v>500</v>
      </c>
      <c r="AK27" s="206">
        <f t="shared" si="19"/>
        <v>100</v>
      </c>
      <c r="AL27" s="206">
        <f t="shared" si="19"/>
        <v>2</v>
      </c>
      <c r="AM27" s="213">
        <f t="shared" si="19"/>
        <v>0.875</v>
      </c>
      <c r="AN27" s="214">
        <f t="shared" si="19"/>
        <v>0.63607464142166403</v>
      </c>
      <c r="AO27" s="215">
        <f t="shared" si="4"/>
        <v>-14.7</v>
      </c>
      <c r="AP27" s="216">
        <f t="shared" si="5"/>
        <v>1</v>
      </c>
      <c r="AQ27" s="216">
        <f t="shared" si="6"/>
        <v>1</v>
      </c>
      <c r="AR27" s="215">
        <f t="shared" si="20"/>
        <v>158.47</v>
      </c>
      <c r="AS27" s="216">
        <f t="shared" si="7"/>
        <v>0.97679498379494789</v>
      </c>
      <c r="AT27" s="216">
        <f t="shared" si="8"/>
        <v>1.2538510821608391</v>
      </c>
      <c r="AU27" s="216">
        <f t="shared" si="9"/>
        <v>2.2360679774997898</v>
      </c>
      <c r="AV27" s="217">
        <f t="shared" si="10"/>
        <v>10.415801185754333</v>
      </c>
      <c r="AW27" s="216">
        <f t="shared" si="11"/>
        <v>0</v>
      </c>
      <c r="AX27" s="218">
        <f t="shared" si="12"/>
        <v>1.4696875479799241</v>
      </c>
      <c r="AY27" s="216">
        <f t="shared" si="13"/>
        <v>0.76851414128953044</v>
      </c>
      <c r="AZ27" s="217">
        <f t="shared" si="14"/>
        <v>3.5640070462657096</v>
      </c>
      <c r="BA27" s="216">
        <f t="shared" si="15"/>
        <v>0</v>
      </c>
      <c r="BB27" s="216">
        <f t="shared" si="16"/>
        <v>1.0084584063544275</v>
      </c>
      <c r="BC27" s="216">
        <f t="shared" si="17"/>
        <v>1</v>
      </c>
    </row>
    <row r="28" spans="1:55" ht="20.100000000000001" customHeight="1" x14ac:dyDescent="0.2">
      <c r="A28" s="45">
        <v>0.54166666666666696</v>
      </c>
      <c r="B28" s="451"/>
      <c r="C28" s="451"/>
      <c r="D28" s="451">
        <v>5</v>
      </c>
      <c r="E28" s="451">
        <v>62.5</v>
      </c>
      <c r="F28" s="41">
        <v>1965</v>
      </c>
      <c r="G28" s="37">
        <v>-5.5</v>
      </c>
      <c r="H28" s="37">
        <v>72.599999999999994</v>
      </c>
      <c r="I28" s="37">
        <v>22.3</v>
      </c>
      <c r="J28" s="41">
        <v>618</v>
      </c>
      <c r="K28" s="37">
        <v>13</v>
      </c>
      <c r="L28" s="451">
        <v>129</v>
      </c>
      <c r="M28" s="451">
        <v>229</v>
      </c>
      <c r="N28" s="451">
        <v>85</v>
      </c>
      <c r="O28" s="353">
        <v>25</v>
      </c>
      <c r="P28" s="353">
        <v>18</v>
      </c>
      <c r="Q28" s="353">
        <v>238.45</v>
      </c>
      <c r="R28" s="37"/>
      <c r="S28" s="508" t="str">
        <f t="shared" si="0"/>
        <v/>
      </c>
      <c r="T28" s="508"/>
      <c r="U28" s="508"/>
      <c r="V28" s="508"/>
      <c r="X28" s="45">
        <v>0.54166666666666696</v>
      </c>
      <c r="Y28" s="106"/>
      <c r="Z28" s="102"/>
      <c r="AA28" s="102"/>
      <c r="AB28" s="45" t="str">
        <f t="shared" si="18"/>
        <v/>
      </c>
      <c r="AC28" s="45" t="str">
        <f t="shared" si="1"/>
        <v/>
      </c>
      <c r="AD28" s="81"/>
      <c r="AE28" s="9" t="str">
        <f>IF(S28="","",IF(COUNTA(Z28:$Z$39)=1,IF(COUNTA(AD28:$AD$39)=1,""," ; "),IF(COUNTA(AD28:$AD$39)=1,IF(Z28="",""," ; ")," ; ")))</f>
        <v/>
      </c>
      <c r="AF28" s="9" t="str">
        <f t="shared" si="2"/>
        <v/>
      </c>
      <c r="AG28" s="90" t="str">
        <f t="shared" si="3"/>
        <v/>
      </c>
      <c r="AH28" s="204" t="s">
        <v>278</v>
      </c>
      <c r="AJ28" s="206">
        <f t="shared" si="19"/>
        <v>500</v>
      </c>
      <c r="AK28" s="206">
        <f t="shared" si="19"/>
        <v>100</v>
      </c>
      <c r="AL28" s="206">
        <f t="shared" si="19"/>
        <v>2</v>
      </c>
      <c r="AM28" s="213">
        <f t="shared" si="19"/>
        <v>0.875</v>
      </c>
      <c r="AN28" s="214">
        <f t="shared" si="19"/>
        <v>0.63607464142166403</v>
      </c>
      <c r="AO28" s="215">
        <f t="shared" si="4"/>
        <v>-14.7</v>
      </c>
      <c r="AP28" s="216">
        <f t="shared" si="5"/>
        <v>1</v>
      </c>
      <c r="AQ28" s="216">
        <f t="shared" si="6"/>
        <v>1</v>
      </c>
      <c r="AR28" s="215">
        <f t="shared" si="20"/>
        <v>158.47</v>
      </c>
      <c r="AS28" s="216">
        <f t="shared" si="7"/>
        <v>0.97679498379494789</v>
      </c>
      <c r="AT28" s="216">
        <f t="shared" si="8"/>
        <v>1.2538510821608391</v>
      </c>
      <c r="AU28" s="216">
        <f t="shared" si="9"/>
        <v>2.2360679774997898</v>
      </c>
      <c r="AV28" s="217">
        <f t="shared" si="10"/>
        <v>10.415801185754333</v>
      </c>
      <c r="AW28" s="216">
        <f t="shared" si="11"/>
        <v>0</v>
      </c>
      <c r="AX28" s="218">
        <f t="shared" si="12"/>
        <v>1.4696875479799241</v>
      </c>
      <c r="AY28" s="216">
        <f t="shared" si="13"/>
        <v>0.76851414128953044</v>
      </c>
      <c r="AZ28" s="217">
        <f t="shared" si="14"/>
        <v>3.5640070462657096</v>
      </c>
      <c r="BA28" s="216">
        <f t="shared" si="15"/>
        <v>0</v>
      </c>
      <c r="BB28" s="216">
        <f t="shared" si="16"/>
        <v>1.0084584063544275</v>
      </c>
      <c r="BC28" s="216">
        <f t="shared" si="17"/>
        <v>1</v>
      </c>
    </row>
    <row r="29" spans="1:55" ht="20.100000000000001" customHeight="1" x14ac:dyDescent="0.2">
      <c r="A29" s="45">
        <v>0.58333333333333304</v>
      </c>
      <c r="B29" s="451"/>
      <c r="C29" s="451"/>
      <c r="D29" s="451">
        <v>5.5</v>
      </c>
      <c r="E29" s="451">
        <v>62.9</v>
      </c>
      <c r="F29" s="41">
        <v>1943</v>
      </c>
      <c r="G29" s="37">
        <v>-5.5</v>
      </c>
      <c r="H29" s="37">
        <v>72.8</v>
      </c>
      <c r="I29" s="37">
        <v>22.4</v>
      </c>
      <c r="J29" s="41">
        <v>619</v>
      </c>
      <c r="K29" s="37">
        <v>13</v>
      </c>
      <c r="L29" s="451">
        <v>129</v>
      </c>
      <c r="M29" s="451">
        <v>227</v>
      </c>
      <c r="N29" s="451">
        <v>85</v>
      </c>
      <c r="O29" s="353">
        <v>40</v>
      </c>
      <c r="P29" s="353">
        <v>13</v>
      </c>
      <c r="Q29" s="353">
        <v>238.62</v>
      </c>
      <c r="R29" s="37"/>
      <c r="S29" s="508" t="str">
        <f t="shared" si="0"/>
        <v/>
      </c>
      <c r="T29" s="508"/>
      <c r="U29" s="508"/>
      <c r="V29" s="508"/>
      <c r="X29" s="45">
        <v>0.58333333333333304</v>
      </c>
      <c r="Y29" s="106"/>
      <c r="Z29" s="102"/>
      <c r="AA29" s="102"/>
      <c r="AB29" s="45" t="str">
        <f t="shared" si="18"/>
        <v/>
      </c>
      <c r="AC29" s="45" t="str">
        <f t="shared" si="1"/>
        <v/>
      </c>
      <c r="AD29" s="81"/>
      <c r="AE29" s="9" t="str">
        <f>IF(S29="","",IF(COUNTA(Z29:$Z$39)=1,IF(COUNTA(AD29:$AD$39)=1,""," ; "),IF(COUNTA(AD29:$AD$39)=1,IF(Z29="",""," ; ")," ; ")))</f>
        <v/>
      </c>
      <c r="AF29" s="9" t="str">
        <f t="shared" si="2"/>
        <v/>
      </c>
      <c r="AG29" s="90" t="str">
        <f t="shared" si="3"/>
        <v/>
      </c>
      <c r="AH29" s="204" t="s">
        <v>224</v>
      </c>
      <c r="AJ29" s="206">
        <f t="shared" si="19"/>
        <v>500</v>
      </c>
      <c r="AK29" s="206">
        <f t="shared" si="19"/>
        <v>100</v>
      </c>
      <c r="AL29" s="206">
        <f t="shared" si="19"/>
        <v>2</v>
      </c>
      <c r="AM29" s="213">
        <f t="shared" si="19"/>
        <v>0.875</v>
      </c>
      <c r="AN29" s="214">
        <f t="shared" si="19"/>
        <v>0.63607464142166403</v>
      </c>
      <c r="AO29" s="215">
        <f t="shared" si="4"/>
        <v>-14.7</v>
      </c>
      <c r="AP29" s="216">
        <f t="shared" si="5"/>
        <v>1</v>
      </c>
      <c r="AQ29" s="216">
        <f t="shared" si="6"/>
        <v>1</v>
      </c>
      <c r="AR29" s="215">
        <f t="shared" si="20"/>
        <v>158.47</v>
      </c>
      <c r="AS29" s="216">
        <f t="shared" si="7"/>
        <v>0.97679498379494789</v>
      </c>
      <c r="AT29" s="216">
        <f t="shared" si="8"/>
        <v>1.2538510821608391</v>
      </c>
      <c r="AU29" s="216">
        <f t="shared" si="9"/>
        <v>2.2360679774997898</v>
      </c>
      <c r="AV29" s="217">
        <f t="shared" si="10"/>
        <v>10.415801185754333</v>
      </c>
      <c r="AW29" s="216">
        <f t="shared" si="11"/>
        <v>0</v>
      </c>
      <c r="AX29" s="218">
        <f t="shared" si="12"/>
        <v>1.4696875479799241</v>
      </c>
      <c r="AY29" s="216">
        <f t="shared" si="13"/>
        <v>0.76851414128953044</v>
      </c>
      <c r="AZ29" s="217">
        <f t="shared" si="14"/>
        <v>3.5640070462657096</v>
      </c>
      <c r="BA29" s="216">
        <f t="shared" si="15"/>
        <v>0</v>
      </c>
      <c r="BB29" s="216">
        <f t="shared" si="16"/>
        <v>1.0084584063544275</v>
      </c>
      <c r="BC29" s="216">
        <f t="shared" si="17"/>
        <v>1</v>
      </c>
    </row>
    <row r="30" spans="1:55" ht="20.100000000000001" customHeight="1" x14ac:dyDescent="0.2">
      <c r="A30" s="45">
        <v>0.625</v>
      </c>
      <c r="B30" s="451"/>
      <c r="C30" s="451"/>
      <c r="D30" s="451">
        <v>5.6</v>
      </c>
      <c r="E30" s="451">
        <v>63.3</v>
      </c>
      <c r="F30" s="41">
        <v>1980</v>
      </c>
      <c r="G30" s="37">
        <v>-5.5</v>
      </c>
      <c r="H30" s="37">
        <v>72.3</v>
      </c>
      <c r="I30" s="37">
        <v>22.5</v>
      </c>
      <c r="J30" s="41">
        <v>620</v>
      </c>
      <c r="K30" s="37">
        <v>13</v>
      </c>
      <c r="L30" s="451">
        <v>126</v>
      </c>
      <c r="M30" s="451">
        <v>227</v>
      </c>
      <c r="N30" s="451">
        <v>85</v>
      </c>
      <c r="O30" s="353">
        <v>40</v>
      </c>
      <c r="P30" s="353">
        <v>12</v>
      </c>
      <c r="Q30" s="353">
        <v>229.34</v>
      </c>
      <c r="R30" s="37"/>
      <c r="S30" s="508" t="str">
        <f t="shared" si="0"/>
        <v/>
      </c>
      <c r="T30" s="508"/>
      <c r="U30" s="508"/>
      <c r="V30" s="508"/>
      <c r="X30" s="45">
        <v>0.625</v>
      </c>
      <c r="Y30" s="106"/>
      <c r="Z30" s="102"/>
      <c r="AA30" s="102"/>
      <c r="AB30" s="45" t="str">
        <f t="shared" si="18"/>
        <v/>
      </c>
      <c r="AC30" s="45" t="str">
        <f t="shared" si="1"/>
        <v/>
      </c>
      <c r="AD30" s="81"/>
      <c r="AE30" s="9" t="str">
        <f>IF(S30="","",IF(COUNTA(Z30:$Z$39)=1,IF(COUNTA(AD30:$AD$39)=1,""," ; "),IF(COUNTA(AD30:$AD$39)=1,IF(Z30="",""," ; ")," ; ")))</f>
        <v/>
      </c>
      <c r="AF30" s="9" t="str">
        <f t="shared" si="2"/>
        <v/>
      </c>
      <c r="AG30" s="90" t="str">
        <f t="shared" si="3"/>
        <v/>
      </c>
      <c r="AH30" s="204" t="s">
        <v>260</v>
      </c>
      <c r="AJ30" s="206">
        <f t="shared" si="19"/>
        <v>500</v>
      </c>
      <c r="AK30" s="206">
        <f t="shared" si="19"/>
        <v>100</v>
      </c>
      <c r="AL30" s="206">
        <f t="shared" si="19"/>
        <v>2</v>
      </c>
      <c r="AM30" s="213">
        <f t="shared" si="19"/>
        <v>0.875</v>
      </c>
      <c r="AN30" s="214">
        <f t="shared" si="19"/>
        <v>0.63607464142166403</v>
      </c>
      <c r="AO30" s="215">
        <f t="shared" si="4"/>
        <v>-14.7</v>
      </c>
      <c r="AP30" s="216">
        <f t="shared" si="5"/>
        <v>1</v>
      </c>
      <c r="AQ30" s="216">
        <f t="shared" si="6"/>
        <v>1</v>
      </c>
      <c r="AR30" s="215">
        <f t="shared" si="20"/>
        <v>158.47</v>
      </c>
      <c r="AS30" s="216">
        <f t="shared" si="7"/>
        <v>0.97679498379494789</v>
      </c>
      <c r="AT30" s="216">
        <f t="shared" si="8"/>
        <v>1.2538510821608391</v>
      </c>
      <c r="AU30" s="216">
        <f t="shared" si="9"/>
        <v>2.2360679774997898</v>
      </c>
      <c r="AV30" s="217">
        <f t="shared" si="10"/>
        <v>10.415801185754333</v>
      </c>
      <c r="AW30" s="216">
        <f t="shared" si="11"/>
        <v>0</v>
      </c>
      <c r="AX30" s="218">
        <f t="shared" si="12"/>
        <v>1.4696875479799241</v>
      </c>
      <c r="AY30" s="216">
        <f t="shared" si="13"/>
        <v>0.76851414128953044</v>
      </c>
      <c r="AZ30" s="217">
        <f t="shared" si="14"/>
        <v>3.5640070462657096</v>
      </c>
      <c r="BA30" s="216">
        <f t="shared" si="15"/>
        <v>0</v>
      </c>
      <c r="BB30" s="216">
        <f t="shared" si="16"/>
        <v>1.0084584063544275</v>
      </c>
      <c r="BC30" s="216">
        <f t="shared" si="17"/>
        <v>1</v>
      </c>
    </row>
    <row r="31" spans="1:55" ht="20.100000000000001" customHeight="1" x14ac:dyDescent="0.2">
      <c r="A31" s="45">
        <v>0.66666666666666696</v>
      </c>
      <c r="B31" s="451"/>
      <c r="C31" s="451"/>
      <c r="D31" s="451">
        <v>6.8</v>
      </c>
      <c r="E31" s="451">
        <v>66.3</v>
      </c>
      <c r="F31" s="41">
        <v>1973</v>
      </c>
      <c r="G31" s="37">
        <v>-5.5</v>
      </c>
      <c r="H31" s="37">
        <v>72</v>
      </c>
      <c r="I31" s="37">
        <v>22.3</v>
      </c>
      <c r="J31" s="41">
        <v>621</v>
      </c>
      <c r="K31" s="37">
        <v>13</v>
      </c>
      <c r="L31" s="451">
        <v>126</v>
      </c>
      <c r="M31" s="451">
        <v>228</v>
      </c>
      <c r="N31" s="451">
        <v>85</v>
      </c>
      <c r="O31" s="353">
        <v>40</v>
      </c>
      <c r="P31" s="353">
        <v>12</v>
      </c>
      <c r="Q31" s="353">
        <v>229.34</v>
      </c>
      <c r="R31" s="37"/>
      <c r="S31" s="508" t="str">
        <f t="shared" si="0"/>
        <v/>
      </c>
      <c r="T31" s="508"/>
      <c r="U31" s="508"/>
      <c r="V31" s="508"/>
      <c r="X31" s="45">
        <v>0.66666666666666696</v>
      </c>
      <c r="Y31" s="106"/>
      <c r="Z31" s="102"/>
      <c r="AA31" s="102"/>
      <c r="AB31" s="45" t="str">
        <f t="shared" si="18"/>
        <v/>
      </c>
      <c r="AC31" s="45" t="str">
        <f t="shared" si="1"/>
        <v/>
      </c>
      <c r="AD31" s="81"/>
      <c r="AE31" s="9" t="str">
        <f>IF(S31="","",IF(COUNTA(Z31:$Z$39)=1,IF(COUNTA(AD31:$AD$39)=1,""," ; "),IF(COUNTA(AD31:$AD$39)=1,IF(Z31="",""," ; ")," ; ")))</f>
        <v/>
      </c>
      <c r="AF31" s="9" t="str">
        <f t="shared" si="2"/>
        <v/>
      </c>
      <c r="AG31" s="90" t="str">
        <f t="shared" si="3"/>
        <v/>
      </c>
      <c r="AH31" s="204" t="s">
        <v>226</v>
      </c>
      <c r="AJ31" s="206">
        <f t="shared" si="19"/>
        <v>500</v>
      </c>
      <c r="AK31" s="206">
        <f t="shared" si="19"/>
        <v>100</v>
      </c>
      <c r="AL31" s="206">
        <f t="shared" si="19"/>
        <v>2</v>
      </c>
      <c r="AM31" s="213">
        <f t="shared" si="19"/>
        <v>0.875</v>
      </c>
      <c r="AN31" s="214">
        <f t="shared" si="19"/>
        <v>0.63607464142166403</v>
      </c>
      <c r="AO31" s="215">
        <f t="shared" si="4"/>
        <v>-14.7</v>
      </c>
      <c r="AP31" s="216">
        <f t="shared" si="5"/>
        <v>1</v>
      </c>
      <c r="AQ31" s="216">
        <f t="shared" si="6"/>
        <v>1</v>
      </c>
      <c r="AR31" s="215">
        <f t="shared" si="20"/>
        <v>158.47</v>
      </c>
      <c r="AS31" s="216">
        <f t="shared" si="7"/>
        <v>0.97679498379494789</v>
      </c>
      <c r="AT31" s="216">
        <f t="shared" si="8"/>
        <v>1.2538510821608391</v>
      </c>
      <c r="AU31" s="216">
        <f t="shared" si="9"/>
        <v>2.2360679774997898</v>
      </c>
      <c r="AV31" s="217">
        <f t="shared" si="10"/>
        <v>10.415801185754333</v>
      </c>
      <c r="AW31" s="216">
        <f t="shared" si="11"/>
        <v>0</v>
      </c>
      <c r="AX31" s="218">
        <f t="shared" si="12"/>
        <v>1.4696875479799241</v>
      </c>
      <c r="AY31" s="216">
        <f t="shared" si="13"/>
        <v>0.76851414128953044</v>
      </c>
      <c r="AZ31" s="217">
        <f t="shared" si="14"/>
        <v>3.5640070462657096</v>
      </c>
      <c r="BA31" s="216">
        <f t="shared" si="15"/>
        <v>0</v>
      </c>
      <c r="BB31" s="216">
        <f t="shared" si="16"/>
        <v>1.0084584063544275</v>
      </c>
      <c r="BC31" s="216">
        <f t="shared" si="17"/>
        <v>1</v>
      </c>
    </row>
    <row r="32" spans="1:55" ht="20.100000000000001" customHeight="1" x14ac:dyDescent="0.2">
      <c r="A32" s="45">
        <v>0.70833333333333304</v>
      </c>
      <c r="B32" s="451"/>
      <c r="C32" s="451"/>
      <c r="D32" s="451">
        <v>6.3</v>
      </c>
      <c r="E32" s="451">
        <v>66.400000000000006</v>
      </c>
      <c r="F32" s="41">
        <v>1981</v>
      </c>
      <c r="G32" s="37">
        <v>-5.5</v>
      </c>
      <c r="H32" s="37">
        <v>72.5</v>
      </c>
      <c r="I32" s="37">
        <v>22.6</v>
      </c>
      <c r="J32" s="41">
        <v>622</v>
      </c>
      <c r="K32" s="37">
        <v>13</v>
      </c>
      <c r="L32" s="451">
        <v>128</v>
      </c>
      <c r="M32" s="451">
        <v>228</v>
      </c>
      <c r="N32" s="451">
        <v>85</v>
      </c>
      <c r="O32" s="353">
        <v>40</v>
      </c>
      <c r="P32" s="353">
        <v>12</v>
      </c>
      <c r="Q32" s="353">
        <v>229.34</v>
      </c>
      <c r="R32" s="37"/>
      <c r="S32" s="508" t="str">
        <f t="shared" si="0"/>
        <v/>
      </c>
      <c r="T32" s="508"/>
      <c r="U32" s="508"/>
      <c r="V32" s="508"/>
      <c r="X32" s="45">
        <v>0.70833333333333304</v>
      </c>
      <c r="Y32" s="106"/>
      <c r="Z32" s="102"/>
      <c r="AA32" s="102"/>
      <c r="AB32" s="45" t="str">
        <f t="shared" si="18"/>
        <v/>
      </c>
      <c r="AC32" s="45" t="str">
        <f t="shared" si="1"/>
        <v/>
      </c>
      <c r="AD32" s="81"/>
      <c r="AE32" s="9" t="str">
        <f>IF(S32="","",IF(COUNTA(Z32:$Z$39)=1,IF(COUNTA(AD32:$AD$39)=1,""," ; "),IF(COUNTA(AD32:$AD$39)=1,IF(Z32="",""," ; ")," ; ")))</f>
        <v/>
      </c>
      <c r="AF32" s="9" t="str">
        <f t="shared" si="2"/>
        <v/>
      </c>
      <c r="AG32" s="90" t="str">
        <f t="shared" si="3"/>
        <v/>
      </c>
      <c r="AH32" s="204" t="s">
        <v>313</v>
      </c>
      <c r="AJ32" s="206">
        <f t="shared" si="19"/>
        <v>500</v>
      </c>
      <c r="AK32" s="206">
        <f t="shared" si="19"/>
        <v>100</v>
      </c>
      <c r="AL32" s="206">
        <f t="shared" si="19"/>
        <v>2</v>
      </c>
      <c r="AM32" s="213">
        <f t="shared" si="19"/>
        <v>0.875</v>
      </c>
      <c r="AN32" s="214">
        <f t="shared" si="19"/>
        <v>0.63607464142166403</v>
      </c>
      <c r="AO32" s="215">
        <f t="shared" si="4"/>
        <v>-14.7</v>
      </c>
      <c r="AP32" s="216">
        <f t="shared" si="5"/>
        <v>1</v>
      </c>
      <c r="AQ32" s="216">
        <f t="shared" si="6"/>
        <v>1</v>
      </c>
      <c r="AR32" s="215">
        <f t="shared" si="20"/>
        <v>158.47</v>
      </c>
      <c r="AS32" s="216">
        <f t="shared" si="7"/>
        <v>0.97679498379494789</v>
      </c>
      <c r="AT32" s="216">
        <f t="shared" si="8"/>
        <v>1.2538510821608391</v>
      </c>
      <c r="AU32" s="216">
        <f t="shared" si="9"/>
        <v>2.2360679774997898</v>
      </c>
      <c r="AV32" s="217">
        <f t="shared" si="10"/>
        <v>10.415801185754333</v>
      </c>
      <c r="AW32" s="216">
        <f t="shared" si="11"/>
        <v>0</v>
      </c>
      <c r="AX32" s="218">
        <f t="shared" si="12"/>
        <v>1.4696875479799241</v>
      </c>
      <c r="AY32" s="216">
        <f t="shared" si="13"/>
        <v>0.76851414128953044</v>
      </c>
      <c r="AZ32" s="217">
        <f t="shared" si="14"/>
        <v>3.5640070462657096</v>
      </c>
      <c r="BA32" s="216">
        <f t="shared" si="15"/>
        <v>0</v>
      </c>
      <c r="BB32" s="216">
        <f t="shared" si="16"/>
        <v>1.0084584063544275</v>
      </c>
      <c r="BC32" s="216">
        <f t="shared" si="17"/>
        <v>1</v>
      </c>
    </row>
    <row r="33" spans="1:55" ht="20.100000000000001" customHeight="1" x14ac:dyDescent="0.2">
      <c r="A33" s="45">
        <v>0.75</v>
      </c>
      <c r="B33" s="451"/>
      <c r="C33" s="451"/>
      <c r="D33" s="451">
        <v>6.4</v>
      </c>
      <c r="E33" s="451">
        <v>66.099999999999994</v>
      </c>
      <c r="F33" s="41">
        <v>1930</v>
      </c>
      <c r="G33" s="37">
        <v>-5.5</v>
      </c>
      <c r="H33" s="37">
        <v>72.099999999999994</v>
      </c>
      <c r="I33" s="37">
        <v>22.5</v>
      </c>
      <c r="J33" s="41">
        <v>623</v>
      </c>
      <c r="K33" s="37">
        <v>13</v>
      </c>
      <c r="L33" s="451">
        <v>128</v>
      </c>
      <c r="M33" s="451">
        <v>229</v>
      </c>
      <c r="N33" s="451">
        <v>85</v>
      </c>
      <c r="O33" s="353">
        <v>40</v>
      </c>
      <c r="P33" s="353">
        <v>13</v>
      </c>
      <c r="Q33" s="353">
        <v>238.62</v>
      </c>
      <c r="R33" s="37"/>
      <c r="S33" s="508" t="str">
        <f>IF(Z33="",IF(AD33="","",AD33),CONCATENATE(TEXT(Z33,"[hh]:mm"),IF(AA33="",""," - "&amp;TEXT(AA33,"[hh]:mm")),IF(Y33="",""," "&amp;Y33&amp;"/")," "&amp;AD33))</f>
        <v/>
      </c>
      <c r="T33" s="508"/>
      <c r="U33" s="508"/>
      <c r="V33" s="508"/>
      <c r="X33" s="45">
        <v>0.75</v>
      </c>
      <c r="Y33" s="106"/>
      <c r="Z33" s="102"/>
      <c r="AA33" s="102"/>
      <c r="AB33" s="45" t="str">
        <f t="shared" si="18"/>
        <v/>
      </c>
      <c r="AC33" s="45" t="str">
        <f t="shared" si="1"/>
        <v/>
      </c>
      <c r="AD33" s="81"/>
      <c r="AE33" s="9" t="str">
        <f>IF(S33="","",IF(COUNTA(Z33:$Z$39)=1,IF(COUNTA(AD33:$AD$39)=1,""," ; "),IF(COUNTA(AD33:$AD$39)=1,IF(Z33="",""," ; ")," ; ")))</f>
        <v/>
      </c>
      <c r="AF33" s="9" t="str">
        <f t="shared" si="2"/>
        <v/>
      </c>
      <c r="AG33" s="90" t="str">
        <f t="shared" si="3"/>
        <v/>
      </c>
      <c r="AH33" s="204" t="s">
        <v>308</v>
      </c>
      <c r="AJ33" s="206">
        <f t="shared" ref="AJ33:AN39" si="21">AJ32</f>
        <v>500</v>
      </c>
      <c r="AK33" s="206">
        <f t="shared" si="21"/>
        <v>100</v>
      </c>
      <c r="AL33" s="206">
        <f t="shared" si="21"/>
        <v>2</v>
      </c>
      <c r="AM33" s="213">
        <f t="shared" si="21"/>
        <v>0.875</v>
      </c>
      <c r="AN33" s="214">
        <f t="shared" si="21"/>
        <v>0.63607464142166403</v>
      </c>
      <c r="AO33" s="215">
        <f t="shared" si="4"/>
        <v>-14.7</v>
      </c>
      <c r="AP33" s="216">
        <f t="shared" si="5"/>
        <v>1</v>
      </c>
      <c r="AQ33" s="216">
        <f t="shared" si="6"/>
        <v>1</v>
      </c>
      <c r="AR33" s="215">
        <f t="shared" si="20"/>
        <v>158.47</v>
      </c>
      <c r="AS33" s="216">
        <f t="shared" si="7"/>
        <v>0.97679498379494789</v>
      </c>
      <c r="AT33" s="216">
        <f t="shared" si="8"/>
        <v>1.2538510821608391</v>
      </c>
      <c r="AU33" s="216">
        <f t="shared" si="9"/>
        <v>2.2360679774997898</v>
      </c>
      <c r="AV33" s="217">
        <f t="shared" si="10"/>
        <v>10.415801185754333</v>
      </c>
      <c r="AW33" s="216">
        <f t="shared" si="11"/>
        <v>0</v>
      </c>
      <c r="AX33" s="218">
        <f t="shared" si="12"/>
        <v>1.4696875479799241</v>
      </c>
      <c r="AY33" s="216">
        <f t="shared" si="13"/>
        <v>0.76851414128953044</v>
      </c>
      <c r="AZ33" s="217">
        <f t="shared" si="14"/>
        <v>3.5640070462657096</v>
      </c>
      <c r="BA33" s="216">
        <f t="shared" si="15"/>
        <v>0</v>
      </c>
      <c r="BB33" s="216">
        <f t="shared" si="16"/>
        <v>1.0084584063544275</v>
      </c>
      <c r="BC33" s="216">
        <f t="shared" si="17"/>
        <v>1</v>
      </c>
    </row>
    <row r="34" spans="1:55" ht="20.100000000000001" customHeight="1" x14ac:dyDescent="0.2">
      <c r="A34" s="45">
        <v>0.79166666666666696</v>
      </c>
      <c r="B34" s="451"/>
      <c r="C34" s="451"/>
      <c r="D34" s="451">
        <v>6.4</v>
      </c>
      <c r="E34" s="451">
        <v>65.3</v>
      </c>
      <c r="F34" s="41">
        <v>1939</v>
      </c>
      <c r="G34" s="37">
        <v>-5.5</v>
      </c>
      <c r="H34" s="37">
        <v>72.2</v>
      </c>
      <c r="I34" s="37">
        <v>22.8</v>
      </c>
      <c r="J34" s="41">
        <v>624</v>
      </c>
      <c r="K34" s="37">
        <v>13</v>
      </c>
      <c r="L34" s="451">
        <v>129</v>
      </c>
      <c r="M34" s="451">
        <v>229</v>
      </c>
      <c r="N34" s="451">
        <v>85</v>
      </c>
      <c r="O34" s="353">
        <v>40</v>
      </c>
      <c r="P34" s="353">
        <v>12</v>
      </c>
      <c r="Q34" s="353">
        <v>229.34</v>
      </c>
      <c r="R34" s="37"/>
      <c r="S34" s="508" t="str">
        <f t="shared" ref="S34:S39" si="22">IF(Z34="",IF(AD34="","",AD34),CONCATENATE(TEXT(Z34,"[hh]:mm"),IF(AA34="",""," - "&amp;TEXT(AA34,"[hh]:mm")),IF(Y34="",""," "&amp;Y34&amp;"/")," "&amp;AD34))</f>
        <v/>
      </c>
      <c r="T34" s="508"/>
      <c r="U34" s="508"/>
      <c r="V34" s="508"/>
      <c r="X34" s="45">
        <v>0.79166666666666696</v>
      </c>
      <c r="Y34" s="106"/>
      <c r="Z34" s="102"/>
      <c r="AA34" s="102"/>
      <c r="AB34" s="45" t="str">
        <f t="shared" si="18"/>
        <v/>
      </c>
      <c r="AC34" s="45" t="str">
        <f t="shared" si="1"/>
        <v/>
      </c>
      <c r="AD34" s="81"/>
      <c r="AE34" s="9" t="str">
        <f>IF(S34="","",IF(COUNTA(Z34:$Z$39)=1,IF(COUNTA(AD34:$AD$39)=1,""," ; "),IF(COUNTA(AD34:$AD$39)=1,IF(Z34="",""," ; ")," ; ")))</f>
        <v/>
      </c>
      <c r="AF34" s="9" t="str">
        <f t="shared" si="2"/>
        <v/>
      </c>
      <c r="AG34" s="90" t="str">
        <f t="shared" si="3"/>
        <v/>
      </c>
      <c r="AH34" s="204" t="s">
        <v>314</v>
      </c>
      <c r="AJ34" s="206">
        <f t="shared" si="21"/>
        <v>500</v>
      </c>
      <c r="AK34" s="206">
        <f t="shared" si="21"/>
        <v>100</v>
      </c>
      <c r="AL34" s="206">
        <f t="shared" si="21"/>
        <v>2</v>
      </c>
      <c r="AM34" s="213">
        <f t="shared" si="21"/>
        <v>0.875</v>
      </c>
      <c r="AN34" s="214">
        <f t="shared" si="21"/>
        <v>0.63607464142166403</v>
      </c>
      <c r="AO34" s="215">
        <f t="shared" si="4"/>
        <v>-14.7</v>
      </c>
      <c r="AP34" s="216">
        <f t="shared" si="5"/>
        <v>1</v>
      </c>
      <c r="AQ34" s="216">
        <f t="shared" si="6"/>
        <v>1</v>
      </c>
      <c r="AR34" s="215">
        <f t="shared" si="20"/>
        <v>158.47</v>
      </c>
      <c r="AS34" s="216">
        <f t="shared" si="7"/>
        <v>0.97679498379494789</v>
      </c>
      <c r="AT34" s="216">
        <f t="shared" si="8"/>
        <v>1.2538510821608391</v>
      </c>
      <c r="AU34" s="216">
        <f t="shared" si="9"/>
        <v>2.2360679774997898</v>
      </c>
      <c r="AV34" s="217">
        <f t="shared" si="10"/>
        <v>10.415801185754333</v>
      </c>
      <c r="AW34" s="216">
        <f t="shared" si="11"/>
        <v>0</v>
      </c>
      <c r="AX34" s="218">
        <f t="shared" si="12"/>
        <v>1.4696875479799241</v>
      </c>
      <c r="AY34" s="216">
        <f t="shared" si="13"/>
        <v>0.76851414128953044</v>
      </c>
      <c r="AZ34" s="217">
        <f t="shared" si="14"/>
        <v>3.5640070462657096</v>
      </c>
      <c r="BA34" s="216">
        <f t="shared" si="15"/>
        <v>0</v>
      </c>
      <c r="BB34" s="216">
        <f t="shared" si="16"/>
        <v>1.0084584063544275</v>
      </c>
      <c r="BC34" s="216">
        <f t="shared" si="17"/>
        <v>1</v>
      </c>
    </row>
    <row r="35" spans="1:55" ht="20.100000000000001" customHeight="1" x14ac:dyDescent="0.2">
      <c r="A35" s="45">
        <v>0.83333333333333304</v>
      </c>
      <c r="B35" s="451"/>
      <c r="C35" s="451"/>
      <c r="D35" s="451">
        <v>6.2</v>
      </c>
      <c r="E35" s="451">
        <v>64.7</v>
      </c>
      <c r="F35" s="41">
        <v>1966</v>
      </c>
      <c r="G35" s="37">
        <v>-5.5</v>
      </c>
      <c r="H35" s="37">
        <v>72.099999999999994</v>
      </c>
      <c r="I35" s="37">
        <v>22.7</v>
      </c>
      <c r="J35" s="41">
        <v>625</v>
      </c>
      <c r="K35" s="37">
        <v>13</v>
      </c>
      <c r="L35" s="451">
        <v>130</v>
      </c>
      <c r="M35" s="451">
        <v>228</v>
      </c>
      <c r="N35" s="451">
        <v>85</v>
      </c>
      <c r="O35" s="353">
        <v>40</v>
      </c>
      <c r="P35" s="353">
        <v>12</v>
      </c>
      <c r="Q35" s="353">
        <v>229.34</v>
      </c>
      <c r="R35" s="37"/>
      <c r="S35" s="508" t="str">
        <f t="shared" si="22"/>
        <v/>
      </c>
      <c r="T35" s="508"/>
      <c r="U35" s="508"/>
      <c r="V35" s="508"/>
      <c r="X35" s="45">
        <v>0.83333333333333304</v>
      </c>
      <c r="Y35" s="106"/>
      <c r="Z35" s="102"/>
      <c r="AA35" s="102"/>
      <c r="AB35" s="45" t="str">
        <f t="shared" si="18"/>
        <v/>
      </c>
      <c r="AC35" s="45" t="str">
        <f t="shared" si="1"/>
        <v/>
      </c>
      <c r="AD35" s="81"/>
      <c r="AE35" s="9" t="str">
        <f>IF(S35="","",IF(COUNTA(Z35:$Z$39)=1,IF(COUNTA(AD35:$AD$39)=1,""," ; "),IF(COUNTA(AD35:$AD$39)=1,IF(Z35="",""," ; ")," ; ")))</f>
        <v/>
      </c>
      <c r="AF35" s="9" t="str">
        <f t="shared" si="2"/>
        <v/>
      </c>
      <c r="AG35" s="90" t="str">
        <f t="shared" si="3"/>
        <v/>
      </c>
      <c r="AH35" s="204" t="s">
        <v>227</v>
      </c>
      <c r="AJ35" s="206">
        <f t="shared" si="21"/>
        <v>500</v>
      </c>
      <c r="AK35" s="206">
        <f t="shared" si="21"/>
        <v>100</v>
      </c>
      <c r="AL35" s="206">
        <f t="shared" si="21"/>
        <v>2</v>
      </c>
      <c r="AM35" s="213">
        <f t="shared" si="21"/>
        <v>0.875</v>
      </c>
      <c r="AN35" s="214">
        <f t="shared" si="21"/>
        <v>0.63607464142166403</v>
      </c>
      <c r="AO35" s="215">
        <f t="shared" si="4"/>
        <v>-14.7</v>
      </c>
      <c r="AP35" s="216">
        <f t="shared" si="5"/>
        <v>1</v>
      </c>
      <c r="AQ35" s="216">
        <f t="shared" si="6"/>
        <v>1</v>
      </c>
      <c r="AR35" s="215">
        <f t="shared" si="20"/>
        <v>158.47</v>
      </c>
      <c r="AS35" s="216">
        <f t="shared" si="7"/>
        <v>0.97679498379494789</v>
      </c>
      <c r="AT35" s="216">
        <f t="shared" si="8"/>
        <v>1.2538510821608391</v>
      </c>
      <c r="AU35" s="216">
        <f t="shared" si="9"/>
        <v>2.2360679774997898</v>
      </c>
      <c r="AV35" s="217">
        <f t="shared" si="10"/>
        <v>10.415801185754333</v>
      </c>
      <c r="AW35" s="216">
        <f t="shared" si="11"/>
        <v>0</v>
      </c>
      <c r="AX35" s="218">
        <f t="shared" si="12"/>
        <v>1.4696875479799241</v>
      </c>
      <c r="AY35" s="216">
        <f t="shared" si="13"/>
        <v>0.76851414128953044</v>
      </c>
      <c r="AZ35" s="217">
        <f t="shared" si="14"/>
        <v>3.5640070462657096</v>
      </c>
      <c r="BA35" s="216">
        <f t="shared" si="15"/>
        <v>0</v>
      </c>
      <c r="BB35" s="216">
        <f t="shared" si="16"/>
        <v>1.0084584063544275</v>
      </c>
      <c r="BC35" s="216">
        <f t="shared" si="17"/>
        <v>1</v>
      </c>
    </row>
    <row r="36" spans="1:55" ht="20.100000000000001" customHeight="1" x14ac:dyDescent="0.2">
      <c r="A36" s="45">
        <v>0.875</v>
      </c>
      <c r="B36" s="451"/>
      <c r="C36" s="451"/>
      <c r="D36" s="451">
        <v>6.8</v>
      </c>
      <c r="E36" s="451">
        <v>63</v>
      </c>
      <c r="F36" s="41">
        <v>1941</v>
      </c>
      <c r="G36" s="37">
        <v>-5.5</v>
      </c>
      <c r="H36" s="37">
        <v>72.8</v>
      </c>
      <c r="I36" s="37">
        <v>22</v>
      </c>
      <c r="J36" s="41">
        <v>626</v>
      </c>
      <c r="K36" s="37">
        <v>13</v>
      </c>
      <c r="L36" s="451">
        <v>127</v>
      </c>
      <c r="M36" s="451">
        <v>227</v>
      </c>
      <c r="N36" s="451">
        <v>85</v>
      </c>
      <c r="O36" s="353">
        <v>40</v>
      </c>
      <c r="P36" s="353">
        <v>12</v>
      </c>
      <c r="Q36" s="353">
        <v>229.34</v>
      </c>
      <c r="R36" s="37"/>
      <c r="S36" s="508" t="str">
        <f t="shared" si="22"/>
        <v/>
      </c>
      <c r="T36" s="508"/>
      <c r="U36" s="508"/>
      <c r="V36" s="508"/>
      <c r="X36" s="45">
        <v>0.875</v>
      </c>
      <c r="Y36" s="106"/>
      <c r="Z36" s="102"/>
      <c r="AA36" s="102"/>
      <c r="AB36" s="45" t="str">
        <f t="shared" si="18"/>
        <v/>
      </c>
      <c r="AC36" s="45" t="str">
        <f t="shared" si="1"/>
        <v/>
      </c>
      <c r="AD36" s="81"/>
      <c r="AE36" s="9" t="str">
        <f>IF(S36="","",IF(COUNTA(Z36:$Z$39)=1,IF(COUNTA(AD36:$AD$39)=1,""," ; "),IF(COUNTA(AD36:$AD$39)=1,IF(Z36="",""," ; ")," ; ")))</f>
        <v/>
      </c>
      <c r="AF36" s="9" t="str">
        <f t="shared" si="2"/>
        <v/>
      </c>
      <c r="AG36" s="90" t="str">
        <f t="shared" si="3"/>
        <v/>
      </c>
      <c r="AH36" s="204" t="s">
        <v>309</v>
      </c>
      <c r="AJ36" s="206">
        <f t="shared" si="21"/>
        <v>500</v>
      </c>
      <c r="AK36" s="206">
        <f t="shared" si="21"/>
        <v>100</v>
      </c>
      <c r="AL36" s="206">
        <f t="shared" si="21"/>
        <v>2</v>
      </c>
      <c r="AM36" s="213">
        <f t="shared" si="21"/>
        <v>0.875</v>
      </c>
      <c r="AN36" s="214">
        <f t="shared" si="21"/>
        <v>0.63607464142166403</v>
      </c>
      <c r="AO36" s="215">
        <f t="shared" si="4"/>
        <v>-14.7</v>
      </c>
      <c r="AP36" s="216">
        <f t="shared" si="5"/>
        <v>1</v>
      </c>
      <c r="AQ36" s="216">
        <f t="shared" si="6"/>
        <v>1</v>
      </c>
      <c r="AR36" s="215">
        <f t="shared" si="20"/>
        <v>158.47</v>
      </c>
      <c r="AS36" s="216">
        <f t="shared" si="7"/>
        <v>0.97679498379494789</v>
      </c>
      <c r="AT36" s="216">
        <f t="shared" si="8"/>
        <v>1.2538510821608391</v>
      </c>
      <c r="AU36" s="216">
        <f t="shared" si="9"/>
        <v>2.2360679774997898</v>
      </c>
      <c r="AV36" s="217">
        <f t="shared" si="10"/>
        <v>10.415801185754333</v>
      </c>
      <c r="AW36" s="216">
        <f t="shared" si="11"/>
        <v>0</v>
      </c>
      <c r="AX36" s="218">
        <f t="shared" si="12"/>
        <v>1.4696875479799241</v>
      </c>
      <c r="AY36" s="216">
        <f t="shared" si="13"/>
        <v>0.76851414128953044</v>
      </c>
      <c r="AZ36" s="217">
        <f t="shared" si="14"/>
        <v>3.5640070462657096</v>
      </c>
      <c r="BA36" s="216">
        <f t="shared" si="15"/>
        <v>0</v>
      </c>
      <c r="BB36" s="216">
        <f t="shared" si="16"/>
        <v>1.0084584063544275</v>
      </c>
      <c r="BC36" s="216">
        <f t="shared" si="17"/>
        <v>1</v>
      </c>
    </row>
    <row r="37" spans="1:55" ht="20.100000000000001" customHeight="1" x14ac:dyDescent="0.2">
      <c r="A37" s="45">
        <v>0.91666666666666696</v>
      </c>
      <c r="B37" s="451"/>
      <c r="C37" s="451"/>
      <c r="D37" s="451">
        <v>6.2</v>
      </c>
      <c r="E37" s="451">
        <v>63.6</v>
      </c>
      <c r="F37" s="41">
        <v>1955</v>
      </c>
      <c r="G37" s="37">
        <v>-5.5</v>
      </c>
      <c r="H37" s="37">
        <v>72.400000000000006</v>
      </c>
      <c r="I37" s="37">
        <v>22.3</v>
      </c>
      <c r="J37" s="41">
        <v>627</v>
      </c>
      <c r="K37" s="37">
        <v>13</v>
      </c>
      <c r="L37" s="451">
        <v>126</v>
      </c>
      <c r="M37" s="451">
        <v>227</v>
      </c>
      <c r="N37" s="451">
        <v>85</v>
      </c>
      <c r="O37" s="353">
        <v>40</v>
      </c>
      <c r="P37" s="353">
        <v>12</v>
      </c>
      <c r="Q37" s="353">
        <v>229.34</v>
      </c>
      <c r="R37" s="37"/>
      <c r="S37" s="508" t="str">
        <f t="shared" si="22"/>
        <v/>
      </c>
      <c r="T37" s="508"/>
      <c r="U37" s="508"/>
      <c r="V37" s="508"/>
      <c r="X37" s="45">
        <v>0.91666666666666696</v>
      </c>
      <c r="Y37" s="106"/>
      <c r="Z37" s="102"/>
      <c r="AA37" s="102"/>
      <c r="AB37" s="45" t="str">
        <f t="shared" si="18"/>
        <v/>
      </c>
      <c r="AC37" s="45" t="str">
        <f t="shared" si="1"/>
        <v/>
      </c>
      <c r="AD37" s="81"/>
      <c r="AE37" s="9" t="str">
        <f>IF(S37="","",IF(COUNTA(Z37:$Z$39)=1,IF(COUNTA(AD37:$AD$39)=1,""," ; "),IF(COUNTA(AD37:$AD$39)=1,IF(Z37="",""," ; ")," ; ")))</f>
        <v/>
      </c>
      <c r="AF37" s="9" t="str">
        <f t="shared" si="2"/>
        <v/>
      </c>
      <c r="AG37" s="90" t="str">
        <f t="shared" si="3"/>
        <v/>
      </c>
      <c r="AH37" s="204" t="s">
        <v>319</v>
      </c>
      <c r="AJ37" s="206">
        <f t="shared" si="21"/>
        <v>500</v>
      </c>
      <c r="AK37" s="206">
        <f t="shared" si="21"/>
        <v>100</v>
      </c>
      <c r="AL37" s="206">
        <f t="shared" si="21"/>
        <v>2</v>
      </c>
      <c r="AM37" s="213">
        <f t="shared" si="21"/>
        <v>0.875</v>
      </c>
      <c r="AN37" s="214">
        <f t="shared" si="21"/>
        <v>0.63607464142166403</v>
      </c>
      <c r="AO37" s="215">
        <f t="shared" si="4"/>
        <v>-14.7</v>
      </c>
      <c r="AP37" s="216">
        <f t="shared" si="5"/>
        <v>1</v>
      </c>
      <c r="AQ37" s="216">
        <f t="shared" si="6"/>
        <v>1</v>
      </c>
      <c r="AR37" s="215">
        <f t="shared" si="20"/>
        <v>158.47</v>
      </c>
      <c r="AS37" s="216">
        <f t="shared" si="7"/>
        <v>0.97679498379494789</v>
      </c>
      <c r="AT37" s="216">
        <f t="shared" si="8"/>
        <v>1.2538510821608391</v>
      </c>
      <c r="AU37" s="216">
        <f t="shared" si="9"/>
        <v>2.2360679774997898</v>
      </c>
      <c r="AV37" s="217">
        <f t="shared" si="10"/>
        <v>10.415801185754333</v>
      </c>
      <c r="AW37" s="216">
        <f t="shared" si="11"/>
        <v>0</v>
      </c>
      <c r="AX37" s="218">
        <f t="shared" si="12"/>
        <v>1.4696875479799241</v>
      </c>
      <c r="AY37" s="216">
        <f t="shared" si="13"/>
        <v>0.76851414128953044</v>
      </c>
      <c r="AZ37" s="217">
        <f t="shared" si="14"/>
        <v>3.5640070462657096</v>
      </c>
      <c r="BA37" s="216">
        <f t="shared" si="15"/>
        <v>0</v>
      </c>
      <c r="BB37" s="216">
        <f t="shared" si="16"/>
        <v>1.0084584063544275</v>
      </c>
      <c r="BC37" s="216">
        <f t="shared" si="17"/>
        <v>1</v>
      </c>
    </row>
    <row r="38" spans="1:55" ht="20.100000000000001" customHeight="1" x14ac:dyDescent="0.2">
      <c r="A38" s="45">
        <v>0.95833333333333304</v>
      </c>
      <c r="B38" s="451"/>
      <c r="C38" s="451"/>
      <c r="D38" s="451">
        <v>6</v>
      </c>
      <c r="E38" s="451">
        <v>63.1</v>
      </c>
      <c r="F38" s="41">
        <v>1963</v>
      </c>
      <c r="G38" s="37">
        <v>-5.5</v>
      </c>
      <c r="H38" s="37">
        <v>72</v>
      </c>
      <c r="I38" s="37">
        <v>22.8</v>
      </c>
      <c r="J38" s="41">
        <v>628</v>
      </c>
      <c r="K38" s="37">
        <v>13</v>
      </c>
      <c r="L38" s="451">
        <v>126</v>
      </c>
      <c r="M38" s="451">
        <v>226</v>
      </c>
      <c r="N38" s="451">
        <v>85</v>
      </c>
      <c r="O38" s="353">
        <v>40</v>
      </c>
      <c r="P38" s="353">
        <v>12</v>
      </c>
      <c r="Q38" s="353">
        <v>229.34</v>
      </c>
      <c r="R38" s="37"/>
      <c r="S38" s="508" t="str">
        <f t="shared" si="22"/>
        <v/>
      </c>
      <c r="T38" s="508"/>
      <c r="U38" s="508"/>
      <c r="V38" s="508"/>
      <c r="X38" s="45">
        <v>0.95833333333333304</v>
      </c>
      <c r="Y38" s="106"/>
      <c r="Z38" s="102"/>
      <c r="AA38" s="102"/>
      <c r="AB38" s="45" t="str">
        <f t="shared" si="18"/>
        <v/>
      </c>
      <c r="AC38" s="45" t="str">
        <f t="shared" si="1"/>
        <v/>
      </c>
      <c r="AD38" s="81"/>
      <c r="AE38" s="9" t="str">
        <f>IF(S38="","",IF(COUNTA(Z38:$Z$39)=1,IF(COUNTA(AD38:$AD$39)=1,""," ; "),IF(COUNTA(AD38:$AD$39)=1,IF(Z38="",""," ; ")," ; ")))</f>
        <v/>
      </c>
      <c r="AF38" s="9" t="str">
        <f t="shared" si="2"/>
        <v/>
      </c>
      <c r="AG38" s="90" t="str">
        <f t="shared" si="3"/>
        <v/>
      </c>
      <c r="AH38" s="204" t="s">
        <v>219</v>
      </c>
      <c r="AJ38" s="206">
        <f t="shared" si="21"/>
        <v>500</v>
      </c>
      <c r="AK38" s="206">
        <f t="shared" si="21"/>
        <v>100</v>
      </c>
      <c r="AL38" s="206">
        <f t="shared" si="21"/>
        <v>2</v>
      </c>
      <c r="AM38" s="213">
        <f t="shared" si="21"/>
        <v>0.875</v>
      </c>
      <c r="AN38" s="214">
        <f t="shared" si="21"/>
        <v>0.63607464142166403</v>
      </c>
      <c r="AO38" s="215">
        <f t="shared" si="4"/>
        <v>-14.7</v>
      </c>
      <c r="AP38" s="216">
        <f t="shared" si="5"/>
        <v>1</v>
      </c>
      <c r="AQ38" s="216">
        <f t="shared" si="6"/>
        <v>1</v>
      </c>
      <c r="AR38" s="215">
        <f t="shared" si="20"/>
        <v>158.47</v>
      </c>
      <c r="AS38" s="216">
        <f t="shared" si="7"/>
        <v>0.97679498379494789</v>
      </c>
      <c r="AT38" s="216">
        <f t="shared" si="8"/>
        <v>1.2538510821608391</v>
      </c>
      <c r="AU38" s="216">
        <f t="shared" si="9"/>
        <v>2.2360679774997898</v>
      </c>
      <c r="AV38" s="217">
        <f t="shared" si="10"/>
        <v>10.415801185754333</v>
      </c>
      <c r="AW38" s="216">
        <f t="shared" si="11"/>
        <v>0</v>
      </c>
      <c r="AX38" s="218">
        <f t="shared" si="12"/>
        <v>1.4696875479799241</v>
      </c>
      <c r="AY38" s="216">
        <f t="shared" si="13"/>
        <v>0.76851414128953044</v>
      </c>
      <c r="AZ38" s="217">
        <f t="shared" si="14"/>
        <v>3.5640070462657096</v>
      </c>
      <c r="BA38" s="216">
        <f t="shared" si="15"/>
        <v>0</v>
      </c>
      <c r="BB38" s="216">
        <f t="shared" si="16"/>
        <v>1.0084584063544275</v>
      </c>
      <c r="BC38" s="216">
        <f t="shared" si="17"/>
        <v>1</v>
      </c>
    </row>
    <row r="39" spans="1:55" ht="20.100000000000001" customHeight="1" thickBot="1" x14ac:dyDescent="0.25">
      <c r="A39" s="46">
        <v>1</v>
      </c>
      <c r="B39" s="451"/>
      <c r="C39" s="451"/>
      <c r="D39" s="452">
        <v>6.5</v>
      </c>
      <c r="E39" s="452">
        <v>62.8</v>
      </c>
      <c r="F39" s="42">
        <v>1948</v>
      </c>
      <c r="G39" s="37">
        <v>-5.5</v>
      </c>
      <c r="H39" s="38">
        <v>72.8</v>
      </c>
      <c r="I39" s="37">
        <v>22.4</v>
      </c>
      <c r="J39" s="41">
        <v>629</v>
      </c>
      <c r="K39" s="37">
        <v>13</v>
      </c>
      <c r="L39" s="452">
        <v>125</v>
      </c>
      <c r="M39" s="452">
        <v>224</v>
      </c>
      <c r="N39" s="451">
        <v>85</v>
      </c>
      <c r="O39" s="353">
        <v>40</v>
      </c>
      <c r="P39" s="353">
        <v>12</v>
      </c>
      <c r="Q39" s="354">
        <v>229.34</v>
      </c>
      <c r="R39" s="38"/>
      <c r="S39" s="512" t="str">
        <f t="shared" si="22"/>
        <v/>
      </c>
      <c r="T39" s="512"/>
      <c r="U39" s="512"/>
      <c r="V39" s="512"/>
      <c r="X39" s="46">
        <v>1</v>
      </c>
      <c r="Y39" s="107"/>
      <c r="Z39" s="103"/>
      <c r="AA39" s="103"/>
      <c r="AB39" s="46" t="str">
        <f t="shared" si="18"/>
        <v/>
      </c>
      <c r="AC39" s="46" t="str">
        <f t="shared" si="1"/>
        <v/>
      </c>
      <c r="AD39" s="82"/>
      <c r="AE39" s="9" t="str">
        <f>IF(S39="","",IF(COUNTA(Z39:$Z$39)=1,IF(COUNTA(AD39:$AD$39)=1,""," ; "),IF(COUNTA(AD39:$AD$39)=1,IF(Z39="",""," ; ")," ; ")))</f>
        <v/>
      </c>
      <c r="AF39" s="9" t="str">
        <f t="shared" si="2"/>
        <v/>
      </c>
      <c r="AG39" s="90" t="str">
        <f t="shared" si="3"/>
        <v/>
      </c>
      <c r="AH39" s="204" t="s">
        <v>220</v>
      </c>
      <c r="AJ39" s="219">
        <f t="shared" si="21"/>
        <v>500</v>
      </c>
      <c r="AK39" s="219">
        <f t="shared" si="21"/>
        <v>100</v>
      </c>
      <c r="AL39" s="219">
        <f t="shared" si="21"/>
        <v>2</v>
      </c>
      <c r="AM39" s="220">
        <f t="shared" si="21"/>
        <v>0.875</v>
      </c>
      <c r="AN39" s="221">
        <f t="shared" si="21"/>
        <v>0.63607464142166403</v>
      </c>
      <c r="AO39" s="222">
        <f t="shared" si="4"/>
        <v>-14.7</v>
      </c>
      <c r="AP39" s="223">
        <f t="shared" si="5"/>
        <v>1</v>
      </c>
      <c r="AQ39" s="223">
        <f t="shared" si="6"/>
        <v>1</v>
      </c>
      <c r="AR39" s="222">
        <f t="shared" si="20"/>
        <v>158.47</v>
      </c>
      <c r="AS39" s="223">
        <f t="shared" si="7"/>
        <v>0.97679498379494789</v>
      </c>
      <c r="AT39" s="223">
        <f t="shared" si="8"/>
        <v>1.2538510821608391</v>
      </c>
      <c r="AU39" s="223">
        <f t="shared" si="9"/>
        <v>2.2360679774997898</v>
      </c>
      <c r="AV39" s="224">
        <f t="shared" si="10"/>
        <v>10.415801185754333</v>
      </c>
      <c r="AW39" s="223">
        <f t="shared" si="11"/>
        <v>0</v>
      </c>
      <c r="AX39" s="225">
        <f t="shared" si="12"/>
        <v>1.4696875479799241</v>
      </c>
      <c r="AY39" s="223">
        <f t="shared" si="13"/>
        <v>0.76851414128953044</v>
      </c>
      <c r="AZ39" s="224">
        <f t="shared" si="14"/>
        <v>3.5640070462657096</v>
      </c>
      <c r="BA39" s="223">
        <f t="shared" si="15"/>
        <v>0</v>
      </c>
      <c r="BB39" s="223">
        <f t="shared" si="16"/>
        <v>1.0084584063544275</v>
      </c>
      <c r="BC39" s="223">
        <f t="shared" si="17"/>
        <v>1</v>
      </c>
    </row>
    <row r="40" spans="1:55" ht="20.100000000000001" customHeight="1" thickBot="1" x14ac:dyDescent="0.3">
      <c r="A40" s="53" t="s">
        <v>11</v>
      </c>
      <c r="B40" s="453" t="str">
        <f>IFERROR(ROUND(AVERAGE(B16:B39),2),"")</f>
        <v/>
      </c>
      <c r="C40" s="453" t="str">
        <f>IFERROR(ROUND(AVERAGE(C16:C39),2),"")</f>
        <v/>
      </c>
      <c r="D40" s="453">
        <f>IFERROR(ROUND(AVERAGE(D16:D39),2),"")</f>
        <v>6.3</v>
      </c>
      <c r="E40" s="453">
        <f>IFERROR(ROUND(AVERAGE(E16:E39),2),"")</f>
        <v>63.2</v>
      </c>
      <c r="F40" s="55">
        <f>IFERROR(ROUND(AVERAGE(F16:F39),0),"")</f>
        <v>1954</v>
      </c>
      <c r="G40" s="54">
        <f>IFERROR(AVERAGE(G16:G39),"")</f>
        <v>-5.5</v>
      </c>
      <c r="H40" s="54">
        <f>IFERROR(AVERAGE(H16:H39),"")</f>
        <v>72.379166666666663</v>
      </c>
      <c r="I40" s="54">
        <f>IFERROR(AVERAGE(I16:I39),"")</f>
        <v>22.391666666666666</v>
      </c>
      <c r="J40" s="71"/>
      <c r="K40" s="111">
        <f>IFERROR(AVERAGE(K16:K39),"")</f>
        <v>13</v>
      </c>
      <c r="L40" s="453">
        <f t="shared" ref="L40:P40" si="23">IFERROR(ROUND(AVERAGE(L16:L39),1),"")</f>
        <v>126.4</v>
      </c>
      <c r="M40" s="453">
        <f t="shared" si="23"/>
        <v>226</v>
      </c>
      <c r="N40" s="453">
        <f t="shared" si="23"/>
        <v>85</v>
      </c>
      <c r="O40" s="456">
        <f t="shared" si="23"/>
        <v>35</v>
      </c>
      <c r="P40" s="456">
        <f t="shared" si="23"/>
        <v>13.7</v>
      </c>
      <c r="Q40" s="456">
        <f>IF($I$47=1,$M$49,$Q$44)</f>
        <v>227</v>
      </c>
      <c r="R40" s="54" t="str">
        <f>IFERROR(ROUND(AVERAGE(R16:R39),1),"")</f>
        <v/>
      </c>
      <c r="S40" s="509"/>
      <c r="T40" s="510"/>
      <c r="U40" s="510"/>
      <c r="V40" s="511"/>
      <c r="X40" s="99"/>
      <c r="Y40" s="99"/>
      <c r="Z40" s="99"/>
      <c r="AA40" s="99"/>
      <c r="AB40" s="104">
        <f>SUM(AB16:AB39)</f>
        <v>0</v>
      </c>
      <c r="AC40" s="104">
        <f>SUM(AC16:AC39)</f>
        <v>0</v>
      </c>
      <c r="AD40" s="92" t="str">
        <f>IF(OR(COUNTBLANK(D16:E39)+COUNTBLANK(O16:P39)=0,COUNTA(S16:V39)&lt;&gt;0),"","CEK : Blank Data - Remarks")</f>
        <v/>
      </c>
      <c r="AG40" s="90" t="str">
        <f>IF(COUNTIF(AG16:AG39,"")=COUNTA(AG16:AG39),"","CEK : Data Flowrate")</f>
        <v/>
      </c>
      <c r="AH40" s="204" t="s">
        <v>311</v>
      </c>
    </row>
    <row r="41" spans="1:55" ht="20.100000000000001" hidden="1" customHeight="1" thickBot="1" x14ac:dyDescent="0.3">
      <c r="A41" s="49" t="s">
        <v>12</v>
      </c>
      <c r="B41" s="52" t="str">
        <f>IF(COUNT(B16:B39)&gt;0,ROUND(MIN(B16:B39),2),"")</f>
        <v/>
      </c>
      <c r="C41" s="52" t="str">
        <f>IF(COUNT(C16:C39)&gt;0,ROUND(MIN(C16:C39),2),"")</f>
        <v/>
      </c>
      <c r="D41" s="52">
        <f>IF(COUNT(D16:D39)&gt;0,ROUND(MIN(D16:D39),2),"")</f>
        <v>5</v>
      </c>
      <c r="E41" s="52">
        <f>IF(COUNT(E16:E39)&gt;0,ROUND(MIN(E16:E39),2),"")</f>
        <v>60</v>
      </c>
      <c r="F41" s="51">
        <f>IF(COUNT(F16:F39)&gt;0,ROUND(MIN(F16:F39),0),"")</f>
        <v>1922</v>
      </c>
      <c r="G41" s="50">
        <f>IF(COUNT(G16:G39)&gt;0,MIN(G16:G39),"")</f>
        <v>-5.5</v>
      </c>
      <c r="H41" s="50">
        <f>IF(COUNT(H16:H39)&gt;0,MIN(H16:H39),"")</f>
        <v>72</v>
      </c>
      <c r="I41" s="50">
        <f>IF(COUNT(I16:I39)&gt;0,MIN(I16:I39),"")</f>
        <v>22</v>
      </c>
      <c r="J41" s="72"/>
      <c r="K41" s="50">
        <f>IF(COUNT(K16:K39)&gt;0,MIN(K16:K39),"")</f>
        <v>13</v>
      </c>
      <c r="L41" s="52">
        <f>IF(COUNT(L16:L39)&gt;0,ROUND(MIN(L16:L39),1),"")</f>
        <v>122</v>
      </c>
      <c r="M41" s="52">
        <f>IF(COUNT(M16:M39)&gt;0,ROUND(MIN(M16:M39),1),"")</f>
        <v>221</v>
      </c>
      <c r="N41" s="52">
        <f>IF(COUNT(N16:N39)&gt;0,ROUND(MIN(N16:N39),1),"")</f>
        <v>85</v>
      </c>
      <c r="O41" s="440">
        <f>IF(COUNT(O16:O39)&gt;0,ROUND(MIN(O16:O39),1),"")</f>
        <v>25</v>
      </c>
      <c r="P41" s="440">
        <f>IF(COUNT(P16:P39)&gt;0,ROUND(MIN(P16:P39),1),"")</f>
        <v>8</v>
      </c>
      <c r="Q41" s="440">
        <f>IF(COUNT(Q16:Q39)&gt;0,ROUND(MIN(Q16:Q39),4),"")</f>
        <v>187.58</v>
      </c>
      <c r="R41" s="121" t="str">
        <f>IF(COUNT(R16:R39)&gt;0,ROUND(MIN(R16:R39),1),"")</f>
        <v/>
      </c>
      <c r="S41" s="509"/>
      <c r="T41" s="510"/>
      <c r="U41" s="510"/>
      <c r="V41" s="511"/>
      <c r="X41" s="99"/>
      <c r="Y41" s="99"/>
      <c r="Z41" s="99"/>
      <c r="AA41" s="99"/>
      <c r="AB41" s="99"/>
      <c r="AC41" s="99"/>
      <c r="AH41" s="204" t="s">
        <v>318</v>
      </c>
    </row>
    <row r="42" spans="1:55" ht="20.100000000000001" hidden="1" customHeight="1" thickBot="1" x14ac:dyDescent="0.3">
      <c r="A42" s="21" t="s">
        <v>13</v>
      </c>
      <c r="B42" s="454" t="str">
        <f>IF(COUNT(B16:B39)&gt;0,ROUND(MAX(B16:B39),2),"")</f>
        <v/>
      </c>
      <c r="C42" s="454" t="str">
        <f>IF(COUNT(C16:C39)&gt;0,ROUND(MAX(C16:C39),2),"")</f>
        <v/>
      </c>
      <c r="D42" s="454">
        <f>IF(COUNT(D16:D39)&gt;0,ROUND(MAX(D16:D39),2),"")</f>
        <v>6.9</v>
      </c>
      <c r="E42" s="454">
        <f>IF(COUNT(E16:E39)&gt;0,ROUND(MAX(E16:E39),2),"")</f>
        <v>66.400000000000006</v>
      </c>
      <c r="F42" s="43">
        <f>IF(COUNT(F16:F39)&gt;0,ROUND(MAX(F16:F39),0),"")</f>
        <v>1981</v>
      </c>
      <c r="G42" s="39">
        <f>IF(COUNT(G16:G39)&gt;0,MAX(G16:G39),"")</f>
        <v>-5.5</v>
      </c>
      <c r="H42" s="39">
        <f>IF(COUNT(H16:H39)&gt;0,MAX(H16:H39),"")</f>
        <v>72.900000000000006</v>
      </c>
      <c r="I42" s="39">
        <f>IF(COUNT(I16:I39)&gt;0,MAX(I16:I39),"")</f>
        <v>22.8</v>
      </c>
      <c r="J42" s="43">
        <f>IF(COUNT(J16:J39)&gt;0,MAX(J16:J39),"")</f>
        <v>629</v>
      </c>
      <c r="K42" s="39">
        <f>IF(COUNT(K16:K39)&gt;0,MAX(K16:K39),"")</f>
        <v>13</v>
      </c>
      <c r="L42" s="454">
        <f>IF(COUNT(L16:L39)&gt;0,ROUND(MAX(L16:L39),1),"")</f>
        <v>130</v>
      </c>
      <c r="M42" s="454">
        <f>IF(COUNT(M16:M39)&gt;0,ROUND(MAX(M16:M39),1),"")</f>
        <v>229</v>
      </c>
      <c r="N42" s="454">
        <f>IF(COUNT(N16:N39)&gt;0,ROUND(MAX(N16:N39),1),"")</f>
        <v>85</v>
      </c>
      <c r="O42" s="441">
        <f>IF(COUNT(O16:O39)&gt;0,ROUND(MAX(O16:O39),1),"")</f>
        <v>40</v>
      </c>
      <c r="P42" s="441">
        <f>IF(COUNT(P16:P39)&gt;0,ROUND(MAX(P16:P39),1),"")</f>
        <v>18</v>
      </c>
      <c r="Q42" s="441">
        <f>IF(COUNT(Q16:Q39)&gt;0,ROUND(MAX(Q16:Q39),4),"")</f>
        <v>253.18</v>
      </c>
      <c r="R42" s="39" t="str">
        <f>IF(COUNT(R16:R39)&gt;0,ROUND(MAX(R16:R39),1),"")</f>
        <v/>
      </c>
      <c r="S42" s="509"/>
      <c r="T42" s="510"/>
      <c r="U42" s="510"/>
      <c r="V42" s="511"/>
      <c r="X42" s="99"/>
      <c r="Y42" s="99"/>
      <c r="Z42" s="99"/>
      <c r="AA42" s="99"/>
      <c r="AB42" s="99"/>
      <c r="AC42" s="99"/>
      <c r="AH42" s="204" t="s">
        <v>312</v>
      </c>
    </row>
    <row r="43" spans="1:55" ht="20.100000000000001" hidden="1" customHeight="1" x14ac:dyDescent="0.25">
      <c r="A43" s="109"/>
      <c r="B43" s="110">
        <f>COUNT(B16:B39)</f>
        <v>0</v>
      </c>
      <c r="C43" s="110">
        <f>COUNT(C16:C39)</f>
        <v>0</v>
      </c>
      <c r="D43" s="110">
        <f>COUNT(D16:D39)</f>
        <v>24</v>
      </c>
      <c r="E43" s="110">
        <f t="shared" ref="E43:H43" si="24">COUNT(E16:E39)</f>
        <v>24</v>
      </c>
      <c r="F43" s="110">
        <f t="shared" si="24"/>
        <v>24</v>
      </c>
      <c r="G43" s="110">
        <f t="shared" si="24"/>
        <v>24</v>
      </c>
      <c r="H43" s="110">
        <f t="shared" si="24"/>
        <v>24</v>
      </c>
      <c r="I43" s="110"/>
      <c r="J43" s="110"/>
      <c r="K43" s="110"/>
      <c r="L43" s="110">
        <f t="shared" ref="L43:Q43" si="25">COUNT(L16:L39)</f>
        <v>24</v>
      </c>
      <c r="M43" s="110">
        <f t="shared" si="25"/>
        <v>24</v>
      </c>
      <c r="N43" s="110">
        <f t="shared" si="25"/>
        <v>24</v>
      </c>
      <c r="O43" s="110">
        <f t="shared" si="25"/>
        <v>24</v>
      </c>
      <c r="P43" s="110">
        <f t="shared" si="25"/>
        <v>24</v>
      </c>
      <c r="Q43" s="110">
        <f t="shared" si="25"/>
        <v>24</v>
      </c>
      <c r="R43" s="110"/>
      <c r="S43" s="99"/>
      <c r="T43" s="99"/>
      <c r="U43" s="99"/>
      <c r="V43" s="99"/>
      <c r="X43" s="99"/>
      <c r="Y43" s="99"/>
      <c r="Z43" s="99"/>
      <c r="AA43" s="99"/>
      <c r="AB43" s="99"/>
      <c r="AC43" s="99"/>
      <c r="AD43" s="92" t="str">
        <f>IF(AND(D43=E43,D43=F43,D43=G43,D43=H43,D43=L43,D43=M43,D43=N43,D43=O43,D43=P43,D43=Q43),"","CEK : Data Content")</f>
        <v/>
      </c>
      <c r="AH43" s="204" t="s">
        <v>221</v>
      </c>
    </row>
    <row r="44" spans="1:55" s="6" customFormat="1" ht="15" customHeight="1" x14ac:dyDescent="0.25">
      <c r="J44" s="91" t="str">
        <f>IF(J1="PRINT","",IF(J42="","RH please ! !",""))</f>
        <v/>
      </c>
      <c r="L44" s="24"/>
      <c r="Q44" s="445">
        <f>IFERROR(ROUND(AVERAGE(Q16:Q39),4),"")</f>
        <v>230.00749999999999</v>
      </c>
      <c r="AH44" s="204" t="s">
        <v>323</v>
      </c>
      <c r="AI44" s="7"/>
    </row>
    <row r="45" spans="1:55" s="6" customFormat="1" ht="15" customHeight="1" x14ac:dyDescent="0.25">
      <c r="L45" s="26" t="s">
        <v>290</v>
      </c>
      <c r="Q45" s="445"/>
      <c r="AH45" s="204" t="s">
        <v>288</v>
      </c>
      <c r="AI45" s="7"/>
    </row>
    <row r="46" spans="1:55" s="6" customFormat="1" ht="15" customHeight="1" x14ac:dyDescent="0.25">
      <c r="D46" s="443" t="s">
        <v>90</v>
      </c>
      <c r="E46" s="448" t="str">
        <f>IF(Schedule!C$27="","",Schedule!C$27)</f>
        <v/>
      </c>
      <c r="G46" s="61"/>
      <c r="H46" s="25" t="str">
        <f>IFERROR(IF(OR(I47="",I48="",I49=""),"WAKTU BELUM DI-ISI LENGKAP",IF(SUM(I48:I49)&lt;=1,"","CEK KEMBALI PENULISAN WAKTU SALAH")),"CEK KEMBALI PENULISAN WAKTU SALAH")</f>
        <v/>
      </c>
      <c r="L46" s="26" t="s">
        <v>22</v>
      </c>
      <c r="M46" s="460">
        <f>IF(Volume!$W26="",$O46,Volume!$W26)</f>
        <v>30.605899999999998</v>
      </c>
      <c r="N46" s="27" t="s">
        <v>1</v>
      </c>
      <c r="O46" s="447">
        <f>IF(O40="","",O40)</f>
        <v>35</v>
      </c>
      <c r="P46" s="361" t="s">
        <v>29</v>
      </c>
      <c r="Q46" s="362"/>
      <c r="R46" s="362"/>
      <c r="S46" s="362"/>
      <c r="T46" s="361" t="s">
        <v>30</v>
      </c>
      <c r="U46" s="362"/>
      <c r="V46" s="362"/>
      <c r="AH46" s="204" t="s">
        <v>222</v>
      </c>
    </row>
    <row r="47" spans="1:55" s="6" customFormat="1" ht="15" customHeight="1" x14ac:dyDescent="0.25">
      <c r="D47" s="448"/>
      <c r="E47" s="448"/>
      <c r="H47" s="26" t="s">
        <v>26</v>
      </c>
      <c r="I47" s="56">
        <f>IF(OR(I48="",I49=""),"",1-I48-I49)</f>
        <v>1</v>
      </c>
      <c r="J47" s="27" t="s">
        <v>19</v>
      </c>
      <c r="L47" s="26" t="s">
        <v>23</v>
      </c>
      <c r="M47" s="442">
        <f>IF(Volume!$Y26="",$O47,Volume!$Y26)</f>
        <v>15.011799999999999</v>
      </c>
      <c r="N47" s="27" t="s">
        <v>14</v>
      </c>
      <c r="O47" s="447">
        <f>IF(P40="","",P40)</f>
        <v>13.7</v>
      </c>
      <c r="P47" s="361" t="s">
        <v>211</v>
      </c>
      <c r="Q47" s="362"/>
      <c r="R47" s="362"/>
      <c r="S47" s="362"/>
      <c r="T47" s="361" t="s">
        <v>271</v>
      </c>
      <c r="U47" s="362"/>
      <c r="V47" s="362"/>
      <c r="AH47" s="204" t="s">
        <v>223</v>
      </c>
    </row>
    <row r="48" spans="1:55" s="6" customFormat="1" ht="15" customHeight="1" x14ac:dyDescent="0.25">
      <c r="D48" s="443" t="s">
        <v>91</v>
      </c>
      <c r="E48" s="448" t="str">
        <f>IF(Schedule!D$27="","",Schedule!D$27)</f>
        <v/>
      </c>
      <c r="H48" s="26" t="s">
        <v>37</v>
      </c>
      <c r="I48" s="108">
        <f>IF(OR(COUNT($Q$16:$Q$39)&lt;&gt;0,COUNTA($AD$16:$AD$39)&lt;&gt;0),AB40,"")</f>
        <v>0</v>
      </c>
      <c r="J48" s="27" t="s">
        <v>19</v>
      </c>
      <c r="L48" s="26" t="s">
        <v>24</v>
      </c>
      <c r="M48" s="449">
        <f>IF(N40="","",N40)</f>
        <v>85</v>
      </c>
      <c r="N48" s="27" t="s">
        <v>5</v>
      </c>
      <c r="P48" s="362"/>
      <c r="Q48" s="362"/>
      <c r="R48" s="362"/>
      <c r="S48" s="362"/>
      <c r="T48" s="361" t="s">
        <v>291</v>
      </c>
      <c r="U48" s="362"/>
      <c r="V48" s="362"/>
      <c r="AH48" s="204" t="s">
        <v>324</v>
      </c>
    </row>
    <row r="49" spans="1:34" s="6" customFormat="1" ht="15" customHeight="1" x14ac:dyDescent="0.25">
      <c r="D49" s="448"/>
      <c r="E49" s="448"/>
      <c r="H49" s="26" t="s">
        <v>27</v>
      </c>
      <c r="I49" s="108">
        <f>IF(OR(COUNT($Q$16:$Q$39)&lt;&gt;0,COUNTA($AD$16:$AD$39)&lt;&gt;0),AC40,"")</f>
        <v>0</v>
      </c>
      <c r="J49" s="27" t="s">
        <v>19</v>
      </c>
      <c r="L49" s="26" t="s">
        <v>128</v>
      </c>
      <c r="M49" s="442">
        <f>IF(Volume!$L26="",M51,Volume!$L26)</f>
        <v>227</v>
      </c>
      <c r="N49" s="27" t="str">
        <f>IF(Q15="MSCFD","MSCF","MMSCF")</f>
        <v>MSCF</v>
      </c>
      <c r="P49" s="362"/>
      <c r="Q49" s="362"/>
      <c r="R49" s="362"/>
      <c r="S49" s="362"/>
      <c r="T49" s="362"/>
      <c r="U49" s="362"/>
      <c r="V49" s="362"/>
      <c r="AH49" s="204" t="s">
        <v>317</v>
      </c>
    </row>
    <row r="50" spans="1:34" s="6" customFormat="1" ht="15" customHeight="1" x14ac:dyDescent="0.25">
      <c r="D50" s="443" t="s">
        <v>92</v>
      </c>
      <c r="E50" s="448" t="str">
        <f>IF(Schedule!E$27="","",Schedule!E$27)</f>
        <v>Marihot Gustafa S.</v>
      </c>
      <c r="L50" s="443" t="str">
        <f>CONCATENATE(MR!L16," ",":")</f>
        <v>Liquid Gain :</v>
      </c>
      <c r="M50" s="446" t="str">
        <f>IF(R40="","",ROUND(SUM(R16:R39),2))</f>
        <v/>
      </c>
      <c r="N50" s="444" t="str">
        <f>R15</f>
        <v>BPD</v>
      </c>
      <c r="P50" s="362"/>
      <c r="Q50" s="362"/>
      <c r="R50" s="362"/>
      <c r="S50" s="362"/>
      <c r="T50" s="362"/>
      <c r="U50" s="362"/>
      <c r="V50" s="362"/>
      <c r="AH50" s="204" t="s">
        <v>282</v>
      </c>
    </row>
    <row r="51" spans="1:34" s="6" customFormat="1" ht="15" customHeight="1" x14ac:dyDescent="0.25">
      <c r="A51" s="4"/>
      <c r="L51" s="443" t="s">
        <v>286</v>
      </c>
      <c r="M51" s="447">
        <f>IF(Q44="","",IF(SUM(I48:I49)=1,IF(Q44&lt;&gt;0,"Cek Tabel",""),ROUND(Q44*I47,4)))</f>
        <v>230.00749999999999</v>
      </c>
      <c r="N51" s="444" t="str">
        <f>IF(Q15="MSCFD","MSCF","MMSCF")</f>
        <v>MSCF</v>
      </c>
      <c r="P51" s="362"/>
      <c r="Q51" s="362"/>
      <c r="R51" s="362"/>
      <c r="S51" s="362"/>
      <c r="T51" s="362"/>
      <c r="U51" s="362"/>
      <c r="V51" s="362"/>
      <c r="AH51" s="204" t="s">
        <v>325</v>
      </c>
    </row>
    <row r="52" spans="1:34" s="6" customFormat="1" ht="15" customHeight="1" x14ac:dyDescent="0.25">
      <c r="D52" s="26" t="s">
        <v>28</v>
      </c>
      <c r="E52" s="47"/>
      <c r="F52" s="47"/>
      <c r="G52" s="47"/>
      <c r="H52" s="47"/>
      <c r="I52" s="47"/>
      <c r="J52" s="47"/>
      <c r="K52" s="47"/>
      <c r="L52" s="5"/>
      <c r="P52" s="362"/>
      <c r="Q52" s="362"/>
      <c r="R52" s="362"/>
      <c r="S52" s="362"/>
      <c r="T52" s="362"/>
      <c r="U52" s="362"/>
      <c r="V52" s="362"/>
      <c r="AH52" s="204" t="s">
        <v>280</v>
      </c>
    </row>
    <row r="53" spans="1:34" s="6" customFormat="1" ht="15" customHeight="1" x14ac:dyDescent="0.25">
      <c r="D53" s="5"/>
      <c r="E53" s="48"/>
      <c r="F53" s="48"/>
      <c r="G53" s="48"/>
      <c r="H53" s="48"/>
      <c r="I53" s="48"/>
      <c r="J53" s="48"/>
      <c r="K53" s="48"/>
      <c r="L53" s="5"/>
      <c r="P53" s="363" t="str">
        <f>UPPER(E50)</f>
        <v>MARIHOT GUSTAFA S.</v>
      </c>
      <c r="Q53" s="362"/>
      <c r="R53" s="362"/>
      <c r="S53" s="362"/>
      <c r="T53" s="363" t="str">
        <f>IF(Schedule!F$27="","",UPPER(Schedule!F$27))</f>
        <v>SAPUAN</v>
      </c>
      <c r="U53" s="362"/>
      <c r="V53" s="362"/>
      <c r="AH53" s="204" t="s">
        <v>316</v>
      </c>
    </row>
    <row r="54" spans="1:34" s="6" customFormat="1" ht="15" customHeight="1" x14ac:dyDescent="0.25">
      <c r="E54" s="48"/>
      <c r="F54" s="48"/>
      <c r="G54" s="48"/>
      <c r="H54" s="48"/>
      <c r="I54" s="48"/>
      <c r="J54" s="48"/>
      <c r="K54" s="48"/>
      <c r="P54" s="361" t="s">
        <v>107</v>
      </c>
      <c r="Q54" s="362"/>
      <c r="R54" s="362"/>
      <c r="S54" s="362"/>
      <c r="T54" s="361" t="s">
        <v>294</v>
      </c>
      <c r="U54" s="362"/>
      <c r="V54" s="362"/>
      <c r="AH54" s="204" t="s">
        <v>326</v>
      </c>
    </row>
    <row r="55" spans="1:34" s="6" customFormat="1" ht="15" customHeight="1" x14ac:dyDescent="0.25">
      <c r="P55" s="364" t="str">
        <f>CONCATENATE("Date : ",TEXT(K12,"[$-409]d mmm yyyy;@"))</f>
        <v>Date : 23 Jun 2025</v>
      </c>
      <c r="Q55" s="362"/>
      <c r="R55" s="364"/>
      <c r="S55" s="362"/>
      <c r="T55" s="364" t="str">
        <f>CONCATENATE("Date : ",TEXT(K12,"[$-409]d mmm yyyy;@"))</f>
        <v>Date : 23 Jun 2025</v>
      </c>
      <c r="U55" s="362"/>
      <c r="V55" s="362"/>
      <c r="AH55" s="204" t="s">
        <v>327</v>
      </c>
    </row>
    <row r="56" spans="1:34" ht="15" customHeight="1" x14ac:dyDescent="0.25">
      <c r="AH56" s="204" t="s">
        <v>281</v>
      </c>
    </row>
    <row r="57" spans="1:34" ht="15" customHeight="1" x14ac:dyDescent="0.25">
      <c r="AH57" s="204" t="s">
        <v>277</v>
      </c>
    </row>
    <row r="58" spans="1:34" ht="15" customHeight="1" x14ac:dyDescent="0.25">
      <c r="AH58" s="204" t="s">
        <v>328</v>
      </c>
    </row>
    <row r="59" spans="1:34" ht="15" customHeight="1" x14ac:dyDescent="0.25">
      <c r="AH59" s="204" t="s">
        <v>329</v>
      </c>
    </row>
    <row r="60" spans="1:34" ht="15" customHeight="1" x14ac:dyDescent="0.25">
      <c r="AH60" s="204" t="s">
        <v>330</v>
      </c>
    </row>
    <row r="61" spans="1:34" ht="15" customHeight="1" x14ac:dyDescent="0.25">
      <c r="AH61" s="204" t="s">
        <v>331</v>
      </c>
    </row>
    <row r="62" spans="1:34" ht="15" customHeight="1" x14ac:dyDescent="0.25">
      <c r="AH62" s="204" t="s">
        <v>332</v>
      </c>
    </row>
    <row r="63" spans="1:34" ht="15" customHeight="1" x14ac:dyDescent="0.25">
      <c r="AH63" s="204" t="s">
        <v>315</v>
      </c>
    </row>
    <row r="64" spans="1:34" ht="15" customHeight="1" x14ac:dyDescent="0.25">
      <c r="AH64" s="204" t="s">
        <v>333</v>
      </c>
    </row>
    <row r="65" spans="34:34" ht="15" customHeight="1" x14ac:dyDescent="0.25">
      <c r="AH65" s="204" t="s">
        <v>310</v>
      </c>
    </row>
    <row r="66" spans="34:34" ht="15" customHeight="1" x14ac:dyDescent="0.25">
      <c r="AH66" s="204" t="s">
        <v>334</v>
      </c>
    </row>
    <row r="67" spans="34:34" ht="15" customHeight="1" x14ac:dyDescent="0.25">
      <c r="AH67" s="204" t="s">
        <v>335</v>
      </c>
    </row>
    <row r="68" spans="34:34" ht="15" customHeight="1" x14ac:dyDescent="0.25">
      <c r="AH68" s="204" t="s">
        <v>336</v>
      </c>
    </row>
    <row r="69" spans="34:34" ht="15" customHeight="1" x14ac:dyDescent="0.25">
      <c r="AH69" s="204" t="s">
        <v>337</v>
      </c>
    </row>
    <row r="70" spans="34:34" ht="15" customHeight="1" x14ac:dyDescent="0.25">
      <c r="AH70" s="204" t="s">
        <v>338</v>
      </c>
    </row>
    <row r="71" spans="34:34" ht="15" customHeight="1" x14ac:dyDescent="0.25">
      <c r="AH71" s="204" t="s">
        <v>339</v>
      </c>
    </row>
    <row r="72" spans="34:34" ht="15" customHeight="1" x14ac:dyDescent="0.25">
      <c r="AH72" s="204" t="s">
        <v>340</v>
      </c>
    </row>
    <row r="85" spans="34:34" ht="0" hidden="1" customHeight="1" x14ac:dyDescent="0.25">
      <c r="AH85" s="6"/>
    </row>
    <row r="86" spans="34:34" ht="0" hidden="1" customHeight="1" x14ac:dyDescent="0.25">
      <c r="AH86" s="6"/>
    </row>
    <row r="87" spans="34:34" ht="0" hidden="1" customHeight="1" x14ac:dyDescent="0.25">
      <c r="AH87" s="6"/>
    </row>
    <row r="88" spans="34:34" ht="0" hidden="1" customHeight="1" x14ac:dyDescent="0.25">
      <c r="AH88" s="6"/>
    </row>
    <row r="89" spans="34:34" ht="0" hidden="1" customHeight="1" x14ac:dyDescent="0.25">
      <c r="AH89" s="6"/>
    </row>
    <row r="90" spans="34:34" ht="0" hidden="1" customHeight="1" x14ac:dyDescent="0.25">
      <c r="AH90" s="6"/>
    </row>
    <row r="91" spans="34:34" ht="0" hidden="1" customHeight="1" x14ac:dyDescent="0.25">
      <c r="AH91" s="6"/>
    </row>
    <row r="92" spans="34:34" ht="0" hidden="1" customHeight="1" x14ac:dyDescent="0.25">
      <c r="AH92" s="6"/>
    </row>
    <row r="93" spans="34:34" ht="0" hidden="1" customHeight="1" x14ac:dyDescent="0.25">
      <c r="AH93" s="6"/>
    </row>
    <row r="94" spans="34:34" ht="0" hidden="1" customHeight="1" x14ac:dyDescent="0.25">
      <c r="AH94" s="6"/>
    </row>
  </sheetData>
  <sheetProtection algorithmName="SHA-512" hashValue="ET5zwRYDR3SSX9eWmqMPa/3kPFLimS1+0XoaesVAimCieWl6q52sHe0Qap+OnXryYwxJAR9XU9i/DZK0OFBcZQ==" saltValue="Dg1Jp516Z32WMgUEdt2DeQ==" spinCount="100000" sheet="1" objects="1" scenarios="1" formatColumns="0" formatRows="0" insertColumns="0" insertRows="0" sort="0" autoFilter="0" pivotTables="0"/>
  <mergeCells count="69">
    <mergeCell ref="S37:V37"/>
    <mergeCell ref="S38:V38"/>
    <mergeCell ref="S39:V39"/>
    <mergeCell ref="S40:V40"/>
    <mergeCell ref="S41:V42"/>
    <mergeCell ref="S36:V36"/>
    <mergeCell ref="S25:V25"/>
    <mergeCell ref="S26:V26"/>
    <mergeCell ref="S27:V27"/>
    <mergeCell ref="S28:V28"/>
    <mergeCell ref="S29:V29"/>
    <mergeCell ref="S30:V30"/>
    <mergeCell ref="S31:V31"/>
    <mergeCell ref="S32:V32"/>
    <mergeCell ref="S33:V33"/>
    <mergeCell ref="S34:V34"/>
    <mergeCell ref="S35:V35"/>
    <mergeCell ref="S19:V19"/>
    <mergeCell ref="S20:V20"/>
    <mergeCell ref="S21:V21"/>
    <mergeCell ref="S22:V22"/>
    <mergeCell ref="S23:V23"/>
    <mergeCell ref="S24:V24"/>
    <mergeCell ref="BA14:BA15"/>
    <mergeCell ref="BB14:BB15"/>
    <mergeCell ref="BC14:BC15"/>
    <mergeCell ref="S16:V16"/>
    <mergeCell ref="S17:V17"/>
    <mergeCell ref="S18:V18"/>
    <mergeCell ref="AU14:AU15"/>
    <mergeCell ref="AV14:AV15"/>
    <mergeCell ref="AW14:AW15"/>
    <mergeCell ref="AX14:AX15"/>
    <mergeCell ref="AY14:AY15"/>
    <mergeCell ref="AZ14:AZ15"/>
    <mergeCell ref="AO14:AO15"/>
    <mergeCell ref="AP14:AP15"/>
    <mergeCell ref="AQ14:AQ15"/>
    <mergeCell ref="AR14:AR15"/>
    <mergeCell ref="AS14:AS15"/>
    <mergeCell ref="AT14:AT15"/>
    <mergeCell ref="AD14:AD15"/>
    <mergeCell ref="AJ14:AJ15"/>
    <mergeCell ref="AK14:AK15"/>
    <mergeCell ref="AL14:AL15"/>
    <mergeCell ref="AM14:AM15"/>
    <mergeCell ref="AN14:AN15"/>
    <mergeCell ref="Y14:AC14"/>
    <mergeCell ref="H13:H14"/>
    <mergeCell ref="I13:I14"/>
    <mergeCell ref="J13:J14"/>
    <mergeCell ref="K13:K14"/>
    <mergeCell ref="L13:L14"/>
    <mergeCell ref="M13:N13"/>
    <mergeCell ref="Q13:Q14"/>
    <mergeCell ref="R13:R14"/>
    <mergeCell ref="S13:V15"/>
    <mergeCell ref="O13:O14"/>
    <mergeCell ref="P13:P14"/>
    <mergeCell ref="A10:V10"/>
    <mergeCell ref="A11:V11"/>
    <mergeCell ref="K12:L12"/>
    <mergeCell ref="A13:A15"/>
    <mergeCell ref="B13:B14"/>
    <mergeCell ref="C13:C14"/>
    <mergeCell ref="D13:D14"/>
    <mergeCell ref="E13:E14"/>
    <mergeCell ref="F13:F14"/>
    <mergeCell ref="G13:G14"/>
  </mergeCells>
  <conditionalFormatting sqref="I47">
    <cfRule type="cellIs" dxfId="41" priority="5" operator="lessThan">
      <formula>0</formula>
    </cfRule>
  </conditionalFormatting>
  <conditionalFormatting sqref="Y16:Y39">
    <cfRule type="containsText" dxfId="40" priority="3" operator="containsText" text="STBY">
      <formula>NOT(ISERROR(SEARCH("STBY",Y16)))</formula>
    </cfRule>
    <cfRule type="containsText" dxfId="39" priority="4" operator="containsText" text="SD">
      <formula>NOT(ISERROR(SEARCH("SD",Y16)))</formula>
    </cfRule>
  </conditionalFormatting>
  <conditionalFormatting sqref="B16:B39 D16:R39">
    <cfRule type="expression" dxfId="38" priority="2">
      <formula>ISTEXT(B16)</formula>
    </cfRule>
  </conditionalFormatting>
  <conditionalFormatting sqref="C16:C39">
    <cfRule type="expression" dxfId="37" priority="1">
      <formula>ISTEXT(C16)</formula>
    </cfRule>
  </conditionalFormatting>
  <dataValidations count="2">
    <dataValidation type="list" allowBlank="1" showInputMessage="1" showErrorMessage="1" sqref="Y16:Y39" xr:uid="{39E58DB9-DDBE-4AA5-ABB4-76AE25073AD7}">
      <formula1>"SD,STBY"</formula1>
    </dataValidation>
    <dataValidation type="list" allowBlank="1" showInputMessage="1" sqref="AD16:AD39" xr:uid="{88500BD5-4D26-4CD2-B544-4DBC2095C79C}">
      <formula1>$AH$15:$AH$72</formula1>
    </dataValidation>
  </dataValidations>
  <printOptions horizontalCentered="1"/>
  <pageMargins left="0.39370078740157483" right="0.39370078740157483" top="0.59055118110236227" bottom="0.39370078740157483" header="0.31496062992125984" footer="0.31496062992125984"/>
  <pageSetup paperSize="9" scale="57" orientation="landscape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D8FEF-364B-41B6-820C-CA7E145ED631}">
  <sheetPr codeName="N24">
    <pageSetUpPr fitToPage="1"/>
  </sheetPr>
  <dimension ref="A1:BC94"/>
  <sheetViews>
    <sheetView topLeftCell="A16" zoomScale="85" zoomScaleNormal="85" workbookViewId="0">
      <selection activeCell="K36" sqref="K36"/>
    </sheetView>
  </sheetViews>
  <sheetFormatPr defaultColWidth="0" defaultRowHeight="0" customHeight="1" zeroHeight="1" x14ac:dyDescent="0.25"/>
  <cols>
    <col min="1" max="1" width="10.7109375" style="7" customWidth="1"/>
    <col min="2" max="3" width="10.7109375" style="7" hidden="1" customWidth="1"/>
    <col min="4" max="14" width="10.7109375" style="7" customWidth="1"/>
    <col min="15" max="17" width="11.7109375" style="7" customWidth="1"/>
    <col min="18" max="18" width="10.7109375" style="7" hidden="1" customWidth="1"/>
    <col min="19" max="22" width="10.7109375" style="7" customWidth="1"/>
    <col min="23" max="23" width="2.7109375" style="7" customWidth="1"/>
    <col min="24" max="29" width="10.7109375" style="7" customWidth="1"/>
    <col min="30" max="30" width="30.7109375" style="7" customWidth="1"/>
    <col min="31" max="33" width="11.7109375" style="7" customWidth="1"/>
    <col min="34" max="34" width="30.7109375" style="7" customWidth="1"/>
    <col min="35" max="35" width="2.7109375" style="7" hidden="1" customWidth="1"/>
    <col min="36" max="55" width="11.7109375" style="7" hidden="1" customWidth="1"/>
    <col min="56" max="16384" width="9.140625" style="7" hidden="1"/>
  </cols>
  <sheetData>
    <row r="1" spans="1:55" ht="15" customHeight="1" x14ac:dyDescent="0.25">
      <c r="A1" s="7" t="s">
        <v>16</v>
      </c>
      <c r="D1" s="11" t="s">
        <v>85</v>
      </c>
      <c r="J1" s="7" t="str">
        <f>IF(MR!U13="Yes","PRINT","No")</f>
        <v>PRINT</v>
      </c>
      <c r="M1" s="191"/>
      <c r="N1" s="191"/>
    </row>
    <row r="2" spans="1:55" ht="15" customHeight="1" thickBot="1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192"/>
      <c r="M2" s="4"/>
      <c r="N2" s="4"/>
      <c r="O2" s="4"/>
      <c r="P2" s="4"/>
      <c r="Q2" s="4"/>
      <c r="R2" s="4"/>
      <c r="S2" s="8"/>
      <c r="T2" s="8"/>
      <c r="U2" s="8"/>
      <c r="V2" s="8"/>
      <c r="X2" s="8"/>
      <c r="Y2" s="8"/>
      <c r="Z2" s="8"/>
      <c r="AA2" s="8"/>
      <c r="AB2" s="8"/>
      <c r="AC2" s="8"/>
      <c r="AD2" s="8"/>
      <c r="AE2" s="8"/>
    </row>
    <row r="3" spans="1:55" ht="15" customHeight="1" x14ac:dyDescent="0.2">
      <c r="A3" s="31"/>
      <c r="B3" s="28"/>
      <c r="C3" s="28"/>
      <c r="D3" s="28"/>
      <c r="E3" s="28"/>
      <c r="F3" s="13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2"/>
      <c r="T3" s="22"/>
      <c r="U3" s="22"/>
      <c r="V3" s="23"/>
      <c r="X3" s="8"/>
      <c r="Y3" s="8"/>
      <c r="Z3" s="8"/>
      <c r="AA3" s="8"/>
      <c r="AB3" s="8"/>
      <c r="AC3" s="8"/>
      <c r="AD3" s="8"/>
      <c r="AE3" s="8"/>
    </row>
    <row r="4" spans="1:55" ht="30" customHeight="1" x14ac:dyDescent="0.25">
      <c r="A4" s="30"/>
      <c r="B4" s="1"/>
      <c r="C4" s="1"/>
      <c r="D4" s="1"/>
      <c r="E4" s="3"/>
      <c r="F4" s="63" t="s">
        <v>210</v>
      </c>
      <c r="G4" s="1"/>
      <c r="H4" s="1"/>
      <c r="I4" s="3"/>
      <c r="J4" s="3"/>
      <c r="K4" s="3"/>
      <c r="L4" s="3"/>
      <c r="M4" s="3"/>
      <c r="N4" s="3"/>
      <c r="O4" s="3"/>
      <c r="P4" s="3"/>
      <c r="Q4" s="3"/>
      <c r="R4" s="3"/>
      <c r="S4" s="1"/>
      <c r="T4" s="1"/>
      <c r="U4" s="1"/>
      <c r="V4" s="2"/>
      <c r="X4" s="5"/>
      <c r="Y4" s="5"/>
      <c r="Z4" s="5"/>
      <c r="AA4" s="5"/>
      <c r="AB4" s="5"/>
      <c r="AC4" s="5"/>
      <c r="AD4" s="5"/>
      <c r="AE4" s="5"/>
    </row>
    <row r="5" spans="1:55" ht="15" customHeight="1" x14ac:dyDescent="0.2">
      <c r="A5" s="32"/>
      <c r="B5" s="33"/>
      <c r="C5" s="33"/>
      <c r="D5" s="12"/>
      <c r="E5" s="3"/>
      <c r="F5" s="10" t="s">
        <v>129</v>
      </c>
      <c r="G5" s="1"/>
      <c r="H5" s="1"/>
      <c r="I5" s="3"/>
      <c r="J5" s="3"/>
      <c r="K5" s="3"/>
      <c r="L5" s="3"/>
      <c r="M5" s="3"/>
      <c r="N5" s="3"/>
      <c r="O5" s="3"/>
      <c r="P5" s="3"/>
      <c r="Q5" s="3"/>
      <c r="R5" s="3"/>
      <c r="S5" s="12"/>
      <c r="T5" s="12"/>
      <c r="U5" s="12"/>
      <c r="V5" s="14"/>
      <c r="X5" s="8"/>
      <c r="Y5" s="8"/>
      <c r="Z5" s="8"/>
      <c r="AA5" s="8"/>
      <c r="AB5" s="8"/>
      <c r="AC5" s="8"/>
      <c r="AD5" s="8"/>
      <c r="AE5" s="8"/>
      <c r="AJ5" s="193" t="s">
        <v>184</v>
      </c>
      <c r="AK5" s="194">
        <f>'V Calc'!B1</f>
        <v>500</v>
      </c>
      <c r="AL5" s="124"/>
    </row>
    <row r="6" spans="1:55" ht="15" customHeight="1" x14ac:dyDescent="0.2">
      <c r="A6" s="32"/>
      <c r="B6" s="33"/>
      <c r="C6" s="33"/>
      <c r="D6" s="12"/>
      <c r="E6" s="3"/>
      <c r="F6" s="10" t="s">
        <v>132</v>
      </c>
      <c r="G6" s="1"/>
      <c r="H6" s="1"/>
      <c r="I6" s="3"/>
      <c r="J6" s="3"/>
      <c r="K6" s="3"/>
      <c r="L6" s="3"/>
      <c r="M6" s="3"/>
      <c r="N6" s="3"/>
      <c r="O6" s="3"/>
      <c r="P6" s="3"/>
      <c r="Q6" s="3"/>
      <c r="R6" s="3"/>
      <c r="S6" s="12"/>
      <c r="T6" s="12"/>
      <c r="U6" s="12"/>
      <c r="V6" s="14"/>
      <c r="X6" s="8"/>
      <c r="Y6" s="8"/>
      <c r="Z6" s="8"/>
      <c r="AA6" s="8"/>
      <c r="AB6" s="8"/>
      <c r="AC6" s="8"/>
      <c r="AD6" s="8"/>
      <c r="AE6" s="8"/>
      <c r="AJ6" s="193" t="s">
        <v>185</v>
      </c>
      <c r="AK6" s="194">
        <f>'V Calc'!B2</f>
        <v>100</v>
      </c>
      <c r="AL6" s="124"/>
    </row>
    <row r="7" spans="1:55" ht="15" customHeight="1" x14ac:dyDescent="0.2">
      <c r="A7" s="32"/>
      <c r="B7" s="33"/>
      <c r="C7" s="33"/>
      <c r="D7" s="12"/>
      <c r="E7" s="3"/>
      <c r="F7" s="10" t="s">
        <v>130</v>
      </c>
      <c r="G7" s="1"/>
      <c r="H7" s="1"/>
      <c r="I7" s="3"/>
      <c r="J7" s="3"/>
      <c r="K7" s="3"/>
      <c r="L7" s="3"/>
      <c r="M7" s="3"/>
      <c r="N7" s="3"/>
      <c r="O7" s="3"/>
      <c r="P7" s="3"/>
      <c r="Q7" s="3"/>
      <c r="R7" s="3"/>
      <c r="S7" s="12"/>
      <c r="T7" s="12"/>
      <c r="U7" s="12"/>
      <c r="V7" s="14"/>
      <c r="X7" s="8"/>
      <c r="Y7" s="8"/>
      <c r="Z7" s="8"/>
      <c r="AA7" s="8"/>
      <c r="AB7" s="8"/>
      <c r="AC7" s="8"/>
      <c r="AD7" s="8"/>
      <c r="AE7" s="8"/>
      <c r="AJ7" s="193" t="s">
        <v>186</v>
      </c>
      <c r="AK7" s="195">
        <f>'V Calc'!B3</f>
        <v>2</v>
      </c>
      <c r="AL7" s="124"/>
    </row>
    <row r="8" spans="1:55" ht="15" customHeight="1" x14ac:dyDescent="0.2">
      <c r="A8" s="32"/>
      <c r="B8" s="33"/>
      <c r="C8" s="33"/>
      <c r="D8" s="12"/>
      <c r="E8" s="3"/>
      <c r="F8" s="10" t="s">
        <v>131</v>
      </c>
      <c r="G8" s="62"/>
      <c r="H8" s="62"/>
      <c r="I8" s="3"/>
      <c r="J8" s="3"/>
      <c r="K8" s="3"/>
      <c r="L8" s="3"/>
      <c r="M8" s="3"/>
      <c r="N8" s="3"/>
      <c r="O8" s="3"/>
      <c r="P8" s="3"/>
      <c r="Q8" s="3"/>
      <c r="R8" s="3"/>
      <c r="S8" s="12"/>
      <c r="T8" s="12"/>
      <c r="U8" s="12"/>
      <c r="V8" s="14"/>
      <c r="X8" s="8"/>
      <c r="Y8" s="8"/>
      <c r="Z8" s="8"/>
      <c r="AA8" s="8"/>
      <c r="AB8" s="8"/>
      <c r="AC8" s="8"/>
      <c r="AD8" s="8"/>
      <c r="AE8" s="8"/>
      <c r="AJ8" s="193" t="s">
        <v>187</v>
      </c>
      <c r="AK8" s="195">
        <f>'V Calc'!B4</f>
        <v>0.875</v>
      </c>
      <c r="AL8" s="124"/>
    </row>
    <row r="9" spans="1:55" ht="15" customHeight="1" thickBot="1" x14ac:dyDescent="0.25">
      <c r="A9" s="34"/>
      <c r="B9" s="29"/>
      <c r="C9" s="29"/>
      <c r="D9" s="29"/>
      <c r="E9" s="29"/>
      <c r="F9" s="15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16"/>
      <c r="T9" s="16"/>
      <c r="U9" s="16"/>
      <c r="V9" s="17"/>
      <c r="X9" s="8"/>
      <c r="Y9" s="8"/>
      <c r="Z9" s="8"/>
      <c r="AA9" s="8"/>
      <c r="AB9" s="8"/>
      <c r="AC9" s="8"/>
      <c r="AD9" s="8"/>
      <c r="AE9" s="8"/>
      <c r="AJ9" s="196" t="s">
        <v>188</v>
      </c>
      <c r="AK9" s="197">
        <f>'V Calc'!B5</f>
        <v>158.47</v>
      </c>
      <c r="AL9" s="198"/>
    </row>
    <row r="10" spans="1:55" s="9" customFormat="1" ht="30" customHeight="1" x14ac:dyDescent="0.2">
      <c r="A10" s="513" t="s">
        <v>20</v>
      </c>
      <c r="B10" s="514"/>
      <c r="C10" s="514"/>
      <c r="D10" s="514"/>
      <c r="E10" s="514"/>
      <c r="F10" s="514"/>
      <c r="G10" s="514"/>
      <c r="H10" s="514"/>
      <c r="I10" s="514"/>
      <c r="J10" s="514"/>
      <c r="K10" s="514"/>
      <c r="L10" s="514"/>
      <c r="M10" s="514"/>
      <c r="N10" s="514"/>
      <c r="O10" s="514"/>
      <c r="P10" s="514"/>
      <c r="Q10" s="514"/>
      <c r="R10" s="514"/>
      <c r="S10" s="514"/>
      <c r="T10" s="514"/>
      <c r="U10" s="514"/>
      <c r="V10" s="515"/>
      <c r="X10" s="96"/>
      <c r="Y10" s="96"/>
      <c r="Z10" s="96"/>
      <c r="AA10" s="96"/>
      <c r="AB10" s="96"/>
      <c r="AC10" s="96"/>
      <c r="AJ10" s="193" t="s">
        <v>189</v>
      </c>
      <c r="AK10" s="199">
        <f>'V Calc'!B6</f>
        <v>0.63607464142166403</v>
      </c>
      <c r="AL10" s="198" t="s">
        <v>190</v>
      </c>
    </row>
    <row r="11" spans="1:55" s="9" customFormat="1" ht="20.100000000000001" customHeight="1" thickBot="1" x14ac:dyDescent="0.25">
      <c r="A11" s="516" t="s">
        <v>21</v>
      </c>
      <c r="B11" s="517"/>
      <c r="C11" s="517"/>
      <c r="D11" s="517"/>
      <c r="E11" s="517"/>
      <c r="F11" s="517"/>
      <c r="G11" s="517"/>
      <c r="H11" s="517"/>
      <c r="I11" s="517"/>
      <c r="J11" s="517"/>
      <c r="K11" s="517"/>
      <c r="L11" s="517"/>
      <c r="M11" s="517"/>
      <c r="N11" s="517"/>
      <c r="O11" s="517"/>
      <c r="P11" s="517"/>
      <c r="Q11" s="517"/>
      <c r="R11" s="517"/>
      <c r="S11" s="517"/>
      <c r="T11" s="517"/>
      <c r="U11" s="517"/>
      <c r="V11" s="518"/>
      <c r="X11" s="97"/>
      <c r="Y11" s="97"/>
      <c r="Z11" s="97"/>
      <c r="AA11" s="97"/>
      <c r="AB11" s="97"/>
      <c r="AC11" s="97"/>
    </row>
    <row r="12" spans="1:55" s="6" customFormat="1" ht="30" customHeight="1" thickBot="1" x14ac:dyDescent="0.3">
      <c r="A12" s="18"/>
      <c r="B12" s="20"/>
      <c r="C12" s="20"/>
      <c r="D12" s="19" t="s">
        <v>121</v>
      </c>
      <c r="E12" s="200" t="str">
        <f>'Day 23'!E12</f>
        <v>MPR 632  RFD</v>
      </c>
      <c r="F12" s="35"/>
      <c r="G12" s="19" t="s">
        <v>120</v>
      </c>
      <c r="H12" s="200" t="str">
        <f>IF(Volume!C$27="","",Volume!C$27)</f>
        <v>FP 65354</v>
      </c>
      <c r="I12" s="20"/>
      <c r="J12" s="19" t="s">
        <v>17</v>
      </c>
      <c r="K12" s="505">
        <f>'Day 23'!K12+1</f>
        <v>45832</v>
      </c>
      <c r="L12" s="505"/>
      <c r="M12" s="100"/>
      <c r="N12" s="19" t="s">
        <v>119</v>
      </c>
      <c r="O12" s="200" t="str">
        <f>IF(Volume!D$27="","",Volume!D$27)</f>
        <v>SP. Tambun - Cluster F</v>
      </c>
      <c r="P12" s="20"/>
      <c r="Q12" s="19" t="s">
        <v>122</v>
      </c>
      <c r="S12" s="201">
        <f>IF(Volume!E$27="","",Volume!E$27)</f>
        <v>1.25</v>
      </c>
      <c r="T12" s="20"/>
      <c r="U12" s="19" t="s">
        <v>126</v>
      </c>
      <c r="V12" s="202" t="str">
        <f>IF(Volume!F$27="","",Volume!F$27)</f>
        <v>4/0</v>
      </c>
    </row>
    <row r="13" spans="1:55" ht="30" customHeight="1" thickBot="1" x14ac:dyDescent="0.3">
      <c r="A13" s="502" t="s">
        <v>0</v>
      </c>
      <c r="B13" s="502" t="s">
        <v>213</v>
      </c>
      <c r="C13" s="502" t="s">
        <v>212</v>
      </c>
      <c r="D13" s="502" t="s">
        <v>31</v>
      </c>
      <c r="E13" s="502" t="s">
        <v>32</v>
      </c>
      <c r="F13" s="502" t="s">
        <v>2</v>
      </c>
      <c r="G13" s="502" t="s">
        <v>33</v>
      </c>
      <c r="H13" s="502" t="s">
        <v>35</v>
      </c>
      <c r="I13" s="502" t="s">
        <v>36</v>
      </c>
      <c r="J13" s="502" t="s">
        <v>110</v>
      </c>
      <c r="K13" s="502" t="s">
        <v>15</v>
      </c>
      <c r="L13" s="502" t="s">
        <v>34</v>
      </c>
      <c r="M13" s="502" t="s">
        <v>10</v>
      </c>
      <c r="N13" s="502"/>
      <c r="O13" s="506" t="s">
        <v>300</v>
      </c>
      <c r="P13" s="506" t="s">
        <v>299</v>
      </c>
      <c r="Q13" s="502" t="s">
        <v>7</v>
      </c>
      <c r="R13" s="502" t="s">
        <v>88</v>
      </c>
      <c r="S13" s="502" t="s">
        <v>8</v>
      </c>
      <c r="T13" s="502"/>
      <c r="U13" s="502"/>
      <c r="V13" s="502"/>
      <c r="X13" s="98"/>
      <c r="Y13" s="98"/>
      <c r="Z13" s="98"/>
      <c r="AA13" s="98"/>
      <c r="AB13" s="98"/>
      <c r="AC13" s="98"/>
    </row>
    <row r="14" spans="1:55" ht="30" customHeight="1" x14ac:dyDescent="0.25">
      <c r="A14" s="504"/>
      <c r="B14" s="504"/>
      <c r="C14" s="504"/>
      <c r="D14" s="504"/>
      <c r="E14" s="504"/>
      <c r="F14" s="504"/>
      <c r="G14" s="504"/>
      <c r="H14" s="504"/>
      <c r="I14" s="504"/>
      <c r="J14" s="504"/>
      <c r="K14" s="504"/>
      <c r="L14" s="504"/>
      <c r="M14" s="94" t="s">
        <v>3</v>
      </c>
      <c r="N14" s="94" t="s">
        <v>4</v>
      </c>
      <c r="O14" s="507"/>
      <c r="P14" s="507"/>
      <c r="Q14" s="504"/>
      <c r="R14" s="504"/>
      <c r="S14" s="504"/>
      <c r="T14" s="504"/>
      <c r="U14" s="504"/>
      <c r="V14" s="504"/>
      <c r="Y14" s="502" t="s">
        <v>230</v>
      </c>
      <c r="Z14" s="502"/>
      <c r="AA14" s="502"/>
      <c r="AB14" s="502"/>
      <c r="AC14" s="502"/>
      <c r="AD14" s="502" t="s">
        <v>231</v>
      </c>
      <c r="AH14" s="203" t="s">
        <v>232</v>
      </c>
      <c r="AJ14" s="520" t="s">
        <v>191</v>
      </c>
      <c r="AK14" s="520" t="s">
        <v>192</v>
      </c>
      <c r="AL14" s="520" t="s">
        <v>193</v>
      </c>
      <c r="AM14" s="520" t="s">
        <v>194</v>
      </c>
      <c r="AN14" s="520" t="s">
        <v>195</v>
      </c>
      <c r="AO14" s="506" t="s">
        <v>196</v>
      </c>
      <c r="AP14" s="506" t="s">
        <v>197</v>
      </c>
      <c r="AQ14" s="506" t="s">
        <v>198</v>
      </c>
      <c r="AR14" s="506" t="s">
        <v>188</v>
      </c>
      <c r="AS14" s="506" t="s">
        <v>199</v>
      </c>
      <c r="AT14" s="506" t="s">
        <v>200</v>
      </c>
      <c r="AU14" s="506" t="s">
        <v>201</v>
      </c>
      <c r="AV14" s="506" t="s">
        <v>202</v>
      </c>
      <c r="AW14" s="506" t="s">
        <v>203</v>
      </c>
      <c r="AX14" s="506" t="s">
        <v>204</v>
      </c>
      <c r="AY14" s="523" t="s">
        <v>205</v>
      </c>
      <c r="AZ14" s="523" t="s">
        <v>206</v>
      </c>
      <c r="BA14" s="523" t="s">
        <v>207</v>
      </c>
      <c r="BB14" s="523" t="s">
        <v>208</v>
      </c>
      <c r="BC14" s="506" t="s">
        <v>197</v>
      </c>
    </row>
    <row r="15" spans="1:55" ht="20.100000000000001" customHeight="1" thickBot="1" x14ac:dyDescent="0.3">
      <c r="A15" s="503"/>
      <c r="B15" s="95" t="s">
        <v>1</v>
      </c>
      <c r="C15" s="95" t="s">
        <v>1</v>
      </c>
      <c r="D15" s="95" t="s">
        <v>1</v>
      </c>
      <c r="E15" s="95" t="s">
        <v>1</v>
      </c>
      <c r="F15" s="95" t="s">
        <v>140</v>
      </c>
      <c r="G15" s="95" t="s">
        <v>1</v>
      </c>
      <c r="H15" s="95" t="s">
        <v>1</v>
      </c>
      <c r="I15" s="95" t="s">
        <v>1</v>
      </c>
      <c r="J15" s="95" t="s">
        <v>18</v>
      </c>
      <c r="K15" s="95" t="s">
        <v>9</v>
      </c>
      <c r="L15" s="95" t="s">
        <v>5</v>
      </c>
      <c r="M15" s="95" t="s">
        <v>5</v>
      </c>
      <c r="N15" s="95" t="s">
        <v>5</v>
      </c>
      <c r="O15" s="95" t="s">
        <v>1</v>
      </c>
      <c r="P15" s="95" t="s">
        <v>14</v>
      </c>
      <c r="Q15" s="95" t="str">
        <f>IF(MR!G17="MSCF","MSCFD","MMSCFD")</f>
        <v>MSCFD</v>
      </c>
      <c r="R15" s="95" t="str">
        <f>MR!L17</f>
        <v>BPD</v>
      </c>
      <c r="S15" s="503"/>
      <c r="T15" s="503"/>
      <c r="U15" s="503"/>
      <c r="V15" s="503"/>
      <c r="X15" s="365"/>
      <c r="Y15" s="95" t="s">
        <v>123</v>
      </c>
      <c r="Z15" s="95" t="s">
        <v>124</v>
      </c>
      <c r="AA15" s="95" t="s">
        <v>125</v>
      </c>
      <c r="AB15" s="95" t="s">
        <v>51</v>
      </c>
      <c r="AC15" s="95" t="s">
        <v>48</v>
      </c>
      <c r="AD15" s="503"/>
      <c r="AH15" s="204" t="s">
        <v>228</v>
      </c>
      <c r="AJ15" s="521"/>
      <c r="AK15" s="521"/>
      <c r="AL15" s="521"/>
      <c r="AM15" s="521"/>
      <c r="AN15" s="521"/>
      <c r="AO15" s="522"/>
      <c r="AP15" s="522"/>
      <c r="AQ15" s="522"/>
      <c r="AR15" s="522"/>
      <c r="AS15" s="522"/>
      <c r="AT15" s="522"/>
      <c r="AU15" s="522"/>
      <c r="AV15" s="522"/>
      <c r="AW15" s="522"/>
      <c r="AX15" s="522"/>
      <c r="AY15" s="524"/>
      <c r="AZ15" s="524"/>
      <c r="BA15" s="524"/>
      <c r="BB15" s="524"/>
      <c r="BC15" s="522"/>
    </row>
    <row r="16" spans="1:55" ht="20.100000000000001" customHeight="1" x14ac:dyDescent="0.2">
      <c r="A16" s="44">
        <v>4.1666666666666664E-2</v>
      </c>
      <c r="B16" s="450"/>
      <c r="C16" s="450"/>
      <c r="D16" s="450">
        <v>6.9</v>
      </c>
      <c r="E16" s="450">
        <v>60.3</v>
      </c>
      <c r="F16" s="40">
        <v>1922</v>
      </c>
      <c r="G16" s="36">
        <v>-5.5</v>
      </c>
      <c r="H16" s="36">
        <v>72.8</v>
      </c>
      <c r="I16" s="36">
        <v>22.8</v>
      </c>
      <c r="J16" s="40">
        <v>630</v>
      </c>
      <c r="K16" s="36">
        <v>13</v>
      </c>
      <c r="L16" s="450">
        <v>125</v>
      </c>
      <c r="M16" s="450">
        <v>220</v>
      </c>
      <c r="N16" s="450">
        <v>85</v>
      </c>
      <c r="O16" s="352">
        <v>40</v>
      </c>
      <c r="P16" s="352">
        <v>11</v>
      </c>
      <c r="Q16" s="352">
        <v>219.65</v>
      </c>
      <c r="R16" s="36"/>
      <c r="S16" s="519" t="str">
        <f t="shared" ref="S16:S32" si="0">IF(Z16="",IF(AD16="","",AD16),CONCATENATE(TEXT(Z16,"[hh]:mm"),IF(AA16="",""," - "&amp;TEXT(AA16,"[hh]:mm")),IF(Y16="",""," "&amp;Y16&amp;"/")," "&amp;AD16))</f>
        <v/>
      </c>
      <c r="T16" s="519"/>
      <c r="U16" s="519"/>
      <c r="V16" s="519"/>
      <c r="X16" s="44">
        <v>4.1666666666666664E-2</v>
      </c>
      <c r="Y16" s="105"/>
      <c r="Z16" s="101"/>
      <c r="AA16" s="101"/>
      <c r="AB16" s="44" t="str">
        <f>IF(Y16="STBY",AA16-Z16,"")</f>
        <v/>
      </c>
      <c r="AC16" s="44" t="str">
        <f t="shared" ref="AC16:AC39" si="1">IF(Y16="SD",AA16-Z16,"")</f>
        <v/>
      </c>
      <c r="AD16" s="355"/>
      <c r="AE16" s="9" t="str">
        <f>IF(S16="","",IF(COUNTA(Z16:$Z$39)=1,IF(COUNTA(AD16:$AD$39)=1,""," ; "),IF(COUNTA(AD16:$AD$39)=1,IF(Z16="",""," ; ")," ; ")))</f>
        <v/>
      </c>
      <c r="AF16" s="9" t="str">
        <f t="shared" ref="AF16:AF39" si="2">CONCATENATE(S16,AE16)</f>
        <v/>
      </c>
      <c r="AG16" s="90" t="str">
        <f t="shared" ref="AG16:AG39" si="3">IF(AND(COUNTBLANK(N16:P16)&lt;3,Q16=""),"CEK : Data Flowrate","")</f>
        <v/>
      </c>
      <c r="AH16" s="204" t="s">
        <v>229</v>
      </c>
      <c r="AJ16" s="205">
        <f>AK5</f>
        <v>500</v>
      </c>
      <c r="AK16" s="205">
        <f>AK6</f>
        <v>100</v>
      </c>
      <c r="AL16" s="206">
        <f>AK7</f>
        <v>2</v>
      </c>
      <c r="AM16" s="207">
        <f>AK8</f>
        <v>0.875</v>
      </c>
      <c r="AN16" s="208">
        <f>AK10</f>
        <v>0.63607464142166403</v>
      </c>
      <c r="AO16" s="209">
        <f t="shared" ref="AO16:AO39" si="4">T16^2*AJ16/100-14.7</f>
        <v>-14.7</v>
      </c>
      <c r="AP16" s="210">
        <f t="shared" ref="AP16:AP39" si="5">IF(AO16&lt;100,1,BC16)</f>
        <v>1</v>
      </c>
      <c r="AQ16" s="210">
        <f t="shared" ref="AQ16:AQ39" si="6">(1/AP16)^0.5</f>
        <v>1</v>
      </c>
      <c r="AR16" s="52">
        <f>AK9</f>
        <v>158.47</v>
      </c>
      <c r="AS16" s="210">
        <f t="shared" ref="AS16:AS39" si="7">(520/(460+N16))^0.5</f>
        <v>0.97679498379494789</v>
      </c>
      <c r="AT16" s="210">
        <f t="shared" ref="AT16:AT39" si="8">(1/AN16)^0.5</f>
        <v>1.2538510821608391</v>
      </c>
      <c r="AU16" s="210">
        <f t="shared" ref="AU16:AU39" si="9">0.01*(AJ16*AK16)^0.5</f>
        <v>2.2360679774997898</v>
      </c>
      <c r="AV16" s="211">
        <f t="shared" ref="AV16:AV39" si="10">0.024*AQ16*AR16*AS16*AT16*AU16</f>
        <v>10.415801185754333</v>
      </c>
      <c r="AW16" s="210">
        <f t="shared" ref="AW16:AW39" si="11">(AO16+14.7)/(697.2-43*AN16)</f>
        <v>0</v>
      </c>
      <c r="AX16" s="212">
        <f t="shared" ref="AX16:AX39" si="12">(N16+460)/(315.1*AN16+170.4)</f>
        <v>1.4696875479799241</v>
      </c>
      <c r="AY16" s="210">
        <f t="shared" ref="AY16:AY39" si="13">0.3379*LN(LN(AX16))+1.091</f>
        <v>0.76851414128953044</v>
      </c>
      <c r="AZ16" s="211">
        <f t="shared" ref="AZ16:AZ39" si="14">21.46*AY16-11.9*AY16^2-5.9</f>
        <v>3.5640070462657096</v>
      </c>
      <c r="BA16" s="210">
        <f t="shared" ref="BA16:BA39" si="15">AW16/AZ16</f>
        <v>0</v>
      </c>
      <c r="BB16" s="210">
        <f t="shared" ref="BB16:BB39" si="16">(1.1+0.26*AX16+(1.04-1.42*AX16)*BA16)*2.718^BA16/AX16</f>
        <v>1.0084584063544275</v>
      </c>
      <c r="BC16" s="210">
        <f t="shared" ref="BC16:BC39" si="17">1+(AY16-1)*SIN((90*BA16)/57.29578)^BB16</f>
        <v>1</v>
      </c>
    </row>
    <row r="17" spans="1:55" ht="20.100000000000001" customHeight="1" x14ac:dyDescent="0.2">
      <c r="A17" s="45">
        <v>8.3333333333333301E-2</v>
      </c>
      <c r="B17" s="451"/>
      <c r="C17" s="451"/>
      <c r="D17" s="451">
        <v>6.5</v>
      </c>
      <c r="E17" s="451">
        <v>60.7</v>
      </c>
      <c r="F17" s="41">
        <v>1941</v>
      </c>
      <c r="G17" s="37">
        <v>-5.5</v>
      </c>
      <c r="H17" s="37">
        <v>72.400000000000006</v>
      </c>
      <c r="I17" s="37">
        <v>22.7</v>
      </c>
      <c r="J17" s="41">
        <v>631</v>
      </c>
      <c r="K17" s="37">
        <v>13</v>
      </c>
      <c r="L17" s="451">
        <v>123</v>
      </c>
      <c r="M17" s="451">
        <v>220</v>
      </c>
      <c r="N17" s="451">
        <v>85</v>
      </c>
      <c r="O17" s="353">
        <v>40</v>
      </c>
      <c r="P17" s="353">
        <v>12</v>
      </c>
      <c r="Q17" s="353">
        <v>229.34</v>
      </c>
      <c r="R17" s="37"/>
      <c r="S17" s="508" t="str">
        <f t="shared" si="0"/>
        <v/>
      </c>
      <c r="T17" s="508"/>
      <c r="U17" s="508"/>
      <c r="V17" s="508"/>
      <c r="X17" s="45">
        <v>8.3333333333333301E-2</v>
      </c>
      <c r="Y17" s="106"/>
      <c r="Z17" s="102"/>
      <c r="AA17" s="102"/>
      <c r="AB17" s="45" t="str">
        <f t="shared" ref="AB17:AB39" si="18">IF(Y17="STBY",AA17-Z17,"")</f>
        <v/>
      </c>
      <c r="AC17" s="45" t="str">
        <f t="shared" si="1"/>
        <v/>
      </c>
      <c r="AD17" s="81"/>
      <c r="AE17" s="9" t="str">
        <f>IF(S17="","",IF(COUNTA(Z17:$Z$39)=1,IF(COUNTA(AD17:$AD$39)=1,""," ; "),IF(COUNTA(AD17:$AD$39)=1,IF(Z17="",""," ; ")," ; ")))</f>
        <v/>
      </c>
      <c r="AF17" s="9" t="str">
        <f t="shared" si="2"/>
        <v/>
      </c>
      <c r="AG17" s="90" t="str">
        <f t="shared" si="3"/>
        <v/>
      </c>
      <c r="AH17" s="204" t="s">
        <v>289</v>
      </c>
      <c r="AJ17" s="206">
        <f t="shared" ref="AJ17:AN32" si="19">AJ16</f>
        <v>500</v>
      </c>
      <c r="AK17" s="206">
        <f t="shared" si="19"/>
        <v>100</v>
      </c>
      <c r="AL17" s="206">
        <f>AL16</f>
        <v>2</v>
      </c>
      <c r="AM17" s="213">
        <f>AM16</f>
        <v>0.875</v>
      </c>
      <c r="AN17" s="214">
        <f>AN16</f>
        <v>0.63607464142166403</v>
      </c>
      <c r="AO17" s="215">
        <f t="shared" si="4"/>
        <v>-14.7</v>
      </c>
      <c r="AP17" s="216">
        <f t="shared" si="5"/>
        <v>1</v>
      </c>
      <c r="AQ17" s="216">
        <f t="shared" si="6"/>
        <v>1</v>
      </c>
      <c r="AR17" s="215">
        <f>AR16</f>
        <v>158.47</v>
      </c>
      <c r="AS17" s="216">
        <f t="shared" si="7"/>
        <v>0.97679498379494789</v>
      </c>
      <c r="AT17" s="216">
        <f t="shared" si="8"/>
        <v>1.2538510821608391</v>
      </c>
      <c r="AU17" s="216">
        <f t="shared" si="9"/>
        <v>2.2360679774997898</v>
      </c>
      <c r="AV17" s="217">
        <f t="shared" si="10"/>
        <v>10.415801185754333</v>
      </c>
      <c r="AW17" s="216">
        <f t="shared" si="11"/>
        <v>0</v>
      </c>
      <c r="AX17" s="218">
        <f t="shared" si="12"/>
        <v>1.4696875479799241</v>
      </c>
      <c r="AY17" s="216">
        <f t="shared" si="13"/>
        <v>0.76851414128953044</v>
      </c>
      <c r="AZ17" s="217">
        <f t="shared" si="14"/>
        <v>3.5640070462657096</v>
      </c>
      <c r="BA17" s="216">
        <f t="shared" si="15"/>
        <v>0</v>
      </c>
      <c r="BB17" s="216">
        <f t="shared" si="16"/>
        <v>1.0084584063544275</v>
      </c>
      <c r="BC17" s="216">
        <f t="shared" si="17"/>
        <v>1</v>
      </c>
    </row>
    <row r="18" spans="1:55" ht="20.100000000000001" customHeight="1" x14ac:dyDescent="0.2">
      <c r="A18" s="45">
        <v>0.125</v>
      </c>
      <c r="B18" s="451"/>
      <c r="C18" s="451"/>
      <c r="D18" s="451">
        <v>6.2</v>
      </c>
      <c r="E18" s="451">
        <v>60.1</v>
      </c>
      <c r="F18" s="41">
        <v>1953</v>
      </c>
      <c r="G18" s="37">
        <v>-5.5</v>
      </c>
      <c r="H18" s="37">
        <v>72.099999999999994</v>
      </c>
      <c r="I18" s="37">
        <v>22.2</v>
      </c>
      <c r="J18" s="41">
        <v>632</v>
      </c>
      <c r="K18" s="37">
        <v>13</v>
      </c>
      <c r="L18" s="451">
        <v>121</v>
      </c>
      <c r="M18" s="451">
        <v>221</v>
      </c>
      <c r="N18" s="451">
        <v>85</v>
      </c>
      <c r="O18" s="353">
        <v>40</v>
      </c>
      <c r="P18" s="353">
        <v>12</v>
      </c>
      <c r="Q18" s="353">
        <v>229.34</v>
      </c>
      <c r="R18" s="37"/>
      <c r="S18" s="508" t="str">
        <f t="shared" si="0"/>
        <v/>
      </c>
      <c r="T18" s="508"/>
      <c r="U18" s="508"/>
      <c r="V18" s="508"/>
      <c r="X18" s="45">
        <v>0.125</v>
      </c>
      <c r="Y18" s="106"/>
      <c r="Z18" s="102"/>
      <c r="AA18" s="102"/>
      <c r="AB18" s="45" t="str">
        <f t="shared" si="18"/>
        <v/>
      </c>
      <c r="AC18" s="45" t="str">
        <f t="shared" si="1"/>
        <v/>
      </c>
      <c r="AD18" s="81"/>
      <c r="AE18" s="9" t="str">
        <f>IF(S18="","",IF(COUNTA(Z18:$Z$39)=1,IF(COUNTA(AD18:$AD$39)=1,""," ; "),IF(COUNTA(AD18:$AD$39)=1,IF(Z18="",""," ; ")," ; ")))</f>
        <v/>
      </c>
      <c r="AF18" s="9" t="str">
        <f t="shared" si="2"/>
        <v/>
      </c>
      <c r="AG18" s="90" t="str">
        <f t="shared" si="3"/>
        <v/>
      </c>
      <c r="AH18" s="204" t="s">
        <v>321</v>
      </c>
      <c r="AJ18" s="206">
        <f t="shared" si="19"/>
        <v>500</v>
      </c>
      <c r="AK18" s="206">
        <f t="shared" si="19"/>
        <v>100</v>
      </c>
      <c r="AL18" s="206">
        <f t="shared" si="19"/>
        <v>2</v>
      </c>
      <c r="AM18" s="213">
        <f t="shared" si="19"/>
        <v>0.875</v>
      </c>
      <c r="AN18" s="214">
        <f t="shared" si="19"/>
        <v>0.63607464142166403</v>
      </c>
      <c r="AO18" s="215">
        <f t="shared" si="4"/>
        <v>-14.7</v>
      </c>
      <c r="AP18" s="216">
        <f t="shared" si="5"/>
        <v>1</v>
      </c>
      <c r="AQ18" s="216">
        <f t="shared" si="6"/>
        <v>1</v>
      </c>
      <c r="AR18" s="215">
        <f t="shared" ref="AR18:AR39" si="20">AR17</f>
        <v>158.47</v>
      </c>
      <c r="AS18" s="216">
        <f t="shared" si="7"/>
        <v>0.97679498379494789</v>
      </c>
      <c r="AT18" s="216">
        <f t="shared" si="8"/>
        <v>1.2538510821608391</v>
      </c>
      <c r="AU18" s="216">
        <f t="shared" si="9"/>
        <v>2.2360679774997898</v>
      </c>
      <c r="AV18" s="217">
        <f t="shared" si="10"/>
        <v>10.415801185754333</v>
      </c>
      <c r="AW18" s="216">
        <f t="shared" si="11"/>
        <v>0</v>
      </c>
      <c r="AX18" s="218">
        <f t="shared" si="12"/>
        <v>1.4696875479799241</v>
      </c>
      <c r="AY18" s="216">
        <f t="shared" si="13"/>
        <v>0.76851414128953044</v>
      </c>
      <c r="AZ18" s="217">
        <f t="shared" si="14"/>
        <v>3.5640070462657096</v>
      </c>
      <c r="BA18" s="216">
        <f t="shared" si="15"/>
        <v>0</v>
      </c>
      <c r="BB18" s="216">
        <f t="shared" si="16"/>
        <v>1.0084584063544275</v>
      </c>
      <c r="BC18" s="216">
        <f t="shared" si="17"/>
        <v>1</v>
      </c>
    </row>
    <row r="19" spans="1:55" ht="20.100000000000001" customHeight="1" x14ac:dyDescent="0.2">
      <c r="A19" s="45">
        <v>0.16666666666666699</v>
      </c>
      <c r="B19" s="451"/>
      <c r="C19" s="451"/>
      <c r="D19" s="451">
        <v>7.5</v>
      </c>
      <c r="E19" s="451">
        <v>61.3</v>
      </c>
      <c r="F19" s="41">
        <v>1961</v>
      </c>
      <c r="G19" s="37">
        <v>-5.5</v>
      </c>
      <c r="H19" s="37">
        <v>72.3</v>
      </c>
      <c r="I19" s="37">
        <v>22</v>
      </c>
      <c r="J19" s="41">
        <v>633</v>
      </c>
      <c r="K19" s="37">
        <v>13</v>
      </c>
      <c r="L19" s="451">
        <v>121</v>
      </c>
      <c r="M19" s="451">
        <v>220</v>
      </c>
      <c r="N19" s="451">
        <v>85</v>
      </c>
      <c r="O19" s="353">
        <v>40</v>
      </c>
      <c r="P19" s="353">
        <v>11</v>
      </c>
      <c r="Q19" s="353">
        <v>219.65</v>
      </c>
      <c r="R19" s="37"/>
      <c r="S19" s="508" t="str">
        <f t="shared" si="0"/>
        <v/>
      </c>
      <c r="T19" s="508"/>
      <c r="U19" s="508"/>
      <c r="V19" s="508"/>
      <c r="X19" s="45">
        <v>0.16666666666666699</v>
      </c>
      <c r="Y19" s="106"/>
      <c r="Z19" s="102"/>
      <c r="AA19" s="102"/>
      <c r="AB19" s="45" t="str">
        <f t="shared" si="18"/>
        <v/>
      </c>
      <c r="AC19" s="45" t="str">
        <f t="shared" si="1"/>
        <v/>
      </c>
      <c r="AD19" s="81"/>
      <c r="AE19" s="9" t="str">
        <f>IF(S19="","",IF(COUNTA(Z19:$Z$39)=1,IF(COUNTA(AD19:$AD$39)=1,""," ; "),IF(COUNTA(AD19:$AD$39)=1,IF(Z19="",""," ; ")," ; ")))</f>
        <v/>
      </c>
      <c r="AF19" s="9" t="str">
        <f t="shared" si="2"/>
        <v/>
      </c>
      <c r="AG19" s="90" t="str">
        <f t="shared" si="3"/>
        <v/>
      </c>
      <c r="AH19" s="204" t="s">
        <v>272</v>
      </c>
      <c r="AJ19" s="206">
        <f t="shared" si="19"/>
        <v>500</v>
      </c>
      <c r="AK19" s="206">
        <f t="shared" si="19"/>
        <v>100</v>
      </c>
      <c r="AL19" s="206">
        <f t="shared" si="19"/>
        <v>2</v>
      </c>
      <c r="AM19" s="213">
        <f t="shared" si="19"/>
        <v>0.875</v>
      </c>
      <c r="AN19" s="214">
        <f t="shared" si="19"/>
        <v>0.63607464142166403</v>
      </c>
      <c r="AO19" s="215">
        <f t="shared" si="4"/>
        <v>-14.7</v>
      </c>
      <c r="AP19" s="216">
        <f t="shared" si="5"/>
        <v>1</v>
      </c>
      <c r="AQ19" s="216">
        <f t="shared" si="6"/>
        <v>1</v>
      </c>
      <c r="AR19" s="215">
        <f t="shared" si="20"/>
        <v>158.47</v>
      </c>
      <c r="AS19" s="216">
        <f t="shared" si="7"/>
        <v>0.97679498379494789</v>
      </c>
      <c r="AT19" s="216">
        <f t="shared" si="8"/>
        <v>1.2538510821608391</v>
      </c>
      <c r="AU19" s="216">
        <f t="shared" si="9"/>
        <v>2.2360679774997898</v>
      </c>
      <c r="AV19" s="217">
        <f t="shared" si="10"/>
        <v>10.415801185754333</v>
      </c>
      <c r="AW19" s="216">
        <f t="shared" si="11"/>
        <v>0</v>
      </c>
      <c r="AX19" s="218">
        <f t="shared" si="12"/>
        <v>1.4696875479799241</v>
      </c>
      <c r="AY19" s="216">
        <f t="shared" si="13"/>
        <v>0.76851414128953044</v>
      </c>
      <c r="AZ19" s="217">
        <f t="shared" si="14"/>
        <v>3.5640070462657096</v>
      </c>
      <c r="BA19" s="216">
        <f t="shared" si="15"/>
        <v>0</v>
      </c>
      <c r="BB19" s="216">
        <f t="shared" si="16"/>
        <v>1.0084584063544275</v>
      </c>
      <c r="BC19" s="216">
        <f t="shared" si="17"/>
        <v>1</v>
      </c>
    </row>
    <row r="20" spans="1:55" ht="20.100000000000001" customHeight="1" x14ac:dyDescent="0.2">
      <c r="A20" s="45">
        <v>0.20833333333333301</v>
      </c>
      <c r="B20" s="451"/>
      <c r="C20" s="451"/>
      <c r="D20" s="451">
        <v>7.3</v>
      </c>
      <c r="E20" s="451">
        <v>61.6</v>
      </c>
      <c r="F20" s="41">
        <v>1940</v>
      </c>
      <c r="G20" s="37">
        <v>-5.5</v>
      </c>
      <c r="H20" s="37">
        <v>72</v>
      </c>
      <c r="I20" s="37">
        <v>22.2</v>
      </c>
      <c r="J20" s="41">
        <v>634</v>
      </c>
      <c r="K20" s="37">
        <v>13</v>
      </c>
      <c r="L20" s="451">
        <v>120</v>
      </c>
      <c r="M20" s="451">
        <v>220</v>
      </c>
      <c r="N20" s="451">
        <v>85</v>
      </c>
      <c r="O20" s="353">
        <v>40</v>
      </c>
      <c r="P20" s="353">
        <v>12</v>
      </c>
      <c r="Q20" s="353">
        <v>229.34</v>
      </c>
      <c r="R20" s="37"/>
      <c r="S20" s="508" t="str">
        <f t="shared" si="0"/>
        <v/>
      </c>
      <c r="T20" s="508"/>
      <c r="U20" s="508"/>
      <c r="V20" s="508"/>
      <c r="X20" s="45">
        <v>0.20833333333333301</v>
      </c>
      <c r="Y20" s="106"/>
      <c r="Z20" s="102"/>
      <c r="AA20" s="102"/>
      <c r="AB20" s="45" t="str">
        <f t="shared" si="18"/>
        <v/>
      </c>
      <c r="AC20" s="45" t="str">
        <f t="shared" si="1"/>
        <v/>
      </c>
      <c r="AD20" s="81"/>
      <c r="AE20" s="9" t="str">
        <f>IF(S20="","",IF(COUNTA(Z20:$Z$39)=1,IF(COUNTA(AD20:$AD$39)=1,""," ; "),IF(COUNTA(AD20:$AD$39)=1,IF(Z20="",""," ; ")," ; ")))</f>
        <v/>
      </c>
      <c r="AF20" s="9" t="str">
        <f t="shared" si="2"/>
        <v/>
      </c>
      <c r="AG20" s="90" t="str">
        <f t="shared" si="3"/>
        <v/>
      </c>
      <c r="AH20" s="204" t="s">
        <v>275</v>
      </c>
      <c r="AJ20" s="206">
        <f t="shared" si="19"/>
        <v>500</v>
      </c>
      <c r="AK20" s="206">
        <f t="shared" si="19"/>
        <v>100</v>
      </c>
      <c r="AL20" s="206">
        <f t="shared" si="19"/>
        <v>2</v>
      </c>
      <c r="AM20" s="213">
        <f t="shared" si="19"/>
        <v>0.875</v>
      </c>
      <c r="AN20" s="214">
        <f t="shared" si="19"/>
        <v>0.63607464142166403</v>
      </c>
      <c r="AO20" s="215">
        <f t="shared" si="4"/>
        <v>-14.7</v>
      </c>
      <c r="AP20" s="216">
        <f t="shared" si="5"/>
        <v>1</v>
      </c>
      <c r="AQ20" s="216">
        <f t="shared" si="6"/>
        <v>1</v>
      </c>
      <c r="AR20" s="215">
        <f t="shared" si="20"/>
        <v>158.47</v>
      </c>
      <c r="AS20" s="216">
        <f t="shared" si="7"/>
        <v>0.97679498379494789</v>
      </c>
      <c r="AT20" s="216">
        <f t="shared" si="8"/>
        <v>1.2538510821608391</v>
      </c>
      <c r="AU20" s="216">
        <f t="shared" si="9"/>
        <v>2.2360679774997898</v>
      </c>
      <c r="AV20" s="217">
        <f t="shared" si="10"/>
        <v>10.415801185754333</v>
      </c>
      <c r="AW20" s="216">
        <f t="shared" si="11"/>
        <v>0</v>
      </c>
      <c r="AX20" s="218">
        <f t="shared" si="12"/>
        <v>1.4696875479799241</v>
      </c>
      <c r="AY20" s="216">
        <f t="shared" si="13"/>
        <v>0.76851414128953044</v>
      </c>
      <c r="AZ20" s="217">
        <f t="shared" si="14"/>
        <v>3.5640070462657096</v>
      </c>
      <c r="BA20" s="216">
        <f t="shared" si="15"/>
        <v>0</v>
      </c>
      <c r="BB20" s="216">
        <f t="shared" si="16"/>
        <v>1.0084584063544275</v>
      </c>
      <c r="BC20" s="216">
        <f t="shared" si="17"/>
        <v>1</v>
      </c>
    </row>
    <row r="21" spans="1:55" ht="20.100000000000001" customHeight="1" x14ac:dyDescent="0.2">
      <c r="A21" s="45">
        <v>0.25</v>
      </c>
      <c r="B21" s="451"/>
      <c r="C21" s="451"/>
      <c r="D21" s="451">
        <v>6.8</v>
      </c>
      <c r="E21" s="451">
        <v>61.1</v>
      </c>
      <c r="F21" s="41">
        <v>1966</v>
      </c>
      <c r="G21" s="37">
        <v>-5.5</v>
      </c>
      <c r="H21" s="37">
        <v>72.3</v>
      </c>
      <c r="I21" s="37">
        <v>22.1</v>
      </c>
      <c r="J21" s="41">
        <v>635</v>
      </c>
      <c r="K21" s="37">
        <v>13</v>
      </c>
      <c r="L21" s="451">
        <v>121</v>
      </c>
      <c r="M21" s="451">
        <v>221</v>
      </c>
      <c r="N21" s="451">
        <v>85</v>
      </c>
      <c r="O21" s="353">
        <v>40</v>
      </c>
      <c r="P21" s="353">
        <v>12</v>
      </c>
      <c r="Q21" s="353">
        <v>229.34</v>
      </c>
      <c r="R21" s="37"/>
      <c r="S21" s="508" t="str">
        <f t="shared" si="0"/>
        <v/>
      </c>
      <c r="T21" s="508"/>
      <c r="U21" s="508"/>
      <c r="V21" s="508"/>
      <c r="X21" s="45">
        <v>0.25</v>
      </c>
      <c r="Y21" s="106"/>
      <c r="Z21" s="102"/>
      <c r="AA21" s="102"/>
      <c r="AB21" s="45" t="str">
        <f t="shared" si="18"/>
        <v/>
      </c>
      <c r="AC21" s="45" t="str">
        <f t="shared" si="1"/>
        <v/>
      </c>
      <c r="AD21" s="81"/>
      <c r="AE21" s="9" t="str">
        <f>IF(S21="","",IF(COUNTA(Z21:$Z$39)=1,IF(COUNTA(AD21:$AD$39)=1,""," ; "),IF(COUNTA(AD21:$AD$39)=1,IF(Z21="",""," ; ")," ; ")))</f>
        <v/>
      </c>
      <c r="AF21" s="9" t="str">
        <f t="shared" si="2"/>
        <v/>
      </c>
      <c r="AG21" s="90" t="str">
        <f t="shared" si="3"/>
        <v/>
      </c>
      <c r="AH21" s="204" t="s">
        <v>322</v>
      </c>
      <c r="AJ21" s="206">
        <f t="shared" si="19"/>
        <v>500</v>
      </c>
      <c r="AK21" s="206">
        <f t="shared" si="19"/>
        <v>100</v>
      </c>
      <c r="AL21" s="206">
        <f t="shared" si="19"/>
        <v>2</v>
      </c>
      <c r="AM21" s="213">
        <f t="shared" si="19"/>
        <v>0.875</v>
      </c>
      <c r="AN21" s="214">
        <f t="shared" si="19"/>
        <v>0.63607464142166403</v>
      </c>
      <c r="AO21" s="215">
        <f t="shared" si="4"/>
        <v>-14.7</v>
      </c>
      <c r="AP21" s="216">
        <f t="shared" si="5"/>
        <v>1</v>
      </c>
      <c r="AQ21" s="216">
        <f t="shared" si="6"/>
        <v>1</v>
      </c>
      <c r="AR21" s="215">
        <f t="shared" si="20"/>
        <v>158.47</v>
      </c>
      <c r="AS21" s="216">
        <f t="shared" si="7"/>
        <v>0.97679498379494789</v>
      </c>
      <c r="AT21" s="216">
        <f t="shared" si="8"/>
        <v>1.2538510821608391</v>
      </c>
      <c r="AU21" s="216">
        <f t="shared" si="9"/>
        <v>2.2360679774997898</v>
      </c>
      <c r="AV21" s="217">
        <f t="shared" si="10"/>
        <v>10.415801185754333</v>
      </c>
      <c r="AW21" s="216">
        <f t="shared" si="11"/>
        <v>0</v>
      </c>
      <c r="AX21" s="218">
        <f t="shared" si="12"/>
        <v>1.4696875479799241</v>
      </c>
      <c r="AY21" s="216">
        <f t="shared" si="13"/>
        <v>0.76851414128953044</v>
      </c>
      <c r="AZ21" s="217">
        <f t="shared" si="14"/>
        <v>3.5640070462657096</v>
      </c>
      <c r="BA21" s="216">
        <f t="shared" si="15"/>
        <v>0</v>
      </c>
      <c r="BB21" s="216">
        <f t="shared" si="16"/>
        <v>1.0084584063544275</v>
      </c>
      <c r="BC21" s="216">
        <f t="shared" si="17"/>
        <v>1</v>
      </c>
    </row>
    <row r="22" spans="1:55" ht="20.100000000000001" customHeight="1" x14ac:dyDescent="0.2">
      <c r="A22" s="45">
        <v>0.29166666666666702</v>
      </c>
      <c r="B22" s="451"/>
      <c r="C22" s="451"/>
      <c r="D22" s="451">
        <v>6.3</v>
      </c>
      <c r="E22" s="451">
        <v>61.3</v>
      </c>
      <c r="F22" s="41">
        <v>1940</v>
      </c>
      <c r="G22" s="37">
        <v>-5.5</v>
      </c>
      <c r="H22" s="37">
        <v>72.599999999999994</v>
      </c>
      <c r="I22" s="37">
        <v>22.8</v>
      </c>
      <c r="J22" s="41">
        <v>636</v>
      </c>
      <c r="K22" s="37">
        <v>13</v>
      </c>
      <c r="L22" s="451">
        <v>122</v>
      </c>
      <c r="M22" s="451">
        <v>222</v>
      </c>
      <c r="N22" s="451">
        <v>85</v>
      </c>
      <c r="O22" s="353">
        <v>40</v>
      </c>
      <c r="P22" s="353">
        <v>12</v>
      </c>
      <c r="Q22" s="353">
        <v>229.34</v>
      </c>
      <c r="R22" s="37"/>
      <c r="S22" s="508" t="str">
        <f t="shared" si="0"/>
        <v/>
      </c>
      <c r="T22" s="508"/>
      <c r="U22" s="508"/>
      <c r="V22" s="508"/>
      <c r="X22" s="45">
        <v>0.29166666666666702</v>
      </c>
      <c r="Y22" s="106"/>
      <c r="Z22" s="102"/>
      <c r="AA22" s="102"/>
      <c r="AB22" s="45" t="str">
        <f t="shared" si="18"/>
        <v/>
      </c>
      <c r="AC22" s="45" t="str">
        <f t="shared" si="1"/>
        <v/>
      </c>
      <c r="AD22" s="81"/>
      <c r="AE22" s="9" t="str">
        <f>IF(S22="","",IF(COUNTA(Z22:$Z$39)=1,IF(COUNTA(AD22:$AD$39)=1,""," ; "),IF(COUNTA(AD22:$AD$39)=1,IF(Z22="",""," ; ")," ; ")))</f>
        <v/>
      </c>
      <c r="AF22" s="9" t="str">
        <f t="shared" si="2"/>
        <v/>
      </c>
      <c r="AG22" s="90" t="str">
        <f t="shared" si="3"/>
        <v/>
      </c>
      <c r="AH22" s="204" t="s">
        <v>279</v>
      </c>
      <c r="AJ22" s="206">
        <f t="shared" si="19"/>
        <v>500</v>
      </c>
      <c r="AK22" s="206">
        <f t="shared" si="19"/>
        <v>100</v>
      </c>
      <c r="AL22" s="206">
        <f t="shared" si="19"/>
        <v>2</v>
      </c>
      <c r="AM22" s="213">
        <f t="shared" si="19"/>
        <v>0.875</v>
      </c>
      <c r="AN22" s="214">
        <f t="shared" si="19"/>
        <v>0.63607464142166403</v>
      </c>
      <c r="AO22" s="215">
        <f t="shared" si="4"/>
        <v>-14.7</v>
      </c>
      <c r="AP22" s="216">
        <f t="shared" si="5"/>
        <v>1</v>
      </c>
      <c r="AQ22" s="216">
        <f t="shared" si="6"/>
        <v>1</v>
      </c>
      <c r="AR22" s="215">
        <f t="shared" si="20"/>
        <v>158.47</v>
      </c>
      <c r="AS22" s="216">
        <f t="shared" si="7"/>
        <v>0.97679498379494789</v>
      </c>
      <c r="AT22" s="216">
        <f t="shared" si="8"/>
        <v>1.2538510821608391</v>
      </c>
      <c r="AU22" s="216">
        <f t="shared" si="9"/>
        <v>2.2360679774997898</v>
      </c>
      <c r="AV22" s="217">
        <f t="shared" si="10"/>
        <v>10.415801185754333</v>
      </c>
      <c r="AW22" s="216">
        <f t="shared" si="11"/>
        <v>0</v>
      </c>
      <c r="AX22" s="218">
        <f t="shared" si="12"/>
        <v>1.4696875479799241</v>
      </c>
      <c r="AY22" s="216">
        <f t="shared" si="13"/>
        <v>0.76851414128953044</v>
      </c>
      <c r="AZ22" s="217">
        <f t="shared" si="14"/>
        <v>3.5640070462657096</v>
      </c>
      <c r="BA22" s="216">
        <f t="shared" si="15"/>
        <v>0</v>
      </c>
      <c r="BB22" s="216">
        <f t="shared" si="16"/>
        <v>1.0084584063544275</v>
      </c>
      <c r="BC22" s="216">
        <f t="shared" si="17"/>
        <v>1</v>
      </c>
    </row>
    <row r="23" spans="1:55" ht="20.100000000000001" customHeight="1" x14ac:dyDescent="0.2">
      <c r="A23" s="45">
        <v>0.33333333333333298</v>
      </c>
      <c r="B23" s="451"/>
      <c r="C23" s="451"/>
      <c r="D23" s="451">
        <v>7.6</v>
      </c>
      <c r="E23" s="451">
        <v>63.8</v>
      </c>
      <c r="F23" s="41">
        <v>1951</v>
      </c>
      <c r="G23" s="37">
        <v>-5.5</v>
      </c>
      <c r="H23" s="37">
        <v>72.599999999999994</v>
      </c>
      <c r="I23" s="37">
        <v>22.3</v>
      </c>
      <c r="J23" s="41">
        <v>637</v>
      </c>
      <c r="K23" s="37">
        <v>13</v>
      </c>
      <c r="L23" s="451">
        <v>125</v>
      </c>
      <c r="M23" s="451">
        <v>225</v>
      </c>
      <c r="N23" s="451">
        <v>85</v>
      </c>
      <c r="O23" s="353">
        <v>45</v>
      </c>
      <c r="P23" s="353">
        <v>12</v>
      </c>
      <c r="Q23" s="353">
        <v>239.72</v>
      </c>
      <c r="R23" s="37"/>
      <c r="S23" s="508" t="str">
        <f t="shared" si="0"/>
        <v/>
      </c>
      <c r="T23" s="508"/>
      <c r="U23" s="508"/>
      <c r="V23" s="508"/>
      <c r="X23" s="45">
        <v>0.33333333333333298</v>
      </c>
      <c r="Y23" s="106"/>
      <c r="Z23" s="102"/>
      <c r="AA23" s="102"/>
      <c r="AB23" s="45" t="str">
        <f t="shared" si="18"/>
        <v/>
      </c>
      <c r="AC23" s="45" t="str">
        <f t="shared" si="1"/>
        <v/>
      </c>
      <c r="AD23" s="81"/>
      <c r="AE23" s="9" t="str">
        <f>IF(S23="","",IF(COUNTA(Z23:$Z$39)=1,IF(COUNTA(AD23:$AD$39)=1,""," ; "),IF(COUNTA(AD23:$AD$39)=1,IF(Z23="",""," ; ")," ; ")))</f>
        <v/>
      </c>
      <c r="AF23" s="9" t="str">
        <f t="shared" si="2"/>
        <v/>
      </c>
      <c r="AG23" s="90" t="str">
        <f t="shared" si="3"/>
        <v/>
      </c>
      <c r="AH23" s="204" t="s">
        <v>274</v>
      </c>
      <c r="AJ23" s="206">
        <f t="shared" si="19"/>
        <v>500</v>
      </c>
      <c r="AK23" s="206">
        <f t="shared" si="19"/>
        <v>100</v>
      </c>
      <c r="AL23" s="206">
        <f t="shared" si="19"/>
        <v>2</v>
      </c>
      <c r="AM23" s="213">
        <f t="shared" si="19"/>
        <v>0.875</v>
      </c>
      <c r="AN23" s="214">
        <f t="shared" si="19"/>
        <v>0.63607464142166403</v>
      </c>
      <c r="AO23" s="215">
        <f t="shared" si="4"/>
        <v>-14.7</v>
      </c>
      <c r="AP23" s="216">
        <f t="shared" si="5"/>
        <v>1</v>
      </c>
      <c r="AQ23" s="216">
        <f t="shared" si="6"/>
        <v>1</v>
      </c>
      <c r="AR23" s="215">
        <f t="shared" si="20"/>
        <v>158.47</v>
      </c>
      <c r="AS23" s="216">
        <f t="shared" si="7"/>
        <v>0.97679498379494789</v>
      </c>
      <c r="AT23" s="216">
        <f t="shared" si="8"/>
        <v>1.2538510821608391</v>
      </c>
      <c r="AU23" s="216">
        <f t="shared" si="9"/>
        <v>2.2360679774997898</v>
      </c>
      <c r="AV23" s="217">
        <f t="shared" si="10"/>
        <v>10.415801185754333</v>
      </c>
      <c r="AW23" s="216">
        <f t="shared" si="11"/>
        <v>0</v>
      </c>
      <c r="AX23" s="218">
        <f t="shared" si="12"/>
        <v>1.4696875479799241</v>
      </c>
      <c r="AY23" s="216">
        <f t="shared" si="13"/>
        <v>0.76851414128953044</v>
      </c>
      <c r="AZ23" s="217">
        <f t="shared" si="14"/>
        <v>3.5640070462657096</v>
      </c>
      <c r="BA23" s="216">
        <f t="shared" si="15"/>
        <v>0</v>
      </c>
      <c r="BB23" s="216">
        <f t="shared" si="16"/>
        <v>1.0084584063544275</v>
      </c>
      <c r="BC23" s="216">
        <f t="shared" si="17"/>
        <v>1</v>
      </c>
    </row>
    <row r="24" spans="1:55" ht="20.100000000000001" customHeight="1" x14ac:dyDescent="0.2">
      <c r="A24" s="45">
        <v>0.375</v>
      </c>
      <c r="B24" s="451"/>
      <c r="C24" s="451"/>
      <c r="D24" s="451">
        <v>7.1</v>
      </c>
      <c r="E24" s="451">
        <v>63.3</v>
      </c>
      <c r="F24" s="41">
        <v>1980</v>
      </c>
      <c r="G24" s="37">
        <v>-5.5</v>
      </c>
      <c r="H24" s="37">
        <v>72.8</v>
      </c>
      <c r="I24" s="37">
        <v>22.6</v>
      </c>
      <c r="J24" s="41">
        <v>638</v>
      </c>
      <c r="K24" s="37">
        <v>13</v>
      </c>
      <c r="L24" s="451">
        <v>127</v>
      </c>
      <c r="M24" s="451">
        <v>227</v>
      </c>
      <c r="N24" s="451">
        <v>85</v>
      </c>
      <c r="O24" s="353">
        <v>45</v>
      </c>
      <c r="P24" s="353">
        <v>12</v>
      </c>
      <c r="Q24" s="353">
        <v>239.72</v>
      </c>
      <c r="R24" s="37"/>
      <c r="S24" s="508" t="str">
        <f t="shared" si="0"/>
        <v/>
      </c>
      <c r="T24" s="508"/>
      <c r="U24" s="508"/>
      <c r="V24" s="508"/>
      <c r="X24" s="45">
        <v>0.375</v>
      </c>
      <c r="Y24" s="106"/>
      <c r="Z24" s="102"/>
      <c r="AA24" s="102"/>
      <c r="AB24" s="45" t="str">
        <f t="shared" si="18"/>
        <v/>
      </c>
      <c r="AC24" s="45" t="str">
        <f t="shared" si="1"/>
        <v/>
      </c>
      <c r="AD24" s="81"/>
      <c r="AE24" s="9" t="str">
        <f>IF(S24="","",IF(COUNTA(Z24:$Z$39)=1,IF(COUNTA(AD24:$AD$39)=1,""," ; "),IF(COUNTA(AD24:$AD$39)=1,IF(Z24="",""," ; ")," ; ")))</f>
        <v/>
      </c>
      <c r="AF24" s="9" t="str">
        <f t="shared" si="2"/>
        <v/>
      </c>
      <c r="AG24" s="90" t="str">
        <f t="shared" si="3"/>
        <v/>
      </c>
      <c r="AH24" s="204" t="s">
        <v>307</v>
      </c>
      <c r="AJ24" s="206">
        <f t="shared" si="19"/>
        <v>500</v>
      </c>
      <c r="AK24" s="206">
        <f t="shared" si="19"/>
        <v>100</v>
      </c>
      <c r="AL24" s="206">
        <f t="shared" si="19"/>
        <v>2</v>
      </c>
      <c r="AM24" s="213">
        <f t="shared" si="19"/>
        <v>0.875</v>
      </c>
      <c r="AN24" s="214">
        <f t="shared" si="19"/>
        <v>0.63607464142166403</v>
      </c>
      <c r="AO24" s="215">
        <f t="shared" si="4"/>
        <v>-14.7</v>
      </c>
      <c r="AP24" s="216">
        <f t="shared" si="5"/>
        <v>1</v>
      </c>
      <c r="AQ24" s="216">
        <f t="shared" si="6"/>
        <v>1</v>
      </c>
      <c r="AR24" s="215">
        <f t="shared" si="20"/>
        <v>158.47</v>
      </c>
      <c r="AS24" s="216">
        <f t="shared" si="7"/>
        <v>0.97679498379494789</v>
      </c>
      <c r="AT24" s="216">
        <f t="shared" si="8"/>
        <v>1.2538510821608391</v>
      </c>
      <c r="AU24" s="216">
        <f t="shared" si="9"/>
        <v>2.2360679774997898</v>
      </c>
      <c r="AV24" s="217">
        <f t="shared" si="10"/>
        <v>10.415801185754333</v>
      </c>
      <c r="AW24" s="216">
        <f t="shared" si="11"/>
        <v>0</v>
      </c>
      <c r="AX24" s="218">
        <f t="shared" si="12"/>
        <v>1.4696875479799241</v>
      </c>
      <c r="AY24" s="216">
        <f t="shared" si="13"/>
        <v>0.76851414128953044</v>
      </c>
      <c r="AZ24" s="217">
        <f t="shared" si="14"/>
        <v>3.5640070462657096</v>
      </c>
      <c r="BA24" s="216">
        <f t="shared" si="15"/>
        <v>0</v>
      </c>
      <c r="BB24" s="216">
        <f t="shared" si="16"/>
        <v>1.0084584063544275</v>
      </c>
      <c r="BC24" s="216">
        <f t="shared" si="17"/>
        <v>1</v>
      </c>
    </row>
    <row r="25" spans="1:55" ht="20.100000000000001" customHeight="1" x14ac:dyDescent="0.2">
      <c r="A25" s="45">
        <v>0.41666666666666702</v>
      </c>
      <c r="B25" s="451"/>
      <c r="C25" s="451"/>
      <c r="D25" s="451">
        <v>7.3</v>
      </c>
      <c r="E25" s="451">
        <v>65.599999999999994</v>
      </c>
      <c r="F25" s="41">
        <v>1936</v>
      </c>
      <c r="G25" s="37">
        <v>-5.5</v>
      </c>
      <c r="H25" s="37">
        <v>72.3</v>
      </c>
      <c r="I25" s="37">
        <v>22.9</v>
      </c>
      <c r="J25" s="41">
        <v>639</v>
      </c>
      <c r="K25" s="37">
        <v>13</v>
      </c>
      <c r="L25" s="451">
        <v>127</v>
      </c>
      <c r="M25" s="451">
        <v>229</v>
      </c>
      <c r="N25" s="451">
        <v>85</v>
      </c>
      <c r="O25" s="353">
        <v>45</v>
      </c>
      <c r="P25" s="353">
        <v>11</v>
      </c>
      <c r="Q25" s="353">
        <v>229.59</v>
      </c>
      <c r="R25" s="37"/>
      <c r="S25" s="508" t="str">
        <f t="shared" si="0"/>
        <v/>
      </c>
      <c r="T25" s="508"/>
      <c r="U25" s="508"/>
      <c r="V25" s="508"/>
      <c r="X25" s="45">
        <v>0.41666666666666702</v>
      </c>
      <c r="Y25" s="106"/>
      <c r="Z25" s="102"/>
      <c r="AA25" s="102"/>
      <c r="AB25" s="45" t="str">
        <f t="shared" si="18"/>
        <v/>
      </c>
      <c r="AC25" s="45" t="str">
        <f t="shared" si="1"/>
        <v/>
      </c>
      <c r="AD25" s="81"/>
      <c r="AE25" s="9" t="str">
        <f>IF(S25="","",IF(COUNTA(Z25:$Z$39)=1,IF(COUNTA(AD25:$AD$39)=1,""," ; "),IF(COUNTA(AD25:$AD$39)=1,IF(Z25="",""," ; ")," ; ")))</f>
        <v/>
      </c>
      <c r="AF25" s="9" t="str">
        <f t="shared" si="2"/>
        <v/>
      </c>
      <c r="AG25" s="90" t="str">
        <f t="shared" si="3"/>
        <v/>
      </c>
      <c r="AH25" s="204" t="s">
        <v>225</v>
      </c>
      <c r="AJ25" s="206">
        <f t="shared" si="19"/>
        <v>500</v>
      </c>
      <c r="AK25" s="206">
        <f t="shared" si="19"/>
        <v>100</v>
      </c>
      <c r="AL25" s="206">
        <f t="shared" si="19"/>
        <v>2</v>
      </c>
      <c r="AM25" s="213">
        <f t="shared" si="19"/>
        <v>0.875</v>
      </c>
      <c r="AN25" s="214">
        <f t="shared" si="19"/>
        <v>0.63607464142166403</v>
      </c>
      <c r="AO25" s="215">
        <f t="shared" si="4"/>
        <v>-14.7</v>
      </c>
      <c r="AP25" s="216">
        <f t="shared" si="5"/>
        <v>1</v>
      </c>
      <c r="AQ25" s="216">
        <f t="shared" si="6"/>
        <v>1</v>
      </c>
      <c r="AR25" s="215">
        <f t="shared" si="20"/>
        <v>158.47</v>
      </c>
      <c r="AS25" s="216">
        <f t="shared" si="7"/>
        <v>0.97679498379494789</v>
      </c>
      <c r="AT25" s="216">
        <f t="shared" si="8"/>
        <v>1.2538510821608391</v>
      </c>
      <c r="AU25" s="216">
        <f t="shared" si="9"/>
        <v>2.2360679774997898</v>
      </c>
      <c r="AV25" s="217">
        <f t="shared" si="10"/>
        <v>10.415801185754333</v>
      </c>
      <c r="AW25" s="216">
        <f t="shared" si="11"/>
        <v>0</v>
      </c>
      <c r="AX25" s="218">
        <f t="shared" si="12"/>
        <v>1.4696875479799241</v>
      </c>
      <c r="AY25" s="216">
        <f t="shared" si="13"/>
        <v>0.76851414128953044</v>
      </c>
      <c r="AZ25" s="217">
        <f t="shared" si="14"/>
        <v>3.5640070462657096</v>
      </c>
      <c r="BA25" s="216">
        <f t="shared" si="15"/>
        <v>0</v>
      </c>
      <c r="BB25" s="216">
        <f t="shared" si="16"/>
        <v>1.0084584063544275</v>
      </c>
      <c r="BC25" s="216">
        <f t="shared" si="17"/>
        <v>1</v>
      </c>
    </row>
    <row r="26" spans="1:55" ht="20.100000000000001" customHeight="1" x14ac:dyDescent="0.2">
      <c r="A26" s="45">
        <v>0.45833333333333298</v>
      </c>
      <c r="B26" s="451"/>
      <c r="C26" s="451"/>
      <c r="D26" s="451">
        <v>7.4</v>
      </c>
      <c r="E26" s="451">
        <v>65.8</v>
      </c>
      <c r="F26" s="41">
        <v>1950</v>
      </c>
      <c r="G26" s="37">
        <v>-5.5</v>
      </c>
      <c r="H26" s="37">
        <v>72.599999999999994</v>
      </c>
      <c r="I26" s="37">
        <v>22.3</v>
      </c>
      <c r="J26" s="41">
        <v>640</v>
      </c>
      <c r="K26" s="37">
        <v>13</v>
      </c>
      <c r="L26" s="451">
        <v>129</v>
      </c>
      <c r="M26" s="451">
        <v>229</v>
      </c>
      <c r="N26" s="451">
        <v>85</v>
      </c>
      <c r="O26" s="353">
        <v>40</v>
      </c>
      <c r="P26" s="353">
        <v>11</v>
      </c>
      <c r="Q26" s="353">
        <v>219.65</v>
      </c>
      <c r="R26" s="37"/>
      <c r="S26" s="508" t="str">
        <f t="shared" si="0"/>
        <v/>
      </c>
      <c r="T26" s="508"/>
      <c r="U26" s="508"/>
      <c r="V26" s="508"/>
      <c r="X26" s="45">
        <v>0.45833333333333298</v>
      </c>
      <c r="Y26" s="106"/>
      <c r="Z26" s="102"/>
      <c r="AA26" s="102"/>
      <c r="AB26" s="45" t="str">
        <f t="shared" si="18"/>
        <v/>
      </c>
      <c r="AC26" s="45" t="str">
        <f t="shared" si="1"/>
        <v/>
      </c>
      <c r="AD26" s="81"/>
      <c r="AE26" s="9" t="str">
        <f>IF(S26="","",IF(COUNTA(Z26:$Z$39)=1,IF(COUNTA(AD26:$AD$39)=1,""," ; "),IF(COUNTA(AD26:$AD$39)=1,IF(Z26="",""," ; ")," ; ")))</f>
        <v/>
      </c>
      <c r="AF26" s="9" t="str">
        <f t="shared" si="2"/>
        <v/>
      </c>
      <c r="AG26" s="90" t="str">
        <f t="shared" si="3"/>
        <v/>
      </c>
      <c r="AH26" s="204" t="s">
        <v>287</v>
      </c>
      <c r="AJ26" s="206">
        <f t="shared" si="19"/>
        <v>500</v>
      </c>
      <c r="AK26" s="206">
        <f t="shared" si="19"/>
        <v>100</v>
      </c>
      <c r="AL26" s="206">
        <f t="shared" si="19"/>
        <v>2</v>
      </c>
      <c r="AM26" s="213">
        <f t="shared" si="19"/>
        <v>0.875</v>
      </c>
      <c r="AN26" s="214">
        <f t="shared" si="19"/>
        <v>0.63607464142166403</v>
      </c>
      <c r="AO26" s="215">
        <f t="shared" si="4"/>
        <v>-14.7</v>
      </c>
      <c r="AP26" s="216">
        <f t="shared" si="5"/>
        <v>1</v>
      </c>
      <c r="AQ26" s="216">
        <f t="shared" si="6"/>
        <v>1</v>
      </c>
      <c r="AR26" s="215">
        <f t="shared" si="20"/>
        <v>158.47</v>
      </c>
      <c r="AS26" s="216">
        <f t="shared" si="7"/>
        <v>0.97679498379494789</v>
      </c>
      <c r="AT26" s="216">
        <f t="shared" si="8"/>
        <v>1.2538510821608391</v>
      </c>
      <c r="AU26" s="216">
        <f t="shared" si="9"/>
        <v>2.2360679774997898</v>
      </c>
      <c r="AV26" s="217">
        <f t="shared" si="10"/>
        <v>10.415801185754333</v>
      </c>
      <c r="AW26" s="216">
        <f t="shared" si="11"/>
        <v>0</v>
      </c>
      <c r="AX26" s="218">
        <f t="shared" si="12"/>
        <v>1.4696875479799241</v>
      </c>
      <c r="AY26" s="216">
        <f t="shared" si="13"/>
        <v>0.76851414128953044</v>
      </c>
      <c r="AZ26" s="217">
        <f t="shared" si="14"/>
        <v>3.5640070462657096</v>
      </c>
      <c r="BA26" s="216">
        <f t="shared" si="15"/>
        <v>0</v>
      </c>
      <c r="BB26" s="216">
        <f t="shared" si="16"/>
        <v>1.0084584063544275</v>
      </c>
      <c r="BC26" s="216">
        <f t="shared" si="17"/>
        <v>1</v>
      </c>
    </row>
    <row r="27" spans="1:55" ht="20.100000000000001" customHeight="1" x14ac:dyDescent="0.2">
      <c r="A27" s="45">
        <v>0.5</v>
      </c>
      <c r="B27" s="451"/>
      <c r="C27" s="451"/>
      <c r="D27" s="451">
        <v>7.2</v>
      </c>
      <c r="E27" s="451">
        <v>64.099999999999994</v>
      </c>
      <c r="F27" s="41">
        <v>1986</v>
      </c>
      <c r="G27" s="37">
        <v>-5.5</v>
      </c>
      <c r="H27" s="37">
        <v>72.900000000000006</v>
      </c>
      <c r="I27" s="37">
        <v>22.5</v>
      </c>
      <c r="J27" s="41">
        <v>641</v>
      </c>
      <c r="K27" s="37">
        <v>13</v>
      </c>
      <c r="L27" s="451">
        <v>129</v>
      </c>
      <c r="M27" s="451">
        <v>231</v>
      </c>
      <c r="N27" s="451">
        <v>85</v>
      </c>
      <c r="O27" s="353">
        <v>40</v>
      </c>
      <c r="P27" s="353">
        <v>12</v>
      </c>
      <c r="Q27" s="353">
        <v>229.34</v>
      </c>
      <c r="R27" s="37"/>
      <c r="S27" s="508" t="str">
        <f t="shared" si="0"/>
        <v/>
      </c>
      <c r="T27" s="508"/>
      <c r="U27" s="508"/>
      <c r="V27" s="508"/>
      <c r="X27" s="45">
        <v>0.5</v>
      </c>
      <c r="Y27" s="106"/>
      <c r="Z27" s="102"/>
      <c r="AA27" s="102"/>
      <c r="AB27" s="45" t="str">
        <f t="shared" si="18"/>
        <v/>
      </c>
      <c r="AC27" s="45" t="str">
        <f t="shared" si="1"/>
        <v/>
      </c>
      <c r="AD27" s="81"/>
      <c r="AE27" s="9" t="str">
        <f>IF(S27="","",IF(COUNTA(Z27:$Z$39)=1,IF(COUNTA(AD27:$AD$39)=1,""," ; "),IF(COUNTA(AD27:$AD$39)=1,IF(Z27="",""," ; ")," ; ")))</f>
        <v/>
      </c>
      <c r="AF27" s="9" t="str">
        <f t="shared" si="2"/>
        <v/>
      </c>
      <c r="AG27" s="90" t="str">
        <f t="shared" si="3"/>
        <v/>
      </c>
      <c r="AH27" s="204" t="s">
        <v>276</v>
      </c>
      <c r="AJ27" s="206">
        <f t="shared" si="19"/>
        <v>500</v>
      </c>
      <c r="AK27" s="206">
        <f t="shared" si="19"/>
        <v>100</v>
      </c>
      <c r="AL27" s="206">
        <f t="shared" si="19"/>
        <v>2</v>
      </c>
      <c r="AM27" s="213">
        <f t="shared" si="19"/>
        <v>0.875</v>
      </c>
      <c r="AN27" s="214">
        <f t="shared" si="19"/>
        <v>0.63607464142166403</v>
      </c>
      <c r="AO27" s="215">
        <f t="shared" si="4"/>
        <v>-14.7</v>
      </c>
      <c r="AP27" s="216">
        <f t="shared" si="5"/>
        <v>1</v>
      </c>
      <c r="AQ27" s="216">
        <f t="shared" si="6"/>
        <v>1</v>
      </c>
      <c r="AR27" s="215">
        <f t="shared" si="20"/>
        <v>158.47</v>
      </c>
      <c r="AS27" s="216">
        <f t="shared" si="7"/>
        <v>0.97679498379494789</v>
      </c>
      <c r="AT27" s="216">
        <f t="shared" si="8"/>
        <v>1.2538510821608391</v>
      </c>
      <c r="AU27" s="216">
        <f t="shared" si="9"/>
        <v>2.2360679774997898</v>
      </c>
      <c r="AV27" s="217">
        <f t="shared" si="10"/>
        <v>10.415801185754333</v>
      </c>
      <c r="AW27" s="216">
        <f t="shared" si="11"/>
        <v>0</v>
      </c>
      <c r="AX27" s="218">
        <f t="shared" si="12"/>
        <v>1.4696875479799241</v>
      </c>
      <c r="AY27" s="216">
        <f t="shared" si="13"/>
        <v>0.76851414128953044</v>
      </c>
      <c r="AZ27" s="217">
        <f t="shared" si="14"/>
        <v>3.5640070462657096</v>
      </c>
      <c r="BA27" s="216">
        <f t="shared" si="15"/>
        <v>0</v>
      </c>
      <c r="BB27" s="216">
        <f t="shared" si="16"/>
        <v>1.0084584063544275</v>
      </c>
      <c r="BC27" s="216">
        <f t="shared" si="17"/>
        <v>1</v>
      </c>
    </row>
    <row r="28" spans="1:55" ht="20.100000000000001" customHeight="1" x14ac:dyDescent="0.2">
      <c r="A28" s="45">
        <v>0.54166666666666696</v>
      </c>
      <c r="B28" s="451"/>
      <c r="C28" s="451"/>
      <c r="D28" s="451">
        <v>6.5</v>
      </c>
      <c r="E28" s="451">
        <v>64.3</v>
      </c>
      <c r="F28" s="41">
        <v>1973</v>
      </c>
      <c r="G28" s="37">
        <v>-5.5</v>
      </c>
      <c r="H28" s="37">
        <v>72.2</v>
      </c>
      <c r="I28" s="37">
        <v>22.8</v>
      </c>
      <c r="J28" s="41">
        <v>642</v>
      </c>
      <c r="K28" s="37">
        <v>13</v>
      </c>
      <c r="L28" s="451">
        <v>129</v>
      </c>
      <c r="M28" s="451">
        <v>231</v>
      </c>
      <c r="N28" s="451">
        <v>85</v>
      </c>
      <c r="O28" s="353">
        <v>40</v>
      </c>
      <c r="P28" s="353">
        <v>14</v>
      </c>
      <c r="Q28" s="353">
        <v>247.56</v>
      </c>
      <c r="R28" s="37"/>
      <c r="S28" s="508" t="str">
        <f t="shared" si="0"/>
        <v/>
      </c>
      <c r="T28" s="508"/>
      <c r="U28" s="508"/>
      <c r="V28" s="508"/>
      <c r="X28" s="45">
        <v>0.54166666666666696</v>
      </c>
      <c r="Y28" s="106"/>
      <c r="Z28" s="102"/>
      <c r="AA28" s="102"/>
      <c r="AB28" s="45" t="str">
        <f t="shared" si="18"/>
        <v/>
      </c>
      <c r="AC28" s="45" t="str">
        <f t="shared" si="1"/>
        <v/>
      </c>
      <c r="AD28" s="81"/>
      <c r="AE28" s="9" t="str">
        <f>IF(S28="","",IF(COUNTA(Z28:$Z$39)=1,IF(COUNTA(AD28:$AD$39)=1,""," ; "),IF(COUNTA(AD28:$AD$39)=1,IF(Z28="",""," ; ")," ; ")))</f>
        <v/>
      </c>
      <c r="AF28" s="9" t="str">
        <f t="shared" si="2"/>
        <v/>
      </c>
      <c r="AG28" s="90" t="str">
        <f t="shared" si="3"/>
        <v/>
      </c>
      <c r="AH28" s="204" t="s">
        <v>278</v>
      </c>
      <c r="AJ28" s="206">
        <f t="shared" si="19"/>
        <v>500</v>
      </c>
      <c r="AK28" s="206">
        <f t="shared" si="19"/>
        <v>100</v>
      </c>
      <c r="AL28" s="206">
        <f t="shared" si="19"/>
        <v>2</v>
      </c>
      <c r="AM28" s="213">
        <f t="shared" si="19"/>
        <v>0.875</v>
      </c>
      <c r="AN28" s="214">
        <f t="shared" si="19"/>
        <v>0.63607464142166403</v>
      </c>
      <c r="AO28" s="215">
        <f t="shared" si="4"/>
        <v>-14.7</v>
      </c>
      <c r="AP28" s="216">
        <f t="shared" si="5"/>
        <v>1</v>
      </c>
      <c r="AQ28" s="216">
        <f t="shared" si="6"/>
        <v>1</v>
      </c>
      <c r="AR28" s="215">
        <f t="shared" si="20"/>
        <v>158.47</v>
      </c>
      <c r="AS28" s="216">
        <f t="shared" si="7"/>
        <v>0.97679498379494789</v>
      </c>
      <c r="AT28" s="216">
        <f t="shared" si="8"/>
        <v>1.2538510821608391</v>
      </c>
      <c r="AU28" s="216">
        <f t="shared" si="9"/>
        <v>2.2360679774997898</v>
      </c>
      <c r="AV28" s="217">
        <f t="shared" si="10"/>
        <v>10.415801185754333</v>
      </c>
      <c r="AW28" s="216">
        <f t="shared" si="11"/>
        <v>0</v>
      </c>
      <c r="AX28" s="218">
        <f t="shared" si="12"/>
        <v>1.4696875479799241</v>
      </c>
      <c r="AY28" s="216">
        <f t="shared" si="13"/>
        <v>0.76851414128953044</v>
      </c>
      <c r="AZ28" s="217">
        <f t="shared" si="14"/>
        <v>3.5640070462657096</v>
      </c>
      <c r="BA28" s="216">
        <f t="shared" si="15"/>
        <v>0</v>
      </c>
      <c r="BB28" s="216">
        <f t="shared" si="16"/>
        <v>1.0084584063544275</v>
      </c>
      <c r="BC28" s="216">
        <f t="shared" si="17"/>
        <v>1</v>
      </c>
    </row>
    <row r="29" spans="1:55" ht="20.100000000000001" customHeight="1" x14ac:dyDescent="0.2">
      <c r="A29" s="45">
        <v>0.58333333333333304</v>
      </c>
      <c r="B29" s="451"/>
      <c r="C29" s="451"/>
      <c r="D29" s="451">
        <v>6.1</v>
      </c>
      <c r="E29" s="451">
        <v>61.9</v>
      </c>
      <c r="F29" s="41">
        <v>1951</v>
      </c>
      <c r="G29" s="37">
        <v>-5.5</v>
      </c>
      <c r="H29" s="37">
        <v>72.3</v>
      </c>
      <c r="I29" s="37">
        <v>22.1</v>
      </c>
      <c r="J29" s="41">
        <v>643</v>
      </c>
      <c r="K29" s="37">
        <v>13</v>
      </c>
      <c r="L29" s="451">
        <v>132</v>
      </c>
      <c r="M29" s="451">
        <v>233</v>
      </c>
      <c r="N29" s="451">
        <v>85</v>
      </c>
      <c r="O29" s="353">
        <v>40</v>
      </c>
      <c r="P29" s="353">
        <v>14</v>
      </c>
      <c r="Q29" s="353">
        <v>247.56</v>
      </c>
      <c r="R29" s="37"/>
      <c r="S29" s="508" t="str">
        <f t="shared" si="0"/>
        <v/>
      </c>
      <c r="T29" s="508"/>
      <c r="U29" s="508"/>
      <c r="V29" s="508"/>
      <c r="X29" s="45">
        <v>0.58333333333333304</v>
      </c>
      <c r="Y29" s="106"/>
      <c r="Z29" s="102"/>
      <c r="AA29" s="102"/>
      <c r="AB29" s="45" t="str">
        <f t="shared" si="18"/>
        <v/>
      </c>
      <c r="AC29" s="45" t="str">
        <f t="shared" si="1"/>
        <v/>
      </c>
      <c r="AD29" s="81"/>
      <c r="AE29" s="9" t="str">
        <f>IF(S29="","",IF(COUNTA(Z29:$Z$39)=1,IF(COUNTA(AD29:$AD$39)=1,""," ; "),IF(COUNTA(AD29:$AD$39)=1,IF(Z29="",""," ; ")," ; ")))</f>
        <v/>
      </c>
      <c r="AF29" s="9" t="str">
        <f t="shared" si="2"/>
        <v/>
      </c>
      <c r="AG29" s="90" t="str">
        <f t="shared" si="3"/>
        <v/>
      </c>
      <c r="AH29" s="204" t="s">
        <v>224</v>
      </c>
      <c r="AJ29" s="206">
        <f t="shared" si="19"/>
        <v>500</v>
      </c>
      <c r="AK29" s="206">
        <f t="shared" si="19"/>
        <v>100</v>
      </c>
      <c r="AL29" s="206">
        <f t="shared" si="19"/>
        <v>2</v>
      </c>
      <c r="AM29" s="213">
        <f t="shared" si="19"/>
        <v>0.875</v>
      </c>
      <c r="AN29" s="214">
        <f t="shared" si="19"/>
        <v>0.63607464142166403</v>
      </c>
      <c r="AO29" s="215">
        <f t="shared" si="4"/>
        <v>-14.7</v>
      </c>
      <c r="AP29" s="216">
        <f t="shared" si="5"/>
        <v>1</v>
      </c>
      <c r="AQ29" s="216">
        <f t="shared" si="6"/>
        <v>1</v>
      </c>
      <c r="AR29" s="215">
        <f t="shared" si="20"/>
        <v>158.47</v>
      </c>
      <c r="AS29" s="216">
        <f t="shared" si="7"/>
        <v>0.97679498379494789</v>
      </c>
      <c r="AT29" s="216">
        <f t="shared" si="8"/>
        <v>1.2538510821608391</v>
      </c>
      <c r="AU29" s="216">
        <f t="shared" si="9"/>
        <v>2.2360679774997898</v>
      </c>
      <c r="AV29" s="217">
        <f t="shared" si="10"/>
        <v>10.415801185754333</v>
      </c>
      <c r="AW29" s="216">
        <f t="shared" si="11"/>
        <v>0</v>
      </c>
      <c r="AX29" s="218">
        <f t="shared" si="12"/>
        <v>1.4696875479799241</v>
      </c>
      <c r="AY29" s="216">
        <f t="shared" si="13"/>
        <v>0.76851414128953044</v>
      </c>
      <c r="AZ29" s="217">
        <f t="shared" si="14"/>
        <v>3.5640070462657096</v>
      </c>
      <c r="BA29" s="216">
        <f t="shared" si="15"/>
        <v>0</v>
      </c>
      <c r="BB29" s="216">
        <f t="shared" si="16"/>
        <v>1.0084584063544275</v>
      </c>
      <c r="BC29" s="216">
        <f t="shared" si="17"/>
        <v>1</v>
      </c>
    </row>
    <row r="30" spans="1:55" ht="20.100000000000001" customHeight="1" x14ac:dyDescent="0.2">
      <c r="A30" s="45">
        <v>0.625</v>
      </c>
      <c r="B30" s="451"/>
      <c r="C30" s="451"/>
      <c r="D30" s="451">
        <v>6.3</v>
      </c>
      <c r="E30" s="451">
        <v>61.2</v>
      </c>
      <c r="F30" s="41">
        <v>1980</v>
      </c>
      <c r="G30" s="37">
        <v>-5.5</v>
      </c>
      <c r="H30" s="37">
        <v>72.900000000000006</v>
      </c>
      <c r="I30" s="37">
        <v>22.5</v>
      </c>
      <c r="J30" s="41">
        <v>644</v>
      </c>
      <c r="K30" s="37">
        <v>13</v>
      </c>
      <c r="L30" s="451">
        <v>132</v>
      </c>
      <c r="M30" s="451">
        <v>233</v>
      </c>
      <c r="N30" s="451">
        <v>85</v>
      </c>
      <c r="O30" s="353">
        <v>40</v>
      </c>
      <c r="P30" s="353">
        <v>11</v>
      </c>
      <c r="Q30" s="353">
        <v>219.65</v>
      </c>
      <c r="R30" s="37"/>
      <c r="S30" s="508" t="str">
        <f t="shared" si="0"/>
        <v/>
      </c>
      <c r="T30" s="508"/>
      <c r="U30" s="508"/>
      <c r="V30" s="508"/>
      <c r="X30" s="45">
        <v>0.625</v>
      </c>
      <c r="Y30" s="106"/>
      <c r="Z30" s="102"/>
      <c r="AA30" s="102"/>
      <c r="AB30" s="45" t="str">
        <f t="shared" si="18"/>
        <v/>
      </c>
      <c r="AC30" s="45" t="str">
        <f t="shared" si="1"/>
        <v/>
      </c>
      <c r="AD30" s="81"/>
      <c r="AE30" s="9" t="str">
        <f>IF(S30="","",IF(COUNTA(Z30:$Z$39)=1,IF(COUNTA(AD30:$AD$39)=1,""," ; "),IF(COUNTA(AD30:$AD$39)=1,IF(Z30="",""," ; ")," ; ")))</f>
        <v/>
      </c>
      <c r="AF30" s="9" t="str">
        <f t="shared" si="2"/>
        <v/>
      </c>
      <c r="AG30" s="90" t="str">
        <f t="shared" si="3"/>
        <v/>
      </c>
      <c r="AH30" s="204" t="s">
        <v>260</v>
      </c>
      <c r="AJ30" s="206">
        <f t="shared" si="19"/>
        <v>500</v>
      </c>
      <c r="AK30" s="206">
        <f t="shared" si="19"/>
        <v>100</v>
      </c>
      <c r="AL30" s="206">
        <f t="shared" si="19"/>
        <v>2</v>
      </c>
      <c r="AM30" s="213">
        <f t="shared" si="19"/>
        <v>0.875</v>
      </c>
      <c r="AN30" s="214">
        <f t="shared" si="19"/>
        <v>0.63607464142166403</v>
      </c>
      <c r="AO30" s="215">
        <f t="shared" si="4"/>
        <v>-14.7</v>
      </c>
      <c r="AP30" s="216">
        <f t="shared" si="5"/>
        <v>1</v>
      </c>
      <c r="AQ30" s="216">
        <f t="shared" si="6"/>
        <v>1</v>
      </c>
      <c r="AR30" s="215">
        <f t="shared" si="20"/>
        <v>158.47</v>
      </c>
      <c r="AS30" s="216">
        <f t="shared" si="7"/>
        <v>0.97679498379494789</v>
      </c>
      <c r="AT30" s="216">
        <f t="shared" si="8"/>
        <v>1.2538510821608391</v>
      </c>
      <c r="AU30" s="216">
        <f t="shared" si="9"/>
        <v>2.2360679774997898</v>
      </c>
      <c r="AV30" s="217">
        <f t="shared" si="10"/>
        <v>10.415801185754333</v>
      </c>
      <c r="AW30" s="216">
        <f t="shared" si="11"/>
        <v>0</v>
      </c>
      <c r="AX30" s="218">
        <f t="shared" si="12"/>
        <v>1.4696875479799241</v>
      </c>
      <c r="AY30" s="216">
        <f t="shared" si="13"/>
        <v>0.76851414128953044</v>
      </c>
      <c r="AZ30" s="217">
        <f t="shared" si="14"/>
        <v>3.5640070462657096</v>
      </c>
      <c r="BA30" s="216">
        <f t="shared" si="15"/>
        <v>0</v>
      </c>
      <c r="BB30" s="216">
        <f t="shared" si="16"/>
        <v>1.0084584063544275</v>
      </c>
      <c r="BC30" s="216">
        <f t="shared" si="17"/>
        <v>1</v>
      </c>
    </row>
    <row r="31" spans="1:55" ht="20.100000000000001" customHeight="1" x14ac:dyDescent="0.2">
      <c r="A31" s="45">
        <v>0.66666666666666696</v>
      </c>
      <c r="B31" s="451"/>
      <c r="C31" s="451"/>
      <c r="D31" s="451">
        <v>6.9</v>
      </c>
      <c r="E31" s="451">
        <v>62.6</v>
      </c>
      <c r="F31" s="41">
        <v>1961</v>
      </c>
      <c r="G31" s="37">
        <v>-5.5</v>
      </c>
      <c r="H31" s="37">
        <v>72.7</v>
      </c>
      <c r="I31" s="37">
        <v>22</v>
      </c>
      <c r="J31" s="41">
        <v>645</v>
      </c>
      <c r="K31" s="37">
        <v>13</v>
      </c>
      <c r="L31" s="451">
        <v>128</v>
      </c>
      <c r="M31" s="451">
        <v>228</v>
      </c>
      <c r="N31" s="451">
        <v>85</v>
      </c>
      <c r="O31" s="353">
        <v>40</v>
      </c>
      <c r="P31" s="353">
        <v>11</v>
      </c>
      <c r="Q31" s="353">
        <v>219.65</v>
      </c>
      <c r="R31" s="37"/>
      <c r="S31" s="508" t="str">
        <f t="shared" si="0"/>
        <v/>
      </c>
      <c r="T31" s="508"/>
      <c r="U31" s="508"/>
      <c r="V31" s="508"/>
      <c r="X31" s="45">
        <v>0.66666666666666696</v>
      </c>
      <c r="Y31" s="106"/>
      <c r="Z31" s="102"/>
      <c r="AA31" s="102"/>
      <c r="AB31" s="45" t="str">
        <f t="shared" si="18"/>
        <v/>
      </c>
      <c r="AC31" s="45" t="str">
        <f t="shared" si="1"/>
        <v/>
      </c>
      <c r="AD31" s="81"/>
      <c r="AE31" s="9" t="str">
        <f>IF(S31="","",IF(COUNTA(Z31:$Z$39)=1,IF(COUNTA(AD31:$AD$39)=1,""," ; "),IF(COUNTA(AD31:$AD$39)=1,IF(Z31="",""," ; ")," ; ")))</f>
        <v/>
      </c>
      <c r="AF31" s="9" t="str">
        <f t="shared" si="2"/>
        <v/>
      </c>
      <c r="AG31" s="90" t="str">
        <f t="shared" si="3"/>
        <v/>
      </c>
      <c r="AH31" s="204" t="s">
        <v>226</v>
      </c>
      <c r="AJ31" s="206">
        <f t="shared" si="19"/>
        <v>500</v>
      </c>
      <c r="AK31" s="206">
        <f t="shared" si="19"/>
        <v>100</v>
      </c>
      <c r="AL31" s="206">
        <f t="shared" si="19"/>
        <v>2</v>
      </c>
      <c r="AM31" s="213">
        <f t="shared" si="19"/>
        <v>0.875</v>
      </c>
      <c r="AN31" s="214">
        <f t="shared" si="19"/>
        <v>0.63607464142166403</v>
      </c>
      <c r="AO31" s="215">
        <f t="shared" si="4"/>
        <v>-14.7</v>
      </c>
      <c r="AP31" s="216">
        <f t="shared" si="5"/>
        <v>1</v>
      </c>
      <c r="AQ31" s="216">
        <f t="shared" si="6"/>
        <v>1</v>
      </c>
      <c r="AR31" s="215">
        <f t="shared" si="20"/>
        <v>158.47</v>
      </c>
      <c r="AS31" s="216">
        <f t="shared" si="7"/>
        <v>0.97679498379494789</v>
      </c>
      <c r="AT31" s="216">
        <f t="shared" si="8"/>
        <v>1.2538510821608391</v>
      </c>
      <c r="AU31" s="216">
        <f t="shared" si="9"/>
        <v>2.2360679774997898</v>
      </c>
      <c r="AV31" s="217">
        <f t="shared" si="10"/>
        <v>10.415801185754333</v>
      </c>
      <c r="AW31" s="216">
        <f t="shared" si="11"/>
        <v>0</v>
      </c>
      <c r="AX31" s="218">
        <f t="shared" si="12"/>
        <v>1.4696875479799241</v>
      </c>
      <c r="AY31" s="216">
        <f t="shared" si="13"/>
        <v>0.76851414128953044</v>
      </c>
      <c r="AZ31" s="217">
        <f t="shared" si="14"/>
        <v>3.5640070462657096</v>
      </c>
      <c r="BA31" s="216">
        <f t="shared" si="15"/>
        <v>0</v>
      </c>
      <c r="BB31" s="216">
        <f t="shared" si="16"/>
        <v>1.0084584063544275</v>
      </c>
      <c r="BC31" s="216">
        <f t="shared" si="17"/>
        <v>1</v>
      </c>
    </row>
    <row r="32" spans="1:55" ht="20.100000000000001" customHeight="1" x14ac:dyDescent="0.2">
      <c r="A32" s="45">
        <v>0.70833333333333304</v>
      </c>
      <c r="B32" s="451"/>
      <c r="C32" s="451"/>
      <c r="D32" s="451">
        <v>6.4</v>
      </c>
      <c r="E32" s="451">
        <v>62.5</v>
      </c>
      <c r="F32" s="41">
        <v>1950</v>
      </c>
      <c r="G32" s="37">
        <v>-5.5</v>
      </c>
      <c r="H32" s="37">
        <v>72.400000000000006</v>
      </c>
      <c r="I32" s="37">
        <v>22.6</v>
      </c>
      <c r="J32" s="41">
        <v>646</v>
      </c>
      <c r="K32" s="37">
        <v>13</v>
      </c>
      <c r="L32" s="451">
        <v>128</v>
      </c>
      <c r="M32" s="451">
        <v>228</v>
      </c>
      <c r="N32" s="451">
        <v>85</v>
      </c>
      <c r="O32" s="353">
        <v>40</v>
      </c>
      <c r="P32" s="353">
        <v>13</v>
      </c>
      <c r="Q32" s="353">
        <v>238.62</v>
      </c>
      <c r="R32" s="37"/>
      <c r="S32" s="508" t="str">
        <f t="shared" si="0"/>
        <v/>
      </c>
      <c r="T32" s="508"/>
      <c r="U32" s="508"/>
      <c r="V32" s="508"/>
      <c r="X32" s="45">
        <v>0.70833333333333304</v>
      </c>
      <c r="Y32" s="106"/>
      <c r="Z32" s="102"/>
      <c r="AA32" s="102"/>
      <c r="AB32" s="45" t="str">
        <f t="shared" si="18"/>
        <v/>
      </c>
      <c r="AC32" s="45" t="str">
        <f t="shared" si="1"/>
        <v/>
      </c>
      <c r="AD32" s="81"/>
      <c r="AE32" s="9" t="str">
        <f>IF(S32="","",IF(COUNTA(Z32:$Z$39)=1,IF(COUNTA(AD32:$AD$39)=1,""," ; "),IF(COUNTA(AD32:$AD$39)=1,IF(Z32="",""," ; ")," ; ")))</f>
        <v/>
      </c>
      <c r="AF32" s="9" t="str">
        <f t="shared" si="2"/>
        <v/>
      </c>
      <c r="AG32" s="90" t="str">
        <f t="shared" si="3"/>
        <v/>
      </c>
      <c r="AH32" s="204" t="s">
        <v>313</v>
      </c>
      <c r="AJ32" s="206">
        <f t="shared" si="19"/>
        <v>500</v>
      </c>
      <c r="AK32" s="206">
        <f t="shared" si="19"/>
        <v>100</v>
      </c>
      <c r="AL32" s="206">
        <f t="shared" si="19"/>
        <v>2</v>
      </c>
      <c r="AM32" s="213">
        <f t="shared" si="19"/>
        <v>0.875</v>
      </c>
      <c r="AN32" s="214">
        <f t="shared" si="19"/>
        <v>0.63607464142166403</v>
      </c>
      <c r="AO32" s="215">
        <f t="shared" si="4"/>
        <v>-14.7</v>
      </c>
      <c r="AP32" s="216">
        <f t="shared" si="5"/>
        <v>1</v>
      </c>
      <c r="AQ32" s="216">
        <f t="shared" si="6"/>
        <v>1</v>
      </c>
      <c r="AR32" s="215">
        <f t="shared" si="20"/>
        <v>158.47</v>
      </c>
      <c r="AS32" s="216">
        <f t="shared" si="7"/>
        <v>0.97679498379494789</v>
      </c>
      <c r="AT32" s="216">
        <f t="shared" si="8"/>
        <v>1.2538510821608391</v>
      </c>
      <c r="AU32" s="216">
        <f t="shared" si="9"/>
        <v>2.2360679774997898</v>
      </c>
      <c r="AV32" s="217">
        <f t="shared" si="10"/>
        <v>10.415801185754333</v>
      </c>
      <c r="AW32" s="216">
        <f t="shared" si="11"/>
        <v>0</v>
      </c>
      <c r="AX32" s="218">
        <f t="shared" si="12"/>
        <v>1.4696875479799241</v>
      </c>
      <c r="AY32" s="216">
        <f t="shared" si="13"/>
        <v>0.76851414128953044</v>
      </c>
      <c r="AZ32" s="217">
        <f t="shared" si="14"/>
        <v>3.5640070462657096</v>
      </c>
      <c r="BA32" s="216">
        <f t="shared" si="15"/>
        <v>0</v>
      </c>
      <c r="BB32" s="216">
        <f t="shared" si="16"/>
        <v>1.0084584063544275</v>
      </c>
      <c r="BC32" s="216">
        <f t="shared" si="17"/>
        <v>1</v>
      </c>
    </row>
    <row r="33" spans="1:55" ht="20.100000000000001" customHeight="1" x14ac:dyDescent="0.2">
      <c r="A33" s="45">
        <v>0.75</v>
      </c>
      <c r="B33" s="451"/>
      <c r="C33" s="451"/>
      <c r="D33" s="451">
        <v>7.5</v>
      </c>
      <c r="E33" s="451">
        <v>66.2</v>
      </c>
      <c r="F33" s="41">
        <v>1931</v>
      </c>
      <c r="G33" s="37">
        <v>-5.5</v>
      </c>
      <c r="H33" s="37">
        <v>72</v>
      </c>
      <c r="I33" s="37">
        <v>22.5</v>
      </c>
      <c r="J33" s="41">
        <v>647</v>
      </c>
      <c r="K33" s="37">
        <v>13</v>
      </c>
      <c r="L33" s="451">
        <v>130</v>
      </c>
      <c r="M33" s="451">
        <v>230</v>
      </c>
      <c r="N33" s="451">
        <v>85</v>
      </c>
      <c r="O33" s="353">
        <v>40</v>
      </c>
      <c r="P33" s="353">
        <v>12</v>
      </c>
      <c r="Q33" s="353">
        <v>229.34</v>
      </c>
      <c r="R33" s="37"/>
      <c r="S33" s="508" t="str">
        <f>IF(Z33="",IF(AD33="","",AD33),CONCATENATE(TEXT(Z33,"[hh]:mm"),IF(AA33="",""," - "&amp;TEXT(AA33,"[hh]:mm")),IF(Y33="",""," "&amp;Y33&amp;"/")," "&amp;AD33))</f>
        <v/>
      </c>
      <c r="T33" s="508"/>
      <c r="U33" s="508"/>
      <c r="V33" s="508"/>
      <c r="X33" s="45">
        <v>0.75</v>
      </c>
      <c r="Y33" s="106"/>
      <c r="Z33" s="102"/>
      <c r="AA33" s="102"/>
      <c r="AB33" s="45" t="str">
        <f t="shared" si="18"/>
        <v/>
      </c>
      <c r="AC33" s="45" t="str">
        <f t="shared" si="1"/>
        <v/>
      </c>
      <c r="AD33" s="81"/>
      <c r="AE33" s="9" t="str">
        <f>IF(S33="","",IF(COUNTA(Z33:$Z$39)=1,IF(COUNTA(AD33:$AD$39)=1,""," ; "),IF(COUNTA(AD33:$AD$39)=1,IF(Z33="",""," ; ")," ; ")))</f>
        <v/>
      </c>
      <c r="AF33" s="9" t="str">
        <f t="shared" si="2"/>
        <v/>
      </c>
      <c r="AG33" s="90" t="str">
        <f t="shared" si="3"/>
        <v/>
      </c>
      <c r="AH33" s="204" t="s">
        <v>308</v>
      </c>
      <c r="AJ33" s="206">
        <f t="shared" ref="AJ33:AN39" si="21">AJ32</f>
        <v>500</v>
      </c>
      <c r="AK33" s="206">
        <f t="shared" si="21"/>
        <v>100</v>
      </c>
      <c r="AL33" s="206">
        <f t="shared" si="21"/>
        <v>2</v>
      </c>
      <c r="AM33" s="213">
        <f t="shared" si="21"/>
        <v>0.875</v>
      </c>
      <c r="AN33" s="214">
        <f t="shared" si="21"/>
        <v>0.63607464142166403</v>
      </c>
      <c r="AO33" s="215">
        <f t="shared" si="4"/>
        <v>-14.7</v>
      </c>
      <c r="AP33" s="216">
        <f t="shared" si="5"/>
        <v>1</v>
      </c>
      <c r="AQ33" s="216">
        <f t="shared" si="6"/>
        <v>1</v>
      </c>
      <c r="AR33" s="215">
        <f t="shared" si="20"/>
        <v>158.47</v>
      </c>
      <c r="AS33" s="216">
        <f t="shared" si="7"/>
        <v>0.97679498379494789</v>
      </c>
      <c r="AT33" s="216">
        <f t="shared" si="8"/>
        <v>1.2538510821608391</v>
      </c>
      <c r="AU33" s="216">
        <f t="shared" si="9"/>
        <v>2.2360679774997898</v>
      </c>
      <c r="AV33" s="217">
        <f t="shared" si="10"/>
        <v>10.415801185754333</v>
      </c>
      <c r="AW33" s="216">
        <f t="shared" si="11"/>
        <v>0</v>
      </c>
      <c r="AX33" s="218">
        <f t="shared" si="12"/>
        <v>1.4696875479799241</v>
      </c>
      <c r="AY33" s="216">
        <f t="shared" si="13"/>
        <v>0.76851414128953044</v>
      </c>
      <c r="AZ33" s="217">
        <f t="shared" si="14"/>
        <v>3.5640070462657096</v>
      </c>
      <c r="BA33" s="216">
        <f t="shared" si="15"/>
        <v>0</v>
      </c>
      <c r="BB33" s="216">
        <f t="shared" si="16"/>
        <v>1.0084584063544275</v>
      </c>
      <c r="BC33" s="216">
        <f t="shared" si="17"/>
        <v>1</v>
      </c>
    </row>
    <row r="34" spans="1:55" ht="20.100000000000001" customHeight="1" x14ac:dyDescent="0.2">
      <c r="A34" s="45">
        <v>0.79166666666666696</v>
      </c>
      <c r="B34" s="451"/>
      <c r="C34" s="451"/>
      <c r="D34" s="451">
        <v>7.3</v>
      </c>
      <c r="E34" s="451">
        <v>66.3</v>
      </c>
      <c r="F34" s="41">
        <v>1945</v>
      </c>
      <c r="G34" s="37">
        <v>-5.5</v>
      </c>
      <c r="H34" s="37">
        <v>72.5</v>
      </c>
      <c r="I34" s="37">
        <v>22.3</v>
      </c>
      <c r="J34" s="41">
        <v>648</v>
      </c>
      <c r="K34" s="37">
        <v>13</v>
      </c>
      <c r="L34" s="451">
        <v>130</v>
      </c>
      <c r="M34" s="451">
        <v>230</v>
      </c>
      <c r="N34" s="451">
        <v>85</v>
      </c>
      <c r="O34" s="353">
        <v>40</v>
      </c>
      <c r="P34" s="353">
        <v>12</v>
      </c>
      <c r="Q34" s="353">
        <v>229.34</v>
      </c>
      <c r="R34" s="37"/>
      <c r="S34" s="508" t="str">
        <f t="shared" ref="S34:S39" si="22">IF(Z34="",IF(AD34="","",AD34),CONCATENATE(TEXT(Z34,"[hh]:mm"),IF(AA34="",""," - "&amp;TEXT(AA34,"[hh]:mm")),IF(Y34="",""," "&amp;Y34&amp;"/")," "&amp;AD34))</f>
        <v/>
      </c>
      <c r="T34" s="508"/>
      <c r="U34" s="508"/>
      <c r="V34" s="508"/>
      <c r="X34" s="45">
        <v>0.79166666666666696</v>
      </c>
      <c r="Y34" s="106"/>
      <c r="Z34" s="102"/>
      <c r="AA34" s="102"/>
      <c r="AB34" s="45" t="str">
        <f t="shared" si="18"/>
        <v/>
      </c>
      <c r="AC34" s="45" t="str">
        <f t="shared" si="1"/>
        <v/>
      </c>
      <c r="AD34" s="81"/>
      <c r="AE34" s="9" t="str">
        <f>IF(S34="","",IF(COUNTA(Z34:$Z$39)=1,IF(COUNTA(AD34:$AD$39)=1,""," ; "),IF(COUNTA(AD34:$AD$39)=1,IF(Z34="",""," ; ")," ; ")))</f>
        <v/>
      </c>
      <c r="AF34" s="9" t="str">
        <f t="shared" si="2"/>
        <v/>
      </c>
      <c r="AG34" s="90" t="str">
        <f t="shared" si="3"/>
        <v/>
      </c>
      <c r="AH34" s="204" t="s">
        <v>314</v>
      </c>
      <c r="AJ34" s="206">
        <f t="shared" si="21"/>
        <v>500</v>
      </c>
      <c r="AK34" s="206">
        <f t="shared" si="21"/>
        <v>100</v>
      </c>
      <c r="AL34" s="206">
        <f t="shared" si="21"/>
        <v>2</v>
      </c>
      <c r="AM34" s="213">
        <f t="shared" si="21"/>
        <v>0.875</v>
      </c>
      <c r="AN34" s="214">
        <f t="shared" si="21"/>
        <v>0.63607464142166403</v>
      </c>
      <c r="AO34" s="215">
        <f t="shared" si="4"/>
        <v>-14.7</v>
      </c>
      <c r="AP34" s="216">
        <f t="shared" si="5"/>
        <v>1</v>
      </c>
      <c r="AQ34" s="216">
        <f t="shared" si="6"/>
        <v>1</v>
      </c>
      <c r="AR34" s="215">
        <f t="shared" si="20"/>
        <v>158.47</v>
      </c>
      <c r="AS34" s="216">
        <f t="shared" si="7"/>
        <v>0.97679498379494789</v>
      </c>
      <c r="AT34" s="216">
        <f t="shared" si="8"/>
        <v>1.2538510821608391</v>
      </c>
      <c r="AU34" s="216">
        <f t="shared" si="9"/>
        <v>2.2360679774997898</v>
      </c>
      <c r="AV34" s="217">
        <f t="shared" si="10"/>
        <v>10.415801185754333</v>
      </c>
      <c r="AW34" s="216">
        <f t="shared" si="11"/>
        <v>0</v>
      </c>
      <c r="AX34" s="218">
        <f t="shared" si="12"/>
        <v>1.4696875479799241</v>
      </c>
      <c r="AY34" s="216">
        <f t="shared" si="13"/>
        <v>0.76851414128953044</v>
      </c>
      <c r="AZ34" s="217">
        <f t="shared" si="14"/>
        <v>3.5640070462657096</v>
      </c>
      <c r="BA34" s="216">
        <f t="shared" si="15"/>
        <v>0</v>
      </c>
      <c r="BB34" s="216">
        <f t="shared" si="16"/>
        <v>1.0084584063544275</v>
      </c>
      <c r="BC34" s="216">
        <f t="shared" si="17"/>
        <v>1</v>
      </c>
    </row>
    <row r="35" spans="1:55" ht="20.100000000000001" customHeight="1" x14ac:dyDescent="0.2">
      <c r="A35" s="45">
        <v>0.83333333333333304</v>
      </c>
      <c r="B35" s="451"/>
      <c r="C35" s="451"/>
      <c r="D35" s="451">
        <v>7.1</v>
      </c>
      <c r="E35" s="451">
        <v>64.099999999999994</v>
      </c>
      <c r="F35" s="41">
        <v>1966</v>
      </c>
      <c r="G35" s="37">
        <v>-5.5</v>
      </c>
      <c r="H35" s="37">
        <v>72.099999999999994</v>
      </c>
      <c r="I35" s="37">
        <v>22.1</v>
      </c>
      <c r="J35" s="41">
        <v>649</v>
      </c>
      <c r="K35" s="37">
        <v>13</v>
      </c>
      <c r="L35" s="451">
        <v>128</v>
      </c>
      <c r="M35" s="451">
        <v>228</v>
      </c>
      <c r="N35" s="451">
        <v>85</v>
      </c>
      <c r="O35" s="353">
        <v>40</v>
      </c>
      <c r="P35" s="353">
        <v>13</v>
      </c>
      <c r="Q35" s="353">
        <v>238.62</v>
      </c>
      <c r="R35" s="37"/>
      <c r="S35" s="508" t="str">
        <f t="shared" si="22"/>
        <v/>
      </c>
      <c r="T35" s="508"/>
      <c r="U35" s="508"/>
      <c r="V35" s="508"/>
      <c r="X35" s="45">
        <v>0.83333333333333304</v>
      </c>
      <c r="Y35" s="106"/>
      <c r="Z35" s="102"/>
      <c r="AA35" s="102"/>
      <c r="AB35" s="45" t="str">
        <f t="shared" si="18"/>
        <v/>
      </c>
      <c r="AC35" s="45" t="str">
        <f t="shared" si="1"/>
        <v/>
      </c>
      <c r="AD35" s="81"/>
      <c r="AE35" s="9" t="str">
        <f>IF(S35="","",IF(COUNTA(Z35:$Z$39)=1,IF(COUNTA(AD35:$AD$39)=1,""," ; "),IF(COUNTA(AD35:$AD$39)=1,IF(Z35="",""," ; ")," ; ")))</f>
        <v/>
      </c>
      <c r="AF35" s="9" t="str">
        <f t="shared" si="2"/>
        <v/>
      </c>
      <c r="AG35" s="90" t="str">
        <f t="shared" si="3"/>
        <v/>
      </c>
      <c r="AH35" s="204" t="s">
        <v>227</v>
      </c>
      <c r="AJ35" s="206">
        <f t="shared" si="21"/>
        <v>500</v>
      </c>
      <c r="AK35" s="206">
        <f t="shared" si="21"/>
        <v>100</v>
      </c>
      <c r="AL35" s="206">
        <f t="shared" si="21"/>
        <v>2</v>
      </c>
      <c r="AM35" s="213">
        <f t="shared" si="21"/>
        <v>0.875</v>
      </c>
      <c r="AN35" s="214">
        <f t="shared" si="21"/>
        <v>0.63607464142166403</v>
      </c>
      <c r="AO35" s="215">
        <f t="shared" si="4"/>
        <v>-14.7</v>
      </c>
      <c r="AP35" s="216">
        <f t="shared" si="5"/>
        <v>1</v>
      </c>
      <c r="AQ35" s="216">
        <f t="shared" si="6"/>
        <v>1</v>
      </c>
      <c r="AR35" s="215">
        <f t="shared" si="20"/>
        <v>158.47</v>
      </c>
      <c r="AS35" s="216">
        <f t="shared" si="7"/>
        <v>0.97679498379494789</v>
      </c>
      <c r="AT35" s="216">
        <f t="shared" si="8"/>
        <v>1.2538510821608391</v>
      </c>
      <c r="AU35" s="216">
        <f t="shared" si="9"/>
        <v>2.2360679774997898</v>
      </c>
      <c r="AV35" s="217">
        <f t="shared" si="10"/>
        <v>10.415801185754333</v>
      </c>
      <c r="AW35" s="216">
        <f t="shared" si="11"/>
        <v>0</v>
      </c>
      <c r="AX35" s="218">
        <f t="shared" si="12"/>
        <v>1.4696875479799241</v>
      </c>
      <c r="AY35" s="216">
        <f t="shared" si="13"/>
        <v>0.76851414128953044</v>
      </c>
      <c r="AZ35" s="217">
        <f t="shared" si="14"/>
        <v>3.5640070462657096</v>
      </c>
      <c r="BA35" s="216">
        <f t="shared" si="15"/>
        <v>0</v>
      </c>
      <c r="BB35" s="216">
        <f t="shared" si="16"/>
        <v>1.0084584063544275</v>
      </c>
      <c r="BC35" s="216">
        <f t="shared" si="17"/>
        <v>1</v>
      </c>
    </row>
    <row r="36" spans="1:55" ht="20.100000000000001" customHeight="1" x14ac:dyDescent="0.2">
      <c r="A36" s="45">
        <v>0.875</v>
      </c>
      <c r="B36" s="451"/>
      <c r="C36" s="451"/>
      <c r="D36" s="451">
        <v>7.3</v>
      </c>
      <c r="E36" s="451">
        <v>64.8</v>
      </c>
      <c r="F36" s="41">
        <v>1971</v>
      </c>
      <c r="G36" s="37">
        <v>-5.5</v>
      </c>
      <c r="H36" s="37">
        <v>72.8</v>
      </c>
      <c r="I36" s="37">
        <v>22.8</v>
      </c>
      <c r="J36" s="41">
        <v>650</v>
      </c>
      <c r="K36" s="37">
        <v>13</v>
      </c>
      <c r="L36" s="451">
        <v>127</v>
      </c>
      <c r="M36" s="451">
        <v>227</v>
      </c>
      <c r="N36" s="451">
        <v>85</v>
      </c>
      <c r="O36" s="353">
        <v>40</v>
      </c>
      <c r="P36" s="353">
        <v>13</v>
      </c>
      <c r="Q36" s="353">
        <v>238.62</v>
      </c>
      <c r="R36" s="37"/>
      <c r="S36" s="508" t="str">
        <f t="shared" si="22"/>
        <v/>
      </c>
      <c r="T36" s="508"/>
      <c r="U36" s="508"/>
      <c r="V36" s="508"/>
      <c r="X36" s="45">
        <v>0.875</v>
      </c>
      <c r="Y36" s="106"/>
      <c r="Z36" s="102"/>
      <c r="AA36" s="102"/>
      <c r="AB36" s="45" t="str">
        <f t="shared" si="18"/>
        <v/>
      </c>
      <c r="AC36" s="45" t="str">
        <f t="shared" si="1"/>
        <v/>
      </c>
      <c r="AD36" s="81"/>
      <c r="AE36" s="9" t="str">
        <f>IF(S36="","",IF(COUNTA(Z36:$Z$39)=1,IF(COUNTA(AD36:$AD$39)=1,""," ; "),IF(COUNTA(AD36:$AD$39)=1,IF(Z36="",""," ; ")," ; ")))</f>
        <v/>
      </c>
      <c r="AF36" s="9" t="str">
        <f t="shared" si="2"/>
        <v/>
      </c>
      <c r="AG36" s="90" t="str">
        <f t="shared" si="3"/>
        <v/>
      </c>
      <c r="AH36" s="204" t="s">
        <v>309</v>
      </c>
      <c r="AJ36" s="206">
        <f t="shared" si="21"/>
        <v>500</v>
      </c>
      <c r="AK36" s="206">
        <f t="shared" si="21"/>
        <v>100</v>
      </c>
      <c r="AL36" s="206">
        <f t="shared" si="21"/>
        <v>2</v>
      </c>
      <c r="AM36" s="213">
        <f t="shared" si="21"/>
        <v>0.875</v>
      </c>
      <c r="AN36" s="214">
        <f t="shared" si="21"/>
        <v>0.63607464142166403</v>
      </c>
      <c r="AO36" s="215">
        <f t="shared" si="4"/>
        <v>-14.7</v>
      </c>
      <c r="AP36" s="216">
        <f t="shared" si="5"/>
        <v>1</v>
      </c>
      <c r="AQ36" s="216">
        <f t="shared" si="6"/>
        <v>1</v>
      </c>
      <c r="AR36" s="215">
        <f t="shared" si="20"/>
        <v>158.47</v>
      </c>
      <c r="AS36" s="216">
        <f t="shared" si="7"/>
        <v>0.97679498379494789</v>
      </c>
      <c r="AT36" s="216">
        <f t="shared" si="8"/>
        <v>1.2538510821608391</v>
      </c>
      <c r="AU36" s="216">
        <f t="shared" si="9"/>
        <v>2.2360679774997898</v>
      </c>
      <c r="AV36" s="217">
        <f t="shared" si="10"/>
        <v>10.415801185754333</v>
      </c>
      <c r="AW36" s="216">
        <f t="shared" si="11"/>
        <v>0</v>
      </c>
      <c r="AX36" s="218">
        <f t="shared" si="12"/>
        <v>1.4696875479799241</v>
      </c>
      <c r="AY36" s="216">
        <f t="shared" si="13"/>
        <v>0.76851414128953044</v>
      </c>
      <c r="AZ36" s="217">
        <f t="shared" si="14"/>
        <v>3.5640070462657096</v>
      </c>
      <c r="BA36" s="216">
        <f t="shared" si="15"/>
        <v>0</v>
      </c>
      <c r="BB36" s="216">
        <f t="shared" si="16"/>
        <v>1.0084584063544275</v>
      </c>
      <c r="BC36" s="216">
        <f t="shared" si="17"/>
        <v>1</v>
      </c>
    </row>
    <row r="37" spans="1:55" ht="20.100000000000001" customHeight="1" x14ac:dyDescent="0.2">
      <c r="A37" s="45">
        <v>0.91666666666666696</v>
      </c>
      <c r="B37" s="451"/>
      <c r="C37" s="451"/>
      <c r="D37" s="451">
        <v>6.8</v>
      </c>
      <c r="E37" s="451">
        <v>62</v>
      </c>
      <c r="F37" s="41">
        <v>1950</v>
      </c>
      <c r="G37" s="37">
        <v>-5.5</v>
      </c>
      <c r="H37" s="37">
        <v>72.2</v>
      </c>
      <c r="I37" s="37">
        <v>22.4</v>
      </c>
      <c r="J37" s="41">
        <v>651</v>
      </c>
      <c r="K37" s="37">
        <v>13</v>
      </c>
      <c r="L37" s="451">
        <v>127</v>
      </c>
      <c r="M37" s="451">
        <v>227</v>
      </c>
      <c r="N37" s="451">
        <v>85</v>
      </c>
      <c r="O37" s="353">
        <v>40</v>
      </c>
      <c r="P37" s="353">
        <v>13</v>
      </c>
      <c r="Q37" s="353">
        <v>238.62</v>
      </c>
      <c r="R37" s="37"/>
      <c r="S37" s="508" t="str">
        <f t="shared" si="22"/>
        <v/>
      </c>
      <c r="T37" s="508"/>
      <c r="U37" s="508"/>
      <c r="V37" s="508"/>
      <c r="X37" s="45">
        <v>0.91666666666666696</v>
      </c>
      <c r="Y37" s="106"/>
      <c r="Z37" s="102"/>
      <c r="AA37" s="102"/>
      <c r="AB37" s="45" t="str">
        <f t="shared" si="18"/>
        <v/>
      </c>
      <c r="AC37" s="45" t="str">
        <f t="shared" si="1"/>
        <v/>
      </c>
      <c r="AD37" s="81"/>
      <c r="AE37" s="9" t="str">
        <f>IF(S37="","",IF(COUNTA(Z37:$Z$39)=1,IF(COUNTA(AD37:$AD$39)=1,""," ; "),IF(COUNTA(AD37:$AD$39)=1,IF(Z37="",""," ; ")," ; ")))</f>
        <v/>
      </c>
      <c r="AF37" s="9" t="str">
        <f t="shared" si="2"/>
        <v/>
      </c>
      <c r="AG37" s="90" t="str">
        <f t="shared" si="3"/>
        <v/>
      </c>
      <c r="AH37" s="204" t="s">
        <v>319</v>
      </c>
      <c r="AJ37" s="206">
        <f t="shared" si="21"/>
        <v>500</v>
      </c>
      <c r="AK37" s="206">
        <f t="shared" si="21"/>
        <v>100</v>
      </c>
      <c r="AL37" s="206">
        <f t="shared" si="21"/>
        <v>2</v>
      </c>
      <c r="AM37" s="213">
        <f t="shared" si="21"/>
        <v>0.875</v>
      </c>
      <c r="AN37" s="214">
        <f t="shared" si="21"/>
        <v>0.63607464142166403</v>
      </c>
      <c r="AO37" s="215">
        <f t="shared" si="4"/>
        <v>-14.7</v>
      </c>
      <c r="AP37" s="216">
        <f t="shared" si="5"/>
        <v>1</v>
      </c>
      <c r="AQ37" s="216">
        <f t="shared" si="6"/>
        <v>1</v>
      </c>
      <c r="AR37" s="215">
        <f t="shared" si="20"/>
        <v>158.47</v>
      </c>
      <c r="AS37" s="216">
        <f t="shared" si="7"/>
        <v>0.97679498379494789</v>
      </c>
      <c r="AT37" s="216">
        <f t="shared" si="8"/>
        <v>1.2538510821608391</v>
      </c>
      <c r="AU37" s="216">
        <f t="shared" si="9"/>
        <v>2.2360679774997898</v>
      </c>
      <c r="AV37" s="217">
        <f t="shared" si="10"/>
        <v>10.415801185754333</v>
      </c>
      <c r="AW37" s="216">
        <f t="shared" si="11"/>
        <v>0</v>
      </c>
      <c r="AX37" s="218">
        <f t="shared" si="12"/>
        <v>1.4696875479799241</v>
      </c>
      <c r="AY37" s="216">
        <f t="shared" si="13"/>
        <v>0.76851414128953044</v>
      </c>
      <c r="AZ37" s="217">
        <f t="shared" si="14"/>
        <v>3.5640070462657096</v>
      </c>
      <c r="BA37" s="216">
        <f t="shared" si="15"/>
        <v>0</v>
      </c>
      <c r="BB37" s="216">
        <f t="shared" si="16"/>
        <v>1.0084584063544275</v>
      </c>
      <c r="BC37" s="216">
        <f t="shared" si="17"/>
        <v>1</v>
      </c>
    </row>
    <row r="38" spans="1:55" ht="20.100000000000001" customHeight="1" x14ac:dyDescent="0.2">
      <c r="A38" s="45">
        <v>0.95833333333333304</v>
      </c>
      <c r="B38" s="451"/>
      <c r="C38" s="451"/>
      <c r="D38" s="451">
        <v>6.5</v>
      </c>
      <c r="E38" s="451">
        <v>62.6</v>
      </c>
      <c r="F38" s="41">
        <v>1983</v>
      </c>
      <c r="G38" s="37">
        <v>-5.5</v>
      </c>
      <c r="H38" s="37">
        <v>72.900000000000006</v>
      </c>
      <c r="I38" s="37">
        <v>22</v>
      </c>
      <c r="J38" s="41">
        <v>652</v>
      </c>
      <c r="K38" s="37">
        <v>13</v>
      </c>
      <c r="L38" s="451">
        <v>126</v>
      </c>
      <c r="M38" s="451">
        <v>224</v>
      </c>
      <c r="N38" s="451">
        <v>85</v>
      </c>
      <c r="O38" s="353">
        <v>40</v>
      </c>
      <c r="P38" s="353">
        <v>13</v>
      </c>
      <c r="Q38" s="353">
        <v>238.62</v>
      </c>
      <c r="R38" s="37"/>
      <c r="S38" s="508" t="str">
        <f t="shared" si="22"/>
        <v/>
      </c>
      <c r="T38" s="508"/>
      <c r="U38" s="508"/>
      <c r="V38" s="508"/>
      <c r="X38" s="45">
        <v>0.95833333333333304</v>
      </c>
      <c r="Y38" s="106"/>
      <c r="Z38" s="102"/>
      <c r="AA38" s="102"/>
      <c r="AB38" s="45" t="str">
        <f t="shared" si="18"/>
        <v/>
      </c>
      <c r="AC38" s="45" t="str">
        <f t="shared" si="1"/>
        <v/>
      </c>
      <c r="AD38" s="81"/>
      <c r="AE38" s="9" t="str">
        <f>IF(S38="","",IF(COUNTA(Z38:$Z$39)=1,IF(COUNTA(AD38:$AD$39)=1,""," ; "),IF(COUNTA(AD38:$AD$39)=1,IF(Z38="",""," ; ")," ; ")))</f>
        <v/>
      </c>
      <c r="AF38" s="9" t="str">
        <f t="shared" si="2"/>
        <v/>
      </c>
      <c r="AG38" s="90" t="str">
        <f t="shared" si="3"/>
        <v/>
      </c>
      <c r="AH38" s="204" t="s">
        <v>219</v>
      </c>
      <c r="AJ38" s="206">
        <f t="shared" si="21"/>
        <v>500</v>
      </c>
      <c r="AK38" s="206">
        <f t="shared" si="21"/>
        <v>100</v>
      </c>
      <c r="AL38" s="206">
        <f t="shared" si="21"/>
        <v>2</v>
      </c>
      <c r="AM38" s="213">
        <f t="shared" si="21"/>
        <v>0.875</v>
      </c>
      <c r="AN38" s="214">
        <f t="shared" si="21"/>
        <v>0.63607464142166403</v>
      </c>
      <c r="AO38" s="215">
        <f t="shared" si="4"/>
        <v>-14.7</v>
      </c>
      <c r="AP38" s="216">
        <f t="shared" si="5"/>
        <v>1</v>
      </c>
      <c r="AQ38" s="216">
        <f t="shared" si="6"/>
        <v>1</v>
      </c>
      <c r="AR38" s="215">
        <f t="shared" si="20"/>
        <v>158.47</v>
      </c>
      <c r="AS38" s="216">
        <f t="shared" si="7"/>
        <v>0.97679498379494789</v>
      </c>
      <c r="AT38" s="216">
        <f t="shared" si="8"/>
        <v>1.2538510821608391</v>
      </c>
      <c r="AU38" s="216">
        <f t="shared" si="9"/>
        <v>2.2360679774997898</v>
      </c>
      <c r="AV38" s="217">
        <f t="shared" si="10"/>
        <v>10.415801185754333</v>
      </c>
      <c r="AW38" s="216">
        <f t="shared" si="11"/>
        <v>0</v>
      </c>
      <c r="AX38" s="218">
        <f t="shared" si="12"/>
        <v>1.4696875479799241</v>
      </c>
      <c r="AY38" s="216">
        <f t="shared" si="13"/>
        <v>0.76851414128953044</v>
      </c>
      <c r="AZ38" s="217">
        <f t="shared" si="14"/>
        <v>3.5640070462657096</v>
      </c>
      <c r="BA38" s="216">
        <f t="shared" si="15"/>
        <v>0</v>
      </c>
      <c r="BB38" s="216">
        <f t="shared" si="16"/>
        <v>1.0084584063544275</v>
      </c>
      <c r="BC38" s="216">
        <f t="shared" si="17"/>
        <v>1</v>
      </c>
    </row>
    <row r="39" spans="1:55" ht="20.100000000000001" customHeight="1" thickBot="1" x14ac:dyDescent="0.25">
      <c r="A39" s="46">
        <v>1</v>
      </c>
      <c r="B39" s="451"/>
      <c r="C39" s="451"/>
      <c r="D39" s="452">
        <v>6.8</v>
      </c>
      <c r="E39" s="452">
        <v>62.2</v>
      </c>
      <c r="F39" s="42">
        <v>1940</v>
      </c>
      <c r="G39" s="37">
        <v>-5.5</v>
      </c>
      <c r="H39" s="38">
        <v>72</v>
      </c>
      <c r="I39" s="37">
        <v>22.3</v>
      </c>
      <c r="J39" s="41">
        <v>653</v>
      </c>
      <c r="K39" s="37">
        <v>13</v>
      </c>
      <c r="L39" s="452">
        <v>126</v>
      </c>
      <c r="M39" s="452">
        <v>221</v>
      </c>
      <c r="N39" s="451">
        <v>85</v>
      </c>
      <c r="O39" s="353">
        <v>40</v>
      </c>
      <c r="P39" s="353">
        <v>13</v>
      </c>
      <c r="Q39" s="354">
        <v>238.62</v>
      </c>
      <c r="R39" s="38"/>
      <c r="S39" s="512" t="str">
        <f t="shared" si="22"/>
        <v/>
      </c>
      <c r="T39" s="512"/>
      <c r="U39" s="512"/>
      <c r="V39" s="512"/>
      <c r="X39" s="46">
        <v>1</v>
      </c>
      <c r="Y39" s="107"/>
      <c r="Z39" s="103"/>
      <c r="AA39" s="103"/>
      <c r="AB39" s="46" t="str">
        <f t="shared" si="18"/>
        <v/>
      </c>
      <c r="AC39" s="46" t="str">
        <f t="shared" si="1"/>
        <v/>
      </c>
      <c r="AD39" s="82"/>
      <c r="AE39" s="9" t="str">
        <f>IF(S39="","",IF(COUNTA(Z39:$Z$39)=1,IF(COUNTA(AD39:$AD$39)=1,""," ; "),IF(COUNTA(AD39:$AD$39)=1,IF(Z39="",""," ; ")," ; ")))</f>
        <v/>
      </c>
      <c r="AF39" s="9" t="str">
        <f t="shared" si="2"/>
        <v/>
      </c>
      <c r="AG39" s="90" t="str">
        <f t="shared" si="3"/>
        <v/>
      </c>
      <c r="AH39" s="204" t="s">
        <v>220</v>
      </c>
      <c r="AJ39" s="219">
        <f t="shared" si="21"/>
        <v>500</v>
      </c>
      <c r="AK39" s="219">
        <f t="shared" si="21"/>
        <v>100</v>
      </c>
      <c r="AL39" s="219">
        <f t="shared" si="21"/>
        <v>2</v>
      </c>
      <c r="AM39" s="220">
        <f t="shared" si="21"/>
        <v>0.875</v>
      </c>
      <c r="AN39" s="221">
        <f t="shared" si="21"/>
        <v>0.63607464142166403</v>
      </c>
      <c r="AO39" s="222">
        <f t="shared" si="4"/>
        <v>-14.7</v>
      </c>
      <c r="AP39" s="223">
        <f t="shared" si="5"/>
        <v>1</v>
      </c>
      <c r="AQ39" s="223">
        <f t="shared" si="6"/>
        <v>1</v>
      </c>
      <c r="AR39" s="222">
        <f t="shared" si="20"/>
        <v>158.47</v>
      </c>
      <c r="AS39" s="223">
        <f t="shared" si="7"/>
        <v>0.97679498379494789</v>
      </c>
      <c r="AT39" s="223">
        <f t="shared" si="8"/>
        <v>1.2538510821608391</v>
      </c>
      <c r="AU39" s="223">
        <f t="shared" si="9"/>
        <v>2.2360679774997898</v>
      </c>
      <c r="AV39" s="224">
        <f t="shared" si="10"/>
        <v>10.415801185754333</v>
      </c>
      <c r="AW39" s="223">
        <f t="shared" si="11"/>
        <v>0</v>
      </c>
      <c r="AX39" s="225">
        <f t="shared" si="12"/>
        <v>1.4696875479799241</v>
      </c>
      <c r="AY39" s="223">
        <f t="shared" si="13"/>
        <v>0.76851414128953044</v>
      </c>
      <c r="AZ39" s="224">
        <f t="shared" si="14"/>
        <v>3.5640070462657096</v>
      </c>
      <c r="BA39" s="223">
        <f t="shared" si="15"/>
        <v>0</v>
      </c>
      <c r="BB39" s="223">
        <f t="shared" si="16"/>
        <v>1.0084584063544275</v>
      </c>
      <c r="BC39" s="223">
        <f t="shared" si="17"/>
        <v>1</v>
      </c>
    </row>
    <row r="40" spans="1:55" ht="20.100000000000001" customHeight="1" thickBot="1" x14ac:dyDescent="0.3">
      <c r="A40" s="53" t="s">
        <v>11</v>
      </c>
      <c r="B40" s="453" t="str">
        <f>IFERROR(ROUND(AVERAGE(B16:B39),2),"")</f>
        <v/>
      </c>
      <c r="C40" s="453" t="str">
        <f>IFERROR(ROUND(AVERAGE(C16:C39),2),"")</f>
        <v/>
      </c>
      <c r="D40" s="453">
        <f>IFERROR(ROUND(AVERAGE(D16:D39),2),"")</f>
        <v>6.9</v>
      </c>
      <c r="E40" s="453">
        <f>IFERROR(ROUND(AVERAGE(E16:E39),2),"")</f>
        <v>62.9</v>
      </c>
      <c r="F40" s="55">
        <f>IFERROR(ROUND(AVERAGE(F16:F39),0),"")</f>
        <v>1955</v>
      </c>
      <c r="G40" s="54">
        <f>IFERROR(AVERAGE(G16:G39),"")</f>
        <v>-5.5</v>
      </c>
      <c r="H40" s="54">
        <f>IFERROR(AVERAGE(H16:H39),"")</f>
        <v>72.44583333333334</v>
      </c>
      <c r="I40" s="54">
        <f>IFERROR(AVERAGE(I16:I39),"")</f>
        <v>22.408333333333335</v>
      </c>
      <c r="J40" s="71"/>
      <c r="K40" s="111">
        <f>IFERROR(AVERAGE(K16:K39),"")</f>
        <v>13</v>
      </c>
      <c r="L40" s="453">
        <f t="shared" ref="L40:P40" si="23">IFERROR(ROUND(AVERAGE(L16:L39),1),"")</f>
        <v>126.4</v>
      </c>
      <c r="M40" s="453">
        <f t="shared" si="23"/>
        <v>226</v>
      </c>
      <c r="N40" s="453">
        <f t="shared" si="23"/>
        <v>85</v>
      </c>
      <c r="O40" s="456">
        <f t="shared" si="23"/>
        <v>40.6</v>
      </c>
      <c r="P40" s="456">
        <f t="shared" si="23"/>
        <v>12.2</v>
      </c>
      <c r="Q40" s="456">
        <f>IF($I$47=1,$M$49,$Q$44)</f>
        <v>214.8</v>
      </c>
      <c r="R40" s="54" t="str">
        <f>IFERROR(ROUND(AVERAGE(R16:R39),1),"")</f>
        <v/>
      </c>
      <c r="S40" s="509"/>
      <c r="T40" s="510"/>
      <c r="U40" s="510"/>
      <c r="V40" s="511"/>
      <c r="X40" s="99"/>
      <c r="Y40" s="99"/>
      <c r="Z40" s="99"/>
      <c r="AA40" s="99"/>
      <c r="AB40" s="104">
        <f>SUM(AB16:AB39)</f>
        <v>0</v>
      </c>
      <c r="AC40" s="104">
        <f>SUM(AC16:AC39)</f>
        <v>0</v>
      </c>
      <c r="AD40" s="92" t="str">
        <f>IF(OR(COUNTBLANK(D16:E39)+COUNTBLANK(O16:P39)=0,COUNTA(S16:V39)&lt;&gt;0),"","CEK : Blank Data - Remarks")</f>
        <v/>
      </c>
      <c r="AG40" s="90" t="str">
        <f>IF(COUNTIF(AG16:AG39,"")=COUNTA(AG16:AG39),"","CEK : Data Flowrate")</f>
        <v/>
      </c>
      <c r="AH40" s="204" t="s">
        <v>311</v>
      </c>
    </row>
    <row r="41" spans="1:55" ht="20.100000000000001" hidden="1" customHeight="1" thickBot="1" x14ac:dyDescent="0.3">
      <c r="A41" s="49" t="s">
        <v>12</v>
      </c>
      <c r="B41" s="52" t="str">
        <f>IF(COUNT(B16:B39)&gt;0,ROUND(MIN(B16:B39),2),"")</f>
        <v/>
      </c>
      <c r="C41" s="52" t="str">
        <f>IF(COUNT(C16:C39)&gt;0,ROUND(MIN(C16:C39),2),"")</f>
        <v/>
      </c>
      <c r="D41" s="52">
        <f>IF(COUNT(D16:D39)&gt;0,ROUND(MIN(D16:D39),2),"")</f>
        <v>6.1</v>
      </c>
      <c r="E41" s="52">
        <f>IF(COUNT(E16:E39)&gt;0,ROUND(MIN(E16:E39),2),"")</f>
        <v>60.1</v>
      </c>
      <c r="F41" s="51">
        <f>IF(COUNT(F16:F39)&gt;0,ROUND(MIN(F16:F39),0),"")</f>
        <v>1922</v>
      </c>
      <c r="G41" s="50">
        <f>IF(COUNT(G16:G39)&gt;0,MIN(G16:G39),"")</f>
        <v>-5.5</v>
      </c>
      <c r="H41" s="50">
        <f>IF(COUNT(H16:H39)&gt;0,MIN(H16:H39),"")</f>
        <v>72</v>
      </c>
      <c r="I41" s="50">
        <f>IF(COUNT(I16:I39)&gt;0,MIN(I16:I39),"")</f>
        <v>22</v>
      </c>
      <c r="J41" s="72"/>
      <c r="K41" s="50">
        <f>IF(COUNT(K16:K39)&gt;0,MIN(K16:K39),"")</f>
        <v>13</v>
      </c>
      <c r="L41" s="52">
        <f>IF(COUNT(L16:L39)&gt;0,ROUND(MIN(L16:L39),1),"")</f>
        <v>120</v>
      </c>
      <c r="M41" s="52">
        <f>IF(COUNT(M16:M39)&gt;0,ROUND(MIN(M16:M39),1),"")</f>
        <v>220</v>
      </c>
      <c r="N41" s="52">
        <f>IF(COUNT(N16:N39)&gt;0,ROUND(MIN(N16:N39),1),"")</f>
        <v>85</v>
      </c>
      <c r="O41" s="440">
        <f>IF(COUNT(O16:O39)&gt;0,ROUND(MIN(O16:O39),1),"")</f>
        <v>40</v>
      </c>
      <c r="P41" s="440">
        <f>IF(COUNT(P16:P39)&gt;0,ROUND(MIN(P16:P39),1),"")</f>
        <v>11</v>
      </c>
      <c r="Q41" s="440">
        <f>IF(COUNT(Q16:Q39)&gt;0,ROUND(MIN(Q16:Q39),4),"")</f>
        <v>219.65</v>
      </c>
      <c r="R41" s="121" t="str">
        <f>IF(COUNT(R16:R39)&gt;0,ROUND(MIN(R16:R39),1),"")</f>
        <v/>
      </c>
      <c r="S41" s="509"/>
      <c r="T41" s="510"/>
      <c r="U41" s="510"/>
      <c r="V41" s="511"/>
      <c r="X41" s="99"/>
      <c r="Y41" s="99"/>
      <c r="Z41" s="99"/>
      <c r="AA41" s="99"/>
      <c r="AB41" s="99"/>
      <c r="AC41" s="99"/>
      <c r="AH41" s="204" t="s">
        <v>318</v>
      </c>
    </row>
    <row r="42" spans="1:55" ht="20.100000000000001" hidden="1" customHeight="1" thickBot="1" x14ac:dyDescent="0.3">
      <c r="A42" s="21" t="s">
        <v>13</v>
      </c>
      <c r="B42" s="454" t="str">
        <f>IF(COUNT(B16:B39)&gt;0,ROUND(MAX(B16:B39),2),"")</f>
        <v/>
      </c>
      <c r="C42" s="454" t="str">
        <f>IF(COUNT(C16:C39)&gt;0,ROUND(MAX(C16:C39),2),"")</f>
        <v/>
      </c>
      <c r="D42" s="454">
        <f>IF(COUNT(D16:D39)&gt;0,ROUND(MAX(D16:D39),2),"")</f>
        <v>7.6</v>
      </c>
      <c r="E42" s="454">
        <f>IF(COUNT(E16:E39)&gt;0,ROUND(MAX(E16:E39),2),"")</f>
        <v>66.3</v>
      </c>
      <c r="F42" s="43">
        <f>IF(COUNT(F16:F39)&gt;0,ROUND(MAX(F16:F39),0),"")</f>
        <v>1986</v>
      </c>
      <c r="G42" s="39">
        <f>IF(COUNT(G16:G39)&gt;0,MAX(G16:G39),"")</f>
        <v>-5.5</v>
      </c>
      <c r="H42" s="39">
        <f>IF(COUNT(H16:H39)&gt;0,MAX(H16:H39),"")</f>
        <v>72.900000000000006</v>
      </c>
      <c r="I42" s="39">
        <f>IF(COUNT(I16:I39)&gt;0,MAX(I16:I39),"")</f>
        <v>22.9</v>
      </c>
      <c r="J42" s="43">
        <f>IF(COUNT(J16:J39)&gt;0,MAX(J16:J39),"")</f>
        <v>653</v>
      </c>
      <c r="K42" s="39">
        <f>IF(COUNT(K16:K39)&gt;0,MAX(K16:K39),"")</f>
        <v>13</v>
      </c>
      <c r="L42" s="454">
        <f>IF(COUNT(L16:L39)&gt;0,ROUND(MAX(L16:L39),1),"")</f>
        <v>132</v>
      </c>
      <c r="M42" s="454">
        <f>IF(COUNT(M16:M39)&gt;0,ROUND(MAX(M16:M39),1),"")</f>
        <v>233</v>
      </c>
      <c r="N42" s="454">
        <f>IF(COUNT(N16:N39)&gt;0,ROUND(MAX(N16:N39),1),"")</f>
        <v>85</v>
      </c>
      <c r="O42" s="441">
        <f>IF(COUNT(O16:O39)&gt;0,ROUND(MAX(O16:O39),1),"")</f>
        <v>45</v>
      </c>
      <c r="P42" s="441">
        <f>IF(COUNT(P16:P39)&gt;0,ROUND(MAX(P16:P39),1),"")</f>
        <v>14</v>
      </c>
      <c r="Q42" s="441">
        <f>IF(COUNT(Q16:Q39)&gt;0,ROUND(MAX(Q16:Q39),4),"")</f>
        <v>247.56</v>
      </c>
      <c r="R42" s="39" t="str">
        <f>IF(COUNT(R16:R39)&gt;0,ROUND(MAX(R16:R39),1),"")</f>
        <v/>
      </c>
      <c r="S42" s="509"/>
      <c r="T42" s="510"/>
      <c r="U42" s="510"/>
      <c r="V42" s="511"/>
      <c r="X42" s="99"/>
      <c r="Y42" s="99"/>
      <c r="Z42" s="99"/>
      <c r="AA42" s="99"/>
      <c r="AB42" s="99"/>
      <c r="AC42" s="99"/>
      <c r="AH42" s="204" t="s">
        <v>312</v>
      </c>
    </row>
    <row r="43" spans="1:55" ht="20.100000000000001" hidden="1" customHeight="1" x14ac:dyDescent="0.25">
      <c r="A43" s="109"/>
      <c r="B43" s="110">
        <f>COUNT(B16:B39)</f>
        <v>0</v>
      </c>
      <c r="C43" s="110">
        <f>COUNT(C16:C39)</f>
        <v>0</v>
      </c>
      <c r="D43" s="110">
        <f>COUNT(D16:D39)</f>
        <v>24</v>
      </c>
      <c r="E43" s="110">
        <f t="shared" ref="E43:H43" si="24">COUNT(E16:E39)</f>
        <v>24</v>
      </c>
      <c r="F43" s="110">
        <f t="shared" si="24"/>
        <v>24</v>
      </c>
      <c r="G43" s="110">
        <f t="shared" si="24"/>
        <v>24</v>
      </c>
      <c r="H43" s="110">
        <f t="shared" si="24"/>
        <v>24</v>
      </c>
      <c r="I43" s="110"/>
      <c r="J43" s="110"/>
      <c r="K43" s="110"/>
      <c r="L43" s="110">
        <f t="shared" ref="L43:Q43" si="25">COUNT(L16:L39)</f>
        <v>24</v>
      </c>
      <c r="M43" s="110">
        <f t="shared" si="25"/>
        <v>24</v>
      </c>
      <c r="N43" s="110">
        <f t="shared" si="25"/>
        <v>24</v>
      </c>
      <c r="O43" s="110">
        <f t="shared" si="25"/>
        <v>24</v>
      </c>
      <c r="P43" s="110">
        <f t="shared" si="25"/>
        <v>24</v>
      </c>
      <c r="Q43" s="110">
        <f t="shared" si="25"/>
        <v>24</v>
      </c>
      <c r="R43" s="110"/>
      <c r="S43" s="99"/>
      <c r="T43" s="99"/>
      <c r="U43" s="99"/>
      <c r="V43" s="99"/>
      <c r="X43" s="99"/>
      <c r="Y43" s="99"/>
      <c r="Z43" s="99"/>
      <c r="AA43" s="99"/>
      <c r="AB43" s="99"/>
      <c r="AC43" s="99"/>
      <c r="AD43" s="92" t="str">
        <f>IF(AND(D43=E43,D43=F43,D43=G43,D43=H43,D43=L43,D43=M43,D43=N43,D43=O43,D43=P43,D43=Q43),"","CEK : Data Content")</f>
        <v/>
      </c>
      <c r="AH43" s="204" t="s">
        <v>221</v>
      </c>
    </row>
    <row r="44" spans="1:55" s="6" customFormat="1" ht="15" customHeight="1" x14ac:dyDescent="0.25">
      <c r="J44" s="91" t="str">
        <f>IF(J1="PRINT","",IF(J42="","RH please ! !",""))</f>
        <v/>
      </c>
      <c r="L44" s="24"/>
      <c r="Q44" s="445">
        <f>IFERROR(ROUND(AVERAGE(Q16:Q39),4),"")</f>
        <v>232.035</v>
      </c>
      <c r="AH44" s="204" t="s">
        <v>323</v>
      </c>
      <c r="AI44" s="7"/>
    </row>
    <row r="45" spans="1:55" s="6" customFormat="1" ht="15" customHeight="1" x14ac:dyDescent="0.25">
      <c r="L45" s="26" t="s">
        <v>290</v>
      </c>
      <c r="Q45" s="445"/>
      <c r="AH45" s="204" t="s">
        <v>288</v>
      </c>
      <c r="AI45" s="7"/>
    </row>
    <row r="46" spans="1:55" s="6" customFormat="1" ht="15" customHeight="1" x14ac:dyDescent="0.25">
      <c r="D46" s="443" t="s">
        <v>90</v>
      </c>
      <c r="E46" s="448" t="str">
        <f>IF(Schedule!C$28="","",Schedule!C$28)</f>
        <v/>
      </c>
      <c r="G46" s="61"/>
      <c r="H46" s="25" t="str">
        <f>IFERROR(IF(OR(I47="",I48="",I49=""),"WAKTU BELUM DI-ISI LENGKAP",IF(SUM(I48:I49)&lt;=1,"","CEK KEMBALI PENULISAN WAKTU SALAH")),"CEK KEMBALI PENULISAN WAKTU SALAH")</f>
        <v/>
      </c>
      <c r="L46" s="26" t="s">
        <v>22</v>
      </c>
      <c r="M46" s="460">
        <f>IF(Volume!$W27="",$O46,Volume!$W27)</f>
        <v>38.770000000000003</v>
      </c>
      <c r="N46" s="27" t="s">
        <v>1</v>
      </c>
      <c r="O46" s="447">
        <f>IF(O40="","",O40)</f>
        <v>40.6</v>
      </c>
      <c r="P46" s="361" t="s">
        <v>29</v>
      </c>
      <c r="Q46" s="362"/>
      <c r="R46" s="362"/>
      <c r="S46" s="362"/>
      <c r="T46" s="361" t="s">
        <v>30</v>
      </c>
      <c r="U46" s="362"/>
      <c r="V46" s="362"/>
      <c r="AH46" s="204" t="s">
        <v>222</v>
      </c>
    </row>
    <row r="47" spans="1:55" s="6" customFormat="1" ht="15" customHeight="1" x14ac:dyDescent="0.25">
      <c r="D47" s="448"/>
      <c r="E47" s="448"/>
      <c r="H47" s="26" t="s">
        <v>26</v>
      </c>
      <c r="I47" s="56">
        <f>IF(OR(I48="",I49=""),"",1-I48-I49)</f>
        <v>1</v>
      </c>
      <c r="J47" s="27" t="s">
        <v>19</v>
      </c>
      <c r="L47" s="26" t="s">
        <v>23</v>
      </c>
      <c r="M47" s="442">
        <f>IF(Volume!$Y27="",$O47,Volume!$Y27)</f>
        <v>11.3286</v>
      </c>
      <c r="N47" s="27" t="s">
        <v>14</v>
      </c>
      <c r="O47" s="447">
        <f>IF(P40="","",P40)</f>
        <v>12.2</v>
      </c>
      <c r="P47" s="361" t="s">
        <v>211</v>
      </c>
      <c r="Q47" s="362"/>
      <c r="R47" s="362"/>
      <c r="S47" s="362"/>
      <c r="T47" s="361" t="s">
        <v>271</v>
      </c>
      <c r="U47" s="362"/>
      <c r="V47" s="362"/>
      <c r="AH47" s="204" t="s">
        <v>223</v>
      </c>
    </row>
    <row r="48" spans="1:55" s="6" customFormat="1" ht="15" customHeight="1" x14ac:dyDescent="0.25">
      <c r="D48" s="443" t="s">
        <v>91</v>
      </c>
      <c r="E48" s="448" t="str">
        <f>IF(Schedule!D$28="","",Schedule!D$28)</f>
        <v/>
      </c>
      <c r="H48" s="26" t="s">
        <v>37</v>
      </c>
      <c r="I48" s="108">
        <f>IF(OR(COUNT($Q$16:$Q$39)&lt;&gt;0,COUNTA($AD$16:$AD$39)&lt;&gt;0),AB40,"")</f>
        <v>0</v>
      </c>
      <c r="J48" s="27" t="s">
        <v>19</v>
      </c>
      <c r="L48" s="26" t="s">
        <v>24</v>
      </c>
      <c r="M48" s="449">
        <f>IF(N40="","",N40)</f>
        <v>85</v>
      </c>
      <c r="N48" s="27" t="s">
        <v>5</v>
      </c>
      <c r="P48" s="362"/>
      <c r="Q48" s="362"/>
      <c r="R48" s="362"/>
      <c r="S48" s="362"/>
      <c r="T48" s="361" t="s">
        <v>291</v>
      </c>
      <c r="U48" s="362"/>
      <c r="V48" s="362"/>
      <c r="AH48" s="204" t="s">
        <v>324</v>
      </c>
    </row>
    <row r="49" spans="1:34" s="6" customFormat="1" ht="15" customHeight="1" x14ac:dyDescent="0.25">
      <c r="D49" s="448"/>
      <c r="E49" s="448"/>
      <c r="H49" s="26" t="s">
        <v>27</v>
      </c>
      <c r="I49" s="108">
        <f>IF(OR(COUNT($Q$16:$Q$39)&lt;&gt;0,COUNTA($AD$16:$AD$39)&lt;&gt;0),AC40,"")</f>
        <v>0</v>
      </c>
      <c r="J49" s="27" t="s">
        <v>19</v>
      </c>
      <c r="L49" s="26" t="s">
        <v>128</v>
      </c>
      <c r="M49" s="442">
        <f>IF(Volume!$L27="",M51,Volume!$L27)</f>
        <v>214.8</v>
      </c>
      <c r="N49" s="27" t="str">
        <f>IF(Q15="MSCFD","MSCF","MMSCF")</f>
        <v>MSCF</v>
      </c>
      <c r="P49" s="362"/>
      <c r="Q49" s="362"/>
      <c r="R49" s="362"/>
      <c r="S49" s="362"/>
      <c r="T49" s="362"/>
      <c r="U49" s="362"/>
      <c r="V49" s="362"/>
      <c r="AH49" s="204" t="s">
        <v>317</v>
      </c>
    </row>
    <row r="50" spans="1:34" s="6" customFormat="1" ht="15" customHeight="1" x14ac:dyDescent="0.25">
      <c r="D50" s="443" t="s">
        <v>92</v>
      </c>
      <c r="E50" s="448" t="str">
        <f>IF(Schedule!E$28="","",Schedule!E$28)</f>
        <v>Marihot Gustafa S.</v>
      </c>
      <c r="L50" s="443" t="str">
        <f>CONCATENATE(MR!L16," ",":")</f>
        <v>Liquid Gain :</v>
      </c>
      <c r="M50" s="446" t="str">
        <f>IF(R40="","",ROUND(SUM(R16:R39),2))</f>
        <v/>
      </c>
      <c r="N50" s="444" t="str">
        <f>R15</f>
        <v>BPD</v>
      </c>
      <c r="P50" s="362"/>
      <c r="Q50" s="362"/>
      <c r="R50" s="362"/>
      <c r="S50" s="362"/>
      <c r="T50" s="362"/>
      <c r="U50" s="362"/>
      <c r="V50" s="362"/>
      <c r="AH50" s="204" t="s">
        <v>282</v>
      </c>
    </row>
    <row r="51" spans="1:34" s="6" customFormat="1" ht="15" customHeight="1" x14ac:dyDescent="0.25">
      <c r="A51" s="4"/>
      <c r="L51" s="443" t="s">
        <v>286</v>
      </c>
      <c r="M51" s="447">
        <f>IF(Q44="","",IF(SUM(I48:I49)=1,IF(Q44&lt;&gt;0,"Cek Tabel",""),ROUND(Q44*I47,4)))</f>
        <v>232.035</v>
      </c>
      <c r="N51" s="444" t="str">
        <f>IF(Q15="MSCFD","MSCF","MMSCF")</f>
        <v>MSCF</v>
      </c>
      <c r="P51" s="362"/>
      <c r="Q51" s="362"/>
      <c r="R51" s="362"/>
      <c r="S51" s="362"/>
      <c r="T51" s="362"/>
      <c r="U51" s="362"/>
      <c r="V51" s="362"/>
      <c r="AH51" s="204" t="s">
        <v>325</v>
      </c>
    </row>
    <row r="52" spans="1:34" s="6" customFormat="1" ht="15" customHeight="1" x14ac:dyDescent="0.25">
      <c r="D52" s="26" t="s">
        <v>28</v>
      </c>
      <c r="E52" s="47"/>
      <c r="F52" s="47"/>
      <c r="G52" s="47"/>
      <c r="H52" s="47"/>
      <c r="I52" s="47"/>
      <c r="J52" s="47"/>
      <c r="K52" s="47"/>
      <c r="L52" s="5"/>
      <c r="P52" s="362"/>
      <c r="Q52" s="362"/>
      <c r="R52" s="362"/>
      <c r="S52" s="362"/>
      <c r="T52" s="362"/>
      <c r="U52" s="362"/>
      <c r="V52" s="362"/>
      <c r="AH52" s="204" t="s">
        <v>280</v>
      </c>
    </row>
    <row r="53" spans="1:34" s="6" customFormat="1" ht="15" customHeight="1" x14ac:dyDescent="0.25">
      <c r="D53" s="5"/>
      <c r="E53" s="48"/>
      <c r="F53" s="48"/>
      <c r="G53" s="48"/>
      <c r="H53" s="48"/>
      <c r="I53" s="48"/>
      <c r="J53" s="48"/>
      <c r="K53" s="48"/>
      <c r="L53" s="5"/>
      <c r="P53" s="363" t="str">
        <f>UPPER(E50)</f>
        <v>MARIHOT GUSTAFA S.</v>
      </c>
      <c r="Q53" s="362"/>
      <c r="R53" s="362"/>
      <c r="S53" s="362"/>
      <c r="T53" s="363" t="str">
        <f>IF(Schedule!F$28="","",UPPER(Schedule!F$28))</f>
        <v>SAPUAN</v>
      </c>
      <c r="U53" s="362"/>
      <c r="V53" s="362"/>
      <c r="AH53" s="204" t="s">
        <v>316</v>
      </c>
    </row>
    <row r="54" spans="1:34" s="6" customFormat="1" ht="15" customHeight="1" x14ac:dyDescent="0.25">
      <c r="E54" s="48"/>
      <c r="F54" s="48"/>
      <c r="G54" s="48"/>
      <c r="H54" s="48"/>
      <c r="I54" s="48"/>
      <c r="J54" s="48"/>
      <c r="K54" s="48"/>
      <c r="P54" s="361" t="s">
        <v>107</v>
      </c>
      <c r="Q54" s="362"/>
      <c r="R54" s="362"/>
      <c r="S54" s="362"/>
      <c r="T54" s="361" t="s">
        <v>294</v>
      </c>
      <c r="U54" s="362"/>
      <c r="V54" s="362"/>
      <c r="AH54" s="204" t="s">
        <v>326</v>
      </c>
    </row>
    <row r="55" spans="1:34" s="6" customFormat="1" ht="15" customHeight="1" x14ac:dyDescent="0.25">
      <c r="P55" s="364" t="str">
        <f>CONCATENATE("Date : ",TEXT(K12,"[$-409]d mmm yyyy;@"))</f>
        <v>Date : 24 Jun 2025</v>
      </c>
      <c r="Q55" s="362"/>
      <c r="R55" s="364"/>
      <c r="S55" s="362"/>
      <c r="T55" s="364" t="str">
        <f>CONCATENATE("Date : ",TEXT(K12,"[$-409]d mmm yyyy;@"))</f>
        <v>Date : 24 Jun 2025</v>
      </c>
      <c r="U55" s="362"/>
      <c r="V55" s="362"/>
      <c r="AH55" s="204" t="s">
        <v>327</v>
      </c>
    </row>
    <row r="56" spans="1:34" ht="15" customHeight="1" x14ac:dyDescent="0.25">
      <c r="AH56" s="204" t="s">
        <v>281</v>
      </c>
    </row>
    <row r="57" spans="1:34" ht="15" customHeight="1" x14ac:dyDescent="0.25">
      <c r="AH57" s="204" t="s">
        <v>277</v>
      </c>
    </row>
    <row r="58" spans="1:34" ht="15" customHeight="1" x14ac:dyDescent="0.25">
      <c r="AH58" s="204" t="s">
        <v>328</v>
      </c>
    </row>
    <row r="59" spans="1:34" ht="15" customHeight="1" x14ac:dyDescent="0.25">
      <c r="AH59" s="204" t="s">
        <v>329</v>
      </c>
    </row>
    <row r="60" spans="1:34" ht="15" customHeight="1" x14ac:dyDescent="0.25">
      <c r="AH60" s="204" t="s">
        <v>330</v>
      </c>
    </row>
    <row r="61" spans="1:34" ht="15" customHeight="1" x14ac:dyDescent="0.25">
      <c r="AH61" s="204" t="s">
        <v>331</v>
      </c>
    </row>
    <row r="62" spans="1:34" ht="15" customHeight="1" x14ac:dyDescent="0.25">
      <c r="AH62" s="204" t="s">
        <v>332</v>
      </c>
    </row>
    <row r="63" spans="1:34" ht="15" customHeight="1" x14ac:dyDescent="0.25">
      <c r="AH63" s="204" t="s">
        <v>315</v>
      </c>
    </row>
    <row r="64" spans="1:34" ht="15" customHeight="1" x14ac:dyDescent="0.25">
      <c r="AH64" s="204" t="s">
        <v>333</v>
      </c>
    </row>
    <row r="65" spans="34:34" ht="15" customHeight="1" x14ac:dyDescent="0.25">
      <c r="AH65" s="204" t="s">
        <v>310</v>
      </c>
    </row>
    <row r="66" spans="34:34" ht="15" customHeight="1" x14ac:dyDescent="0.25">
      <c r="AH66" s="204" t="s">
        <v>334</v>
      </c>
    </row>
    <row r="67" spans="34:34" ht="15" customHeight="1" x14ac:dyDescent="0.25">
      <c r="AH67" s="204" t="s">
        <v>335</v>
      </c>
    </row>
    <row r="68" spans="34:34" ht="15" customHeight="1" x14ac:dyDescent="0.25">
      <c r="AH68" s="204" t="s">
        <v>336</v>
      </c>
    </row>
    <row r="69" spans="34:34" ht="15" customHeight="1" x14ac:dyDescent="0.25">
      <c r="AH69" s="204" t="s">
        <v>337</v>
      </c>
    </row>
    <row r="70" spans="34:34" ht="15" customHeight="1" x14ac:dyDescent="0.25">
      <c r="AH70" s="204" t="s">
        <v>338</v>
      </c>
    </row>
    <row r="71" spans="34:34" ht="15" customHeight="1" x14ac:dyDescent="0.25">
      <c r="AH71" s="204" t="s">
        <v>339</v>
      </c>
    </row>
    <row r="72" spans="34:34" ht="15" customHeight="1" x14ac:dyDescent="0.25">
      <c r="AH72" s="204" t="s">
        <v>340</v>
      </c>
    </row>
    <row r="85" spans="34:34" ht="0" hidden="1" customHeight="1" x14ac:dyDescent="0.25">
      <c r="AH85" s="6"/>
    </row>
    <row r="86" spans="34:34" ht="0" hidden="1" customHeight="1" x14ac:dyDescent="0.25">
      <c r="AH86" s="6"/>
    </row>
    <row r="87" spans="34:34" ht="0" hidden="1" customHeight="1" x14ac:dyDescent="0.25">
      <c r="AH87" s="6"/>
    </row>
    <row r="88" spans="34:34" ht="0" hidden="1" customHeight="1" x14ac:dyDescent="0.25">
      <c r="AH88" s="6"/>
    </row>
    <row r="89" spans="34:34" ht="0" hidden="1" customHeight="1" x14ac:dyDescent="0.25">
      <c r="AH89" s="6"/>
    </row>
    <row r="90" spans="34:34" ht="0" hidden="1" customHeight="1" x14ac:dyDescent="0.25">
      <c r="AH90" s="6"/>
    </row>
    <row r="91" spans="34:34" ht="0" hidden="1" customHeight="1" x14ac:dyDescent="0.25">
      <c r="AH91" s="6"/>
    </row>
    <row r="92" spans="34:34" ht="0" hidden="1" customHeight="1" x14ac:dyDescent="0.25">
      <c r="AH92" s="6"/>
    </row>
    <row r="93" spans="34:34" ht="0" hidden="1" customHeight="1" x14ac:dyDescent="0.25">
      <c r="AH93" s="6"/>
    </row>
    <row r="94" spans="34:34" ht="0" hidden="1" customHeight="1" x14ac:dyDescent="0.25">
      <c r="AH94" s="6"/>
    </row>
  </sheetData>
  <sheetProtection algorithmName="SHA-512" hashValue="Eba9GUNM2ztQ8e3E4AKMN2w70wXQ9QQYZ2nX+tdbzYnYI+zoUprRrdsORt1T0cyt1RUVyuO+QmkfmxbxsVUA8Q==" saltValue="iGuu0mA3pxLJIhyaOFdkCg==" spinCount="100000" sheet="1" objects="1" scenarios="1" formatColumns="0" formatRows="0" insertColumns="0" insertRows="0" sort="0" autoFilter="0" pivotTables="0"/>
  <mergeCells count="69">
    <mergeCell ref="S37:V37"/>
    <mergeCell ref="S38:V38"/>
    <mergeCell ref="S39:V39"/>
    <mergeCell ref="S40:V40"/>
    <mergeCell ref="S41:V42"/>
    <mergeCell ref="S36:V36"/>
    <mergeCell ref="S25:V25"/>
    <mergeCell ref="S26:V26"/>
    <mergeCell ref="S27:V27"/>
    <mergeCell ref="S28:V28"/>
    <mergeCell ref="S29:V29"/>
    <mergeCell ref="S30:V30"/>
    <mergeCell ref="S31:V31"/>
    <mergeCell ref="S32:V32"/>
    <mergeCell ref="S33:V33"/>
    <mergeCell ref="S34:V34"/>
    <mergeCell ref="S35:V35"/>
    <mergeCell ref="S19:V19"/>
    <mergeCell ref="S20:V20"/>
    <mergeCell ref="S21:V21"/>
    <mergeCell ref="S22:V22"/>
    <mergeCell ref="S23:V23"/>
    <mergeCell ref="S24:V24"/>
    <mergeCell ref="BA14:BA15"/>
    <mergeCell ref="BB14:BB15"/>
    <mergeCell ref="BC14:BC15"/>
    <mergeCell ref="S16:V16"/>
    <mergeCell ref="S17:V17"/>
    <mergeCell ref="S18:V18"/>
    <mergeCell ref="AU14:AU15"/>
    <mergeCell ref="AV14:AV15"/>
    <mergeCell ref="AW14:AW15"/>
    <mergeCell ref="AX14:AX15"/>
    <mergeCell ref="AY14:AY15"/>
    <mergeCell ref="AZ14:AZ15"/>
    <mergeCell ref="AO14:AO15"/>
    <mergeCell ref="AP14:AP15"/>
    <mergeCell ref="AQ14:AQ15"/>
    <mergeCell ref="AR14:AR15"/>
    <mergeCell ref="AS14:AS15"/>
    <mergeCell ref="AT14:AT15"/>
    <mergeCell ref="AD14:AD15"/>
    <mergeCell ref="AJ14:AJ15"/>
    <mergeCell ref="AK14:AK15"/>
    <mergeCell ref="AL14:AL15"/>
    <mergeCell ref="AM14:AM15"/>
    <mergeCell ref="AN14:AN15"/>
    <mergeCell ref="Y14:AC14"/>
    <mergeCell ref="H13:H14"/>
    <mergeCell ref="I13:I14"/>
    <mergeCell ref="J13:J14"/>
    <mergeCell ref="K13:K14"/>
    <mergeCell ref="L13:L14"/>
    <mergeCell ref="M13:N13"/>
    <mergeCell ref="Q13:Q14"/>
    <mergeCell ref="R13:R14"/>
    <mergeCell ref="S13:V15"/>
    <mergeCell ref="O13:O14"/>
    <mergeCell ref="P13:P14"/>
    <mergeCell ref="A10:V10"/>
    <mergeCell ref="A11:V11"/>
    <mergeCell ref="K12:L12"/>
    <mergeCell ref="A13:A15"/>
    <mergeCell ref="B13:B14"/>
    <mergeCell ref="C13:C14"/>
    <mergeCell ref="D13:D14"/>
    <mergeCell ref="E13:E14"/>
    <mergeCell ref="F13:F14"/>
    <mergeCell ref="G13:G14"/>
  </mergeCells>
  <conditionalFormatting sqref="I47">
    <cfRule type="cellIs" dxfId="36" priority="5" operator="lessThan">
      <formula>0</formula>
    </cfRule>
  </conditionalFormatting>
  <conditionalFormatting sqref="Y16:Y39">
    <cfRule type="containsText" dxfId="35" priority="3" operator="containsText" text="STBY">
      <formula>NOT(ISERROR(SEARCH("STBY",Y16)))</formula>
    </cfRule>
    <cfRule type="containsText" dxfId="34" priority="4" operator="containsText" text="SD">
      <formula>NOT(ISERROR(SEARCH("SD",Y16)))</formula>
    </cfRule>
  </conditionalFormatting>
  <conditionalFormatting sqref="B16:B39 D16:R39">
    <cfRule type="expression" dxfId="33" priority="2">
      <formula>ISTEXT(B16)</formula>
    </cfRule>
  </conditionalFormatting>
  <conditionalFormatting sqref="C16:C39">
    <cfRule type="expression" dxfId="32" priority="1">
      <formula>ISTEXT(C16)</formula>
    </cfRule>
  </conditionalFormatting>
  <dataValidations count="2">
    <dataValidation type="list" allowBlank="1" showInputMessage="1" showErrorMessage="1" sqref="Y16:Y39" xr:uid="{9D5C49EC-C6F6-42F3-9277-2EA8BB713E4F}">
      <formula1>"SD,STBY"</formula1>
    </dataValidation>
    <dataValidation type="list" allowBlank="1" showInputMessage="1" sqref="AD16:AD39" xr:uid="{12342CC9-E77E-4332-87E4-77A7BD752D13}">
      <formula1>$AH$15:$AH$72</formula1>
    </dataValidation>
  </dataValidations>
  <printOptions horizontalCentered="1"/>
  <pageMargins left="0.39370078740157483" right="0.39370078740157483" top="0.59055118110236227" bottom="0.39370078740157483" header="0.31496062992125984" footer="0.31496062992125984"/>
  <pageSetup paperSize="9" scale="57" orientation="landscape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803FB-CA3E-46FB-8814-426EFFCE4235}">
  <sheetPr codeName="N25">
    <pageSetUpPr fitToPage="1"/>
  </sheetPr>
  <dimension ref="A1:BC94"/>
  <sheetViews>
    <sheetView topLeftCell="A16" zoomScale="85" zoomScaleNormal="85" workbookViewId="0">
      <selection activeCell="S30" sqref="S30:V30"/>
    </sheetView>
  </sheetViews>
  <sheetFormatPr defaultColWidth="0" defaultRowHeight="0" customHeight="1" zeroHeight="1" x14ac:dyDescent="0.25"/>
  <cols>
    <col min="1" max="1" width="10.7109375" style="7" customWidth="1"/>
    <col min="2" max="3" width="10.7109375" style="7" hidden="1" customWidth="1"/>
    <col min="4" max="14" width="10.7109375" style="7" customWidth="1"/>
    <col min="15" max="17" width="11.7109375" style="7" customWidth="1"/>
    <col min="18" max="18" width="10.7109375" style="7" hidden="1" customWidth="1"/>
    <col min="19" max="22" width="10.7109375" style="7" customWidth="1"/>
    <col min="23" max="23" width="2.7109375" style="7" customWidth="1"/>
    <col min="24" max="29" width="10.7109375" style="7" customWidth="1"/>
    <col min="30" max="30" width="30.7109375" style="7" customWidth="1"/>
    <col min="31" max="33" width="11.7109375" style="7" customWidth="1"/>
    <col min="34" max="34" width="30.7109375" style="7" customWidth="1"/>
    <col min="35" max="35" width="2.7109375" style="7" hidden="1" customWidth="1"/>
    <col min="36" max="55" width="11.7109375" style="7" hidden="1" customWidth="1"/>
    <col min="56" max="16384" width="9.140625" style="7" hidden="1"/>
  </cols>
  <sheetData>
    <row r="1" spans="1:55" ht="15" customHeight="1" x14ac:dyDescent="0.25">
      <c r="A1" s="7" t="s">
        <v>16</v>
      </c>
      <c r="D1" s="11" t="s">
        <v>85</v>
      </c>
      <c r="J1" s="7" t="str">
        <f>IF(MR!U13="Yes","PRINT","No")</f>
        <v>PRINT</v>
      </c>
      <c r="M1" s="191"/>
      <c r="N1" s="191"/>
    </row>
    <row r="2" spans="1:55" ht="15" customHeight="1" thickBot="1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192"/>
      <c r="M2" s="4"/>
      <c r="N2" s="4"/>
      <c r="O2" s="4"/>
      <c r="P2" s="4"/>
      <c r="Q2" s="4"/>
      <c r="R2" s="4"/>
      <c r="S2" s="8"/>
      <c r="T2" s="8"/>
      <c r="U2" s="8"/>
      <c r="V2" s="8"/>
      <c r="X2" s="8"/>
      <c r="Y2" s="8"/>
      <c r="Z2" s="8"/>
      <c r="AA2" s="8"/>
      <c r="AB2" s="8"/>
      <c r="AC2" s="8"/>
      <c r="AD2" s="8"/>
      <c r="AE2" s="8"/>
    </row>
    <row r="3" spans="1:55" ht="15" customHeight="1" x14ac:dyDescent="0.2">
      <c r="A3" s="31"/>
      <c r="B3" s="28"/>
      <c r="C3" s="28"/>
      <c r="D3" s="28"/>
      <c r="E3" s="28"/>
      <c r="F3" s="13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2"/>
      <c r="T3" s="22"/>
      <c r="U3" s="22"/>
      <c r="V3" s="23"/>
      <c r="X3" s="8"/>
      <c r="Y3" s="8"/>
      <c r="Z3" s="8"/>
      <c r="AA3" s="8"/>
      <c r="AB3" s="8"/>
      <c r="AC3" s="8"/>
      <c r="AD3" s="8"/>
      <c r="AE3" s="8"/>
    </row>
    <row r="4" spans="1:55" ht="30" customHeight="1" x14ac:dyDescent="0.25">
      <c r="A4" s="30"/>
      <c r="B4" s="1"/>
      <c r="C4" s="1"/>
      <c r="D4" s="1"/>
      <c r="E4" s="3"/>
      <c r="F4" s="63" t="s">
        <v>210</v>
      </c>
      <c r="G4" s="1"/>
      <c r="H4" s="1"/>
      <c r="I4" s="3"/>
      <c r="J4" s="3"/>
      <c r="K4" s="3"/>
      <c r="L4" s="3"/>
      <c r="M4" s="3"/>
      <c r="N4" s="3"/>
      <c r="O4" s="3"/>
      <c r="P4" s="3"/>
      <c r="Q4" s="3"/>
      <c r="R4" s="3"/>
      <c r="S4" s="1"/>
      <c r="T4" s="1"/>
      <c r="U4" s="1"/>
      <c r="V4" s="2"/>
      <c r="X4" s="5"/>
      <c r="Y4" s="5"/>
      <c r="Z4" s="5"/>
      <c r="AA4" s="5"/>
      <c r="AB4" s="5"/>
      <c r="AC4" s="5"/>
      <c r="AD4" s="5"/>
      <c r="AE4" s="5"/>
    </row>
    <row r="5" spans="1:55" ht="15" customHeight="1" x14ac:dyDescent="0.2">
      <c r="A5" s="32"/>
      <c r="B5" s="33"/>
      <c r="C5" s="33"/>
      <c r="D5" s="12"/>
      <c r="E5" s="3"/>
      <c r="F5" s="10" t="s">
        <v>129</v>
      </c>
      <c r="G5" s="1"/>
      <c r="H5" s="1"/>
      <c r="I5" s="3"/>
      <c r="J5" s="3"/>
      <c r="K5" s="3"/>
      <c r="L5" s="3"/>
      <c r="M5" s="3"/>
      <c r="N5" s="3"/>
      <c r="O5" s="3"/>
      <c r="P5" s="3"/>
      <c r="Q5" s="3"/>
      <c r="R5" s="3"/>
      <c r="S5" s="12"/>
      <c r="T5" s="12"/>
      <c r="U5" s="12"/>
      <c r="V5" s="14"/>
      <c r="X5" s="8"/>
      <c r="Y5" s="8"/>
      <c r="Z5" s="8"/>
      <c r="AA5" s="8"/>
      <c r="AB5" s="8"/>
      <c r="AC5" s="8"/>
      <c r="AD5" s="8"/>
      <c r="AE5" s="8"/>
      <c r="AJ5" s="193" t="s">
        <v>184</v>
      </c>
      <c r="AK5" s="194">
        <f>'V Calc'!B1</f>
        <v>500</v>
      </c>
      <c r="AL5" s="124"/>
    </row>
    <row r="6" spans="1:55" ht="15" customHeight="1" x14ac:dyDescent="0.2">
      <c r="A6" s="32"/>
      <c r="B6" s="33"/>
      <c r="C6" s="33"/>
      <c r="D6" s="12"/>
      <c r="E6" s="3"/>
      <c r="F6" s="10" t="s">
        <v>132</v>
      </c>
      <c r="G6" s="1"/>
      <c r="H6" s="1"/>
      <c r="I6" s="3"/>
      <c r="J6" s="3"/>
      <c r="K6" s="3"/>
      <c r="L6" s="3"/>
      <c r="M6" s="3"/>
      <c r="N6" s="3"/>
      <c r="O6" s="3"/>
      <c r="P6" s="3"/>
      <c r="Q6" s="3"/>
      <c r="R6" s="3"/>
      <c r="S6" s="12"/>
      <c r="T6" s="12"/>
      <c r="U6" s="12"/>
      <c r="V6" s="14"/>
      <c r="X6" s="8"/>
      <c r="Y6" s="8"/>
      <c r="Z6" s="8"/>
      <c r="AA6" s="8"/>
      <c r="AB6" s="8"/>
      <c r="AC6" s="8"/>
      <c r="AD6" s="8"/>
      <c r="AE6" s="8"/>
      <c r="AJ6" s="193" t="s">
        <v>185</v>
      </c>
      <c r="AK6" s="194">
        <f>'V Calc'!B2</f>
        <v>100</v>
      </c>
      <c r="AL6" s="124"/>
    </row>
    <row r="7" spans="1:55" ht="15" customHeight="1" x14ac:dyDescent="0.2">
      <c r="A7" s="32"/>
      <c r="B7" s="33"/>
      <c r="C7" s="33"/>
      <c r="D7" s="12"/>
      <c r="E7" s="3"/>
      <c r="F7" s="10" t="s">
        <v>130</v>
      </c>
      <c r="G7" s="1"/>
      <c r="H7" s="1"/>
      <c r="I7" s="3"/>
      <c r="J7" s="3"/>
      <c r="K7" s="3"/>
      <c r="L7" s="3"/>
      <c r="M7" s="3"/>
      <c r="N7" s="3"/>
      <c r="O7" s="3"/>
      <c r="P7" s="3"/>
      <c r="Q7" s="3"/>
      <c r="R7" s="3"/>
      <c r="S7" s="12"/>
      <c r="T7" s="12"/>
      <c r="U7" s="12"/>
      <c r="V7" s="14"/>
      <c r="X7" s="8"/>
      <c r="Y7" s="8"/>
      <c r="Z7" s="8"/>
      <c r="AA7" s="8"/>
      <c r="AB7" s="8"/>
      <c r="AC7" s="8"/>
      <c r="AD7" s="8"/>
      <c r="AE7" s="8"/>
      <c r="AJ7" s="193" t="s">
        <v>186</v>
      </c>
      <c r="AK7" s="195">
        <f>'V Calc'!B3</f>
        <v>2</v>
      </c>
      <c r="AL7" s="124"/>
    </row>
    <row r="8" spans="1:55" ht="15" customHeight="1" x14ac:dyDescent="0.2">
      <c r="A8" s="32"/>
      <c r="B8" s="33"/>
      <c r="C8" s="33"/>
      <c r="D8" s="12"/>
      <c r="E8" s="3"/>
      <c r="F8" s="10" t="s">
        <v>131</v>
      </c>
      <c r="G8" s="62"/>
      <c r="H8" s="62"/>
      <c r="I8" s="3"/>
      <c r="J8" s="3"/>
      <c r="K8" s="3"/>
      <c r="L8" s="3"/>
      <c r="M8" s="3"/>
      <c r="N8" s="3"/>
      <c r="O8" s="3"/>
      <c r="P8" s="3"/>
      <c r="Q8" s="3"/>
      <c r="R8" s="3"/>
      <c r="S8" s="12"/>
      <c r="T8" s="12"/>
      <c r="U8" s="12"/>
      <c r="V8" s="14"/>
      <c r="X8" s="8"/>
      <c r="Y8" s="8"/>
      <c r="Z8" s="8"/>
      <c r="AA8" s="8"/>
      <c r="AB8" s="8"/>
      <c r="AC8" s="8"/>
      <c r="AD8" s="8"/>
      <c r="AE8" s="8"/>
      <c r="AJ8" s="193" t="s">
        <v>187</v>
      </c>
      <c r="AK8" s="195">
        <f>'V Calc'!B4</f>
        <v>0.875</v>
      </c>
      <c r="AL8" s="124"/>
    </row>
    <row r="9" spans="1:55" ht="15" customHeight="1" thickBot="1" x14ac:dyDescent="0.25">
      <c r="A9" s="34"/>
      <c r="B9" s="29"/>
      <c r="C9" s="29"/>
      <c r="D9" s="29"/>
      <c r="E9" s="29"/>
      <c r="F9" s="15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16"/>
      <c r="T9" s="16"/>
      <c r="U9" s="16"/>
      <c r="V9" s="17"/>
      <c r="X9" s="8"/>
      <c r="Y9" s="8"/>
      <c r="Z9" s="8"/>
      <c r="AA9" s="8"/>
      <c r="AB9" s="8"/>
      <c r="AC9" s="8"/>
      <c r="AD9" s="8"/>
      <c r="AE9" s="8"/>
      <c r="AJ9" s="196" t="s">
        <v>188</v>
      </c>
      <c r="AK9" s="197">
        <f>'V Calc'!B5</f>
        <v>158.47</v>
      </c>
      <c r="AL9" s="198"/>
    </row>
    <row r="10" spans="1:55" s="9" customFormat="1" ht="30" customHeight="1" x14ac:dyDescent="0.2">
      <c r="A10" s="513" t="s">
        <v>20</v>
      </c>
      <c r="B10" s="514"/>
      <c r="C10" s="514"/>
      <c r="D10" s="514"/>
      <c r="E10" s="514"/>
      <c r="F10" s="514"/>
      <c r="G10" s="514"/>
      <c r="H10" s="514"/>
      <c r="I10" s="514"/>
      <c r="J10" s="514"/>
      <c r="K10" s="514"/>
      <c r="L10" s="514"/>
      <c r="M10" s="514"/>
      <c r="N10" s="514"/>
      <c r="O10" s="514"/>
      <c r="P10" s="514"/>
      <c r="Q10" s="514"/>
      <c r="R10" s="514"/>
      <c r="S10" s="514"/>
      <c r="T10" s="514"/>
      <c r="U10" s="514"/>
      <c r="V10" s="515"/>
      <c r="X10" s="96"/>
      <c r="Y10" s="96"/>
      <c r="Z10" s="96"/>
      <c r="AA10" s="96"/>
      <c r="AB10" s="96"/>
      <c r="AC10" s="96"/>
      <c r="AJ10" s="193" t="s">
        <v>189</v>
      </c>
      <c r="AK10" s="199">
        <f>'V Calc'!B6</f>
        <v>0.63607464142166403</v>
      </c>
      <c r="AL10" s="198" t="s">
        <v>190</v>
      </c>
    </row>
    <row r="11" spans="1:55" s="9" customFormat="1" ht="20.100000000000001" customHeight="1" thickBot="1" x14ac:dyDescent="0.25">
      <c r="A11" s="516" t="s">
        <v>21</v>
      </c>
      <c r="B11" s="517"/>
      <c r="C11" s="517"/>
      <c r="D11" s="517"/>
      <c r="E11" s="517"/>
      <c r="F11" s="517"/>
      <c r="G11" s="517"/>
      <c r="H11" s="517"/>
      <c r="I11" s="517"/>
      <c r="J11" s="517"/>
      <c r="K11" s="517"/>
      <c r="L11" s="517"/>
      <c r="M11" s="517"/>
      <c r="N11" s="517"/>
      <c r="O11" s="517"/>
      <c r="P11" s="517"/>
      <c r="Q11" s="517"/>
      <c r="R11" s="517"/>
      <c r="S11" s="517"/>
      <c r="T11" s="517"/>
      <c r="U11" s="517"/>
      <c r="V11" s="518"/>
      <c r="X11" s="97"/>
      <c r="Y11" s="97"/>
      <c r="Z11" s="97"/>
      <c r="AA11" s="97"/>
      <c r="AB11" s="97"/>
      <c r="AC11" s="97"/>
    </row>
    <row r="12" spans="1:55" s="6" customFormat="1" ht="30" customHeight="1" thickBot="1" x14ac:dyDescent="0.3">
      <c r="A12" s="18"/>
      <c r="B12" s="20"/>
      <c r="C12" s="20"/>
      <c r="D12" s="19" t="s">
        <v>121</v>
      </c>
      <c r="E12" s="200" t="str">
        <f>'Day 24'!E12</f>
        <v>MPR 632  RFD</v>
      </c>
      <c r="F12" s="35"/>
      <c r="G12" s="19" t="s">
        <v>120</v>
      </c>
      <c r="H12" s="200" t="str">
        <f>IF(Volume!C$28="","",Volume!C$28)</f>
        <v>FP 65354</v>
      </c>
      <c r="I12" s="20"/>
      <c r="J12" s="19" t="s">
        <v>17</v>
      </c>
      <c r="K12" s="505">
        <f>'Day 24'!K12+1</f>
        <v>45833</v>
      </c>
      <c r="L12" s="505"/>
      <c r="M12" s="100"/>
      <c r="N12" s="19" t="s">
        <v>119</v>
      </c>
      <c r="O12" s="200" t="str">
        <f>IF(Volume!D$28="","",Volume!D$28)</f>
        <v>SP. Tambun - Cluster F</v>
      </c>
      <c r="P12" s="20"/>
      <c r="Q12" s="19" t="s">
        <v>122</v>
      </c>
      <c r="S12" s="201">
        <f>IF(Volume!E$28="","",Volume!E$28)</f>
        <v>1.25</v>
      </c>
      <c r="T12" s="20"/>
      <c r="U12" s="19" t="s">
        <v>126</v>
      </c>
      <c r="V12" s="202" t="str">
        <f>IF(Volume!F$28="","",Volume!F$28)</f>
        <v>4/0</v>
      </c>
    </row>
    <row r="13" spans="1:55" ht="30" customHeight="1" thickBot="1" x14ac:dyDescent="0.3">
      <c r="A13" s="502" t="s">
        <v>0</v>
      </c>
      <c r="B13" s="502" t="s">
        <v>213</v>
      </c>
      <c r="C13" s="502" t="s">
        <v>212</v>
      </c>
      <c r="D13" s="502" t="s">
        <v>31</v>
      </c>
      <c r="E13" s="502" t="s">
        <v>32</v>
      </c>
      <c r="F13" s="502" t="s">
        <v>2</v>
      </c>
      <c r="G13" s="502" t="s">
        <v>33</v>
      </c>
      <c r="H13" s="502" t="s">
        <v>35</v>
      </c>
      <c r="I13" s="502" t="s">
        <v>36</v>
      </c>
      <c r="J13" s="502" t="s">
        <v>110</v>
      </c>
      <c r="K13" s="502" t="s">
        <v>15</v>
      </c>
      <c r="L13" s="502" t="s">
        <v>34</v>
      </c>
      <c r="M13" s="502" t="s">
        <v>10</v>
      </c>
      <c r="N13" s="502"/>
      <c r="O13" s="506" t="s">
        <v>300</v>
      </c>
      <c r="P13" s="506" t="s">
        <v>299</v>
      </c>
      <c r="Q13" s="502" t="s">
        <v>7</v>
      </c>
      <c r="R13" s="502" t="s">
        <v>88</v>
      </c>
      <c r="S13" s="502" t="s">
        <v>8</v>
      </c>
      <c r="T13" s="502"/>
      <c r="U13" s="502"/>
      <c r="V13" s="502"/>
      <c r="X13" s="98"/>
      <c r="Y13" s="98"/>
      <c r="Z13" s="98"/>
      <c r="AA13" s="98"/>
      <c r="AB13" s="98"/>
      <c r="AC13" s="98"/>
    </row>
    <row r="14" spans="1:55" ht="30" customHeight="1" x14ac:dyDescent="0.25">
      <c r="A14" s="504"/>
      <c r="B14" s="504"/>
      <c r="C14" s="504"/>
      <c r="D14" s="504"/>
      <c r="E14" s="504"/>
      <c r="F14" s="504"/>
      <c r="G14" s="504"/>
      <c r="H14" s="504"/>
      <c r="I14" s="504"/>
      <c r="J14" s="504"/>
      <c r="K14" s="504"/>
      <c r="L14" s="504"/>
      <c r="M14" s="94" t="s">
        <v>3</v>
      </c>
      <c r="N14" s="94" t="s">
        <v>4</v>
      </c>
      <c r="O14" s="507"/>
      <c r="P14" s="507"/>
      <c r="Q14" s="504"/>
      <c r="R14" s="504"/>
      <c r="S14" s="504"/>
      <c r="T14" s="504"/>
      <c r="U14" s="504"/>
      <c r="V14" s="504"/>
      <c r="Y14" s="502" t="s">
        <v>230</v>
      </c>
      <c r="Z14" s="502"/>
      <c r="AA14" s="502"/>
      <c r="AB14" s="502"/>
      <c r="AC14" s="502"/>
      <c r="AD14" s="502" t="s">
        <v>231</v>
      </c>
      <c r="AH14" s="203" t="s">
        <v>232</v>
      </c>
      <c r="AJ14" s="520" t="s">
        <v>191</v>
      </c>
      <c r="AK14" s="520" t="s">
        <v>192</v>
      </c>
      <c r="AL14" s="520" t="s">
        <v>193</v>
      </c>
      <c r="AM14" s="520" t="s">
        <v>194</v>
      </c>
      <c r="AN14" s="520" t="s">
        <v>195</v>
      </c>
      <c r="AO14" s="506" t="s">
        <v>196</v>
      </c>
      <c r="AP14" s="506" t="s">
        <v>197</v>
      </c>
      <c r="AQ14" s="506" t="s">
        <v>198</v>
      </c>
      <c r="AR14" s="506" t="s">
        <v>188</v>
      </c>
      <c r="AS14" s="506" t="s">
        <v>199</v>
      </c>
      <c r="AT14" s="506" t="s">
        <v>200</v>
      </c>
      <c r="AU14" s="506" t="s">
        <v>201</v>
      </c>
      <c r="AV14" s="506" t="s">
        <v>202</v>
      </c>
      <c r="AW14" s="506" t="s">
        <v>203</v>
      </c>
      <c r="AX14" s="506" t="s">
        <v>204</v>
      </c>
      <c r="AY14" s="523" t="s">
        <v>205</v>
      </c>
      <c r="AZ14" s="523" t="s">
        <v>206</v>
      </c>
      <c r="BA14" s="523" t="s">
        <v>207</v>
      </c>
      <c r="BB14" s="523" t="s">
        <v>208</v>
      </c>
      <c r="BC14" s="506" t="s">
        <v>197</v>
      </c>
    </row>
    <row r="15" spans="1:55" ht="20.100000000000001" customHeight="1" thickBot="1" x14ac:dyDescent="0.3">
      <c r="A15" s="503"/>
      <c r="B15" s="95" t="s">
        <v>1</v>
      </c>
      <c r="C15" s="95" t="s">
        <v>1</v>
      </c>
      <c r="D15" s="95" t="s">
        <v>1</v>
      </c>
      <c r="E15" s="95" t="s">
        <v>1</v>
      </c>
      <c r="F15" s="95" t="s">
        <v>140</v>
      </c>
      <c r="G15" s="95" t="s">
        <v>1</v>
      </c>
      <c r="H15" s="95" t="s">
        <v>1</v>
      </c>
      <c r="I15" s="95" t="s">
        <v>1</v>
      </c>
      <c r="J15" s="95" t="s">
        <v>18</v>
      </c>
      <c r="K15" s="95" t="s">
        <v>9</v>
      </c>
      <c r="L15" s="95" t="s">
        <v>5</v>
      </c>
      <c r="M15" s="95" t="s">
        <v>5</v>
      </c>
      <c r="N15" s="95" t="s">
        <v>5</v>
      </c>
      <c r="O15" s="95" t="s">
        <v>1</v>
      </c>
      <c r="P15" s="95" t="s">
        <v>14</v>
      </c>
      <c r="Q15" s="95" t="str">
        <f>IF(MR!G17="MSCF","MSCFD","MMSCFD")</f>
        <v>MSCFD</v>
      </c>
      <c r="R15" s="95" t="str">
        <f>MR!L17</f>
        <v>BPD</v>
      </c>
      <c r="S15" s="503"/>
      <c r="T15" s="503"/>
      <c r="U15" s="503"/>
      <c r="V15" s="503"/>
      <c r="X15" s="365"/>
      <c r="Y15" s="95" t="s">
        <v>123</v>
      </c>
      <c r="Z15" s="95" t="s">
        <v>124</v>
      </c>
      <c r="AA15" s="95" t="s">
        <v>125</v>
      </c>
      <c r="AB15" s="95" t="s">
        <v>51</v>
      </c>
      <c r="AC15" s="95" t="s">
        <v>48</v>
      </c>
      <c r="AD15" s="503"/>
      <c r="AH15" s="204" t="s">
        <v>228</v>
      </c>
      <c r="AJ15" s="521"/>
      <c r="AK15" s="521"/>
      <c r="AL15" s="521"/>
      <c r="AM15" s="521"/>
      <c r="AN15" s="521"/>
      <c r="AO15" s="522"/>
      <c r="AP15" s="522"/>
      <c r="AQ15" s="522"/>
      <c r="AR15" s="522"/>
      <c r="AS15" s="522"/>
      <c r="AT15" s="522"/>
      <c r="AU15" s="522"/>
      <c r="AV15" s="522"/>
      <c r="AW15" s="522"/>
      <c r="AX15" s="522"/>
      <c r="AY15" s="524"/>
      <c r="AZ15" s="524"/>
      <c r="BA15" s="524"/>
      <c r="BB15" s="524"/>
      <c r="BC15" s="522"/>
    </row>
    <row r="16" spans="1:55" ht="20.100000000000001" customHeight="1" x14ac:dyDescent="0.2">
      <c r="A16" s="44">
        <v>4.1666666666666664E-2</v>
      </c>
      <c r="B16" s="450"/>
      <c r="C16" s="450"/>
      <c r="D16" s="450">
        <v>7.3</v>
      </c>
      <c r="E16" s="450">
        <v>62.6</v>
      </c>
      <c r="F16" s="40">
        <v>1986</v>
      </c>
      <c r="G16" s="36">
        <v>-5.5</v>
      </c>
      <c r="H16" s="36">
        <v>72</v>
      </c>
      <c r="I16" s="36">
        <v>22.9</v>
      </c>
      <c r="J16" s="40">
        <v>654</v>
      </c>
      <c r="K16" s="36">
        <v>13</v>
      </c>
      <c r="L16" s="450">
        <v>123</v>
      </c>
      <c r="M16" s="450">
        <v>223</v>
      </c>
      <c r="N16" s="450">
        <v>85</v>
      </c>
      <c r="O16" s="352">
        <v>55</v>
      </c>
      <c r="P16" s="352">
        <v>9</v>
      </c>
      <c r="Q16" s="352">
        <v>224.81</v>
      </c>
      <c r="R16" s="36"/>
      <c r="S16" s="519" t="str">
        <f t="shared" ref="S16:S32" si="0">IF(Z16="",IF(AD16="","",AD16),CONCATENATE(TEXT(Z16,"[hh]:mm"),IF(AA16="",""," - "&amp;TEXT(AA16,"[hh]:mm")),IF(Y16="",""," "&amp;Y16&amp;"/")," "&amp;AD16))</f>
        <v/>
      </c>
      <c r="T16" s="519"/>
      <c r="U16" s="519"/>
      <c r="V16" s="519"/>
      <c r="X16" s="44">
        <v>4.1666666666666664E-2</v>
      </c>
      <c r="Y16" s="105"/>
      <c r="Z16" s="101"/>
      <c r="AA16" s="101"/>
      <c r="AB16" s="44" t="str">
        <f>IF(Y16="STBY",AA16-Z16,"")</f>
        <v/>
      </c>
      <c r="AC16" s="44" t="str">
        <f t="shared" ref="AC16:AC39" si="1">IF(Y16="SD",AA16-Z16,"")</f>
        <v/>
      </c>
      <c r="AD16" s="355"/>
      <c r="AE16" s="9" t="str">
        <f>IF(S16="","",IF(COUNTA(Z16:$Z$39)=1,IF(COUNTA(AD16:$AD$39)=1,""," ; "),IF(COUNTA(AD16:$AD$39)=1,IF(Z16="",""," ; ")," ; ")))</f>
        <v/>
      </c>
      <c r="AF16" s="9" t="str">
        <f t="shared" ref="AF16:AF39" si="2">CONCATENATE(S16,AE16)</f>
        <v/>
      </c>
      <c r="AG16" s="90" t="str">
        <f t="shared" ref="AG16:AG39" si="3">IF(AND(COUNTBLANK(N16:P16)&lt;3,Q16=""),"CEK : Data Flowrate","")</f>
        <v/>
      </c>
      <c r="AH16" s="204" t="s">
        <v>229</v>
      </c>
      <c r="AJ16" s="205">
        <f>AK5</f>
        <v>500</v>
      </c>
      <c r="AK16" s="205">
        <f>AK6</f>
        <v>100</v>
      </c>
      <c r="AL16" s="206">
        <f>AK7</f>
        <v>2</v>
      </c>
      <c r="AM16" s="207">
        <f>AK8</f>
        <v>0.875</v>
      </c>
      <c r="AN16" s="208">
        <f>AK10</f>
        <v>0.63607464142166403</v>
      </c>
      <c r="AO16" s="209">
        <f t="shared" ref="AO16:AO39" si="4">T16^2*AJ16/100-14.7</f>
        <v>-14.7</v>
      </c>
      <c r="AP16" s="210">
        <f t="shared" ref="AP16:AP39" si="5">IF(AO16&lt;100,1,BC16)</f>
        <v>1</v>
      </c>
      <c r="AQ16" s="210">
        <f t="shared" ref="AQ16:AQ39" si="6">(1/AP16)^0.5</f>
        <v>1</v>
      </c>
      <c r="AR16" s="52">
        <f>AK9</f>
        <v>158.47</v>
      </c>
      <c r="AS16" s="210">
        <f t="shared" ref="AS16:AS39" si="7">(520/(460+N16))^0.5</f>
        <v>0.97679498379494789</v>
      </c>
      <c r="AT16" s="210">
        <f t="shared" ref="AT16:AT39" si="8">(1/AN16)^0.5</f>
        <v>1.2538510821608391</v>
      </c>
      <c r="AU16" s="210">
        <f t="shared" ref="AU16:AU39" si="9">0.01*(AJ16*AK16)^0.5</f>
        <v>2.2360679774997898</v>
      </c>
      <c r="AV16" s="211">
        <f t="shared" ref="AV16:AV39" si="10">0.024*AQ16*AR16*AS16*AT16*AU16</f>
        <v>10.415801185754333</v>
      </c>
      <c r="AW16" s="210">
        <f t="shared" ref="AW16:AW39" si="11">(AO16+14.7)/(697.2-43*AN16)</f>
        <v>0</v>
      </c>
      <c r="AX16" s="212">
        <f t="shared" ref="AX16:AX39" si="12">(N16+460)/(315.1*AN16+170.4)</f>
        <v>1.4696875479799241</v>
      </c>
      <c r="AY16" s="210">
        <f t="shared" ref="AY16:AY39" si="13">0.3379*LN(LN(AX16))+1.091</f>
        <v>0.76851414128953044</v>
      </c>
      <c r="AZ16" s="211">
        <f t="shared" ref="AZ16:AZ39" si="14">21.46*AY16-11.9*AY16^2-5.9</f>
        <v>3.5640070462657096</v>
      </c>
      <c r="BA16" s="210">
        <f t="shared" ref="BA16:BA39" si="15">AW16/AZ16</f>
        <v>0</v>
      </c>
      <c r="BB16" s="210">
        <f t="shared" ref="BB16:BB39" si="16">(1.1+0.26*AX16+(1.04-1.42*AX16)*BA16)*2.718^BA16/AX16</f>
        <v>1.0084584063544275</v>
      </c>
      <c r="BC16" s="210">
        <f t="shared" ref="BC16:BC39" si="17">1+(AY16-1)*SIN((90*BA16)/57.29578)^BB16</f>
        <v>1</v>
      </c>
    </row>
    <row r="17" spans="1:55" ht="20.100000000000001" customHeight="1" x14ac:dyDescent="0.2">
      <c r="A17" s="45">
        <v>8.3333333333333301E-2</v>
      </c>
      <c r="B17" s="451"/>
      <c r="C17" s="451"/>
      <c r="D17" s="451">
        <v>7.8</v>
      </c>
      <c r="E17" s="451">
        <v>62.2</v>
      </c>
      <c r="F17" s="41">
        <v>1940</v>
      </c>
      <c r="G17" s="37">
        <v>-5.5</v>
      </c>
      <c r="H17" s="37">
        <v>72.5</v>
      </c>
      <c r="I17" s="37">
        <v>22.3</v>
      </c>
      <c r="J17" s="41">
        <v>655</v>
      </c>
      <c r="K17" s="37">
        <v>13</v>
      </c>
      <c r="L17" s="451">
        <v>122</v>
      </c>
      <c r="M17" s="451">
        <v>223</v>
      </c>
      <c r="N17" s="451">
        <v>85</v>
      </c>
      <c r="O17" s="353">
        <v>55</v>
      </c>
      <c r="P17" s="353">
        <v>10</v>
      </c>
      <c r="Q17" s="353">
        <v>236.88</v>
      </c>
      <c r="R17" s="37"/>
      <c r="S17" s="508" t="str">
        <f t="shared" si="0"/>
        <v/>
      </c>
      <c r="T17" s="508"/>
      <c r="U17" s="508"/>
      <c r="V17" s="508"/>
      <c r="X17" s="45">
        <v>8.3333333333333301E-2</v>
      </c>
      <c r="Y17" s="106"/>
      <c r="Z17" s="102"/>
      <c r="AA17" s="102"/>
      <c r="AB17" s="45" t="str">
        <f t="shared" ref="AB17:AB39" si="18">IF(Y17="STBY",AA17-Z17,"")</f>
        <v/>
      </c>
      <c r="AC17" s="45" t="str">
        <f t="shared" si="1"/>
        <v/>
      </c>
      <c r="AD17" s="81"/>
      <c r="AE17" s="9" t="str">
        <f>IF(S17="","",IF(COUNTA(Z17:$Z$39)=1,IF(COUNTA(AD17:$AD$39)=1,""," ; "),IF(COUNTA(AD17:$AD$39)=1,IF(Z17="",""," ; ")," ; ")))</f>
        <v/>
      </c>
      <c r="AF17" s="9" t="str">
        <f t="shared" si="2"/>
        <v/>
      </c>
      <c r="AG17" s="90" t="str">
        <f t="shared" si="3"/>
        <v/>
      </c>
      <c r="AH17" s="204" t="s">
        <v>289</v>
      </c>
      <c r="AJ17" s="206">
        <f t="shared" ref="AJ17:AN32" si="19">AJ16</f>
        <v>500</v>
      </c>
      <c r="AK17" s="206">
        <f t="shared" si="19"/>
        <v>100</v>
      </c>
      <c r="AL17" s="206">
        <f>AL16</f>
        <v>2</v>
      </c>
      <c r="AM17" s="213">
        <f>AM16</f>
        <v>0.875</v>
      </c>
      <c r="AN17" s="214">
        <f>AN16</f>
        <v>0.63607464142166403</v>
      </c>
      <c r="AO17" s="215">
        <f t="shared" si="4"/>
        <v>-14.7</v>
      </c>
      <c r="AP17" s="216">
        <f t="shared" si="5"/>
        <v>1</v>
      </c>
      <c r="AQ17" s="216">
        <f t="shared" si="6"/>
        <v>1</v>
      </c>
      <c r="AR17" s="215">
        <f>AR16</f>
        <v>158.47</v>
      </c>
      <c r="AS17" s="216">
        <f t="shared" si="7"/>
        <v>0.97679498379494789</v>
      </c>
      <c r="AT17" s="216">
        <f t="shared" si="8"/>
        <v>1.2538510821608391</v>
      </c>
      <c r="AU17" s="216">
        <f t="shared" si="9"/>
        <v>2.2360679774997898</v>
      </c>
      <c r="AV17" s="217">
        <f t="shared" si="10"/>
        <v>10.415801185754333</v>
      </c>
      <c r="AW17" s="216">
        <f t="shared" si="11"/>
        <v>0</v>
      </c>
      <c r="AX17" s="218">
        <f t="shared" si="12"/>
        <v>1.4696875479799241</v>
      </c>
      <c r="AY17" s="216">
        <f t="shared" si="13"/>
        <v>0.76851414128953044</v>
      </c>
      <c r="AZ17" s="217">
        <f t="shared" si="14"/>
        <v>3.5640070462657096</v>
      </c>
      <c r="BA17" s="216">
        <f t="shared" si="15"/>
        <v>0</v>
      </c>
      <c r="BB17" s="216">
        <f t="shared" si="16"/>
        <v>1.0084584063544275</v>
      </c>
      <c r="BC17" s="216">
        <f t="shared" si="17"/>
        <v>1</v>
      </c>
    </row>
    <row r="18" spans="1:55" ht="20.100000000000001" customHeight="1" x14ac:dyDescent="0.2">
      <c r="A18" s="45">
        <v>0.125</v>
      </c>
      <c r="B18" s="451"/>
      <c r="C18" s="451"/>
      <c r="D18" s="451">
        <v>7.2</v>
      </c>
      <c r="E18" s="451">
        <v>62.8</v>
      </c>
      <c r="F18" s="41">
        <v>1933</v>
      </c>
      <c r="G18" s="37">
        <v>-5.5</v>
      </c>
      <c r="H18" s="37">
        <v>72.2</v>
      </c>
      <c r="I18" s="37">
        <v>22.1</v>
      </c>
      <c r="J18" s="41">
        <v>656</v>
      </c>
      <c r="K18" s="37">
        <v>13</v>
      </c>
      <c r="L18" s="451">
        <v>121</v>
      </c>
      <c r="M18" s="451">
        <v>220</v>
      </c>
      <c r="N18" s="451">
        <v>85</v>
      </c>
      <c r="O18" s="353">
        <v>55</v>
      </c>
      <c r="P18" s="353">
        <v>10</v>
      </c>
      <c r="Q18" s="353">
        <v>236.88</v>
      </c>
      <c r="R18" s="37"/>
      <c r="S18" s="508" t="str">
        <f t="shared" si="0"/>
        <v/>
      </c>
      <c r="T18" s="508"/>
      <c r="U18" s="508"/>
      <c r="V18" s="508"/>
      <c r="X18" s="45">
        <v>0.125</v>
      </c>
      <c r="Y18" s="106"/>
      <c r="Z18" s="102"/>
      <c r="AA18" s="102"/>
      <c r="AB18" s="45" t="str">
        <f t="shared" si="18"/>
        <v/>
      </c>
      <c r="AC18" s="45" t="str">
        <f t="shared" si="1"/>
        <v/>
      </c>
      <c r="AD18" s="81"/>
      <c r="AE18" s="9" t="str">
        <f>IF(S18="","",IF(COUNTA(Z18:$Z$39)=1,IF(COUNTA(AD18:$AD$39)=1,""," ; "),IF(COUNTA(AD18:$AD$39)=1,IF(Z18="",""," ; ")," ; ")))</f>
        <v/>
      </c>
      <c r="AF18" s="9" t="str">
        <f t="shared" si="2"/>
        <v/>
      </c>
      <c r="AG18" s="90" t="str">
        <f t="shared" si="3"/>
        <v/>
      </c>
      <c r="AH18" s="204" t="s">
        <v>321</v>
      </c>
      <c r="AJ18" s="206">
        <f t="shared" si="19"/>
        <v>500</v>
      </c>
      <c r="AK18" s="206">
        <f t="shared" si="19"/>
        <v>100</v>
      </c>
      <c r="AL18" s="206">
        <f t="shared" si="19"/>
        <v>2</v>
      </c>
      <c r="AM18" s="213">
        <f t="shared" si="19"/>
        <v>0.875</v>
      </c>
      <c r="AN18" s="214">
        <f t="shared" si="19"/>
        <v>0.63607464142166403</v>
      </c>
      <c r="AO18" s="215">
        <f t="shared" si="4"/>
        <v>-14.7</v>
      </c>
      <c r="AP18" s="216">
        <f t="shared" si="5"/>
        <v>1</v>
      </c>
      <c r="AQ18" s="216">
        <f t="shared" si="6"/>
        <v>1</v>
      </c>
      <c r="AR18" s="215">
        <f t="shared" ref="AR18:AR39" si="20">AR17</f>
        <v>158.47</v>
      </c>
      <c r="AS18" s="216">
        <f t="shared" si="7"/>
        <v>0.97679498379494789</v>
      </c>
      <c r="AT18" s="216">
        <f t="shared" si="8"/>
        <v>1.2538510821608391</v>
      </c>
      <c r="AU18" s="216">
        <f t="shared" si="9"/>
        <v>2.2360679774997898</v>
      </c>
      <c r="AV18" s="217">
        <f t="shared" si="10"/>
        <v>10.415801185754333</v>
      </c>
      <c r="AW18" s="216">
        <f t="shared" si="11"/>
        <v>0</v>
      </c>
      <c r="AX18" s="218">
        <f t="shared" si="12"/>
        <v>1.4696875479799241</v>
      </c>
      <c r="AY18" s="216">
        <f t="shared" si="13"/>
        <v>0.76851414128953044</v>
      </c>
      <c r="AZ18" s="217">
        <f t="shared" si="14"/>
        <v>3.5640070462657096</v>
      </c>
      <c r="BA18" s="216">
        <f t="shared" si="15"/>
        <v>0</v>
      </c>
      <c r="BB18" s="216">
        <f t="shared" si="16"/>
        <v>1.0084584063544275</v>
      </c>
      <c r="BC18" s="216">
        <f t="shared" si="17"/>
        <v>1</v>
      </c>
    </row>
    <row r="19" spans="1:55" ht="20.100000000000001" customHeight="1" x14ac:dyDescent="0.2">
      <c r="A19" s="45">
        <v>0.16666666666666699</v>
      </c>
      <c r="B19" s="451"/>
      <c r="C19" s="451"/>
      <c r="D19" s="451">
        <v>7.4</v>
      </c>
      <c r="E19" s="451">
        <v>62</v>
      </c>
      <c r="F19" s="41">
        <v>1986</v>
      </c>
      <c r="G19" s="37">
        <v>-5.5</v>
      </c>
      <c r="H19" s="37">
        <v>72.599999999999994</v>
      </c>
      <c r="I19" s="37">
        <v>22.3</v>
      </c>
      <c r="J19" s="41">
        <v>657</v>
      </c>
      <c r="K19" s="37">
        <v>13</v>
      </c>
      <c r="L19" s="451">
        <v>121</v>
      </c>
      <c r="M19" s="451">
        <v>220</v>
      </c>
      <c r="N19" s="451">
        <v>85</v>
      </c>
      <c r="O19" s="353">
        <v>55</v>
      </c>
      <c r="P19" s="353">
        <v>10</v>
      </c>
      <c r="Q19" s="353">
        <v>236.88</v>
      </c>
      <c r="R19" s="37"/>
      <c r="S19" s="508" t="str">
        <f t="shared" si="0"/>
        <v/>
      </c>
      <c r="T19" s="508"/>
      <c r="U19" s="508"/>
      <c r="V19" s="508"/>
      <c r="X19" s="45">
        <v>0.16666666666666699</v>
      </c>
      <c r="Y19" s="106"/>
      <c r="Z19" s="102"/>
      <c r="AA19" s="102"/>
      <c r="AB19" s="45" t="str">
        <f t="shared" si="18"/>
        <v/>
      </c>
      <c r="AC19" s="45" t="str">
        <f t="shared" si="1"/>
        <v/>
      </c>
      <c r="AD19" s="81"/>
      <c r="AE19" s="9" t="str">
        <f>IF(S19="","",IF(COUNTA(Z19:$Z$39)=1,IF(COUNTA(AD19:$AD$39)=1,""," ; "),IF(COUNTA(AD19:$AD$39)=1,IF(Z19="",""," ; ")," ; ")))</f>
        <v/>
      </c>
      <c r="AF19" s="9" t="str">
        <f t="shared" si="2"/>
        <v/>
      </c>
      <c r="AG19" s="90" t="str">
        <f t="shared" si="3"/>
        <v/>
      </c>
      <c r="AH19" s="204" t="s">
        <v>272</v>
      </c>
      <c r="AJ19" s="206">
        <f t="shared" si="19"/>
        <v>500</v>
      </c>
      <c r="AK19" s="206">
        <f t="shared" si="19"/>
        <v>100</v>
      </c>
      <c r="AL19" s="206">
        <f t="shared" si="19"/>
        <v>2</v>
      </c>
      <c r="AM19" s="213">
        <f t="shared" si="19"/>
        <v>0.875</v>
      </c>
      <c r="AN19" s="214">
        <f t="shared" si="19"/>
        <v>0.63607464142166403</v>
      </c>
      <c r="AO19" s="215">
        <f t="shared" si="4"/>
        <v>-14.7</v>
      </c>
      <c r="AP19" s="216">
        <f t="shared" si="5"/>
        <v>1</v>
      </c>
      <c r="AQ19" s="216">
        <f t="shared" si="6"/>
        <v>1</v>
      </c>
      <c r="AR19" s="215">
        <f t="shared" si="20"/>
        <v>158.47</v>
      </c>
      <c r="AS19" s="216">
        <f t="shared" si="7"/>
        <v>0.97679498379494789</v>
      </c>
      <c r="AT19" s="216">
        <f t="shared" si="8"/>
        <v>1.2538510821608391</v>
      </c>
      <c r="AU19" s="216">
        <f t="shared" si="9"/>
        <v>2.2360679774997898</v>
      </c>
      <c r="AV19" s="217">
        <f t="shared" si="10"/>
        <v>10.415801185754333</v>
      </c>
      <c r="AW19" s="216">
        <f t="shared" si="11"/>
        <v>0</v>
      </c>
      <c r="AX19" s="218">
        <f t="shared" si="12"/>
        <v>1.4696875479799241</v>
      </c>
      <c r="AY19" s="216">
        <f t="shared" si="13"/>
        <v>0.76851414128953044</v>
      </c>
      <c r="AZ19" s="217">
        <f t="shared" si="14"/>
        <v>3.5640070462657096</v>
      </c>
      <c r="BA19" s="216">
        <f t="shared" si="15"/>
        <v>0</v>
      </c>
      <c r="BB19" s="216">
        <f t="shared" si="16"/>
        <v>1.0084584063544275</v>
      </c>
      <c r="BC19" s="216">
        <f t="shared" si="17"/>
        <v>1</v>
      </c>
    </row>
    <row r="20" spans="1:55" ht="20.100000000000001" customHeight="1" x14ac:dyDescent="0.2">
      <c r="A20" s="45">
        <v>0.20833333333333301</v>
      </c>
      <c r="B20" s="451"/>
      <c r="C20" s="451"/>
      <c r="D20" s="451">
        <v>7.7</v>
      </c>
      <c r="E20" s="451">
        <v>62.8</v>
      </c>
      <c r="F20" s="41">
        <v>1940</v>
      </c>
      <c r="G20" s="37">
        <v>-5.5</v>
      </c>
      <c r="H20" s="37">
        <v>72.8</v>
      </c>
      <c r="I20" s="37">
        <v>22</v>
      </c>
      <c r="J20" s="41">
        <v>658</v>
      </c>
      <c r="K20" s="37">
        <v>13</v>
      </c>
      <c r="L20" s="451">
        <v>121</v>
      </c>
      <c r="M20" s="451">
        <v>220</v>
      </c>
      <c r="N20" s="451">
        <v>85</v>
      </c>
      <c r="O20" s="353">
        <v>55</v>
      </c>
      <c r="P20" s="353">
        <v>16</v>
      </c>
      <c r="Q20" s="353">
        <v>299.10000000000002</v>
      </c>
      <c r="R20" s="37"/>
      <c r="S20" s="508" t="str">
        <f t="shared" si="0"/>
        <v/>
      </c>
      <c r="T20" s="508"/>
      <c r="U20" s="508"/>
      <c r="V20" s="508"/>
      <c r="X20" s="45">
        <v>0.20833333333333301</v>
      </c>
      <c r="Y20" s="106"/>
      <c r="Z20" s="102"/>
      <c r="AA20" s="102"/>
      <c r="AB20" s="45" t="str">
        <f t="shared" si="18"/>
        <v/>
      </c>
      <c r="AC20" s="45" t="str">
        <f t="shared" si="1"/>
        <v/>
      </c>
      <c r="AD20" s="81"/>
      <c r="AE20" s="9" t="str">
        <f>IF(S20="","",IF(COUNTA(Z20:$Z$39)=1,IF(COUNTA(AD20:$AD$39)=1,""," ; "),IF(COUNTA(AD20:$AD$39)=1,IF(Z20="",""," ; ")," ; ")))</f>
        <v/>
      </c>
      <c r="AF20" s="9" t="str">
        <f t="shared" si="2"/>
        <v/>
      </c>
      <c r="AG20" s="90" t="str">
        <f t="shared" si="3"/>
        <v/>
      </c>
      <c r="AH20" s="204" t="s">
        <v>275</v>
      </c>
      <c r="AJ20" s="206">
        <f t="shared" si="19"/>
        <v>500</v>
      </c>
      <c r="AK20" s="206">
        <f t="shared" si="19"/>
        <v>100</v>
      </c>
      <c r="AL20" s="206">
        <f t="shared" si="19"/>
        <v>2</v>
      </c>
      <c r="AM20" s="213">
        <f t="shared" si="19"/>
        <v>0.875</v>
      </c>
      <c r="AN20" s="214">
        <f t="shared" si="19"/>
        <v>0.63607464142166403</v>
      </c>
      <c r="AO20" s="215">
        <f t="shared" si="4"/>
        <v>-14.7</v>
      </c>
      <c r="AP20" s="216">
        <f t="shared" si="5"/>
        <v>1</v>
      </c>
      <c r="AQ20" s="216">
        <f t="shared" si="6"/>
        <v>1</v>
      </c>
      <c r="AR20" s="215">
        <f t="shared" si="20"/>
        <v>158.47</v>
      </c>
      <c r="AS20" s="216">
        <f t="shared" si="7"/>
        <v>0.97679498379494789</v>
      </c>
      <c r="AT20" s="216">
        <f t="shared" si="8"/>
        <v>1.2538510821608391</v>
      </c>
      <c r="AU20" s="216">
        <f t="shared" si="9"/>
        <v>2.2360679774997898</v>
      </c>
      <c r="AV20" s="217">
        <f t="shared" si="10"/>
        <v>10.415801185754333</v>
      </c>
      <c r="AW20" s="216">
        <f t="shared" si="11"/>
        <v>0</v>
      </c>
      <c r="AX20" s="218">
        <f t="shared" si="12"/>
        <v>1.4696875479799241</v>
      </c>
      <c r="AY20" s="216">
        <f t="shared" si="13"/>
        <v>0.76851414128953044</v>
      </c>
      <c r="AZ20" s="217">
        <f t="shared" si="14"/>
        <v>3.5640070462657096</v>
      </c>
      <c r="BA20" s="216">
        <f t="shared" si="15"/>
        <v>0</v>
      </c>
      <c r="BB20" s="216">
        <f t="shared" si="16"/>
        <v>1.0084584063544275</v>
      </c>
      <c r="BC20" s="216">
        <f t="shared" si="17"/>
        <v>1</v>
      </c>
    </row>
    <row r="21" spans="1:55" ht="20.100000000000001" customHeight="1" x14ac:dyDescent="0.2">
      <c r="A21" s="45">
        <v>0.25</v>
      </c>
      <c r="B21" s="451"/>
      <c r="C21" s="451"/>
      <c r="D21" s="451">
        <v>6.4</v>
      </c>
      <c r="E21" s="451">
        <v>60.7</v>
      </c>
      <c r="F21" s="41">
        <v>1988</v>
      </c>
      <c r="G21" s="37">
        <v>-5.5</v>
      </c>
      <c r="H21" s="37">
        <v>72.099999999999994</v>
      </c>
      <c r="I21" s="37">
        <v>22.3</v>
      </c>
      <c r="J21" s="41">
        <v>659</v>
      </c>
      <c r="K21" s="37">
        <v>13</v>
      </c>
      <c r="L21" s="451">
        <v>122</v>
      </c>
      <c r="M21" s="451">
        <v>221</v>
      </c>
      <c r="N21" s="451">
        <v>85</v>
      </c>
      <c r="O21" s="353">
        <v>55</v>
      </c>
      <c r="P21" s="353">
        <v>10</v>
      </c>
      <c r="Q21" s="353">
        <v>236.88</v>
      </c>
      <c r="R21" s="37"/>
      <c r="S21" s="508" t="str">
        <f t="shared" si="0"/>
        <v/>
      </c>
      <c r="T21" s="508"/>
      <c r="U21" s="508"/>
      <c r="V21" s="508"/>
      <c r="X21" s="45">
        <v>0.25</v>
      </c>
      <c r="Y21" s="106"/>
      <c r="Z21" s="102"/>
      <c r="AA21" s="102"/>
      <c r="AB21" s="45" t="str">
        <f t="shared" si="18"/>
        <v/>
      </c>
      <c r="AC21" s="45" t="str">
        <f t="shared" si="1"/>
        <v/>
      </c>
      <c r="AD21" s="81"/>
      <c r="AE21" s="9" t="str">
        <f>IF(S21="","",IF(COUNTA(Z21:$Z$39)=1,IF(COUNTA(AD21:$AD$39)=1,""," ; "),IF(COUNTA(AD21:$AD$39)=1,IF(Z21="",""," ; ")," ; ")))</f>
        <v/>
      </c>
      <c r="AF21" s="9" t="str">
        <f t="shared" si="2"/>
        <v/>
      </c>
      <c r="AG21" s="90" t="str">
        <f t="shared" si="3"/>
        <v/>
      </c>
      <c r="AH21" s="204" t="s">
        <v>322</v>
      </c>
      <c r="AJ21" s="206">
        <f t="shared" si="19"/>
        <v>500</v>
      </c>
      <c r="AK21" s="206">
        <f t="shared" si="19"/>
        <v>100</v>
      </c>
      <c r="AL21" s="206">
        <f t="shared" si="19"/>
        <v>2</v>
      </c>
      <c r="AM21" s="213">
        <f t="shared" si="19"/>
        <v>0.875</v>
      </c>
      <c r="AN21" s="214">
        <f t="shared" si="19"/>
        <v>0.63607464142166403</v>
      </c>
      <c r="AO21" s="215">
        <f t="shared" si="4"/>
        <v>-14.7</v>
      </c>
      <c r="AP21" s="216">
        <f t="shared" si="5"/>
        <v>1</v>
      </c>
      <c r="AQ21" s="216">
        <f t="shared" si="6"/>
        <v>1</v>
      </c>
      <c r="AR21" s="215">
        <f t="shared" si="20"/>
        <v>158.47</v>
      </c>
      <c r="AS21" s="216">
        <f t="shared" si="7"/>
        <v>0.97679498379494789</v>
      </c>
      <c r="AT21" s="216">
        <f t="shared" si="8"/>
        <v>1.2538510821608391</v>
      </c>
      <c r="AU21" s="216">
        <f t="shared" si="9"/>
        <v>2.2360679774997898</v>
      </c>
      <c r="AV21" s="217">
        <f t="shared" si="10"/>
        <v>10.415801185754333</v>
      </c>
      <c r="AW21" s="216">
        <f t="shared" si="11"/>
        <v>0</v>
      </c>
      <c r="AX21" s="218">
        <f t="shared" si="12"/>
        <v>1.4696875479799241</v>
      </c>
      <c r="AY21" s="216">
        <f t="shared" si="13"/>
        <v>0.76851414128953044</v>
      </c>
      <c r="AZ21" s="217">
        <f t="shared" si="14"/>
        <v>3.5640070462657096</v>
      </c>
      <c r="BA21" s="216">
        <f t="shared" si="15"/>
        <v>0</v>
      </c>
      <c r="BB21" s="216">
        <f t="shared" si="16"/>
        <v>1.0084584063544275</v>
      </c>
      <c r="BC21" s="216">
        <f t="shared" si="17"/>
        <v>1</v>
      </c>
    </row>
    <row r="22" spans="1:55" ht="20.100000000000001" customHeight="1" x14ac:dyDescent="0.2">
      <c r="A22" s="45">
        <v>0.29166666666666702</v>
      </c>
      <c r="B22" s="451"/>
      <c r="C22" s="451"/>
      <c r="D22" s="451">
        <v>6.2</v>
      </c>
      <c r="E22" s="451">
        <v>57.9</v>
      </c>
      <c r="F22" s="41">
        <v>1971</v>
      </c>
      <c r="G22" s="37">
        <v>-5.5</v>
      </c>
      <c r="H22" s="37">
        <v>72.8</v>
      </c>
      <c r="I22" s="37">
        <v>22.2</v>
      </c>
      <c r="J22" s="41">
        <v>660</v>
      </c>
      <c r="K22" s="37">
        <v>13</v>
      </c>
      <c r="L22" s="451">
        <v>122</v>
      </c>
      <c r="M22" s="451">
        <v>221</v>
      </c>
      <c r="N22" s="451">
        <v>85</v>
      </c>
      <c r="O22" s="353">
        <v>55</v>
      </c>
      <c r="P22" s="353">
        <v>10</v>
      </c>
      <c r="Q22" s="353">
        <v>236.88</v>
      </c>
      <c r="R22" s="37"/>
      <c r="S22" s="508" t="str">
        <f t="shared" si="0"/>
        <v/>
      </c>
      <c r="T22" s="508"/>
      <c r="U22" s="508"/>
      <c r="V22" s="508"/>
      <c r="X22" s="45">
        <v>0.29166666666666702</v>
      </c>
      <c r="Y22" s="106"/>
      <c r="Z22" s="102"/>
      <c r="AA22" s="102"/>
      <c r="AB22" s="45" t="str">
        <f t="shared" si="18"/>
        <v/>
      </c>
      <c r="AC22" s="45" t="str">
        <f t="shared" si="1"/>
        <v/>
      </c>
      <c r="AD22" s="81"/>
      <c r="AE22" s="9" t="str">
        <f>IF(S22="","",IF(COUNTA(Z22:$Z$39)=1,IF(COUNTA(AD22:$AD$39)=1,""," ; "),IF(COUNTA(AD22:$AD$39)=1,IF(Z22="",""," ; ")," ; ")))</f>
        <v/>
      </c>
      <c r="AF22" s="9" t="str">
        <f t="shared" si="2"/>
        <v/>
      </c>
      <c r="AG22" s="90" t="str">
        <f t="shared" si="3"/>
        <v/>
      </c>
      <c r="AH22" s="204" t="s">
        <v>279</v>
      </c>
      <c r="AJ22" s="206">
        <f t="shared" si="19"/>
        <v>500</v>
      </c>
      <c r="AK22" s="206">
        <f t="shared" si="19"/>
        <v>100</v>
      </c>
      <c r="AL22" s="206">
        <f t="shared" si="19"/>
        <v>2</v>
      </c>
      <c r="AM22" s="213">
        <f t="shared" si="19"/>
        <v>0.875</v>
      </c>
      <c r="AN22" s="214">
        <f t="shared" si="19"/>
        <v>0.63607464142166403</v>
      </c>
      <c r="AO22" s="215">
        <f t="shared" si="4"/>
        <v>-14.7</v>
      </c>
      <c r="AP22" s="216">
        <f t="shared" si="5"/>
        <v>1</v>
      </c>
      <c r="AQ22" s="216">
        <f t="shared" si="6"/>
        <v>1</v>
      </c>
      <c r="AR22" s="215">
        <f t="shared" si="20"/>
        <v>158.47</v>
      </c>
      <c r="AS22" s="216">
        <f t="shared" si="7"/>
        <v>0.97679498379494789</v>
      </c>
      <c r="AT22" s="216">
        <f t="shared" si="8"/>
        <v>1.2538510821608391</v>
      </c>
      <c r="AU22" s="216">
        <f t="shared" si="9"/>
        <v>2.2360679774997898</v>
      </c>
      <c r="AV22" s="217">
        <f t="shared" si="10"/>
        <v>10.415801185754333</v>
      </c>
      <c r="AW22" s="216">
        <f t="shared" si="11"/>
        <v>0</v>
      </c>
      <c r="AX22" s="218">
        <f t="shared" si="12"/>
        <v>1.4696875479799241</v>
      </c>
      <c r="AY22" s="216">
        <f t="shared" si="13"/>
        <v>0.76851414128953044</v>
      </c>
      <c r="AZ22" s="217">
        <f t="shared" si="14"/>
        <v>3.5640070462657096</v>
      </c>
      <c r="BA22" s="216">
        <f t="shared" si="15"/>
        <v>0</v>
      </c>
      <c r="BB22" s="216">
        <f t="shared" si="16"/>
        <v>1.0084584063544275</v>
      </c>
      <c r="BC22" s="216">
        <f t="shared" si="17"/>
        <v>1</v>
      </c>
    </row>
    <row r="23" spans="1:55" ht="20.100000000000001" customHeight="1" x14ac:dyDescent="0.2">
      <c r="A23" s="45">
        <v>0.33333333333333298</v>
      </c>
      <c r="B23" s="451"/>
      <c r="C23" s="451"/>
      <c r="D23" s="451">
        <v>5.4</v>
      </c>
      <c r="E23" s="451">
        <v>52.6</v>
      </c>
      <c r="F23" s="41">
        <v>1971</v>
      </c>
      <c r="G23" s="37">
        <v>-5.5</v>
      </c>
      <c r="H23" s="37">
        <v>72.599999999999994</v>
      </c>
      <c r="I23" s="37">
        <v>22.6</v>
      </c>
      <c r="J23" s="41">
        <v>661</v>
      </c>
      <c r="K23" s="37">
        <v>13</v>
      </c>
      <c r="L23" s="451">
        <v>122</v>
      </c>
      <c r="M23" s="451">
        <v>222</v>
      </c>
      <c r="N23" s="451">
        <v>85</v>
      </c>
      <c r="O23" s="353">
        <v>30</v>
      </c>
      <c r="P23" s="353">
        <v>10</v>
      </c>
      <c r="Q23" s="353">
        <v>189.2</v>
      </c>
      <c r="R23" s="37"/>
      <c r="S23" s="508" t="str">
        <f t="shared" si="0"/>
        <v/>
      </c>
      <c r="T23" s="508"/>
      <c r="U23" s="508"/>
      <c r="V23" s="508"/>
      <c r="X23" s="45">
        <v>0.33333333333333298</v>
      </c>
      <c r="Y23" s="106"/>
      <c r="Z23" s="102"/>
      <c r="AA23" s="102"/>
      <c r="AB23" s="45" t="str">
        <f t="shared" si="18"/>
        <v/>
      </c>
      <c r="AC23" s="45" t="str">
        <f t="shared" si="1"/>
        <v/>
      </c>
      <c r="AD23" s="81"/>
      <c r="AE23" s="9" t="str">
        <f>IF(S23="","",IF(COUNTA(Z23:$Z$39)=1,IF(COUNTA(AD23:$AD$39)=1,""," ; "),IF(COUNTA(AD23:$AD$39)=1,IF(Z23="",""," ; ")," ; ")))</f>
        <v/>
      </c>
      <c r="AF23" s="9" t="str">
        <f t="shared" si="2"/>
        <v/>
      </c>
      <c r="AG23" s="90" t="str">
        <f t="shared" si="3"/>
        <v/>
      </c>
      <c r="AH23" s="204" t="s">
        <v>274</v>
      </c>
      <c r="AJ23" s="206">
        <f t="shared" si="19"/>
        <v>500</v>
      </c>
      <c r="AK23" s="206">
        <f t="shared" si="19"/>
        <v>100</v>
      </c>
      <c r="AL23" s="206">
        <f t="shared" si="19"/>
        <v>2</v>
      </c>
      <c r="AM23" s="213">
        <f t="shared" si="19"/>
        <v>0.875</v>
      </c>
      <c r="AN23" s="214">
        <f t="shared" si="19"/>
        <v>0.63607464142166403</v>
      </c>
      <c r="AO23" s="215">
        <f t="shared" si="4"/>
        <v>-14.7</v>
      </c>
      <c r="AP23" s="216">
        <f t="shared" si="5"/>
        <v>1</v>
      </c>
      <c r="AQ23" s="216">
        <f t="shared" si="6"/>
        <v>1</v>
      </c>
      <c r="AR23" s="215">
        <f t="shared" si="20"/>
        <v>158.47</v>
      </c>
      <c r="AS23" s="216">
        <f t="shared" si="7"/>
        <v>0.97679498379494789</v>
      </c>
      <c r="AT23" s="216">
        <f t="shared" si="8"/>
        <v>1.2538510821608391</v>
      </c>
      <c r="AU23" s="216">
        <f t="shared" si="9"/>
        <v>2.2360679774997898</v>
      </c>
      <c r="AV23" s="217">
        <f t="shared" si="10"/>
        <v>10.415801185754333</v>
      </c>
      <c r="AW23" s="216">
        <f t="shared" si="11"/>
        <v>0</v>
      </c>
      <c r="AX23" s="218">
        <f t="shared" si="12"/>
        <v>1.4696875479799241</v>
      </c>
      <c r="AY23" s="216">
        <f t="shared" si="13"/>
        <v>0.76851414128953044</v>
      </c>
      <c r="AZ23" s="217">
        <f t="shared" si="14"/>
        <v>3.5640070462657096</v>
      </c>
      <c r="BA23" s="216">
        <f t="shared" si="15"/>
        <v>0</v>
      </c>
      <c r="BB23" s="216">
        <f t="shared" si="16"/>
        <v>1.0084584063544275</v>
      </c>
      <c r="BC23" s="216">
        <f t="shared" si="17"/>
        <v>1</v>
      </c>
    </row>
    <row r="24" spans="1:55" ht="20.100000000000001" customHeight="1" x14ac:dyDescent="0.2">
      <c r="A24" s="45">
        <v>0.375</v>
      </c>
      <c r="B24" s="451"/>
      <c r="C24" s="451"/>
      <c r="D24" s="451">
        <v>5.2</v>
      </c>
      <c r="E24" s="451">
        <v>63.4</v>
      </c>
      <c r="F24" s="41">
        <v>1922</v>
      </c>
      <c r="G24" s="37">
        <v>-5.5</v>
      </c>
      <c r="H24" s="37">
        <v>72.099999999999994</v>
      </c>
      <c r="I24" s="37">
        <v>22.4</v>
      </c>
      <c r="J24" s="41">
        <v>662</v>
      </c>
      <c r="K24" s="37">
        <v>13</v>
      </c>
      <c r="L24" s="451">
        <v>127</v>
      </c>
      <c r="M24" s="451">
        <v>220</v>
      </c>
      <c r="N24" s="451">
        <v>85</v>
      </c>
      <c r="O24" s="353">
        <v>30</v>
      </c>
      <c r="P24" s="353">
        <v>16</v>
      </c>
      <c r="Q24" s="353">
        <v>238.82</v>
      </c>
      <c r="R24" s="37"/>
      <c r="S24" s="508" t="str">
        <f t="shared" si="0"/>
        <v/>
      </c>
      <c r="T24" s="508"/>
      <c r="U24" s="508"/>
      <c r="V24" s="508"/>
      <c r="X24" s="45">
        <v>0.375</v>
      </c>
      <c r="Y24" s="106"/>
      <c r="Z24" s="102"/>
      <c r="AA24" s="102"/>
      <c r="AB24" s="45" t="str">
        <f t="shared" si="18"/>
        <v/>
      </c>
      <c r="AC24" s="45" t="str">
        <f t="shared" si="1"/>
        <v/>
      </c>
      <c r="AD24" s="81"/>
      <c r="AE24" s="9" t="str">
        <f>IF(S24="","",IF(COUNTA(Z24:$Z$39)=1,IF(COUNTA(AD24:$AD$39)=1,""," ; "),IF(COUNTA(AD24:$AD$39)=1,IF(Z24="",""," ; ")," ; ")))</f>
        <v/>
      </c>
      <c r="AF24" s="9" t="str">
        <f t="shared" si="2"/>
        <v/>
      </c>
      <c r="AG24" s="90" t="str">
        <f t="shared" si="3"/>
        <v/>
      </c>
      <c r="AH24" s="204" t="s">
        <v>307</v>
      </c>
      <c r="AJ24" s="206">
        <f t="shared" si="19"/>
        <v>500</v>
      </c>
      <c r="AK24" s="206">
        <f t="shared" si="19"/>
        <v>100</v>
      </c>
      <c r="AL24" s="206">
        <f t="shared" si="19"/>
        <v>2</v>
      </c>
      <c r="AM24" s="213">
        <f t="shared" si="19"/>
        <v>0.875</v>
      </c>
      <c r="AN24" s="214">
        <f t="shared" si="19"/>
        <v>0.63607464142166403</v>
      </c>
      <c r="AO24" s="215">
        <f t="shared" si="4"/>
        <v>-14.7</v>
      </c>
      <c r="AP24" s="216">
        <f t="shared" si="5"/>
        <v>1</v>
      </c>
      <c r="AQ24" s="216">
        <f t="shared" si="6"/>
        <v>1</v>
      </c>
      <c r="AR24" s="215">
        <f t="shared" si="20"/>
        <v>158.47</v>
      </c>
      <c r="AS24" s="216">
        <f t="shared" si="7"/>
        <v>0.97679498379494789</v>
      </c>
      <c r="AT24" s="216">
        <f t="shared" si="8"/>
        <v>1.2538510821608391</v>
      </c>
      <c r="AU24" s="216">
        <f t="shared" si="9"/>
        <v>2.2360679774997898</v>
      </c>
      <c r="AV24" s="217">
        <f t="shared" si="10"/>
        <v>10.415801185754333</v>
      </c>
      <c r="AW24" s="216">
        <f t="shared" si="11"/>
        <v>0</v>
      </c>
      <c r="AX24" s="218">
        <f t="shared" si="12"/>
        <v>1.4696875479799241</v>
      </c>
      <c r="AY24" s="216">
        <f t="shared" si="13"/>
        <v>0.76851414128953044</v>
      </c>
      <c r="AZ24" s="217">
        <f t="shared" si="14"/>
        <v>3.5640070462657096</v>
      </c>
      <c r="BA24" s="216">
        <f t="shared" si="15"/>
        <v>0</v>
      </c>
      <c r="BB24" s="216">
        <f t="shared" si="16"/>
        <v>1.0084584063544275</v>
      </c>
      <c r="BC24" s="216">
        <f t="shared" si="17"/>
        <v>1</v>
      </c>
    </row>
    <row r="25" spans="1:55" ht="20.100000000000001" customHeight="1" x14ac:dyDescent="0.2">
      <c r="A25" s="45">
        <v>0.41666666666666702</v>
      </c>
      <c r="B25" s="451"/>
      <c r="C25" s="451"/>
      <c r="D25" s="451">
        <v>5.6</v>
      </c>
      <c r="E25" s="451">
        <v>77</v>
      </c>
      <c r="F25" s="41">
        <v>1925</v>
      </c>
      <c r="G25" s="37">
        <v>-5.5</v>
      </c>
      <c r="H25" s="37">
        <v>72.400000000000006</v>
      </c>
      <c r="I25" s="37">
        <v>22</v>
      </c>
      <c r="J25" s="41">
        <v>663</v>
      </c>
      <c r="K25" s="37">
        <v>13</v>
      </c>
      <c r="L25" s="451">
        <v>120</v>
      </c>
      <c r="M25" s="451">
        <v>222</v>
      </c>
      <c r="N25" s="451">
        <v>85</v>
      </c>
      <c r="O25" s="353">
        <v>30</v>
      </c>
      <c r="P25" s="353">
        <v>16</v>
      </c>
      <c r="Q25" s="353">
        <v>238.82</v>
      </c>
      <c r="R25" s="37"/>
      <c r="S25" s="508" t="str">
        <f t="shared" si="0"/>
        <v/>
      </c>
      <c r="T25" s="508"/>
      <c r="U25" s="508"/>
      <c r="V25" s="508"/>
      <c r="X25" s="45">
        <v>0.41666666666666702</v>
      </c>
      <c r="Y25" s="106"/>
      <c r="Z25" s="102"/>
      <c r="AA25" s="102"/>
      <c r="AB25" s="45" t="str">
        <f t="shared" si="18"/>
        <v/>
      </c>
      <c r="AC25" s="45" t="str">
        <f t="shared" si="1"/>
        <v/>
      </c>
      <c r="AD25" s="81"/>
      <c r="AE25" s="9" t="str">
        <f>IF(S25="","",IF(COUNTA(Z25:$Z$39)=1,IF(COUNTA(AD25:$AD$39)=1,""," ; "),IF(COUNTA(AD25:$AD$39)=1,IF(Z25="",""," ; ")," ; ")))</f>
        <v/>
      </c>
      <c r="AF25" s="9" t="str">
        <f t="shared" si="2"/>
        <v/>
      </c>
      <c r="AG25" s="90" t="str">
        <f t="shared" si="3"/>
        <v/>
      </c>
      <c r="AH25" s="204" t="s">
        <v>225</v>
      </c>
      <c r="AJ25" s="206">
        <f t="shared" si="19"/>
        <v>500</v>
      </c>
      <c r="AK25" s="206">
        <f t="shared" si="19"/>
        <v>100</v>
      </c>
      <c r="AL25" s="206">
        <f t="shared" si="19"/>
        <v>2</v>
      </c>
      <c r="AM25" s="213">
        <f t="shared" si="19"/>
        <v>0.875</v>
      </c>
      <c r="AN25" s="214">
        <f t="shared" si="19"/>
        <v>0.63607464142166403</v>
      </c>
      <c r="AO25" s="215">
        <f t="shared" si="4"/>
        <v>-14.7</v>
      </c>
      <c r="AP25" s="216">
        <f t="shared" si="5"/>
        <v>1</v>
      </c>
      <c r="AQ25" s="216">
        <f t="shared" si="6"/>
        <v>1</v>
      </c>
      <c r="AR25" s="215">
        <f t="shared" si="20"/>
        <v>158.47</v>
      </c>
      <c r="AS25" s="216">
        <f t="shared" si="7"/>
        <v>0.97679498379494789</v>
      </c>
      <c r="AT25" s="216">
        <f t="shared" si="8"/>
        <v>1.2538510821608391</v>
      </c>
      <c r="AU25" s="216">
        <f t="shared" si="9"/>
        <v>2.2360679774997898</v>
      </c>
      <c r="AV25" s="217">
        <f t="shared" si="10"/>
        <v>10.415801185754333</v>
      </c>
      <c r="AW25" s="216">
        <f t="shared" si="11"/>
        <v>0</v>
      </c>
      <c r="AX25" s="218">
        <f t="shared" si="12"/>
        <v>1.4696875479799241</v>
      </c>
      <c r="AY25" s="216">
        <f t="shared" si="13"/>
        <v>0.76851414128953044</v>
      </c>
      <c r="AZ25" s="217">
        <f t="shared" si="14"/>
        <v>3.5640070462657096</v>
      </c>
      <c r="BA25" s="216">
        <f t="shared" si="15"/>
        <v>0</v>
      </c>
      <c r="BB25" s="216">
        <f t="shared" si="16"/>
        <v>1.0084584063544275</v>
      </c>
      <c r="BC25" s="216">
        <f t="shared" si="17"/>
        <v>1</v>
      </c>
    </row>
    <row r="26" spans="1:55" ht="20.100000000000001" customHeight="1" x14ac:dyDescent="0.2">
      <c r="A26" s="45">
        <v>0.45833333333333298</v>
      </c>
      <c r="B26" s="451"/>
      <c r="C26" s="451"/>
      <c r="D26" s="451">
        <v>7.3</v>
      </c>
      <c r="E26" s="451">
        <v>70.599999999999994</v>
      </c>
      <c r="F26" s="41">
        <v>1915</v>
      </c>
      <c r="G26" s="37">
        <v>-5.5</v>
      </c>
      <c r="H26" s="37">
        <v>72.599999999999994</v>
      </c>
      <c r="I26" s="37">
        <v>22.9</v>
      </c>
      <c r="J26" s="41">
        <v>664</v>
      </c>
      <c r="K26" s="37">
        <v>13</v>
      </c>
      <c r="L26" s="451">
        <v>121</v>
      </c>
      <c r="M26" s="451">
        <v>222</v>
      </c>
      <c r="N26" s="451">
        <v>85</v>
      </c>
      <c r="O26" s="353">
        <v>30</v>
      </c>
      <c r="P26" s="353">
        <v>16</v>
      </c>
      <c r="Q26" s="353">
        <v>238.82</v>
      </c>
      <c r="R26" s="37"/>
      <c r="S26" s="508" t="str">
        <f t="shared" si="0"/>
        <v/>
      </c>
      <c r="T26" s="508"/>
      <c r="U26" s="508"/>
      <c r="V26" s="508"/>
      <c r="X26" s="45">
        <v>0.45833333333333298</v>
      </c>
      <c r="Y26" s="106"/>
      <c r="Z26" s="102"/>
      <c r="AA26" s="102"/>
      <c r="AB26" s="45" t="str">
        <f t="shared" si="18"/>
        <v/>
      </c>
      <c r="AC26" s="45" t="str">
        <f t="shared" si="1"/>
        <v/>
      </c>
      <c r="AD26" s="81"/>
      <c r="AE26" s="9" t="str">
        <f>IF(S26="","",IF(COUNTA(Z26:$Z$39)=1,IF(COUNTA(AD26:$AD$39)=1,""," ; "),IF(COUNTA(AD26:$AD$39)=1,IF(Z26="",""," ; ")," ; ")))</f>
        <v/>
      </c>
      <c r="AF26" s="9" t="str">
        <f t="shared" si="2"/>
        <v/>
      </c>
      <c r="AG26" s="90" t="str">
        <f t="shared" si="3"/>
        <v/>
      </c>
      <c r="AH26" s="204" t="s">
        <v>287</v>
      </c>
      <c r="AJ26" s="206">
        <f t="shared" si="19"/>
        <v>500</v>
      </c>
      <c r="AK26" s="206">
        <f t="shared" si="19"/>
        <v>100</v>
      </c>
      <c r="AL26" s="206">
        <f t="shared" si="19"/>
        <v>2</v>
      </c>
      <c r="AM26" s="213">
        <f t="shared" si="19"/>
        <v>0.875</v>
      </c>
      <c r="AN26" s="214">
        <f t="shared" si="19"/>
        <v>0.63607464142166403</v>
      </c>
      <c r="AO26" s="215">
        <f t="shared" si="4"/>
        <v>-14.7</v>
      </c>
      <c r="AP26" s="216">
        <f t="shared" si="5"/>
        <v>1</v>
      </c>
      <c r="AQ26" s="216">
        <f t="shared" si="6"/>
        <v>1</v>
      </c>
      <c r="AR26" s="215">
        <f t="shared" si="20"/>
        <v>158.47</v>
      </c>
      <c r="AS26" s="216">
        <f t="shared" si="7"/>
        <v>0.97679498379494789</v>
      </c>
      <c r="AT26" s="216">
        <f t="shared" si="8"/>
        <v>1.2538510821608391</v>
      </c>
      <c r="AU26" s="216">
        <f t="shared" si="9"/>
        <v>2.2360679774997898</v>
      </c>
      <c r="AV26" s="217">
        <f t="shared" si="10"/>
        <v>10.415801185754333</v>
      </c>
      <c r="AW26" s="216">
        <f t="shared" si="11"/>
        <v>0</v>
      </c>
      <c r="AX26" s="218">
        <f t="shared" si="12"/>
        <v>1.4696875479799241</v>
      </c>
      <c r="AY26" s="216">
        <f t="shared" si="13"/>
        <v>0.76851414128953044</v>
      </c>
      <c r="AZ26" s="217">
        <f t="shared" si="14"/>
        <v>3.5640070462657096</v>
      </c>
      <c r="BA26" s="216">
        <f t="shared" si="15"/>
        <v>0</v>
      </c>
      <c r="BB26" s="216">
        <f t="shared" si="16"/>
        <v>1.0084584063544275</v>
      </c>
      <c r="BC26" s="216">
        <f t="shared" si="17"/>
        <v>1</v>
      </c>
    </row>
    <row r="27" spans="1:55" ht="20.100000000000001" customHeight="1" x14ac:dyDescent="0.2">
      <c r="A27" s="45">
        <v>0.5</v>
      </c>
      <c r="B27" s="451"/>
      <c r="C27" s="451"/>
      <c r="D27" s="451">
        <v>6.4</v>
      </c>
      <c r="E27" s="451">
        <v>65.3</v>
      </c>
      <c r="F27" s="41">
        <v>1944</v>
      </c>
      <c r="G27" s="37">
        <v>-5.5</v>
      </c>
      <c r="H27" s="37">
        <v>72</v>
      </c>
      <c r="I27" s="37">
        <v>22.7</v>
      </c>
      <c r="J27" s="41">
        <v>665</v>
      </c>
      <c r="K27" s="37">
        <v>13</v>
      </c>
      <c r="L27" s="451">
        <v>124</v>
      </c>
      <c r="M27" s="451">
        <v>221</v>
      </c>
      <c r="N27" s="451">
        <v>85</v>
      </c>
      <c r="O27" s="353">
        <v>30</v>
      </c>
      <c r="P27" s="353">
        <v>16</v>
      </c>
      <c r="Q27" s="353">
        <v>238.82</v>
      </c>
      <c r="R27" s="37"/>
      <c r="S27" s="508" t="str">
        <f t="shared" si="0"/>
        <v/>
      </c>
      <c r="T27" s="508"/>
      <c r="U27" s="508"/>
      <c r="V27" s="508"/>
      <c r="X27" s="45">
        <v>0.5</v>
      </c>
      <c r="Y27" s="106"/>
      <c r="Z27" s="102"/>
      <c r="AA27" s="102"/>
      <c r="AB27" s="45" t="str">
        <f t="shared" si="18"/>
        <v/>
      </c>
      <c r="AC27" s="45" t="str">
        <f t="shared" si="1"/>
        <v/>
      </c>
      <c r="AD27" s="81"/>
      <c r="AE27" s="9" t="str">
        <f>IF(S27="","",IF(COUNTA(Z27:$Z$39)=1,IF(COUNTA(AD27:$AD$39)=1,""," ; "),IF(COUNTA(AD27:$AD$39)=1,IF(Z27="",""," ; ")," ; ")))</f>
        <v/>
      </c>
      <c r="AF27" s="9" t="str">
        <f t="shared" si="2"/>
        <v/>
      </c>
      <c r="AG27" s="90" t="str">
        <f t="shared" si="3"/>
        <v/>
      </c>
      <c r="AH27" s="204" t="s">
        <v>276</v>
      </c>
      <c r="AJ27" s="206">
        <f t="shared" si="19"/>
        <v>500</v>
      </c>
      <c r="AK27" s="206">
        <f t="shared" si="19"/>
        <v>100</v>
      </c>
      <c r="AL27" s="206">
        <f t="shared" si="19"/>
        <v>2</v>
      </c>
      <c r="AM27" s="213">
        <f t="shared" si="19"/>
        <v>0.875</v>
      </c>
      <c r="AN27" s="214">
        <f t="shared" si="19"/>
        <v>0.63607464142166403</v>
      </c>
      <c r="AO27" s="215">
        <f t="shared" si="4"/>
        <v>-14.7</v>
      </c>
      <c r="AP27" s="216">
        <f t="shared" si="5"/>
        <v>1</v>
      </c>
      <c r="AQ27" s="216">
        <f t="shared" si="6"/>
        <v>1</v>
      </c>
      <c r="AR27" s="215">
        <f t="shared" si="20"/>
        <v>158.47</v>
      </c>
      <c r="AS27" s="216">
        <f t="shared" si="7"/>
        <v>0.97679498379494789</v>
      </c>
      <c r="AT27" s="216">
        <f t="shared" si="8"/>
        <v>1.2538510821608391</v>
      </c>
      <c r="AU27" s="216">
        <f t="shared" si="9"/>
        <v>2.2360679774997898</v>
      </c>
      <c r="AV27" s="217">
        <f t="shared" si="10"/>
        <v>10.415801185754333</v>
      </c>
      <c r="AW27" s="216">
        <f t="shared" si="11"/>
        <v>0</v>
      </c>
      <c r="AX27" s="218">
        <f t="shared" si="12"/>
        <v>1.4696875479799241</v>
      </c>
      <c r="AY27" s="216">
        <f t="shared" si="13"/>
        <v>0.76851414128953044</v>
      </c>
      <c r="AZ27" s="217">
        <f t="shared" si="14"/>
        <v>3.5640070462657096</v>
      </c>
      <c r="BA27" s="216">
        <f t="shared" si="15"/>
        <v>0</v>
      </c>
      <c r="BB27" s="216">
        <f t="shared" si="16"/>
        <v>1.0084584063544275</v>
      </c>
      <c r="BC27" s="216">
        <f t="shared" si="17"/>
        <v>1</v>
      </c>
    </row>
    <row r="28" spans="1:55" ht="20.100000000000001" customHeight="1" x14ac:dyDescent="0.2">
      <c r="A28" s="45">
        <v>0.54166666666666696</v>
      </c>
      <c r="B28" s="451"/>
      <c r="C28" s="451"/>
      <c r="D28" s="451">
        <v>6.6</v>
      </c>
      <c r="E28" s="451">
        <v>64.7</v>
      </c>
      <c r="F28" s="41">
        <v>1930</v>
      </c>
      <c r="G28" s="37">
        <v>-5.5</v>
      </c>
      <c r="H28" s="37">
        <v>72.900000000000006</v>
      </c>
      <c r="I28" s="37">
        <v>22.3</v>
      </c>
      <c r="J28" s="41">
        <v>666</v>
      </c>
      <c r="K28" s="37">
        <v>13</v>
      </c>
      <c r="L28" s="451">
        <v>127</v>
      </c>
      <c r="M28" s="451">
        <v>227</v>
      </c>
      <c r="N28" s="451">
        <v>85</v>
      </c>
      <c r="O28" s="353">
        <v>60</v>
      </c>
      <c r="P28" s="353">
        <v>10</v>
      </c>
      <c r="Q28" s="353">
        <v>245.36</v>
      </c>
      <c r="R28" s="37"/>
      <c r="S28" s="508" t="str">
        <f t="shared" si="0"/>
        <v/>
      </c>
      <c r="T28" s="508"/>
      <c r="U28" s="508"/>
      <c r="V28" s="508"/>
      <c r="X28" s="45">
        <v>0.54166666666666696</v>
      </c>
      <c r="Y28" s="106"/>
      <c r="Z28" s="102"/>
      <c r="AA28" s="102"/>
      <c r="AB28" s="45" t="str">
        <f t="shared" si="18"/>
        <v/>
      </c>
      <c r="AC28" s="45" t="str">
        <f t="shared" si="1"/>
        <v/>
      </c>
      <c r="AD28" s="81"/>
      <c r="AE28" s="9" t="str">
        <f>IF(S28="","",IF(COUNTA(Z28:$Z$39)=1,IF(COUNTA(AD28:$AD$39)=1,""," ; "),IF(COUNTA(AD28:$AD$39)=1,IF(Z28="",""," ; ")," ; ")))</f>
        <v/>
      </c>
      <c r="AF28" s="9" t="str">
        <f t="shared" si="2"/>
        <v/>
      </c>
      <c r="AG28" s="90" t="str">
        <f t="shared" si="3"/>
        <v/>
      </c>
      <c r="AH28" s="204" t="s">
        <v>278</v>
      </c>
      <c r="AJ28" s="206">
        <f t="shared" si="19"/>
        <v>500</v>
      </c>
      <c r="AK28" s="206">
        <f t="shared" si="19"/>
        <v>100</v>
      </c>
      <c r="AL28" s="206">
        <f t="shared" si="19"/>
        <v>2</v>
      </c>
      <c r="AM28" s="213">
        <f t="shared" si="19"/>
        <v>0.875</v>
      </c>
      <c r="AN28" s="214">
        <f t="shared" si="19"/>
        <v>0.63607464142166403</v>
      </c>
      <c r="AO28" s="215">
        <f t="shared" si="4"/>
        <v>-14.7</v>
      </c>
      <c r="AP28" s="216">
        <f t="shared" si="5"/>
        <v>1</v>
      </c>
      <c r="AQ28" s="216">
        <f t="shared" si="6"/>
        <v>1</v>
      </c>
      <c r="AR28" s="215">
        <f t="shared" si="20"/>
        <v>158.47</v>
      </c>
      <c r="AS28" s="216">
        <f t="shared" si="7"/>
        <v>0.97679498379494789</v>
      </c>
      <c r="AT28" s="216">
        <f t="shared" si="8"/>
        <v>1.2538510821608391</v>
      </c>
      <c r="AU28" s="216">
        <f t="shared" si="9"/>
        <v>2.2360679774997898</v>
      </c>
      <c r="AV28" s="217">
        <f t="shared" si="10"/>
        <v>10.415801185754333</v>
      </c>
      <c r="AW28" s="216">
        <f t="shared" si="11"/>
        <v>0</v>
      </c>
      <c r="AX28" s="218">
        <f t="shared" si="12"/>
        <v>1.4696875479799241</v>
      </c>
      <c r="AY28" s="216">
        <f t="shared" si="13"/>
        <v>0.76851414128953044</v>
      </c>
      <c r="AZ28" s="217">
        <f t="shared" si="14"/>
        <v>3.5640070462657096</v>
      </c>
      <c r="BA28" s="216">
        <f t="shared" si="15"/>
        <v>0</v>
      </c>
      <c r="BB28" s="216">
        <f t="shared" si="16"/>
        <v>1.0084584063544275</v>
      </c>
      <c r="BC28" s="216">
        <f t="shared" si="17"/>
        <v>1</v>
      </c>
    </row>
    <row r="29" spans="1:55" ht="20.100000000000001" customHeight="1" x14ac:dyDescent="0.2">
      <c r="A29" s="45">
        <v>0.58333333333333304</v>
      </c>
      <c r="B29" s="451"/>
      <c r="C29" s="451"/>
      <c r="D29" s="451">
        <v>7.2</v>
      </c>
      <c r="E29" s="451">
        <v>67.400000000000006</v>
      </c>
      <c r="F29" s="41">
        <v>1951</v>
      </c>
      <c r="G29" s="37">
        <v>-5.5</v>
      </c>
      <c r="H29" s="37">
        <v>72.7</v>
      </c>
      <c r="I29" s="37">
        <v>22.5</v>
      </c>
      <c r="J29" s="41">
        <v>667</v>
      </c>
      <c r="K29" s="37">
        <v>13</v>
      </c>
      <c r="L29" s="451">
        <v>121</v>
      </c>
      <c r="M29" s="451">
        <v>224</v>
      </c>
      <c r="N29" s="451">
        <v>85</v>
      </c>
      <c r="O29" s="353">
        <v>60</v>
      </c>
      <c r="P29" s="353">
        <v>10</v>
      </c>
      <c r="Q29" s="353">
        <v>245.36</v>
      </c>
      <c r="R29" s="37"/>
      <c r="S29" s="508" t="str">
        <f t="shared" si="0"/>
        <v/>
      </c>
      <c r="T29" s="508"/>
      <c r="U29" s="508"/>
      <c r="V29" s="508"/>
      <c r="X29" s="45">
        <v>0.58333333333333304</v>
      </c>
      <c r="Y29" s="106"/>
      <c r="Z29" s="102"/>
      <c r="AA29" s="102"/>
      <c r="AB29" s="45" t="str">
        <f t="shared" si="18"/>
        <v/>
      </c>
      <c r="AC29" s="45" t="str">
        <f t="shared" si="1"/>
        <v/>
      </c>
      <c r="AD29" s="81"/>
      <c r="AE29" s="9" t="str">
        <f>IF(S29="","",IF(COUNTA(Z29:$Z$39)=1,IF(COUNTA(AD29:$AD$39)=1,""," ; "),IF(COUNTA(AD29:$AD$39)=1,IF(Z29="",""," ; ")," ; ")))</f>
        <v/>
      </c>
      <c r="AF29" s="9" t="str">
        <f t="shared" si="2"/>
        <v/>
      </c>
      <c r="AG29" s="90" t="str">
        <f t="shared" si="3"/>
        <v/>
      </c>
      <c r="AH29" s="204" t="s">
        <v>224</v>
      </c>
      <c r="AJ29" s="206">
        <f t="shared" si="19"/>
        <v>500</v>
      </c>
      <c r="AK29" s="206">
        <f t="shared" si="19"/>
        <v>100</v>
      </c>
      <c r="AL29" s="206">
        <f t="shared" si="19"/>
        <v>2</v>
      </c>
      <c r="AM29" s="213">
        <f t="shared" si="19"/>
        <v>0.875</v>
      </c>
      <c r="AN29" s="214">
        <f t="shared" si="19"/>
        <v>0.63607464142166403</v>
      </c>
      <c r="AO29" s="215">
        <f t="shared" si="4"/>
        <v>-14.7</v>
      </c>
      <c r="AP29" s="216">
        <f t="shared" si="5"/>
        <v>1</v>
      </c>
      <c r="AQ29" s="216">
        <f t="shared" si="6"/>
        <v>1</v>
      </c>
      <c r="AR29" s="215">
        <f t="shared" si="20"/>
        <v>158.47</v>
      </c>
      <c r="AS29" s="216">
        <f t="shared" si="7"/>
        <v>0.97679498379494789</v>
      </c>
      <c r="AT29" s="216">
        <f t="shared" si="8"/>
        <v>1.2538510821608391</v>
      </c>
      <c r="AU29" s="216">
        <f t="shared" si="9"/>
        <v>2.2360679774997898</v>
      </c>
      <c r="AV29" s="217">
        <f t="shared" si="10"/>
        <v>10.415801185754333</v>
      </c>
      <c r="AW29" s="216">
        <f t="shared" si="11"/>
        <v>0</v>
      </c>
      <c r="AX29" s="218">
        <f t="shared" si="12"/>
        <v>1.4696875479799241</v>
      </c>
      <c r="AY29" s="216">
        <f t="shared" si="13"/>
        <v>0.76851414128953044</v>
      </c>
      <c r="AZ29" s="217">
        <f t="shared" si="14"/>
        <v>3.5640070462657096</v>
      </c>
      <c r="BA29" s="216">
        <f t="shared" si="15"/>
        <v>0</v>
      </c>
      <c r="BB29" s="216">
        <f t="shared" si="16"/>
        <v>1.0084584063544275</v>
      </c>
      <c r="BC29" s="216">
        <f t="shared" si="17"/>
        <v>1</v>
      </c>
    </row>
    <row r="30" spans="1:55" ht="20.100000000000001" customHeight="1" x14ac:dyDescent="0.2">
      <c r="A30" s="45">
        <v>0.625</v>
      </c>
      <c r="B30" s="451"/>
      <c r="C30" s="451"/>
      <c r="D30" s="451">
        <v>7</v>
      </c>
      <c r="E30" s="451">
        <v>58.7</v>
      </c>
      <c r="F30" s="41">
        <v>1954</v>
      </c>
      <c r="G30" s="37">
        <v>-5.5</v>
      </c>
      <c r="H30" s="37">
        <v>72.599999999999994</v>
      </c>
      <c r="I30" s="37">
        <v>22.4</v>
      </c>
      <c r="J30" s="41">
        <v>668</v>
      </c>
      <c r="K30" s="37">
        <v>13</v>
      </c>
      <c r="L30" s="451">
        <v>124</v>
      </c>
      <c r="M30" s="451">
        <v>224</v>
      </c>
      <c r="N30" s="451">
        <v>85</v>
      </c>
      <c r="O30" s="353">
        <v>60</v>
      </c>
      <c r="P30" s="353">
        <v>10</v>
      </c>
      <c r="Q30" s="353">
        <v>245.36</v>
      </c>
      <c r="R30" s="37"/>
      <c r="S30" s="508" t="str">
        <f t="shared" si="0"/>
        <v/>
      </c>
      <c r="T30" s="508"/>
      <c r="U30" s="508"/>
      <c r="V30" s="508"/>
      <c r="X30" s="45">
        <v>0.625</v>
      </c>
      <c r="Y30" s="106"/>
      <c r="Z30" s="102"/>
      <c r="AA30" s="102"/>
      <c r="AB30" s="45" t="str">
        <f t="shared" si="18"/>
        <v/>
      </c>
      <c r="AC30" s="45" t="str">
        <f t="shared" si="1"/>
        <v/>
      </c>
      <c r="AD30" s="81"/>
      <c r="AE30" s="9" t="str">
        <f>IF(S30="","",IF(COUNTA(Z30:$Z$39)=1,IF(COUNTA(AD30:$AD$39)=1,""," ; "),IF(COUNTA(AD30:$AD$39)=1,IF(Z30="",""," ; ")," ; ")))</f>
        <v/>
      </c>
      <c r="AF30" s="9" t="str">
        <f t="shared" si="2"/>
        <v/>
      </c>
      <c r="AG30" s="90" t="str">
        <f t="shared" si="3"/>
        <v/>
      </c>
      <c r="AH30" s="204" t="s">
        <v>260</v>
      </c>
      <c r="AJ30" s="206">
        <f t="shared" si="19"/>
        <v>500</v>
      </c>
      <c r="AK30" s="206">
        <f t="shared" si="19"/>
        <v>100</v>
      </c>
      <c r="AL30" s="206">
        <f t="shared" si="19"/>
        <v>2</v>
      </c>
      <c r="AM30" s="213">
        <f t="shared" si="19"/>
        <v>0.875</v>
      </c>
      <c r="AN30" s="214">
        <f t="shared" si="19"/>
        <v>0.63607464142166403</v>
      </c>
      <c r="AO30" s="215">
        <f t="shared" si="4"/>
        <v>-14.7</v>
      </c>
      <c r="AP30" s="216">
        <f t="shared" si="5"/>
        <v>1</v>
      </c>
      <c r="AQ30" s="216">
        <f t="shared" si="6"/>
        <v>1</v>
      </c>
      <c r="AR30" s="215">
        <f t="shared" si="20"/>
        <v>158.47</v>
      </c>
      <c r="AS30" s="216">
        <f t="shared" si="7"/>
        <v>0.97679498379494789</v>
      </c>
      <c r="AT30" s="216">
        <f t="shared" si="8"/>
        <v>1.2538510821608391</v>
      </c>
      <c r="AU30" s="216">
        <f t="shared" si="9"/>
        <v>2.2360679774997898</v>
      </c>
      <c r="AV30" s="217">
        <f t="shared" si="10"/>
        <v>10.415801185754333</v>
      </c>
      <c r="AW30" s="216">
        <f t="shared" si="11"/>
        <v>0</v>
      </c>
      <c r="AX30" s="218">
        <f t="shared" si="12"/>
        <v>1.4696875479799241</v>
      </c>
      <c r="AY30" s="216">
        <f t="shared" si="13"/>
        <v>0.76851414128953044</v>
      </c>
      <c r="AZ30" s="217">
        <f t="shared" si="14"/>
        <v>3.5640070462657096</v>
      </c>
      <c r="BA30" s="216">
        <f t="shared" si="15"/>
        <v>0</v>
      </c>
      <c r="BB30" s="216">
        <f t="shared" si="16"/>
        <v>1.0084584063544275</v>
      </c>
      <c r="BC30" s="216">
        <f t="shared" si="17"/>
        <v>1</v>
      </c>
    </row>
    <row r="31" spans="1:55" ht="20.100000000000001" customHeight="1" x14ac:dyDescent="0.2">
      <c r="A31" s="45">
        <v>0.66666666666666696</v>
      </c>
      <c r="B31" s="451"/>
      <c r="C31" s="451"/>
      <c r="D31" s="451">
        <v>6.2</v>
      </c>
      <c r="E31" s="451">
        <v>62.9</v>
      </c>
      <c r="F31" s="41">
        <v>1937</v>
      </c>
      <c r="G31" s="37">
        <v>-5.5</v>
      </c>
      <c r="H31" s="37">
        <v>72.8</v>
      </c>
      <c r="I31" s="37">
        <v>22.1</v>
      </c>
      <c r="J31" s="41">
        <v>669</v>
      </c>
      <c r="K31" s="37">
        <v>13</v>
      </c>
      <c r="L31" s="451">
        <v>123</v>
      </c>
      <c r="M31" s="451">
        <v>221</v>
      </c>
      <c r="N31" s="451">
        <v>85</v>
      </c>
      <c r="O31" s="353">
        <v>60</v>
      </c>
      <c r="P31" s="353">
        <v>9</v>
      </c>
      <c r="Q31" s="353">
        <v>232.86</v>
      </c>
      <c r="R31" s="37"/>
      <c r="S31" s="508" t="str">
        <f t="shared" si="0"/>
        <v/>
      </c>
      <c r="T31" s="508"/>
      <c r="U31" s="508"/>
      <c r="V31" s="508"/>
      <c r="X31" s="45">
        <v>0.66666666666666696</v>
      </c>
      <c r="Y31" s="106"/>
      <c r="Z31" s="102"/>
      <c r="AA31" s="102"/>
      <c r="AB31" s="45" t="str">
        <f t="shared" si="18"/>
        <v/>
      </c>
      <c r="AC31" s="45" t="str">
        <f t="shared" si="1"/>
        <v/>
      </c>
      <c r="AD31" s="81"/>
      <c r="AE31" s="9" t="str">
        <f>IF(S31="","",IF(COUNTA(Z31:$Z$39)=1,IF(COUNTA(AD31:$AD$39)=1,""," ; "),IF(COUNTA(AD31:$AD$39)=1,IF(Z31="",""," ; ")," ; ")))</f>
        <v/>
      </c>
      <c r="AF31" s="9" t="str">
        <f t="shared" si="2"/>
        <v/>
      </c>
      <c r="AG31" s="90" t="str">
        <f t="shared" si="3"/>
        <v/>
      </c>
      <c r="AH31" s="204" t="s">
        <v>226</v>
      </c>
      <c r="AJ31" s="206">
        <f t="shared" si="19"/>
        <v>500</v>
      </c>
      <c r="AK31" s="206">
        <f t="shared" si="19"/>
        <v>100</v>
      </c>
      <c r="AL31" s="206">
        <f t="shared" si="19"/>
        <v>2</v>
      </c>
      <c r="AM31" s="213">
        <f t="shared" si="19"/>
        <v>0.875</v>
      </c>
      <c r="AN31" s="214">
        <f t="shared" si="19"/>
        <v>0.63607464142166403</v>
      </c>
      <c r="AO31" s="215">
        <f t="shared" si="4"/>
        <v>-14.7</v>
      </c>
      <c r="AP31" s="216">
        <f t="shared" si="5"/>
        <v>1</v>
      </c>
      <c r="AQ31" s="216">
        <f t="shared" si="6"/>
        <v>1</v>
      </c>
      <c r="AR31" s="215">
        <f t="shared" si="20"/>
        <v>158.47</v>
      </c>
      <c r="AS31" s="216">
        <f t="shared" si="7"/>
        <v>0.97679498379494789</v>
      </c>
      <c r="AT31" s="216">
        <f t="shared" si="8"/>
        <v>1.2538510821608391</v>
      </c>
      <c r="AU31" s="216">
        <f t="shared" si="9"/>
        <v>2.2360679774997898</v>
      </c>
      <c r="AV31" s="217">
        <f t="shared" si="10"/>
        <v>10.415801185754333</v>
      </c>
      <c r="AW31" s="216">
        <f t="shared" si="11"/>
        <v>0</v>
      </c>
      <c r="AX31" s="218">
        <f t="shared" si="12"/>
        <v>1.4696875479799241</v>
      </c>
      <c r="AY31" s="216">
        <f t="shared" si="13"/>
        <v>0.76851414128953044</v>
      </c>
      <c r="AZ31" s="217">
        <f t="shared" si="14"/>
        <v>3.5640070462657096</v>
      </c>
      <c r="BA31" s="216">
        <f t="shared" si="15"/>
        <v>0</v>
      </c>
      <c r="BB31" s="216">
        <f t="shared" si="16"/>
        <v>1.0084584063544275</v>
      </c>
      <c r="BC31" s="216">
        <f t="shared" si="17"/>
        <v>1</v>
      </c>
    </row>
    <row r="32" spans="1:55" ht="20.100000000000001" customHeight="1" x14ac:dyDescent="0.2">
      <c r="A32" s="45">
        <v>0.70833333333333304</v>
      </c>
      <c r="B32" s="451"/>
      <c r="C32" s="451"/>
      <c r="D32" s="451">
        <v>5.8</v>
      </c>
      <c r="E32" s="451">
        <v>63.7</v>
      </c>
      <c r="F32" s="41">
        <v>1922</v>
      </c>
      <c r="G32" s="37">
        <v>-5.5</v>
      </c>
      <c r="H32" s="37">
        <v>72.400000000000006</v>
      </c>
      <c r="I32" s="37">
        <v>22.5</v>
      </c>
      <c r="J32" s="41">
        <v>670</v>
      </c>
      <c r="K32" s="37">
        <v>13</v>
      </c>
      <c r="L32" s="451">
        <v>126</v>
      </c>
      <c r="M32" s="451">
        <v>221</v>
      </c>
      <c r="N32" s="451">
        <v>85</v>
      </c>
      <c r="O32" s="353">
        <v>60</v>
      </c>
      <c r="P32" s="353">
        <v>9</v>
      </c>
      <c r="Q32" s="353">
        <v>232.86</v>
      </c>
      <c r="R32" s="37"/>
      <c r="S32" s="508" t="str">
        <f t="shared" si="0"/>
        <v/>
      </c>
      <c r="T32" s="508"/>
      <c r="U32" s="508"/>
      <c r="V32" s="508"/>
      <c r="X32" s="45">
        <v>0.70833333333333304</v>
      </c>
      <c r="Y32" s="106"/>
      <c r="Z32" s="102"/>
      <c r="AA32" s="102"/>
      <c r="AB32" s="45" t="str">
        <f t="shared" si="18"/>
        <v/>
      </c>
      <c r="AC32" s="45" t="str">
        <f t="shared" si="1"/>
        <v/>
      </c>
      <c r="AD32" s="81"/>
      <c r="AE32" s="9" t="str">
        <f>IF(S32="","",IF(COUNTA(Z32:$Z$39)=1,IF(COUNTA(AD32:$AD$39)=1,""," ; "),IF(COUNTA(AD32:$AD$39)=1,IF(Z32="",""," ; ")," ; ")))</f>
        <v/>
      </c>
      <c r="AF32" s="9" t="str">
        <f t="shared" si="2"/>
        <v/>
      </c>
      <c r="AG32" s="90" t="str">
        <f t="shared" si="3"/>
        <v/>
      </c>
      <c r="AH32" s="204" t="s">
        <v>313</v>
      </c>
      <c r="AJ32" s="206">
        <f t="shared" si="19"/>
        <v>500</v>
      </c>
      <c r="AK32" s="206">
        <f t="shared" si="19"/>
        <v>100</v>
      </c>
      <c r="AL32" s="206">
        <f t="shared" si="19"/>
        <v>2</v>
      </c>
      <c r="AM32" s="213">
        <f t="shared" si="19"/>
        <v>0.875</v>
      </c>
      <c r="AN32" s="214">
        <f t="shared" si="19"/>
        <v>0.63607464142166403</v>
      </c>
      <c r="AO32" s="215">
        <f t="shared" si="4"/>
        <v>-14.7</v>
      </c>
      <c r="AP32" s="216">
        <f t="shared" si="5"/>
        <v>1</v>
      </c>
      <c r="AQ32" s="216">
        <f t="shared" si="6"/>
        <v>1</v>
      </c>
      <c r="AR32" s="215">
        <f t="shared" si="20"/>
        <v>158.47</v>
      </c>
      <c r="AS32" s="216">
        <f t="shared" si="7"/>
        <v>0.97679498379494789</v>
      </c>
      <c r="AT32" s="216">
        <f t="shared" si="8"/>
        <v>1.2538510821608391</v>
      </c>
      <c r="AU32" s="216">
        <f t="shared" si="9"/>
        <v>2.2360679774997898</v>
      </c>
      <c r="AV32" s="217">
        <f t="shared" si="10"/>
        <v>10.415801185754333</v>
      </c>
      <c r="AW32" s="216">
        <f t="shared" si="11"/>
        <v>0</v>
      </c>
      <c r="AX32" s="218">
        <f t="shared" si="12"/>
        <v>1.4696875479799241</v>
      </c>
      <c r="AY32" s="216">
        <f t="shared" si="13"/>
        <v>0.76851414128953044</v>
      </c>
      <c r="AZ32" s="217">
        <f t="shared" si="14"/>
        <v>3.5640070462657096</v>
      </c>
      <c r="BA32" s="216">
        <f t="shared" si="15"/>
        <v>0</v>
      </c>
      <c r="BB32" s="216">
        <f t="shared" si="16"/>
        <v>1.0084584063544275</v>
      </c>
      <c r="BC32" s="216">
        <f t="shared" si="17"/>
        <v>1</v>
      </c>
    </row>
    <row r="33" spans="1:55" ht="20.100000000000001" customHeight="1" x14ac:dyDescent="0.2">
      <c r="A33" s="45">
        <v>0.75</v>
      </c>
      <c r="B33" s="451"/>
      <c r="C33" s="451"/>
      <c r="D33" s="451">
        <v>5.4</v>
      </c>
      <c r="E33" s="451">
        <v>63</v>
      </c>
      <c r="F33" s="41">
        <v>1964</v>
      </c>
      <c r="G33" s="37">
        <v>-5.5</v>
      </c>
      <c r="H33" s="37">
        <v>72.3</v>
      </c>
      <c r="I33" s="37">
        <v>22</v>
      </c>
      <c r="J33" s="41">
        <v>671</v>
      </c>
      <c r="K33" s="37">
        <v>13</v>
      </c>
      <c r="L33" s="451">
        <v>122</v>
      </c>
      <c r="M33" s="451">
        <v>223</v>
      </c>
      <c r="N33" s="451">
        <v>85</v>
      </c>
      <c r="O33" s="353">
        <v>60</v>
      </c>
      <c r="P33" s="353">
        <v>14</v>
      </c>
      <c r="Q33" s="353">
        <v>289.95</v>
      </c>
      <c r="R33" s="37"/>
      <c r="S33" s="508" t="str">
        <f>IF(Z33="",IF(AD33="","",AD33),CONCATENATE(TEXT(Z33,"[hh]:mm"),IF(AA33="",""," - "&amp;TEXT(AA33,"[hh]:mm")),IF(Y33="",""," "&amp;Y33&amp;"/")," "&amp;AD33))</f>
        <v/>
      </c>
      <c r="T33" s="508"/>
      <c r="U33" s="508"/>
      <c r="V33" s="508"/>
      <c r="X33" s="45">
        <v>0.75</v>
      </c>
      <c r="Y33" s="106"/>
      <c r="Z33" s="102"/>
      <c r="AA33" s="102"/>
      <c r="AB33" s="45" t="str">
        <f t="shared" si="18"/>
        <v/>
      </c>
      <c r="AC33" s="45" t="str">
        <f t="shared" si="1"/>
        <v/>
      </c>
      <c r="AD33" s="81"/>
      <c r="AE33" s="9" t="str">
        <f>IF(S33="","",IF(COUNTA(Z33:$Z$39)=1,IF(COUNTA(AD33:$AD$39)=1,""," ; "),IF(COUNTA(AD33:$AD$39)=1,IF(Z33="",""," ; ")," ; ")))</f>
        <v/>
      </c>
      <c r="AF33" s="9" t="str">
        <f t="shared" si="2"/>
        <v/>
      </c>
      <c r="AG33" s="90" t="str">
        <f t="shared" si="3"/>
        <v/>
      </c>
      <c r="AH33" s="204" t="s">
        <v>308</v>
      </c>
      <c r="AJ33" s="206">
        <f t="shared" ref="AJ33:AN39" si="21">AJ32</f>
        <v>500</v>
      </c>
      <c r="AK33" s="206">
        <f t="shared" si="21"/>
        <v>100</v>
      </c>
      <c r="AL33" s="206">
        <f t="shared" si="21"/>
        <v>2</v>
      </c>
      <c r="AM33" s="213">
        <f t="shared" si="21"/>
        <v>0.875</v>
      </c>
      <c r="AN33" s="214">
        <f t="shared" si="21"/>
        <v>0.63607464142166403</v>
      </c>
      <c r="AO33" s="215">
        <f t="shared" si="4"/>
        <v>-14.7</v>
      </c>
      <c r="AP33" s="216">
        <f t="shared" si="5"/>
        <v>1</v>
      </c>
      <c r="AQ33" s="216">
        <f t="shared" si="6"/>
        <v>1</v>
      </c>
      <c r="AR33" s="215">
        <f t="shared" si="20"/>
        <v>158.47</v>
      </c>
      <c r="AS33" s="216">
        <f t="shared" si="7"/>
        <v>0.97679498379494789</v>
      </c>
      <c r="AT33" s="216">
        <f t="shared" si="8"/>
        <v>1.2538510821608391</v>
      </c>
      <c r="AU33" s="216">
        <f t="shared" si="9"/>
        <v>2.2360679774997898</v>
      </c>
      <c r="AV33" s="217">
        <f t="shared" si="10"/>
        <v>10.415801185754333</v>
      </c>
      <c r="AW33" s="216">
        <f t="shared" si="11"/>
        <v>0</v>
      </c>
      <c r="AX33" s="218">
        <f t="shared" si="12"/>
        <v>1.4696875479799241</v>
      </c>
      <c r="AY33" s="216">
        <f t="shared" si="13"/>
        <v>0.76851414128953044</v>
      </c>
      <c r="AZ33" s="217">
        <f t="shared" si="14"/>
        <v>3.5640070462657096</v>
      </c>
      <c r="BA33" s="216">
        <f t="shared" si="15"/>
        <v>0</v>
      </c>
      <c r="BB33" s="216">
        <f t="shared" si="16"/>
        <v>1.0084584063544275</v>
      </c>
      <c r="BC33" s="216">
        <f t="shared" si="17"/>
        <v>1</v>
      </c>
    </row>
    <row r="34" spans="1:55" ht="20.100000000000001" customHeight="1" x14ac:dyDescent="0.2">
      <c r="A34" s="45">
        <v>0.79166666666666696</v>
      </c>
      <c r="B34" s="451"/>
      <c r="C34" s="451"/>
      <c r="D34" s="451">
        <v>5.7</v>
      </c>
      <c r="E34" s="451">
        <v>62.4</v>
      </c>
      <c r="F34" s="41">
        <v>1937</v>
      </c>
      <c r="G34" s="37">
        <v>-5.5</v>
      </c>
      <c r="H34" s="37">
        <v>72.5</v>
      </c>
      <c r="I34" s="37">
        <v>22.7</v>
      </c>
      <c r="J34" s="41">
        <v>672</v>
      </c>
      <c r="K34" s="37">
        <v>13</v>
      </c>
      <c r="L34" s="451">
        <v>124</v>
      </c>
      <c r="M34" s="451">
        <v>220</v>
      </c>
      <c r="N34" s="451">
        <v>85</v>
      </c>
      <c r="O34" s="353">
        <v>60</v>
      </c>
      <c r="P34" s="353">
        <v>14</v>
      </c>
      <c r="Q34" s="353">
        <v>289.95</v>
      </c>
      <c r="R34" s="37"/>
      <c r="S34" s="508" t="str">
        <f t="shared" ref="S34:S39" si="22">IF(Z34="",IF(AD34="","",AD34),CONCATENATE(TEXT(Z34,"[hh]:mm"),IF(AA34="",""," - "&amp;TEXT(AA34,"[hh]:mm")),IF(Y34="",""," "&amp;Y34&amp;"/")," "&amp;AD34))</f>
        <v/>
      </c>
      <c r="T34" s="508"/>
      <c r="U34" s="508"/>
      <c r="V34" s="508"/>
      <c r="X34" s="45">
        <v>0.79166666666666696</v>
      </c>
      <c r="Y34" s="106"/>
      <c r="Z34" s="102"/>
      <c r="AA34" s="102"/>
      <c r="AB34" s="45" t="str">
        <f t="shared" si="18"/>
        <v/>
      </c>
      <c r="AC34" s="45" t="str">
        <f t="shared" si="1"/>
        <v/>
      </c>
      <c r="AD34" s="81"/>
      <c r="AE34" s="9" t="str">
        <f>IF(S34="","",IF(COUNTA(Z34:$Z$39)=1,IF(COUNTA(AD34:$AD$39)=1,""," ; "),IF(COUNTA(AD34:$AD$39)=1,IF(Z34="",""," ; ")," ; ")))</f>
        <v/>
      </c>
      <c r="AF34" s="9" t="str">
        <f t="shared" si="2"/>
        <v/>
      </c>
      <c r="AG34" s="90" t="str">
        <f t="shared" si="3"/>
        <v/>
      </c>
      <c r="AH34" s="204" t="s">
        <v>314</v>
      </c>
      <c r="AJ34" s="206">
        <f t="shared" si="21"/>
        <v>500</v>
      </c>
      <c r="AK34" s="206">
        <f t="shared" si="21"/>
        <v>100</v>
      </c>
      <c r="AL34" s="206">
        <f t="shared" si="21"/>
        <v>2</v>
      </c>
      <c r="AM34" s="213">
        <f t="shared" si="21"/>
        <v>0.875</v>
      </c>
      <c r="AN34" s="214">
        <f t="shared" si="21"/>
        <v>0.63607464142166403</v>
      </c>
      <c r="AO34" s="215">
        <f t="shared" si="4"/>
        <v>-14.7</v>
      </c>
      <c r="AP34" s="216">
        <f t="shared" si="5"/>
        <v>1</v>
      </c>
      <c r="AQ34" s="216">
        <f t="shared" si="6"/>
        <v>1</v>
      </c>
      <c r="AR34" s="215">
        <f t="shared" si="20"/>
        <v>158.47</v>
      </c>
      <c r="AS34" s="216">
        <f t="shared" si="7"/>
        <v>0.97679498379494789</v>
      </c>
      <c r="AT34" s="216">
        <f t="shared" si="8"/>
        <v>1.2538510821608391</v>
      </c>
      <c r="AU34" s="216">
        <f t="shared" si="9"/>
        <v>2.2360679774997898</v>
      </c>
      <c r="AV34" s="217">
        <f t="shared" si="10"/>
        <v>10.415801185754333</v>
      </c>
      <c r="AW34" s="216">
        <f t="shared" si="11"/>
        <v>0</v>
      </c>
      <c r="AX34" s="218">
        <f t="shared" si="12"/>
        <v>1.4696875479799241</v>
      </c>
      <c r="AY34" s="216">
        <f t="shared" si="13"/>
        <v>0.76851414128953044</v>
      </c>
      <c r="AZ34" s="217">
        <f t="shared" si="14"/>
        <v>3.5640070462657096</v>
      </c>
      <c r="BA34" s="216">
        <f t="shared" si="15"/>
        <v>0</v>
      </c>
      <c r="BB34" s="216">
        <f t="shared" si="16"/>
        <v>1.0084584063544275</v>
      </c>
      <c r="BC34" s="216">
        <f t="shared" si="17"/>
        <v>1</v>
      </c>
    </row>
    <row r="35" spans="1:55" ht="20.100000000000001" customHeight="1" x14ac:dyDescent="0.2">
      <c r="A35" s="45">
        <v>0.83333333333333304</v>
      </c>
      <c r="B35" s="451"/>
      <c r="C35" s="451"/>
      <c r="D35" s="451">
        <v>6.3</v>
      </c>
      <c r="E35" s="451">
        <v>65.8</v>
      </c>
      <c r="F35" s="41">
        <v>1965</v>
      </c>
      <c r="G35" s="37">
        <v>-5.5</v>
      </c>
      <c r="H35" s="37">
        <v>72.3</v>
      </c>
      <c r="I35" s="37">
        <v>22.6</v>
      </c>
      <c r="J35" s="41">
        <v>673</v>
      </c>
      <c r="K35" s="37">
        <v>13</v>
      </c>
      <c r="L35" s="451">
        <v>123</v>
      </c>
      <c r="M35" s="451">
        <v>221</v>
      </c>
      <c r="N35" s="451">
        <v>85</v>
      </c>
      <c r="O35" s="353">
        <v>40</v>
      </c>
      <c r="P35" s="353">
        <v>13</v>
      </c>
      <c r="Q35" s="353">
        <v>238.62</v>
      </c>
      <c r="R35" s="37"/>
      <c r="S35" s="508" t="str">
        <f t="shared" si="22"/>
        <v/>
      </c>
      <c r="T35" s="508"/>
      <c r="U35" s="508"/>
      <c r="V35" s="508"/>
      <c r="X35" s="45">
        <v>0.83333333333333304</v>
      </c>
      <c r="Y35" s="106"/>
      <c r="Z35" s="102"/>
      <c r="AA35" s="102"/>
      <c r="AB35" s="45" t="str">
        <f t="shared" si="18"/>
        <v/>
      </c>
      <c r="AC35" s="45" t="str">
        <f t="shared" si="1"/>
        <v/>
      </c>
      <c r="AD35" s="81"/>
      <c r="AE35" s="9" t="str">
        <f>IF(S35="","",IF(COUNTA(Z35:$Z$39)=1,IF(COUNTA(AD35:$AD$39)=1,""," ; "),IF(COUNTA(AD35:$AD$39)=1,IF(Z35="",""," ; ")," ; ")))</f>
        <v/>
      </c>
      <c r="AF35" s="9" t="str">
        <f t="shared" si="2"/>
        <v/>
      </c>
      <c r="AG35" s="90" t="str">
        <f t="shared" si="3"/>
        <v/>
      </c>
      <c r="AH35" s="204" t="s">
        <v>227</v>
      </c>
      <c r="AJ35" s="206">
        <f t="shared" si="21"/>
        <v>500</v>
      </c>
      <c r="AK35" s="206">
        <f t="shared" si="21"/>
        <v>100</v>
      </c>
      <c r="AL35" s="206">
        <f t="shared" si="21"/>
        <v>2</v>
      </c>
      <c r="AM35" s="213">
        <f t="shared" si="21"/>
        <v>0.875</v>
      </c>
      <c r="AN35" s="214">
        <f t="shared" si="21"/>
        <v>0.63607464142166403</v>
      </c>
      <c r="AO35" s="215">
        <f t="shared" si="4"/>
        <v>-14.7</v>
      </c>
      <c r="AP35" s="216">
        <f t="shared" si="5"/>
        <v>1</v>
      </c>
      <c r="AQ35" s="216">
        <f t="shared" si="6"/>
        <v>1</v>
      </c>
      <c r="AR35" s="215">
        <f t="shared" si="20"/>
        <v>158.47</v>
      </c>
      <c r="AS35" s="216">
        <f t="shared" si="7"/>
        <v>0.97679498379494789</v>
      </c>
      <c r="AT35" s="216">
        <f t="shared" si="8"/>
        <v>1.2538510821608391</v>
      </c>
      <c r="AU35" s="216">
        <f t="shared" si="9"/>
        <v>2.2360679774997898</v>
      </c>
      <c r="AV35" s="217">
        <f t="shared" si="10"/>
        <v>10.415801185754333</v>
      </c>
      <c r="AW35" s="216">
        <f t="shared" si="11"/>
        <v>0</v>
      </c>
      <c r="AX35" s="218">
        <f t="shared" si="12"/>
        <v>1.4696875479799241</v>
      </c>
      <c r="AY35" s="216">
        <f t="shared" si="13"/>
        <v>0.76851414128953044</v>
      </c>
      <c r="AZ35" s="217">
        <f t="shared" si="14"/>
        <v>3.5640070462657096</v>
      </c>
      <c r="BA35" s="216">
        <f t="shared" si="15"/>
        <v>0</v>
      </c>
      <c r="BB35" s="216">
        <f t="shared" si="16"/>
        <v>1.0084584063544275</v>
      </c>
      <c r="BC35" s="216">
        <f t="shared" si="17"/>
        <v>1</v>
      </c>
    </row>
    <row r="36" spans="1:55" ht="20.100000000000001" customHeight="1" x14ac:dyDescent="0.2">
      <c r="A36" s="45">
        <v>0.875</v>
      </c>
      <c r="B36" s="451"/>
      <c r="C36" s="451"/>
      <c r="D36" s="451">
        <v>6.9</v>
      </c>
      <c r="E36" s="451">
        <v>65.599999999999994</v>
      </c>
      <c r="F36" s="41">
        <v>1930</v>
      </c>
      <c r="G36" s="37">
        <v>-5.5</v>
      </c>
      <c r="H36" s="37">
        <v>72.5</v>
      </c>
      <c r="I36" s="37">
        <v>22.3</v>
      </c>
      <c r="J36" s="41">
        <v>674</v>
      </c>
      <c r="K36" s="37">
        <v>13</v>
      </c>
      <c r="L36" s="451">
        <v>123</v>
      </c>
      <c r="M36" s="451">
        <v>221</v>
      </c>
      <c r="N36" s="451">
        <v>85</v>
      </c>
      <c r="O36" s="353">
        <v>40</v>
      </c>
      <c r="P36" s="353">
        <v>13</v>
      </c>
      <c r="Q36" s="353">
        <v>238.62</v>
      </c>
      <c r="R36" s="37"/>
      <c r="S36" s="508" t="str">
        <f t="shared" si="22"/>
        <v/>
      </c>
      <c r="T36" s="508"/>
      <c r="U36" s="508"/>
      <c r="V36" s="508"/>
      <c r="X36" s="45">
        <v>0.875</v>
      </c>
      <c r="Y36" s="106"/>
      <c r="Z36" s="102"/>
      <c r="AA36" s="102"/>
      <c r="AB36" s="45" t="str">
        <f t="shared" si="18"/>
        <v/>
      </c>
      <c r="AC36" s="45" t="str">
        <f t="shared" si="1"/>
        <v/>
      </c>
      <c r="AD36" s="81"/>
      <c r="AE36" s="9" t="str">
        <f>IF(S36="","",IF(COUNTA(Z36:$Z$39)=1,IF(COUNTA(AD36:$AD$39)=1,""," ; "),IF(COUNTA(AD36:$AD$39)=1,IF(Z36="",""," ; ")," ; ")))</f>
        <v/>
      </c>
      <c r="AF36" s="9" t="str">
        <f t="shared" si="2"/>
        <v/>
      </c>
      <c r="AG36" s="90" t="str">
        <f t="shared" si="3"/>
        <v/>
      </c>
      <c r="AH36" s="204" t="s">
        <v>309</v>
      </c>
      <c r="AJ36" s="206">
        <f t="shared" si="21"/>
        <v>500</v>
      </c>
      <c r="AK36" s="206">
        <f t="shared" si="21"/>
        <v>100</v>
      </c>
      <c r="AL36" s="206">
        <f t="shared" si="21"/>
        <v>2</v>
      </c>
      <c r="AM36" s="213">
        <f t="shared" si="21"/>
        <v>0.875</v>
      </c>
      <c r="AN36" s="214">
        <f t="shared" si="21"/>
        <v>0.63607464142166403</v>
      </c>
      <c r="AO36" s="215">
        <f t="shared" si="4"/>
        <v>-14.7</v>
      </c>
      <c r="AP36" s="216">
        <f t="shared" si="5"/>
        <v>1</v>
      </c>
      <c r="AQ36" s="216">
        <f t="shared" si="6"/>
        <v>1</v>
      </c>
      <c r="AR36" s="215">
        <f t="shared" si="20"/>
        <v>158.47</v>
      </c>
      <c r="AS36" s="216">
        <f t="shared" si="7"/>
        <v>0.97679498379494789</v>
      </c>
      <c r="AT36" s="216">
        <f t="shared" si="8"/>
        <v>1.2538510821608391</v>
      </c>
      <c r="AU36" s="216">
        <f t="shared" si="9"/>
        <v>2.2360679774997898</v>
      </c>
      <c r="AV36" s="217">
        <f t="shared" si="10"/>
        <v>10.415801185754333</v>
      </c>
      <c r="AW36" s="216">
        <f t="shared" si="11"/>
        <v>0</v>
      </c>
      <c r="AX36" s="218">
        <f t="shared" si="12"/>
        <v>1.4696875479799241</v>
      </c>
      <c r="AY36" s="216">
        <f t="shared" si="13"/>
        <v>0.76851414128953044</v>
      </c>
      <c r="AZ36" s="217">
        <f t="shared" si="14"/>
        <v>3.5640070462657096</v>
      </c>
      <c r="BA36" s="216">
        <f t="shared" si="15"/>
        <v>0</v>
      </c>
      <c r="BB36" s="216">
        <f t="shared" si="16"/>
        <v>1.0084584063544275</v>
      </c>
      <c r="BC36" s="216">
        <f t="shared" si="17"/>
        <v>1</v>
      </c>
    </row>
    <row r="37" spans="1:55" ht="20.100000000000001" customHeight="1" x14ac:dyDescent="0.2">
      <c r="A37" s="45">
        <v>0.91666666666666696</v>
      </c>
      <c r="B37" s="451"/>
      <c r="C37" s="451"/>
      <c r="D37" s="451">
        <v>6.1</v>
      </c>
      <c r="E37" s="451">
        <v>65.5</v>
      </c>
      <c r="F37" s="41">
        <v>1951</v>
      </c>
      <c r="G37" s="37">
        <v>-5.5</v>
      </c>
      <c r="H37" s="37">
        <v>72.099999999999994</v>
      </c>
      <c r="I37" s="37">
        <v>22.9</v>
      </c>
      <c r="J37" s="41">
        <v>675</v>
      </c>
      <c r="K37" s="37">
        <v>13</v>
      </c>
      <c r="L37" s="451">
        <v>121</v>
      </c>
      <c r="M37" s="451">
        <v>223</v>
      </c>
      <c r="N37" s="451">
        <v>85</v>
      </c>
      <c r="O37" s="353">
        <v>40</v>
      </c>
      <c r="P37" s="353">
        <v>11</v>
      </c>
      <c r="Q37" s="353">
        <v>219.65</v>
      </c>
      <c r="R37" s="37"/>
      <c r="S37" s="508" t="str">
        <f t="shared" si="22"/>
        <v/>
      </c>
      <c r="T37" s="508"/>
      <c r="U37" s="508"/>
      <c r="V37" s="508"/>
      <c r="X37" s="45">
        <v>0.91666666666666696</v>
      </c>
      <c r="Y37" s="106"/>
      <c r="Z37" s="102"/>
      <c r="AA37" s="102"/>
      <c r="AB37" s="45" t="str">
        <f t="shared" si="18"/>
        <v/>
      </c>
      <c r="AC37" s="45" t="str">
        <f t="shared" si="1"/>
        <v/>
      </c>
      <c r="AD37" s="81"/>
      <c r="AE37" s="9" t="str">
        <f>IF(S37="","",IF(COUNTA(Z37:$Z$39)=1,IF(COUNTA(AD37:$AD$39)=1,""," ; "),IF(COUNTA(AD37:$AD$39)=1,IF(Z37="",""," ; ")," ; ")))</f>
        <v/>
      </c>
      <c r="AF37" s="9" t="str">
        <f t="shared" si="2"/>
        <v/>
      </c>
      <c r="AG37" s="90" t="str">
        <f t="shared" si="3"/>
        <v/>
      </c>
      <c r="AH37" s="204" t="s">
        <v>319</v>
      </c>
      <c r="AJ37" s="206">
        <f t="shared" si="21"/>
        <v>500</v>
      </c>
      <c r="AK37" s="206">
        <f t="shared" si="21"/>
        <v>100</v>
      </c>
      <c r="AL37" s="206">
        <f t="shared" si="21"/>
        <v>2</v>
      </c>
      <c r="AM37" s="213">
        <f t="shared" si="21"/>
        <v>0.875</v>
      </c>
      <c r="AN37" s="214">
        <f t="shared" si="21"/>
        <v>0.63607464142166403</v>
      </c>
      <c r="AO37" s="215">
        <f t="shared" si="4"/>
        <v>-14.7</v>
      </c>
      <c r="AP37" s="216">
        <f t="shared" si="5"/>
        <v>1</v>
      </c>
      <c r="AQ37" s="216">
        <f t="shared" si="6"/>
        <v>1</v>
      </c>
      <c r="AR37" s="215">
        <f t="shared" si="20"/>
        <v>158.47</v>
      </c>
      <c r="AS37" s="216">
        <f t="shared" si="7"/>
        <v>0.97679498379494789</v>
      </c>
      <c r="AT37" s="216">
        <f t="shared" si="8"/>
        <v>1.2538510821608391</v>
      </c>
      <c r="AU37" s="216">
        <f t="shared" si="9"/>
        <v>2.2360679774997898</v>
      </c>
      <c r="AV37" s="217">
        <f t="shared" si="10"/>
        <v>10.415801185754333</v>
      </c>
      <c r="AW37" s="216">
        <f t="shared" si="11"/>
        <v>0</v>
      </c>
      <c r="AX37" s="218">
        <f t="shared" si="12"/>
        <v>1.4696875479799241</v>
      </c>
      <c r="AY37" s="216">
        <f t="shared" si="13"/>
        <v>0.76851414128953044</v>
      </c>
      <c r="AZ37" s="217">
        <f t="shared" si="14"/>
        <v>3.5640070462657096</v>
      </c>
      <c r="BA37" s="216">
        <f t="shared" si="15"/>
        <v>0</v>
      </c>
      <c r="BB37" s="216">
        <f t="shared" si="16"/>
        <v>1.0084584063544275</v>
      </c>
      <c r="BC37" s="216">
        <f t="shared" si="17"/>
        <v>1</v>
      </c>
    </row>
    <row r="38" spans="1:55" ht="20.100000000000001" customHeight="1" x14ac:dyDescent="0.2">
      <c r="A38" s="45">
        <v>0.95833333333333304</v>
      </c>
      <c r="B38" s="451"/>
      <c r="C38" s="451"/>
      <c r="D38" s="451">
        <v>6.5</v>
      </c>
      <c r="E38" s="451">
        <v>63.8</v>
      </c>
      <c r="F38" s="41">
        <v>1980</v>
      </c>
      <c r="G38" s="37">
        <v>-5.5</v>
      </c>
      <c r="H38" s="37">
        <v>72.599999999999994</v>
      </c>
      <c r="I38" s="37">
        <v>22.4</v>
      </c>
      <c r="J38" s="41">
        <v>676</v>
      </c>
      <c r="K38" s="37">
        <v>13</v>
      </c>
      <c r="L38" s="451">
        <v>122</v>
      </c>
      <c r="M38" s="451">
        <v>223</v>
      </c>
      <c r="N38" s="451">
        <v>85</v>
      </c>
      <c r="O38" s="353">
        <v>40</v>
      </c>
      <c r="P38" s="353">
        <v>11</v>
      </c>
      <c r="Q38" s="353">
        <v>219.65</v>
      </c>
      <c r="R38" s="37"/>
      <c r="S38" s="508" t="str">
        <f t="shared" si="22"/>
        <v/>
      </c>
      <c r="T38" s="508"/>
      <c r="U38" s="508"/>
      <c r="V38" s="508"/>
      <c r="X38" s="45">
        <v>0.95833333333333304</v>
      </c>
      <c r="Y38" s="106"/>
      <c r="Z38" s="102"/>
      <c r="AA38" s="102"/>
      <c r="AB38" s="45" t="str">
        <f t="shared" si="18"/>
        <v/>
      </c>
      <c r="AC38" s="45" t="str">
        <f t="shared" si="1"/>
        <v/>
      </c>
      <c r="AD38" s="81"/>
      <c r="AE38" s="9" t="str">
        <f>IF(S38="","",IF(COUNTA(Z38:$Z$39)=1,IF(COUNTA(AD38:$AD$39)=1,""," ; "),IF(COUNTA(AD38:$AD$39)=1,IF(Z38="",""," ; ")," ; ")))</f>
        <v/>
      </c>
      <c r="AF38" s="9" t="str">
        <f t="shared" si="2"/>
        <v/>
      </c>
      <c r="AG38" s="90" t="str">
        <f t="shared" si="3"/>
        <v/>
      </c>
      <c r="AH38" s="204" t="s">
        <v>219</v>
      </c>
      <c r="AJ38" s="206">
        <f t="shared" si="21"/>
        <v>500</v>
      </c>
      <c r="AK38" s="206">
        <f t="shared" si="21"/>
        <v>100</v>
      </c>
      <c r="AL38" s="206">
        <f t="shared" si="21"/>
        <v>2</v>
      </c>
      <c r="AM38" s="213">
        <f t="shared" si="21"/>
        <v>0.875</v>
      </c>
      <c r="AN38" s="214">
        <f t="shared" si="21"/>
        <v>0.63607464142166403</v>
      </c>
      <c r="AO38" s="215">
        <f t="shared" si="4"/>
        <v>-14.7</v>
      </c>
      <c r="AP38" s="216">
        <f t="shared" si="5"/>
        <v>1</v>
      </c>
      <c r="AQ38" s="216">
        <f t="shared" si="6"/>
        <v>1</v>
      </c>
      <c r="AR38" s="215">
        <f t="shared" si="20"/>
        <v>158.47</v>
      </c>
      <c r="AS38" s="216">
        <f t="shared" si="7"/>
        <v>0.97679498379494789</v>
      </c>
      <c r="AT38" s="216">
        <f t="shared" si="8"/>
        <v>1.2538510821608391</v>
      </c>
      <c r="AU38" s="216">
        <f t="shared" si="9"/>
        <v>2.2360679774997898</v>
      </c>
      <c r="AV38" s="217">
        <f t="shared" si="10"/>
        <v>10.415801185754333</v>
      </c>
      <c r="AW38" s="216">
        <f t="shared" si="11"/>
        <v>0</v>
      </c>
      <c r="AX38" s="218">
        <f t="shared" si="12"/>
        <v>1.4696875479799241</v>
      </c>
      <c r="AY38" s="216">
        <f t="shared" si="13"/>
        <v>0.76851414128953044</v>
      </c>
      <c r="AZ38" s="217">
        <f t="shared" si="14"/>
        <v>3.5640070462657096</v>
      </c>
      <c r="BA38" s="216">
        <f t="shared" si="15"/>
        <v>0</v>
      </c>
      <c r="BB38" s="216">
        <f t="shared" si="16"/>
        <v>1.0084584063544275</v>
      </c>
      <c r="BC38" s="216">
        <f t="shared" si="17"/>
        <v>1</v>
      </c>
    </row>
    <row r="39" spans="1:55" ht="20.100000000000001" customHeight="1" thickBot="1" x14ac:dyDescent="0.25">
      <c r="A39" s="46">
        <v>1</v>
      </c>
      <c r="B39" s="451"/>
      <c r="C39" s="451"/>
      <c r="D39" s="452">
        <v>6.3</v>
      </c>
      <c r="E39" s="452">
        <v>63.1</v>
      </c>
      <c r="F39" s="42">
        <v>1956</v>
      </c>
      <c r="G39" s="37">
        <v>-5.5</v>
      </c>
      <c r="H39" s="38">
        <v>72.8</v>
      </c>
      <c r="I39" s="37">
        <v>22.1</v>
      </c>
      <c r="J39" s="41">
        <v>677</v>
      </c>
      <c r="K39" s="37">
        <v>13</v>
      </c>
      <c r="L39" s="452">
        <v>122</v>
      </c>
      <c r="M39" s="452">
        <v>225</v>
      </c>
      <c r="N39" s="451">
        <v>85</v>
      </c>
      <c r="O39" s="353">
        <v>40</v>
      </c>
      <c r="P39" s="353">
        <v>13</v>
      </c>
      <c r="Q39" s="354">
        <v>238.62</v>
      </c>
      <c r="R39" s="38"/>
      <c r="S39" s="512" t="str">
        <f t="shared" si="22"/>
        <v/>
      </c>
      <c r="T39" s="512"/>
      <c r="U39" s="512"/>
      <c r="V39" s="512"/>
      <c r="X39" s="46">
        <v>1</v>
      </c>
      <c r="Y39" s="107"/>
      <c r="Z39" s="103"/>
      <c r="AA39" s="103"/>
      <c r="AB39" s="46" t="str">
        <f t="shared" si="18"/>
        <v/>
      </c>
      <c r="AC39" s="46" t="str">
        <f t="shared" si="1"/>
        <v/>
      </c>
      <c r="AD39" s="82"/>
      <c r="AE39" s="9" t="str">
        <f>IF(S39="","",IF(COUNTA(Z39:$Z$39)=1,IF(COUNTA(AD39:$AD$39)=1,""," ; "),IF(COUNTA(AD39:$AD$39)=1,IF(Z39="",""," ; ")," ; ")))</f>
        <v/>
      </c>
      <c r="AF39" s="9" t="str">
        <f t="shared" si="2"/>
        <v/>
      </c>
      <c r="AG39" s="90" t="str">
        <f t="shared" si="3"/>
        <v/>
      </c>
      <c r="AH39" s="204" t="s">
        <v>220</v>
      </c>
      <c r="AJ39" s="219">
        <f t="shared" si="21"/>
        <v>500</v>
      </c>
      <c r="AK39" s="219">
        <f t="shared" si="21"/>
        <v>100</v>
      </c>
      <c r="AL39" s="219">
        <f t="shared" si="21"/>
        <v>2</v>
      </c>
      <c r="AM39" s="220">
        <f t="shared" si="21"/>
        <v>0.875</v>
      </c>
      <c r="AN39" s="221">
        <f t="shared" si="21"/>
        <v>0.63607464142166403</v>
      </c>
      <c r="AO39" s="222">
        <f t="shared" si="4"/>
        <v>-14.7</v>
      </c>
      <c r="AP39" s="223">
        <f t="shared" si="5"/>
        <v>1</v>
      </c>
      <c r="AQ39" s="223">
        <f t="shared" si="6"/>
        <v>1</v>
      </c>
      <c r="AR39" s="222">
        <f t="shared" si="20"/>
        <v>158.47</v>
      </c>
      <c r="AS39" s="223">
        <f t="shared" si="7"/>
        <v>0.97679498379494789</v>
      </c>
      <c r="AT39" s="223">
        <f t="shared" si="8"/>
        <v>1.2538510821608391</v>
      </c>
      <c r="AU39" s="223">
        <f t="shared" si="9"/>
        <v>2.2360679774997898</v>
      </c>
      <c r="AV39" s="224">
        <f t="shared" si="10"/>
        <v>10.415801185754333</v>
      </c>
      <c r="AW39" s="223">
        <f t="shared" si="11"/>
        <v>0</v>
      </c>
      <c r="AX39" s="225">
        <f t="shared" si="12"/>
        <v>1.4696875479799241</v>
      </c>
      <c r="AY39" s="223">
        <f t="shared" si="13"/>
        <v>0.76851414128953044</v>
      </c>
      <c r="AZ39" s="224">
        <f t="shared" si="14"/>
        <v>3.5640070462657096</v>
      </c>
      <c r="BA39" s="223">
        <f t="shared" si="15"/>
        <v>0</v>
      </c>
      <c r="BB39" s="223">
        <f t="shared" si="16"/>
        <v>1.0084584063544275</v>
      </c>
      <c r="BC39" s="223">
        <f t="shared" si="17"/>
        <v>1</v>
      </c>
    </row>
    <row r="40" spans="1:55" ht="20.100000000000001" customHeight="1" thickBot="1" x14ac:dyDescent="0.3">
      <c r="A40" s="53" t="s">
        <v>11</v>
      </c>
      <c r="B40" s="453" t="str">
        <f>IFERROR(ROUND(AVERAGE(B16:B39),2),"")</f>
        <v/>
      </c>
      <c r="C40" s="453" t="str">
        <f>IFERROR(ROUND(AVERAGE(C16:C39),2),"")</f>
        <v/>
      </c>
      <c r="D40" s="453">
        <f>IFERROR(ROUND(AVERAGE(D16:D39),2),"")</f>
        <v>6.5</v>
      </c>
      <c r="E40" s="453">
        <f>IFERROR(ROUND(AVERAGE(E16:E39),2),"")</f>
        <v>63.6</v>
      </c>
      <c r="F40" s="55">
        <f>IFERROR(ROUND(AVERAGE(F16:F39),0),"")</f>
        <v>1950</v>
      </c>
      <c r="G40" s="54">
        <f>IFERROR(AVERAGE(G16:G39),"")</f>
        <v>-5.5</v>
      </c>
      <c r="H40" s="54">
        <f>IFERROR(AVERAGE(H16:H39),"")</f>
        <v>72.466666666666654</v>
      </c>
      <c r="I40" s="54">
        <f>IFERROR(AVERAGE(I16:I39),"")</f>
        <v>22.395833333333332</v>
      </c>
      <c r="J40" s="71"/>
      <c r="K40" s="111">
        <f>IFERROR(AVERAGE(K16:K39),"")</f>
        <v>13</v>
      </c>
      <c r="L40" s="453">
        <f t="shared" ref="L40:P40" si="23">IFERROR(ROUND(AVERAGE(L16:L39),1),"")</f>
        <v>122.7</v>
      </c>
      <c r="M40" s="453">
        <f t="shared" si="23"/>
        <v>222</v>
      </c>
      <c r="N40" s="453">
        <f t="shared" si="23"/>
        <v>85</v>
      </c>
      <c r="O40" s="456">
        <f t="shared" si="23"/>
        <v>48.1</v>
      </c>
      <c r="P40" s="456">
        <f t="shared" si="23"/>
        <v>11.9</v>
      </c>
      <c r="Q40" s="456">
        <f>IF($I$47=1,$M$49,$Q$44)</f>
        <v>225.1</v>
      </c>
      <c r="R40" s="54" t="str">
        <f>IFERROR(ROUND(AVERAGE(R16:R39),1),"")</f>
        <v/>
      </c>
      <c r="S40" s="509"/>
      <c r="T40" s="510"/>
      <c r="U40" s="510"/>
      <c r="V40" s="511"/>
      <c r="X40" s="99"/>
      <c r="Y40" s="99"/>
      <c r="Z40" s="99"/>
      <c r="AA40" s="99"/>
      <c r="AB40" s="104">
        <f>SUM(AB16:AB39)</f>
        <v>0</v>
      </c>
      <c r="AC40" s="104">
        <f>SUM(AC16:AC39)</f>
        <v>0</v>
      </c>
      <c r="AD40" s="92" t="str">
        <f>IF(OR(COUNTBLANK(D16:E39)+COUNTBLANK(O16:P39)=0,COUNTA(S16:V39)&lt;&gt;0),"","CEK : Blank Data - Remarks")</f>
        <v/>
      </c>
      <c r="AG40" s="90" t="str">
        <f>IF(COUNTIF(AG16:AG39,"")=COUNTA(AG16:AG39),"","CEK : Data Flowrate")</f>
        <v/>
      </c>
      <c r="AH40" s="204" t="s">
        <v>311</v>
      </c>
    </row>
    <row r="41" spans="1:55" ht="20.100000000000001" hidden="1" customHeight="1" thickBot="1" x14ac:dyDescent="0.3">
      <c r="A41" s="49" t="s">
        <v>12</v>
      </c>
      <c r="B41" s="52" t="str">
        <f>IF(COUNT(B16:B39)&gt;0,ROUND(MIN(B16:B39),2),"")</f>
        <v/>
      </c>
      <c r="C41" s="52" t="str">
        <f>IF(COUNT(C16:C39)&gt;0,ROUND(MIN(C16:C39),2),"")</f>
        <v/>
      </c>
      <c r="D41" s="52">
        <f>IF(COUNT(D16:D39)&gt;0,ROUND(MIN(D16:D39),2),"")</f>
        <v>5.2</v>
      </c>
      <c r="E41" s="52">
        <f>IF(COUNT(E16:E39)&gt;0,ROUND(MIN(E16:E39),2),"")</f>
        <v>52.6</v>
      </c>
      <c r="F41" s="51">
        <f>IF(COUNT(F16:F39)&gt;0,ROUND(MIN(F16:F39),0),"")</f>
        <v>1915</v>
      </c>
      <c r="G41" s="50">
        <f>IF(COUNT(G16:G39)&gt;0,MIN(G16:G39),"")</f>
        <v>-5.5</v>
      </c>
      <c r="H41" s="50">
        <f>IF(COUNT(H16:H39)&gt;0,MIN(H16:H39),"")</f>
        <v>72</v>
      </c>
      <c r="I41" s="50">
        <f>IF(COUNT(I16:I39)&gt;0,MIN(I16:I39),"")</f>
        <v>22</v>
      </c>
      <c r="J41" s="72"/>
      <c r="K41" s="50">
        <f>IF(COUNT(K16:K39)&gt;0,MIN(K16:K39),"")</f>
        <v>13</v>
      </c>
      <c r="L41" s="52">
        <f>IF(COUNT(L16:L39)&gt;0,ROUND(MIN(L16:L39),1),"")</f>
        <v>120</v>
      </c>
      <c r="M41" s="52">
        <f>IF(COUNT(M16:M39)&gt;0,ROUND(MIN(M16:M39),1),"")</f>
        <v>220</v>
      </c>
      <c r="N41" s="52">
        <f>IF(COUNT(N16:N39)&gt;0,ROUND(MIN(N16:N39),1),"")</f>
        <v>85</v>
      </c>
      <c r="O41" s="440">
        <f>IF(COUNT(O16:O39)&gt;0,ROUND(MIN(O16:O39),1),"")</f>
        <v>30</v>
      </c>
      <c r="P41" s="440">
        <f>IF(COUNT(P16:P39)&gt;0,ROUND(MIN(P16:P39),1),"")</f>
        <v>9</v>
      </c>
      <c r="Q41" s="440">
        <f>IF(COUNT(Q16:Q39)&gt;0,ROUND(MIN(Q16:Q39),4),"")</f>
        <v>189.2</v>
      </c>
      <c r="R41" s="121" t="str">
        <f>IF(COUNT(R16:R39)&gt;0,ROUND(MIN(R16:R39),1),"")</f>
        <v/>
      </c>
      <c r="S41" s="509"/>
      <c r="T41" s="510"/>
      <c r="U41" s="510"/>
      <c r="V41" s="511"/>
      <c r="X41" s="99"/>
      <c r="Y41" s="99"/>
      <c r="Z41" s="99"/>
      <c r="AA41" s="99"/>
      <c r="AB41" s="99"/>
      <c r="AC41" s="99"/>
      <c r="AH41" s="204" t="s">
        <v>318</v>
      </c>
    </row>
    <row r="42" spans="1:55" ht="20.100000000000001" hidden="1" customHeight="1" thickBot="1" x14ac:dyDescent="0.3">
      <c r="A42" s="21" t="s">
        <v>13</v>
      </c>
      <c r="B42" s="454" t="str">
        <f>IF(COUNT(B16:B39)&gt;0,ROUND(MAX(B16:B39),2),"")</f>
        <v/>
      </c>
      <c r="C42" s="454" t="str">
        <f>IF(COUNT(C16:C39)&gt;0,ROUND(MAX(C16:C39),2),"")</f>
        <v/>
      </c>
      <c r="D42" s="454">
        <f>IF(COUNT(D16:D39)&gt;0,ROUND(MAX(D16:D39),2),"")</f>
        <v>7.8</v>
      </c>
      <c r="E42" s="454">
        <f>IF(COUNT(E16:E39)&gt;0,ROUND(MAX(E16:E39),2),"")</f>
        <v>77</v>
      </c>
      <c r="F42" s="43">
        <f>IF(COUNT(F16:F39)&gt;0,ROUND(MAX(F16:F39),0),"")</f>
        <v>1988</v>
      </c>
      <c r="G42" s="39">
        <f>IF(COUNT(G16:G39)&gt;0,MAX(G16:G39),"")</f>
        <v>-5.5</v>
      </c>
      <c r="H42" s="39">
        <f>IF(COUNT(H16:H39)&gt;0,MAX(H16:H39),"")</f>
        <v>72.900000000000006</v>
      </c>
      <c r="I42" s="39">
        <f>IF(COUNT(I16:I39)&gt;0,MAX(I16:I39),"")</f>
        <v>22.9</v>
      </c>
      <c r="J42" s="43">
        <f>IF(COUNT(J16:J39)&gt;0,MAX(J16:J39),"")</f>
        <v>677</v>
      </c>
      <c r="K42" s="39">
        <f>IF(COUNT(K16:K39)&gt;0,MAX(K16:K39),"")</f>
        <v>13</v>
      </c>
      <c r="L42" s="454">
        <f>IF(COUNT(L16:L39)&gt;0,ROUND(MAX(L16:L39),1),"")</f>
        <v>127</v>
      </c>
      <c r="M42" s="454">
        <f>IF(COUNT(M16:M39)&gt;0,ROUND(MAX(M16:M39),1),"")</f>
        <v>227</v>
      </c>
      <c r="N42" s="454">
        <f>IF(COUNT(N16:N39)&gt;0,ROUND(MAX(N16:N39),1),"")</f>
        <v>85</v>
      </c>
      <c r="O42" s="441">
        <f>IF(COUNT(O16:O39)&gt;0,ROUND(MAX(O16:O39),1),"")</f>
        <v>60</v>
      </c>
      <c r="P42" s="441">
        <f>IF(COUNT(P16:P39)&gt;0,ROUND(MAX(P16:P39),1),"")</f>
        <v>16</v>
      </c>
      <c r="Q42" s="441">
        <f>IF(COUNT(Q16:Q39)&gt;0,ROUND(MAX(Q16:Q39),4),"")</f>
        <v>299.10000000000002</v>
      </c>
      <c r="R42" s="39" t="str">
        <f>IF(COUNT(R16:R39)&gt;0,ROUND(MAX(R16:R39),1),"")</f>
        <v/>
      </c>
      <c r="S42" s="509"/>
      <c r="T42" s="510"/>
      <c r="U42" s="510"/>
      <c r="V42" s="511"/>
      <c r="X42" s="99"/>
      <c r="Y42" s="99"/>
      <c r="Z42" s="99"/>
      <c r="AA42" s="99"/>
      <c r="AB42" s="99"/>
      <c r="AC42" s="99"/>
      <c r="AH42" s="204" t="s">
        <v>312</v>
      </c>
    </row>
    <row r="43" spans="1:55" ht="20.100000000000001" hidden="1" customHeight="1" x14ac:dyDescent="0.25">
      <c r="A43" s="109"/>
      <c r="B43" s="110">
        <f>COUNT(B16:B39)</f>
        <v>0</v>
      </c>
      <c r="C43" s="110">
        <f>COUNT(C16:C39)</f>
        <v>0</v>
      </c>
      <c r="D43" s="110">
        <f>COUNT(D16:D39)</f>
        <v>24</v>
      </c>
      <c r="E43" s="110">
        <f t="shared" ref="E43:H43" si="24">COUNT(E16:E39)</f>
        <v>24</v>
      </c>
      <c r="F43" s="110">
        <f t="shared" si="24"/>
        <v>24</v>
      </c>
      <c r="G43" s="110">
        <f t="shared" si="24"/>
        <v>24</v>
      </c>
      <c r="H43" s="110">
        <f t="shared" si="24"/>
        <v>24</v>
      </c>
      <c r="I43" s="110"/>
      <c r="J43" s="110"/>
      <c r="K43" s="110"/>
      <c r="L43" s="110">
        <f t="shared" ref="L43:Q43" si="25">COUNT(L16:L39)</f>
        <v>24</v>
      </c>
      <c r="M43" s="110">
        <f t="shared" si="25"/>
        <v>24</v>
      </c>
      <c r="N43" s="110">
        <f t="shared" si="25"/>
        <v>24</v>
      </c>
      <c r="O43" s="110">
        <f t="shared" si="25"/>
        <v>24</v>
      </c>
      <c r="P43" s="110">
        <f t="shared" si="25"/>
        <v>24</v>
      </c>
      <c r="Q43" s="110">
        <f t="shared" si="25"/>
        <v>24</v>
      </c>
      <c r="R43" s="110"/>
      <c r="S43" s="99"/>
      <c r="T43" s="99"/>
      <c r="U43" s="99"/>
      <c r="V43" s="99"/>
      <c r="X43" s="99"/>
      <c r="Y43" s="99"/>
      <c r="Z43" s="99"/>
      <c r="AA43" s="99"/>
      <c r="AB43" s="99"/>
      <c r="AC43" s="99"/>
      <c r="AD43" s="92" t="str">
        <f>IF(AND(D43=E43,D43=F43,D43=G43,D43=H43,D43=L43,D43=M43,D43=N43,D43=O43,D43=P43,D43=Q43),"","CEK : Data Content")</f>
        <v/>
      </c>
      <c r="AH43" s="204" t="s">
        <v>221</v>
      </c>
    </row>
    <row r="44" spans="1:55" s="6" customFormat="1" ht="15" customHeight="1" x14ac:dyDescent="0.25">
      <c r="J44" s="91" t="str">
        <f>IF(J1="PRINT","",IF(J42="","RH please ! !",""))</f>
        <v/>
      </c>
      <c r="L44" s="24"/>
      <c r="Q44" s="445">
        <f>IFERROR(ROUND(AVERAGE(Q16:Q39),4),"")</f>
        <v>241.2354</v>
      </c>
      <c r="AH44" s="204" t="s">
        <v>323</v>
      </c>
      <c r="AI44" s="7"/>
    </row>
    <row r="45" spans="1:55" s="6" customFormat="1" ht="15" customHeight="1" x14ac:dyDescent="0.25">
      <c r="L45" s="26" t="s">
        <v>290</v>
      </c>
      <c r="Q45" s="445"/>
      <c r="AH45" s="204" t="s">
        <v>288</v>
      </c>
      <c r="AI45" s="7"/>
    </row>
    <row r="46" spans="1:55" s="6" customFormat="1" ht="15" customHeight="1" x14ac:dyDescent="0.25">
      <c r="D46" s="443" t="s">
        <v>90</v>
      </c>
      <c r="E46" s="448" t="str">
        <f>IF(Schedule!C$29="","",Schedule!C$29)</f>
        <v/>
      </c>
      <c r="G46" s="61"/>
      <c r="H46" s="25" t="str">
        <f>IFERROR(IF(OR(I47="",I48="",I49=""),"WAKTU BELUM DI-ISI LENGKAP",IF(SUM(I48:I49)&lt;=1,"","CEK KEMBALI PENULISAN WAKTU SALAH")),"CEK KEMBALI PENULISAN WAKTU SALAH")</f>
        <v/>
      </c>
      <c r="L46" s="26" t="s">
        <v>22</v>
      </c>
      <c r="M46" s="460">
        <f>IF(Volume!$W28="",$O46,Volume!$W28)</f>
        <v>41.945700000000002</v>
      </c>
      <c r="N46" s="27" t="s">
        <v>1</v>
      </c>
      <c r="O46" s="447">
        <f>IF(O40="","",O40)</f>
        <v>48.1</v>
      </c>
      <c r="P46" s="361" t="s">
        <v>29</v>
      </c>
      <c r="Q46" s="362"/>
      <c r="R46" s="362"/>
      <c r="S46" s="362"/>
      <c r="T46" s="361" t="s">
        <v>30</v>
      </c>
      <c r="U46" s="362"/>
      <c r="V46" s="362"/>
      <c r="AH46" s="204" t="s">
        <v>222</v>
      </c>
    </row>
    <row r="47" spans="1:55" s="6" customFormat="1" ht="15" customHeight="1" x14ac:dyDescent="0.25">
      <c r="D47" s="448"/>
      <c r="E47" s="448"/>
      <c r="H47" s="26" t="s">
        <v>26</v>
      </c>
      <c r="I47" s="56">
        <f>IF(OR(I48="",I49=""),"",1-I48-I49)</f>
        <v>1</v>
      </c>
      <c r="J47" s="27" t="s">
        <v>19</v>
      </c>
      <c r="L47" s="26" t="s">
        <v>23</v>
      </c>
      <c r="M47" s="442">
        <f>IF(Volume!$Y28="",$O47,Volume!$Y28)</f>
        <v>11.7361</v>
      </c>
      <c r="N47" s="27" t="s">
        <v>14</v>
      </c>
      <c r="O47" s="447">
        <f>IF(P40="","",P40)</f>
        <v>11.9</v>
      </c>
      <c r="P47" s="361" t="s">
        <v>211</v>
      </c>
      <c r="Q47" s="362"/>
      <c r="R47" s="362"/>
      <c r="S47" s="362"/>
      <c r="T47" s="361" t="s">
        <v>271</v>
      </c>
      <c r="U47" s="362"/>
      <c r="V47" s="362"/>
      <c r="AH47" s="204" t="s">
        <v>223</v>
      </c>
    </row>
    <row r="48" spans="1:55" s="6" customFormat="1" ht="15" customHeight="1" x14ac:dyDescent="0.25">
      <c r="D48" s="443" t="s">
        <v>91</v>
      </c>
      <c r="E48" s="448" t="str">
        <f>IF(Schedule!D$29="","",Schedule!D$29)</f>
        <v/>
      </c>
      <c r="H48" s="26" t="s">
        <v>37</v>
      </c>
      <c r="I48" s="108">
        <f>IF(OR(COUNT($Q$16:$Q$39)&lt;&gt;0,COUNTA($AD$16:$AD$39)&lt;&gt;0),AB40,"")</f>
        <v>0</v>
      </c>
      <c r="J48" s="27" t="s">
        <v>19</v>
      </c>
      <c r="L48" s="26" t="s">
        <v>24</v>
      </c>
      <c r="M48" s="449">
        <f>IF(N40="","",N40)</f>
        <v>85</v>
      </c>
      <c r="N48" s="27" t="s">
        <v>5</v>
      </c>
      <c r="P48" s="362"/>
      <c r="Q48" s="362"/>
      <c r="R48" s="362"/>
      <c r="S48" s="362"/>
      <c r="T48" s="361" t="s">
        <v>291</v>
      </c>
      <c r="U48" s="362"/>
      <c r="V48" s="362"/>
      <c r="AH48" s="204" t="s">
        <v>324</v>
      </c>
    </row>
    <row r="49" spans="1:34" s="6" customFormat="1" ht="15" customHeight="1" x14ac:dyDescent="0.25">
      <c r="D49" s="448"/>
      <c r="E49" s="448"/>
      <c r="H49" s="26" t="s">
        <v>27</v>
      </c>
      <c r="I49" s="108">
        <f>IF(OR(COUNT($Q$16:$Q$39)&lt;&gt;0,COUNTA($AD$16:$AD$39)&lt;&gt;0),AC40,"")</f>
        <v>0</v>
      </c>
      <c r="J49" s="27" t="s">
        <v>19</v>
      </c>
      <c r="L49" s="26" t="s">
        <v>128</v>
      </c>
      <c r="M49" s="442">
        <f>IF(Volume!$L28="",M51,Volume!$L28)</f>
        <v>225.1</v>
      </c>
      <c r="N49" s="27" t="str">
        <f>IF(Q15="MSCFD","MSCF","MMSCF")</f>
        <v>MSCF</v>
      </c>
      <c r="P49" s="362"/>
      <c r="Q49" s="362"/>
      <c r="R49" s="362"/>
      <c r="S49" s="362"/>
      <c r="T49" s="362"/>
      <c r="U49" s="362"/>
      <c r="V49" s="362"/>
      <c r="AH49" s="204" t="s">
        <v>317</v>
      </c>
    </row>
    <row r="50" spans="1:34" s="6" customFormat="1" ht="15" customHeight="1" x14ac:dyDescent="0.25">
      <c r="D50" s="443" t="s">
        <v>92</v>
      </c>
      <c r="E50" s="448" t="str">
        <f>IF(Schedule!E$29="","",Schedule!E$29)</f>
        <v>Marihot Gustafa S.</v>
      </c>
      <c r="L50" s="443" t="str">
        <f>CONCATENATE(MR!L16," ",":")</f>
        <v>Liquid Gain :</v>
      </c>
      <c r="M50" s="446" t="str">
        <f>IF(R40="","",ROUND(SUM(R16:R39),2))</f>
        <v/>
      </c>
      <c r="N50" s="444" t="str">
        <f>R15</f>
        <v>BPD</v>
      </c>
      <c r="P50" s="362"/>
      <c r="Q50" s="362"/>
      <c r="R50" s="362"/>
      <c r="S50" s="362"/>
      <c r="T50" s="362"/>
      <c r="U50" s="362"/>
      <c r="V50" s="362"/>
      <c r="AH50" s="204" t="s">
        <v>282</v>
      </c>
    </row>
    <row r="51" spans="1:34" s="6" customFormat="1" ht="15" customHeight="1" x14ac:dyDescent="0.25">
      <c r="A51" s="4"/>
      <c r="L51" s="443" t="s">
        <v>286</v>
      </c>
      <c r="M51" s="447">
        <f>IF(Q44="","",IF(SUM(I48:I49)=1,IF(Q44&lt;&gt;0,"Cek Tabel",""),ROUND(Q44*I47,4)))</f>
        <v>241.2354</v>
      </c>
      <c r="N51" s="444" t="str">
        <f>IF(Q15="MSCFD","MSCF","MMSCF")</f>
        <v>MSCF</v>
      </c>
      <c r="P51" s="362"/>
      <c r="Q51" s="362"/>
      <c r="R51" s="362"/>
      <c r="S51" s="362"/>
      <c r="T51" s="362"/>
      <c r="U51" s="362"/>
      <c r="V51" s="362"/>
      <c r="AH51" s="204" t="s">
        <v>325</v>
      </c>
    </row>
    <row r="52" spans="1:34" s="6" customFormat="1" ht="15" customHeight="1" x14ac:dyDescent="0.25">
      <c r="D52" s="26" t="s">
        <v>28</v>
      </c>
      <c r="E52" s="47"/>
      <c r="F52" s="47"/>
      <c r="G52" s="47"/>
      <c r="H52" s="47"/>
      <c r="I52" s="47"/>
      <c r="J52" s="47"/>
      <c r="K52" s="47"/>
      <c r="L52" s="5"/>
      <c r="P52" s="362"/>
      <c r="Q52" s="362"/>
      <c r="R52" s="362"/>
      <c r="S52" s="362"/>
      <c r="T52" s="362"/>
      <c r="U52" s="362"/>
      <c r="V52" s="362"/>
      <c r="AH52" s="204" t="s">
        <v>280</v>
      </c>
    </row>
    <row r="53" spans="1:34" s="6" customFormat="1" ht="15" customHeight="1" x14ac:dyDescent="0.25">
      <c r="D53" s="5"/>
      <c r="E53" s="48"/>
      <c r="F53" s="48"/>
      <c r="G53" s="48"/>
      <c r="H53" s="48"/>
      <c r="I53" s="48"/>
      <c r="J53" s="48"/>
      <c r="K53" s="48"/>
      <c r="L53" s="5"/>
      <c r="P53" s="363" t="str">
        <f>UPPER(E50)</f>
        <v>MARIHOT GUSTAFA S.</v>
      </c>
      <c r="Q53" s="362"/>
      <c r="R53" s="362"/>
      <c r="S53" s="362"/>
      <c r="T53" s="363" t="str">
        <f>IF(Schedule!F$29="","",UPPER(Schedule!F$29))</f>
        <v>SAPUAN</v>
      </c>
      <c r="U53" s="362"/>
      <c r="V53" s="362"/>
      <c r="AH53" s="204" t="s">
        <v>316</v>
      </c>
    </row>
    <row r="54" spans="1:34" s="6" customFormat="1" ht="15" customHeight="1" x14ac:dyDescent="0.25">
      <c r="E54" s="48"/>
      <c r="F54" s="48"/>
      <c r="G54" s="48"/>
      <c r="H54" s="48"/>
      <c r="I54" s="48"/>
      <c r="J54" s="48"/>
      <c r="K54" s="48"/>
      <c r="P54" s="361" t="s">
        <v>107</v>
      </c>
      <c r="Q54" s="362"/>
      <c r="R54" s="362"/>
      <c r="S54" s="362"/>
      <c r="T54" s="361" t="s">
        <v>294</v>
      </c>
      <c r="U54" s="362"/>
      <c r="V54" s="362"/>
      <c r="AH54" s="204" t="s">
        <v>326</v>
      </c>
    </row>
    <row r="55" spans="1:34" s="6" customFormat="1" ht="15" customHeight="1" x14ac:dyDescent="0.25">
      <c r="P55" s="364" t="str">
        <f>CONCATENATE("Date : ",TEXT(K12,"[$-409]d mmm yyyy;@"))</f>
        <v>Date : 25 Jun 2025</v>
      </c>
      <c r="Q55" s="362"/>
      <c r="R55" s="364"/>
      <c r="S55" s="362"/>
      <c r="T55" s="364" t="str">
        <f>CONCATENATE("Date : ",TEXT(K12,"[$-409]d mmm yyyy;@"))</f>
        <v>Date : 25 Jun 2025</v>
      </c>
      <c r="U55" s="362"/>
      <c r="V55" s="362"/>
      <c r="AH55" s="204" t="s">
        <v>327</v>
      </c>
    </row>
    <row r="56" spans="1:34" ht="15" customHeight="1" x14ac:dyDescent="0.25">
      <c r="AH56" s="204" t="s">
        <v>281</v>
      </c>
    </row>
    <row r="57" spans="1:34" ht="15" customHeight="1" x14ac:dyDescent="0.25">
      <c r="AH57" s="204" t="s">
        <v>277</v>
      </c>
    </row>
    <row r="58" spans="1:34" ht="15" customHeight="1" x14ac:dyDescent="0.25">
      <c r="AH58" s="204" t="s">
        <v>328</v>
      </c>
    </row>
    <row r="59" spans="1:34" ht="15" customHeight="1" x14ac:dyDescent="0.25">
      <c r="AH59" s="204" t="s">
        <v>329</v>
      </c>
    </row>
    <row r="60" spans="1:34" ht="15" customHeight="1" x14ac:dyDescent="0.25">
      <c r="AH60" s="204" t="s">
        <v>330</v>
      </c>
    </row>
    <row r="61" spans="1:34" ht="15" customHeight="1" x14ac:dyDescent="0.25">
      <c r="AH61" s="204" t="s">
        <v>331</v>
      </c>
    </row>
    <row r="62" spans="1:34" ht="15" customHeight="1" x14ac:dyDescent="0.25">
      <c r="AH62" s="204" t="s">
        <v>332</v>
      </c>
    </row>
    <row r="63" spans="1:34" ht="15" customHeight="1" x14ac:dyDescent="0.25">
      <c r="AH63" s="204" t="s">
        <v>315</v>
      </c>
    </row>
    <row r="64" spans="1:34" ht="15" customHeight="1" x14ac:dyDescent="0.25">
      <c r="AH64" s="204" t="s">
        <v>333</v>
      </c>
    </row>
    <row r="65" spans="34:34" ht="15" customHeight="1" x14ac:dyDescent="0.25">
      <c r="AH65" s="204" t="s">
        <v>310</v>
      </c>
    </row>
    <row r="66" spans="34:34" ht="15" customHeight="1" x14ac:dyDescent="0.25">
      <c r="AH66" s="204" t="s">
        <v>334</v>
      </c>
    </row>
    <row r="67" spans="34:34" ht="15" customHeight="1" x14ac:dyDescent="0.25">
      <c r="AH67" s="204" t="s">
        <v>335</v>
      </c>
    </row>
    <row r="68" spans="34:34" ht="15" customHeight="1" x14ac:dyDescent="0.25">
      <c r="AH68" s="204" t="s">
        <v>336</v>
      </c>
    </row>
    <row r="69" spans="34:34" ht="15" customHeight="1" x14ac:dyDescent="0.25">
      <c r="AH69" s="204" t="s">
        <v>337</v>
      </c>
    </row>
    <row r="70" spans="34:34" ht="15" customHeight="1" x14ac:dyDescent="0.25">
      <c r="AH70" s="204" t="s">
        <v>338</v>
      </c>
    </row>
    <row r="71" spans="34:34" ht="15" customHeight="1" x14ac:dyDescent="0.25">
      <c r="AH71" s="204" t="s">
        <v>339</v>
      </c>
    </row>
    <row r="72" spans="34:34" ht="15" customHeight="1" x14ac:dyDescent="0.25">
      <c r="AH72" s="204" t="s">
        <v>340</v>
      </c>
    </row>
    <row r="85" spans="34:34" ht="0" hidden="1" customHeight="1" x14ac:dyDescent="0.25">
      <c r="AH85" s="6"/>
    </row>
    <row r="86" spans="34:34" ht="0" hidden="1" customHeight="1" x14ac:dyDescent="0.25">
      <c r="AH86" s="6"/>
    </row>
    <row r="87" spans="34:34" ht="0" hidden="1" customHeight="1" x14ac:dyDescent="0.25">
      <c r="AH87" s="6"/>
    </row>
    <row r="88" spans="34:34" ht="0" hidden="1" customHeight="1" x14ac:dyDescent="0.25">
      <c r="AH88" s="6"/>
    </row>
    <row r="89" spans="34:34" ht="0" hidden="1" customHeight="1" x14ac:dyDescent="0.25">
      <c r="AH89" s="6"/>
    </row>
    <row r="90" spans="34:34" ht="0" hidden="1" customHeight="1" x14ac:dyDescent="0.25">
      <c r="AH90" s="6"/>
    </row>
    <row r="91" spans="34:34" ht="0" hidden="1" customHeight="1" x14ac:dyDescent="0.25">
      <c r="AH91" s="6"/>
    </row>
    <row r="92" spans="34:34" ht="0" hidden="1" customHeight="1" x14ac:dyDescent="0.25">
      <c r="AH92" s="6"/>
    </row>
    <row r="93" spans="34:34" ht="0" hidden="1" customHeight="1" x14ac:dyDescent="0.25">
      <c r="AH93" s="6"/>
    </row>
    <row r="94" spans="34:34" ht="0" hidden="1" customHeight="1" x14ac:dyDescent="0.25">
      <c r="AH94" s="6"/>
    </row>
  </sheetData>
  <sheetProtection algorithmName="SHA-512" hashValue="Gl5a6y/cBB4jNsP11Yx9TJH4mDpyWUWG3tBgVmTQ5FLgA1tI6Jmbw6nX0ctf7h6ZbzTuFAnbInyE/jQTQx2DHA==" saltValue="xsIYRcrB42voeP78srL5ag==" spinCount="100000" sheet="1" objects="1" scenarios="1" formatColumns="0" formatRows="0" insertColumns="0" insertRows="0" sort="0" autoFilter="0" pivotTables="0"/>
  <mergeCells count="69">
    <mergeCell ref="S37:V37"/>
    <mergeCell ref="S38:V38"/>
    <mergeCell ref="S39:V39"/>
    <mergeCell ref="S40:V40"/>
    <mergeCell ref="S41:V42"/>
    <mergeCell ref="S36:V36"/>
    <mergeCell ref="S25:V25"/>
    <mergeCell ref="S26:V26"/>
    <mergeCell ref="S27:V27"/>
    <mergeCell ref="S28:V28"/>
    <mergeCell ref="S29:V29"/>
    <mergeCell ref="S30:V30"/>
    <mergeCell ref="S31:V31"/>
    <mergeCell ref="S32:V32"/>
    <mergeCell ref="S33:V33"/>
    <mergeCell ref="S34:V34"/>
    <mergeCell ref="S35:V35"/>
    <mergeCell ref="S19:V19"/>
    <mergeCell ref="S20:V20"/>
    <mergeCell ref="S21:V21"/>
    <mergeCell ref="S22:V22"/>
    <mergeCell ref="S23:V23"/>
    <mergeCell ref="S24:V24"/>
    <mergeCell ref="BA14:BA15"/>
    <mergeCell ref="BB14:BB15"/>
    <mergeCell ref="BC14:BC15"/>
    <mergeCell ref="S16:V16"/>
    <mergeCell ref="S17:V17"/>
    <mergeCell ref="S18:V18"/>
    <mergeCell ref="AU14:AU15"/>
    <mergeCell ref="AV14:AV15"/>
    <mergeCell ref="AW14:AW15"/>
    <mergeCell ref="AX14:AX15"/>
    <mergeCell ref="AY14:AY15"/>
    <mergeCell ref="AZ14:AZ15"/>
    <mergeCell ref="AO14:AO15"/>
    <mergeCell ref="AP14:AP15"/>
    <mergeCell ref="AQ14:AQ15"/>
    <mergeCell ref="AR14:AR15"/>
    <mergeCell ref="AS14:AS15"/>
    <mergeCell ref="AT14:AT15"/>
    <mergeCell ref="AD14:AD15"/>
    <mergeCell ref="AJ14:AJ15"/>
    <mergeCell ref="AK14:AK15"/>
    <mergeCell ref="AL14:AL15"/>
    <mergeCell ref="AM14:AM15"/>
    <mergeCell ref="AN14:AN15"/>
    <mergeCell ref="Y14:AC14"/>
    <mergeCell ref="H13:H14"/>
    <mergeCell ref="I13:I14"/>
    <mergeCell ref="J13:J14"/>
    <mergeCell ref="K13:K14"/>
    <mergeCell ref="L13:L14"/>
    <mergeCell ref="M13:N13"/>
    <mergeCell ref="Q13:Q14"/>
    <mergeCell ref="R13:R14"/>
    <mergeCell ref="S13:V15"/>
    <mergeCell ref="O13:O14"/>
    <mergeCell ref="P13:P14"/>
    <mergeCell ref="A10:V10"/>
    <mergeCell ref="A11:V11"/>
    <mergeCell ref="K12:L12"/>
    <mergeCell ref="A13:A15"/>
    <mergeCell ref="B13:B14"/>
    <mergeCell ref="C13:C14"/>
    <mergeCell ref="D13:D14"/>
    <mergeCell ref="E13:E14"/>
    <mergeCell ref="F13:F14"/>
    <mergeCell ref="G13:G14"/>
  </mergeCells>
  <conditionalFormatting sqref="I47">
    <cfRule type="cellIs" dxfId="31" priority="5" operator="lessThan">
      <formula>0</formula>
    </cfRule>
  </conditionalFormatting>
  <conditionalFormatting sqref="Y16:Y39">
    <cfRule type="containsText" dxfId="30" priority="3" operator="containsText" text="STBY">
      <formula>NOT(ISERROR(SEARCH("STBY",Y16)))</formula>
    </cfRule>
    <cfRule type="containsText" dxfId="29" priority="4" operator="containsText" text="SD">
      <formula>NOT(ISERROR(SEARCH("SD",Y16)))</formula>
    </cfRule>
  </conditionalFormatting>
  <conditionalFormatting sqref="B16:B39 D16:R39">
    <cfRule type="expression" dxfId="28" priority="2">
      <formula>ISTEXT(B16)</formula>
    </cfRule>
  </conditionalFormatting>
  <conditionalFormatting sqref="C16:C39">
    <cfRule type="expression" dxfId="27" priority="1">
      <formula>ISTEXT(C16)</formula>
    </cfRule>
  </conditionalFormatting>
  <dataValidations count="2">
    <dataValidation type="list" allowBlank="1" showInputMessage="1" showErrorMessage="1" sqref="Y16:Y39" xr:uid="{DD2C917B-67DF-479D-AA6F-ABB40930D246}">
      <formula1>"SD,STBY"</formula1>
    </dataValidation>
    <dataValidation type="list" allowBlank="1" showInputMessage="1" sqref="AD16:AD39" xr:uid="{0EB463FC-E31E-4F5F-9B65-D86C7D667321}">
      <formula1>$AH$15:$AH$72</formula1>
    </dataValidation>
  </dataValidations>
  <printOptions horizontalCentered="1"/>
  <pageMargins left="0.39370078740157483" right="0.39370078740157483" top="0.59055118110236227" bottom="0.39370078740157483" header="0.31496062992125984" footer="0.31496062992125984"/>
  <pageSetup paperSize="9" scale="57" orientation="landscape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FDFF6-6FDA-4C93-84C1-27DC277F76E8}">
  <sheetPr codeName="N26">
    <pageSetUpPr fitToPage="1"/>
  </sheetPr>
  <dimension ref="A1:BC94"/>
  <sheetViews>
    <sheetView topLeftCell="A16" zoomScale="85" zoomScaleNormal="85" workbookViewId="0">
      <selection activeCell="L36" sqref="L36"/>
    </sheetView>
  </sheetViews>
  <sheetFormatPr defaultColWidth="0" defaultRowHeight="0" customHeight="1" zeroHeight="1" x14ac:dyDescent="0.25"/>
  <cols>
    <col min="1" max="1" width="10.7109375" style="7" customWidth="1"/>
    <col min="2" max="3" width="10.7109375" style="7" hidden="1" customWidth="1"/>
    <col min="4" max="14" width="10.7109375" style="7" customWidth="1"/>
    <col min="15" max="17" width="11.7109375" style="7" customWidth="1"/>
    <col min="18" max="18" width="10.7109375" style="7" hidden="1" customWidth="1"/>
    <col min="19" max="22" width="10.7109375" style="7" customWidth="1"/>
    <col min="23" max="23" width="2.7109375" style="7" customWidth="1"/>
    <col min="24" max="29" width="10.7109375" style="7" customWidth="1"/>
    <col min="30" max="30" width="30.7109375" style="7" customWidth="1"/>
    <col min="31" max="33" width="11.7109375" style="7" customWidth="1"/>
    <col min="34" max="34" width="30.7109375" style="7" customWidth="1"/>
    <col min="35" max="35" width="2.7109375" style="7" hidden="1" customWidth="1"/>
    <col min="36" max="55" width="11.7109375" style="7" hidden="1" customWidth="1"/>
    <col min="56" max="16384" width="9.140625" style="7" hidden="1"/>
  </cols>
  <sheetData>
    <row r="1" spans="1:55" ht="15" customHeight="1" x14ac:dyDescent="0.25">
      <c r="A1" s="7" t="s">
        <v>16</v>
      </c>
      <c r="D1" s="11" t="s">
        <v>85</v>
      </c>
      <c r="J1" s="7" t="str">
        <f>IF(MR!U13="Yes","PRINT","No")</f>
        <v>PRINT</v>
      </c>
      <c r="M1" s="191"/>
      <c r="N1" s="191"/>
    </row>
    <row r="2" spans="1:55" ht="15" customHeight="1" thickBot="1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192"/>
      <c r="M2" s="4"/>
      <c r="N2" s="4"/>
      <c r="O2" s="4"/>
      <c r="P2" s="4"/>
      <c r="Q2" s="4"/>
      <c r="R2" s="4"/>
      <c r="S2" s="8"/>
      <c r="T2" s="8"/>
      <c r="U2" s="8"/>
      <c r="V2" s="8"/>
      <c r="X2" s="8"/>
      <c r="Y2" s="8"/>
      <c r="Z2" s="8"/>
      <c r="AA2" s="8"/>
      <c r="AB2" s="8"/>
      <c r="AC2" s="8"/>
      <c r="AD2" s="8"/>
      <c r="AE2" s="8"/>
    </row>
    <row r="3" spans="1:55" ht="15" customHeight="1" x14ac:dyDescent="0.2">
      <c r="A3" s="31"/>
      <c r="B3" s="28"/>
      <c r="C3" s="28"/>
      <c r="D3" s="28"/>
      <c r="E3" s="28"/>
      <c r="F3" s="13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2"/>
      <c r="T3" s="22"/>
      <c r="U3" s="22"/>
      <c r="V3" s="23"/>
      <c r="X3" s="8"/>
      <c r="Y3" s="8"/>
      <c r="Z3" s="8"/>
      <c r="AA3" s="8"/>
      <c r="AB3" s="8"/>
      <c r="AC3" s="8"/>
      <c r="AD3" s="8"/>
      <c r="AE3" s="8"/>
    </row>
    <row r="4" spans="1:55" ht="30" customHeight="1" x14ac:dyDescent="0.25">
      <c r="A4" s="30"/>
      <c r="B4" s="1"/>
      <c r="C4" s="1"/>
      <c r="D4" s="1"/>
      <c r="E4" s="3"/>
      <c r="F4" s="63" t="s">
        <v>210</v>
      </c>
      <c r="G4" s="1"/>
      <c r="H4" s="1"/>
      <c r="I4" s="3"/>
      <c r="J4" s="3"/>
      <c r="K4" s="3"/>
      <c r="L4" s="3"/>
      <c r="M4" s="3"/>
      <c r="N4" s="3"/>
      <c r="O4" s="3"/>
      <c r="P4" s="3"/>
      <c r="Q4" s="3"/>
      <c r="R4" s="3"/>
      <c r="S4" s="1"/>
      <c r="T4" s="1"/>
      <c r="U4" s="1"/>
      <c r="V4" s="2"/>
      <c r="X4" s="5"/>
      <c r="Y4" s="5"/>
      <c r="Z4" s="5"/>
      <c r="AA4" s="5"/>
      <c r="AB4" s="5"/>
      <c r="AC4" s="5"/>
      <c r="AD4" s="5"/>
      <c r="AE4" s="5"/>
    </row>
    <row r="5" spans="1:55" ht="15" customHeight="1" x14ac:dyDescent="0.2">
      <c r="A5" s="32"/>
      <c r="B5" s="33"/>
      <c r="C5" s="33"/>
      <c r="D5" s="12"/>
      <c r="E5" s="3"/>
      <c r="F5" s="10" t="s">
        <v>129</v>
      </c>
      <c r="G5" s="1"/>
      <c r="H5" s="1"/>
      <c r="I5" s="3"/>
      <c r="J5" s="3"/>
      <c r="K5" s="3"/>
      <c r="L5" s="3"/>
      <c r="M5" s="3"/>
      <c r="N5" s="3"/>
      <c r="O5" s="3"/>
      <c r="P5" s="3"/>
      <c r="Q5" s="3"/>
      <c r="R5" s="3"/>
      <c r="S5" s="12"/>
      <c r="T5" s="12"/>
      <c r="U5" s="12"/>
      <c r="V5" s="14"/>
      <c r="X5" s="8"/>
      <c r="Y5" s="8"/>
      <c r="Z5" s="8"/>
      <c r="AA5" s="8"/>
      <c r="AB5" s="8"/>
      <c r="AC5" s="8"/>
      <c r="AD5" s="8"/>
      <c r="AE5" s="8"/>
      <c r="AJ5" s="193" t="s">
        <v>184</v>
      </c>
      <c r="AK5" s="194">
        <f>'V Calc'!B1</f>
        <v>500</v>
      </c>
      <c r="AL5" s="124"/>
    </row>
    <row r="6" spans="1:55" ht="15" customHeight="1" x14ac:dyDescent="0.2">
      <c r="A6" s="32"/>
      <c r="B6" s="33"/>
      <c r="C6" s="33"/>
      <c r="D6" s="12"/>
      <c r="E6" s="3"/>
      <c r="F6" s="10" t="s">
        <v>132</v>
      </c>
      <c r="G6" s="1"/>
      <c r="H6" s="1"/>
      <c r="I6" s="3"/>
      <c r="J6" s="3"/>
      <c r="K6" s="3"/>
      <c r="L6" s="3"/>
      <c r="M6" s="3"/>
      <c r="N6" s="3"/>
      <c r="O6" s="3"/>
      <c r="P6" s="3"/>
      <c r="Q6" s="3"/>
      <c r="R6" s="3"/>
      <c r="S6" s="12"/>
      <c r="T6" s="12"/>
      <c r="U6" s="12"/>
      <c r="V6" s="14"/>
      <c r="X6" s="8"/>
      <c r="Y6" s="8"/>
      <c r="Z6" s="8"/>
      <c r="AA6" s="8"/>
      <c r="AB6" s="8"/>
      <c r="AC6" s="8"/>
      <c r="AD6" s="8"/>
      <c r="AE6" s="8"/>
      <c r="AJ6" s="193" t="s">
        <v>185</v>
      </c>
      <c r="AK6" s="194">
        <f>'V Calc'!B2</f>
        <v>100</v>
      </c>
      <c r="AL6" s="124"/>
    </row>
    <row r="7" spans="1:55" ht="15" customHeight="1" x14ac:dyDescent="0.2">
      <c r="A7" s="32"/>
      <c r="B7" s="33"/>
      <c r="C7" s="33"/>
      <c r="D7" s="12"/>
      <c r="E7" s="3"/>
      <c r="F7" s="10" t="s">
        <v>130</v>
      </c>
      <c r="G7" s="1"/>
      <c r="H7" s="1"/>
      <c r="I7" s="3"/>
      <c r="J7" s="3"/>
      <c r="K7" s="3"/>
      <c r="L7" s="3"/>
      <c r="M7" s="3"/>
      <c r="N7" s="3"/>
      <c r="O7" s="3"/>
      <c r="P7" s="3"/>
      <c r="Q7" s="3"/>
      <c r="R7" s="3"/>
      <c r="S7" s="12"/>
      <c r="T7" s="12"/>
      <c r="U7" s="12"/>
      <c r="V7" s="14"/>
      <c r="X7" s="8"/>
      <c r="Y7" s="8"/>
      <c r="Z7" s="8"/>
      <c r="AA7" s="8"/>
      <c r="AB7" s="8"/>
      <c r="AC7" s="8"/>
      <c r="AD7" s="8"/>
      <c r="AE7" s="8"/>
      <c r="AJ7" s="193" t="s">
        <v>186</v>
      </c>
      <c r="AK7" s="195">
        <f>'V Calc'!B3</f>
        <v>2</v>
      </c>
      <c r="AL7" s="124"/>
    </row>
    <row r="8" spans="1:55" ht="15" customHeight="1" x14ac:dyDescent="0.2">
      <c r="A8" s="32"/>
      <c r="B8" s="33"/>
      <c r="C8" s="33"/>
      <c r="D8" s="12"/>
      <c r="E8" s="3"/>
      <c r="F8" s="10" t="s">
        <v>131</v>
      </c>
      <c r="G8" s="62"/>
      <c r="H8" s="62"/>
      <c r="I8" s="3"/>
      <c r="J8" s="3"/>
      <c r="K8" s="3"/>
      <c r="L8" s="3"/>
      <c r="M8" s="3"/>
      <c r="N8" s="3"/>
      <c r="O8" s="3"/>
      <c r="P8" s="3"/>
      <c r="Q8" s="3"/>
      <c r="R8" s="3"/>
      <c r="S8" s="12"/>
      <c r="T8" s="12"/>
      <c r="U8" s="12"/>
      <c r="V8" s="14"/>
      <c r="X8" s="8"/>
      <c r="Y8" s="8"/>
      <c r="Z8" s="8"/>
      <c r="AA8" s="8"/>
      <c r="AB8" s="8"/>
      <c r="AC8" s="8"/>
      <c r="AD8" s="8"/>
      <c r="AE8" s="8"/>
      <c r="AJ8" s="193" t="s">
        <v>187</v>
      </c>
      <c r="AK8" s="195">
        <f>'V Calc'!B4</f>
        <v>0.875</v>
      </c>
      <c r="AL8" s="124"/>
    </row>
    <row r="9" spans="1:55" ht="15" customHeight="1" thickBot="1" x14ac:dyDescent="0.25">
      <c r="A9" s="34"/>
      <c r="B9" s="29"/>
      <c r="C9" s="29"/>
      <c r="D9" s="29"/>
      <c r="E9" s="29"/>
      <c r="F9" s="15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16"/>
      <c r="T9" s="16"/>
      <c r="U9" s="16"/>
      <c r="V9" s="17"/>
      <c r="X9" s="8"/>
      <c r="Y9" s="8"/>
      <c r="Z9" s="8"/>
      <c r="AA9" s="8"/>
      <c r="AB9" s="8"/>
      <c r="AC9" s="8"/>
      <c r="AD9" s="8"/>
      <c r="AE9" s="8"/>
      <c r="AJ9" s="196" t="s">
        <v>188</v>
      </c>
      <c r="AK9" s="197">
        <f>'V Calc'!B5</f>
        <v>158.47</v>
      </c>
      <c r="AL9" s="198"/>
    </row>
    <row r="10" spans="1:55" s="9" customFormat="1" ht="30" customHeight="1" x14ac:dyDescent="0.2">
      <c r="A10" s="513" t="s">
        <v>20</v>
      </c>
      <c r="B10" s="514"/>
      <c r="C10" s="514"/>
      <c r="D10" s="514"/>
      <c r="E10" s="514"/>
      <c r="F10" s="514"/>
      <c r="G10" s="514"/>
      <c r="H10" s="514"/>
      <c r="I10" s="514"/>
      <c r="J10" s="514"/>
      <c r="K10" s="514"/>
      <c r="L10" s="514"/>
      <c r="M10" s="514"/>
      <c r="N10" s="514"/>
      <c r="O10" s="514"/>
      <c r="P10" s="514"/>
      <c r="Q10" s="514"/>
      <c r="R10" s="514"/>
      <c r="S10" s="514"/>
      <c r="T10" s="514"/>
      <c r="U10" s="514"/>
      <c r="V10" s="515"/>
      <c r="X10" s="96"/>
      <c r="Y10" s="96"/>
      <c r="Z10" s="96"/>
      <c r="AA10" s="96"/>
      <c r="AB10" s="96"/>
      <c r="AC10" s="96"/>
      <c r="AJ10" s="193" t="s">
        <v>189</v>
      </c>
      <c r="AK10" s="199">
        <f>'V Calc'!B6</f>
        <v>0.63607464142166403</v>
      </c>
      <c r="AL10" s="198" t="s">
        <v>190</v>
      </c>
    </row>
    <row r="11" spans="1:55" s="9" customFormat="1" ht="20.100000000000001" customHeight="1" thickBot="1" x14ac:dyDescent="0.25">
      <c r="A11" s="516" t="s">
        <v>21</v>
      </c>
      <c r="B11" s="517"/>
      <c r="C11" s="517"/>
      <c r="D11" s="517"/>
      <c r="E11" s="517"/>
      <c r="F11" s="517"/>
      <c r="G11" s="517"/>
      <c r="H11" s="517"/>
      <c r="I11" s="517"/>
      <c r="J11" s="517"/>
      <c r="K11" s="517"/>
      <c r="L11" s="517"/>
      <c r="M11" s="517"/>
      <c r="N11" s="517"/>
      <c r="O11" s="517"/>
      <c r="P11" s="517"/>
      <c r="Q11" s="517"/>
      <c r="R11" s="517"/>
      <c r="S11" s="517"/>
      <c r="T11" s="517"/>
      <c r="U11" s="517"/>
      <c r="V11" s="518"/>
      <c r="X11" s="97"/>
      <c r="Y11" s="97"/>
      <c r="Z11" s="97"/>
      <c r="AA11" s="97"/>
      <c r="AB11" s="97"/>
      <c r="AC11" s="97"/>
    </row>
    <row r="12" spans="1:55" s="6" customFormat="1" ht="30" customHeight="1" thickBot="1" x14ac:dyDescent="0.3">
      <c r="A12" s="18"/>
      <c r="B12" s="20"/>
      <c r="C12" s="20"/>
      <c r="D12" s="19" t="s">
        <v>121</v>
      </c>
      <c r="E12" s="200" t="str">
        <f>'Day 25'!E12</f>
        <v>MPR 632  RFD</v>
      </c>
      <c r="F12" s="35"/>
      <c r="G12" s="19" t="s">
        <v>120</v>
      </c>
      <c r="H12" s="200" t="str">
        <f>IF(Volume!C$29="","",Volume!C$29)</f>
        <v>FP 65354</v>
      </c>
      <c r="I12" s="20"/>
      <c r="J12" s="19" t="s">
        <v>17</v>
      </c>
      <c r="K12" s="505">
        <f>'Day 25'!K12+1</f>
        <v>45834</v>
      </c>
      <c r="L12" s="505"/>
      <c r="M12" s="100"/>
      <c r="N12" s="19" t="s">
        <v>119</v>
      </c>
      <c r="O12" s="200" t="str">
        <f>IF(Volume!D$29="","",Volume!D$29)</f>
        <v>SP. Tambun - Cluster F</v>
      </c>
      <c r="P12" s="20"/>
      <c r="Q12" s="19" t="s">
        <v>122</v>
      </c>
      <c r="S12" s="201">
        <f>IF(Volume!E$29="","",Volume!E$29)</f>
        <v>1.25</v>
      </c>
      <c r="T12" s="20"/>
      <c r="U12" s="19" t="s">
        <v>126</v>
      </c>
      <c r="V12" s="202" t="str">
        <f>IF(Volume!F$29="","",Volume!F$29)</f>
        <v>4/0</v>
      </c>
    </row>
    <row r="13" spans="1:55" ht="30" customHeight="1" thickBot="1" x14ac:dyDescent="0.3">
      <c r="A13" s="502" t="s">
        <v>0</v>
      </c>
      <c r="B13" s="502" t="s">
        <v>213</v>
      </c>
      <c r="C13" s="502" t="s">
        <v>212</v>
      </c>
      <c r="D13" s="502" t="s">
        <v>31</v>
      </c>
      <c r="E13" s="502" t="s">
        <v>32</v>
      </c>
      <c r="F13" s="502" t="s">
        <v>2</v>
      </c>
      <c r="G13" s="502" t="s">
        <v>33</v>
      </c>
      <c r="H13" s="502" t="s">
        <v>35</v>
      </c>
      <c r="I13" s="502" t="s">
        <v>36</v>
      </c>
      <c r="J13" s="502" t="s">
        <v>110</v>
      </c>
      <c r="K13" s="502" t="s">
        <v>15</v>
      </c>
      <c r="L13" s="502" t="s">
        <v>34</v>
      </c>
      <c r="M13" s="502" t="s">
        <v>10</v>
      </c>
      <c r="N13" s="502"/>
      <c r="O13" s="506" t="s">
        <v>300</v>
      </c>
      <c r="P13" s="506" t="s">
        <v>299</v>
      </c>
      <c r="Q13" s="502" t="s">
        <v>7</v>
      </c>
      <c r="R13" s="502" t="s">
        <v>88</v>
      </c>
      <c r="S13" s="502" t="s">
        <v>8</v>
      </c>
      <c r="T13" s="502"/>
      <c r="U13" s="502"/>
      <c r="V13" s="502"/>
      <c r="X13" s="98"/>
      <c r="Y13" s="98"/>
      <c r="Z13" s="98"/>
      <c r="AA13" s="98"/>
      <c r="AB13" s="98"/>
      <c r="AC13" s="98"/>
    </row>
    <row r="14" spans="1:55" ht="30" customHeight="1" x14ac:dyDescent="0.25">
      <c r="A14" s="504"/>
      <c r="B14" s="504"/>
      <c r="C14" s="504"/>
      <c r="D14" s="504"/>
      <c r="E14" s="504"/>
      <c r="F14" s="504"/>
      <c r="G14" s="504"/>
      <c r="H14" s="504"/>
      <c r="I14" s="504"/>
      <c r="J14" s="504"/>
      <c r="K14" s="504"/>
      <c r="L14" s="504"/>
      <c r="M14" s="94" t="s">
        <v>3</v>
      </c>
      <c r="N14" s="94" t="s">
        <v>4</v>
      </c>
      <c r="O14" s="507"/>
      <c r="P14" s="507"/>
      <c r="Q14" s="504"/>
      <c r="R14" s="504"/>
      <c r="S14" s="504"/>
      <c r="T14" s="504"/>
      <c r="U14" s="504"/>
      <c r="V14" s="504"/>
      <c r="Y14" s="502" t="s">
        <v>230</v>
      </c>
      <c r="Z14" s="502"/>
      <c r="AA14" s="502"/>
      <c r="AB14" s="502"/>
      <c r="AC14" s="502"/>
      <c r="AD14" s="502" t="s">
        <v>231</v>
      </c>
      <c r="AH14" s="203" t="s">
        <v>232</v>
      </c>
      <c r="AJ14" s="520" t="s">
        <v>191</v>
      </c>
      <c r="AK14" s="520" t="s">
        <v>192</v>
      </c>
      <c r="AL14" s="520" t="s">
        <v>193</v>
      </c>
      <c r="AM14" s="520" t="s">
        <v>194</v>
      </c>
      <c r="AN14" s="520" t="s">
        <v>195</v>
      </c>
      <c r="AO14" s="506" t="s">
        <v>196</v>
      </c>
      <c r="AP14" s="506" t="s">
        <v>197</v>
      </c>
      <c r="AQ14" s="506" t="s">
        <v>198</v>
      </c>
      <c r="AR14" s="506" t="s">
        <v>188</v>
      </c>
      <c r="AS14" s="506" t="s">
        <v>199</v>
      </c>
      <c r="AT14" s="506" t="s">
        <v>200</v>
      </c>
      <c r="AU14" s="506" t="s">
        <v>201</v>
      </c>
      <c r="AV14" s="506" t="s">
        <v>202</v>
      </c>
      <c r="AW14" s="506" t="s">
        <v>203</v>
      </c>
      <c r="AX14" s="506" t="s">
        <v>204</v>
      </c>
      <c r="AY14" s="523" t="s">
        <v>205</v>
      </c>
      <c r="AZ14" s="523" t="s">
        <v>206</v>
      </c>
      <c r="BA14" s="523" t="s">
        <v>207</v>
      </c>
      <c r="BB14" s="523" t="s">
        <v>208</v>
      </c>
      <c r="BC14" s="506" t="s">
        <v>197</v>
      </c>
    </row>
    <row r="15" spans="1:55" ht="20.100000000000001" customHeight="1" thickBot="1" x14ac:dyDescent="0.3">
      <c r="A15" s="503"/>
      <c r="B15" s="95" t="s">
        <v>1</v>
      </c>
      <c r="C15" s="95" t="s">
        <v>1</v>
      </c>
      <c r="D15" s="95" t="s">
        <v>1</v>
      </c>
      <c r="E15" s="95" t="s">
        <v>1</v>
      </c>
      <c r="F15" s="95" t="s">
        <v>140</v>
      </c>
      <c r="G15" s="95" t="s">
        <v>1</v>
      </c>
      <c r="H15" s="95" t="s">
        <v>1</v>
      </c>
      <c r="I15" s="95" t="s">
        <v>1</v>
      </c>
      <c r="J15" s="95" t="s">
        <v>18</v>
      </c>
      <c r="K15" s="95" t="s">
        <v>9</v>
      </c>
      <c r="L15" s="95" t="s">
        <v>5</v>
      </c>
      <c r="M15" s="95" t="s">
        <v>5</v>
      </c>
      <c r="N15" s="95" t="s">
        <v>5</v>
      </c>
      <c r="O15" s="95" t="s">
        <v>1</v>
      </c>
      <c r="P15" s="95" t="s">
        <v>14</v>
      </c>
      <c r="Q15" s="95" t="str">
        <f>IF(MR!G17="MSCF","MSCFD","MMSCFD")</f>
        <v>MSCFD</v>
      </c>
      <c r="R15" s="95" t="str">
        <f>MR!L17</f>
        <v>BPD</v>
      </c>
      <c r="S15" s="503"/>
      <c r="T15" s="503"/>
      <c r="U15" s="503"/>
      <c r="V15" s="503"/>
      <c r="X15" s="365"/>
      <c r="Y15" s="95" t="s">
        <v>123</v>
      </c>
      <c r="Z15" s="95" t="s">
        <v>124</v>
      </c>
      <c r="AA15" s="95" t="s">
        <v>125</v>
      </c>
      <c r="AB15" s="95" t="s">
        <v>51</v>
      </c>
      <c r="AC15" s="95" t="s">
        <v>48</v>
      </c>
      <c r="AD15" s="503"/>
      <c r="AH15" s="204" t="s">
        <v>228</v>
      </c>
      <c r="AJ15" s="521"/>
      <c r="AK15" s="521"/>
      <c r="AL15" s="521"/>
      <c r="AM15" s="521"/>
      <c r="AN15" s="521"/>
      <c r="AO15" s="522"/>
      <c r="AP15" s="522"/>
      <c r="AQ15" s="522"/>
      <c r="AR15" s="522"/>
      <c r="AS15" s="522"/>
      <c r="AT15" s="522"/>
      <c r="AU15" s="522"/>
      <c r="AV15" s="522"/>
      <c r="AW15" s="522"/>
      <c r="AX15" s="522"/>
      <c r="AY15" s="524"/>
      <c r="AZ15" s="524"/>
      <c r="BA15" s="524"/>
      <c r="BB15" s="524"/>
      <c r="BC15" s="522"/>
    </row>
    <row r="16" spans="1:55" ht="20.100000000000001" customHeight="1" x14ac:dyDescent="0.2">
      <c r="A16" s="44">
        <v>4.1666666666666664E-2</v>
      </c>
      <c r="B16" s="450"/>
      <c r="C16" s="450"/>
      <c r="D16" s="450">
        <v>6.8</v>
      </c>
      <c r="E16" s="450">
        <v>62.3</v>
      </c>
      <c r="F16" s="40">
        <v>1956</v>
      </c>
      <c r="G16" s="36">
        <v>-5.5</v>
      </c>
      <c r="H16" s="36">
        <v>72.900000000000006</v>
      </c>
      <c r="I16" s="36">
        <v>22.3</v>
      </c>
      <c r="J16" s="40">
        <v>678</v>
      </c>
      <c r="K16" s="36">
        <v>13</v>
      </c>
      <c r="L16" s="450">
        <v>129</v>
      </c>
      <c r="M16" s="450">
        <v>223</v>
      </c>
      <c r="N16" s="450">
        <v>90</v>
      </c>
      <c r="O16" s="352">
        <v>40</v>
      </c>
      <c r="P16" s="352">
        <v>9</v>
      </c>
      <c r="Q16" s="352">
        <v>197.95</v>
      </c>
      <c r="R16" s="36"/>
      <c r="S16" s="519" t="str">
        <f t="shared" ref="S16:S32" si="0">IF(Z16="",IF(AD16="","",AD16),CONCATENATE(TEXT(Z16,"[hh]:mm"),IF(AA16="",""," - "&amp;TEXT(AA16,"[hh]:mm")),IF(Y16="",""," "&amp;Y16&amp;"/")," "&amp;AD16))</f>
        <v/>
      </c>
      <c r="T16" s="519"/>
      <c r="U16" s="519"/>
      <c r="V16" s="519"/>
      <c r="X16" s="44">
        <v>4.1666666666666664E-2</v>
      </c>
      <c r="Y16" s="105"/>
      <c r="Z16" s="101"/>
      <c r="AA16" s="101"/>
      <c r="AB16" s="44" t="str">
        <f>IF(Y16="STBY",AA16-Z16,"")</f>
        <v/>
      </c>
      <c r="AC16" s="44" t="str">
        <f t="shared" ref="AC16:AC39" si="1">IF(Y16="SD",AA16-Z16,"")</f>
        <v/>
      </c>
      <c r="AD16" s="355"/>
      <c r="AE16" s="9" t="str">
        <f>IF(S16="","",IF(COUNTA(Z16:$Z$39)=1,IF(COUNTA(AD16:$AD$39)=1,""," ; "),IF(COUNTA(AD16:$AD$39)=1,IF(Z16="",""," ; ")," ; ")))</f>
        <v/>
      </c>
      <c r="AF16" s="9" t="str">
        <f t="shared" ref="AF16:AF39" si="2">CONCATENATE(S16,AE16)</f>
        <v/>
      </c>
      <c r="AG16" s="90" t="str">
        <f t="shared" ref="AG16:AG39" si="3">IF(AND(COUNTBLANK(N16:P16)&lt;3,Q16=""),"CEK : Data Flowrate","")</f>
        <v/>
      </c>
      <c r="AH16" s="204" t="s">
        <v>229</v>
      </c>
      <c r="AJ16" s="205">
        <f>AK5</f>
        <v>500</v>
      </c>
      <c r="AK16" s="205">
        <f>AK6</f>
        <v>100</v>
      </c>
      <c r="AL16" s="206">
        <f>AK7</f>
        <v>2</v>
      </c>
      <c r="AM16" s="207">
        <f>AK8</f>
        <v>0.875</v>
      </c>
      <c r="AN16" s="208">
        <f>AK10</f>
        <v>0.63607464142166403</v>
      </c>
      <c r="AO16" s="209">
        <f t="shared" ref="AO16:AO39" si="4">T16^2*AJ16/100-14.7</f>
        <v>-14.7</v>
      </c>
      <c r="AP16" s="210">
        <f t="shared" ref="AP16:AP39" si="5">IF(AO16&lt;100,1,BC16)</f>
        <v>1</v>
      </c>
      <c r="AQ16" s="210">
        <f t="shared" ref="AQ16:AQ39" si="6">(1/AP16)^0.5</f>
        <v>1</v>
      </c>
      <c r="AR16" s="52">
        <f>AK9</f>
        <v>158.47</v>
      </c>
      <c r="AS16" s="210">
        <f t="shared" ref="AS16:AS39" si="7">(520/(460+N16))^0.5</f>
        <v>0.9723448696087954</v>
      </c>
      <c r="AT16" s="210">
        <f t="shared" ref="AT16:AT39" si="8">(1/AN16)^0.5</f>
        <v>1.2538510821608391</v>
      </c>
      <c r="AU16" s="210">
        <f t="shared" ref="AU16:AU39" si="9">0.01*(AJ16*AK16)^0.5</f>
        <v>2.2360679774997898</v>
      </c>
      <c r="AV16" s="211">
        <f t="shared" ref="AV16:AV39" si="10">0.024*AQ16*AR16*AS16*AT16*AU16</f>
        <v>10.368348541764712</v>
      </c>
      <c r="AW16" s="210">
        <f t="shared" ref="AW16:AW39" si="11">(AO16+14.7)/(697.2-43*AN16)</f>
        <v>0</v>
      </c>
      <c r="AX16" s="212">
        <f t="shared" ref="AX16:AX39" si="12">(N16+460)/(315.1*AN16+170.4)</f>
        <v>1.4831709199797398</v>
      </c>
      <c r="AY16" s="210">
        <f t="shared" ref="AY16:AY39" si="13">0.3379*LN(LN(AX16))+1.091</f>
        <v>0.77643477842613629</v>
      </c>
      <c r="AZ16" s="211">
        <f t="shared" ref="AZ16:AZ39" si="14">21.46*AY16-11.9*AY16^2-5.9</f>
        <v>3.5883638597441294</v>
      </c>
      <c r="BA16" s="210">
        <f t="shared" ref="BA16:BA39" si="15">AW16/AZ16</f>
        <v>0</v>
      </c>
      <c r="BB16" s="210">
        <f t="shared" ref="BB16:BB39" si="16">(1.1+0.26*AX16+(1.04-1.42*AX16)*BA16)*2.718^BA16/AX16</f>
        <v>1.0016542390239327</v>
      </c>
      <c r="BC16" s="210">
        <f t="shared" ref="BC16:BC39" si="17">1+(AY16-1)*SIN((90*BA16)/57.29578)^BB16</f>
        <v>1</v>
      </c>
    </row>
    <row r="17" spans="1:55" ht="20.100000000000001" customHeight="1" x14ac:dyDescent="0.2">
      <c r="A17" s="45">
        <v>8.3333333333333301E-2</v>
      </c>
      <c r="B17" s="451"/>
      <c r="C17" s="451"/>
      <c r="D17" s="451">
        <v>6.6</v>
      </c>
      <c r="E17" s="451">
        <v>62.5</v>
      </c>
      <c r="F17" s="41">
        <v>1930</v>
      </c>
      <c r="G17" s="37">
        <v>-5.5</v>
      </c>
      <c r="H17" s="37">
        <v>72.3</v>
      </c>
      <c r="I17" s="37">
        <v>22.6</v>
      </c>
      <c r="J17" s="41">
        <v>679</v>
      </c>
      <c r="K17" s="37">
        <v>13</v>
      </c>
      <c r="L17" s="451">
        <v>127</v>
      </c>
      <c r="M17" s="451">
        <v>223</v>
      </c>
      <c r="N17" s="451">
        <v>90</v>
      </c>
      <c r="O17" s="353">
        <v>40</v>
      </c>
      <c r="P17" s="353">
        <v>13</v>
      </c>
      <c r="Q17" s="353">
        <v>237.53</v>
      </c>
      <c r="R17" s="37"/>
      <c r="S17" s="508" t="str">
        <f t="shared" si="0"/>
        <v/>
      </c>
      <c r="T17" s="508"/>
      <c r="U17" s="508"/>
      <c r="V17" s="508"/>
      <c r="X17" s="45">
        <v>8.3333333333333301E-2</v>
      </c>
      <c r="Y17" s="106"/>
      <c r="Z17" s="102"/>
      <c r="AA17" s="102"/>
      <c r="AB17" s="45" t="str">
        <f t="shared" ref="AB17:AB39" si="18">IF(Y17="STBY",AA17-Z17,"")</f>
        <v/>
      </c>
      <c r="AC17" s="45" t="str">
        <f t="shared" si="1"/>
        <v/>
      </c>
      <c r="AD17" s="81"/>
      <c r="AE17" s="9" t="str">
        <f>IF(S17="","",IF(COUNTA(Z17:$Z$39)=1,IF(COUNTA(AD17:$AD$39)=1,""," ; "),IF(COUNTA(AD17:$AD$39)=1,IF(Z17="",""," ; ")," ; ")))</f>
        <v/>
      </c>
      <c r="AF17" s="9" t="str">
        <f t="shared" si="2"/>
        <v/>
      </c>
      <c r="AG17" s="90" t="str">
        <f t="shared" si="3"/>
        <v/>
      </c>
      <c r="AH17" s="204" t="s">
        <v>289</v>
      </c>
      <c r="AJ17" s="206">
        <f t="shared" ref="AJ17:AN32" si="19">AJ16</f>
        <v>500</v>
      </c>
      <c r="AK17" s="206">
        <f t="shared" si="19"/>
        <v>100</v>
      </c>
      <c r="AL17" s="206">
        <f>AL16</f>
        <v>2</v>
      </c>
      <c r="AM17" s="213">
        <f>AM16</f>
        <v>0.875</v>
      </c>
      <c r="AN17" s="214">
        <f>AN16</f>
        <v>0.63607464142166403</v>
      </c>
      <c r="AO17" s="215">
        <f t="shared" si="4"/>
        <v>-14.7</v>
      </c>
      <c r="AP17" s="216">
        <f t="shared" si="5"/>
        <v>1</v>
      </c>
      <c r="AQ17" s="216">
        <f t="shared" si="6"/>
        <v>1</v>
      </c>
      <c r="AR17" s="215">
        <f>AR16</f>
        <v>158.47</v>
      </c>
      <c r="AS17" s="216">
        <f t="shared" si="7"/>
        <v>0.9723448696087954</v>
      </c>
      <c r="AT17" s="216">
        <f t="shared" si="8"/>
        <v>1.2538510821608391</v>
      </c>
      <c r="AU17" s="216">
        <f t="shared" si="9"/>
        <v>2.2360679774997898</v>
      </c>
      <c r="AV17" s="217">
        <f t="shared" si="10"/>
        <v>10.368348541764712</v>
      </c>
      <c r="AW17" s="216">
        <f t="shared" si="11"/>
        <v>0</v>
      </c>
      <c r="AX17" s="218">
        <f t="shared" si="12"/>
        <v>1.4831709199797398</v>
      </c>
      <c r="AY17" s="216">
        <f t="shared" si="13"/>
        <v>0.77643477842613629</v>
      </c>
      <c r="AZ17" s="217">
        <f t="shared" si="14"/>
        <v>3.5883638597441294</v>
      </c>
      <c r="BA17" s="216">
        <f t="shared" si="15"/>
        <v>0</v>
      </c>
      <c r="BB17" s="216">
        <f t="shared" si="16"/>
        <v>1.0016542390239327</v>
      </c>
      <c r="BC17" s="216">
        <f t="shared" si="17"/>
        <v>1</v>
      </c>
    </row>
    <row r="18" spans="1:55" ht="20.100000000000001" customHeight="1" x14ac:dyDescent="0.2">
      <c r="A18" s="45">
        <v>0.125</v>
      </c>
      <c r="B18" s="451"/>
      <c r="C18" s="451"/>
      <c r="D18" s="451">
        <v>5.3</v>
      </c>
      <c r="E18" s="451">
        <v>59.9</v>
      </c>
      <c r="F18" s="41">
        <v>1963</v>
      </c>
      <c r="G18" s="37">
        <v>-5.5</v>
      </c>
      <c r="H18" s="37">
        <v>72.599999999999994</v>
      </c>
      <c r="I18" s="37">
        <v>22.9</v>
      </c>
      <c r="J18" s="41">
        <v>680</v>
      </c>
      <c r="K18" s="37">
        <v>13</v>
      </c>
      <c r="L18" s="451">
        <v>127</v>
      </c>
      <c r="M18" s="451">
        <v>223</v>
      </c>
      <c r="N18" s="451">
        <v>90</v>
      </c>
      <c r="O18" s="353">
        <v>45</v>
      </c>
      <c r="P18" s="353">
        <v>13</v>
      </c>
      <c r="Q18" s="353">
        <v>248.28</v>
      </c>
      <c r="R18" s="37"/>
      <c r="S18" s="508" t="str">
        <f t="shared" si="0"/>
        <v/>
      </c>
      <c r="T18" s="508"/>
      <c r="U18" s="508"/>
      <c r="V18" s="508"/>
      <c r="X18" s="45">
        <v>0.125</v>
      </c>
      <c r="Y18" s="106"/>
      <c r="Z18" s="102"/>
      <c r="AA18" s="102"/>
      <c r="AB18" s="45" t="str">
        <f t="shared" si="18"/>
        <v/>
      </c>
      <c r="AC18" s="45" t="str">
        <f t="shared" si="1"/>
        <v/>
      </c>
      <c r="AD18" s="81"/>
      <c r="AE18" s="9" t="str">
        <f>IF(S18="","",IF(COUNTA(Z18:$Z$39)=1,IF(COUNTA(AD18:$AD$39)=1,""," ; "),IF(COUNTA(AD18:$AD$39)=1,IF(Z18="",""," ; ")," ; ")))</f>
        <v/>
      </c>
      <c r="AF18" s="9" t="str">
        <f t="shared" si="2"/>
        <v/>
      </c>
      <c r="AG18" s="90" t="str">
        <f t="shared" si="3"/>
        <v/>
      </c>
      <c r="AH18" s="204" t="s">
        <v>321</v>
      </c>
      <c r="AJ18" s="206">
        <f t="shared" si="19"/>
        <v>500</v>
      </c>
      <c r="AK18" s="206">
        <f t="shared" si="19"/>
        <v>100</v>
      </c>
      <c r="AL18" s="206">
        <f t="shared" si="19"/>
        <v>2</v>
      </c>
      <c r="AM18" s="213">
        <f t="shared" si="19"/>
        <v>0.875</v>
      </c>
      <c r="AN18" s="214">
        <f t="shared" si="19"/>
        <v>0.63607464142166403</v>
      </c>
      <c r="AO18" s="215">
        <f t="shared" si="4"/>
        <v>-14.7</v>
      </c>
      <c r="AP18" s="216">
        <f t="shared" si="5"/>
        <v>1</v>
      </c>
      <c r="AQ18" s="216">
        <f t="shared" si="6"/>
        <v>1</v>
      </c>
      <c r="AR18" s="215">
        <f t="shared" ref="AR18:AR39" si="20">AR17</f>
        <v>158.47</v>
      </c>
      <c r="AS18" s="216">
        <f t="shared" si="7"/>
        <v>0.9723448696087954</v>
      </c>
      <c r="AT18" s="216">
        <f t="shared" si="8"/>
        <v>1.2538510821608391</v>
      </c>
      <c r="AU18" s="216">
        <f t="shared" si="9"/>
        <v>2.2360679774997898</v>
      </c>
      <c r="AV18" s="217">
        <f t="shared" si="10"/>
        <v>10.368348541764712</v>
      </c>
      <c r="AW18" s="216">
        <f t="shared" si="11"/>
        <v>0</v>
      </c>
      <c r="AX18" s="218">
        <f t="shared" si="12"/>
        <v>1.4831709199797398</v>
      </c>
      <c r="AY18" s="216">
        <f t="shared" si="13"/>
        <v>0.77643477842613629</v>
      </c>
      <c r="AZ18" s="217">
        <f t="shared" si="14"/>
        <v>3.5883638597441294</v>
      </c>
      <c r="BA18" s="216">
        <f t="shared" si="15"/>
        <v>0</v>
      </c>
      <c r="BB18" s="216">
        <f t="shared" si="16"/>
        <v>1.0016542390239327</v>
      </c>
      <c r="BC18" s="216">
        <f t="shared" si="17"/>
        <v>1</v>
      </c>
    </row>
    <row r="19" spans="1:55" ht="20.100000000000001" customHeight="1" x14ac:dyDescent="0.2">
      <c r="A19" s="45">
        <v>0.16666666666666699</v>
      </c>
      <c r="B19" s="451"/>
      <c r="C19" s="451"/>
      <c r="D19" s="451">
        <v>5.9</v>
      </c>
      <c r="E19" s="451">
        <v>59.3</v>
      </c>
      <c r="F19" s="41">
        <v>1945</v>
      </c>
      <c r="G19" s="37">
        <v>-5.5</v>
      </c>
      <c r="H19" s="37">
        <v>72.099999999999994</v>
      </c>
      <c r="I19" s="37">
        <v>22.5</v>
      </c>
      <c r="J19" s="41">
        <v>681</v>
      </c>
      <c r="K19" s="37">
        <v>13</v>
      </c>
      <c r="L19" s="451">
        <v>125</v>
      </c>
      <c r="M19" s="451">
        <v>220</v>
      </c>
      <c r="N19" s="451">
        <v>90</v>
      </c>
      <c r="O19" s="353">
        <v>45</v>
      </c>
      <c r="P19" s="353">
        <v>13</v>
      </c>
      <c r="Q19" s="353">
        <v>248.28</v>
      </c>
      <c r="R19" s="37"/>
      <c r="S19" s="508" t="str">
        <f t="shared" si="0"/>
        <v/>
      </c>
      <c r="T19" s="508"/>
      <c r="U19" s="508"/>
      <c r="V19" s="508"/>
      <c r="X19" s="45">
        <v>0.16666666666666699</v>
      </c>
      <c r="Y19" s="106"/>
      <c r="Z19" s="102"/>
      <c r="AA19" s="102"/>
      <c r="AB19" s="45" t="str">
        <f t="shared" si="18"/>
        <v/>
      </c>
      <c r="AC19" s="45" t="str">
        <f t="shared" si="1"/>
        <v/>
      </c>
      <c r="AD19" s="81"/>
      <c r="AE19" s="9" t="str">
        <f>IF(S19="","",IF(COUNTA(Z19:$Z$39)=1,IF(COUNTA(AD19:$AD$39)=1,""," ; "),IF(COUNTA(AD19:$AD$39)=1,IF(Z19="",""," ; ")," ; ")))</f>
        <v/>
      </c>
      <c r="AF19" s="9" t="str">
        <f t="shared" si="2"/>
        <v/>
      </c>
      <c r="AG19" s="90" t="str">
        <f t="shared" si="3"/>
        <v/>
      </c>
      <c r="AH19" s="204" t="s">
        <v>272</v>
      </c>
      <c r="AJ19" s="206">
        <f t="shared" si="19"/>
        <v>500</v>
      </c>
      <c r="AK19" s="206">
        <f t="shared" si="19"/>
        <v>100</v>
      </c>
      <c r="AL19" s="206">
        <f t="shared" si="19"/>
        <v>2</v>
      </c>
      <c r="AM19" s="213">
        <f t="shared" si="19"/>
        <v>0.875</v>
      </c>
      <c r="AN19" s="214">
        <f t="shared" si="19"/>
        <v>0.63607464142166403</v>
      </c>
      <c r="AO19" s="215">
        <f t="shared" si="4"/>
        <v>-14.7</v>
      </c>
      <c r="AP19" s="216">
        <f t="shared" si="5"/>
        <v>1</v>
      </c>
      <c r="AQ19" s="216">
        <f t="shared" si="6"/>
        <v>1</v>
      </c>
      <c r="AR19" s="215">
        <f t="shared" si="20"/>
        <v>158.47</v>
      </c>
      <c r="AS19" s="216">
        <f t="shared" si="7"/>
        <v>0.9723448696087954</v>
      </c>
      <c r="AT19" s="216">
        <f t="shared" si="8"/>
        <v>1.2538510821608391</v>
      </c>
      <c r="AU19" s="216">
        <f t="shared" si="9"/>
        <v>2.2360679774997898</v>
      </c>
      <c r="AV19" s="217">
        <f t="shared" si="10"/>
        <v>10.368348541764712</v>
      </c>
      <c r="AW19" s="216">
        <f t="shared" si="11"/>
        <v>0</v>
      </c>
      <c r="AX19" s="218">
        <f t="shared" si="12"/>
        <v>1.4831709199797398</v>
      </c>
      <c r="AY19" s="216">
        <f t="shared" si="13"/>
        <v>0.77643477842613629</v>
      </c>
      <c r="AZ19" s="217">
        <f t="shared" si="14"/>
        <v>3.5883638597441294</v>
      </c>
      <c r="BA19" s="216">
        <f t="shared" si="15"/>
        <v>0</v>
      </c>
      <c r="BB19" s="216">
        <f t="shared" si="16"/>
        <v>1.0016542390239327</v>
      </c>
      <c r="BC19" s="216">
        <f t="shared" si="17"/>
        <v>1</v>
      </c>
    </row>
    <row r="20" spans="1:55" ht="20.100000000000001" customHeight="1" x14ac:dyDescent="0.2">
      <c r="A20" s="45">
        <v>0.20833333333333301</v>
      </c>
      <c r="B20" s="451"/>
      <c r="C20" s="451"/>
      <c r="D20" s="451">
        <v>6.4</v>
      </c>
      <c r="E20" s="451">
        <v>63.2</v>
      </c>
      <c r="F20" s="41">
        <v>1936</v>
      </c>
      <c r="G20" s="37">
        <v>-5.5</v>
      </c>
      <c r="H20" s="37">
        <v>72.3</v>
      </c>
      <c r="I20" s="37">
        <v>22.1</v>
      </c>
      <c r="J20" s="41">
        <v>682</v>
      </c>
      <c r="K20" s="37">
        <v>13</v>
      </c>
      <c r="L20" s="451">
        <v>125</v>
      </c>
      <c r="M20" s="451">
        <v>220</v>
      </c>
      <c r="N20" s="451">
        <v>90</v>
      </c>
      <c r="O20" s="353">
        <v>45</v>
      </c>
      <c r="P20" s="353">
        <v>12</v>
      </c>
      <c r="Q20" s="353">
        <v>238.62</v>
      </c>
      <c r="R20" s="37"/>
      <c r="S20" s="508" t="str">
        <f t="shared" si="0"/>
        <v/>
      </c>
      <c r="T20" s="508"/>
      <c r="U20" s="508"/>
      <c r="V20" s="508"/>
      <c r="X20" s="45">
        <v>0.20833333333333301</v>
      </c>
      <c r="Y20" s="106"/>
      <c r="Z20" s="102"/>
      <c r="AA20" s="102"/>
      <c r="AB20" s="45" t="str">
        <f t="shared" si="18"/>
        <v/>
      </c>
      <c r="AC20" s="45" t="str">
        <f t="shared" si="1"/>
        <v/>
      </c>
      <c r="AD20" s="81"/>
      <c r="AE20" s="9" t="str">
        <f>IF(S20="","",IF(COUNTA(Z20:$Z$39)=1,IF(COUNTA(AD20:$AD$39)=1,""," ; "),IF(COUNTA(AD20:$AD$39)=1,IF(Z20="",""," ; ")," ; ")))</f>
        <v/>
      </c>
      <c r="AF20" s="9" t="str">
        <f t="shared" si="2"/>
        <v/>
      </c>
      <c r="AG20" s="90" t="str">
        <f t="shared" si="3"/>
        <v/>
      </c>
      <c r="AH20" s="204" t="s">
        <v>275</v>
      </c>
      <c r="AJ20" s="206">
        <f t="shared" si="19"/>
        <v>500</v>
      </c>
      <c r="AK20" s="206">
        <f t="shared" si="19"/>
        <v>100</v>
      </c>
      <c r="AL20" s="206">
        <f t="shared" si="19"/>
        <v>2</v>
      </c>
      <c r="AM20" s="213">
        <f t="shared" si="19"/>
        <v>0.875</v>
      </c>
      <c r="AN20" s="214">
        <f t="shared" si="19"/>
        <v>0.63607464142166403</v>
      </c>
      <c r="AO20" s="215">
        <f t="shared" si="4"/>
        <v>-14.7</v>
      </c>
      <c r="AP20" s="216">
        <f t="shared" si="5"/>
        <v>1</v>
      </c>
      <c r="AQ20" s="216">
        <f t="shared" si="6"/>
        <v>1</v>
      </c>
      <c r="AR20" s="215">
        <f t="shared" si="20"/>
        <v>158.47</v>
      </c>
      <c r="AS20" s="216">
        <f t="shared" si="7"/>
        <v>0.9723448696087954</v>
      </c>
      <c r="AT20" s="216">
        <f t="shared" si="8"/>
        <v>1.2538510821608391</v>
      </c>
      <c r="AU20" s="216">
        <f t="shared" si="9"/>
        <v>2.2360679774997898</v>
      </c>
      <c r="AV20" s="217">
        <f t="shared" si="10"/>
        <v>10.368348541764712</v>
      </c>
      <c r="AW20" s="216">
        <f t="shared" si="11"/>
        <v>0</v>
      </c>
      <c r="AX20" s="218">
        <f t="shared" si="12"/>
        <v>1.4831709199797398</v>
      </c>
      <c r="AY20" s="216">
        <f t="shared" si="13"/>
        <v>0.77643477842613629</v>
      </c>
      <c r="AZ20" s="217">
        <f t="shared" si="14"/>
        <v>3.5883638597441294</v>
      </c>
      <c r="BA20" s="216">
        <f t="shared" si="15"/>
        <v>0</v>
      </c>
      <c r="BB20" s="216">
        <f t="shared" si="16"/>
        <v>1.0016542390239327</v>
      </c>
      <c r="BC20" s="216">
        <f t="shared" si="17"/>
        <v>1</v>
      </c>
    </row>
    <row r="21" spans="1:55" ht="20.100000000000001" customHeight="1" x14ac:dyDescent="0.2">
      <c r="A21" s="45">
        <v>0.25</v>
      </c>
      <c r="B21" s="451"/>
      <c r="C21" s="451"/>
      <c r="D21" s="451">
        <v>6.8</v>
      </c>
      <c r="E21" s="451">
        <v>63.1</v>
      </c>
      <c r="F21" s="41">
        <v>1951</v>
      </c>
      <c r="G21" s="37">
        <v>-5.5</v>
      </c>
      <c r="H21" s="37">
        <v>72.599999999999994</v>
      </c>
      <c r="I21" s="37">
        <v>22.3</v>
      </c>
      <c r="J21" s="41">
        <v>683</v>
      </c>
      <c r="K21" s="37">
        <v>13</v>
      </c>
      <c r="L21" s="451">
        <v>126</v>
      </c>
      <c r="M21" s="451">
        <v>222</v>
      </c>
      <c r="N21" s="451">
        <v>90</v>
      </c>
      <c r="O21" s="353">
        <v>45</v>
      </c>
      <c r="P21" s="353">
        <v>12</v>
      </c>
      <c r="Q21" s="353">
        <v>238.62</v>
      </c>
      <c r="R21" s="37"/>
      <c r="S21" s="508" t="str">
        <f t="shared" si="0"/>
        <v/>
      </c>
      <c r="T21" s="508"/>
      <c r="U21" s="508"/>
      <c r="V21" s="508"/>
      <c r="X21" s="45">
        <v>0.25</v>
      </c>
      <c r="Y21" s="106"/>
      <c r="Z21" s="102"/>
      <c r="AA21" s="102"/>
      <c r="AB21" s="45" t="str">
        <f t="shared" si="18"/>
        <v/>
      </c>
      <c r="AC21" s="45" t="str">
        <f t="shared" si="1"/>
        <v/>
      </c>
      <c r="AD21" s="81"/>
      <c r="AE21" s="9" t="str">
        <f>IF(S21="","",IF(COUNTA(Z21:$Z$39)=1,IF(COUNTA(AD21:$AD$39)=1,""," ; "),IF(COUNTA(AD21:$AD$39)=1,IF(Z21="",""," ; ")," ; ")))</f>
        <v/>
      </c>
      <c r="AF21" s="9" t="str">
        <f t="shared" si="2"/>
        <v/>
      </c>
      <c r="AG21" s="90" t="str">
        <f t="shared" si="3"/>
        <v/>
      </c>
      <c r="AH21" s="204" t="s">
        <v>322</v>
      </c>
      <c r="AJ21" s="206">
        <f t="shared" si="19"/>
        <v>500</v>
      </c>
      <c r="AK21" s="206">
        <f t="shared" si="19"/>
        <v>100</v>
      </c>
      <c r="AL21" s="206">
        <f t="shared" si="19"/>
        <v>2</v>
      </c>
      <c r="AM21" s="213">
        <f t="shared" si="19"/>
        <v>0.875</v>
      </c>
      <c r="AN21" s="214">
        <f t="shared" si="19"/>
        <v>0.63607464142166403</v>
      </c>
      <c r="AO21" s="215">
        <f t="shared" si="4"/>
        <v>-14.7</v>
      </c>
      <c r="AP21" s="216">
        <f t="shared" si="5"/>
        <v>1</v>
      </c>
      <c r="AQ21" s="216">
        <f t="shared" si="6"/>
        <v>1</v>
      </c>
      <c r="AR21" s="215">
        <f t="shared" si="20"/>
        <v>158.47</v>
      </c>
      <c r="AS21" s="216">
        <f t="shared" si="7"/>
        <v>0.9723448696087954</v>
      </c>
      <c r="AT21" s="216">
        <f t="shared" si="8"/>
        <v>1.2538510821608391</v>
      </c>
      <c r="AU21" s="216">
        <f t="shared" si="9"/>
        <v>2.2360679774997898</v>
      </c>
      <c r="AV21" s="217">
        <f t="shared" si="10"/>
        <v>10.368348541764712</v>
      </c>
      <c r="AW21" s="216">
        <f t="shared" si="11"/>
        <v>0</v>
      </c>
      <c r="AX21" s="218">
        <f t="shared" si="12"/>
        <v>1.4831709199797398</v>
      </c>
      <c r="AY21" s="216">
        <f t="shared" si="13"/>
        <v>0.77643477842613629</v>
      </c>
      <c r="AZ21" s="217">
        <f t="shared" si="14"/>
        <v>3.5883638597441294</v>
      </c>
      <c r="BA21" s="216">
        <f t="shared" si="15"/>
        <v>0</v>
      </c>
      <c r="BB21" s="216">
        <f t="shared" si="16"/>
        <v>1.0016542390239327</v>
      </c>
      <c r="BC21" s="216">
        <f t="shared" si="17"/>
        <v>1</v>
      </c>
    </row>
    <row r="22" spans="1:55" ht="20.100000000000001" customHeight="1" x14ac:dyDescent="0.2">
      <c r="A22" s="45">
        <v>0.29166666666666702</v>
      </c>
      <c r="B22" s="451"/>
      <c r="C22" s="451"/>
      <c r="D22" s="451">
        <v>5.6</v>
      </c>
      <c r="E22" s="451">
        <v>58.5</v>
      </c>
      <c r="F22" s="41">
        <v>1975</v>
      </c>
      <c r="G22" s="37">
        <v>-5.5</v>
      </c>
      <c r="H22" s="37">
        <v>72.5</v>
      </c>
      <c r="I22" s="37">
        <v>22.6</v>
      </c>
      <c r="J22" s="41">
        <v>684</v>
      </c>
      <c r="K22" s="37">
        <v>13</v>
      </c>
      <c r="L22" s="451">
        <v>126</v>
      </c>
      <c r="M22" s="451">
        <v>222</v>
      </c>
      <c r="N22" s="451">
        <v>90</v>
      </c>
      <c r="O22" s="353">
        <v>45</v>
      </c>
      <c r="P22" s="353">
        <v>12</v>
      </c>
      <c r="Q22" s="353">
        <v>238.62</v>
      </c>
      <c r="R22" s="37"/>
      <c r="S22" s="508" t="str">
        <f t="shared" si="0"/>
        <v/>
      </c>
      <c r="T22" s="508"/>
      <c r="U22" s="508"/>
      <c r="V22" s="508"/>
      <c r="X22" s="45">
        <v>0.29166666666666702</v>
      </c>
      <c r="Y22" s="106"/>
      <c r="Z22" s="102"/>
      <c r="AA22" s="102"/>
      <c r="AB22" s="45" t="str">
        <f t="shared" si="18"/>
        <v/>
      </c>
      <c r="AC22" s="45" t="str">
        <f t="shared" si="1"/>
        <v/>
      </c>
      <c r="AD22" s="81"/>
      <c r="AE22" s="9" t="str">
        <f>IF(S22="","",IF(COUNTA(Z22:$Z$39)=1,IF(COUNTA(AD22:$AD$39)=1,""," ; "),IF(COUNTA(AD22:$AD$39)=1,IF(Z22="",""," ; ")," ; ")))</f>
        <v/>
      </c>
      <c r="AF22" s="9" t="str">
        <f t="shared" si="2"/>
        <v/>
      </c>
      <c r="AG22" s="90" t="str">
        <f t="shared" si="3"/>
        <v/>
      </c>
      <c r="AH22" s="204" t="s">
        <v>279</v>
      </c>
      <c r="AJ22" s="206">
        <f t="shared" si="19"/>
        <v>500</v>
      </c>
      <c r="AK22" s="206">
        <f t="shared" si="19"/>
        <v>100</v>
      </c>
      <c r="AL22" s="206">
        <f t="shared" si="19"/>
        <v>2</v>
      </c>
      <c r="AM22" s="213">
        <f t="shared" si="19"/>
        <v>0.875</v>
      </c>
      <c r="AN22" s="214">
        <f t="shared" si="19"/>
        <v>0.63607464142166403</v>
      </c>
      <c r="AO22" s="215">
        <f t="shared" si="4"/>
        <v>-14.7</v>
      </c>
      <c r="AP22" s="216">
        <f t="shared" si="5"/>
        <v>1</v>
      </c>
      <c r="AQ22" s="216">
        <f t="shared" si="6"/>
        <v>1</v>
      </c>
      <c r="AR22" s="215">
        <f t="shared" si="20"/>
        <v>158.47</v>
      </c>
      <c r="AS22" s="216">
        <f t="shared" si="7"/>
        <v>0.9723448696087954</v>
      </c>
      <c r="AT22" s="216">
        <f t="shared" si="8"/>
        <v>1.2538510821608391</v>
      </c>
      <c r="AU22" s="216">
        <f t="shared" si="9"/>
        <v>2.2360679774997898</v>
      </c>
      <c r="AV22" s="217">
        <f t="shared" si="10"/>
        <v>10.368348541764712</v>
      </c>
      <c r="AW22" s="216">
        <f t="shared" si="11"/>
        <v>0</v>
      </c>
      <c r="AX22" s="218">
        <f t="shared" si="12"/>
        <v>1.4831709199797398</v>
      </c>
      <c r="AY22" s="216">
        <f t="shared" si="13"/>
        <v>0.77643477842613629</v>
      </c>
      <c r="AZ22" s="217">
        <f t="shared" si="14"/>
        <v>3.5883638597441294</v>
      </c>
      <c r="BA22" s="216">
        <f t="shared" si="15"/>
        <v>0</v>
      </c>
      <c r="BB22" s="216">
        <f t="shared" si="16"/>
        <v>1.0016542390239327</v>
      </c>
      <c r="BC22" s="216">
        <f t="shared" si="17"/>
        <v>1</v>
      </c>
    </row>
    <row r="23" spans="1:55" ht="20.100000000000001" customHeight="1" x14ac:dyDescent="0.2">
      <c r="A23" s="45">
        <v>0.33333333333333298</v>
      </c>
      <c r="B23" s="451"/>
      <c r="C23" s="451"/>
      <c r="D23" s="451">
        <v>6.4</v>
      </c>
      <c r="E23" s="451">
        <v>58.5</v>
      </c>
      <c r="F23" s="41">
        <v>1933</v>
      </c>
      <c r="G23" s="37">
        <v>-5.5</v>
      </c>
      <c r="H23" s="37">
        <v>72.3</v>
      </c>
      <c r="I23" s="37">
        <v>22.7</v>
      </c>
      <c r="J23" s="41">
        <v>685</v>
      </c>
      <c r="K23" s="37">
        <v>13</v>
      </c>
      <c r="L23" s="451">
        <v>125</v>
      </c>
      <c r="M23" s="451">
        <v>227</v>
      </c>
      <c r="N23" s="451">
        <v>90</v>
      </c>
      <c r="O23" s="353">
        <v>40</v>
      </c>
      <c r="P23" s="353">
        <v>13</v>
      </c>
      <c r="Q23" s="353">
        <v>237.53</v>
      </c>
      <c r="R23" s="37"/>
      <c r="S23" s="508" t="str">
        <f t="shared" si="0"/>
        <v/>
      </c>
      <c r="T23" s="508"/>
      <c r="U23" s="508"/>
      <c r="V23" s="508"/>
      <c r="X23" s="45">
        <v>0.33333333333333298</v>
      </c>
      <c r="Y23" s="106"/>
      <c r="Z23" s="102"/>
      <c r="AA23" s="102"/>
      <c r="AB23" s="45" t="str">
        <f t="shared" si="18"/>
        <v/>
      </c>
      <c r="AC23" s="45" t="str">
        <f t="shared" si="1"/>
        <v/>
      </c>
      <c r="AD23" s="81"/>
      <c r="AE23" s="9" t="str">
        <f>IF(S23="","",IF(COUNTA(Z23:$Z$39)=1,IF(COUNTA(AD23:$AD$39)=1,""," ; "),IF(COUNTA(AD23:$AD$39)=1,IF(Z23="",""," ; ")," ; ")))</f>
        <v/>
      </c>
      <c r="AF23" s="9" t="str">
        <f t="shared" si="2"/>
        <v/>
      </c>
      <c r="AG23" s="90" t="str">
        <f t="shared" si="3"/>
        <v/>
      </c>
      <c r="AH23" s="204" t="s">
        <v>274</v>
      </c>
      <c r="AJ23" s="206">
        <f t="shared" si="19"/>
        <v>500</v>
      </c>
      <c r="AK23" s="206">
        <f t="shared" si="19"/>
        <v>100</v>
      </c>
      <c r="AL23" s="206">
        <f t="shared" si="19"/>
        <v>2</v>
      </c>
      <c r="AM23" s="213">
        <f t="shared" si="19"/>
        <v>0.875</v>
      </c>
      <c r="AN23" s="214">
        <f t="shared" si="19"/>
        <v>0.63607464142166403</v>
      </c>
      <c r="AO23" s="215">
        <f t="shared" si="4"/>
        <v>-14.7</v>
      </c>
      <c r="AP23" s="216">
        <f t="shared" si="5"/>
        <v>1</v>
      </c>
      <c r="AQ23" s="216">
        <f t="shared" si="6"/>
        <v>1</v>
      </c>
      <c r="AR23" s="215">
        <f t="shared" si="20"/>
        <v>158.47</v>
      </c>
      <c r="AS23" s="216">
        <f t="shared" si="7"/>
        <v>0.9723448696087954</v>
      </c>
      <c r="AT23" s="216">
        <f t="shared" si="8"/>
        <v>1.2538510821608391</v>
      </c>
      <c r="AU23" s="216">
        <f t="shared" si="9"/>
        <v>2.2360679774997898</v>
      </c>
      <c r="AV23" s="217">
        <f t="shared" si="10"/>
        <v>10.368348541764712</v>
      </c>
      <c r="AW23" s="216">
        <f t="shared" si="11"/>
        <v>0</v>
      </c>
      <c r="AX23" s="218">
        <f t="shared" si="12"/>
        <v>1.4831709199797398</v>
      </c>
      <c r="AY23" s="216">
        <f t="shared" si="13"/>
        <v>0.77643477842613629</v>
      </c>
      <c r="AZ23" s="217">
        <f t="shared" si="14"/>
        <v>3.5883638597441294</v>
      </c>
      <c r="BA23" s="216">
        <f t="shared" si="15"/>
        <v>0</v>
      </c>
      <c r="BB23" s="216">
        <f t="shared" si="16"/>
        <v>1.0016542390239327</v>
      </c>
      <c r="BC23" s="216">
        <f t="shared" si="17"/>
        <v>1</v>
      </c>
    </row>
    <row r="24" spans="1:55" ht="20.100000000000001" customHeight="1" x14ac:dyDescent="0.2">
      <c r="A24" s="45">
        <v>0.375</v>
      </c>
      <c r="B24" s="451"/>
      <c r="C24" s="451"/>
      <c r="D24" s="451">
        <v>6.2</v>
      </c>
      <c r="E24" s="451">
        <v>64.2</v>
      </c>
      <c r="F24" s="41">
        <v>1946</v>
      </c>
      <c r="G24" s="37">
        <v>-5.5</v>
      </c>
      <c r="H24" s="37">
        <v>72.599999999999994</v>
      </c>
      <c r="I24" s="37">
        <v>22.4</v>
      </c>
      <c r="J24" s="41">
        <v>686</v>
      </c>
      <c r="K24" s="37">
        <v>13</v>
      </c>
      <c r="L24" s="451">
        <v>120</v>
      </c>
      <c r="M24" s="451">
        <v>220</v>
      </c>
      <c r="N24" s="451">
        <v>90</v>
      </c>
      <c r="O24" s="353">
        <v>40</v>
      </c>
      <c r="P24" s="353">
        <v>13</v>
      </c>
      <c r="Q24" s="353">
        <v>237.53</v>
      </c>
      <c r="R24" s="37"/>
      <c r="S24" s="508" t="str">
        <f t="shared" si="0"/>
        <v/>
      </c>
      <c r="T24" s="508"/>
      <c r="U24" s="508"/>
      <c r="V24" s="508"/>
      <c r="X24" s="45">
        <v>0.375</v>
      </c>
      <c r="Y24" s="106"/>
      <c r="Z24" s="102"/>
      <c r="AA24" s="102"/>
      <c r="AB24" s="45" t="str">
        <f t="shared" si="18"/>
        <v/>
      </c>
      <c r="AC24" s="45" t="str">
        <f t="shared" si="1"/>
        <v/>
      </c>
      <c r="AD24" s="81"/>
      <c r="AE24" s="9" t="str">
        <f>IF(S24="","",IF(COUNTA(Z24:$Z$39)=1,IF(COUNTA(AD24:$AD$39)=1,""," ; "),IF(COUNTA(AD24:$AD$39)=1,IF(Z24="",""," ; ")," ; ")))</f>
        <v/>
      </c>
      <c r="AF24" s="9" t="str">
        <f t="shared" si="2"/>
        <v/>
      </c>
      <c r="AG24" s="90" t="str">
        <f t="shared" si="3"/>
        <v/>
      </c>
      <c r="AH24" s="204" t="s">
        <v>307</v>
      </c>
      <c r="AJ24" s="206">
        <f t="shared" si="19"/>
        <v>500</v>
      </c>
      <c r="AK24" s="206">
        <f t="shared" si="19"/>
        <v>100</v>
      </c>
      <c r="AL24" s="206">
        <f t="shared" si="19"/>
        <v>2</v>
      </c>
      <c r="AM24" s="213">
        <f t="shared" si="19"/>
        <v>0.875</v>
      </c>
      <c r="AN24" s="214">
        <f t="shared" si="19"/>
        <v>0.63607464142166403</v>
      </c>
      <c r="AO24" s="215">
        <f t="shared" si="4"/>
        <v>-14.7</v>
      </c>
      <c r="AP24" s="216">
        <f t="shared" si="5"/>
        <v>1</v>
      </c>
      <c r="AQ24" s="216">
        <f t="shared" si="6"/>
        <v>1</v>
      </c>
      <c r="AR24" s="215">
        <f t="shared" si="20"/>
        <v>158.47</v>
      </c>
      <c r="AS24" s="216">
        <f t="shared" si="7"/>
        <v>0.9723448696087954</v>
      </c>
      <c r="AT24" s="216">
        <f t="shared" si="8"/>
        <v>1.2538510821608391</v>
      </c>
      <c r="AU24" s="216">
        <f t="shared" si="9"/>
        <v>2.2360679774997898</v>
      </c>
      <c r="AV24" s="217">
        <f t="shared" si="10"/>
        <v>10.368348541764712</v>
      </c>
      <c r="AW24" s="216">
        <f t="shared" si="11"/>
        <v>0</v>
      </c>
      <c r="AX24" s="218">
        <f t="shared" si="12"/>
        <v>1.4831709199797398</v>
      </c>
      <c r="AY24" s="216">
        <f t="shared" si="13"/>
        <v>0.77643477842613629</v>
      </c>
      <c r="AZ24" s="217">
        <f t="shared" si="14"/>
        <v>3.5883638597441294</v>
      </c>
      <c r="BA24" s="216">
        <f t="shared" si="15"/>
        <v>0</v>
      </c>
      <c r="BB24" s="216">
        <f t="shared" si="16"/>
        <v>1.0016542390239327</v>
      </c>
      <c r="BC24" s="216">
        <f t="shared" si="17"/>
        <v>1</v>
      </c>
    </row>
    <row r="25" spans="1:55" ht="20.100000000000001" customHeight="1" x14ac:dyDescent="0.2">
      <c r="A25" s="45">
        <v>0.41666666666666702</v>
      </c>
      <c r="B25" s="451"/>
      <c r="C25" s="451"/>
      <c r="D25" s="451">
        <v>7.2</v>
      </c>
      <c r="E25" s="451">
        <v>63.7</v>
      </c>
      <c r="F25" s="41">
        <v>1922</v>
      </c>
      <c r="G25" s="37">
        <v>-5.5</v>
      </c>
      <c r="H25" s="37">
        <v>72.400000000000006</v>
      </c>
      <c r="I25" s="37">
        <v>22.6</v>
      </c>
      <c r="J25" s="41">
        <v>687</v>
      </c>
      <c r="K25" s="37">
        <v>13</v>
      </c>
      <c r="L25" s="451">
        <v>122</v>
      </c>
      <c r="M25" s="451">
        <v>220</v>
      </c>
      <c r="N25" s="451">
        <v>90</v>
      </c>
      <c r="O25" s="353">
        <v>40</v>
      </c>
      <c r="P25" s="353">
        <v>13</v>
      </c>
      <c r="Q25" s="353">
        <v>237.53</v>
      </c>
      <c r="R25" s="37"/>
      <c r="S25" s="508" t="str">
        <f t="shared" si="0"/>
        <v/>
      </c>
      <c r="T25" s="508"/>
      <c r="U25" s="508"/>
      <c r="V25" s="508"/>
      <c r="X25" s="45">
        <v>0.41666666666666702</v>
      </c>
      <c r="Y25" s="106"/>
      <c r="Z25" s="102"/>
      <c r="AA25" s="102"/>
      <c r="AB25" s="45" t="str">
        <f t="shared" si="18"/>
        <v/>
      </c>
      <c r="AC25" s="45" t="str">
        <f t="shared" si="1"/>
        <v/>
      </c>
      <c r="AD25" s="81"/>
      <c r="AE25" s="9" t="str">
        <f>IF(S25="","",IF(COUNTA(Z25:$Z$39)=1,IF(COUNTA(AD25:$AD$39)=1,""," ; "),IF(COUNTA(AD25:$AD$39)=1,IF(Z25="",""," ; ")," ; ")))</f>
        <v/>
      </c>
      <c r="AF25" s="9" t="str">
        <f t="shared" si="2"/>
        <v/>
      </c>
      <c r="AG25" s="90" t="str">
        <f t="shared" si="3"/>
        <v/>
      </c>
      <c r="AH25" s="204" t="s">
        <v>225</v>
      </c>
      <c r="AJ25" s="206">
        <f t="shared" si="19"/>
        <v>500</v>
      </c>
      <c r="AK25" s="206">
        <f t="shared" si="19"/>
        <v>100</v>
      </c>
      <c r="AL25" s="206">
        <f t="shared" si="19"/>
        <v>2</v>
      </c>
      <c r="AM25" s="213">
        <f t="shared" si="19"/>
        <v>0.875</v>
      </c>
      <c r="AN25" s="214">
        <f t="shared" si="19"/>
        <v>0.63607464142166403</v>
      </c>
      <c r="AO25" s="215">
        <f t="shared" si="4"/>
        <v>-14.7</v>
      </c>
      <c r="AP25" s="216">
        <f t="shared" si="5"/>
        <v>1</v>
      </c>
      <c r="AQ25" s="216">
        <f t="shared" si="6"/>
        <v>1</v>
      </c>
      <c r="AR25" s="215">
        <f t="shared" si="20"/>
        <v>158.47</v>
      </c>
      <c r="AS25" s="216">
        <f t="shared" si="7"/>
        <v>0.9723448696087954</v>
      </c>
      <c r="AT25" s="216">
        <f t="shared" si="8"/>
        <v>1.2538510821608391</v>
      </c>
      <c r="AU25" s="216">
        <f t="shared" si="9"/>
        <v>2.2360679774997898</v>
      </c>
      <c r="AV25" s="217">
        <f t="shared" si="10"/>
        <v>10.368348541764712</v>
      </c>
      <c r="AW25" s="216">
        <f t="shared" si="11"/>
        <v>0</v>
      </c>
      <c r="AX25" s="218">
        <f t="shared" si="12"/>
        <v>1.4831709199797398</v>
      </c>
      <c r="AY25" s="216">
        <f t="shared" si="13"/>
        <v>0.77643477842613629</v>
      </c>
      <c r="AZ25" s="217">
        <f t="shared" si="14"/>
        <v>3.5883638597441294</v>
      </c>
      <c r="BA25" s="216">
        <f t="shared" si="15"/>
        <v>0</v>
      </c>
      <c r="BB25" s="216">
        <f t="shared" si="16"/>
        <v>1.0016542390239327</v>
      </c>
      <c r="BC25" s="216">
        <f t="shared" si="17"/>
        <v>1</v>
      </c>
    </row>
    <row r="26" spans="1:55" ht="20.100000000000001" customHeight="1" x14ac:dyDescent="0.2">
      <c r="A26" s="45">
        <v>0.45833333333333298</v>
      </c>
      <c r="B26" s="451"/>
      <c r="C26" s="451"/>
      <c r="D26" s="451">
        <v>5.8</v>
      </c>
      <c r="E26" s="451">
        <v>59.4</v>
      </c>
      <c r="F26" s="41">
        <v>1947</v>
      </c>
      <c r="G26" s="37">
        <v>-5.5</v>
      </c>
      <c r="H26" s="37">
        <v>72.099999999999994</v>
      </c>
      <c r="I26" s="37">
        <v>22.3</v>
      </c>
      <c r="J26" s="41">
        <v>688</v>
      </c>
      <c r="K26" s="37">
        <v>13</v>
      </c>
      <c r="L26" s="451">
        <v>127</v>
      </c>
      <c r="M26" s="451">
        <v>221</v>
      </c>
      <c r="N26" s="451">
        <v>90</v>
      </c>
      <c r="O26" s="353">
        <v>40</v>
      </c>
      <c r="P26" s="353">
        <v>13</v>
      </c>
      <c r="Q26" s="353">
        <v>237.53</v>
      </c>
      <c r="R26" s="37"/>
      <c r="S26" s="508" t="str">
        <f t="shared" si="0"/>
        <v/>
      </c>
      <c r="T26" s="508"/>
      <c r="U26" s="508"/>
      <c r="V26" s="508"/>
      <c r="X26" s="45">
        <v>0.45833333333333298</v>
      </c>
      <c r="Y26" s="106"/>
      <c r="Z26" s="102"/>
      <c r="AA26" s="102"/>
      <c r="AB26" s="45" t="str">
        <f t="shared" si="18"/>
        <v/>
      </c>
      <c r="AC26" s="45" t="str">
        <f t="shared" si="1"/>
        <v/>
      </c>
      <c r="AD26" s="81"/>
      <c r="AE26" s="9" t="str">
        <f>IF(S26="","",IF(COUNTA(Z26:$Z$39)=1,IF(COUNTA(AD26:$AD$39)=1,""," ; "),IF(COUNTA(AD26:$AD$39)=1,IF(Z26="",""," ; ")," ; ")))</f>
        <v/>
      </c>
      <c r="AF26" s="9" t="str">
        <f t="shared" si="2"/>
        <v/>
      </c>
      <c r="AG26" s="90" t="str">
        <f t="shared" si="3"/>
        <v/>
      </c>
      <c r="AH26" s="204" t="s">
        <v>287</v>
      </c>
      <c r="AJ26" s="206">
        <f t="shared" si="19"/>
        <v>500</v>
      </c>
      <c r="AK26" s="206">
        <f t="shared" si="19"/>
        <v>100</v>
      </c>
      <c r="AL26" s="206">
        <f t="shared" si="19"/>
        <v>2</v>
      </c>
      <c r="AM26" s="213">
        <f t="shared" si="19"/>
        <v>0.875</v>
      </c>
      <c r="AN26" s="214">
        <f t="shared" si="19"/>
        <v>0.63607464142166403</v>
      </c>
      <c r="AO26" s="215">
        <f t="shared" si="4"/>
        <v>-14.7</v>
      </c>
      <c r="AP26" s="216">
        <f t="shared" si="5"/>
        <v>1</v>
      </c>
      <c r="AQ26" s="216">
        <f t="shared" si="6"/>
        <v>1</v>
      </c>
      <c r="AR26" s="215">
        <f t="shared" si="20"/>
        <v>158.47</v>
      </c>
      <c r="AS26" s="216">
        <f t="shared" si="7"/>
        <v>0.9723448696087954</v>
      </c>
      <c r="AT26" s="216">
        <f t="shared" si="8"/>
        <v>1.2538510821608391</v>
      </c>
      <c r="AU26" s="216">
        <f t="shared" si="9"/>
        <v>2.2360679774997898</v>
      </c>
      <c r="AV26" s="217">
        <f t="shared" si="10"/>
        <v>10.368348541764712</v>
      </c>
      <c r="AW26" s="216">
        <f t="shared" si="11"/>
        <v>0</v>
      </c>
      <c r="AX26" s="218">
        <f t="shared" si="12"/>
        <v>1.4831709199797398</v>
      </c>
      <c r="AY26" s="216">
        <f t="shared" si="13"/>
        <v>0.77643477842613629</v>
      </c>
      <c r="AZ26" s="217">
        <f t="shared" si="14"/>
        <v>3.5883638597441294</v>
      </c>
      <c r="BA26" s="216">
        <f t="shared" si="15"/>
        <v>0</v>
      </c>
      <c r="BB26" s="216">
        <f t="shared" si="16"/>
        <v>1.0016542390239327</v>
      </c>
      <c r="BC26" s="216">
        <f t="shared" si="17"/>
        <v>1</v>
      </c>
    </row>
    <row r="27" spans="1:55" ht="20.100000000000001" customHeight="1" x14ac:dyDescent="0.2">
      <c r="A27" s="45">
        <v>0.5</v>
      </c>
      <c r="B27" s="451"/>
      <c r="C27" s="451"/>
      <c r="D27" s="451">
        <v>7</v>
      </c>
      <c r="E27" s="451">
        <v>58.6</v>
      </c>
      <c r="F27" s="41">
        <v>1951</v>
      </c>
      <c r="G27" s="37">
        <v>-5.5</v>
      </c>
      <c r="H27" s="37">
        <v>72.3</v>
      </c>
      <c r="I27" s="37">
        <v>22.4</v>
      </c>
      <c r="J27" s="41">
        <v>689</v>
      </c>
      <c r="K27" s="37">
        <v>13</v>
      </c>
      <c r="L27" s="451">
        <v>125</v>
      </c>
      <c r="M27" s="451">
        <v>226</v>
      </c>
      <c r="N27" s="451">
        <v>90</v>
      </c>
      <c r="O27" s="353">
        <v>40</v>
      </c>
      <c r="P27" s="353">
        <v>12</v>
      </c>
      <c r="Q27" s="353">
        <v>228.29</v>
      </c>
      <c r="R27" s="37"/>
      <c r="S27" s="508" t="str">
        <f t="shared" si="0"/>
        <v/>
      </c>
      <c r="T27" s="508"/>
      <c r="U27" s="508"/>
      <c r="V27" s="508"/>
      <c r="X27" s="45">
        <v>0.5</v>
      </c>
      <c r="Y27" s="106"/>
      <c r="Z27" s="102"/>
      <c r="AA27" s="102"/>
      <c r="AB27" s="45" t="str">
        <f t="shared" si="18"/>
        <v/>
      </c>
      <c r="AC27" s="45" t="str">
        <f t="shared" si="1"/>
        <v/>
      </c>
      <c r="AD27" s="81"/>
      <c r="AE27" s="9" t="str">
        <f>IF(S27="","",IF(COUNTA(Z27:$Z$39)=1,IF(COUNTA(AD27:$AD$39)=1,""," ; "),IF(COUNTA(AD27:$AD$39)=1,IF(Z27="",""," ; ")," ; ")))</f>
        <v/>
      </c>
      <c r="AF27" s="9" t="str">
        <f t="shared" si="2"/>
        <v/>
      </c>
      <c r="AG27" s="90" t="str">
        <f t="shared" si="3"/>
        <v/>
      </c>
      <c r="AH27" s="204" t="s">
        <v>276</v>
      </c>
      <c r="AJ27" s="206">
        <f t="shared" si="19"/>
        <v>500</v>
      </c>
      <c r="AK27" s="206">
        <f t="shared" si="19"/>
        <v>100</v>
      </c>
      <c r="AL27" s="206">
        <f t="shared" si="19"/>
        <v>2</v>
      </c>
      <c r="AM27" s="213">
        <f t="shared" si="19"/>
        <v>0.875</v>
      </c>
      <c r="AN27" s="214">
        <f t="shared" si="19"/>
        <v>0.63607464142166403</v>
      </c>
      <c r="AO27" s="215">
        <f t="shared" si="4"/>
        <v>-14.7</v>
      </c>
      <c r="AP27" s="216">
        <f t="shared" si="5"/>
        <v>1</v>
      </c>
      <c r="AQ27" s="216">
        <f t="shared" si="6"/>
        <v>1</v>
      </c>
      <c r="AR27" s="215">
        <f t="shared" si="20"/>
        <v>158.47</v>
      </c>
      <c r="AS27" s="216">
        <f t="shared" si="7"/>
        <v>0.9723448696087954</v>
      </c>
      <c r="AT27" s="216">
        <f t="shared" si="8"/>
        <v>1.2538510821608391</v>
      </c>
      <c r="AU27" s="216">
        <f t="shared" si="9"/>
        <v>2.2360679774997898</v>
      </c>
      <c r="AV27" s="217">
        <f t="shared" si="10"/>
        <v>10.368348541764712</v>
      </c>
      <c r="AW27" s="216">
        <f t="shared" si="11"/>
        <v>0</v>
      </c>
      <c r="AX27" s="218">
        <f t="shared" si="12"/>
        <v>1.4831709199797398</v>
      </c>
      <c r="AY27" s="216">
        <f t="shared" si="13"/>
        <v>0.77643477842613629</v>
      </c>
      <c r="AZ27" s="217">
        <f t="shared" si="14"/>
        <v>3.5883638597441294</v>
      </c>
      <c r="BA27" s="216">
        <f t="shared" si="15"/>
        <v>0</v>
      </c>
      <c r="BB27" s="216">
        <f t="shared" si="16"/>
        <v>1.0016542390239327</v>
      </c>
      <c r="BC27" s="216">
        <f t="shared" si="17"/>
        <v>1</v>
      </c>
    </row>
    <row r="28" spans="1:55" ht="20.100000000000001" customHeight="1" x14ac:dyDescent="0.2">
      <c r="A28" s="45">
        <v>0.54166666666666696</v>
      </c>
      <c r="B28" s="451"/>
      <c r="C28" s="451"/>
      <c r="D28" s="451">
        <v>7.2</v>
      </c>
      <c r="E28" s="451">
        <v>58.2</v>
      </c>
      <c r="F28" s="41">
        <v>1930</v>
      </c>
      <c r="G28" s="37">
        <v>-5.5</v>
      </c>
      <c r="H28" s="37">
        <v>72.7</v>
      </c>
      <c r="I28" s="37">
        <v>22.1</v>
      </c>
      <c r="J28" s="41">
        <v>690</v>
      </c>
      <c r="K28" s="37">
        <v>13</v>
      </c>
      <c r="L28" s="451">
        <v>122</v>
      </c>
      <c r="M28" s="451">
        <v>226</v>
      </c>
      <c r="N28" s="451">
        <v>90</v>
      </c>
      <c r="O28" s="353">
        <v>35</v>
      </c>
      <c r="P28" s="353">
        <v>12</v>
      </c>
      <c r="Q28" s="353">
        <v>217.49</v>
      </c>
      <c r="R28" s="37"/>
      <c r="S28" s="508" t="str">
        <f t="shared" si="0"/>
        <v/>
      </c>
      <c r="T28" s="508"/>
      <c r="U28" s="508"/>
      <c r="V28" s="508"/>
      <c r="X28" s="45">
        <v>0.54166666666666696</v>
      </c>
      <c r="Y28" s="106"/>
      <c r="Z28" s="102"/>
      <c r="AA28" s="102"/>
      <c r="AB28" s="45" t="str">
        <f t="shared" si="18"/>
        <v/>
      </c>
      <c r="AC28" s="45" t="str">
        <f t="shared" si="1"/>
        <v/>
      </c>
      <c r="AD28" s="81"/>
      <c r="AE28" s="9" t="str">
        <f>IF(S28="","",IF(COUNTA(Z28:$Z$39)=1,IF(COUNTA(AD28:$AD$39)=1,""," ; "),IF(COUNTA(AD28:$AD$39)=1,IF(Z28="",""," ; ")," ; ")))</f>
        <v/>
      </c>
      <c r="AF28" s="9" t="str">
        <f t="shared" si="2"/>
        <v/>
      </c>
      <c r="AG28" s="90" t="str">
        <f t="shared" si="3"/>
        <v/>
      </c>
      <c r="AH28" s="204" t="s">
        <v>278</v>
      </c>
      <c r="AJ28" s="206">
        <f t="shared" si="19"/>
        <v>500</v>
      </c>
      <c r="AK28" s="206">
        <f t="shared" si="19"/>
        <v>100</v>
      </c>
      <c r="AL28" s="206">
        <f t="shared" si="19"/>
        <v>2</v>
      </c>
      <c r="AM28" s="213">
        <f t="shared" si="19"/>
        <v>0.875</v>
      </c>
      <c r="AN28" s="214">
        <f t="shared" si="19"/>
        <v>0.63607464142166403</v>
      </c>
      <c r="AO28" s="215">
        <f t="shared" si="4"/>
        <v>-14.7</v>
      </c>
      <c r="AP28" s="216">
        <f t="shared" si="5"/>
        <v>1</v>
      </c>
      <c r="AQ28" s="216">
        <f t="shared" si="6"/>
        <v>1</v>
      </c>
      <c r="AR28" s="215">
        <f t="shared" si="20"/>
        <v>158.47</v>
      </c>
      <c r="AS28" s="216">
        <f t="shared" si="7"/>
        <v>0.9723448696087954</v>
      </c>
      <c r="AT28" s="216">
        <f t="shared" si="8"/>
        <v>1.2538510821608391</v>
      </c>
      <c r="AU28" s="216">
        <f t="shared" si="9"/>
        <v>2.2360679774997898</v>
      </c>
      <c r="AV28" s="217">
        <f t="shared" si="10"/>
        <v>10.368348541764712</v>
      </c>
      <c r="AW28" s="216">
        <f t="shared" si="11"/>
        <v>0</v>
      </c>
      <c r="AX28" s="218">
        <f t="shared" si="12"/>
        <v>1.4831709199797398</v>
      </c>
      <c r="AY28" s="216">
        <f t="shared" si="13"/>
        <v>0.77643477842613629</v>
      </c>
      <c r="AZ28" s="217">
        <f t="shared" si="14"/>
        <v>3.5883638597441294</v>
      </c>
      <c r="BA28" s="216">
        <f t="shared" si="15"/>
        <v>0</v>
      </c>
      <c r="BB28" s="216">
        <f t="shared" si="16"/>
        <v>1.0016542390239327</v>
      </c>
      <c r="BC28" s="216">
        <f t="shared" si="17"/>
        <v>1</v>
      </c>
    </row>
    <row r="29" spans="1:55" ht="20.100000000000001" customHeight="1" x14ac:dyDescent="0.2">
      <c r="A29" s="45">
        <v>0.58333333333333304</v>
      </c>
      <c r="B29" s="451"/>
      <c r="C29" s="451"/>
      <c r="D29" s="451">
        <v>5.8</v>
      </c>
      <c r="E29" s="451">
        <v>58.3</v>
      </c>
      <c r="F29" s="41">
        <v>1951</v>
      </c>
      <c r="G29" s="37">
        <v>-5.5</v>
      </c>
      <c r="H29" s="37">
        <v>72</v>
      </c>
      <c r="I29" s="37">
        <v>22.6</v>
      </c>
      <c r="J29" s="41">
        <v>691</v>
      </c>
      <c r="K29" s="37">
        <v>13</v>
      </c>
      <c r="L29" s="451">
        <v>126</v>
      </c>
      <c r="M29" s="451">
        <v>222</v>
      </c>
      <c r="N29" s="451">
        <v>90</v>
      </c>
      <c r="O29" s="353">
        <v>35</v>
      </c>
      <c r="P29" s="353">
        <v>12</v>
      </c>
      <c r="Q29" s="353">
        <v>217.49</v>
      </c>
      <c r="R29" s="37"/>
      <c r="S29" s="508" t="str">
        <f t="shared" si="0"/>
        <v/>
      </c>
      <c r="T29" s="508"/>
      <c r="U29" s="508"/>
      <c r="V29" s="508"/>
      <c r="X29" s="45">
        <v>0.58333333333333304</v>
      </c>
      <c r="Y29" s="106"/>
      <c r="Z29" s="102"/>
      <c r="AA29" s="102"/>
      <c r="AB29" s="45" t="str">
        <f t="shared" si="18"/>
        <v/>
      </c>
      <c r="AC29" s="45" t="str">
        <f t="shared" si="1"/>
        <v/>
      </c>
      <c r="AD29" s="81"/>
      <c r="AE29" s="9" t="str">
        <f>IF(S29="","",IF(COUNTA(Z29:$Z$39)=1,IF(COUNTA(AD29:$AD$39)=1,""," ; "),IF(COUNTA(AD29:$AD$39)=1,IF(Z29="",""," ; ")," ; ")))</f>
        <v/>
      </c>
      <c r="AF29" s="9" t="str">
        <f t="shared" si="2"/>
        <v/>
      </c>
      <c r="AG29" s="90" t="str">
        <f t="shared" si="3"/>
        <v/>
      </c>
      <c r="AH29" s="204" t="s">
        <v>224</v>
      </c>
      <c r="AJ29" s="206">
        <f t="shared" si="19"/>
        <v>500</v>
      </c>
      <c r="AK29" s="206">
        <f t="shared" si="19"/>
        <v>100</v>
      </c>
      <c r="AL29" s="206">
        <f t="shared" si="19"/>
        <v>2</v>
      </c>
      <c r="AM29" s="213">
        <f t="shared" si="19"/>
        <v>0.875</v>
      </c>
      <c r="AN29" s="214">
        <f t="shared" si="19"/>
        <v>0.63607464142166403</v>
      </c>
      <c r="AO29" s="215">
        <f t="shared" si="4"/>
        <v>-14.7</v>
      </c>
      <c r="AP29" s="216">
        <f t="shared" si="5"/>
        <v>1</v>
      </c>
      <c r="AQ29" s="216">
        <f t="shared" si="6"/>
        <v>1</v>
      </c>
      <c r="AR29" s="215">
        <f t="shared" si="20"/>
        <v>158.47</v>
      </c>
      <c r="AS29" s="216">
        <f t="shared" si="7"/>
        <v>0.9723448696087954</v>
      </c>
      <c r="AT29" s="216">
        <f t="shared" si="8"/>
        <v>1.2538510821608391</v>
      </c>
      <c r="AU29" s="216">
        <f t="shared" si="9"/>
        <v>2.2360679774997898</v>
      </c>
      <c r="AV29" s="217">
        <f t="shared" si="10"/>
        <v>10.368348541764712</v>
      </c>
      <c r="AW29" s="216">
        <f t="shared" si="11"/>
        <v>0</v>
      </c>
      <c r="AX29" s="218">
        <f t="shared" si="12"/>
        <v>1.4831709199797398</v>
      </c>
      <c r="AY29" s="216">
        <f t="shared" si="13"/>
        <v>0.77643477842613629</v>
      </c>
      <c r="AZ29" s="217">
        <f t="shared" si="14"/>
        <v>3.5883638597441294</v>
      </c>
      <c r="BA29" s="216">
        <f t="shared" si="15"/>
        <v>0</v>
      </c>
      <c r="BB29" s="216">
        <f t="shared" si="16"/>
        <v>1.0016542390239327</v>
      </c>
      <c r="BC29" s="216">
        <f t="shared" si="17"/>
        <v>1</v>
      </c>
    </row>
    <row r="30" spans="1:55" ht="20.100000000000001" customHeight="1" x14ac:dyDescent="0.2">
      <c r="A30" s="45">
        <v>0.625</v>
      </c>
      <c r="B30" s="451"/>
      <c r="C30" s="451"/>
      <c r="D30" s="451">
        <v>5.3</v>
      </c>
      <c r="E30" s="451">
        <v>58.9</v>
      </c>
      <c r="F30" s="41">
        <v>1942</v>
      </c>
      <c r="G30" s="37">
        <v>-5.5</v>
      </c>
      <c r="H30" s="37">
        <v>72.5</v>
      </c>
      <c r="I30" s="37">
        <v>22</v>
      </c>
      <c r="J30" s="41">
        <v>692</v>
      </c>
      <c r="K30" s="37">
        <v>13</v>
      </c>
      <c r="L30" s="451">
        <v>122</v>
      </c>
      <c r="M30" s="451">
        <v>220</v>
      </c>
      <c r="N30" s="451">
        <v>90</v>
      </c>
      <c r="O30" s="353">
        <v>35</v>
      </c>
      <c r="P30" s="353">
        <v>12</v>
      </c>
      <c r="Q30" s="353">
        <v>217.49</v>
      </c>
      <c r="R30" s="37"/>
      <c r="S30" s="508" t="str">
        <f t="shared" si="0"/>
        <v/>
      </c>
      <c r="T30" s="508"/>
      <c r="U30" s="508"/>
      <c r="V30" s="508"/>
      <c r="X30" s="45">
        <v>0.625</v>
      </c>
      <c r="Y30" s="106"/>
      <c r="Z30" s="102"/>
      <c r="AA30" s="102"/>
      <c r="AB30" s="45" t="str">
        <f t="shared" si="18"/>
        <v/>
      </c>
      <c r="AC30" s="45" t="str">
        <f t="shared" si="1"/>
        <v/>
      </c>
      <c r="AD30" s="81"/>
      <c r="AE30" s="9" t="str">
        <f>IF(S30="","",IF(COUNTA(Z30:$Z$39)=1,IF(COUNTA(AD30:$AD$39)=1,""," ; "),IF(COUNTA(AD30:$AD$39)=1,IF(Z30="",""," ; ")," ; ")))</f>
        <v/>
      </c>
      <c r="AF30" s="9" t="str">
        <f t="shared" si="2"/>
        <v/>
      </c>
      <c r="AG30" s="90" t="str">
        <f t="shared" si="3"/>
        <v/>
      </c>
      <c r="AH30" s="204" t="s">
        <v>260</v>
      </c>
      <c r="AJ30" s="206">
        <f t="shared" si="19"/>
        <v>500</v>
      </c>
      <c r="AK30" s="206">
        <f t="shared" si="19"/>
        <v>100</v>
      </c>
      <c r="AL30" s="206">
        <f t="shared" si="19"/>
        <v>2</v>
      </c>
      <c r="AM30" s="213">
        <f t="shared" si="19"/>
        <v>0.875</v>
      </c>
      <c r="AN30" s="214">
        <f t="shared" si="19"/>
        <v>0.63607464142166403</v>
      </c>
      <c r="AO30" s="215">
        <f t="shared" si="4"/>
        <v>-14.7</v>
      </c>
      <c r="AP30" s="216">
        <f t="shared" si="5"/>
        <v>1</v>
      </c>
      <c r="AQ30" s="216">
        <f t="shared" si="6"/>
        <v>1</v>
      </c>
      <c r="AR30" s="215">
        <f t="shared" si="20"/>
        <v>158.47</v>
      </c>
      <c r="AS30" s="216">
        <f t="shared" si="7"/>
        <v>0.9723448696087954</v>
      </c>
      <c r="AT30" s="216">
        <f t="shared" si="8"/>
        <v>1.2538510821608391</v>
      </c>
      <c r="AU30" s="216">
        <f t="shared" si="9"/>
        <v>2.2360679774997898</v>
      </c>
      <c r="AV30" s="217">
        <f t="shared" si="10"/>
        <v>10.368348541764712</v>
      </c>
      <c r="AW30" s="216">
        <f t="shared" si="11"/>
        <v>0</v>
      </c>
      <c r="AX30" s="218">
        <f t="shared" si="12"/>
        <v>1.4831709199797398</v>
      </c>
      <c r="AY30" s="216">
        <f t="shared" si="13"/>
        <v>0.77643477842613629</v>
      </c>
      <c r="AZ30" s="217">
        <f t="shared" si="14"/>
        <v>3.5883638597441294</v>
      </c>
      <c r="BA30" s="216">
        <f t="shared" si="15"/>
        <v>0</v>
      </c>
      <c r="BB30" s="216">
        <f t="shared" si="16"/>
        <v>1.0016542390239327</v>
      </c>
      <c r="BC30" s="216">
        <f t="shared" si="17"/>
        <v>1</v>
      </c>
    </row>
    <row r="31" spans="1:55" ht="20.100000000000001" customHeight="1" x14ac:dyDescent="0.2">
      <c r="A31" s="45">
        <v>0.66666666666666696</v>
      </c>
      <c r="B31" s="451"/>
      <c r="C31" s="451"/>
      <c r="D31" s="451">
        <v>7.1</v>
      </c>
      <c r="E31" s="451">
        <v>58.2</v>
      </c>
      <c r="F31" s="41">
        <v>1944</v>
      </c>
      <c r="G31" s="37">
        <v>-5.5</v>
      </c>
      <c r="H31" s="37">
        <v>72.099999999999994</v>
      </c>
      <c r="I31" s="37">
        <v>22.7</v>
      </c>
      <c r="J31" s="41">
        <v>693</v>
      </c>
      <c r="K31" s="37">
        <v>13</v>
      </c>
      <c r="L31" s="451">
        <v>127</v>
      </c>
      <c r="M31" s="451">
        <v>220</v>
      </c>
      <c r="N31" s="451">
        <v>90</v>
      </c>
      <c r="O31" s="353">
        <v>35</v>
      </c>
      <c r="P31" s="353">
        <v>12</v>
      </c>
      <c r="Q31" s="353">
        <v>217.49</v>
      </c>
      <c r="R31" s="37"/>
      <c r="S31" s="508" t="str">
        <f t="shared" si="0"/>
        <v/>
      </c>
      <c r="T31" s="508"/>
      <c r="U31" s="508"/>
      <c r="V31" s="508"/>
      <c r="X31" s="45">
        <v>0.66666666666666696</v>
      </c>
      <c r="Y31" s="106"/>
      <c r="Z31" s="102"/>
      <c r="AA31" s="102"/>
      <c r="AB31" s="45" t="str">
        <f t="shared" si="18"/>
        <v/>
      </c>
      <c r="AC31" s="45" t="str">
        <f t="shared" si="1"/>
        <v/>
      </c>
      <c r="AD31" s="81"/>
      <c r="AE31" s="9" t="str">
        <f>IF(S31="","",IF(COUNTA(Z31:$Z$39)=1,IF(COUNTA(AD31:$AD$39)=1,""," ; "),IF(COUNTA(AD31:$AD$39)=1,IF(Z31="",""," ; ")," ; ")))</f>
        <v/>
      </c>
      <c r="AF31" s="9" t="str">
        <f t="shared" si="2"/>
        <v/>
      </c>
      <c r="AG31" s="90" t="str">
        <f t="shared" si="3"/>
        <v/>
      </c>
      <c r="AH31" s="204" t="s">
        <v>226</v>
      </c>
      <c r="AJ31" s="206">
        <f t="shared" si="19"/>
        <v>500</v>
      </c>
      <c r="AK31" s="206">
        <f t="shared" si="19"/>
        <v>100</v>
      </c>
      <c r="AL31" s="206">
        <f t="shared" si="19"/>
        <v>2</v>
      </c>
      <c r="AM31" s="213">
        <f t="shared" si="19"/>
        <v>0.875</v>
      </c>
      <c r="AN31" s="214">
        <f t="shared" si="19"/>
        <v>0.63607464142166403</v>
      </c>
      <c r="AO31" s="215">
        <f t="shared" si="4"/>
        <v>-14.7</v>
      </c>
      <c r="AP31" s="216">
        <f t="shared" si="5"/>
        <v>1</v>
      </c>
      <c r="AQ31" s="216">
        <f t="shared" si="6"/>
        <v>1</v>
      </c>
      <c r="AR31" s="215">
        <f t="shared" si="20"/>
        <v>158.47</v>
      </c>
      <c r="AS31" s="216">
        <f t="shared" si="7"/>
        <v>0.9723448696087954</v>
      </c>
      <c r="AT31" s="216">
        <f t="shared" si="8"/>
        <v>1.2538510821608391</v>
      </c>
      <c r="AU31" s="216">
        <f t="shared" si="9"/>
        <v>2.2360679774997898</v>
      </c>
      <c r="AV31" s="217">
        <f t="shared" si="10"/>
        <v>10.368348541764712</v>
      </c>
      <c r="AW31" s="216">
        <f t="shared" si="11"/>
        <v>0</v>
      </c>
      <c r="AX31" s="218">
        <f t="shared" si="12"/>
        <v>1.4831709199797398</v>
      </c>
      <c r="AY31" s="216">
        <f t="shared" si="13"/>
        <v>0.77643477842613629</v>
      </c>
      <c r="AZ31" s="217">
        <f t="shared" si="14"/>
        <v>3.5883638597441294</v>
      </c>
      <c r="BA31" s="216">
        <f t="shared" si="15"/>
        <v>0</v>
      </c>
      <c r="BB31" s="216">
        <f t="shared" si="16"/>
        <v>1.0016542390239327</v>
      </c>
      <c r="BC31" s="216">
        <f t="shared" si="17"/>
        <v>1</v>
      </c>
    </row>
    <row r="32" spans="1:55" ht="20.100000000000001" customHeight="1" x14ac:dyDescent="0.2">
      <c r="A32" s="45">
        <v>0.70833333333333304</v>
      </c>
      <c r="B32" s="451"/>
      <c r="C32" s="451"/>
      <c r="D32" s="451">
        <v>7.5</v>
      </c>
      <c r="E32" s="451">
        <v>57.7</v>
      </c>
      <c r="F32" s="41">
        <v>1927</v>
      </c>
      <c r="G32" s="37">
        <v>-5.5</v>
      </c>
      <c r="H32" s="37">
        <v>72.900000000000006</v>
      </c>
      <c r="I32" s="37">
        <v>22.5</v>
      </c>
      <c r="J32" s="41">
        <v>694</v>
      </c>
      <c r="K32" s="37">
        <v>13</v>
      </c>
      <c r="L32" s="451">
        <v>125</v>
      </c>
      <c r="M32" s="451">
        <v>221</v>
      </c>
      <c r="N32" s="451">
        <v>90</v>
      </c>
      <c r="O32" s="353">
        <v>40</v>
      </c>
      <c r="P32" s="353">
        <v>13</v>
      </c>
      <c r="Q32" s="353">
        <v>237.53</v>
      </c>
      <c r="R32" s="37"/>
      <c r="S32" s="508" t="str">
        <f t="shared" si="0"/>
        <v/>
      </c>
      <c r="T32" s="508"/>
      <c r="U32" s="508"/>
      <c r="V32" s="508"/>
      <c r="X32" s="45">
        <v>0.70833333333333304</v>
      </c>
      <c r="Y32" s="106"/>
      <c r="Z32" s="102"/>
      <c r="AA32" s="102"/>
      <c r="AB32" s="45" t="str">
        <f t="shared" si="18"/>
        <v/>
      </c>
      <c r="AC32" s="45" t="str">
        <f t="shared" si="1"/>
        <v/>
      </c>
      <c r="AD32" s="81"/>
      <c r="AE32" s="9" t="str">
        <f>IF(S32="","",IF(COUNTA(Z32:$Z$39)=1,IF(COUNTA(AD32:$AD$39)=1,""," ; "),IF(COUNTA(AD32:$AD$39)=1,IF(Z32="",""," ; ")," ; ")))</f>
        <v/>
      </c>
      <c r="AF32" s="9" t="str">
        <f t="shared" si="2"/>
        <v/>
      </c>
      <c r="AG32" s="90" t="str">
        <f t="shared" si="3"/>
        <v/>
      </c>
      <c r="AH32" s="204" t="s">
        <v>313</v>
      </c>
      <c r="AJ32" s="206">
        <f t="shared" si="19"/>
        <v>500</v>
      </c>
      <c r="AK32" s="206">
        <f t="shared" si="19"/>
        <v>100</v>
      </c>
      <c r="AL32" s="206">
        <f t="shared" si="19"/>
        <v>2</v>
      </c>
      <c r="AM32" s="213">
        <f t="shared" si="19"/>
        <v>0.875</v>
      </c>
      <c r="AN32" s="214">
        <f t="shared" si="19"/>
        <v>0.63607464142166403</v>
      </c>
      <c r="AO32" s="215">
        <f t="shared" si="4"/>
        <v>-14.7</v>
      </c>
      <c r="AP32" s="216">
        <f t="shared" si="5"/>
        <v>1</v>
      </c>
      <c r="AQ32" s="216">
        <f t="shared" si="6"/>
        <v>1</v>
      </c>
      <c r="AR32" s="215">
        <f t="shared" si="20"/>
        <v>158.47</v>
      </c>
      <c r="AS32" s="216">
        <f t="shared" si="7"/>
        <v>0.9723448696087954</v>
      </c>
      <c r="AT32" s="216">
        <f t="shared" si="8"/>
        <v>1.2538510821608391</v>
      </c>
      <c r="AU32" s="216">
        <f t="shared" si="9"/>
        <v>2.2360679774997898</v>
      </c>
      <c r="AV32" s="217">
        <f t="shared" si="10"/>
        <v>10.368348541764712</v>
      </c>
      <c r="AW32" s="216">
        <f t="shared" si="11"/>
        <v>0</v>
      </c>
      <c r="AX32" s="218">
        <f t="shared" si="12"/>
        <v>1.4831709199797398</v>
      </c>
      <c r="AY32" s="216">
        <f t="shared" si="13"/>
        <v>0.77643477842613629</v>
      </c>
      <c r="AZ32" s="217">
        <f t="shared" si="14"/>
        <v>3.5883638597441294</v>
      </c>
      <c r="BA32" s="216">
        <f t="shared" si="15"/>
        <v>0</v>
      </c>
      <c r="BB32" s="216">
        <f t="shared" si="16"/>
        <v>1.0016542390239327</v>
      </c>
      <c r="BC32" s="216">
        <f t="shared" si="17"/>
        <v>1</v>
      </c>
    </row>
    <row r="33" spans="1:55" ht="20.100000000000001" customHeight="1" x14ac:dyDescent="0.2">
      <c r="A33" s="45">
        <v>0.75</v>
      </c>
      <c r="B33" s="451"/>
      <c r="C33" s="451"/>
      <c r="D33" s="451">
        <v>5.7</v>
      </c>
      <c r="E33" s="451">
        <v>61.9</v>
      </c>
      <c r="F33" s="41">
        <v>1978</v>
      </c>
      <c r="G33" s="37">
        <v>-5.5</v>
      </c>
      <c r="H33" s="37">
        <v>72.099999999999994</v>
      </c>
      <c r="I33" s="37">
        <v>22.7</v>
      </c>
      <c r="J33" s="41">
        <v>695</v>
      </c>
      <c r="K33" s="37">
        <v>13</v>
      </c>
      <c r="L33" s="451">
        <v>122</v>
      </c>
      <c r="M33" s="451">
        <v>225</v>
      </c>
      <c r="N33" s="451">
        <v>90</v>
      </c>
      <c r="O33" s="353">
        <v>40</v>
      </c>
      <c r="P33" s="353">
        <v>13</v>
      </c>
      <c r="Q33" s="353">
        <v>237.53</v>
      </c>
      <c r="R33" s="37"/>
      <c r="S33" s="508" t="str">
        <f>IF(Z33="",IF(AD33="","",AD33),CONCATENATE(TEXT(Z33,"[hh]:mm"),IF(AA33="",""," - "&amp;TEXT(AA33,"[hh]:mm")),IF(Y33="",""," "&amp;Y33&amp;"/")," "&amp;AD33))</f>
        <v/>
      </c>
      <c r="T33" s="508"/>
      <c r="U33" s="508"/>
      <c r="V33" s="508"/>
      <c r="X33" s="45">
        <v>0.75</v>
      </c>
      <c r="Y33" s="106"/>
      <c r="Z33" s="102"/>
      <c r="AA33" s="102"/>
      <c r="AB33" s="45" t="str">
        <f t="shared" si="18"/>
        <v/>
      </c>
      <c r="AC33" s="45" t="str">
        <f t="shared" si="1"/>
        <v/>
      </c>
      <c r="AD33" s="81"/>
      <c r="AE33" s="9" t="str">
        <f>IF(S33="","",IF(COUNTA(Z33:$Z$39)=1,IF(COUNTA(AD33:$AD$39)=1,""," ; "),IF(COUNTA(AD33:$AD$39)=1,IF(Z33="",""," ; ")," ; ")))</f>
        <v/>
      </c>
      <c r="AF33" s="9" t="str">
        <f t="shared" si="2"/>
        <v/>
      </c>
      <c r="AG33" s="90" t="str">
        <f t="shared" si="3"/>
        <v/>
      </c>
      <c r="AH33" s="204" t="s">
        <v>308</v>
      </c>
      <c r="AJ33" s="206">
        <f t="shared" ref="AJ33:AN39" si="21">AJ32</f>
        <v>500</v>
      </c>
      <c r="AK33" s="206">
        <f t="shared" si="21"/>
        <v>100</v>
      </c>
      <c r="AL33" s="206">
        <f t="shared" si="21"/>
        <v>2</v>
      </c>
      <c r="AM33" s="213">
        <f t="shared" si="21"/>
        <v>0.875</v>
      </c>
      <c r="AN33" s="214">
        <f t="shared" si="21"/>
        <v>0.63607464142166403</v>
      </c>
      <c r="AO33" s="215">
        <f t="shared" si="4"/>
        <v>-14.7</v>
      </c>
      <c r="AP33" s="216">
        <f t="shared" si="5"/>
        <v>1</v>
      </c>
      <c r="AQ33" s="216">
        <f t="shared" si="6"/>
        <v>1</v>
      </c>
      <c r="AR33" s="215">
        <f t="shared" si="20"/>
        <v>158.47</v>
      </c>
      <c r="AS33" s="216">
        <f t="shared" si="7"/>
        <v>0.9723448696087954</v>
      </c>
      <c r="AT33" s="216">
        <f t="shared" si="8"/>
        <v>1.2538510821608391</v>
      </c>
      <c r="AU33" s="216">
        <f t="shared" si="9"/>
        <v>2.2360679774997898</v>
      </c>
      <c r="AV33" s="217">
        <f t="shared" si="10"/>
        <v>10.368348541764712</v>
      </c>
      <c r="AW33" s="216">
        <f t="shared" si="11"/>
        <v>0</v>
      </c>
      <c r="AX33" s="218">
        <f t="shared" si="12"/>
        <v>1.4831709199797398</v>
      </c>
      <c r="AY33" s="216">
        <f t="shared" si="13"/>
        <v>0.77643477842613629</v>
      </c>
      <c r="AZ33" s="217">
        <f t="shared" si="14"/>
        <v>3.5883638597441294</v>
      </c>
      <c r="BA33" s="216">
        <f t="shared" si="15"/>
        <v>0</v>
      </c>
      <c r="BB33" s="216">
        <f t="shared" si="16"/>
        <v>1.0016542390239327</v>
      </c>
      <c r="BC33" s="216">
        <f t="shared" si="17"/>
        <v>1</v>
      </c>
    </row>
    <row r="34" spans="1:55" ht="20.100000000000001" customHeight="1" x14ac:dyDescent="0.2">
      <c r="A34" s="45">
        <v>0.79166666666666696</v>
      </c>
      <c r="B34" s="451"/>
      <c r="C34" s="451"/>
      <c r="D34" s="451">
        <v>5.4</v>
      </c>
      <c r="E34" s="451">
        <v>63.2</v>
      </c>
      <c r="F34" s="41">
        <v>1945</v>
      </c>
      <c r="G34" s="37">
        <v>-5.5</v>
      </c>
      <c r="H34" s="37">
        <v>72.3</v>
      </c>
      <c r="I34" s="37">
        <v>22.5</v>
      </c>
      <c r="J34" s="41">
        <v>696</v>
      </c>
      <c r="K34" s="37">
        <v>13</v>
      </c>
      <c r="L34" s="451">
        <v>122</v>
      </c>
      <c r="M34" s="451">
        <v>222</v>
      </c>
      <c r="N34" s="451">
        <v>90</v>
      </c>
      <c r="O34" s="353">
        <v>40</v>
      </c>
      <c r="P34" s="353">
        <v>13</v>
      </c>
      <c r="Q34" s="353">
        <v>237.53</v>
      </c>
      <c r="R34" s="37"/>
      <c r="S34" s="508" t="str">
        <f t="shared" ref="S34:S39" si="22">IF(Z34="",IF(AD34="","",AD34),CONCATENATE(TEXT(Z34,"[hh]:mm"),IF(AA34="",""," - "&amp;TEXT(AA34,"[hh]:mm")),IF(Y34="",""," "&amp;Y34&amp;"/")," "&amp;AD34))</f>
        <v/>
      </c>
      <c r="T34" s="508"/>
      <c r="U34" s="508"/>
      <c r="V34" s="508"/>
      <c r="X34" s="45">
        <v>0.79166666666666696</v>
      </c>
      <c r="Y34" s="106"/>
      <c r="Z34" s="102"/>
      <c r="AA34" s="102"/>
      <c r="AB34" s="45" t="str">
        <f t="shared" si="18"/>
        <v/>
      </c>
      <c r="AC34" s="45" t="str">
        <f t="shared" si="1"/>
        <v/>
      </c>
      <c r="AD34" s="81"/>
      <c r="AE34" s="9" t="str">
        <f>IF(S34="","",IF(COUNTA(Z34:$Z$39)=1,IF(COUNTA(AD34:$AD$39)=1,""," ; "),IF(COUNTA(AD34:$AD$39)=1,IF(Z34="",""," ; ")," ; ")))</f>
        <v/>
      </c>
      <c r="AF34" s="9" t="str">
        <f t="shared" si="2"/>
        <v/>
      </c>
      <c r="AG34" s="90" t="str">
        <f t="shared" si="3"/>
        <v/>
      </c>
      <c r="AH34" s="204" t="s">
        <v>314</v>
      </c>
      <c r="AJ34" s="206">
        <f t="shared" si="21"/>
        <v>500</v>
      </c>
      <c r="AK34" s="206">
        <f t="shared" si="21"/>
        <v>100</v>
      </c>
      <c r="AL34" s="206">
        <f t="shared" si="21"/>
        <v>2</v>
      </c>
      <c r="AM34" s="213">
        <f t="shared" si="21"/>
        <v>0.875</v>
      </c>
      <c r="AN34" s="214">
        <f t="shared" si="21"/>
        <v>0.63607464142166403</v>
      </c>
      <c r="AO34" s="215">
        <f t="shared" si="4"/>
        <v>-14.7</v>
      </c>
      <c r="AP34" s="216">
        <f t="shared" si="5"/>
        <v>1</v>
      </c>
      <c r="AQ34" s="216">
        <f t="shared" si="6"/>
        <v>1</v>
      </c>
      <c r="AR34" s="215">
        <f t="shared" si="20"/>
        <v>158.47</v>
      </c>
      <c r="AS34" s="216">
        <f t="shared" si="7"/>
        <v>0.9723448696087954</v>
      </c>
      <c r="AT34" s="216">
        <f t="shared" si="8"/>
        <v>1.2538510821608391</v>
      </c>
      <c r="AU34" s="216">
        <f t="shared" si="9"/>
        <v>2.2360679774997898</v>
      </c>
      <c r="AV34" s="217">
        <f t="shared" si="10"/>
        <v>10.368348541764712</v>
      </c>
      <c r="AW34" s="216">
        <f t="shared" si="11"/>
        <v>0</v>
      </c>
      <c r="AX34" s="218">
        <f t="shared" si="12"/>
        <v>1.4831709199797398</v>
      </c>
      <c r="AY34" s="216">
        <f t="shared" si="13"/>
        <v>0.77643477842613629</v>
      </c>
      <c r="AZ34" s="217">
        <f t="shared" si="14"/>
        <v>3.5883638597441294</v>
      </c>
      <c r="BA34" s="216">
        <f t="shared" si="15"/>
        <v>0</v>
      </c>
      <c r="BB34" s="216">
        <f t="shared" si="16"/>
        <v>1.0016542390239327</v>
      </c>
      <c r="BC34" s="216">
        <f t="shared" si="17"/>
        <v>1</v>
      </c>
    </row>
    <row r="35" spans="1:55" ht="20.100000000000001" customHeight="1" x14ac:dyDescent="0.2">
      <c r="A35" s="45">
        <v>0.83333333333333304</v>
      </c>
      <c r="B35" s="451"/>
      <c r="C35" s="451"/>
      <c r="D35" s="451">
        <v>5.3</v>
      </c>
      <c r="E35" s="451">
        <v>59.6</v>
      </c>
      <c r="F35" s="41">
        <v>1963</v>
      </c>
      <c r="G35" s="37">
        <v>-5.5</v>
      </c>
      <c r="H35" s="37">
        <v>72.599999999999994</v>
      </c>
      <c r="I35" s="37">
        <v>22.3</v>
      </c>
      <c r="J35" s="41">
        <v>697</v>
      </c>
      <c r="K35" s="37">
        <v>13</v>
      </c>
      <c r="L35" s="451">
        <v>120</v>
      </c>
      <c r="M35" s="451">
        <v>220</v>
      </c>
      <c r="N35" s="451">
        <v>90</v>
      </c>
      <c r="O35" s="353">
        <v>40</v>
      </c>
      <c r="P35" s="353">
        <v>13</v>
      </c>
      <c r="Q35" s="353">
        <v>237.53</v>
      </c>
      <c r="R35" s="37"/>
      <c r="S35" s="508" t="str">
        <f t="shared" si="22"/>
        <v/>
      </c>
      <c r="T35" s="508"/>
      <c r="U35" s="508"/>
      <c r="V35" s="508"/>
      <c r="X35" s="45">
        <v>0.83333333333333304</v>
      </c>
      <c r="Y35" s="106"/>
      <c r="Z35" s="102"/>
      <c r="AA35" s="102"/>
      <c r="AB35" s="45" t="str">
        <f t="shared" si="18"/>
        <v/>
      </c>
      <c r="AC35" s="45" t="str">
        <f t="shared" si="1"/>
        <v/>
      </c>
      <c r="AD35" s="81"/>
      <c r="AE35" s="9" t="str">
        <f>IF(S35="","",IF(COUNTA(Z35:$Z$39)=1,IF(COUNTA(AD35:$AD$39)=1,""," ; "),IF(COUNTA(AD35:$AD$39)=1,IF(Z35="",""," ; ")," ; ")))</f>
        <v/>
      </c>
      <c r="AF35" s="9" t="str">
        <f t="shared" si="2"/>
        <v/>
      </c>
      <c r="AG35" s="90" t="str">
        <f t="shared" si="3"/>
        <v/>
      </c>
      <c r="AH35" s="204" t="s">
        <v>227</v>
      </c>
      <c r="AJ35" s="206">
        <f t="shared" si="21"/>
        <v>500</v>
      </c>
      <c r="AK35" s="206">
        <f t="shared" si="21"/>
        <v>100</v>
      </c>
      <c r="AL35" s="206">
        <f t="shared" si="21"/>
        <v>2</v>
      </c>
      <c r="AM35" s="213">
        <f t="shared" si="21"/>
        <v>0.875</v>
      </c>
      <c r="AN35" s="214">
        <f t="shared" si="21"/>
        <v>0.63607464142166403</v>
      </c>
      <c r="AO35" s="215">
        <f t="shared" si="4"/>
        <v>-14.7</v>
      </c>
      <c r="AP35" s="216">
        <f t="shared" si="5"/>
        <v>1</v>
      </c>
      <c r="AQ35" s="216">
        <f t="shared" si="6"/>
        <v>1</v>
      </c>
      <c r="AR35" s="215">
        <f t="shared" si="20"/>
        <v>158.47</v>
      </c>
      <c r="AS35" s="216">
        <f t="shared" si="7"/>
        <v>0.9723448696087954</v>
      </c>
      <c r="AT35" s="216">
        <f t="shared" si="8"/>
        <v>1.2538510821608391</v>
      </c>
      <c r="AU35" s="216">
        <f t="shared" si="9"/>
        <v>2.2360679774997898</v>
      </c>
      <c r="AV35" s="217">
        <f t="shared" si="10"/>
        <v>10.368348541764712</v>
      </c>
      <c r="AW35" s="216">
        <f t="shared" si="11"/>
        <v>0</v>
      </c>
      <c r="AX35" s="218">
        <f t="shared" si="12"/>
        <v>1.4831709199797398</v>
      </c>
      <c r="AY35" s="216">
        <f t="shared" si="13"/>
        <v>0.77643477842613629</v>
      </c>
      <c r="AZ35" s="217">
        <f t="shared" si="14"/>
        <v>3.5883638597441294</v>
      </c>
      <c r="BA35" s="216">
        <f t="shared" si="15"/>
        <v>0</v>
      </c>
      <c r="BB35" s="216">
        <f t="shared" si="16"/>
        <v>1.0016542390239327</v>
      </c>
      <c r="BC35" s="216">
        <f t="shared" si="17"/>
        <v>1</v>
      </c>
    </row>
    <row r="36" spans="1:55" ht="20.100000000000001" customHeight="1" x14ac:dyDescent="0.2">
      <c r="A36" s="45">
        <v>0.875</v>
      </c>
      <c r="B36" s="451"/>
      <c r="C36" s="451"/>
      <c r="D36" s="451">
        <v>5.9</v>
      </c>
      <c r="E36" s="451">
        <v>59.5</v>
      </c>
      <c r="F36" s="41">
        <v>1950</v>
      </c>
      <c r="G36" s="37">
        <v>-5.5</v>
      </c>
      <c r="H36" s="37">
        <v>72.5</v>
      </c>
      <c r="I36" s="37">
        <v>22.6</v>
      </c>
      <c r="J36" s="41">
        <v>698</v>
      </c>
      <c r="K36" s="37">
        <v>13</v>
      </c>
      <c r="L36" s="451">
        <v>120</v>
      </c>
      <c r="M36" s="451">
        <v>220</v>
      </c>
      <c r="N36" s="451">
        <v>90</v>
      </c>
      <c r="O36" s="353">
        <v>40</v>
      </c>
      <c r="P36" s="353">
        <v>13</v>
      </c>
      <c r="Q36" s="353">
        <v>237.53</v>
      </c>
      <c r="R36" s="37"/>
      <c r="S36" s="508" t="str">
        <f t="shared" si="22"/>
        <v/>
      </c>
      <c r="T36" s="508"/>
      <c r="U36" s="508"/>
      <c r="V36" s="508"/>
      <c r="X36" s="45">
        <v>0.875</v>
      </c>
      <c r="Y36" s="106"/>
      <c r="Z36" s="102"/>
      <c r="AA36" s="102"/>
      <c r="AB36" s="45" t="str">
        <f t="shared" si="18"/>
        <v/>
      </c>
      <c r="AC36" s="45" t="str">
        <f t="shared" si="1"/>
        <v/>
      </c>
      <c r="AD36" s="81"/>
      <c r="AE36" s="9" t="str">
        <f>IF(S36="","",IF(COUNTA(Z36:$Z$39)=1,IF(COUNTA(AD36:$AD$39)=1,""," ; "),IF(COUNTA(AD36:$AD$39)=1,IF(Z36="",""," ; ")," ; ")))</f>
        <v/>
      </c>
      <c r="AF36" s="9" t="str">
        <f t="shared" si="2"/>
        <v/>
      </c>
      <c r="AG36" s="90" t="str">
        <f t="shared" si="3"/>
        <v/>
      </c>
      <c r="AH36" s="204" t="s">
        <v>309</v>
      </c>
      <c r="AJ36" s="206">
        <f t="shared" si="21"/>
        <v>500</v>
      </c>
      <c r="AK36" s="206">
        <f t="shared" si="21"/>
        <v>100</v>
      </c>
      <c r="AL36" s="206">
        <f t="shared" si="21"/>
        <v>2</v>
      </c>
      <c r="AM36" s="213">
        <f t="shared" si="21"/>
        <v>0.875</v>
      </c>
      <c r="AN36" s="214">
        <f t="shared" si="21"/>
        <v>0.63607464142166403</v>
      </c>
      <c r="AO36" s="215">
        <f t="shared" si="4"/>
        <v>-14.7</v>
      </c>
      <c r="AP36" s="216">
        <f t="shared" si="5"/>
        <v>1</v>
      </c>
      <c r="AQ36" s="216">
        <f t="shared" si="6"/>
        <v>1</v>
      </c>
      <c r="AR36" s="215">
        <f t="shared" si="20"/>
        <v>158.47</v>
      </c>
      <c r="AS36" s="216">
        <f t="shared" si="7"/>
        <v>0.9723448696087954</v>
      </c>
      <c r="AT36" s="216">
        <f t="shared" si="8"/>
        <v>1.2538510821608391</v>
      </c>
      <c r="AU36" s="216">
        <f t="shared" si="9"/>
        <v>2.2360679774997898</v>
      </c>
      <c r="AV36" s="217">
        <f t="shared" si="10"/>
        <v>10.368348541764712</v>
      </c>
      <c r="AW36" s="216">
        <f t="shared" si="11"/>
        <v>0</v>
      </c>
      <c r="AX36" s="218">
        <f t="shared" si="12"/>
        <v>1.4831709199797398</v>
      </c>
      <c r="AY36" s="216">
        <f t="shared" si="13"/>
        <v>0.77643477842613629</v>
      </c>
      <c r="AZ36" s="217">
        <f t="shared" si="14"/>
        <v>3.5883638597441294</v>
      </c>
      <c r="BA36" s="216">
        <f t="shared" si="15"/>
        <v>0</v>
      </c>
      <c r="BB36" s="216">
        <f t="shared" si="16"/>
        <v>1.0016542390239327</v>
      </c>
      <c r="BC36" s="216">
        <f t="shared" si="17"/>
        <v>1</v>
      </c>
    </row>
    <row r="37" spans="1:55" ht="20.100000000000001" customHeight="1" x14ac:dyDescent="0.2">
      <c r="A37" s="45">
        <v>0.91666666666666696</v>
      </c>
      <c r="B37" s="451"/>
      <c r="C37" s="451"/>
      <c r="D37" s="451">
        <v>5.5</v>
      </c>
      <c r="E37" s="451">
        <v>62.3</v>
      </c>
      <c r="F37" s="41">
        <v>1936</v>
      </c>
      <c r="G37" s="37">
        <v>-5.5</v>
      </c>
      <c r="H37" s="37">
        <v>72.3</v>
      </c>
      <c r="I37" s="37">
        <v>22.9</v>
      </c>
      <c r="J37" s="41">
        <v>699</v>
      </c>
      <c r="K37" s="37">
        <v>13</v>
      </c>
      <c r="L37" s="451">
        <v>120</v>
      </c>
      <c r="M37" s="451">
        <v>222</v>
      </c>
      <c r="N37" s="451">
        <v>90</v>
      </c>
      <c r="O37" s="353">
        <v>40</v>
      </c>
      <c r="P37" s="353">
        <v>12</v>
      </c>
      <c r="Q37" s="353">
        <v>228.29</v>
      </c>
      <c r="R37" s="37"/>
      <c r="S37" s="508" t="str">
        <f t="shared" si="22"/>
        <v/>
      </c>
      <c r="T37" s="508"/>
      <c r="U37" s="508"/>
      <c r="V37" s="508"/>
      <c r="X37" s="45">
        <v>0.91666666666666696</v>
      </c>
      <c r="Y37" s="106"/>
      <c r="Z37" s="102"/>
      <c r="AA37" s="102"/>
      <c r="AB37" s="45" t="str">
        <f t="shared" si="18"/>
        <v/>
      </c>
      <c r="AC37" s="45" t="str">
        <f t="shared" si="1"/>
        <v/>
      </c>
      <c r="AD37" s="81"/>
      <c r="AE37" s="9" t="str">
        <f>IF(S37="","",IF(COUNTA(Z37:$Z$39)=1,IF(COUNTA(AD37:$AD$39)=1,""," ; "),IF(COUNTA(AD37:$AD$39)=1,IF(Z37="",""," ; ")," ; ")))</f>
        <v/>
      </c>
      <c r="AF37" s="9" t="str">
        <f t="shared" si="2"/>
        <v/>
      </c>
      <c r="AG37" s="90" t="str">
        <f t="shared" si="3"/>
        <v/>
      </c>
      <c r="AH37" s="204" t="s">
        <v>319</v>
      </c>
      <c r="AJ37" s="206">
        <f t="shared" si="21"/>
        <v>500</v>
      </c>
      <c r="AK37" s="206">
        <f t="shared" si="21"/>
        <v>100</v>
      </c>
      <c r="AL37" s="206">
        <f t="shared" si="21"/>
        <v>2</v>
      </c>
      <c r="AM37" s="213">
        <f t="shared" si="21"/>
        <v>0.875</v>
      </c>
      <c r="AN37" s="214">
        <f t="shared" si="21"/>
        <v>0.63607464142166403</v>
      </c>
      <c r="AO37" s="215">
        <f t="shared" si="4"/>
        <v>-14.7</v>
      </c>
      <c r="AP37" s="216">
        <f t="shared" si="5"/>
        <v>1</v>
      </c>
      <c r="AQ37" s="216">
        <f t="shared" si="6"/>
        <v>1</v>
      </c>
      <c r="AR37" s="215">
        <f t="shared" si="20"/>
        <v>158.47</v>
      </c>
      <c r="AS37" s="216">
        <f t="shared" si="7"/>
        <v>0.9723448696087954</v>
      </c>
      <c r="AT37" s="216">
        <f t="shared" si="8"/>
        <v>1.2538510821608391</v>
      </c>
      <c r="AU37" s="216">
        <f t="shared" si="9"/>
        <v>2.2360679774997898</v>
      </c>
      <c r="AV37" s="217">
        <f t="shared" si="10"/>
        <v>10.368348541764712</v>
      </c>
      <c r="AW37" s="216">
        <f t="shared" si="11"/>
        <v>0</v>
      </c>
      <c r="AX37" s="218">
        <f t="shared" si="12"/>
        <v>1.4831709199797398</v>
      </c>
      <c r="AY37" s="216">
        <f t="shared" si="13"/>
        <v>0.77643477842613629</v>
      </c>
      <c r="AZ37" s="217">
        <f t="shared" si="14"/>
        <v>3.5883638597441294</v>
      </c>
      <c r="BA37" s="216">
        <f t="shared" si="15"/>
        <v>0</v>
      </c>
      <c r="BB37" s="216">
        <f t="shared" si="16"/>
        <v>1.0016542390239327</v>
      </c>
      <c r="BC37" s="216">
        <f t="shared" si="17"/>
        <v>1</v>
      </c>
    </row>
    <row r="38" spans="1:55" ht="20.100000000000001" customHeight="1" x14ac:dyDescent="0.2">
      <c r="A38" s="45">
        <v>0.95833333333333304</v>
      </c>
      <c r="B38" s="451"/>
      <c r="C38" s="451"/>
      <c r="D38" s="451">
        <v>5.3</v>
      </c>
      <c r="E38" s="451">
        <v>62.6</v>
      </c>
      <c r="F38" s="41">
        <v>1935</v>
      </c>
      <c r="G38" s="37">
        <v>-5.5</v>
      </c>
      <c r="H38" s="37">
        <v>72.900000000000006</v>
      </c>
      <c r="I38" s="37">
        <v>22.3</v>
      </c>
      <c r="J38" s="41">
        <v>700</v>
      </c>
      <c r="K38" s="37">
        <v>13</v>
      </c>
      <c r="L38" s="451">
        <v>122</v>
      </c>
      <c r="M38" s="451">
        <v>222</v>
      </c>
      <c r="N38" s="451">
        <v>90</v>
      </c>
      <c r="O38" s="353">
        <v>40</v>
      </c>
      <c r="P38" s="353">
        <v>12</v>
      </c>
      <c r="Q38" s="353">
        <v>228.29</v>
      </c>
      <c r="R38" s="37"/>
      <c r="S38" s="508" t="str">
        <f t="shared" si="22"/>
        <v/>
      </c>
      <c r="T38" s="508"/>
      <c r="U38" s="508"/>
      <c r="V38" s="508"/>
      <c r="X38" s="45">
        <v>0.95833333333333304</v>
      </c>
      <c r="Y38" s="106"/>
      <c r="Z38" s="102"/>
      <c r="AA38" s="102"/>
      <c r="AB38" s="45" t="str">
        <f t="shared" si="18"/>
        <v/>
      </c>
      <c r="AC38" s="45" t="str">
        <f t="shared" si="1"/>
        <v/>
      </c>
      <c r="AD38" s="81"/>
      <c r="AE38" s="9" t="str">
        <f>IF(S38="","",IF(COUNTA(Z38:$Z$39)=1,IF(COUNTA(AD38:$AD$39)=1,""," ; "),IF(COUNTA(AD38:$AD$39)=1,IF(Z38="",""," ; ")," ; ")))</f>
        <v/>
      </c>
      <c r="AF38" s="9" t="str">
        <f t="shared" si="2"/>
        <v/>
      </c>
      <c r="AG38" s="90" t="str">
        <f t="shared" si="3"/>
        <v/>
      </c>
      <c r="AH38" s="204" t="s">
        <v>219</v>
      </c>
      <c r="AJ38" s="206">
        <f t="shared" si="21"/>
        <v>500</v>
      </c>
      <c r="AK38" s="206">
        <f t="shared" si="21"/>
        <v>100</v>
      </c>
      <c r="AL38" s="206">
        <f t="shared" si="21"/>
        <v>2</v>
      </c>
      <c r="AM38" s="213">
        <f t="shared" si="21"/>
        <v>0.875</v>
      </c>
      <c r="AN38" s="214">
        <f t="shared" si="21"/>
        <v>0.63607464142166403</v>
      </c>
      <c r="AO38" s="215">
        <f t="shared" si="4"/>
        <v>-14.7</v>
      </c>
      <c r="AP38" s="216">
        <f t="shared" si="5"/>
        <v>1</v>
      </c>
      <c r="AQ38" s="216">
        <f t="shared" si="6"/>
        <v>1</v>
      </c>
      <c r="AR38" s="215">
        <f t="shared" si="20"/>
        <v>158.47</v>
      </c>
      <c r="AS38" s="216">
        <f t="shared" si="7"/>
        <v>0.9723448696087954</v>
      </c>
      <c r="AT38" s="216">
        <f t="shared" si="8"/>
        <v>1.2538510821608391</v>
      </c>
      <c r="AU38" s="216">
        <f t="shared" si="9"/>
        <v>2.2360679774997898</v>
      </c>
      <c r="AV38" s="217">
        <f t="shared" si="10"/>
        <v>10.368348541764712</v>
      </c>
      <c r="AW38" s="216">
        <f t="shared" si="11"/>
        <v>0</v>
      </c>
      <c r="AX38" s="218">
        <f t="shared" si="12"/>
        <v>1.4831709199797398</v>
      </c>
      <c r="AY38" s="216">
        <f t="shared" si="13"/>
        <v>0.77643477842613629</v>
      </c>
      <c r="AZ38" s="217">
        <f t="shared" si="14"/>
        <v>3.5883638597441294</v>
      </c>
      <c r="BA38" s="216">
        <f t="shared" si="15"/>
        <v>0</v>
      </c>
      <c r="BB38" s="216">
        <f t="shared" si="16"/>
        <v>1.0016542390239327</v>
      </c>
      <c r="BC38" s="216">
        <f t="shared" si="17"/>
        <v>1</v>
      </c>
    </row>
    <row r="39" spans="1:55" ht="20.100000000000001" customHeight="1" thickBot="1" x14ac:dyDescent="0.25">
      <c r="A39" s="46">
        <v>1</v>
      </c>
      <c r="B39" s="451"/>
      <c r="C39" s="451"/>
      <c r="D39" s="452">
        <v>6.9</v>
      </c>
      <c r="E39" s="452">
        <v>65.5</v>
      </c>
      <c r="F39" s="42">
        <v>1950</v>
      </c>
      <c r="G39" s="37">
        <v>-5.5</v>
      </c>
      <c r="H39" s="38">
        <v>72.5</v>
      </c>
      <c r="I39" s="37">
        <v>22.9</v>
      </c>
      <c r="J39" s="41">
        <v>701</v>
      </c>
      <c r="K39" s="37">
        <v>13</v>
      </c>
      <c r="L39" s="452">
        <v>122</v>
      </c>
      <c r="M39" s="452">
        <v>222</v>
      </c>
      <c r="N39" s="451">
        <v>90</v>
      </c>
      <c r="O39" s="353">
        <v>40</v>
      </c>
      <c r="P39" s="353">
        <v>13</v>
      </c>
      <c r="Q39" s="354">
        <v>237.53</v>
      </c>
      <c r="R39" s="38"/>
      <c r="S39" s="512" t="str">
        <f t="shared" si="22"/>
        <v/>
      </c>
      <c r="T39" s="512"/>
      <c r="U39" s="512"/>
      <c r="V39" s="512"/>
      <c r="X39" s="46">
        <v>1</v>
      </c>
      <c r="Y39" s="107"/>
      <c r="Z39" s="103"/>
      <c r="AA39" s="103"/>
      <c r="AB39" s="46" t="str">
        <f t="shared" si="18"/>
        <v/>
      </c>
      <c r="AC39" s="46" t="str">
        <f t="shared" si="1"/>
        <v/>
      </c>
      <c r="AD39" s="82"/>
      <c r="AE39" s="9" t="str">
        <f>IF(S39="","",IF(COUNTA(Z39:$Z$39)=1,IF(COUNTA(AD39:$AD$39)=1,""," ; "),IF(COUNTA(AD39:$AD$39)=1,IF(Z39="",""," ; ")," ; ")))</f>
        <v/>
      </c>
      <c r="AF39" s="9" t="str">
        <f t="shared" si="2"/>
        <v/>
      </c>
      <c r="AG39" s="90" t="str">
        <f t="shared" si="3"/>
        <v/>
      </c>
      <c r="AH39" s="204" t="s">
        <v>220</v>
      </c>
      <c r="AJ39" s="219">
        <f t="shared" si="21"/>
        <v>500</v>
      </c>
      <c r="AK39" s="219">
        <f t="shared" si="21"/>
        <v>100</v>
      </c>
      <c r="AL39" s="219">
        <f t="shared" si="21"/>
        <v>2</v>
      </c>
      <c r="AM39" s="220">
        <f t="shared" si="21"/>
        <v>0.875</v>
      </c>
      <c r="AN39" s="221">
        <f t="shared" si="21"/>
        <v>0.63607464142166403</v>
      </c>
      <c r="AO39" s="222">
        <f t="shared" si="4"/>
        <v>-14.7</v>
      </c>
      <c r="AP39" s="223">
        <f t="shared" si="5"/>
        <v>1</v>
      </c>
      <c r="AQ39" s="223">
        <f t="shared" si="6"/>
        <v>1</v>
      </c>
      <c r="AR39" s="222">
        <f t="shared" si="20"/>
        <v>158.47</v>
      </c>
      <c r="AS39" s="223">
        <f t="shared" si="7"/>
        <v>0.9723448696087954</v>
      </c>
      <c r="AT39" s="223">
        <f t="shared" si="8"/>
        <v>1.2538510821608391</v>
      </c>
      <c r="AU39" s="223">
        <f t="shared" si="9"/>
        <v>2.2360679774997898</v>
      </c>
      <c r="AV39" s="224">
        <f t="shared" si="10"/>
        <v>10.368348541764712</v>
      </c>
      <c r="AW39" s="223">
        <f t="shared" si="11"/>
        <v>0</v>
      </c>
      <c r="AX39" s="225">
        <f t="shared" si="12"/>
        <v>1.4831709199797398</v>
      </c>
      <c r="AY39" s="223">
        <f t="shared" si="13"/>
        <v>0.77643477842613629</v>
      </c>
      <c r="AZ39" s="224">
        <f t="shared" si="14"/>
        <v>3.5883638597441294</v>
      </c>
      <c r="BA39" s="223">
        <f t="shared" si="15"/>
        <v>0</v>
      </c>
      <c r="BB39" s="223">
        <f t="shared" si="16"/>
        <v>1.0016542390239327</v>
      </c>
      <c r="BC39" s="223">
        <f t="shared" si="17"/>
        <v>1</v>
      </c>
    </row>
    <row r="40" spans="1:55" ht="20.100000000000001" customHeight="1" thickBot="1" x14ac:dyDescent="0.3">
      <c r="A40" s="53" t="s">
        <v>11</v>
      </c>
      <c r="B40" s="453" t="str">
        <f>IFERROR(ROUND(AVERAGE(B16:B39),2),"")</f>
        <v/>
      </c>
      <c r="C40" s="453" t="str">
        <f>IFERROR(ROUND(AVERAGE(C16:C39),2),"")</f>
        <v/>
      </c>
      <c r="D40" s="453">
        <f>IFERROR(ROUND(AVERAGE(D16:D39),2),"")</f>
        <v>6.2</v>
      </c>
      <c r="E40" s="453">
        <f>IFERROR(ROUND(AVERAGE(E16:E39),2),"")</f>
        <v>60.8</v>
      </c>
      <c r="F40" s="55">
        <f>IFERROR(ROUND(AVERAGE(F16:F39),0),"")</f>
        <v>1946</v>
      </c>
      <c r="G40" s="54">
        <f>IFERROR(AVERAGE(G16:G39),"")</f>
        <v>-5.5</v>
      </c>
      <c r="H40" s="54">
        <f>IFERROR(AVERAGE(H16:H39),"")</f>
        <v>72.433333333333323</v>
      </c>
      <c r="I40" s="54">
        <f>IFERROR(AVERAGE(I16:I39),"")</f>
        <v>22.491666666666664</v>
      </c>
      <c r="J40" s="71"/>
      <c r="K40" s="111">
        <f>IFERROR(AVERAGE(K16:K39),"")</f>
        <v>13</v>
      </c>
      <c r="L40" s="453">
        <f t="shared" ref="L40:P40" si="23">IFERROR(ROUND(AVERAGE(L16:L39),1),"")</f>
        <v>123.9</v>
      </c>
      <c r="M40" s="453">
        <f t="shared" si="23"/>
        <v>222</v>
      </c>
      <c r="N40" s="453">
        <f t="shared" si="23"/>
        <v>90</v>
      </c>
      <c r="O40" s="456">
        <f t="shared" si="23"/>
        <v>40.200000000000003</v>
      </c>
      <c r="P40" s="456">
        <f t="shared" si="23"/>
        <v>12.4</v>
      </c>
      <c r="Q40" s="456">
        <f>IF($I$47=1,$M$49,$Q$44)</f>
        <v>229.4</v>
      </c>
      <c r="R40" s="54" t="str">
        <f>IFERROR(ROUND(AVERAGE(R16:R39),1),"")</f>
        <v/>
      </c>
      <c r="S40" s="509"/>
      <c r="T40" s="510"/>
      <c r="U40" s="510"/>
      <c r="V40" s="511"/>
      <c r="X40" s="99"/>
      <c r="Y40" s="99"/>
      <c r="Z40" s="99"/>
      <c r="AA40" s="99"/>
      <c r="AB40" s="104">
        <f>SUM(AB16:AB39)</f>
        <v>0</v>
      </c>
      <c r="AC40" s="104">
        <f>SUM(AC16:AC39)</f>
        <v>0</v>
      </c>
      <c r="AD40" s="92" t="str">
        <f>IF(OR(COUNTBLANK(D16:E39)+COUNTBLANK(O16:P39)=0,COUNTA(S16:V39)&lt;&gt;0),"","CEK : Blank Data - Remarks")</f>
        <v/>
      </c>
      <c r="AG40" s="90" t="str">
        <f>IF(COUNTIF(AG16:AG39,"")=COUNTA(AG16:AG39),"","CEK : Data Flowrate")</f>
        <v/>
      </c>
      <c r="AH40" s="204" t="s">
        <v>311</v>
      </c>
    </row>
    <row r="41" spans="1:55" ht="20.100000000000001" hidden="1" customHeight="1" thickBot="1" x14ac:dyDescent="0.3">
      <c r="A41" s="49" t="s">
        <v>12</v>
      </c>
      <c r="B41" s="52" t="str">
        <f>IF(COUNT(B16:B39)&gt;0,ROUND(MIN(B16:B39),2),"")</f>
        <v/>
      </c>
      <c r="C41" s="52" t="str">
        <f>IF(COUNT(C16:C39)&gt;0,ROUND(MIN(C16:C39),2),"")</f>
        <v/>
      </c>
      <c r="D41" s="52">
        <f>IF(COUNT(D16:D39)&gt;0,ROUND(MIN(D16:D39),2),"")</f>
        <v>5.3</v>
      </c>
      <c r="E41" s="52">
        <f>IF(COUNT(E16:E39)&gt;0,ROUND(MIN(E16:E39),2),"")</f>
        <v>57.7</v>
      </c>
      <c r="F41" s="51">
        <f>IF(COUNT(F16:F39)&gt;0,ROUND(MIN(F16:F39),0),"")</f>
        <v>1922</v>
      </c>
      <c r="G41" s="50">
        <f>IF(COUNT(G16:G39)&gt;0,MIN(G16:G39),"")</f>
        <v>-5.5</v>
      </c>
      <c r="H41" s="50">
        <f>IF(COUNT(H16:H39)&gt;0,MIN(H16:H39),"")</f>
        <v>72</v>
      </c>
      <c r="I41" s="50">
        <f>IF(COUNT(I16:I39)&gt;0,MIN(I16:I39),"")</f>
        <v>22</v>
      </c>
      <c r="J41" s="72"/>
      <c r="K41" s="50">
        <f>IF(COUNT(K16:K39)&gt;0,MIN(K16:K39),"")</f>
        <v>13</v>
      </c>
      <c r="L41" s="52">
        <f>IF(COUNT(L16:L39)&gt;0,ROUND(MIN(L16:L39),1),"")</f>
        <v>120</v>
      </c>
      <c r="M41" s="52">
        <f>IF(COUNT(M16:M39)&gt;0,ROUND(MIN(M16:M39),1),"")</f>
        <v>220</v>
      </c>
      <c r="N41" s="52">
        <f>IF(COUNT(N16:N39)&gt;0,ROUND(MIN(N16:N39),1),"")</f>
        <v>90</v>
      </c>
      <c r="O41" s="440">
        <f>IF(COUNT(O16:O39)&gt;0,ROUND(MIN(O16:O39),1),"")</f>
        <v>35</v>
      </c>
      <c r="P41" s="440">
        <f>IF(COUNT(P16:P39)&gt;0,ROUND(MIN(P16:P39),1),"")</f>
        <v>9</v>
      </c>
      <c r="Q41" s="440">
        <f>IF(COUNT(Q16:Q39)&gt;0,ROUND(MIN(Q16:Q39),4),"")</f>
        <v>197.95</v>
      </c>
      <c r="R41" s="121" t="str">
        <f>IF(COUNT(R16:R39)&gt;0,ROUND(MIN(R16:R39),1),"")</f>
        <v/>
      </c>
      <c r="S41" s="509"/>
      <c r="T41" s="510"/>
      <c r="U41" s="510"/>
      <c r="V41" s="511"/>
      <c r="X41" s="99"/>
      <c r="Y41" s="99"/>
      <c r="Z41" s="99"/>
      <c r="AA41" s="99"/>
      <c r="AB41" s="99"/>
      <c r="AC41" s="99"/>
      <c r="AH41" s="204" t="s">
        <v>318</v>
      </c>
    </row>
    <row r="42" spans="1:55" ht="20.100000000000001" hidden="1" customHeight="1" thickBot="1" x14ac:dyDescent="0.3">
      <c r="A42" s="21" t="s">
        <v>13</v>
      </c>
      <c r="B42" s="454" t="str">
        <f>IF(COUNT(B16:B39)&gt;0,ROUND(MAX(B16:B39),2),"")</f>
        <v/>
      </c>
      <c r="C42" s="454" t="str">
        <f>IF(COUNT(C16:C39)&gt;0,ROUND(MAX(C16:C39),2),"")</f>
        <v/>
      </c>
      <c r="D42" s="454">
        <f>IF(COUNT(D16:D39)&gt;0,ROUND(MAX(D16:D39),2),"")</f>
        <v>7.5</v>
      </c>
      <c r="E42" s="454">
        <f>IF(COUNT(E16:E39)&gt;0,ROUND(MAX(E16:E39),2),"")</f>
        <v>65.5</v>
      </c>
      <c r="F42" s="43">
        <f>IF(COUNT(F16:F39)&gt;0,ROUND(MAX(F16:F39),0),"")</f>
        <v>1978</v>
      </c>
      <c r="G42" s="39">
        <f>IF(COUNT(G16:G39)&gt;0,MAX(G16:G39),"")</f>
        <v>-5.5</v>
      </c>
      <c r="H42" s="39">
        <f>IF(COUNT(H16:H39)&gt;0,MAX(H16:H39),"")</f>
        <v>72.900000000000006</v>
      </c>
      <c r="I42" s="39">
        <f>IF(COUNT(I16:I39)&gt;0,MAX(I16:I39),"")</f>
        <v>22.9</v>
      </c>
      <c r="J42" s="43">
        <f>IF(COUNT(J16:J39)&gt;0,MAX(J16:J39),"")</f>
        <v>701</v>
      </c>
      <c r="K42" s="39">
        <f>IF(COUNT(K16:K39)&gt;0,MAX(K16:K39),"")</f>
        <v>13</v>
      </c>
      <c r="L42" s="454">
        <f>IF(COUNT(L16:L39)&gt;0,ROUND(MAX(L16:L39),1),"")</f>
        <v>129</v>
      </c>
      <c r="M42" s="454">
        <f>IF(COUNT(M16:M39)&gt;0,ROUND(MAX(M16:M39),1),"")</f>
        <v>227</v>
      </c>
      <c r="N42" s="454">
        <f>IF(COUNT(N16:N39)&gt;0,ROUND(MAX(N16:N39),1),"")</f>
        <v>90</v>
      </c>
      <c r="O42" s="441">
        <f>IF(COUNT(O16:O39)&gt;0,ROUND(MAX(O16:O39),1),"")</f>
        <v>45</v>
      </c>
      <c r="P42" s="441">
        <f>IF(COUNT(P16:P39)&gt;0,ROUND(MAX(P16:P39),1),"")</f>
        <v>13</v>
      </c>
      <c r="Q42" s="441">
        <f>IF(COUNT(Q16:Q39)&gt;0,ROUND(MAX(Q16:Q39),4),"")</f>
        <v>248.28</v>
      </c>
      <c r="R42" s="39" t="str">
        <f>IF(COUNT(R16:R39)&gt;0,ROUND(MAX(R16:R39),1),"")</f>
        <v/>
      </c>
      <c r="S42" s="509"/>
      <c r="T42" s="510"/>
      <c r="U42" s="510"/>
      <c r="V42" s="511"/>
      <c r="X42" s="99"/>
      <c r="Y42" s="99"/>
      <c r="Z42" s="99"/>
      <c r="AA42" s="99"/>
      <c r="AB42" s="99"/>
      <c r="AC42" s="99"/>
      <c r="AH42" s="204" t="s">
        <v>312</v>
      </c>
    </row>
    <row r="43" spans="1:55" ht="20.100000000000001" hidden="1" customHeight="1" x14ac:dyDescent="0.25">
      <c r="A43" s="109"/>
      <c r="B43" s="110">
        <f>COUNT(B16:B39)</f>
        <v>0</v>
      </c>
      <c r="C43" s="110">
        <f>COUNT(C16:C39)</f>
        <v>0</v>
      </c>
      <c r="D43" s="110">
        <f>COUNT(D16:D39)</f>
        <v>24</v>
      </c>
      <c r="E43" s="110">
        <f t="shared" ref="E43:H43" si="24">COUNT(E16:E39)</f>
        <v>24</v>
      </c>
      <c r="F43" s="110">
        <f t="shared" si="24"/>
        <v>24</v>
      </c>
      <c r="G43" s="110">
        <f t="shared" si="24"/>
        <v>24</v>
      </c>
      <c r="H43" s="110">
        <f t="shared" si="24"/>
        <v>24</v>
      </c>
      <c r="I43" s="110"/>
      <c r="J43" s="110"/>
      <c r="K43" s="110"/>
      <c r="L43" s="110">
        <f t="shared" ref="L43:Q43" si="25">COUNT(L16:L39)</f>
        <v>24</v>
      </c>
      <c r="M43" s="110">
        <f t="shared" si="25"/>
        <v>24</v>
      </c>
      <c r="N43" s="110">
        <f t="shared" si="25"/>
        <v>24</v>
      </c>
      <c r="O43" s="110">
        <f t="shared" si="25"/>
        <v>24</v>
      </c>
      <c r="P43" s="110">
        <f t="shared" si="25"/>
        <v>24</v>
      </c>
      <c r="Q43" s="110">
        <f t="shared" si="25"/>
        <v>24</v>
      </c>
      <c r="R43" s="110"/>
      <c r="S43" s="99"/>
      <c r="T43" s="99"/>
      <c r="U43" s="99"/>
      <c r="V43" s="99"/>
      <c r="X43" s="99"/>
      <c r="Y43" s="99"/>
      <c r="Z43" s="99"/>
      <c r="AA43" s="99"/>
      <c r="AB43" s="99"/>
      <c r="AC43" s="99"/>
      <c r="AD43" s="92" t="str">
        <f>IF(AND(D43=E43,D43=F43,D43=G43,D43=H43,D43=L43,D43=M43,D43=N43,D43=O43,D43=P43,D43=Q43),"","CEK : Data Content")</f>
        <v/>
      </c>
      <c r="AH43" s="204" t="s">
        <v>221</v>
      </c>
    </row>
    <row r="44" spans="1:55" s="6" customFormat="1" ht="15" customHeight="1" x14ac:dyDescent="0.25">
      <c r="J44" s="91" t="str">
        <f>IF(J1="PRINT","",IF(J42="","RH please ! !",""))</f>
        <v/>
      </c>
      <c r="L44" s="24"/>
      <c r="Q44" s="445">
        <f>IFERROR(ROUND(AVERAGE(Q16:Q39),4),"")</f>
        <v>232.4179</v>
      </c>
      <c r="AH44" s="204" t="s">
        <v>323</v>
      </c>
      <c r="AI44" s="7"/>
    </row>
    <row r="45" spans="1:55" s="6" customFormat="1" ht="15" customHeight="1" x14ac:dyDescent="0.25">
      <c r="L45" s="26" t="s">
        <v>290</v>
      </c>
      <c r="Q45" s="445"/>
      <c r="AH45" s="204" t="s">
        <v>288</v>
      </c>
      <c r="AI45" s="7"/>
    </row>
    <row r="46" spans="1:55" s="6" customFormat="1" ht="15" customHeight="1" x14ac:dyDescent="0.25">
      <c r="D46" s="443" t="s">
        <v>90</v>
      </c>
      <c r="E46" s="448" t="str">
        <f>IF(Schedule!C$30="","",Schedule!C$30)</f>
        <v/>
      </c>
      <c r="G46" s="61"/>
      <c r="H46" s="25" t="str">
        <f>IFERROR(IF(OR(I47="",I48="",I49=""),"WAKTU BELUM DI-ISI LENGKAP",IF(SUM(I48:I49)&lt;=1,"","CEK KEMBALI PENULISAN WAKTU SALAH")),"CEK KEMBALI PENULISAN WAKTU SALAH")</f>
        <v/>
      </c>
      <c r="L46" s="26" t="s">
        <v>22</v>
      </c>
      <c r="M46" s="460">
        <f>IF(Volume!$W29="",$O46,Volume!$W29)</f>
        <v>41.512300000000003</v>
      </c>
      <c r="N46" s="27" t="s">
        <v>1</v>
      </c>
      <c r="O46" s="447">
        <f>IF(O40="","",O40)</f>
        <v>40.200000000000003</v>
      </c>
      <c r="P46" s="361" t="s">
        <v>29</v>
      </c>
      <c r="Q46" s="362"/>
      <c r="R46" s="362"/>
      <c r="S46" s="362"/>
      <c r="T46" s="361" t="s">
        <v>30</v>
      </c>
      <c r="U46" s="362"/>
      <c r="V46" s="362"/>
      <c r="AH46" s="204" t="s">
        <v>222</v>
      </c>
    </row>
    <row r="47" spans="1:55" s="6" customFormat="1" ht="15" customHeight="1" x14ac:dyDescent="0.25">
      <c r="D47" s="448"/>
      <c r="E47" s="448"/>
      <c r="H47" s="26" t="s">
        <v>26</v>
      </c>
      <c r="I47" s="56">
        <f>IF(OR(I48="",I49=""),"",1-I48-I49)</f>
        <v>1</v>
      </c>
      <c r="J47" s="27" t="s">
        <v>19</v>
      </c>
      <c r="L47" s="26" t="s">
        <v>23</v>
      </c>
      <c r="M47" s="442">
        <f>IF(Volume!$Y29="",$O47,Volume!$Y29)</f>
        <v>12.2836</v>
      </c>
      <c r="N47" s="27" t="s">
        <v>14</v>
      </c>
      <c r="O47" s="447">
        <f>IF(P40="","",P40)</f>
        <v>12.4</v>
      </c>
      <c r="P47" s="361" t="s">
        <v>211</v>
      </c>
      <c r="Q47" s="362"/>
      <c r="R47" s="362"/>
      <c r="S47" s="362"/>
      <c r="T47" s="361" t="s">
        <v>271</v>
      </c>
      <c r="U47" s="362"/>
      <c r="V47" s="362"/>
      <c r="AH47" s="204" t="s">
        <v>223</v>
      </c>
    </row>
    <row r="48" spans="1:55" s="6" customFormat="1" ht="15" customHeight="1" x14ac:dyDescent="0.25">
      <c r="D48" s="443" t="s">
        <v>91</v>
      </c>
      <c r="E48" s="448" t="str">
        <f>IF(Schedule!D$30="","",Schedule!D$30)</f>
        <v/>
      </c>
      <c r="H48" s="26" t="s">
        <v>37</v>
      </c>
      <c r="I48" s="108">
        <f>IF(OR(COUNT($Q$16:$Q$39)&lt;&gt;0,COUNTA($AD$16:$AD$39)&lt;&gt;0),AB40,"")</f>
        <v>0</v>
      </c>
      <c r="J48" s="27" t="s">
        <v>19</v>
      </c>
      <c r="L48" s="26" t="s">
        <v>24</v>
      </c>
      <c r="M48" s="449">
        <f>IF(N40="","",N40)</f>
        <v>90</v>
      </c>
      <c r="N48" s="27" t="s">
        <v>5</v>
      </c>
      <c r="P48" s="362"/>
      <c r="Q48" s="362"/>
      <c r="R48" s="362"/>
      <c r="S48" s="362"/>
      <c r="T48" s="361" t="s">
        <v>291</v>
      </c>
      <c r="U48" s="362"/>
      <c r="V48" s="362"/>
      <c r="AH48" s="204" t="s">
        <v>324</v>
      </c>
    </row>
    <row r="49" spans="1:34" s="6" customFormat="1" ht="15" customHeight="1" x14ac:dyDescent="0.25">
      <c r="D49" s="448"/>
      <c r="E49" s="448"/>
      <c r="H49" s="26" t="s">
        <v>27</v>
      </c>
      <c r="I49" s="108">
        <f>IF(OR(COUNT($Q$16:$Q$39)&lt;&gt;0,COUNTA($AD$16:$AD$39)&lt;&gt;0),AC40,"")</f>
        <v>0</v>
      </c>
      <c r="J49" s="27" t="s">
        <v>19</v>
      </c>
      <c r="L49" s="26" t="s">
        <v>128</v>
      </c>
      <c r="M49" s="442">
        <f>IF(Volume!$L29="",M51,Volume!$L29)</f>
        <v>229.4</v>
      </c>
      <c r="N49" s="27" t="str">
        <f>IF(Q15="MSCFD","MSCF","MMSCF")</f>
        <v>MSCF</v>
      </c>
      <c r="P49" s="362"/>
      <c r="Q49" s="362"/>
      <c r="R49" s="362"/>
      <c r="S49" s="362"/>
      <c r="T49" s="362"/>
      <c r="U49" s="362"/>
      <c r="V49" s="362"/>
      <c r="AH49" s="204" t="s">
        <v>317</v>
      </c>
    </row>
    <row r="50" spans="1:34" s="6" customFormat="1" ht="15" customHeight="1" x14ac:dyDescent="0.25">
      <c r="D50" s="443" t="s">
        <v>92</v>
      </c>
      <c r="E50" s="448" t="str">
        <f>IF(Schedule!E$30="","",Schedule!E$30)</f>
        <v>Marihot Gustafa S.</v>
      </c>
      <c r="L50" s="443" t="str">
        <f>CONCATENATE(MR!L16," ",":")</f>
        <v>Liquid Gain :</v>
      </c>
      <c r="M50" s="446" t="str">
        <f>IF(R40="","",ROUND(SUM(R16:R39),2))</f>
        <v/>
      </c>
      <c r="N50" s="444" t="str">
        <f>R15</f>
        <v>BPD</v>
      </c>
      <c r="P50" s="362"/>
      <c r="Q50" s="362"/>
      <c r="R50" s="362"/>
      <c r="S50" s="362"/>
      <c r="T50" s="362"/>
      <c r="U50" s="362"/>
      <c r="V50" s="362"/>
      <c r="AH50" s="204" t="s">
        <v>282</v>
      </c>
    </row>
    <row r="51" spans="1:34" s="6" customFormat="1" ht="15" customHeight="1" x14ac:dyDescent="0.25">
      <c r="A51" s="4"/>
      <c r="L51" s="443" t="s">
        <v>286</v>
      </c>
      <c r="M51" s="447">
        <f>IF(Q44="","",IF(SUM(I48:I49)=1,IF(Q44&lt;&gt;0,"Cek Tabel",""),ROUND(Q44*I47,4)))</f>
        <v>232.4179</v>
      </c>
      <c r="N51" s="444" t="str">
        <f>IF(Q15="MSCFD","MSCF","MMSCF")</f>
        <v>MSCF</v>
      </c>
      <c r="P51" s="362"/>
      <c r="Q51" s="362"/>
      <c r="R51" s="362"/>
      <c r="S51" s="362"/>
      <c r="T51" s="362"/>
      <c r="U51" s="362"/>
      <c r="V51" s="362"/>
      <c r="AH51" s="204" t="s">
        <v>325</v>
      </c>
    </row>
    <row r="52" spans="1:34" s="6" customFormat="1" ht="15" customHeight="1" x14ac:dyDescent="0.25">
      <c r="D52" s="26" t="s">
        <v>28</v>
      </c>
      <c r="E52" s="47"/>
      <c r="F52" s="47"/>
      <c r="G52" s="47"/>
      <c r="H52" s="47"/>
      <c r="I52" s="47"/>
      <c r="J52" s="47"/>
      <c r="K52" s="47"/>
      <c r="L52" s="5"/>
      <c r="P52" s="362"/>
      <c r="Q52" s="362"/>
      <c r="R52" s="362"/>
      <c r="S52" s="362"/>
      <c r="T52" s="362"/>
      <c r="U52" s="362"/>
      <c r="V52" s="362"/>
      <c r="AH52" s="204" t="s">
        <v>280</v>
      </c>
    </row>
    <row r="53" spans="1:34" s="6" customFormat="1" ht="15" customHeight="1" x14ac:dyDescent="0.25">
      <c r="D53" s="5"/>
      <c r="E53" s="48"/>
      <c r="F53" s="48"/>
      <c r="G53" s="48"/>
      <c r="H53" s="48"/>
      <c r="I53" s="48"/>
      <c r="J53" s="48"/>
      <c r="K53" s="48"/>
      <c r="L53" s="5"/>
      <c r="P53" s="363" t="str">
        <f>UPPER(E50)</f>
        <v>MARIHOT GUSTAFA S.</v>
      </c>
      <c r="Q53" s="362"/>
      <c r="R53" s="362"/>
      <c r="S53" s="362"/>
      <c r="T53" s="363" t="str">
        <f>IF(Schedule!F$30="","",UPPER(Schedule!F$30))</f>
        <v>SAPUAN</v>
      </c>
      <c r="U53" s="362"/>
      <c r="V53" s="362"/>
      <c r="AH53" s="204" t="s">
        <v>316</v>
      </c>
    </row>
    <row r="54" spans="1:34" s="6" customFormat="1" ht="15" customHeight="1" x14ac:dyDescent="0.25">
      <c r="E54" s="48"/>
      <c r="F54" s="48"/>
      <c r="G54" s="48"/>
      <c r="H54" s="48"/>
      <c r="I54" s="48"/>
      <c r="J54" s="48"/>
      <c r="K54" s="48"/>
      <c r="P54" s="361" t="s">
        <v>107</v>
      </c>
      <c r="Q54" s="362"/>
      <c r="R54" s="362"/>
      <c r="S54" s="362"/>
      <c r="T54" s="361" t="s">
        <v>294</v>
      </c>
      <c r="U54" s="362"/>
      <c r="V54" s="362"/>
      <c r="AH54" s="204" t="s">
        <v>326</v>
      </c>
    </row>
    <row r="55" spans="1:34" s="6" customFormat="1" ht="15" customHeight="1" x14ac:dyDescent="0.25">
      <c r="P55" s="364" t="str">
        <f>CONCATENATE("Date : ",TEXT(K12,"[$-409]d mmm yyyy;@"))</f>
        <v>Date : 26 Jun 2025</v>
      </c>
      <c r="Q55" s="362"/>
      <c r="R55" s="364"/>
      <c r="S55" s="362"/>
      <c r="T55" s="364" t="str">
        <f>CONCATENATE("Date : ",TEXT(K12,"[$-409]d mmm yyyy;@"))</f>
        <v>Date : 26 Jun 2025</v>
      </c>
      <c r="U55" s="362"/>
      <c r="V55" s="362"/>
      <c r="AH55" s="204" t="s">
        <v>327</v>
      </c>
    </row>
    <row r="56" spans="1:34" ht="15" customHeight="1" x14ac:dyDescent="0.25">
      <c r="AH56" s="204" t="s">
        <v>281</v>
      </c>
    </row>
    <row r="57" spans="1:34" ht="15" customHeight="1" x14ac:dyDescent="0.25">
      <c r="AH57" s="204" t="s">
        <v>277</v>
      </c>
    </row>
    <row r="58" spans="1:34" ht="15" customHeight="1" x14ac:dyDescent="0.25">
      <c r="AH58" s="204" t="s">
        <v>328</v>
      </c>
    </row>
    <row r="59" spans="1:34" ht="15" customHeight="1" x14ac:dyDescent="0.25">
      <c r="AH59" s="204" t="s">
        <v>329</v>
      </c>
    </row>
    <row r="60" spans="1:34" ht="15" customHeight="1" x14ac:dyDescent="0.25">
      <c r="AH60" s="204" t="s">
        <v>330</v>
      </c>
    </row>
    <row r="61" spans="1:34" ht="15" customHeight="1" x14ac:dyDescent="0.25">
      <c r="AH61" s="204" t="s">
        <v>331</v>
      </c>
    </row>
    <row r="62" spans="1:34" ht="15" customHeight="1" x14ac:dyDescent="0.25">
      <c r="AH62" s="204" t="s">
        <v>332</v>
      </c>
    </row>
    <row r="63" spans="1:34" ht="15" customHeight="1" x14ac:dyDescent="0.25">
      <c r="AH63" s="204" t="s">
        <v>315</v>
      </c>
    </row>
    <row r="64" spans="1:34" ht="15" customHeight="1" x14ac:dyDescent="0.25">
      <c r="AH64" s="204" t="s">
        <v>333</v>
      </c>
    </row>
    <row r="65" spans="34:34" ht="15" customHeight="1" x14ac:dyDescent="0.25">
      <c r="AH65" s="204" t="s">
        <v>310</v>
      </c>
    </row>
    <row r="66" spans="34:34" ht="15" customHeight="1" x14ac:dyDescent="0.25">
      <c r="AH66" s="204" t="s">
        <v>334</v>
      </c>
    </row>
    <row r="67" spans="34:34" ht="15" customHeight="1" x14ac:dyDescent="0.25">
      <c r="AH67" s="204" t="s">
        <v>335</v>
      </c>
    </row>
    <row r="68" spans="34:34" ht="15" customHeight="1" x14ac:dyDescent="0.25">
      <c r="AH68" s="204" t="s">
        <v>336</v>
      </c>
    </row>
    <row r="69" spans="34:34" ht="15" customHeight="1" x14ac:dyDescent="0.25">
      <c r="AH69" s="204" t="s">
        <v>337</v>
      </c>
    </row>
    <row r="70" spans="34:34" ht="15" customHeight="1" x14ac:dyDescent="0.25">
      <c r="AH70" s="204" t="s">
        <v>338</v>
      </c>
    </row>
    <row r="71" spans="34:34" ht="15" customHeight="1" x14ac:dyDescent="0.25">
      <c r="AH71" s="204" t="s">
        <v>339</v>
      </c>
    </row>
    <row r="72" spans="34:34" ht="15" customHeight="1" x14ac:dyDescent="0.25">
      <c r="AH72" s="204" t="s">
        <v>340</v>
      </c>
    </row>
    <row r="85" spans="34:34" ht="0" hidden="1" customHeight="1" x14ac:dyDescent="0.25">
      <c r="AH85" s="6"/>
    </row>
    <row r="86" spans="34:34" ht="0" hidden="1" customHeight="1" x14ac:dyDescent="0.25">
      <c r="AH86" s="6"/>
    </row>
    <row r="87" spans="34:34" ht="0" hidden="1" customHeight="1" x14ac:dyDescent="0.25">
      <c r="AH87" s="6"/>
    </row>
    <row r="88" spans="34:34" ht="0" hidden="1" customHeight="1" x14ac:dyDescent="0.25">
      <c r="AH88" s="6"/>
    </row>
    <row r="89" spans="34:34" ht="0" hidden="1" customHeight="1" x14ac:dyDescent="0.25">
      <c r="AH89" s="6"/>
    </row>
    <row r="90" spans="34:34" ht="0" hidden="1" customHeight="1" x14ac:dyDescent="0.25">
      <c r="AH90" s="6"/>
    </row>
    <row r="91" spans="34:34" ht="0" hidden="1" customHeight="1" x14ac:dyDescent="0.25">
      <c r="AH91" s="6"/>
    </row>
    <row r="92" spans="34:34" ht="0" hidden="1" customHeight="1" x14ac:dyDescent="0.25">
      <c r="AH92" s="6"/>
    </row>
    <row r="93" spans="34:34" ht="0" hidden="1" customHeight="1" x14ac:dyDescent="0.25">
      <c r="AH93" s="6"/>
    </row>
    <row r="94" spans="34:34" ht="0" hidden="1" customHeight="1" x14ac:dyDescent="0.25">
      <c r="AH94" s="6"/>
    </row>
  </sheetData>
  <sheetProtection algorithmName="SHA-512" hashValue="yW3ZJaK4438aBSgSGEkXVtcdmrpDjxmQcsQ2VNnczrkTW8l27PYxZZn3+63y8U7ACCm70xpXzD43C4k3EECVng==" saltValue="C1n2vDocRcGw+0eXL8biNQ==" spinCount="100000" sheet="1" objects="1" scenarios="1" formatColumns="0" formatRows="0" insertColumns="0" insertRows="0" sort="0" autoFilter="0" pivotTables="0"/>
  <mergeCells count="69">
    <mergeCell ref="S37:V37"/>
    <mergeCell ref="S38:V38"/>
    <mergeCell ref="S39:V39"/>
    <mergeCell ref="S40:V40"/>
    <mergeCell ref="S41:V42"/>
    <mergeCell ref="S36:V36"/>
    <mergeCell ref="S25:V25"/>
    <mergeCell ref="S26:V26"/>
    <mergeCell ref="S27:V27"/>
    <mergeCell ref="S28:V28"/>
    <mergeCell ref="S29:V29"/>
    <mergeCell ref="S30:V30"/>
    <mergeCell ref="S31:V31"/>
    <mergeCell ref="S32:V32"/>
    <mergeCell ref="S33:V33"/>
    <mergeCell ref="S34:V34"/>
    <mergeCell ref="S35:V35"/>
    <mergeCell ref="S19:V19"/>
    <mergeCell ref="S20:V20"/>
    <mergeCell ref="S21:V21"/>
    <mergeCell ref="S22:V22"/>
    <mergeCell ref="S23:V23"/>
    <mergeCell ref="S24:V24"/>
    <mergeCell ref="BA14:BA15"/>
    <mergeCell ref="BB14:BB15"/>
    <mergeCell ref="BC14:BC15"/>
    <mergeCell ref="S16:V16"/>
    <mergeCell ref="S17:V17"/>
    <mergeCell ref="S18:V18"/>
    <mergeCell ref="AU14:AU15"/>
    <mergeCell ref="AV14:AV15"/>
    <mergeCell ref="AW14:AW15"/>
    <mergeCell ref="AX14:AX15"/>
    <mergeCell ref="AY14:AY15"/>
    <mergeCell ref="AZ14:AZ15"/>
    <mergeCell ref="AO14:AO15"/>
    <mergeCell ref="AP14:AP15"/>
    <mergeCell ref="AQ14:AQ15"/>
    <mergeCell ref="AR14:AR15"/>
    <mergeCell ref="AS14:AS15"/>
    <mergeCell ref="AT14:AT15"/>
    <mergeCell ref="AD14:AD15"/>
    <mergeCell ref="AJ14:AJ15"/>
    <mergeCell ref="AK14:AK15"/>
    <mergeCell ref="AL14:AL15"/>
    <mergeCell ref="AM14:AM15"/>
    <mergeCell ref="AN14:AN15"/>
    <mergeCell ref="Y14:AC14"/>
    <mergeCell ref="H13:H14"/>
    <mergeCell ref="I13:I14"/>
    <mergeCell ref="J13:J14"/>
    <mergeCell ref="K13:K14"/>
    <mergeCell ref="L13:L14"/>
    <mergeCell ref="M13:N13"/>
    <mergeCell ref="Q13:Q14"/>
    <mergeCell ref="R13:R14"/>
    <mergeCell ref="S13:V15"/>
    <mergeCell ref="O13:O14"/>
    <mergeCell ref="P13:P14"/>
    <mergeCell ref="A10:V10"/>
    <mergeCell ref="A11:V11"/>
    <mergeCell ref="K12:L12"/>
    <mergeCell ref="A13:A15"/>
    <mergeCell ref="B13:B14"/>
    <mergeCell ref="C13:C14"/>
    <mergeCell ref="D13:D14"/>
    <mergeCell ref="E13:E14"/>
    <mergeCell ref="F13:F14"/>
    <mergeCell ref="G13:G14"/>
  </mergeCells>
  <conditionalFormatting sqref="I47">
    <cfRule type="cellIs" dxfId="26" priority="5" operator="lessThan">
      <formula>0</formula>
    </cfRule>
  </conditionalFormatting>
  <conditionalFormatting sqref="Y16:Y39">
    <cfRule type="containsText" dxfId="25" priority="3" operator="containsText" text="STBY">
      <formula>NOT(ISERROR(SEARCH("STBY",Y16)))</formula>
    </cfRule>
    <cfRule type="containsText" dxfId="24" priority="4" operator="containsText" text="SD">
      <formula>NOT(ISERROR(SEARCH("SD",Y16)))</formula>
    </cfRule>
  </conditionalFormatting>
  <conditionalFormatting sqref="B16:B39 D16:R39">
    <cfRule type="expression" dxfId="23" priority="2">
      <formula>ISTEXT(B16)</formula>
    </cfRule>
  </conditionalFormatting>
  <conditionalFormatting sqref="C16:C39">
    <cfRule type="expression" dxfId="22" priority="1">
      <formula>ISTEXT(C16)</formula>
    </cfRule>
  </conditionalFormatting>
  <dataValidations count="2">
    <dataValidation type="list" allowBlank="1" showInputMessage="1" showErrorMessage="1" sqref="Y16:Y39" xr:uid="{D748CDAF-09D2-4D0C-BFA5-DFE43E31E710}">
      <formula1>"SD,STBY"</formula1>
    </dataValidation>
    <dataValidation type="list" allowBlank="1" showInputMessage="1" sqref="AD16:AD39" xr:uid="{E1CBB125-6068-40E9-99C2-73710BAAC95E}">
      <formula1>$AH$15:$AH$72</formula1>
    </dataValidation>
  </dataValidations>
  <printOptions horizontalCentered="1"/>
  <pageMargins left="0.39370078740157483" right="0.39370078740157483" top="0.59055118110236227" bottom="0.39370078740157483" header="0.31496062992125984" footer="0.31496062992125984"/>
  <pageSetup paperSize="9" scale="57" orientation="landscape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B26FB-B074-4DDA-86A1-29A210F4EFB1}">
  <sheetPr codeName="N27">
    <pageSetUpPr fitToPage="1"/>
  </sheetPr>
  <dimension ref="A1:BC94"/>
  <sheetViews>
    <sheetView topLeftCell="A16" zoomScale="85" zoomScaleNormal="85" workbookViewId="0">
      <selection activeCell="L36" sqref="L36"/>
    </sheetView>
  </sheetViews>
  <sheetFormatPr defaultColWidth="0" defaultRowHeight="0" customHeight="1" zeroHeight="1" x14ac:dyDescent="0.25"/>
  <cols>
    <col min="1" max="1" width="10.7109375" style="7" customWidth="1"/>
    <col min="2" max="3" width="10.7109375" style="7" hidden="1" customWidth="1"/>
    <col min="4" max="14" width="10.7109375" style="7" customWidth="1"/>
    <col min="15" max="17" width="11.7109375" style="7" customWidth="1"/>
    <col min="18" max="18" width="10.7109375" style="7" hidden="1" customWidth="1"/>
    <col min="19" max="22" width="10.7109375" style="7" customWidth="1"/>
    <col min="23" max="23" width="2.7109375" style="7" customWidth="1"/>
    <col min="24" max="29" width="10.7109375" style="7" customWidth="1"/>
    <col min="30" max="30" width="30.7109375" style="7" customWidth="1"/>
    <col min="31" max="33" width="11.7109375" style="7" customWidth="1"/>
    <col min="34" max="34" width="30.7109375" style="7" customWidth="1"/>
    <col min="35" max="35" width="2.7109375" style="7" hidden="1" customWidth="1"/>
    <col min="36" max="55" width="11.7109375" style="7" hidden="1" customWidth="1"/>
    <col min="56" max="16384" width="9.140625" style="7" hidden="1"/>
  </cols>
  <sheetData>
    <row r="1" spans="1:55" ht="15" customHeight="1" x14ac:dyDescent="0.25">
      <c r="A1" s="7" t="s">
        <v>16</v>
      </c>
      <c r="D1" s="11" t="s">
        <v>85</v>
      </c>
      <c r="J1" s="7" t="str">
        <f>IF(MR!U13="Yes","PRINT","No")</f>
        <v>PRINT</v>
      </c>
      <c r="M1" s="191"/>
      <c r="N1" s="191"/>
    </row>
    <row r="2" spans="1:55" ht="15" customHeight="1" thickBot="1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192"/>
      <c r="M2" s="4"/>
      <c r="N2" s="4"/>
      <c r="O2" s="4"/>
      <c r="P2" s="4"/>
      <c r="Q2" s="4"/>
      <c r="R2" s="4"/>
      <c r="S2" s="8"/>
      <c r="T2" s="8"/>
      <c r="U2" s="8"/>
      <c r="V2" s="8"/>
      <c r="X2" s="8"/>
      <c r="Y2" s="8"/>
      <c r="Z2" s="8"/>
      <c r="AA2" s="8"/>
      <c r="AB2" s="8"/>
      <c r="AC2" s="8"/>
      <c r="AD2" s="8"/>
      <c r="AE2" s="8"/>
    </row>
    <row r="3" spans="1:55" ht="15" customHeight="1" x14ac:dyDescent="0.2">
      <c r="A3" s="31"/>
      <c r="B3" s="28"/>
      <c r="C3" s="28"/>
      <c r="D3" s="28"/>
      <c r="E3" s="28"/>
      <c r="F3" s="13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2"/>
      <c r="T3" s="22"/>
      <c r="U3" s="22"/>
      <c r="V3" s="23"/>
      <c r="X3" s="8"/>
      <c r="Y3" s="8"/>
      <c r="Z3" s="8"/>
      <c r="AA3" s="8"/>
      <c r="AB3" s="8"/>
      <c r="AC3" s="8"/>
      <c r="AD3" s="8"/>
      <c r="AE3" s="8"/>
    </row>
    <row r="4" spans="1:55" ht="30" customHeight="1" x14ac:dyDescent="0.25">
      <c r="A4" s="30"/>
      <c r="B4" s="1"/>
      <c r="C4" s="1"/>
      <c r="D4" s="1"/>
      <c r="E4" s="3"/>
      <c r="F4" s="63" t="s">
        <v>210</v>
      </c>
      <c r="G4" s="1"/>
      <c r="H4" s="1"/>
      <c r="I4" s="3"/>
      <c r="J4" s="3"/>
      <c r="K4" s="3"/>
      <c r="L4" s="3"/>
      <c r="M4" s="3"/>
      <c r="N4" s="3"/>
      <c r="O4" s="3"/>
      <c r="P4" s="3"/>
      <c r="Q4" s="3"/>
      <c r="R4" s="3"/>
      <c r="S4" s="1"/>
      <c r="T4" s="1"/>
      <c r="U4" s="1"/>
      <c r="V4" s="2"/>
      <c r="X4" s="5"/>
      <c r="Y4" s="5"/>
      <c r="Z4" s="5"/>
      <c r="AA4" s="5"/>
      <c r="AB4" s="5"/>
      <c r="AC4" s="5"/>
      <c r="AD4" s="5"/>
      <c r="AE4" s="5"/>
    </row>
    <row r="5" spans="1:55" ht="15" customHeight="1" x14ac:dyDescent="0.2">
      <c r="A5" s="32"/>
      <c r="B5" s="33"/>
      <c r="C5" s="33"/>
      <c r="D5" s="12"/>
      <c r="E5" s="3"/>
      <c r="F5" s="10" t="s">
        <v>129</v>
      </c>
      <c r="G5" s="1"/>
      <c r="H5" s="1"/>
      <c r="I5" s="3"/>
      <c r="J5" s="3"/>
      <c r="K5" s="3"/>
      <c r="L5" s="3"/>
      <c r="M5" s="3"/>
      <c r="N5" s="3"/>
      <c r="O5" s="3"/>
      <c r="P5" s="3"/>
      <c r="Q5" s="3"/>
      <c r="R5" s="3"/>
      <c r="S5" s="12"/>
      <c r="T5" s="12"/>
      <c r="U5" s="12"/>
      <c r="V5" s="14"/>
      <c r="X5" s="8"/>
      <c r="Y5" s="8"/>
      <c r="Z5" s="8"/>
      <c r="AA5" s="8"/>
      <c r="AB5" s="8"/>
      <c r="AC5" s="8"/>
      <c r="AD5" s="8"/>
      <c r="AE5" s="8"/>
      <c r="AJ5" s="193" t="s">
        <v>184</v>
      </c>
      <c r="AK5" s="194">
        <f>'V Calc'!B1</f>
        <v>500</v>
      </c>
      <c r="AL5" s="124"/>
    </row>
    <row r="6" spans="1:55" ht="15" customHeight="1" x14ac:dyDescent="0.2">
      <c r="A6" s="32"/>
      <c r="B6" s="33"/>
      <c r="C6" s="33"/>
      <c r="D6" s="12"/>
      <c r="E6" s="3"/>
      <c r="F6" s="10" t="s">
        <v>132</v>
      </c>
      <c r="G6" s="1"/>
      <c r="H6" s="1"/>
      <c r="I6" s="3"/>
      <c r="J6" s="3"/>
      <c r="K6" s="3"/>
      <c r="L6" s="3"/>
      <c r="M6" s="3"/>
      <c r="N6" s="3"/>
      <c r="O6" s="3"/>
      <c r="P6" s="3"/>
      <c r="Q6" s="3"/>
      <c r="R6" s="3"/>
      <c r="S6" s="12"/>
      <c r="T6" s="12"/>
      <c r="U6" s="12"/>
      <c r="V6" s="14"/>
      <c r="X6" s="8"/>
      <c r="Y6" s="8"/>
      <c r="Z6" s="8"/>
      <c r="AA6" s="8"/>
      <c r="AB6" s="8"/>
      <c r="AC6" s="8"/>
      <c r="AD6" s="8"/>
      <c r="AE6" s="8"/>
      <c r="AJ6" s="193" t="s">
        <v>185</v>
      </c>
      <c r="AK6" s="194">
        <f>'V Calc'!B2</f>
        <v>100</v>
      </c>
      <c r="AL6" s="124"/>
    </row>
    <row r="7" spans="1:55" ht="15" customHeight="1" x14ac:dyDescent="0.2">
      <c r="A7" s="32"/>
      <c r="B7" s="33"/>
      <c r="C7" s="33"/>
      <c r="D7" s="12"/>
      <c r="E7" s="3"/>
      <c r="F7" s="10" t="s">
        <v>130</v>
      </c>
      <c r="G7" s="1"/>
      <c r="H7" s="1"/>
      <c r="I7" s="3"/>
      <c r="J7" s="3"/>
      <c r="K7" s="3"/>
      <c r="L7" s="3"/>
      <c r="M7" s="3"/>
      <c r="N7" s="3"/>
      <c r="O7" s="3"/>
      <c r="P7" s="3"/>
      <c r="Q7" s="3"/>
      <c r="R7" s="3"/>
      <c r="S7" s="12"/>
      <c r="T7" s="12"/>
      <c r="U7" s="12"/>
      <c r="V7" s="14"/>
      <c r="X7" s="8"/>
      <c r="Y7" s="8"/>
      <c r="Z7" s="8"/>
      <c r="AA7" s="8"/>
      <c r="AB7" s="8"/>
      <c r="AC7" s="8"/>
      <c r="AD7" s="8"/>
      <c r="AE7" s="8"/>
      <c r="AJ7" s="193" t="s">
        <v>186</v>
      </c>
      <c r="AK7" s="195">
        <f>'V Calc'!B3</f>
        <v>2</v>
      </c>
      <c r="AL7" s="124"/>
    </row>
    <row r="8" spans="1:55" ht="15" customHeight="1" x14ac:dyDescent="0.2">
      <c r="A8" s="32"/>
      <c r="B8" s="33"/>
      <c r="C8" s="33"/>
      <c r="D8" s="12"/>
      <c r="E8" s="3"/>
      <c r="F8" s="10" t="s">
        <v>131</v>
      </c>
      <c r="G8" s="62"/>
      <c r="H8" s="62"/>
      <c r="I8" s="3"/>
      <c r="J8" s="3"/>
      <c r="K8" s="3"/>
      <c r="L8" s="3"/>
      <c r="M8" s="3"/>
      <c r="N8" s="3"/>
      <c r="O8" s="3"/>
      <c r="P8" s="3"/>
      <c r="Q8" s="3"/>
      <c r="R8" s="3"/>
      <c r="S8" s="12"/>
      <c r="T8" s="12"/>
      <c r="U8" s="12"/>
      <c r="V8" s="14"/>
      <c r="X8" s="8"/>
      <c r="Y8" s="8"/>
      <c r="Z8" s="8"/>
      <c r="AA8" s="8"/>
      <c r="AB8" s="8"/>
      <c r="AC8" s="8"/>
      <c r="AD8" s="8"/>
      <c r="AE8" s="8"/>
      <c r="AJ8" s="193" t="s">
        <v>187</v>
      </c>
      <c r="AK8" s="195">
        <f>'V Calc'!B4</f>
        <v>0.875</v>
      </c>
      <c r="AL8" s="124"/>
    </row>
    <row r="9" spans="1:55" ht="15" customHeight="1" thickBot="1" x14ac:dyDescent="0.25">
      <c r="A9" s="34"/>
      <c r="B9" s="29"/>
      <c r="C9" s="29"/>
      <c r="D9" s="29"/>
      <c r="E9" s="29"/>
      <c r="F9" s="15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16"/>
      <c r="T9" s="16"/>
      <c r="U9" s="16"/>
      <c r="V9" s="17"/>
      <c r="X9" s="8"/>
      <c r="Y9" s="8"/>
      <c r="Z9" s="8"/>
      <c r="AA9" s="8"/>
      <c r="AB9" s="8"/>
      <c r="AC9" s="8"/>
      <c r="AD9" s="8"/>
      <c r="AE9" s="8"/>
      <c r="AJ9" s="196" t="s">
        <v>188</v>
      </c>
      <c r="AK9" s="197">
        <f>'V Calc'!B5</f>
        <v>158.47</v>
      </c>
      <c r="AL9" s="198"/>
    </row>
    <row r="10" spans="1:55" s="9" customFormat="1" ht="30" customHeight="1" x14ac:dyDescent="0.2">
      <c r="A10" s="513" t="s">
        <v>20</v>
      </c>
      <c r="B10" s="514"/>
      <c r="C10" s="514"/>
      <c r="D10" s="514"/>
      <c r="E10" s="514"/>
      <c r="F10" s="514"/>
      <c r="G10" s="514"/>
      <c r="H10" s="514"/>
      <c r="I10" s="514"/>
      <c r="J10" s="514"/>
      <c r="K10" s="514"/>
      <c r="L10" s="514"/>
      <c r="M10" s="514"/>
      <c r="N10" s="514"/>
      <c r="O10" s="514"/>
      <c r="P10" s="514"/>
      <c r="Q10" s="514"/>
      <c r="R10" s="514"/>
      <c r="S10" s="514"/>
      <c r="T10" s="514"/>
      <c r="U10" s="514"/>
      <c r="V10" s="515"/>
      <c r="X10" s="96"/>
      <c r="Y10" s="96"/>
      <c r="Z10" s="96"/>
      <c r="AA10" s="96"/>
      <c r="AB10" s="96"/>
      <c r="AC10" s="96"/>
      <c r="AJ10" s="193" t="s">
        <v>189</v>
      </c>
      <c r="AK10" s="199">
        <f>'V Calc'!B6</f>
        <v>0.63607464142166403</v>
      </c>
      <c r="AL10" s="198" t="s">
        <v>190</v>
      </c>
    </row>
    <row r="11" spans="1:55" s="9" customFormat="1" ht="20.100000000000001" customHeight="1" thickBot="1" x14ac:dyDescent="0.25">
      <c r="A11" s="516" t="s">
        <v>21</v>
      </c>
      <c r="B11" s="517"/>
      <c r="C11" s="517"/>
      <c r="D11" s="517"/>
      <c r="E11" s="517"/>
      <c r="F11" s="517"/>
      <c r="G11" s="517"/>
      <c r="H11" s="517"/>
      <c r="I11" s="517"/>
      <c r="J11" s="517"/>
      <c r="K11" s="517"/>
      <c r="L11" s="517"/>
      <c r="M11" s="517"/>
      <c r="N11" s="517"/>
      <c r="O11" s="517"/>
      <c r="P11" s="517"/>
      <c r="Q11" s="517"/>
      <c r="R11" s="517"/>
      <c r="S11" s="517"/>
      <c r="T11" s="517"/>
      <c r="U11" s="517"/>
      <c r="V11" s="518"/>
      <c r="X11" s="97"/>
      <c r="Y11" s="97"/>
      <c r="Z11" s="97"/>
      <c r="AA11" s="97"/>
      <c r="AB11" s="97"/>
      <c r="AC11" s="97"/>
    </row>
    <row r="12" spans="1:55" s="6" customFormat="1" ht="30" customHeight="1" thickBot="1" x14ac:dyDescent="0.3">
      <c r="A12" s="18"/>
      <c r="B12" s="20"/>
      <c r="C12" s="20"/>
      <c r="D12" s="19" t="s">
        <v>121</v>
      </c>
      <c r="E12" s="200" t="str">
        <f>'Day 26'!E12</f>
        <v>MPR 632  RFD</v>
      </c>
      <c r="F12" s="35"/>
      <c r="G12" s="19" t="s">
        <v>120</v>
      </c>
      <c r="H12" s="200" t="str">
        <f>IF(Volume!C$30="","",Volume!C$30)</f>
        <v>FP 65354</v>
      </c>
      <c r="I12" s="20"/>
      <c r="J12" s="19" t="s">
        <v>17</v>
      </c>
      <c r="K12" s="505">
        <f>'Day 26'!K12+1</f>
        <v>45835</v>
      </c>
      <c r="L12" s="505"/>
      <c r="M12" s="100"/>
      <c r="N12" s="19" t="s">
        <v>119</v>
      </c>
      <c r="O12" s="200" t="str">
        <f>IF(Volume!D$30="","",Volume!D$30)</f>
        <v>SP. Tambun - Cluster F</v>
      </c>
      <c r="P12" s="20"/>
      <c r="Q12" s="19" t="s">
        <v>122</v>
      </c>
      <c r="S12" s="201">
        <f>IF(Volume!E$30="","",Volume!E$30)</f>
        <v>1.25</v>
      </c>
      <c r="T12" s="20"/>
      <c r="U12" s="19" t="s">
        <v>126</v>
      </c>
      <c r="V12" s="202" t="str">
        <f>IF(Volume!F$30="","",Volume!F$30)</f>
        <v>4/0</v>
      </c>
    </row>
    <row r="13" spans="1:55" ht="30" customHeight="1" thickBot="1" x14ac:dyDescent="0.3">
      <c r="A13" s="502" t="s">
        <v>0</v>
      </c>
      <c r="B13" s="502" t="s">
        <v>213</v>
      </c>
      <c r="C13" s="502" t="s">
        <v>212</v>
      </c>
      <c r="D13" s="502" t="s">
        <v>31</v>
      </c>
      <c r="E13" s="502" t="s">
        <v>32</v>
      </c>
      <c r="F13" s="502" t="s">
        <v>2</v>
      </c>
      <c r="G13" s="502" t="s">
        <v>33</v>
      </c>
      <c r="H13" s="502" t="s">
        <v>35</v>
      </c>
      <c r="I13" s="502" t="s">
        <v>36</v>
      </c>
      <c r="J13" s="502" t="s">
        <v>110</v>
      </c>
      <c r="K13" s="502" t="s">
        <v>15</v>
      </c>
      <c r="L13" s="502" t="s">
        <v>34</v>
      </c>
      <c r="M13" s="502" t="s">
        <v>10</v>
      </c>
      <c r="N13" s="502"/>
      <c r="O13" s="506" t="s">
        <v>300</v>
      </c>
      <c r="P13" s="506" t="s">
        <v>299</v>
      </c>
      <c r="Q13" s="502" t="s">
        <v>7</v>
      </c>
      <c r="R13" s="502" t="s">
        <v>88</v>
      </c>
      <c r="S13" s="502" t="s">
        <v>8</v>
      </c>
      <c r="T13" s="502"/>
      <c r="U13" s="502"/>
      <c r="V13" s="502"/>
      <c r="X13" s="98"/>
      <c r="Y13" s="98"/>
      <c r="Z13" s="98"/>
      <c r="AA13" s="98"/>
      <c r="AB13" s="98"/>
      <c r="AC13" s="98"/>
    </row>
    <row r="14" spans="1:55" ht="30" customHeight="1" x14ac:dyDescent="0.25">
      <c r="A14" s="504"/>
      <c r="B14" s="504"/>
      <c r="C14" s="504"/>
      <c r="D14" s="504"/>
      <c r="E14" s="504"/>
      <c r="F14" s="504"/>
      <c r="G14" s="504"/>
      <c r="H14" s="504"/>
      <c r="I14" s="504"/>
      <c r="J14" s="504"/>
      <c r="K14" s="504"/>
      <c r="L14" s="504"/>
      <c r="M14" s="94" t="s">
        <v>3</v>
      </c>
      <c r="N14" s="94" t="s">
        <v>4</v>
      </c>
      <c r="O14" s="507"/>
      <c r="P14" s="507"/>
      <c r="Q14" s="504"/>
      <c r="R14" s="504"/>
      <c r="S14" s="504"/>
      <c r="T14" s="504"/>
      <c r="U14" s="504"/>
      <c r="V14" s="504"/>
      <c r="Y14" s="502" t="s">
        <v>230</v>
      </c>
      <c r="Z14" s="502"/>
      <c r="AA14" s="502"/>
      <c r="AB14" s="502"/>
      <c r="AC14" s="502"/>
      <c r="AD14" s="502" t="s">
        <v>231</v>
      </c>
      <c r="AH14" s="203" t="s">
        <v>232</v>
      </c>
      <c r="AJ14" s="520" t="s">
        <v>191</v>
      </c>
      <c r="AK14" s="520" t="s">
        <v>192</v>
      </c>
      <c r="AL14" s="520" t="s">
        <v>193</v>
      </c>
      <c r="AM14" s="520" t="s">
        <v>194</v>
      </c>
      <c r="AN14" s="520" t="s">
        <v>195</v>
      </c>
      <c r="AO14" s="506" t="s">
        <v>196</v>
      </c>
      <c r="AP14" s="506" t="s">
        <v>197</v>
      </c>
      <c r="AQ14" s="506" t="s">
        <v>198</v>
      </c>
      <c r="AR14" s="506" t="s">
        <v>188</v>
      </c>
      <c r="AS14" s="506" t="s">
        <v>199</v>
      </c>
      <c r="AT14" s="506" t="s">
        <v>200</v>
      </c>
      <c r="AU14" s="506" t="s">
        <v>201</v>
      </c>
      <c r="AV14" s="506" t="s">
        <v>202</v>
      </c>
      <c r="AW14" s="506" t="s">
        <v>203</v>
      </c>
      <c r="AX14" s="506" t="s">
        <v>204</v>
      </c>
      <c r="AY14" s="523" t="s">
        <v>205</v>
      </c>
      <c r="AZ14" s="523" t="s">
        <v>206</v>
      </c>
      <c r="BA14" s="523" t="s">
        <v>207</v>
      </c>
      <c r="BB14" s="523" t="s">
        <v>208</v>
      </c>
      <c r="BC14" s="506" t="s">
        <v>197</v>
      </c>
    </row>
    <row r="15" spans="1:55" ht="20.100000000000001" customHeight="1" thickBot="1" x14ac:dyDescent="0.3">
      <c r="A15" s="503"/>
      <c r="B15" s="95" t="s">
        <v>1</v>
      </c>
      <c r="C15" s="95" t="s">
        <v>1</v>
      </c>
      <c r="D15" s="95" t="s">
        <v>1</v>
      </c>
      <c r="E15" s="95" t="s">
        <v>1</v>
      </c>
      <c r="F15" s="95" t="s">
        <v>140</v>
      </c>
      <c r="G15" s="95" t="s">
        <v>1</v>
      </c>
      <c r="H15" s="95" t="s">
        <v>1</v>
      </c>
      <c r="I15" s="95" t="s">
        <v>1</v>
      </c>
      <c r="J15" s="95" t="s">
        <v>18</v>
      </c>
      <c r="K15" s="95" t="s">
        <v>9</v>
      </c>
      <c r="L15" s="95" t="s">
        <v>5</v>
      </c>
      <c r="M15" s="95" t="s">
        <v>5</v>
      </c>
      <c r="N15" s="95" t="s">
        <v>5</v>
      </c>
      <c r="O15" s="95" t="s">
        <v>1</v>
      </c>
      <c r="P15" s="95" t="s">
        <v>14</v>
      </c>
      <c r="Q15" s="95" t="str">
        <f>IF(MR!G17="MSCF","MSCFD","MMSCFD")</f>
        <v>MSCFD</v>
      </c>
      <c r="R15" s="95" t="str">
        <f>MR!L17</f>
        <v>BPD</v>
      </c>
      <c r="S15" s="503"/>
      <c r="T15" s="503"/>
      <c r="U15" s="503"/>
      <c r="V15" s="503"/>
      <c r="X15" s="365"/>
      <c r="Y15" s="95" t="s">
        <v>123</v>
      </c>
      <c r="Z15" s="95" t="s">
        <v>124</v>
      </c>
      <c r="AA15" s="95" t="s">
        <v>125</v>
      </c>
      <c r="AB15" s="95" t="s">
        <v>51</v>
      </c>
      <c r="AC15" s="95" t="s">
        <v>48</v>
      </c>
      <c r="AD15" s="503"/>
      <c r="AH15" s="204" t="s">
        <v>228</v>
      </c>
      <c r="AJ15" s="521"/>
      <c r="AK15" s="521"/>
      <c r="AL15" s="521"/>
      <c r="AM15" s="521"/>
      <c r="AN15" s="521"/>
      <c r="AO15" s="522"/>
      <c r="AP15" s="522"/>
      <c r="AQ15" s="522"/>
      <c r="AR15" s="522"/>
      <c r="AS15" s="522"/>
      <c r="AT15" s="522"/>
      <c r="AU15" s="522"/>
      <c r="AV15" s="522"/>
      <c r="AW15" s="522"/>
      <c r="AX15" s="522"/>
      <c r="AY15" s="524"/>
      <c r="AZ15" s="524"/>
      <c r="BA15" s="524"/>
      <c r="BB15" s="524"/>
      <c r="BC15" s="522"/>
    </row>
    <row r="16" spans="1:55" ht="20.100000000000001" customHeight="1" x14ac:dyDescent="0.2">
      <c r="A16" s="44">
        <v>4.1666666666666664E-2</v>
      </c>
      <c r="B16" s="450"/>
      <c r="C16" s="450"/>
      <c r="D16" s="450">
        <v>5.6</v>
      </c>
      <c r="E16" s="450">
        <v>58.5</v>
      </c>
      <c r="F16" s="40">
        <v>1926</v>
      </c>
      <c r="G16" s="36">
        <v>-5.5</v>
      </c>
      <c r="H16" s="36">
        <v>72.599999999999994</v>
      </c>
      <c r="I16" s="36">
        <v>22.3</v>
      </c>
      <c r="J16" s="40">
        <v>702</v>
      </c>
      <c r="K16" s="36">
        <v>13</v>
      </c>
      <c r="L16" s="450">
        <v>126</v>
      </c>
      <c r="M16" s="450">
        <v>220</v>
      </c>
      <c r="N16" s="450">
        <v>85</v>
      </c>
      <c r="O16" s="352">
        <v>40</v>
      </c>
      <c r="P16" s="352">
        <v>12</v>
      </c>
      <c r="Q16" s="352">
        <v>229.34</v>
      </c>
      <c r="R16" s="36"/>
      <c r="S16" s="519" t="str">
        <f t="shared" ref="S16:S32" si="0">IF(Z16="",IF(AD16="","",AD16),CONCATENATE(TEXT(Z16,"[hh]:mm"),IF(AA16="",""," - "&amp;TEXT(AA16,"[hh]:mm")),IF(Y16="",""," "&amp;Y16&amp;"/")," "&amp;AD16))</f>
        <v/>
      </c>
      <c r="T16" s="519"/>
      <c r="U16" s="519"/>
      <c r="V16" s="519"/>
      <c r="X16" s="44">
        <v>4.1666666666666664E-2</v>
      </c>
      <c r="Y16" s="105"/>
      <c r="Z16" s="101"/>
      <c r="AA16" s="101"/>
      <c r="AB16" s="44" t="str">
        <f>IF(Y16="STBY",AA16-Z16,"")</f>
        <v/>
      </c>
      <c r="AC16" s="44" t="str">
        <f t="shared" ref="AC16:AC39" si="1">IF(Y16="SD",AA16-Z16,"")</f>
        <v/>
      </c>
      <c r="AD16" s="355"/>
      <c r="AE16" s="9" t="str">
        <f>IF(S16="","",IF(COUNTA(Z16:$Z$39)=1,IF(COUNTA(AD16:$AD$39)=1,""," ; "),IF(COUNTA(AD16:$AD$39)=1,IF(Z16="",""," ; ")," ; ")))</f>
        <v/>
      </c>
      <c r="AF16" s="9" t="str">
        <f t="shared" ref="AF16:AF39" si="2">CONCATENATE(S16,AE16)</f>
        <v/>
      </c>
      <c r="AG16" s="90" t="str">
        <f t="shared" ref="AG16:AG39" si="3">IF(AND(COUNTBLANK(N16:P16)&lt;3,Q16=""),"CEK : Data Flowrate","")</f>
        <v/>
      </c>
      <c r="AH16" s="204" t="s">
        <v>229</v>
      </c>
      <c r="AJ16" s="205">
        <f>AK5</f>
        <v>500</v>
      </c>
      <c r="AK16" s="205">
        <f>AK6</f>
        <v>100</v>
      </c>
      <c r="AL16" s="206">
        <f>AK7</f>
        <v>2</v>
      </c>
      <c r="AM16" s="207">
        <f>AK8</f>
        <v>0.875</v>
      </c>
      <c r="AN16" s="208">
        <f>AK10</f>
        <v>0.63607464142166403</v>
      </c>
      <c r="AO16" s="209">
        <f t="shared" ref="AO16:AO39" si="4">T16^2*AJ16/100-14.7</f>
        <v>-14.7</v>
      </c>
      <c r="AP16" s="210">
        <f t="shared" ref="AP16:AP39" si="5">IF(AO16&lt;100,1,BC16)</f>
        <v>1</v>
      </c>
      <c r="AQ16" s="210">
        <f t="shared" ref="AQ16:AQ39" si="6">(1/AP16)^0.5</f>
        <v>1</v>
      </c>
      <c r="AR16" s="52">
        <f>AK9</f>
        <v>158.47</v>
      </c>
      <c r="AS16" s="210">
        <f t="shared" ref="AS16:AS39" si="7">(520/(460+N16))^0.5</f>
        <v>0.97679498379494789</v>
      </c>
      <c r="AT16" s="210">
        <f t="shared" ref="AT16:AT39" si="8">(1/AN16)^0.5</f>
        <v>1.2538510821608391</v>
      </c>
      <c r="AU16" s="210">
        <f t="shared" ref="AU16:AU39" si="9">0.01*(AJ16*AK16)^0.5</f>
        <v>2.2360679774997898</v>
      </c>
      <c r="AV16" s="211">
        <f t="shared" ref="AV16:AV39" si="10">0.024*AQ16*AR16*AS16*AT16*AU16</f>
        <v>10.415801185754333</v>
      </c>
      <c r="AW16" s="210">
        <f t="shared" ref="AW16:AW39" si="11">(AO16+14.7)/(697.2-43*AN16)</f>
        <v>0</v>
      </c>
      <c r="AX16" s="212">
        <f t="shared" ref="AX16:AX39" si="12">(N16+460)/(315.1*AN16+170.4)</f>
        <v>1.4696875479799241</v>
      </c>
      <c r="AY16" s="210">
        <f t="shared" ref="AY16:AY39" si="13">0.3379*LN(LN(AX16))+1.091</f>
        <v>0.76851414128953044</v>
      </c>
      <c r="AZ16" s="211">
        <f t="shared" ref="AZ16:AZ39" si="14">21.46*AY16-11.9*AY16^2-5.9</f>
        <v>3.5640070462657096</v>
      </c>
      <c r="BA16" s="210">
        <f t="shared" ref="BA16:BA39" si="15">AW16/AZ16</f>
        <v>0</v>
      </c>
      <c r="BB16" s="210">
        <f t="shared" ref="BB16:BB39" si="16">(1.1+0.26*AX16+(1.04-1.42*AX16)*BA16)*2.718^BA16/AX16</f>
        <v>1.0084584063544275</v>
      </c>
      <c r="BC16" s="210">
        <f t="shared" ref="BC16:BC39" si="17">1+(AY16-1)*SIN((90*BA16)/57.29578)^BB16</f>
        <v>1</v>
      </c>
    </row>
    <row r="17" spans="1:55" ht="20.100000000000001" customHeight="1" x14ac:dyDescent="0.2">
      <c r="A17" s="45">
        <v>8.3333333333333301E-2</v>
      </c>
      <c r="B17" s="451"/>
      <c r="C17" s="451"/>
      <c r="D17" s="451">
        <v>5.3</v>
      </c>
      <c r="E17" s="451">
        <v>59.8</v>
      </c>
      <c r="F17" s="41">
        <v>1935</v>
      </c>
      <c r="G17" s="37">
        <v>-5.5</v>
      </c>
      <c r="H17" s="37">
        <v>72.3</v>
      </c>
      <c r="I17" s="37">
        <v>22.6</v>
      </c>
      <c r="J17" s="41">
        <v>703</v>
      </c>
      <c r="K17" s="37">
        <v>13</v>
      </c>
      <c r="L17" s="451">
        <v>124</v>
      </c>
      <c r="M17" s="451">
        <v>221</v>
      </c>
      <c r="N17" s="451">
        <v>85</v>
      </c>
      <c r="O17" s="353">
        <v>45</v>
      </c>
      <c r="P17" s="353">
        <v>13</v>
      </c>
      <c r="Q17" s="353">
        <v>249.43</v>
      </c>
      <c r="R17" s="37"/>
      <c r="S17" s="508" t="str">
        <f t="shared" si="0"/>
        <v/>
      </c>
      <c r="T17" s="508"/>
      <c r="U17" s="508"/>
      <c r="V17" s="508"/>
      <c r="X17" s="45">
        <v>8.3333333333333301E-2</v>
      </c>
      <c r="Y17" s="106"/>
      <c r="Z17" s="102"/>
      <c r="AA17" s="102"/>
      <c r="AB17" s="45" t="str">
        <f t="shared" ref="AB17:AB39" si="18">IF(Y17="STBY",AA17-Z17,"")</f>
        <v/>
      </c>
      <c r="AC17" s="45" t="str">
        <f t="shared" si="1"/>
        <v/>
      </c>
      <c r="AD17" s="81"/>
      <c r="AE17" s="9" t="str">
        <f>IF(S17="","",IF(COUNTA(Z17:$Z$39)=1,IF(COUNTA(AD17:$AD$39)=1,""," ; "),IF(COUNTA(AD17:$AD$39)=1,IF(Z17="",""," ; ")," ; ")))</f>
        <v/>
      </c>
      <c r="AF17" s="9" t="str">
        <f t="shared" si="2"/>
        <v/>
      </c>
      <c r="AG17" s="90" t="str">
        <f t="shared" si="3"/>
        <v/>
      </c>
      <c r="AH17" s="204" t="s">
        <v>289</v>
      </c>
      <c r="AJ17" s="206">
        <f t="shared" ref="AJ17:AN32" si="19">AJ16</f>
        <v>500</v>
      </c>
      <c r="AK17" s="206">
        <f t="shared" si="19"/>
        <v>100</v>
      </c>
      <c r="AL17" s="206">
        <f>AL16</f>
        <v>2</v>
      </c>
      <c r="AM17" s="213">
        <f>AM16</f>
        <v>0.875</v>
      </c>
      <c r="AN17" s="214">
        <f>AN16</f>
        <v>0.63607464142166403</v>
      </c>
      <c r="AO17" s="215">
        <f t="shared" si="4"/>
        <v>-14.7</v>
      </c>
      <c r="AP17" s="216">
        <f t="shared" si="5"/>
        <v>1</v>
      </c>
      <c r="AQ17" s="216">
        <f t="shared" si="6"/>
        <v>1</v>
      </c>
      <c r="AR17" s="215">
        <f>AR16</f>
        <v>158.47</v>
      </c>
      <c r="AS17" s="216">
        <f t="shared" si="7"/>
        <v>0.97679498379494789</v>
      </c>
      <c r="AT17" s="216">
        <f t="shared" si="8"/>
        <v>1.2538510821608391</v>
      </c>
      <c r="AU17" s="216">
        <f t="shared" si="9"/>
        <v>2.2360679774997898</v>
      </c>
      <c r="AV17" s="217">
        <f t="shared" si="10"/>
        <v>10.415801185754333</v>
      </c>
      <c r="AW17" s="216">
        <f t="shared" si="11"/>
        <v>0</v>
      </c>
      <c r="AX17" s="218">
        <f t="shared" si="12"/>
        <v>1.4696875479799241</v>
      </c>
      <c r="AY17" s="216">
        <f t="shared" si="13"/>
        <v>0.76851414128953044</v>
      </c>
      <c r="AZ17" s="217">
        <f t="shared" si="14"/>
        <v>3.5640070462657096</v>
      </c>
      <c r="BA17" s="216">
        <f t="shared" si="15"/>
        <v>0</v>
      </c>
      <c r="BB17" s="216">
        <f t="shared" si="16"/>
        <v>1.0084584063544275</v>
      </c>
      <c r="BC17" s="216">
        <f t="shared" si="17"/>
        <v>1</v>
      </c>
    </row>
    <row r="18" spans="1:55" ht="20.100000000000001" customHeight="1" x14ac:dyDescent="0.2">
      <c r="A18" s="45">
        <v>0.125</v>
      </c>
      <c r="B18" s="451"/>
      <c r="C18" s="451"/>
      <c r="D18" s="451">
        <v>5.9</v>
      </c>
      <c r="E18" s="451">
        <v>59.6</v>
      </c>
      <c r="F18" s="41">
        <v>1953</v>
      </c>
      <c r="G18" s="37">
        <v>-5.5</v>
      </c>
      <c r="H18" s="37">
        <v>72.900000000000006</v>
      </c>
      <c r="I18" s="37">
        <v>22.9</v>
      </c>
      <c r="J18" s="41">
        <v>704</v>
      </c>
      <c r="K18" s="37">
        <v>13</v>
      </c>
      <c r="L18" s="451">
        <v>124</v>
      </c>
      <c r="M18" s="451">
        <v>221</v>
      </c>
      <c r="N18" s="451">
        <v>85</v>
      </c>
      <c r="O18" s="353">
        <v>45</v>
      </c>
      <c r="P18" s="353">
        <v>14</v>
      </c>
      <c r="Q18" s="353">
        <v>258.77</v>
      </c>
      <c r="R18" s="37"/>
      <c r="S18" s="508" t="str">
        <f t="shared" si="0"/>
        <v/>
      </c>
      <c r="T18" s="508"/>
      <c r="U18" s="508"/>
      <c r="V18" s="508"/>
      <c r="X18" s="45">
        <v>0.125</v>
      </c>
      <c r="Y18" s="106"/>
      <c r="Z18" s="102"/>
      <c r="AA18" s="102"/>
      <c r="AB18" s="45" t="str">
        <f t="shared" si="18"/>
        <v/>
      </c>
      <c r="AC18" s="45" t="str">
        <f t="shared" si="1"/>
        <v/>
      </c>
      <c r="AD18" s="81"/>
      <c r="AE18" s="9" t="str">
        <f>IF(S18="","",IF(COUNTA(Z18:$Z$39)=1,IF(COUNTA(AD18:$AD$39)=1,""," ; "),IF(COUNTA(AD18:$AD$39)=1,IF(Z18="",""," ; ")," ; ")))</f>
        <v/>
      </c>
      <c r="AF18" s="9" t="str">
        <f t="shared" si="2"/>
        <v/>
      </c>
      <c r="AG18" s="90" t="str">
        <f t="shared" si="3"/>
        <v/>
      </c>
      <c r="AH18" s="204" t="s">
        <v>321</v>
      </c>
      <c r="AJ18" s="206">
        <f t="shared" si="19"/>
        <v>500</v>
      </c>
      <c r="AK18" s="206">
        <f t="shared" si="19"/>
        <v>100</v>
      </c>
      <c r="AL18" s="206">
        <f t="shared" si="19"/>
        <v>2</v>
      </c>
      <c r="AM18" s="213">
        <f t="shared" si="19"/>
        <v>0.875</v>
      </c>
      <c r="AN18" s="214">
        <f t="shared" si="19"/>
        <v>0.63607464142166403</v>
      </c>
      <c r="AO18" s="215">
        <f t="shared" si="4"/>
        <v>-14.7</v>
      </c>
      <c r="AP18" s="216">
        <f t="shared" si="5"/>
        <v>1</v>
      </c>
      <c r="AQ18" s="216">
        <f t="shared" si="6"/>
        <v>1</v>
      </c>
      <c r="AR18" s="215">
        <f t="shared" ref="AR18:AR39" si="20">AR17</f>
        <v>158.47</v>
      </c>
      <c r="AS18" s="216">
        <f t="shared" si="7"/>
        <v>0.97679498379494789</v>
      </c>
      <c r="AT18" s="216">
        <f t="shared" si="8"/>
        <v>1.2538510821608391</v>
      </c>
      <c r="AU18" s="216">
        <f t="shared" si="9"/>
        <v>2.2360679774997898</v>
      </c>
      <c r="AV18" s="217">
        <f t="shared" si="10"/>
        <v>10.415801185754333</v>
      </c>
      <c r="AW18" s="216">
        <f t="shared" si="11"/>
        <v>0</v>
      </c>
      <c r="AX18" s="218">
        <f t="shared" si="12"/>
        <v>1.4696875479799241</v>
      </c>
      <c r="AY18" s="216">
        <f t="shared" si="13"/>
        <v>0.76851414128953044</v>
      </c>
      <c r="AZ18" s="217">
        <f t="shared" si="14"/>
        <v>3.5640070462657096</v>
      </c>
      <c r="BA18" s="216">
        <f t="shared" si="15"/>
        <v>0</v>
      </c>
      <c r="BB18" s="216">
        <f t="shared" si="16"/>
        <v>1.0084584063544275</v>
      </c>
      <c r="BC18" s="216">
        <f t="shared" si="17"/>
        <v>1</v>
      </c>
    </row>
    <row r="19" spans="1:55" ht="20.100000000000001" customHeight="1" x14ac:dyDescent="0.2">
      <c r="A19" s="45">
        <v>0.16666666666666699</v>
      </c>
      <c r="B19" s="451"/>
      <c r="C19" s="451"/>
      <c r="D19" s="451">
        <v>5.4</v>
      </c>
      <c r="E19" s="451">
        <v>59.9</v>
      </c>
      <c r="F19" s="41">
        <v>1986</v>
      </c>
      <c r="G19" s="37">
        <v>-5.5</v>
      </c>
      <c r="H19" s="37">
        <v>72.099999999999994</v>
      </c>
      <c r="I19" s="37">
        <v>22.5</v>
      </c>
      <c r="J19" s="41">
        <v>705</v>
      </c>
      <c r="K19" s="37">
        <v>13</v>
      </c>
      <c r="L19" s="451">
        <v>122</v>
      </c>
      <c r="M19" s="451">
        <v>219</v>
      </c>
      <c r="N19" s="451">
        <v>85</v>
      </c>
      <c r="O19" s="353">
        <v>30</v>
      </c>
      <c r="P19" s="353">
        <v>16</v>
      </c>
      <c r="Q19" s="353">
        <v>238.82</v>
      </c>
      <c r="R19" s="37"/>
      <c r="S19" s="508" t="str">
        <f t="shared" si="0"/>
        <v/>
      </c>
      <c r="T19" s="508"/>
      <c r="U19" s="508"/>
      <c r="V19" s="508"/>
      <c r="X19" s="45">
        <v>0.16666666666666699</v>
      </c>
      <c r="Y19" s="106"/>
      <c r="Z19" s="102"/>
      <c r="AA19" s="102"/>
      <c r="AB19" s="45" t="str">
        <f t="shared" si="18"/>
        <v/>
      </c>
      <c r="AC19" s="45" t="str">
        <f t="shared" si="1"/>
        <v/>
      </c>
      <c r="AD19" s="81"/>
      <c r="AE19" s="9" t="str">
        <f>IF(S19="","",IF(COUNTA(Z19:$Z$39)=1,IF(COUNTA(AD19:$AD$39)=1,""," ; "),IF(COUNTA(AD19:$AD$39)=1,IF(Z19="",""," ; ")," ; ")))</f>
        <v/>
      </c>
      <c r="AF19" s="9" t="str">
        <f t="shared" si="2"/>
        <v/>
      </c>
      <c r="AG19" s="90" t="str">
        <f t="shared" si="3"/>
        <v/>
      </c>
      <c r="AH19" s="204" t="s">
        <v>272</v>
      </c>
      <c r="AJ19" s="206">
        <f t="shared" si="19"/>
        <v>500</v>
      </c>
      <c r="AK19" s="206">
        <f t="shared" si="19"/>
        <v>100</v>
      </c>
      <c r="AL19" s="206">
        <f t="shared" si="19"/>
        <v>2</v>
      </c>
      <c r="AM19" s="213">
        <f t="shared" si="19"/>
        <v>0.875</v>
      </c>
      <c r="AN19" s="214">
        <f t="shared" si="19"/>
        <v>0.63607464142166403</v>
      </c>
      <c r="AO19" s="215">
        <f t="shared" si="4"/>
        <v>-14.7</v>
      </c>
      <c r="AP19" s="216">
        <f t="shared" si="5"/>
        <v>1</v>
      </c>
      <c r="AQ19" s="216">
        <f t="shared" si="6"/>
        <v>1</v>
      </c>
      <c r="AR19" s="215">
        <f t="shared" si="20"/>
        <v>158.47</v>
      </c>
      <c r="AS19" s="216">
        <f t="shared" si="7"/>
        <v>0.97679498379494789</v>
      </c>
      <c r="AT19" s="216">
        <f t="shared" si="8"/>
        <v>1.2538510821608391</v>
      </c>
      <c r="AU19" s="216">
        <f t="shared" si="9"/>
        <v>2.2360679774997898</v>
      </c>
      <c r="AV19" s="217">
        <f t="shared" si="10"/>
        <v>10.415801185754333</v>
      </c>
      <c r="AW19" s="216">
        <f t="shared" si="11"/>
        <v>0</v>
      </c>
      <c r="AX19" s="218">
        <f t="shared" si="12"/>
        <v>1.4696875479799241</v>
      </c>
      <c r="AY19" s="216">
        <f t="shared" si="13"/>
        <v>0.76851414128953044</v>
      </c>
      <c r="AZ19" s="217">
        <f t="shared" si="14"/>
        <v>3.5640070462657096</v>
      </c>
      <c r="BA19" s="216">
        <f t="shared" si="15"/>
        <v>0</v>
      </c>
      <c r="BB19" s="216">
        <f t="shared" si="16"/>
        <v>1.0084584063544275</v>
      </c>
      <c r="BC19" s="216">
        <f t="shared" si="17"/>
        <v>1</v>
      </c>
    </row>
    <row r="20" spans="1:55" ht="20.100000000000001" customHeight="1" x14ac:dyDescent="0.2">
      <c r="A20" s="45">
        <v>0.20833333333333301</v>
      </c>
      <c r="B20" s="451"/>
      <c r="C20" s="451"/>
      <c r="D20" s="451">
        <v>6.8</v>
      </c>
      <c r="E20" s="451">
        <v>62.3</v>
      </c>
      <c r="F20" s="41">
        <v>1950</v>
      </c>
      <c r="G20" s="37">
        <v>-5.5</v>
      </c>
      <c r="H20" s="37">
        <v>72.599999999999994</v>
      </c>
      <c r="I20" s="37">
        <v>22.3</v>
      </c>
      <c r="J20" s="41">
        <v>706</v>
      </c>
      <c r="K20" s="37">
        <v>13</v>
      </c>
      <c r="L20" s="451">
        <v>122</v>
      </c>
      <c r="M20" s="451">
        <v>219</v>
      </c>
      <c r="N20" s="451">
        <v>85</v>
      </c>
      <c r="O20" s="353">
        <v>30</v>
      </c>
      <c r="P20" s="353">
        <v>15</v>
      </c>
      <c r="Q20" s="353">
        <v>231.31</v>
      </c>
      <c r="R20" s="37"/>
      <c r="S20" s="508" t="str">
        <f t="shared" si="0"/>
        <v/>
      </c>
      <c r="T20" s="508"/>
      <c r="U20" s="508"/>
      <c r="V20" s="508"/>
      <c r="X20" s="45">
        <v>0.20833333333333301</v>
      </c>
      <c r="Y20" s="106"/>
      <c r="Z20" s="102"/>
      <c r="AA20" s="102"/>
      <c r="AB20" s="45" t="str">
        <f t="shared" si="18"/>
        <v/>
      </c>
      <c r="AC20" s="45" t="str">
        <f t="shared" si="1"/>
        <v/>
      </c>
      <c r="AD20" s="81"/>
      <c r="AE20" s="9" t="str">
        <f>IF(S20="","",IF(COUNTA(Z20:$Z$39)=1,IF(COUNTA(AD20:$AD$39)=1,""," ; "),IF(COUNTA(AD20:$AD$39)=1,IF(Z20="",""," ; ")," ; ")))</f>
        <v/>
      </c>
      <c r="AF20" s="9" t="str">
        <f t="shared" si="2"/>
        <v/>
      </c>
      <c r="AG20" s="90" t="str">
        <f t="shared" si="3"/>
        <v/>
      </c>
      <c r="AH20" s="204" t="s">
        <v>275</v>
      </c>
      <c r="AJ20" s="206">
        <f t="shared" si="19"/>
        <v>500</v>
      </c>
      <c r="AK20" s="206">
        <f t="shared" si="19"/>
        <v>100</v>
      </c>
      <c r="AL20" s="206">
        <f t="shared" si="19"/>
        <v>2</v>
      </c>
      <c r="AM20" s="213">
        <f t="shared" si="19"/>
        <v>0.875</v>
      </c>
      <c r="AN20" s="214">
        <f t="shared" si="19"/>
        <v>0.63607464142166403</v>
      </c>
      <c r="AO20" s="215">
        <f t="shared" si="4"/>
        <v>-14.7</v>
      </c>
      <c r="AP20" s="216">
        <f t="shared" si="5"/>
        <v>1</v>
      </c>
      <c r="AQ20" s="216">
        <f t="shared" si="6"/>
        <v>1</v>
      </c>
      <c r="AR20" s="215">
        <f t="shared" si="20"/>
        <v>158.47</v>
      </c>
      <c r="AS20" s="216">
        <f t="shared" si="7"/>
        <v>0.97679498379494789</v>
      </c>
      <c r="AT20" s="216">
        <f t="shared" si="8"/>
        <v>1.2538510821608391</v>
      </c>
      <c r="AU20" s="216">
        <f t="shared" si="9"/>
        <v>2.2360679774997898</v>
      </c>
      <c r="AV20" s="217">
        <f t="shared" si="10"/>
        <v>10.415801185754333</v>
      </c>
      <c r="AW20" s="216">
        <f t="shared" si="11"/>
        <v>0</v>
      </c>
      <c r="AX20" s="218">
        <f t="shared" si="12"/>
        <v>1.4696875479799241</v>
      </c>
      <c r="AY20" s="216">
        <f t="shared" si="13"/>
        <v>0.76851414128953044</v>
      </c>
      <c r="AZ20" s="217">
        <f t="shared" si="14"/>
        <v>3.5640070462657096</v>
      </c>
      <c r="BA20" s="216">
        <f t="shared" si="15"/>
        <v>0</v>
      </c>
      <c r="BB20" s="216">
        <f t="shared" si="16"/>
        <v>1.0084584063544275</v>
      </c>
      <c r="BC20" s="216">
        <f t="shared" si="17"/>
        <v>1</v>
      </c>
    </row>
    <row r="21" spans="1:55" ht="20.100000000000001" customHeight="1" x14ac:dyDescent="0.2">
      <c r="A21" s="45">
        <v>0.25</v>
      </c>
      <c r="B21" s="451"/>
      <c r="C21" s="451"/>
      <c r="D21" s="451">
        <v>6.6</v>
      </c>
      <c r="E21" s="451">
        <v>62.6</v>
      </c>
      <c r="F21" s="41">
        <v>1933</v>
      </c>
      <c r="G21" s="37">
        <v>-5.5</v>
      </c>
      <c r="H21" s="37">
        <v>72.3</v>
      </c>
      <c r="I21" s="37">
        <v>22.8</v>
      </c>
      <c r="J21" s="41">
        <v>707</v>
      </c>
      <c r="K21" s="37">
        <v>13</v>
      </c>
      <c r="L21" s="451">
        <v>123</v>
      </c>
      <c r="M21" s="451">
        <v>222</v>
      </c>
      <c r="N21" s="451">
        <v>85</v>
      </c>
      <c r="O21" s="353">
        <v>30</v>
      </c>
      <c r="P21" s="353">
        <v>15</v>
      </c>
      <c r="Q21" s="353">
        <v>231.31</v>
      </c>
      <c r="R21" s="37"/>
      <c r="S21" s="508" t="str">
        <f t="shared" si="0"/>
        <v/>
      </c>
      <c r="T21" s="508"/>
      <c r="U21" s="508"/>
      <c r="V21" s="508"/>
      <c r="X21" s="45">
        <v>0.25</v>
      </c>
      <c r="Y21" s="106"/>
      <c r="Z21" s="102"/>
      <c r="AA21" s="102"/>
      <c r="AB21" s="45" t="str">
        <f t="shared" si="18"/>
        <v/>
      </c>
      <c r="AC21" s="45" t="str">
        <f t="shared" si="1"/>
        <v/>
      </c>
      <c r="AD21" s="81"/>
      <c r="AE21" s="9" t="str">
        <f>IF(S21="","",IF(COUNTA(Z21:$Z$39)=1,IF(COUNTA(AD21:$AD$39)=1,""," ; "),IF(COUNTA(AD21:$AD$39)=1,IF(Z21="",""," ; ")," ; ")))</f>
        <v/>
      </c>
      <c r="AF21" s="9" t="str">
        <f t="shared" si="2"/>
        <v/>
      </c>
      <c r="AG21" s="90" t="str">
        <f t="shared" si="3"/>
        <v/>
      </c>
      <c r="AH21" s="204" t="s">
        <v>322</v>
      </c>
      <c r="AJ21" s="206">
        <f t="shared" si="19"/>
        <v>500</v>
      </c>
      <c r="AK21" s="206">
        <f t="shared" si="19"/>
        <v>100</v>
      </c>
      <c r="AL21" s="206">
        <f t="shared" si="19"/>
        <v>2</v>
      </c>
      <c r="AM21" s="213">
        <f t="shared" si="19"/>
        <v>0.875</v>
      </c>
      <c r="AN21" s="214">
        <f t="shared" si="19"/>
        <v>0.63607464142166403</v>
      </c>
      <c r="AO21" s="215">
        <f t="shared" si="4"/>
        <v>-14.7</v>
      </c>
      <c r="AP21" s="216">
        <f t="shared" si="5"/>
        <v>1</v>
      </c>
      <c r="AQ21" s="216">
        <f t="shared" si="6"/>
        <v>1</v>
      </c>
      <c r="AR21" s="215">
        <f t="shared" si="20"/>
        <v>158.47</v>
      </c>
      <c r="AS21" s="216">
        <f t="shared" si="7"/>
        <v>0.97679498379494789</v>
      </c>
      <c r="AT21" s="216">
        <f t="shared" si="8"/>
        <v>1.2538510821608391</v>
      </c>
      <c r="AU21" s="216">
        <f t="shared" si="9"/>
        <v>2.2360679774997898</v>
      </c>
      <c r="AV21" s="217">
        <f t="shared" si="10"/>
        <v>10.415801185754333</v>
      </c>
      <c r="AW21" s="216">
        <f t="shared" si="11"/>
        <v>0</v>
      </c>
      <c r="AX21" s="218">
        <f t="shared" si="12"/>
        <v>1.4696875479799241</v>
      </c>
      <c r="AY21" s="216">
        <f t="shared" si="13"/>
        <v>0.76851414128953044</v>
      </c>
      <c r="AZ21" s="217">
        <f t="shared" si="14"/>
        <v>3.5640070462657096</v>
      </c>
      <c r="BA21" s="216">
        <f t="shared" si="15"/>
        <v>0</v>
      </c>
      <c r="BB21" s="216">
        <f t="shared" si="16"/>
        <v>1.0084584063544275</v>
      </c>
      <c r="BC21" s="216">
        <f t="shared" si="17"/>
        <v>1</v>
      </c>
    </row>
    <row r="22" spans="1:55" ht="20.100000000000001" customHeight="1" x14ac:dyDescent="0.2">
      <c r="A22" s="45">
        <v>0.29166666666666702</v>
      </c>
      <c r="B22" s="451"/>
      <c r="C22" s="451"/>
      <c r="D22" s="451">
        <v>6.5</v>
      </c>
      <c r="E22" s="451">
        <v>65.3</v>
      </c>
      <c r="F22" s="41">
        <v>1945</v>
      </c>
      <c r="G22" s="37">
        <v>-5.5</v>
      </c>
      <c r="H22" s="37">
        <v>72.400000000000006</v>
      </c>
      <c r="I22" s="37">
        <v>22.6</v>
      </c>
      <c r="J22" s="41">
        <v>708</v>
      </c>
      <c r="K22" s="37">
        <v>13</v>
      </c>
      <c r="L22" s="451">
        <v>123</v>
      </c>
      <c r="M22" s="451">
        <v>222</v>
      </c>
      <c r="N22" s="451">
        <v>85</v>
      </c>
      <c r="O22" s="353">
        <v>30</v>
      </c>
      <c r="P22" s="353">
        <v>15</v>
      </c>
      <c r="Q22" s="353">
        <v>231.31</v>
      </c>
      <c r="R22" s="37"/>
      <c r="S22" s="508" t="str">
        <f t="shared" si="0"/>
        <v/>
      </c>
      <c r="T22" s="508"/>
      <c r="U22" s="508"/>
      <c r="V22" s="508"/>
      <c r="X22" s="45">
        <v>0.29166666666666702</v>
      </c>
      <c r="Y22" s="106"/>
      <c r="Z22" s="102"/>
      <c r="AA22" s="102"/>
      <c r="AB22" s="45" t="str">
        <f t="shared" si="18"/>
        <v/>
      </c>
      <c r="AC22" s="45" t="str">
        <f t="shared" si="1"/>
        <v/>
      </c>
      <c r="AD22" s="81"/>
      <c r="AE22" s="9" t="str">
        <f>IF(S22="","",IF(COUNTA(Z22:$Z$39)=1,IF(COUNTA(AD22:$AD$39)=1,""," ; "),IF(COUNTA(AD22:$AD$39)=1,IF(Z22="",""," ; ")," ; ")))</f>
        <v/>
      </c>
      <c r="AF22" s="9" t="str">
        <f t="shared" si="2"/>
        <v/>
      </c>
      <c r="AG22" s="90" t="str">
        <f t="shared" si="3"/>
        <v/>
      </c>
      <c r="AH22" s="204" t="s">
        <v>279</v>
      </c>
      <c r="AJ22" s="206">
        <f t="shared" si="19"/>
        <v>500</v>
      </c>
      <c r="AK22" s="206">
        <f t="shared" si="19"/>
        <v>100</v>
      </c>
      <c r="AL22" s="206">
        <f t="shared" si="19"/>
        <v>2</v>
      </c>
      <c r="AM22" s="213">
        <f t="shared" si="19"/>
        <v>0.875</v>
      </c>
      <c r="AN22" s="214">
        <f t="shared" si="19"/>
        <v>0.63607464142166403</v>
      </c>
      <c r="AO22" s="215">
        <f t="shared" si="4"/>
        <v>-14.7</v>
      </c>
      <c r="AP22" s="216">
        <f t="shared" si="5"/>
        <v>1</v>
      </c>
      <c r="AQ22" s="216">
        <f t="shared" si="6"/>
        <v>1</v>
      </c>
      <c r="AR22" s="215">
        <f t="shared" si="20"/>
        <v>158.47</v>
      </c>
      <c r="AS22" s="216">
        <f t="shared" si="7"/>
        <v>0.97679498379494789</v>
      </c>
      <c r="AT22" s="216">
        <f t="shared" si="8"/>
        <v>1.2538510821608391</v>
      </c>
      <c r="AU22" s="216">
        <f t="shared" si="9"/>
        <v>2.2360679774997898</v>
      </c>
      <c r="AV22" s="217">
        <f t="shared" si="10"/>
        <v>10.415801185754333</v>
      </c>
      <c r="AW22" s="216">
        <f t="shared" si="11"/>
        <v>0</v>
      </c>
      <c r="AX22" s="218">
        <f t="shared" si="12"/>
        <v>1.4696875479799241</v>
      </c>
      <c r="AY22" s="216">
        <f t="shared" si="13"/>
        <v>0.76851414128953044</v>
      </c>
      <c r="AZ22" s="217">
        <f t="shared" si="14"/>
        <v>3.5640070462657096</v>
      </c>
      <c r="BA22" s="216">
        <f t="shared" si="15"/>
        <v>0</v>
      </c>
      <c r="BB22" s="216">
        <f t="shared" si="16"/>
        <v>1.0084584063544275</v>
      </c>
      <c r="BC22" s="216">
        <f t="shared" si="17"/>
        <v>1</v>
      </c>
    </row>
    <row r="23" spans="1:55" ht="20.100000000000001" customHeight="1" x14ac:dyDescent="0.2">
      <c r="A23" s="45">
        <v>0.33333333333333298</v>
      </c>
      <c r="B23" s="451"/>
      <c r="C23" s="451"/>
      <c r="D23" s="451">
        <v>5.0999999999999996</v>
      </c>
      <c r="E23" s="451">
        <v>53.7</v>
      </c>
      <c r="F23" s="41">
        <v>1952</v>
      </c>
      <c r="G23" s="37">
        <v>-5.5</v>
      </c>
      <c r="H23" s="37">
        <v>72.599999999999994</v>
      </c>
      <c r="I23" s="37">
        <v>22.4</v>
      </c>
      <c r="J23" s="41">
        <v>709</v>
      </c>
      <c r="K23" s="37">
        <v>13</v>
      </c>
      <c r="L23" s="451">
        <v>122</v>
      </c>
      <c r="M23" s="451">
        <v>221</v>
      </c>
      <c r="N23" s="451">
        <v>85</v>
      </c>
      <c r="O23" s="353">
        <v>30</v>
      </c>
      <c r="P23" s="353">
        <v>15</v>
      </c>
      <c r="Q23" s="353">
        <v>231.31</v>
      </c>
      <c r="R23" s="37"/>
      <c r="S23" s="508" t="str">
        <f t="shared" si="0"/>
        <v/>
      </c>
      <c r="T23" s="508"/>
      <c r="U23" s="508"/>
      <c r="V23" s="508"/>
      <c r="X23" s="45">
        <v>0.33333333333333298</v>
      </c>
      <c r="Y23" s="106"/>
      <c r="Z23" s="102"/>
      <c r="AA23" s="102"/>
      <c r="AB23" s="45" t="str">
        <f t="shared" si="18"/>
        <v/>
      </c>
      <c r="AC23" s="45" t="str">
        <f t="shared" si="1"/>
        <v/>
      </c>
      <c r="AD23" s="81"/>
      <c r="AE23" s="9" t="str">
        <f>IF(S23="","",IF(COUNTA(Z23:$Z$39)=1,IF(COUNTA(AD23:$AD$39)=1,""," ; "),IF(COUNTA(AD23:$AD$39)=1,IF(Z23="",""," ; ")," ; ")))</f>
        <v/>
      </c>
      <c r="AF23" s="9" t="str">
        <f t="shared" si="2"/>
        <v/>
      </c>
      <c r="AG23" s="90" t="str">
        <f t="shared" si="3"/>
        <v/>
      </c>
      <c r="AH23" s="204" t="s">
        <v>274</v>
      </c>
      <c r="AJ23" s="206">
        <f t="shared" si="19"/>
        <v>500</v>
      </c>
      <c r="AK23" s="206">
        <f t="shared" si="19"/>
        <v>100</v>
      </c>
      <c r="AL23" s="206">
        <f t="shared" si="19"/>
        <v>2</v>
      </c>
      <c r="AM23" s="213">
        <f t="shared" si="19"/>
        <v>0.875</v>
      </c>
      <c r="AN23" s="214">
        <f t="shared" si="19"/>
        <v>0.63607464142166403</v>
      </c>
      <c r="AO23" s="215">
        <f t="shared" si="4"/>
        <v>-14.7</v>
      </c>
      <c r="AP23" s="216">
        <f t="shared" si="5"/>
        <v>1</v>
      </c>
      <c r="AQ23" s="216">
        <f t="shared" si="6"/>
        <v>1</v>
      </c>
      <c r="AR23" s="215">
        <f t="shared" si="20"/>
        <v>158.47</v>
      </c>
      <c r="AS23" s="216">
        <f t="shared" si="7"/>
        <v>0.97679498379494789</v>
      </c>
      <c r="AT23" s="216">
        <f t="shared" si="8"/>
        <v>1.2538510821608391</v>
      </c>
      <c r="AU23" s="216">
        <f t="shared" si="9"/>
        <v>2.2360679774997898</v>
      </c>
      <c r="AV23" s="217">
        <f t="shared" si="10"/>
        <v>10.415801185754333</v>
      </c>
      <c r="AW23" s="216">
        <f t="shared" si="11"/>
        <v>0</v>
      </c>
      <c r="AX23" s="218">
        <f t="shared" si="12"/>
        <v>1.4696875479799241</v>
      </c>
      <c r="AY23" s="216">
        <f t="shared" si="13"/>
        <v>0.76851414128953044</v>
      </c>
      <c r="AZ23" s="217">
        <f t="shared" si="14"/>
        <v>3.5640070462657096</v>
      </c>
      <c r="BA23" s="216">
        <f t="shared" si="15"/>
        <v>0</v>
      </c>
      <c r="BB23" s="216">
        <f t="shared" si="16"/>
        <v>1.0084584063544275</v>
      </c>
      <c r="BC23" s="216">
        <f t="shared" si="17"/>
        <v>1</v>
      </c>
    </row>
    <row r="24" spans="1:55" ht="20.100000000000001" customHeight="1" x14ac:dyDescent="0.2">
      <c r="A24" s="45">
        <v>0.375</v>
      </c>
      <c r="B24" s="451"/>
      <c r="C24" s="451"/>
      <c r="D24" s="451">
        <v>6.3</v>
      </c>
      <c r="E24" s="451">
        <v>56.2</v>
      </c>
      <c r="F24" s="41">
        <v>1915</v>
      </c>
      <c r="G24" s="37">
        <v>-5.5</v>
      </c>
      <c r="H24" s="37">
        <v>72</v>
      </c>
      <c r="I24" s="37">
        <v>22.1</v>
      </c>
      <c r="J24" s="41">
        <v>710</v>
      </c>
      <c r="K24" s="37">
        <v>13</v>
      </c>
      <c r="L24" s="451">
        <v>125</v>
      </c>
      <c r="M24" s="451">
        <v>221</v>
      </c>
      <c r="N24" s="451">
        <v>85</v>
      </c>
      <c r="O24" s="353">
        <v>30</v>
      </c>
      <c r="P24" s="353">
        <v>15</v>
      </c>
      <c r="Q24" s="353">
        <v>231.31</v>
      </c>
      <c r="R24" s="37"/>
      <c r="S24" s="508" t="str">
        <f t="shared" si="0"/>
        <v/>
      </c>
      <c r="T24" s="508"/>
      <c r="U24" s="508"/>
      <c r="V24" s="508"/>
      <c r="X24" s="45">
        <v>0.375</v>
      </c>
      <c r="Y24" s="106"/>
      <c r="Z24" s="102"/>
      <c r="AA24" s="102"/>
      <c r="AB24" s="45" t="str">
        <f t="shared" si="18"/>
        <v/>
      </c>
      <c r="AC24" s="45" t="str">
        <f t="shared" si="1"/>
        <v/>
      </c>
      <c r="AD24" s="81"/>
      <c r="AE24" s="9" t="str">
        <f>IF(S24="","",IF(COUNTA(Z24:$Z$39)=1,IF(COUNTA(AD24:$AD$39)=1,""," ; "),IF(COUNTA(AD24:$AD$39)=1,IF(Z24="",""," ; ")," ; ")))</f>
        <v/>
      </c>
      <c r="AF24" s="9" t="str">
        <f t="shared" si="2"/>
        <v/>
      </c>
      <c r="AG24" s="90" t="str">
        <f t="shared" si="3"/>
        <v/>
      </c>
      <c r="AH24" s="204" t="s">
        <v>307</v>
      </c>
      <c r="AJ24" s="206">
        <f t="shared" si="19"/>
        <v>500</v>
      </c>
      <c r="AK24" s="206">
        <f t="shared" si="19"/>
        <v>100</v>
      </c>
      <c r="AL24" s="206">
        <f t="shared" si="19"/>
        <v>2</v>
      </c>
      <c r="AM24" s="213">
        <f t="shared" si="19"/>
        <v>0.875</v>
      </c>
      <c r="AN24" s="214">
        <f t="shared" si="19"/>
        <v>0.63607464142166403</v>
      </c>
      <c r="AO24" s="215">
        <f t="shared" si="4"/>
        <v>-14.7</v>
      </c>
      <c r="AP24" s="216">
        <f t="shared" si="5"/>
        <v>1</v>
      </c>
      <c r="AQ24" s="216">
        <f t="shared" si="6"/>
        <v>1</v>
      </c>
      <c r="AR24" s="215">
        <f t="shared" si="20"/>
        <v>158.47</v>
      </c>
      <c r="AS24" s="216">
        <f t="shared" si="7"/>
        <v>0.97679498379494789</v>
      </c>
      <c r="AT24" s="216">
        <f t="shared" si="8"/>
        <v>1.2538510821608391</v>
      </c>
      <c r="AU24" s="216">
        <f t="shared" si="9"/>
        <v>2.2360679774997898</v>
      </c>
      <c r="AV24" s="217">
        <f t="shared" si="10"/>
        <v>10.415801185754333</v>
      </c>
      <c r="AW24" s="216">
        <f t="shared" si="11"/>
        <v>0</v>
      </c>
      <c r="AX24" s="218">
        <f t="shared" si="12"/>
        <v>1.4696875479799241</v>
      </c>
      <c r="AY24" s="216">
        <f t="shared" si="13"/>
        <v>0.76851414128953044</v>
      </c>
      <c r="AZ24" s="217">
        <f t="shared" si="14"/>
        <v>3.5640070462657096</v>
      </c>
      <c r="BA24" s="216">
        <f t="shared" si="15"/>
        <v>0</v>
      </c>
      <c r="BB24" s="216">
        <f t="shared" si="16"/>
        <v>1.0084584063544275</v>
      </c>
      <c r="BC24" s="216">
        <f t="shared" si="17"/>
        <v>1</v>
      </c>
    </row>
    <row r="25" spans="1:55" ht="20.100000000000001" customHeight="1" x14ac:dyDescent="0.2">
      <c r="A25" s="45">
        <v>0.41666666666666702</v>
      </c>
      <c r="B25" s="451"/>
      <c r="C25" s="451"/>
      <c r="D25" s="451">
        <v>7.7</v>
      </c>
      <c r="E25" s="451">
        <v>73.900000000000006</v>
      </c>
      <c r="F25" s="41">
        <v>1930</v>
      </c>
      <c r="G25" s="37">
        <v>-5.5</v>
      </c>
      <c r="H25" s="37">
        <v>72.599999999999994</v>
      </c>
      <c r="I25" s="37">
        <v>22.7</v>
      </c>
      <c r="J25" s="41">
        <v>711</v>
      </c>
      <c r="K25" s="37">
        <v>13</v>
      </c>
      <c r="L25" s="451">
        <v>125</v>
      </c>
      <c r="M25" s="451">
        <v>222</v>
      </c>
      <c r="N25" s="451">
        <v>85</v>
      </c>
      <c r="O25" s="353">
        <v>30</v>
      </c>
      <c r="P25" s="353">
        <v>15</v>
      </c>
      <c r="Q25" s="353">
        <v>231.31</v>
      </c>
      <c r="R25" s="37"/>
      <c r="S25" s="508" t="str">
        <f t="shared" si="0"/>
        <v/>
      </c>
      <c r="T25" s="508"/>
      <c r="U25" s="508"/>
      <c r="V25" s="508"/>
      <c r="X25" s="45">
        <v>0.41666666666666702</v>
      </c>
      <c r="Y25" s="106"/>
      <c r="Z25" s="102"/>
      <c r="AA25" s="102"/>
      <c r="AB25" s="45" t="str">
        <f t="shared" si="18"/>
        <v/>
      </c>
      <c r="AC25" s="45" t="str">
        <f t="shared" si="1"/>
        <v/>
      </c>
      <c r="AD25" s="81"/>
      <c r="AE25" s="9" t="str">
        <f>IF(S25="","",IF(COUNTA(Z25:$Z$39)=1,IF(COUNTA(AD25:$AD$39)=1,""," ; "),IF(COUNTA(AD25:$AD$39)=1,IF(Z25="",""," ; ")," ; ")))</f>
        <v/>
      </c>
      <c r="AF25" s="9" t="str">
        <f t="shared" si="2"/>
        <v/>
      </c>
      <c r="AG25" s="90" t="str">
        <f t="shared" si="3"/>
        <v/>
      </c>
      <c r="AH25" s="204" t="s">
        <v>225</v>
      </c>
      <c r="AJ25" s="206">
        <f t="shared" si="19"/>
        <v>500</v>
      </c>
      <c r="AK25" s="206">
        <f t="shared" si="19"/>
        <v>100</v>
      </c>
      <c r="AL25" s="206">
        <f t="shared" si="19"/>
        <v>2</v>
      </c>
      <c r="AM25" s="213">
        <f t="shared" si="19"/>
        <v>0.875</v>
      </c>
      <c r="AN25" s="214">
        <f t="shared" si="19"/>
        <v>0.63607464142166403</v>
      </c>
      <c r="AO25" s="215">
        <f t="shared" si="4"/>
        <v>-14.7</v>
      </c>
      <c r="AP25" s="216">
        <f t="shared" si="5"/>
        <v>1</v>
      </c>
      <c r="AQ25" s="216">
        <f t="shared" si="6"/>
        <v>1</v>
      </c>
      <c r="AR25" s="215">
        <f t="shared" si="20"/>
        <v>158.47</v>
      </c>
      <c r="AS25" s="216">
        <f t="shared" si="7"/>
        <v>0.97679498379494789</v>
      </c>
      <c r="AT25" s="216">
        <f t="shared" si="8"/>
        <v>1.2538510821608391</v>
      </c>
      <c r="AU25" s="216">
        <f t="shared" si="9"/>
        <v>2.2360679774997898</v>
      </c>
      <c r="AV25" s="217">
        <f t="shared" si="10"/>
        <v>10.415801185754333</v>
      </c>
      <c r="AW25" s="216">
        <f t="shared" si="11"/>
        <v>0</v>
      </c>
      <c r="AX25" s="218">
        <f t="shared" si="12"/>
        <v>1.4696875479799241</v>
      </c>
      <c r="AY25" s="216">
        <f t="shared" si="13"/>
        <v>0.76851414128953044</v>
      </c>
      <c r="AZ25" s="217">
        <f t="shared" si="14"/>
        <v>3.5640070462657096</v>
      </c>
      <c r="BA25" s="216">
        <f t="shared" si="15"/>
        <v>0</v>
      </c>
      <c r="BB25" s="216">
        <f t="shared" si="16"/>
        <v>1.0084584063544275</v>
      </c>
      <c r="BC25" s="216">
        <f t="shared" si="17"/>
        <v>1</v>
      </c>
    </row>
    <row r="26" spans="1:55" ht="20.100000000000001" customHeight="1" x14ac:dyDescent="0.2">
      <c r="A26" s="45">
        <v>0.45833333333333298</v>
      </c>
      <c r="B26" s="451"/>
      <c r="C26" s="451"/>
      <c r="D26" s="451">
        <v>8</v>
      </c>
      <c r="E26" s="451">
        <v>52.7</v>
      </c>
      <c r="F26" s="41">
        <v>1942</v>
      </c>
      <c r="G26" s="37">
        <v>-5.5</v>
      </c>
      <c r="H26" s="37">
        <v>72.5</v>
      </c>
      <c r="I26" s="37">
        <v>22.9</v>
      </c>
      <c r="J26" s="41">
        <v>712</v>
      </c>
      <c r="K26" s="37">
        <v>13</v>
      </c>
      <c r="L26" s="451">
        <v>120</v>
      </c>
      <c r="M26" s="451">
        <v>223</v>
      </c>
      <c r="N26" s="451">
        <v>85</v>
      </c>
      <c r="O26" s="353">
        <v>30</v>
      </c>
      <c r="P26" s="353">
        <v>16</v>
      </c>
      <c r="Q26" s="353">
        <v>238.82</v>
      </c>
      <c r="R26" s="37"/>
      <c r="S26" s="508" t="str">
        <f t="shared" si="0"/>
        <v/>
      </c>
      <c r="T26" s="508"/>
      <c r="U26" s="508"/>
      <c r="V26" s="508"/>
      <c r="X26" s="45">
        <v>0.45833333333333298</v>
      </c>
      <c r="Y26" s="106"/>
      <c r="Z26" s="102"/>
      <c r="AA26" s="102"/>
      <c r="AB26" s="45" t="str">
        <f t="shared" si="18"/>
        <v/>
      </c>
      <c r="AC26" s="45" t="str">
        <f t="shared" si="1"/>
        <v/>
      </c>
      <c r="AD26" s="81"/>
      <c r="AE26" s="9" t="str">
        <f>IF(S26="","",IF(COUNTA(Z26:$Z$39)=1,IF(COUNTA(AD26:$AD$39)=1,""," ; "),IF(COUNTA(AD26:$AD$39)=1,IF(Z26="",""," ; ")," ; ")))</f>
        <v/>
      </c>
      <c r="AF26" s="9" t="str">
        <f t="shared" si="2"/>
        <v/>
      </c>
      <c r="AG26" s="90" t="str">
        <f t="shared" si="3"/>
        <v/>
      </c>
      <c r="AH26" s="204" t="s">
        <v>287</v>
      </c>
      <c r="AJ26" s="206">
        <f t="shared" si="19"/>
        <v>500</v>
      </c>
      <c r="AK26" s="206">
        <f t="shared" si="19"/>
        <v>100</v>
      </c>
      <c r="AL26" s="206">
        <f t="shared" si="19"/>
        <v>2</v>
      </c>
      <c r="AM26" s="213">
        <f t="shared" si="19"/>
        <v>0.875</v>
      </c>
      <c r="AN26" s="214">
        <f t="shared" si="19"/>
        <v>0.63607464142166403</v>
      </c>
      <c r="AO26" s="215">
        <f t="shared" si="4"/>
        <v>-14.7</v>
      </c>
      <c r="AP26" s="216">
        <f t="shared" si="5"/>
        <v>1</v>
      </c>
      <c r="AQ26" s="216">
        <f t="shared" si="6"/>
        <v>1</v>
      </c>
      <c r="AR26" s="215">
        <f t="shared" si="20"/>
        <v>158.47</v>
      </c>
      <c r="AS26" s="216">
        <f t="shared" si="7"/>
        <v>0.97679498379494789</v>
      </c>
      <c r="AT26" s="216">
        <f t="shared" si="8"/>
        <v>1.2538510821608391</v>
      </c>
      <c r="AU26" s="216">
        <f t="shared" si="9"/>
        <v>2.2360679774997898</v>
      </c>
      <c r="AV26" s="217">
        <f t="shared" si="10"/>
        <v>10.415801185754333</v>
      </c>
      <c r="AW26" s="216">
        <f t="shared" si="11"/>
        <v>0</v>
      </c>
      <c r="AX26" s="218">
        <f t="shared" si="12"/>
        <v>1.4696875479799241</v>
      </c>
      <c r="AY26" s="216">
        <f t="shared" si="13"/>
        <v>0.76851414128953044</v>
      </c>
      <c r="AZ26" s="217">
        <f t="shared" si="14"/>
        <v>3.5640070462657096</v>
      </c>
      <c r="BA26" s="216">
        <f t="shared" si="15"/>
        <v>0</v>
      </c>
      <c r="BB26" s="216">
        <f t="shared" si="16"/>
        <v>1.0084584063544275</v>
      </c>
      <c r="BC26" s="216">
        <f t="shared" si="17"/>
        <v>1</v>
      </c>
    </row>
    <row r="27" spans="1:55" ht="20.100000000000001" customHeight="1" x14ac:dyDescent="0.2">
      <c r="A27" s="45">
        <v>0.5</v>
      </c>
      <c r="B27" s="451"/>
      <c r="C27" s="451"/>
      <c r="D27" s="451">
        <v>6.3</v>
      </c>
      <c r="E27" s="451">
        <v>65.900000000000006</v>
      </c>
      <c r="F27" s="41">
        <v>1951</v>
      </c>
      <c r="G27" s="37">
        <v>-5.5</v>
      </c>
      <c r="H27" s="37">
        <v>72.099999999999994</v>
      </c>
      <c r="I27" s="37">
        <v>22.5</v>
      </c>
      <c r="J27" s="41">
        <v>713</v>
      </c>
      <c r="K27" s="37">
        <v>13</v>
      </c>
      <c r="L27" s="451">
        <v>124</v>
      </c>
      <c r="M27" s="451">
        <v>220</v>
      </c>
      <c r="N27" s="451">
        <v>85</v>
      </c>
      <c r="O27" s="353">
        <v>30</v>
      </c>
      <c r="P27" s="353">
        <v>10</v>
      </c>
      <c r="Q27" s="353">
        <v>189.2</v>
      </c>
      <c r="R27" s="37"/>
      <c r="S27" s="508" t="str">
        <f t="shared" si="0"/>
        <v/>
      </c>
      <c r="T27" s="508"/>
      <c r="U27" s="508"/>
      <c r="V27" s="508"/>
      <c r="X27" s="45">
        <v>0.5</v>
      </c>
      <c r="Y27" s="106"/>
      <c r="Z27" s="102"/>
      <c r="AA27" s="102"/>
      <c r="AB27" s="45" t="str">
        <f t="shared" si="18"/>
        <v/>
      </c>
      <c r="AC27" s="45" t="str">
        <f t="shared" si="1"/>
        <v/>
      </c>
      <c r="AD27" s="81"/>
      <c r="AE27" s="9" t="str">
        <f>IF(S27="","",IF(COUNTA(Z27:$Z$39)=1,IF(COUNTA(AD27:$AD$39)=1,""," ; "),IF(COUNTA(AD27:$AD$39)=1,IF(Z27="",""," ; ")," ; ")))</f>
        <v/>
      </c>
      <c r="AF27" s="9" t="str">
        <f t="shared" si="2"/>
        <v/>
      </c>
      <c r="AG27" s="90" t="str">
        <f t="shared" si="3"/>
        <v/>
      </c>
      <c r="AH27" s="204" t="s">
        <v>276</v>
      </c>
      <c r="AJ27" s="206">
        <f t="shared" si="19"/>
        <v>500</v>
      </c>
      <c r="AK27" s="206">
        <f t="shared" si="19"/>
        <v>100</v>
      </c>
      <c r="AL27" s="206">
        <f t="shared" si="19"/>
        <v>2</v>
      </c>
      <c r="AM27" s="213">
        <f t="shared" si="19"/>
        <v>0.875</v>
      </c>
      <c r="AN27" s="214">
        <f t="shared" si="19"/>
        <v>0.63607464142166403</v>
      </c>
      <c r="AO27" s="215">
        <f t="shared" si="4"/>
        <v>-14.7</v>
      </c>
      <c r="AP27" s="216">
        <f t="shared" si="5"/>
        <v>1</v>
      </c>
      <c r="AQ27" s="216">
        <f t="shared" si="6"/>
        <v>1</v>
      </c>
      <c r="AR27" s="215">
        <f t="shared" si="20"/>
        <v>158.47</v>
      </c>
      <c r="AS27" s="216">
        <f t="shared" si="7"/>
        <v>0.97679498379494789</v>
      </c>
      <c r="AT27" s="216">
        <f t="shared" si="8"/>
        <v>1.2538510821608391</v>
      </c>
      <c r="AU27" s="216">
        <f t="shared" si="9"/>
        <v>2.2360679774997898</v>
      </c>
      <c r="AV27" s="217">
        <f t="shared" si="10"/>
        <v>10.415801185754333</v>
      </c>
      <c r="AW27" s="216">
        <f t="shared" si="11"/>
        <v>0</v>
      </c>
      <c r="AX27" s="218">
        <f t="shared" si="12"/>
        <v>1.4696875479799241</v>
      </c>
      <c r="AY27" s="216">
        <f t="shared" si="13"/>
        <v>0.76851414128953044</v>
      </c>
      <c r="AZ27" s="217">
        <f t="shared" si="14"/>
        <v>3.5640070462657096</v>
      </c>
      <c r="BA27" s="216">
        <f t="shared" si="15"/>
        <v>0</v>
      </c>
      <c r="BB27" s="216">
        <f t="shared" si="16"/>
        <v>1.0084584063544275</v>
      </c>
      <c r="BC27" s="216">
        <f t="shared" si="17"/>
        <v>1</v>
      </c>
    </row>
    <row r="28" spans="1:55" ht="20.100000000000001" customHeight="1" x14ac:dyDescent="0.2">
      <c r="A28" s="45">
        <v>0.54166666666666696</v>
      </c>
      <c r="B28" s="451"/>
      <c r="C28" s="451"/>
      <c r="D28" s="451">
        <v>5.8</v>
      </c>
      <c r="E28" s="451">
        <v>63.2</v>
      </c>
      <c r="F28" s="41">
        <v>1930</v>
      </c>
      <c r="G28" s="37">
        <v>-5.5</v>
      </c>
      <c r="H28" s="37">
        <v>72.3</v>
      </c>
      <c r="I28" s="37">
        <v>22.6</v>
      </c>
      <c r="J28" s="41">
        <v>714</v>
      </c>
      <c r="K28" s="37">
        <v>13</v>
      </c>
      <c r="L28" s="451">
        <v>124</v>
      </c>
      <c r="M28" s="451">
        <v>220</v>
      </c>
      <c r="N28" s="451">
        <v>85</v>
      </c>
      <c r="O28" s="353">
        <v>60</v>
      </c>
      <c r="P28" s="353">
        <v>12</v>
      </c>
      <c r="Q28" s="353">
        <v>268.58999999999997</v>
      </c>
      <c r="R28" s="37"/>
      <c r="S28" s="508" t="str">
        <f t="shared" si="0"/>
        <v/>
      </c>
      <c r="T28" s="508"/>
      <c r="U28" s="508"/>
      <c r="V28" s="508"/>
      <c r="X28" s="45">
        <v>0.54166666666666696</v>
      </c>
      <c r="Y28" s="106"/>
      <c r="Z28" s="102"/>
      <c r="AA28" s="102"/>
      <c r="AB28" s="45" t="str">
        <f t="shared" si="18"/>
        <v/>
      </c>
      <c r="AC28" s="45" t="str">
        <f t="shared" si="1"/>
        <v/>
      </c>
      <c r="AD28" s="81"/>
      <c r="AE28" s="9" t="str">
        <f>IF(S28="","",IF(COUNTA(Z28:$Z$39)=1,IF(COUNTA(AD28:$AD$39)=1,""," ; "),IF(COUNTA(AD28:$AD$39)=1,IF(Z28="",""," ; ")," ; ")))</f>
        <v/>
      </c>
      <c r="AF28" s="9" t="str">
        <f t="shared" si="2"/>
        <v/>
      </c>
      <c r="AG28" s="90" t="str">
        <f t="shared" si="3"/>
        <v/>
      </c>
      <c r="AH28" s="204" t="s">
        <v>278</v>
      </c>
      <c r="AJ28" s="206">
        <f t="shared" si="19"/>
        <v>500</v>
      </c>
      <c r="AK28" s="206">
        <f t="shared" si="19"/>
        <v>100</v>
      </c>
      <c r="AL28" s="206">
        <f t="shared" si="19"/>
        <v>2</v>
      </c>
      <c r="AM28" s="213">
        <f t="shared" si="19"/>
        <v>0.875</v>
      </c>
      <c r="AN28" s="214">
        <f t="shared" si="19"/>
        <v>0.63607464142166403</v>
      </c>
      <c r="AO28" s="215">
        <f t="shared" si="4"/>
        <v>-14.7</v>
      </c>
      <c r="AP28" s="216">
        <f t="shared" si="5"/>
        <v>1</v>
      </c>
      <c r="AQ28" s="216">
        <f t="shared" si="6"/>
        <v>1</v>
      </c>
      <c r="AR28" s="215">
        <f t="shared" si="20"/>
        <v>158.47</v>
      </c>
      <c r="AS28" s="216">
        <f t="shared" si="7"/>
        <v>0.97679498379494789</v>
      </c>
      <c r="AT28" s="216">
        <f t="shared" si="8"/>
        <v>1.2538510821608391</v>
      </c>
      <c r="AU28" s="216">
        <f t="shared" si="9"/>
        <v>2.2360679774997898</v>
      </c>
      <c r="AV28" s="217">
        <f t="shared" si="10"/>
        <v>10.415801185754333</v>
      </c>
      <c r="AW28" s="216">
        <f t="shared" si="11"/>
        <v>0</v>
      </c>
      <c r="AX28" s="218">
        <f t="shared" si="12"/>
        <v>1.4696875479799241</v>
      </c>
      <c r="AY28" s="216">
        <f t="shared" si="13"/>
        <v>0.76851414128953044</v>
      </c>
      <c r="AZ28" s="217">
        <f t="shared" si="14"/>
        <v>3.5640070462657096</v>
      </c>
      <c r="BA28" s="216">
        <f t="shared" si="15"/>
        <v>0</v>
      </c>
      <c r="BB28" s="216">
        <f t="shared" si="16"/>
        <v>1.0084584063544275</v>
      </c>
      <c r="BC28" s="216">
        <f t="shared" si="17"/>
        <v>1</v>
      </c>
    </row>
    <row r="29" spans="1:55" ht="20.100000000000001" customHeight="1" x14ac:dyDescent="0.2">
      <c r="A29" s="45">
        <v>0.58333333333333304</v>
      </c>
      <c r="B29" s="451"/>
      <c r="C29" s="451"/>
      <c r="D29" s="451">
        <v>6.1</v>
      </c>
      <c r="E29" s="451">
        <v>66.7</v>
      </c>
      <c r="F29" s="41">
        <v>1948</v>
      </c>
      <c r="G29" s="37">
        <v>-5.5</v>
      </c>
      <c r="H29" s="37">
        <v>72.400000000000006</v>
      </c>
      <c r="I29" s="37">
        <v>22.4</v>
      </c>
      <c r="J29" s="41">
        <v>715</v>
      </c>
      <c r="K29" s="37">
        <v>13</v>
      </c>
      <c r="L29" s="451">
        <v>127</v>
      </c>
      <c r="M29" s="451">
        <v>225</v>
      </c>
      <c r="N29" s="451">
        <v>85</v>
      </c>
      <c r="O29" s="353">
        <v>60</v>
      </c>
      <c r="P29" s="353">
        <v>12</v>
      </c>
      <c r="Q29" s="353">
        <v>268.58999999999997</v>
      </c>
      <c r="R29" s="37"/>
      <c r="S29" s="508" t="str">
        <f t="shared" si="0"/>
        <v/>
      </c>
      <c r="T29" s="508"/>
      <c r="U29" s="508"/>
      <c r="V29" s="508"/>
      <c r="X29" s="45">
        <v>0.58333333333333304</v>
      </c>
      <c r="Y29" s="106"/>
      <c r="Z29" s="102"/>
      <c r="AA29" s="102"/>
      <c r="AB29" s="45" t="str">
        <f t="shared" si="18"/>
        <v/>
      </c>
      <c r="AC29" s="45" t="str">
        <f t="shared" si="1"/>
        <v/>
      </c>
      <c r="AD29" s="81"/>
      <c r="AE29" s="9" t="str">
        <f>IF(S29="","",IF(COUNTA(Z29:$Z$39)=1,IF(COUNTA(AD29:$AD$39)=1,""," ; "),IF(COUNTA(AD29:$AD$39)=1,IF(Z29="",""," ; ")," ; ")))</f>
        <v/>
      </c>
      <c r="AF29" s="9" t="str">
        <f t="shared" si="2"/>
        <v/>
      </c>
      <c r="AG29" s="90" t="str">
        <f t="shared" si="3"/>
        <v/>
      </c>
      <c r="AH29" s="204" t="s">
        <v>224</v>
      </c>
      <c r="AJ29" s="206">
        <f t="shared" si="19"/>
        <v>500</v>
      </c>
      <c r="AK29" s="206">
        <f t="shared" si="19"/>
        <v>100</v>
      </c>
      <c r="AL29" s="206">
        <f t="shared" si="19"/>
        <v>2</v>
      </c>
      <c r="AM29" s="213">
        <f t="shared" si="19"/>
        <v>0.875</v>
      </c>
      <c r="AN29" s="214">
        <f t="shared" si="19"/>
        <v>0.63607464142166403</v>
      </c>
      <c r="AO29" s="215">
        <f t="shared" si="4"/>
        <v>-14.7</v>
      </c>
      <c r="AP29" s="216">
        <f t="shared" si="5"/>
        <v>1</v>
      </c>
      <c r="AQ29" s="216">
        <f t="shared" si="6"/>
        <v>1</v>
      </c>
      <c r="AR29" s="215">
        <f t="shared" si="20"/>
        <v>158.47</v>
      </c>
      <c r="AS29" s="216">
        <f t="shared" si="7"/>
        <v>0.97679498379494789</v>
      </c>
      <c r="AT29" s="216">
        <f t="shared" si="8"/>
        <v>1.2538510821608391</v>
      </c>
      <c r="AU29" s="216">
        <f t="shared" si="9"/>
        <v>2.2360679774997898</v>
      </c>
      <c r="AV29" s="217">
        <f t="shared" si="10"/>
        <v>10.415801185754333</v>
      </c>
      <c r="AW29" s="216">
        <f t="shared" si="11"/>
        <v>0</v>
      </c>
      <c r="AX29" s="218">
        <f t="shared" si="12"/>
        <v>1.4696875479799241</v>
      </c>
      <c r="AY29" s="216">
        <f t="shared" si="13"/>
        <v>0.76851414128953044</v>
      </c>
      <c r="AZ29" s="217">
        <f t="shared" si="14"/>
        <v>3.5640070462657096</v>
      </c>
      <c r="BA29" s="216">
        <f t="shared" si="15"/>
        <v>0</v>
      </c>
      <c r="BB29" s="216">
        <f t="shared" si="16"/>
        <v>1.0084584063544275</v>
      </c>
      <c r="BC29" s="216">
        <f t="shared" si="17"/>
        <v>1</v>
      </c>
    </row>
    <row r="30" spans="1:55" ht="20.100000000000001" customHeight="1" x14ac:dyDescent="0.2">
      <c r="A30" s="45">
        <v>0.625</v>
      </c>
      <c r="B30" s="451"/>
      <c r="C30" s="451"/>
      <c r="D30" s="451">
        <v>6.6</v>
      </c>
      <c r="E30" s="451">
        <v>64.8</v>
      </c>
      <c r="F30" s="41">
        <v>1922</v>
      </c>
      <c r="G30" s="37">
        <v>-5.5</v>
      </c>
      <c r="H30" s="37">
        <v>72.3</v>
      </c>
      <c r="I30" s="37">
        <v>22.8</v>
      </c>
      <c r="J30" s="41">
        <v>716</v>
      </c>
      <c r="K30" s="37">
        <v>13</v>
      </c>
      <c r="L30" s="451">
        <v>122</v>
      </c>
      <c r="M30" s="451">
        <v>221</v>
      </c>
      <c r="N30" s="451">
        <v>85</v>
      </c>
      <c r="O30" s="353">
        <v>60</v>
      </c>
      <c r="P30" s="353">
        <v>12</v>
      </c>
      <c r="Q30" s="353">
        <v>268.58999999999997</v>
      </c>
      <c r="R30" s="37"/>
      <c r="S30" s="508" t="str">
        <f t="shared" si="0"/>
        <v/>
      </c>
      <c r="T30" s="508"/>
      <c r="U30" s="508"/>
      <c r="V30" s="508"/>
      <c r="X30" s="45">
        <v>0.625</v>
      </c>
      <c r="Y30" s="106"/>
      <c r="Z30" s="102"/>
      <c r="AA30" s="102"/>
      <c r="AB30" s="45" t="str">
        <f t="shared" si="18"/>
        <v/>
      </c>
      <c r="AC30" s="45" t="str">
        <f t="shared" si="1"/>
        <v/>
      </c>
      <c r="AD30" s="81"/>
      <c r="AE30" s="9" t="str">
        <f>IF(S30="","",IF(COUNTA(Z30:$Z$39)=1,IF(COUNTA(AD30:$AD$39)=1,""," ; "),IF(COUNTA(AD30:$AD$39)=1,IF(Z30="",""," ; ")," ; ")))</f>
        <v/>
      </c>
      <c r="AF30" s="9" t="str">
        <f t="shared" si="2"/>
        <v/>
      </c>
      <c r="AG30" s="90" t="str">
        <f t="shared" si="3"/>
        <v/>
      </c>
      <c r="AH30" s="204" t="s">
        <v>260</v>
      </c>
      <c r="AJ30" s="206">
        <f t="shared" si="19"/>
        <v>500</v>
      </c>
      <c r="AK30" s="206">
        <f t="shared" si="19"/>
        <v>100</v>
      </c>
      <c r="AL30" s="206">
        <f t="shared" si="19"/>
        <v>2</v>
      </c>
      <c r="AM30" s="213">
        <f t="shared" si="19"/>
        <v>0.875</v>
      </c>
      <c r="AN30" s="214">
        <f t="shared" si="19"/>
        <v>0.63607464142166403</v>
      </c>
      <c r="AO30" s="215">
        <f t="shared" si="4"/>
        <v>-14.7</v>
      </c>
      <c r="AP30" s="216">
        <f t="shared" si="5"/>
        <v>1</v>
      </c>
      <c r="AQ30" s="216">
        <f t="shared" si="6"/>
        <v>1</v>
      </c>
      <c r="AR30" s="215">
        <f t="shared" si="20"/>
        <v>158.47</v>
      </c>
      <c r="AS30" s="216">
        <f t="shared" si="7"/>
        <v>0.97679498379494789</v>
      </c>
      <c r="AT30" s="216">
        <f t="shared" si="8"/>
        <v>1.2538510821608391</v>
      </c>
      <c r="AU30" s="216">
        <f t="shared" si="9"/>
        <v>2.2360679774997898</v>
      </c>
      <c r="AV30" s="217">
        <f t="shared" si="10"/>
        <v>10.415801185754333</v>
      </c>
      <c r="AW30" s="216">
        <f t="shared" si="11"/>
        <v>0</v>
      </c>
      <c r="AX30" s="218">
        <f t="shared" si="12"/>
        <v>1.4696875479799241</v>
      </c>
      <c r="AY30" s="216">
        <f t="shared" si="13"/>
        <v>0.76851414128953044</v>
      </c>
      <c r="AZ30" s="217">
        <f t="shared" si="14"/>
        <v>3.5640070462657096</v>
      </c>
      <c r="BA30" s="216">
        <f t="shared" si="15"/>
        <v>0</v>
      </c>
      <c r="BB30" s="216">
        <f t="shared" si="16"/>
        <v>1.0084584063544275</v>
      </c>
      <c r="BC30" s="216">
        <f t="shared" si="17"/>
        <v>1</v>
      </c>
    </row>
    <row r="31" spans="1:55" ht="20.100000000000001" customHeight="1" x14ac:dyDescent="0.2">
      <c r="A31" s="45">
        <v>0.66666666666666696</v>
      </c>
      <c r="B31" s="451"/>
      <c r="C31" s="451"/>
      <c r="D31" s="451">
        <v>5.9</v>
      </c>
      <c r="E31" s="451">
        <v>63.4</v>
      </c>
      <c r="F31" s="41">
        <v>1937</v>
      </c>
      <c r="G31" s="37">
        <v>-5.5</v>
      </c>
      <c r="H31" s="37">
        <v>72.7</v>
      </c>
      <c r="I31" s="37">
        <v>22.5</v>
      </c>
      <c r="J31" s="41">
        <v>717</v>
      </c>
      <c r="K31" s="37">
        <v>13</v>
      </c>
      <c r="L31" s="451">
        <v>126</v>
      </c>
      <c r="M31" s="451">
        <v>221</v>
      </c>
      <c r="N31" s="451">
        <v>85</v>
      </c>
      <c r="O31" s="353">
        <v>60</v>
      </c>
      <c r="P31" s="353">
        <v>12</v>
      </c>
      <c r="Q31" s="353">
        <v>268.58999999999997</v>
      </c>
      <c r="R31" s="37"/>
      <c r="S31" s="508" t="str">
        <f t="shared" si="0"/>
        <v/>
      </c>
      <c r="T31" s="508"/>
      <c r="U31" s="508"/>
      <c r="V31" s="508"/>
      <c r="X31" s="45">
        <v>0.66666666666666696</v>
      </c>
      <c r="Y31" s="106"/>
      <c r="Z31" s="102"/>
      <c r="AA31" s="102"/>
      <c r="AB31" s="45" t="str">
        <f t="shared" si="18"/>
        <v/>
      </c>
      <c r="AC31" s="45" t="str">
        <f t="shared" si="1"/>
        <v/>
      </c>
      <c r="AD31" s="81"/>
      <c r="AE31" s="9" t="str">
        <f>IF(S31="","",IF(COUNTA(Z31:$Z$39)=1,IF(COUNTA(AD31:$AD$39)=1,""," ; "),IF(COUNTA(AD31:$AD$39)=1,IF(Z31="",""," ; ")," ; ")))</f>
        <v/>
      </c>
      <c r="AF31" s="9" t="str">
        <f t="shared" si="2"/>
        <v/>
      </c>
      <c r="AG31" s="90" t="str">
        <f t="shared" si="3"/>
        <v/>
      </c>
      <c r="AH31" s="204" t="s">
        <v>226</v>
      </c>
      <c r="AJ31" s="206">
        <f t="shared" si="19"/>
        <v>500</v>
      </c>
      <c r="AK31" s="206">
        <f t="shared" si="19"/>
        <v>100</v>
      </c>
      <c r="AL31" s="206">
        <f t="shared" si="19"/>
        <v>2</v>
      </c>
      <c r="AM31" s="213">
        <f t="shared" si="19"/>
        <v>0.875</v>
      </c>
      <c r="AN31" s="214">
        <f t="shared" si="19"/>
        <v>0.63607464142166403</v>
      </c>
      <c r="AO31" s="215">
        <f t="shared" si="4"/>
        <v>-14.7</v>
      </c>
      <c r="AP31" s="216">
        <f t="shared" si="5"/>
        <v>1</v>
      </c>
      <c r="AQ31" s="216">
        <f t="shared" si="6"/>
        <v>1</v>
      </c>
      <c r="AR31" s="215">
        <f t="shared" si="20"/>
        <v>158.47</v>
      </c>
      <c r="AS31" s="216">
        <f t="shared" si="7"/>
        <v>0.97679498379494789</v>
      </c>
      <c r="AT31" s="216">
        <f t="shared" si="8"/>
        <v>1.2538510821608391</v>
      </c>
      <c r="AU31" s="216">
        <f t="shared" si="9"/>
        <v>2.2360679774997898</v>
      </c>
      <c r="AV31" s="217">
        <f t="shared" si="10"/>
        <v>10.415801185754333</v>
      </c>
      <c r="AW31" s="216">
        <f t="shared" si="11"/>
        <v>0</v>
      </c>
      <c r="AX31" s="218">
        <f t="shared" si="12"/>
        <v>1.4696875479799241</v>
      </c>
      <c r="AY31" s="216">
        <f t="shared" si="13"/>
        <v>0.76851414128953044</v>
      </c>
      <c r="AZ31" s="217">
        <f t="shared" si="14"/>
        <v>3.5640070462657096</v>
      </c>
      <c r="BA31" s="216">
        <f t="shared" si="15"/>
        <v>0</v>
      </c>
      <c r="BB31" s="216">
        <f t="shared" si="16"/>
        <v>1.0084584063544275</v>
      </c>
      <c r="BC31" s="216">
        <f t="shared" si="17"/>
        <v>1</v>
      </c>
    </row>
    <row r="32" spans="1:55" ht="20.100000000000001" customHeight="1" x14ac:dyDescent="0.2">
      <c r="A32" s="45">
        <v>0.70833333333333304</v>
      </c>
      <c r="B32" s="451"/>
      <c r="C32" s="451"/>
      <c r="D32" s="451">
        <v>5.4</v>
      </c>
      <c r="E32" s="451">
        <v>59.6</v>
      </c>
      <c r="F32" s="41">
        <v>1946</v>
      </c>
      <c r="G32" s="37">
        <v>-5.5</v>
      </c>
      <c r="H32" s="37">
        <v>72</v>
      </c>
      <c r="I32" s="37">
        <v>22.4</v>
      </c>
      <c r="J32" s="41">
        <v>718</v>
      </c>
      <c r="K32" s="37">
        <v>13</v>
      </c>
      <c r="L32" s="451">
        <v>120</v>
      </c>
      <c r="M32" s="451">
        <v>219</v>
      </c>
      <c r="N32" s="451">
        <v>85</v>
      </c>
      <c r="O32" s="353">
        <v>40</v>
      </c>
      <c r="P32" s="353">
        <v>14</v>
      </c>
      <c r="Q32" s="353">
        <v>247.56</v>
      </c>
      <c r="R32" s="37"/>
      <c r="S32" s="508" t="str">
        <f t="shared" si="0"/>
        <v/>
      </c>
      <c r="T32" s="508"/>
      <c r="U32" s="508"/>
      <c r="V32" s="508"/>
      <c r="X32" s="45">
        <v>0.70833333333333304</v>
      </c>
      <c r="Y32" s="106"/>
      <c r="Z32" s="102"/>
      <c r="AA32" s="102"/>
      <c r="AB32" s="45" t="str">
        <f t="shared" si="18"/>
        <v/>
      </c>
      <c r="AC32" s="45" t="str">
        <f t="shared" si="1"/>
        <v/>
      </c>
      <c r="AD32" s="81"/>
      <c r="AE32" s="9" t="str">
        <f>IF(S32="","",IF(COUNTA(Z32:$Z$39)=1,IF(COUNTA(AD32:$AD$39)=1,""," ; "),IF(COUNTA(AD32:$AD$39)=1,IF(Z32="",""," ; ")," ; ")))</f>
        <v/>
      </c>
      <c r="AF32" s="9" t="str">
        <f t="shared" si="2"/>
        <v/>
      </c>
      <c r="AG32" s="90" t="str">
        <f t="shared" si="3"/>
        <v/>
      </c>
      <c r="AH32" s="204" t="s">
        <v>313</v>
      </c>
      <c r="AJ32" s="206">
        <f t="shared" si="19"/>
        <v>500</v>
      </c>
      <c r="AK32" s="206">
        <f t="shared" si="19"/>
        <v>100</v>
      </c>
      <c r="AL32" s="206">
        <f t="shared" si="19"/>
        <v>2</v>
      </c>
      <c r="AM32" s="213">
        <f t="shared" si="19"/>
        <v>0.875</v>
      </c>
      <c r="AN32" s="214">
        <f t="shared" si="19"/>
        <v>0.63607464142166403</v>
      </c>
      <c r="AO32" s="215">
        <f t="shared" si="4"/>
        <v>-14.7</v>
      </c>
      <c r="AP32" s="216">
        <f t="shared" si="5"/>
        <v>1</v>
      </c>
      <c r="AQ32" s="216">
        <f t="shared" si="6"/>
        <v>1</v>
      </c>
      <c r="AR32" s="215">
        <f t="shared" si="20"/>
        <v>158.47</v>
      </c>
      <c r="AS32" s="216">
        <f t="shared" si="7"/>
        <v>0.97679498379494789</v>
      </c>
      <c r="AT32" s="216">
        <f t="shared" si="8"/>
        <v>1.2538510821608391</v>
      </c>
      <c r="AU32" s="216">
        <f t="shared" si="9"/>
        <v>2.2360679774997898</v>
      </c>
      <c r="AV32" s="217">
        <f t="shared" si="10"/>
        <v>10.415801185754333</v>
      </c>
      <c r="AW32" s="216">
        <f t="shared" si="11"/>
        <v>0</v>
      </c>
      <c r="AX32" s="218">
        <f t="shared" si="12"/>
        <v>1.4696875479799241</v>
      </c>
      <c r="AY32" s="216">
        <f t="shared" si="13"/>
        <v>0.76851414128953044</v>
      </c>
      <c r="AZ32" s="217">
        <f t="shared" si="14"/>
        <v>3.5640070462657096</v>
      </c>
      <c r="BA32" s="216">
        <f t="shared" si="15"/>
        <v>0</v>
      </c>
      <c r="BB32" s="216">
        <f t="shared" si="16"/>
        <v>1.0084584063544275</v>
      </c>
      <c r="BC32" s="216">
        <f t="shared" si="17"/>
        <v>1</v>
      </c>
    </row>
    <row r="33" spans="1:55" ht="20.100000000000001" customHeight="1" x14ac:dyDescent="0.2">
      <c r="A33" s="45">
        <v>0.75</v>
      </c>
      <c r="B33" s="451"/>
      <c r="C33" s="451"/>
      <c r="D33" s="451">
        <v>6.6</v>
      </c>
      <c r="E33" s="451">
        <v>67.599999999999994</v>
      </c>
      <c r="F33" s="41">
        <v>1965</v>
      </c>
      <c r="G33" s="37">
        <v>-5.5</v>
      </c>
      <c r="H33" s="37">
        <v>72.900000000000006</v>
      </c>
      <c r="I33" s="37">
        <v>22.3</v>
      </c>
      <c r="J33" s="41">
        <v>719</v>
      </c>
      <c r="K33" s="37">
        <v>13</v>
      </c>
      <c r="L33" s="451">
        <v>121</v>
      </c>
      <c r="M33" s="451">
        <v>217</v>
      </c>
      <c r="N33" s="451">
        <v>85</v>
      </c>
      <c r="O33" s="353">
        <v>40</v>
      </c>
      <c r="P33" s="353">
        <v>14</v>
      </c>
      <c r="Q33" s="353">
        <v>247.56</v>
      </c>
      <c r="R33" s="37"/>
      <c r="S33" s="508" t="str">
        <f>IF(Z33="",IF(AD33="","",AD33),CONCATENATE(TEXT(Z33,"[hh]:mm"),IF(AA33="",""," - "&amp;TEXT(AA33,"[hh]:mm")),IF(Y33="",""," "&amp;Y33&amp;"/")," "&amp;AD33))</f>
        <v/>
      </c>
      <c r="T33" s="508"/>
      <c r="U33" s="508"/>
      <c r="V33" s="508"/>
      <c r="X33" s="45">
        <v>0.75</v>
      </c>
      <c r="Y33" s="106"/>
      <c r="Z33" s="102"/>
      <c r="AA33" s="102"/>
      <c r="AB33" s="45" t="str">
        <f t="shared" si="18"/>
        <v/>
      </c>
      <c r="AC33" s="45" t="str">
        <f t="shared" si="1"/>
        <v/>
      </c>
      <c r="AD33" s="81"/>
      <c r="AE33" s="9" t="str">
        <f>IF(S33="","",IF(COUNTA(Z33:$Z$39)=1,IF(COUNTA(AD33:$AD$39)=1,""," ; "),IF(COUNTA(AD33:$AD$39)=1,IF(Z33="",""," ; ")," ; ")))</f>
        <v/>
      </c>
      <c r="AF33" s="9" t="str">
        <f t="shared" si="2"/>
        <v/>
      </c>
      <c r="AG33" s="90" t="str">
        <f t="shared" si="3"/>
        <v/>
      </c>
      <c r="AH33" s="204" t="s">
        <v>308</v>
      </c>
      <c r="AJ33" s="206">
        <f t="shared" ref="AJ33:AN39" si="21">AJ32</f>
        <v>500</v>
      </c>
      <c r="AK33" s="206">
        <f t="shared" si="21"/>
        <v>100</v>
      </c>
      <c r="AL33" s="206">
        <f t="shared" si="21"/>
        <v>2</v>
      </c>
      <c r="AM33" s="213">
        <f t="shared" si="21"/>
        <v>0.875</v>
      </c>
      <c r="AN33" s="214">
        <f t="shared" si="21"/>
        <v>0.63607464142166403</v>
      </c>
      <c r="AO33" s="215">
        <f t="shared" si="4"/>
        <v>-14.7</v>
      </c>
      <c r="AP33" s="216">
        <f t="shared" si="5"/>
        <v>1</v>
      </c>
      <c r="AQ33" s="216">
        <f t="shared" si="6"/>
        <v>1</v>
      </c>
      <c r="AR33" s="215">
        <f t="shared" si="20"/>
        <v>158.47</v>
      </c>
      <c r="AS33" s="216">
        <f t="shared" si="7"/>
        <v>0.97679498379494789</v>
      </c>
      <c r="AT33" s="216">
        <f t="shared" si="8"/>
        <v>1.2538510821608391</v>
      </c>
      <c r="AU33" s="216">
        <f t="shared" si="9"/>
        <v>2.2360679774997898</v>
      </c>
      <c r="AV33" s="217">
        <f t="shared" si="10"/>
        <v>10.415801185754333</v>
      </c>
      <c r="AW33" s="216">
        <f t="shared" si="11"/>
        <v>0</v>
      </c>
      <c r="AX33" s="218">
        <f t="shared" si="12"/>
        <v>1.4696875479799241</v>
      </c>
      <c r="AY33" s="216">
        <f t="shared" si="13"/>
        <v>0.76851414128953044</v>
      </c>
      <c r="AZ33" s="217">
        <f t="shared" si="14"/>
        <v>3.5640070462657096</v>
      </c>
      <c r="BA33" s="216">
        <f t="shared" si="15"/>
        <v>0</v>
      </c>
      <c r="BB33" s="216">
        <f t="shared" si="16"/>
        <v>1.0084584063544275</v>
      </c>
      <c r="BC33" s="216">
        <f t="shared" si="17"/>
        <v>1</v>
      </c>
    </row>
    <row r="34" spans="1:55" ht="20.100000000000001" customHeight="1" x14ac:dyDescent="0.2">
      <c r="A34" s="45">
        <v>0.79166666666666696</v>
      </c>
      <c r="B34" s="451"/>
      <c r="C34" s="451"/>
      <c r="D34" s="451">
        <v>6.3</v>
      </c>
      <c r="E34" s="451">
        <v>62.4</v>
      </c>
      <c r="F34" s="41">
        <v>1942</v>
      </c>
      <c r="G34" s="37">
        <v>-5.5</v>
      </c>
      <c r="H34" s="37">
        <v>72.5</v>
      </c>
      <c r="I34" s="37">
        <v>22.7</v>
      </c>
      <c r="J34" s="41">
        <v>720</v>
      </c>
      <c r="K34" s="37">
        <v>13</v>
      </c>
      <c r="L34" s="451">
        <v>125</v>
      </c>
      <c r="M34" s="451">
        <v>220</v>
      </c>
      <c r="N34" s="451">
        <v>85</v>
      </c>
      <c r="O34" s="353">
        <v>40</v>
      </c>
      <c r="P34" s="353">
        <v>14</v>
      </c>
      <c r="Q34" s="353">
        <v>247.56</v>
      </c>
      <c r="R34" s="37"/>
      <c r="S34" s="508" t="str">
        <f t="shared" ref="S34:S39" si="22">IF(Z34="",IF(AD34="","",AD34),CONCATENATE(TEXT(Z34,"[hh]:mm"),IF(AA34="",""," - "&amp;TEXT(AA34,"[hh]:mm")),IF(Y34="",""," "&amp;Y34&amp;"/")," "&amp;AD34))</f>
        <v/>
      </c>
      <c r="T34" s="508"/>
      <c r="U34" s="508"/>
      <c r="V34" s="508"/>
      <c r="X34" s="45">
        <v>0.79166666666666696</v>
      </c>
      <c r="Y34" s="106"/>
      <c r="Z34" s="102"/>
      <c r="AA34" s="102"/>
      <c r="AB34" s="45" t="str">
        <f t="shared" si="18"/>
        <v/>
      </c>
      <c r="AC34" s="45" t="str">
        <f t="shared" si="1"/>
        <v/>
      </c>
      <c r="AD34" s="81"/>
      <c r="AE34" s="9" t="str">
        <f>IF(S34="","",IF(COUNTA(Z34:$Z$39)=1,IF(COUNTA(AD34:$AD$39)=1,""," ; "),IF(COUNTA(AD34:$AD$39)=1,IF(Z34="",""," ; ")," ; ")))</f>
        <v/>
      </c>
      <c r="AF34" s="9" t="str">
        <f t="shared" si="2"/>
        <v/>
      </c>
      <c r="AG34" s="90" t="str">
        <f t="shared" si="3"/>
        <v/>
      </c>
      <c r="AH34" s="204" t="s">
        <v>314</v>
      </c>
      <c r="AJ34" s="206">
        <f t="shared" si="21"/>
        <v>500</v>
      </c>
      <c r="AK34" s="206">
        <f t="shared" si="21"/>
        <v>100</v>
      </c>
      <c r="AL34" s="206">
        <f t="shared" si="21"/>
        <v>2</v>
      </c>
      <c r="AM34" s="213">
        <f t="shared" si="21"/>
        <v>0.875</v>
      </c>
      <c r="AN34" s="214">
        <f t="shared" si="21"/>
        <v>0.63607464142166403</v>
      </c>
      <c r="AO34" s="215">
        <f t="shared" si="4"/>
        <v>-14.7</v>
      </c>
      <c r="AP34" s="216">
        <f t="shared" si="5"/>
        <v>1</v>
      </c>
      <c r="AQ34" s="216">
        <f t="shared" si="6"/>
        <v>1</v>
      </c>
      <c r="AR34" s="215">
        <f t="shared" si="20"/>
        <v>158.47</v>
      </c>
      <c r="AS34" s="216">
        <f t="shared" si="7"/>
        <v>0.97679498379494789</v>
      </c>
      <c r="AT34" s="216">
        <f t="shared" si="8"/>
        <v>1.2538510821608391</v>
      </c>
      <c r="AU34" s="216">
        <f t="shared" si="9"/>
        <v>2.2360679774997898</v>
      </c>
      <c r="AV34" s="217">
        <f t="shared" si="10"/>
        <v>10.415801185754333</v>
      </c>
      <c r="AW34" s="216">
        <f t="shared" si="11"/>
        <v>0</v>
      </c>
      <c r="AX34" s="218">
        <f t="shared" si="12"/>
        <v>1.4696875479799241</v>
      </c>
      <c r="AY34" s="216">
        <f t="shared" si="13"/>
        <v>0.76851414128953044</v>
      </c>
      <c r="AZ34" s="217">
        <f t="shared" si="14"/>
        <v>3.5640070462657096</v>
      </c>
      <c r="BA34" s="216">
        <f t="shared" si="15"/>
        <v>0</v>
      </c>
      <c r="BB34" s="216">
        <f t="shared" si="16"/>
        <v>1.0084584063544275</v>
      </c>
      <c r="BC34" s="216">
        <f t="shared" si="17"/>
        <v>1</v>
      </c>
    </row>
    <row r="35" spans="1:55" ht="20.100000000000001" customHeight="1" x14ac:dyDescent="0.2">
      <c r="A35" s="45">
        <v>0.83333333333333304</v>
      </c>
      <c r="B35" s="451"/>
      <c r="C35" s="451"/>
      <c r="D35" s="451">
        <v>6.9</v>
      </c>
      <c r="E35" s="451">
        <v>63.3</v>
      </c>
      <c r="F35" s="41">
        <v>1951</v>
      </c>
      <c r="G35" s="37">
        <v>-5.5</v>
      </c>
      <c r="H35" s="37">
        <v>72.3</v>
      </c>
      <c r="I35" s="37">
        <v>22.9</v>
      </c>
      <c r="J35" s="41">
        <v>721</v>
      </c>
      <c r="K35" s="37">
        <v>13</v>
      </c>
      <c r="L35" s="451">
        <v>123</v>
      </c>
      <c r="M35" s="451">
        <v>222</v>
      </c>
      <c r="N35" s="451">
        <v>85</v>
      </c>
      <c r="O35" s="353">
        <v>45</v>
      </c>
      <c r="P35" s="353">
        <v>14</v>
      </c>
      <c r="Q35" s="353">
        <v>258.77</v>
      </c>
      <c r="R35" s="37"/>
      <c r="S35" s="508" t="str">
        <f t="shared" si="22"/>
        <v/>
      </c>
      <c r="T35" s="508"/>
      <c r="U35" s="508"/>
      <c r="V35" s="508"/>
      <c r="X35" s="45">
        <v>0.83333333333333304</v>
      </c>
      <c r="Y35" s="106"/>
      <c r="Z35" s="102"/>
      <c r="AA35" s="102"/>
      <c r="AB35" s="45" t="str">
        <f t="shared" si="18"/>
        <v/>
      </c>
      <c r="AC35" s="45" t="str">
        <f t="shared" si="1"/>
        <v/>
      </c>
      <c r="AD35" s="81"/>
      <c r="AE35" s="9" t="str">
        <f>IF(S35="","",IF(COUNTA(Z35:$Z$39)=1,IF(COUNTA(AD35:$AD$39)=1,""," ; "),IF(COUNTA(AD35:$AD$39)=1,IF(Z35="",""," ; ")," ; ")))</f>
        <v/>
      </c>
      <c r="AF35" s="9" t="str">
        <f t="shared" si="2"/>
        <v/>
      </c>
      <c r="AG35" s="90" t="str">
        <f t="shared" si="3"/>
        <v/>
      </c>
      <c r="AH35" s="204" t="s">
        <v>227</v>
      </c>
      <c r="AJ35" s="206">
        <f t="shared" si="21"/>
        <v>500</v>
      </c>
      <c r="AK35" s="206">
        <f t="shared" si="21"/>
        <v>100</v>
      </c>
      <c r="AL35" s="206">
        <f t="shared" si="21"/>
        <v>2</v>
      </c>
      <c r="AM35" s="213">
        <f t="shared" si="21"/>
        <v>0.875</v>
      </c>
      <c r="AN35" s="214">
        <f t="shared" si="21"/>
        <v>0.63607464142166403</v>
      </c>
      <c r="AO35" s="215">
        <f t="shared" si="4"/>
        <v>-14.7</v>
      </c>
      <c r="AP35" s="216">
        <f t="shared" si="5"/>
        <v>1</v>
      </c>
      <c r="AQ35" s="216">
        <f t="shared" si="6"/>
        <v>1</v>
      </c>
      <c r="AR35" s="215">
        <f t="shared" si="20"/>
        <v>158.47</v>
      </c>
      <c r="AS35" s="216">
        <f t="shared" si="7"/>
        <v>0.97679498379494789</v>
      </c>
      <c r="AT35" s="216">
        <f t="shared" si="8"/>
        <v>1.2538510821608391</v>
      </c>
      <c r="AU35" s="216">
        <f t="shared" si="9"/>
        <v>2.2360679774997898</v>
      </c>
      <c r="AV35" s="217">
        <f t="shared" si="10"/>
        <v>10.415801185754333</v>
      </c>
      <c r="AW35" s="216">
        <f t="shared" si="11"/>
        <v>0</v>
      </c>
      <c r="AX35" s="218">
        <f t="shared" si="12"/>
        <v>1.4696875479799241</v>
      </c>
      <c r="AY35" s="216">
        <f t="shared" si="13"/>
        <v>0.76851414128953044</v>
      </c>
      <c r="AZ35" s="217">
        <f t="shared" si="14"/>
        <v>3.5640070462657096</v>
      </c>
      <c r="BA35" s="216">
        <f t="shared" si="15"/>
        <v>0</v>
      </c>
      <c r="BB35" s="216">
        <f t="shared" si="16"/>
        <v>1.0084584063544275</v>
      </c>
      <c r="BC35" s="216">
        <f t="shared" si="17"/>
        <v>1</v>
      </c>
    </row>
    <row r="36" spans="1:55" ht="20.100000000000001" customHeight="1" x14ac:dyDescent="0.2">
      <c r="A36" s="45">
        <v>0.875</v>
      </c>
      <c r="B36" s="451"/>
      <c r="C36" s="451"/>
      <c r="D36" s="451">
        <v>6.3</v>
      </c>
      <c r="E36" s="451">
        <v>63.9</v>
      </c>
      <c r="F36" s="41">
        <v>1931</v>
      </c>
      <c r="G36" s="37">
        <v>-5.5</v>
      </c>
      <c r="H36" s="37">
        <v>72.599999999999994</v>
      </c>
      <c r="I36" s="37">
        <v>22.63</v>
      </c>
      <c r="J36" s="41">
        <v>722</v>
      </c>
      <c r="K36" s="37">
        <v>13</v>
      </c>
      <c r="L36" s="451">
        <v>123</v>
      </c>
      <c r="M36" s="451">
        <v>222</v>
      </c>
      <c r="N36" s="451">
        <v>85</v>
      </c>
      <c r="O36" s="353">
        <v>45</v>
      </c>
      <c r="P36" s="353">
        <v>13</v>
      </c>
      <c r="Q36" s="353">
        <v>249.43</v>
      </c>
      <c r="R36" s="37"/>
      <c r="S36" s="508" t="str">
        <f t="shared" si="22"/>
        <v/>
      </c>
      <c r="T36" s="508"/>
      <c r="U36" s="508"/>
      <c r="V36" s="508"/>
      <c r="X36" s="45">
        <v>0.875</v>
      </c>
      <c r="Y36" s="106"/>
      <c r="Z36" s="102"/>
      <c r="AA36" s="102"/>
      <c r="AB36" s="45" t="str">
        <f t="shared" si="18"/>
        <v/>
      </c>
      <c r="AC36" s="45" t="str">
        <f t="shared" si="1"/>
        <v/>
      </c>
      <c r="AD36" s="81"/>
      <c r="AE36" s="9" t="str">
        <f>IF(S36="","",IF(COUNTA(Z36:$Z$39)=1,IF(COUNTA(AD36:$AD$39)=1,""," ; "),IF(COUNTA(AD36:$AD$39)=1,IF(Z36="",""," ; ")," ; ")))</f>
        <v/>
      </c>
      <c r="AF36" s="9" t="str">
        <f t="shared" si="2"/>
        <v/>
      </c>
      <c r="AG36" s="90" t="str">
        <f t="shared" si="3"/>
        <v/>
      </c>
      <c r="AH36" s="204" t="s">
        <v>309</v>
      </c>
      <c r="AJ36" s="206">
        <f t="shared" si="21"/>
        <v>500</v>
      </c>
      <c r="AK36" s="206">
        <f t="shared" si="21"/>
        <v>100</v>
      </c>
      <c r="AL36" s="206">
        <f t="shared" si="21"/>
        <v>2</v>
      </c>
      <c r="AM36" s="213">
        <f t="shared" si="21"/>
        <v>0.875</v>
      </c>
      <c r="AN36" s="214">
        <f t="shared" si="21"/>
        <v>0.63607464142166403</v>
      </c>
      <c r="AO36" s="215">
        <f t="shared" si="4"/>
        <v>-14.7</v>
      </c>
      <c r="AP36" s="216">
        <f t="shared" si="5"/>
        <v>1</v>
      </c>
      <c r="AQ36" s="216">
        <f t="shared" si="6"/>
        <v>1</v>
      </c>
      <c r="AR36" s="215">
        <f t="shared" si="20"/>
        <v>158.47</v>
      </c>
      <c r="AS36" s="216">
        <f t="shared" si="7"/>
        <v>0.97679498379494789</v>
      </c>
      <c r="AT36" s="216">
        <f t="shared" si="8"/>
        <v>1.2538510821608391</v>
      </c>
      <c r="AU36" s="216">
        <f t="shared" si="9"/>
        <v>2.2360679774997898</v>
      </c>
      <c r="AV36" s="217">
        <f t="shared" si="10"/>
        <v>10.415801185754333</v>
      </c>
      <c r="AW36" s="216">
        <f t="shared" si="11"/>
        <v>0</v>
      </c>
      <c r="AX36" s="218">
        <f t="shared" si="12"/>
        <v>1.4696875479799241</v>
      </c>
      <c r="AY36" s="216">
        <f t="shared" si="13"/>
        <v>0.76851414128953044</v>
      </c>
      <c r="AZ36" s="217">
        <f t="shared" si="14"/>
        <v>3.5640070462657096</v>
      </c>
      <c r="BA36" s="216">
        <f t="shared" si="15"/>
        <v>0</v>
      </c>
      <c r="BB36" s="216">
        <f t="shared" si="16"/>
        <v>1.0084584063544275</v>
      </c>
      <c r="BC36" s="216">
        <f t="shared" si="17"/>
        <v>1</v>
      </c>
    </row>
    <row r="37" spans="1:55" ht="20.100000000000001" customHeight="1" x14ac:dyDescent="0.2">
      <c r="A37" s="45">
        <v>0.91666666666666696</v>
      </c>
      <c r="B37" s="451"/>
      <c r="C37" s="451"/>
      <c r="D37" s="451">
        <v>6.6</v>
      </c>
      <c r="E37" s="451">
        <v>62.5</v>
      </c>
      <c r="F37" s="41">
        <v>1963</v>
      </c>
      <c r="G37" s="37">
        <v>-5.5</v>
      </c>
      <c r="H37" s="37">
        <v>72</v>
      </c>
      <c r="I37" s="37">
        <v>22.9</v>
      </c>
      <c r="J37" s="41">
        <v>723</v>
      </c>
      <c r="K37" s="37">
        <v>13</v>
      </c>
      <c r="L37" s="451">
        <v>125</v>
      </c>
      <c r="M37" s="451">
        <v>224</v>
      </c>
      <c r="N37" s="451">
        <v>85</v>
      </c>
      <c r="O37" s="353">
        <v>45</v>
      </c>
      <c r="P37" s="353">
        <v>14</v>
      </c>
      <c r="Q37" s="353">
        <v>258.77</v>
      </c>
      <c r="R37" s="37"/>
      <c r="S37" s="508" t="str">
        <f t="shared" si="22"/>
        <v/>
      </c>
      <c r="T37" s="508"/>
      <c r="U37" s="508"/>
      <c r="V37" s="508"/>
      <c r="X37" s="45">
        <v>0.91666666666666696</v>
      </c>
      <c r="Y37" s="106"/>
      <c r="Z37" s="102"/>
      <c r="AA37" s="102"/>
      <c r="AB37" s="45" t="str">
        <f t="shared" si="18"/>
        <v/>
      </c>
      <c r="AC37" s="45" t="str">
        <f t="shared" si="1"/>
        <v/>
      </c>
      <c r="AD37" s="81"/>
      <c r="AE37" s="9" t="str">
        <f>IF(S37="","",IF(COUNTA(Z37:$Z$39)=1,IF(COUNTA(AD37:$AD$39)=1,""," ; "),IF(COUNTA(AD37:$AD$39)=1,IF(Z37="",""," ; ")," ; ")))</f>
        <v/>
      </c>
      <c r="AF37" s="9" t="str">
        <f t="shared" si="2"/>
        <v/>
      </c>
      <c r="AG37" s="90" t="str">
        <f t="shared" si="3"/>
        <v/>
      </c>
      <c r="AH37" s="204" t="s">
        <v>319</v>
      </c>
      <c r="AJ37" s="206">
        <f t="shared" si="21"/>
        <v>500</v>
      </c>
      <c r="AK37" s="206">
        <f t="shared" si="21"/>
        <v>100</v>
      </c>
      <c r="AL37" s="206">
        <f t="shared" si="21"/>
        <v>2</v>
      </c>
      <c r="AM37" s="213">
        <f t="shared" si="21"/>
        <v>0.875</v>
      </c>
      <c r="AN37" s="214">
        <f t="shared" si="21"/>
        <v>0.63607464142166403</v>
      </c>
      <c r="AO37" s="215">
        <f t="shared" si="4"/>
        <v>-14.7</v>
      </c>
      <c r="AP37" s="216">
        <f t="shared" si="5"/>
        <v>1</v>
      </c>
      <c r="AQ37" s="216">
        <f t="shared" si="6"/>
        <v>1</v>
      </c>
      <c r="AR37" s="215">
        <f t="shared" si="20"/>
        <v>158.47</v>
      </c>
      <c r="AS37" s="216">
        <f t="shared" si="7"/>
        <v>0.97679498379494789</v>
      </c>
      <c r="AT37" s="216">
        <f t="shared" si="8"/>
        <v>1.2538510821608391</v>
      </c>
      <c r="AU37" s="216">
        <f t="shared" si="9"/>
        <v>2.2360679774997898</v>
      </c>
      <c r="AV37" s="217">
        <f t="shared" si="10"/>
        <v>10.415801185754333</v>
      </c>
      <c r="AW37" s="216">
        <f t="shared" si="11"/>
        <v>0</v>
      </c>
      <c r="AX37" s="218">
        <f t="shared" si="12"/>
        <v>1.4696875479799241</v>
      </c>
      <c r="AY37" s="216">
        <f t="shared" si="13"/>
        <v>0.76851414128953044</v>
      </c>
      <c r="AZ37" s="217">
        <f t="shared" si="14"/>
        <v>3.5640070462657096</v>
      </c>
      <c r="BA37" s="216">
        <f t="shared" si="15"/>
        <v>0</v>
      </c>
      <c r="BB37" s="216">
        <f t="shared" si="16"/>
        <v>1.0084584063544275</v>
      </c>
      <c r="BC37" s="216">
        <f t="shared" si="17"/>
        <v>1</v>
      </c>
    </row>
    <row r="38" spans="1:55" ht="20.100000000000001" customHeight="1" x14ac:dyDescent="0.2">
      <c r="A38" s="45">
        <v>0.95833333333333304</v>
      </c>
      <c r="B38" s="451"/>
      <c r="C38" s="451"/>
      <c r="D38" s="451">
        <v>6.5</v>
      </c>
      <c r="E38" s="451">
        <v>62.6</v>
      </c>
      <c r="F38" s="41">
        <v>1956</v>
      </c>
      <c r="G38" s="37">
        <v>-5.5</v>
      </c>
      <c r="H38" s="37">
        <v>72.599999999999994</v>
      </c>
      <c r="I38" s="37">
        <v>22.5</v>
      </c>
      <c r="J38" s="41">
        <v>724</v>
      </c>
      <c r="K38" s="37">
        <v>13</v>
      </c>
      <c r="L38" s="451">
        <v>125</v>
      </c>
      <c r="M38" s="451">
        <v>222</v>
      </c>
      <c r="N38" s="451">
        <v>85</v>
      </c>
      <c r="O38" s="353">
        <v>45</v>
      </c>
      <c r="P38" s="353">
        <v>13</v>
      </c>
      <c r="Q38" s="353">
        <v>249.43</v>
      </c>
      <c r="R38" s="37"/>
      <c r="S38" s="508" t="str">
        <f t="shared" si="22"/>
        <v/>
      </c>
      <c r="T38" s="508"/>
      <c r="U38" s="508"/>
      <c r="V38" s="508"/>
      <c r="X38" s="45">
        <v>0.95833333333333304</v>
      </c>
      <c r="Y38" s="106"/>
      <c r="Z38" s="102"/>
      <c r="AA38" s="102"/>
      <c r="AB38" s="45" t="str">
        <f t="shared" si="18"/>
        <v/>
      </c>
      <c r="AC38" s="45" t="str">
        <f t="shared" si="1"/>
        <v/>
      </c>
      <c r="AD38" s="81"/>
      <c r="AE38" s="9" t="str">
        <f>IF(S38="","",IF(COUNTA(Z38:$Z$39)=1,IF(COUNTA(AD38:$AD$39)=1,""," ; "),IF(COUNTA(AD38:$AD$39)=1,IF(Z38="",""," ; ")," ; ")))</f>
        <v/>
      </c>
      <c r="AF38" s="9" t="str">
        <f t="shared" si="2"/>
        <v/>
      </c>
      <c r="AG38" s="90" t="str">
        <f t="shared" si="3"/>
        <v/>
      </c>
      <c r="AH38" s="204" t="s">
        <v>219</v>
      </c>
      <c r="AJ38" s="206">
        <f t="shared" si="21"/>
        <v>500</v>
      </c>
      <c r="AK38" s="206">
        <f t="shared" si="21"/>
        <v>100</v>
      </c>
      <c r="AL38" s="206">
        <f t="shared" si="21"/>
        <v>2</v>
      </c>
      <c r="AM38" s="213">
        <f t="shared" si="21"/>
        <v>0.875</v>
      </c>
      <c r="AN38" s="214">
        <f t="shared" si="21"/>
        <v>0.63607464142166403</v>
      </c>
      <c r="AO38" s="215">
        <f t="shared" si="4"/>
        <v>-14.7</v>
      </c>
      <c r="AP38" s="216">
        <f t="shared" si="5"/>
        <v>1</v>
      </c>
      <c r="AQ38" s="216">
        <f t="shared" si="6"/>
        <v>1</v>
      </c>
      <c r="AR38" s="215">
        <f t="shared" si="20"/>
        <v>158.47</v>
      </c>
      <c r="AS38" s="216">
        <f t="shared" si="7"/>
        <v>0.97679498379494789</v>
      </c>
      <c r="AT38" s="216">
        <f t="shared" si="8"/>
        <v>1.2538510821608391</v>
      </c>
      <c r="AU38" s="216">
        <f t="shared" si="9"/>
        <v>2.2360679774997898</v>
      </c>
      <c r="AV38" s="217">
        <f t="shared" si="10"/>
        <v>10.415801185754333</v>
      </c>
      <c r="AW38" s="216">
        <f t="shared" si="11"/>
        <v>0</v>
      </c>
      <c r="AX38" s="218">
        <f t="shared" si="12"/>
        <v>1.4696875479799241</v>
      </c>
      <c r="AY38" s="216">
        <f t="shared" si="13"/>
        <v>0.76851414128953044</v>
      </c>
      <c r="AZ38" s="217">
        <f t="shared" si="14"/>
        <v>3.5640070462657096</v>
      </c>
      <c r="BA38" s="216">
        <f t="shared" si="15"/>
        <v>0</v>
      </c>
      <c r="BB38" s="216">
        <f t="shared" si="16"/>
        <v>1.0084584063544275</v>
      </c>
      <c r="BC38" s="216">
        <f t="shared" si="17"/>
        <v>1</v>
      </c>
    </row>
    <row r="39" spans="1:55" ht="20.100000000000001" customHeight="1" thickBot="1" x14ac:dyDescent="0.25">
      <c r="A39" s="46">
        <v>1</v>
      </c>
      <c r="B39" s="451"/>
      <c r="C39" s="451"/>
      <c r="D39" s="452">
        <v>6.8</v>
      </c>
      <c r="E39" s="452">
        <v>62.5</v>
      </c>
      <c r="F39" s="42">
        <v>1985</v>
      </c>
      <c r="G39" s="37">
        <v>-5.5</v>
      </c>
      <c r="H39" s="37">
        <v>72.900000000000006</v>
      </c>
      <c r="I39" s="37">
        <v>22.8</v>
      </c>
      <c r="J39" s="41">
        <v>725</v>
      </c>
      <c r="K39" s="37">
        <v>13</v>
      </c>
      <c r="L39" s="452">
        <v>127</v>
      </c>
      <c r="M39" s="451">
        <v>220</v>
      </c>
      <c r="N39" s="451">
        <v>85</v>
      </c>
      <c r="O39" s="353">
        <v>45</v>
      </c>
      <c r="P39" s="353">
        <v>13</v>
      </c>
      <c r="Q39" s="354">
        <v>249.43</v>
      </c>
      <c r="R39" s="38"/>
      <c r="S39" s="512" t="str">
        <f t="shared" si="22"/>
        <v/>
      </c>
      <c r="T39" s="512"/>
      <c r="U39" s="512"/>
      <c r="V39" s="512"/>
      <c r="X39" s="46">
        <v>1</v>
      </c>
      <c r="Y39" s="107"/>
      <c r="Z39" s="103"/>
      <c r="AA39" s="103"/>
      <c r="AB39" s="46" t="str">
        <f t="shared" si="18"/>
        <v/>
      </c>
      <c r="AC39" s="46" t="str">
        <f t="shared" si="1"/>
        <v/>
      </c>
      <c r="AD39" s="82"/>
      <c r="AE39" s="9" t="str">
        <f>IF(S39="","",IF(COUNTA(Z39:$Z$39)=1,IF(COUNTA(AD39:$AD$39)=1,""," ; "),IF(COUNTA(AD39:$AD$39)=1,IF(Z39="",""," ; ")," ; ")))</f>
        <v/>
      </c>
      <c r="AF39" s="9" t="str">
        <f t="shared" si="2"/>
        <v/>
      </c>
      <c r="AG39" s="90" t="str">
        <f t="shared" si="3"/>
        <v/>
      </c>
      <c r="AH39" s="204" t="s">
        <v>220</v>
      </c>
      <c r="AJ39" s="219">
        <f t="shared" si="21"/>
        <v>500</v>
      </c>
      <c r="AK39" s="219">
        <f t="shared" si="21"/>
        <v>100</v>
      </c>
      <c r="AL39" s="219">
        <f t="shared" si="21"/>
        <v>2</v>
      </c>
      <c r="AM39" s="220">
        <f t="shared" si="21"/>
        <v>0.875</v>
      </c>
      <c r="AN39" s="221">
        <f t="shared" si="21"/>
        <v>0.63607464142166403</v>
      </c>
      <c r="AO39" s="222">
        <f t="shared" si="4"/>
        <v>-14.7</v>
      </c>
      <c r="AP39" s="223">
        <f t="shared" si="5"/>
        <v>1</v>
      </c>
      <c r="AQ39" s="223">
        <f t="shared" si="6"/>
        <v>1</v>
      </c>
      <c r="AR39" s="222">
        <f t="shared" si="20"/>
        <v>158.47</v>
      </c>
      <c r="AS39" s="223">
        <f t="shared" si="7"/>
        <v>0.97679498379494789</v>
      </c>
      <c r="AT39" s="223">
        <f t="shared" si="8"/>
        <v>1.2538510821608391</v>
      </c>
      <c r="AU39" s="223">
        <f t="shared" si="9"/>
        <v>2.2360679774997898</v>
      </c>
      <c r="AV39" s="224">
        <f t="shared" si="10"/>
        <v>10.415801185754333</v>
      </c>
      <c r="AW39" s="223">
        <f t="shared" si="11"/>
        <v>0</v>
      </c>
      <c r="AX39" s="225">
        <f t="shared" si="12"/>
        <v>1.4696875479799241</v>
      </c>
      <c r="AY39" s="223">
        <f t="shared" si="13"/>
        <v>0.76851414128953044</v>
      </c>
      <c r="AZ39" s="224">
        <f t="shared" si="14"/>
        <v>3.5640070462657096</v>
      </c>
      <c r="BA39" s="223">
        <f t="shared" si="15"/>
        <v>0</v>
      </c>
      <c r="BB39" s="223">
        <f t="shared" si="16"/>
        <v>1.0084584063544275</v>
      </c>
      <c r="BC39" s="223">
        <f t="shared" si="17"/>
        <v>1</v>
      </c>
    </row>
    <row r="40" spans="1:55" ht="20.100000000000001" customHeight="1" thickBot="1" x14ac:dyDescent="0.3">
      <c r="A40" s="53" t="s">
        <v>11</v>
      </c>
      <c r="B40" s="453" t="str">
        <f>IFERROR(ROUND(AVERAGE(B16:B39),2),"")</f>
        <v/>
      </c>
      <c r="C40" s="453" t="str">
        <f>IFERROR(ROUND(AVERAGE(C16:C39),2),"")</f>
        <v/>
      </c>
      <c r="D40" s="453">
        <f>IFERROR(ROUND(AVERAGE(D16:D39),2),"")</f>
        <v>6.3</v>
      </c>
      <c r="E40" s="453">
        <f>IFERROR(ROUND(AVERAGE(E16:E39),2),"")</f>
        <v>62.2</v>
      </c>
      <c r="F40" s="55">
        <f>IFERROR(ROUND(AVERAGE(F16:F39),0),"")</f>
        <v>1946</v>
      </c>
      <c r="G40" s="54">
        <f>IFERROR(AVERAGE(G16:G39),"")</f>
        <v>-5.5</v>
      </c>
      <c r="H40" s="54">
        <f>IFERROR(AVERAGE(H16:H39),"")</f>
        <v>72.4375</v>
      </c>
      <c r="I40" s="54">
        <f>IFERROR(AVERAGE(I16:I39),"")</f>
        <v>22.584583333333331</v>
      </c>
      <c r="J40" s="71"/>
      <c r="K40" s="111">
        <f>IFERROR(AVERAGE(K16:K39),"")</f>
        <v>13</v>
      </c>
      <c r="L40" s="453">
        <f t="shared" ref="L40:P40" si="23">IFERROR(ROUND(AVERAGE(L16:L39),1),"")</f>
        <v>123.7</v>
      </c>
      <c r="M40" s="453">
        <f t="shared" si="23"/>
        <v>221</v>
      </c>
      <c r="N40" s="453">
        <f t="shared" si="23"/>
        <v>85</v>
      </c>
      <c r="O40" s="456">
        <f t="shared" si="23"/>
        <v>41</v>
      </c>
      <c r="P40" s="456">
        <f t="shared" si="23"/>
        <v>13.7</v>
      </c>
      <c r="Q40" s="456">
        <f>IF($I$47=1,$M$49,$Q$44)</f>
        <v>234.1</v>
      </c>
      <c r="R40" s="54" t="str">
        <f>IFERROR(ROUND(AVERAGE(R16:R39),1),"")</f>
        <v/>
      </c>
      <c r="S40" s="509"/>
      <c r="T40" s="510"/>
      <c r="U40" s="510"/>
      <c r="V40" s="511"/>
      <c r="X40" s="99"/>
      <c r="Y40" s="99"/>
      <c r="Z40" s="99"/>
      <c r="AA40" s="99"/>
      <c r="AB40" s="104">
        <f>SUM(AB16:AB39)</f>
        <v>0</v>
      </c>
      <c r="AC40" s="104">
        <f>SUM(AC16:AC39)</f>
        <v>0</v>
      </c>
      <c r="AD40" s="92" t="str">
        <f>IF(OR(COUNTBLANK(D16:E39)+COUNTBLANK(O16:P39)=0,COUNTA(S16:V39)&lt;&gt;0),"","CEK : Blank Data - Remarks")</f>
        <v/>
      </c>
      <c r="AG40" s="90" t="str">
        <f>IF(COUNTIF(AG16:AG39,"")=COUNTA(AG16:AG39),"","CEK : Data Flowrate")</f>
        <v/>
      </c>
      <c r="AH40" s="204" t="s">
        <v>311</v>
      </c>
    </row>
    <row r="41" spans="1:55" ht="20.100000000000001" hidden="1" customHeight="1" thickBot="1" x14ac:dyDescent="0.3">
      <c r="A41" s="49" t="s">
        <v>12</v>
      </c>
      <c r="B41" s="52" t="str">
        <f>IF(COUNT(B16:B39)&gt;0,ROUND(MIN(B16:B39),2),"")</f>
        <v/>
      </c>
      <c r="C41" s="52" t="str">
        <f>IF(COUNT(C16:C39)&gt;0,ROUND(MIN(C16:C39),2),"")</f>
        <v/>
      </c>
      <c r="D41" s="52">
        <f>IF(COUNT(D16:D39)&gt;0,ROUND(MIN(D16:D39),2),"")</f>
        <v>5.0999999999999996</v>
      </c>
      <c r="E41" s="52">
        <f>IF(COUNT(E16:E39)&gt;0,ROUND(MIN(E16:E39),2),"")</f>
        <v>52.7</v>
      </c>
      <c r="F41" s="51">
        <f>IF(COUNT(F16:F39)&gt;0,ROUND(MIN(F16:F39),0),"")</f>
        <v>1915</v>
      </c>
      <c r="G41" s="50">
        <f>IF(COUNT(G16:G39)&gt;0,MIN(G16:G39),"")</f>
        <v>-5.5</v>
      </c>
      <c r="H41" s="50">
        <f>IF(COUNT(H16:H39)&gt;0,MIN(H16:H39),"")</f>
        <v>72</v>
      </c>
      <c r="I41" s="50">
        <f>IF(COUNT(I16:I39)&gt;0,MIN(I16:I39),"")</f>
        <v>22.1</v>
      </c>
      <c r="J41" s="72"/>
      <c r="K41" s="50">
        <f>IF(COUNT(K16:K39)&gt;0,MIN(K16:K39),"")</f>
        <v>13</v>
      </c>
      <c r="L41" s="52">
        <f>IF(COUNT(L16:L39)&gt;0,ROUND(MIN(L16:L39),1),"")</f>
        <v>120</v>
      </c>
      <c r="M41" s="52">
        <f>IF(COUNT(M16:M39)&gt;0,ROUND(MIN(M16:M39),1),"")</f>
        <v>217</v>
      </c>
      <c r="N41" s="52">
        <f>IF(COUNT(N16:N39)&gt;0,ROUND(MIN(N16:N39),1),"")</f>
        <v>85</v>
      </c>
      <c r="O41" s="440">
        <f>IF(COUNT(O16:O39)&gt;0,ROUND(MIN(O16:O39),1),"")</f>
        <v>30</v>
      </c>
      <c r="P41" s="440">
        <f>IF(COUNT(P16:P39)&gt;0,ROUND(MIN(P16:P39),1),"")</f>
        <v>10</v>
      </c>
      <c r="Q41" s="440">
        <f>IF(COUNT(Q16:Q39)&gt;0,ROUND(MIN(Q16:Q39),4),"")</f>
        <v>189.2</v>
      </c>
      <c r="R41" s="121" t="str">
        <f>IF(COUNT(R16:R39)&gt;0,ROUND(MIN(R16:R39),1),"")</f>
        <v/>
      </c>
      <c r="S41" s="509"/>
      <c r="T41" s="510"/>
      <c r="U41" s="510"/>
      <c r="V41" s="511"/>
      <c r="X41" s="99"/>
      <c r="Y41" s="99"/>
      <c r="Z41" s="99"/>
      <c r="AA41" s="99"/>
      <c r="AB41" s="99"/>
      <c r="AC41" s="99"/>
      <c r="AH41" s="204" t="s">
        <v>318</v>
      </c>
    </row>
    <row r="42" spans="1:55" ht="20.100000000000001" hidden="1" customHeight="1" thickBot="1" x14ac:dyDescent="0.3">
      <c r="A42" s="21" t="s">
        <v>13</v>
      </c>
      <c r="B42" s="454" t="str">
        <f>IF(COUNT(B16:B39)&gt;0,ROUND(MAX(B16:B39),2),"")</f>
        <v/>
      </c>
      <c r="C42" s="454" t="str">
        <f>IF(COUNT(C16:C39)&gt;0,ROUND(MAX(C16:C39),2),"")</f>
        <v/>
      </c>
      <c r="D42" s="454">
        <f>IF(COUNT(D16:D39)&gt;0,ROUND(MAX(D16:D39),2),"")</f>
        <v>8</v>
      </c>
      <c r="E42" s="454">
        <f>IF(COUNT(E16:E39)&gt;0,ROUND(MAX(E16:E39),2),"")</f>
        <v>73.900000000000006</v>
      </c>
      <c r="F42" s="43">
        <f>IF(COUNT(F16:F39)&gt;0,ROUND(MAX(F16:F39),0),"")</f>
        <v>1986</v>
      </c>
      <c r="G42" s="39">
        <f>IF(COUNT(G16:G39)&gt;0,MAX(G16:G39),"")</f>
        <v>-5.5</v>
      </c>
      <c r="H42" s="39">
        <f>IF(COUNT(H16:H39)&gt;0,MAX(H16:H39),"")</f>
        <v>72.900000000000006</v>
      </c>
      <c r="I42" s="39">
        <f>IF(COUNT(I16:I39)&gt;0,MAX(I16:I39),"")</f>
        <v>22.9</v>
      </c>
      <c r="J42" s="43">
        <f>IF(COUNT(J16:J39)&gt;0,MAX(J16:J39),"")</f>
        <v>725</v>
      </c>
      <c r="K42" s="39">
        <f>IF(COUNT(K16:K39)&gt;0,MAX(K16:K39),"")</f>
        <v>13</v>
      </c>
      <c r="L42" s="454">
        <f>IF(COUNT(L16:L39)&gt;0,ROUND(MAX(L16:L39),1),"")</f>
        <v>127</v>
      </c>
      <c r="M42" s="454">
        <f>IF(COUNT(M16:M39)&gt;0,ROUND(MAX(M16:M39),1),"")</f>
        <v>225</v>
      </c>
      <c r="N42" s="454">
        <f>IF(COUNT(N16:N39)&gt;0,ROUND(MAX(N16:N39),1),"")</f>
        <v>85</v>
      </c>
      <c r="O42" s="441">
        <f>IF(COUNT(O16:O39)&gt;0,ROUND(MAX(O16:O39),1),"")</f>
        <v>60</v>
      </c>
      <c r="P42" s="441">
        <f>IF(COUNT(P16:P39)&gt;0,ROUND(MAX(P16:P39),1),"")</f>
        <v>16</v>
      </c>
      <c r="Q42" s="441">
        <f>IF(COUNT(Q16:Q39)&gt;0,ROUND(MAX(Q16:Q39),4),"")</f>
        <v>268.58999999999997</v>
      </c>
      <c r="R42" s="39" t="str">
        <f>IF(COUNT(R16:R39)&gt;0,ROUND(MAX(R16:R39),1),"")</f>
        <v/>
      </c>
      <c r="S42" s="509"/>
      <c r="T42" s="510"/>
      <c r="U42" s="510"/>
      <c r="V42" s="511"/>
      <c r="X42" s="99"/>
      <c r="Y42" s="99"/>
      <c r="Z42" s="99"/>
      <c r="AA42" s="99"/>
      <c r="AB42" s="99"/>
      <c r="AC42" s="99"/>
      <c r="AH42" s="204" t="s">
        <v>312</v>
      </c>
    </row>
    <row r="43" spans="1:55" ht="20.100000000000001" hidden="1" customHeight="1" x14ac:dyDescent="0.25">
      <c r="A43" s="109"/>
      <c r="B43" s="110">
        <f>COUNT(B16:B39)</f>
        <v>0</v>
      </c>
      <c r="C43" s="110">
        <f>COUNT(C16:C39)</f>
        <v>0</v>
      </c>
      <c r="D43" s="110">
        <f>COUNT(D16:D39)</f>
        <v>24</v>
      </c>
      <c r="E43" s="110">
        <f t="shared" ref="E43:H43" si="24">COUNT(E16:E39)</f>
        <v>24</v>
      </c>
      <c r="F43" s="110">
        <f t="shared" si="24"/>
        <v>24</v>
      </c>
      <c r="G43" s="110">
        <f t="shared" si="24"/>
        <v>24</v>
      </c>
      <c r="H43" s="110">
        <f t="shared" si="24"/>
        <v>24</v>
      </c>
      <c r="I43" s="110"/>
      <c r="J43" s="110"/>
      <c r="K43" s="110"/>
      <c r="L43" s="110">
        <f t="shared" ref="L43:Q43" si="25">COUNT(L16:L39)</f>
        <v>24</v>
      </c>
      <c r="M43" s="110">
        <f t="shared" si="25"/>
        <v>24</v>
      </c>
      <c r="N43" s="110">
        <f t="shared" si="25"/>
        <v>24</v>
      </c>
      <c r="O43" s="110">
        <f t="shared" si="25"/>
        <v>24</v>
      </c>
      <c r="P43" s="110">
        <f t="shared" si="25"/>
        <v>24</v>
      </c>
      <c r="Q43" s="110">
        <f t="shared" si="25"/>
        <v>24</v>
      </c>
      <c r="R43" s="110"/>
      <c r="S43" s="99"/>
      <c r="T43" s="99"/>
      <c r="U43" s="99"/>
      <c r="V43" s="99"/>
      <c r="X43" s="99"/>
      <c r="Y43" s="99"/>
      <c r="Z43" s="99"/>
      <c r="AA43" s="99"/>
      <c r="AB43" s="99"/>
      <c r="AC43" s="99"/>
      <c r="AD43" s="92" t="str">
        <f>IF(AND(D43=E43,D43=F43,D43=G43,D43=H43,D43=L43,D43=M43,D43=N43,D43=O43,D43=P43,D43=Q43),"","CEK : Data Content")</f>
        <v/>
      </c>
      <c r="AH43" s="204" t="s">
        <v>221</v>
      </c>
    </row>
    <row r="44" spans="1:55" s="6" customFormat="1" ht="15" customHeight="1" x14ac:dyDescent="0.25">
      <c r="J44" s="91" t="str">
        <f>IF(J1="PRINT","",IF(J42="","RH please ! !",""))</f>
        <v/>
      </c>
      <c r="L44" s="24"/>
      <c r="Q44" s="445">
        <f>IFERROR(ROUND(AVERAGE(Q16:Q39),4),"")</f>
        <v>244.7963</v>
      </c>
      <c r="AH44" s="204" t="s">
        <v>323</v>
      </c>
      <c r="AI44" s="7"/>
    </row>
    <row r="45" spans="1:55" s="6" customFormat="1" ht="15" customHeight="1" x14ac:dyDescent="0.25">
      <c r="L45" s="26" t="s">
        <v>290</v>
      </c>
      <c r="Q45" s="445"/>
      <c r="AH45" s="204" t="s">
        <v>288</v>
      </c>
      <c r="AI45" s="7"/>
    </row>
    <row r="46" spans="1:55" s="6" customFormat="1" ht="15" customHeight="1" x14ac:dyDescent="0.25">
      <c r="D46" s="443" t="s">
        <v>90</v>
      </c>
      <c r="E46" s="448" t="str">
        <f>IF(Schedule!C$31="","",Schedule!C$31)</f>
        <v/>
      </c>
      <c r="G46" s="61"/>
      <c r="H46" s="25" t="str">
        <f>IFERROR(IF(OR(I47="",I48="",I49=""),"WAKTU BELUM DI-ISI LENGKAP",IF(SUM(I48:I49)&lt;=1,"","CEK KEMBALI PENULISAN WAKTU SALAH")),"CEK KEMBALI PENULISAN WAKTU SALAH")</f>
        <v/>
      </c>
      <c r="L46" s="26" t="s">
        <v>22</v>
      </c>
      <c r="M46" s="460">
        <f>IF(Volume!$W30="",$O46,Volume!$W30)</f>
        <v>39.954000000000001</v>
      </c>
      <c r="N46" s="27" t="s">
        <v>1</v>
      </c>
      <c r="O46" s="447">
        <f>IF(O40="","",O40)</f>
        <v>41</v>
      </c>
      <c r="P46" s="361" t="s">
        <v>29</v>
      </c>
      <c r="Q46" s="362"/>
      <c r="R46" s="362"/>
      <c r="S46" s="362"/>
      <c r="T46" s="361" t="s">
        <v>30</v>
      </c>
      <c r="U46" s="362"/>
      <c r="V46" s="362"/>
      <c r="AH46" s="204" t="s">
        <v>222</v>
      </c>
    </row>
    <row r="47" spans="1:55" s="6" customFormat="1" ht="15" customHeight="1" x14ac:dyDescent="0.25">
      <c r="D47" s="448"/>
      <c r="E47" s="448"/>
      <c r="H47" s="26" t="s">
        <v>26</v>
      </c>
      <c r="I47" s="56">
        <f>IF(OR(I48="",I49=""),"",1-I48-I49)</f>
        <v>1</v>
      </c>
      <c r="J47" s="27" t="s">
        <v>19</v>
      </c>
      <c r="L47" s="26" t="s">
        <v>23</v>
      </c>
      <c r="M47" s="442">
        <f>IF(Volume!$Y30="",$O47,Volume!$Y30)</f>
        <v>13.172499999999999</v>
      </c>
      <c r="N47" s="27" t="s">
        <v>14</v>
      </c>
      <c r="O47" s="447">
        <f>IF(P40="","",P40)</f>
        <v>13.7</v>
      </c>
      <c r="P47" s="361" t="s">
        <v>211</v>
      </c>
      <c r="Q47" s="362"/>
      <c r="R47" s="362"/>
      <c r="S47" s="362"/>
      <c r="T47" s="361" t="s">
        <v>271</v>
      </c>
      <c r="U47" s="362"/>
      <c r="V47" s="362"/>
      <c r="AH47" s="204" t="s">
        <v>223</v>
      </c>
    </row>
    <row r="48" spans="1:55" s="6" customFormat="1" ht="15" customHeight="1" x14ac:dyDescent="0.25">
      <c r="D48" s="443" t="s">
        <v>91</v>
      </c>
      <c r="E48" s="448" t="str">
        <f>IF(Schedule!D$31="","",Schedule!D$31)</f>
        <v/>
      </c>
      <c r="H48" s="26" t="s">
        <v>37</v>
      </c>
      <c r="I48" s="108">
        <f>IF(OR(COUNT($Q$16:$Q$39)&lt;&gt;0,COUNTA($AD$16:$AD$39)&lt;&gt;0),AB40,"")</f>
        <v>0</v>
      </c>
      <c r="J48" s="27" t="s">
        <v>19</v>
      </c>
      <c r="L48" s="26" t="s">
        <v>24</v>
      </c>
      <c r="M48" s="449">
        <f>IF(N40="","",N40)</f>
        <v>85</v>
      </c>
      <c r="N48" s="27" t="s">
        <v>5</v>
      </c>
      <c r="P48" s="362"/>
      <c r="Q48" s="362"/>
      <c r="R48" s="362"/>
      <c r="S48" s="362"/>
      <c r="T48" s="361" t="s">
        <v>291</v>
      </c>
      <c r="U48" s="362"/>
      <c r="V48" s="362"/>
      <c r="AH48" s="204" t="s">
        <v>324</v>
      </c>
    </row>
    <row r="49" spans="1:34" s="6" customFormat="1" ht="15" customHeight="1" x14ac:dyDescent="0.25">
      <c r="D49" s="448"/>
      <c r="E49" s="448"/>
      <c r="H49" s="26" t="s">
        <v>27</v>
      </c>
      <c r="I49" s="108">
        <f>IF(OR(COUNT($Q$16:$Q$39)&lt;&gt;0,COUNTA($AD$16:$AD$39)&lt;&gt;0),AC40,"")</f>
        <v>0</v>
      </c>
      <c r="J49" s="27" t="s">
        <v>19</v>
      </c>
      <c r="L49" s="26" t="s">
        <v>128</v>
      </c>
      <c r="M49" s="442">
        <f>IF(Volume!$L30="",M51,Volume!$L30)</f>
        <v>234.1</v>
      </c>
      <c r="N49" s="27" t="str">
        <f>IF(Q15="MSCFD","MSCF","MMSCF")</f>
        <v>MSCF</v>
      </c>
      <c r="P49" s="362"/>
      <c r="Q49" s="362"/>
      <c r="R49" s="362"/>
      <c r="S49" s="362"/>
      <c r="T49" s="362"/>
      <c r="U49" s="362"/>
      <c r="V49" s="362"/>
      <c r="AH49" s="204" t="s">
        <v>317</v>
      </c>
    </row>
    <row r="50" spans="1:34" s="6" customFormat="1" ht="15" customHeight="1" x14ac:dyDescent="0.25">
      <c r="D50" s="443" t="s">
        <v>92</v>
      </c>
      <c r="E50" s="448" t="str">
        <f>IF(Schedule!E$31="","",Schedule!E$31)</f>
        <v>Marihot Gustafa S.</v>
      </c>
      <c r="L50" s="443" t="str">
        <f>CONCATENATE(MR!L16," ",":")</f>
        <v>Liquid Gain :</v>
      </c>
      <c r="M50" s="446" t="str">
        <f>IF(R40="","",ROUND(SUM(R16:R39),2))</f>
        <v/>
      </c>
      <c r="N50" s="444" t="str">
        <f>R15</f>
        <v>BPD</v>
      </c>
      <c r="P50" s="362"/>
      <c r="Q50" s="362"/>
      <c r="R50" s="362"/>
      <c r="S50" s="362"/>
      <c r="T50" s="362"/>
      <c r="U50" s="362"/>
      <c r="V50" s="362"/>
      <c r="AH50" s="204" t="s">
        <v>282</v>
      </c>
    </row>
    <row r="51" spans="1:34" s="6" customFormat="1" ht="15" customHeight="1" x14ac:dyDescent="0.25">
      <c r="A51" s="4"/>
      <c r="L51" s="443" t="s">
        <v>286</v>
      </c>
      <c r="M51" s="447">
        <f>IF(Q44="","",IF(SUM(I48:I49)=1,IF(Q44&lt;&gt;0,"Cek Tabel",""),ROUND(Q44*I47,4)))</f>
        <v>244.7963</v>
      </c>
      <c r="N51" s="444" t="str">
        <f>IF(Q15="MSCFD","MSCF","MMSCF")</f>
        <v>MSCF</v>
      </c>
      <c r="P51" s="362"/>
      <c r="Q51" s="362"/>
      <c r="R51" s="362"/>
      <c r="S51" s="362"/>
      <c r="T51" s="362"/>
      <c r="U51" s="362"/>
      <c r="V51" s="362"/>
      <c r="AH51" s="204" t="s">
        <v>325</v>
      </c>
    </row>
    <row r="52" spans="1:34" s="6" customFormat="1" ht="15" customHeight="1" x14ac:dyDescent="0.25">
      <c r="D52" s="26" t="s">
        <v>28</v>
      </c>
      <c r="E52" s="47"/>
      <c r="F52" s="47"/>
      <c r="G52" s="47"/>
      <c r="H52" s="47"/>
      <c r="I52" s="47"/>
      <c r="J52" s="47"/>
      <c r="K52" s="47"/>
      <c r="L52" s="5"/>
      <c r="P52" s="362"/>
      <c r="Q52" s="362"/>
      <c r="R52" s="362"/>
      <c r="S52" s="362"/>
      <c r="T52" s="362"/>
      <c r="U52" s="362"/>
      <c r="V52" s="362"/>
      <c r="AH52" s="204" t="s">
        <v>280</v>
      </c>
    </row>
    <row r="53" spans="1:34" s="6" customFormat="1" ht="15" customHeight="1" x14ac:dyDescent="0.25">
      <c r="D53" s="5"/>
      <c r="E53" s="48"/>
      <c r="F53" s="48"/>
      <c r="G53" s="48"/>
      <c r="H53" s="48"/>
      <c r="I53" s="48"/>
      <c r="J53" s="48"/>
      <c r="K53" s="48"/>
      <c r="L53" s="5"/>
      <c r="P53" s="363" t="str">
        <f>UPPER(E50)</f>
        <v>MARIHOT GUSTAFA S.</v>
      </c>
      <c r="Q53" s="362"/>
      <c r="R53" s="362"/>
      <c r="S53" s="362"/>
      <c r="T53" s="363" t="str">
        <f>IF(Schedule!F$31="","",UPPER(Schedule!F$31))</f>
        <v>SAPUAN</v>
      </c>
      <c r="U53" s="362"/>
      <c r="V53" s="362"/>
      <c r="AH53" s="204" t="s">
        <v>316</v>
      </c>
    </row>
    <row r="54" spans="1:34" s="6" customFormat="1" ht="15" customHeight="1" x14ac:dyDescent="0.25">
      <c r="E54" s="48"/>
      <c r="F54" s="48"/>
      <c r="G54" s="48"/>
      <c r="H54" s="48"/>
      <c r="I54" s="48"/>
      <c r="J54" s="48"/>
      <c r="K54" s="48"/>
      <c r="P54" s="361" t="s">
        <v>107</v>
      </c>
      <c r="Q54" s="362"/>
      <c r="R54" s="362"/>
      <c r="S54" s="362"/>
      <c r="T54" s="361" t="s">
        <v>294</v>
      </c>
      <c r="U54" s="362"/>
      <c r="V54" s="362"/>
      <c r="AH54" s="204" t="s">
        <v>326</v>
      </c>
    </row>
    <row r="55" spans="1:34" s="6" customFormat="1" ht="15" customHeight="1" x14ac:dyDescent="0.25">
      <c r="P55" s="364" t="str">
        <f>CONCATENATE("Date : ",TEXT(K12,"[$-409]d mmm yyyy;@"))</f>
        <v>Date : 27 Jun 2025</v>
      </c>
      <c r="Q55" s="362"/>
      <c r="R55" s="364"/>
      <c r="S55" s="362"/>
      <c r="T55" s="364" t="str">
        <f>CONCATENATE("Date : ",TEXT(K12,"[$-409]d mmm yyyy;@"))</f>
        <v>Date : 27 Jun 2025</v>
      </c>
      <c r="U55" s="362"/>
      <c r="V55" s="362"/>
      <c r="AH55" s="204" t="s">
        <v>327</v>
      </c>
    </row>
    <row r="56" spans="1:34" ht="15" customHeight="1" x14ac:dyDescent="0.25">
      <c r="AH56" s="204" t="s">
        <v>281</v>
      </c>
    </row>
    <row r="57" spans="1:34" ht="15" customHeight="1" x14ac:dyDescent="0.25">
      <c r="AH57" s="204" t="s">
        <v>277</v>
      </c>
    </row>
    <row r="58" spans="1:34" ht="15" customHeight="1" x14ac:dyDescent="0.25">
      <c r="AH58" s="204" t="s">
        <v>328</v>
      </c>
    </row>
    <row r="59" spans="1:34" ht="15" customHeight="1" x14ac:dyDescent="0.25">
      <c r="AH59" s="204" t="s">
        <v>329</v>
      </c>
    </row>
    <row r="60" spans="1:34" ht="15" customHeight="1" x14ac:dyDescent="0.25">
      <c r="AH60" s="204" t="s">
        <v>330</v>
      </c>
    </row>
    <row r="61" spans="1:34" ht="15" customHeight="1" x14ac:dyDescent="0.25">
      <c r="AH61" s="204" t="s">
        <v>331</v>
      </c>
    </row>
    <row r="62" spans="1:34" ht="15" customHeight="1" x14ac:dyDescent="0.25">
      <c r="AH62" s="204" t="s">
        <v>332</v>
      </c>
    </row>
    <row r="63" spans="1:34" ht="15" customHeight="1" x14ac:dyDescent="0.25">
      <c r="AH63" s="204" t="s">
        <v>315</v>
      </c>
    </row>
    <row r="64" spans="1:34" ht="15" customHeight="1" x14ac:dyDescent="0.25">
      <c r="AH64" s="204" t="s">
        <v>333</v>
      </c>
    </row>
    <row r="65" spans="34:34" ht="15" customHeight="1" x14ac:dyDescent="0.25">
      <c r="AH65" s="204" t="s">
        <v>310</v>
      </c>
    </row>
    <row r="66" spans="34:34" ht="15" customHeight="1" x14ac:dyDescent="0.25">
      <c r="AH66" s="204" t="s">
        <v>334</v>
      </c>
    </row>
    <row r="67" spans="34:34" ht="15" customHeight="1" x14ac:dyDescent="0.25">
      <c r="AH67" s="204" t="s">
        <v>335</v>
      </c>
    </row>
    <row r="68" spans="34:34" ht="15" customHeight="1" x14ac:dyDescent="0.25">
      <c r="AH68" s="204" t="s">
        <v>336</v>
      </c>
    </row>
    <row r="69" spans="34:34" ht="15" customHeight="1" x14ac:dyDescent="0.25">
      <c r="AH69" s="204" t="s">
        <v>337</v>
      </c>
    </row>
    <row r="70" spans="34:34" ht="15" customHeight="1" x14ac:dyDescent="0.25">
      <c r="AH70" s="204" t="s">
        <v>338</v>
      </c>
    </row>
    <row r="71" spans="34:34" ht="15" customHeight="1" x14ac:dyDescent="0.25">
      <c r="AH71" s="204" t="s">
        <v>339</v>
      </c>
    </row>
    <row r="72" spans="34:34" ht="15" customHeight="1" x14ac:dyDescent="0.25">
      <c r="AH72" s="204" t="s">
        <v>340</v>
      </c>
    </row>
    <row r="85" spans="34:34" ht="0" hidden="1" customHeight="1" x14ac:dyDescent="0.25">
      <c r="AH85" s="6"/>
    </row>
    <row r="86" spans="34:34" ht="0" hidden="1" customHeight="1" x14ac:dyDescent="0.25">
      <c r="AH86" s="6"/>
    </row>
    <row r="87" spans="34:34" ht="0" hidden="1" customHeight="1" x14ac:dyDescent="0.25">
      <c r="AH87" s="6"/>
    </row>
    <row r="88" spans="34:34" ht="0" hidden="1" customHeight="1" x14ac:dyDescent="0.25">
      <c r="AH88" s="6"/>
    </row>
    <row r="89" spans="34:34" ht="0" hidden="1" customHeight="1" x14ac:dyDescent="0.25">
      <c r="AH89" s="6"/>
    </row>
    <row r="90" spans="34:34" ht="0" hidden="1" customHeight="1" x14ac:dyDescent="0.25">
      <c r="AH90" s="6"/>
    </row>
    <row r="91" spans="34:34" ht="0" hidden="1" customHeight="1" x14ac:dyDescent="0.25">
      <c r="AH91" s="6"/>
    </row>
    <row r="92" spans="34:34" ht="0" hidden="1" customHeight="1" x14ac:dyDescent="0.25">
      <c r="AH92" s="6"/>
    </row>
    <row r="93" spans="34:34" ht="0" hidden="1" customHeight="1" x14ac:dyDescent="0.25">
      <c r="AH93" s="6"/>
    </row>
    <row r="94" spans="34:34" ht="0" hidden="1" customHeight="1" x14ac:dyDescent="0.25">
      <c r="AH94" s="6"/>
    </row>
  </sheetData>
  <sheetProtection algorithmName="SHA-512" hashValue="2WyR7pddAo7Pej8yW1vqmswM2S8TukVxrHkJz/zLPXWx6P2WR5H9y0evbMUxnnGwxSy8rmH6SrVmCxO13y+fgA==" saltValue="V/hySVeWcAUVJHR2TaldFA==" spinCount="100000" sheet="1" objects="1" scenarios="1" formatColumns="0" formatRows="0" insertColumns="0" insertRows="0" sort="0" autoFilter="0" pivotTables="0"/>
  <mergeCells count="69">
    <mergeCell ref="S37:V37"/>
    <mergeCell ref="S38:V38"/>
    <mergeCell ref="S39:V39"/>
    <mergeCell ref="S40:V40"/>
    <mergeCell ref="S41:V42"/>
    <mergeCell ref="S36:V36"/>
    <mergeCell ref="S25:V25"/>
    <mergeCell ref="S26:V26"/>
    <mergeCell ref="S27:V27"/>
    <mergeCell ref="S28:V28"/>
    <mergeCell ref="S29:V29"/>
    <mergeCell ref="S30:V30"/>
    <mergeCell ref="S31:V31"/>
    <mergeCell ref="S32:V32"/>
    <mergeCell ref="S33:V33"/>
    <mergeCell ref="S34:V34"/>
    <mergeCell ref="S35:V35"/>
    <mergeCell ref="S19:V19"/>
    <mergeCell ref="S20:V20"/>
    <mergeCell ref="S21:V21"/>
    <mergeCell ref="S22:V22"/>
    <mergeCell ref="S23:V23"/>
    <mergeCell ref="S24:V24"/>
    <mergeCell ref="BA14:BA15"/>
    <mergeCell ref="BB14:BB15"/>
    <mergeCell ref="BC14:BC15"/>
    <mergeCell ref="S16:V16"/>
    <mergeCell ref="S17:V17"/>
    <mergeCell ref="S18:V18"/>
    <mergeCell ref="AU14:AU15"/>
    <mergeCell ref="AV14:AV15"/>
    <mergeCell ref="AW14:AW15"/>
    <mergeCell ref="AX14:AX15"/>
    <mergeCell ref="AY14:AY15"/>
    <mergeCell ref="AZ14:AZ15"/>
    <mergeCell ref="AO14:AO15"/>
    <mergeCell ref="AP14:AP15"/>
    <mergeCell ref="AQ14:AQ15"/>
    <mergeCell ref="AR14:AR15"/>
    <mergeCell ref="AS14:AS15"/>
    <mergeCell ref="AT14:AT15"/>
    <mergeCell ref="AD14:AD15"/>
    <mergeCell ref="AJ14:AJ15"/>
    <mergeCell ref="AK14:AK15"/>
    <mergeCell ref="AL14:AL15"/>
    <mergeCell ref="AM14:AM15"/>
    <mergeCell ref="AN14:AN15"/>
    <mergeCell ref="Y14:AC14"/>
    <mergeCell ref="H13:H14"/>
    <mergeCell ref="I13:I14"/>
    <mergeCell ref="J13:J14"/>
    <mergeCell ref="K13:K14"/>
    <mergeCell ref="L13:L14"/>
    <mergeCell ref="M13:N13"/>
    <mergeCell ref="Q13:Q14"/>
    <mergeCell ref="R13:R14"/>
    <mergeCell ref="S13:V15"/>
    <mergeCell ref="O13:O14"/>
    <mergeCell ref="P13:P14"/>
    <mergeCell ref="A10:V10"/>
    <mergeCell ref="A11:V11"/>
    <mergeCell ref="K12:L12"/>
    <mergeCell ref="A13:A15"/>
    <mergeCell ref="B13:B14"/>
    <mergeCell ref="C13:C14"/>
    <mergeCell ref="D13:D14"/>
    <mergeCell ref="E13:E14"/>
    <mergeCell ref="F13:F14"/>
    <mergeCell ref="G13:G14"/>
  </mergeCells>
  <conditionalFormatting sqref="I47">
    <cfRule type="cellIs" dxfId="21" priority="6" operator="lessThan">
      <formula>0</formula>
    </cfRule>
  </conditionalFormatting>
  <conditionalFormatting sqref="Y16:Y39">
    <cfRule type="containsText" dxfId="20" priority="4" operator="containsText" text="STBY">
      <formula>NOT(ISERROR(SEARCH("STBY",Y16)))</formula>
    </cfRule>
    <cfRule type="containsText" dxfId="19" priority="5" operator="containsText" text="SD">
      <formula>NOT(ISERROR(SEARCH("SD",Y16)))</formula>
    </cfRule>
  </conditionalFormatting>
  <conditionalFormatting sqref="B16:B39 R16:R39">
    <cfRule type="expression" dxfId="18" priority="3">
      <formula>ISTEXT(B16)</formula>
    </cfRule>
  </conditionalFormatting>
  <conditionalFormatting sqref="C16:C39">
    <cfRule type="expression" dxfId="17" priority="2">
      <formula>ISTEXT(C16)</formula>
    </cfRule>
  </conditionalFormatting>
  <conditionalFormatting sqref="D16:Q39">
    <cfRule type="expression" dxfId="16" priority="1">
      <formula>ISTEXT(D16)</formula>
    </cfRule>
  </conditionalFormatting>
  <dataValidations count="2">
    <dataValidation type="list" allowBlank="1" showInputMessage="1" showErrorMessage="1" sqref="Y16:Y39" xr:uid="{C6206D43-2608-4B51-A9E6-D310BF71EF53}">
      <formula1>"SD,STBY"</formula1>
    </dataValidation>
    <dataValidation type="list" allowBlank="1" showInputMessage="1" sqref="AD16:AD39" xr:uid="{F1749587-406F-4191-A142-0C38EC84E785}">
      <formula1>$AH$15:$AH$72</formula1>
    </dataValidation>
  </dataValidations>
  <printOptions horizontalCentered="1"/>
  <pageMargins left="0.39370078740157483" right="0.39370078740157483" top="0.59055118110236227" bottom="0.39370078740157483" header="0.31496062992125984" footer="0.31496062992125984"/>
  <pageSetup paperSize="9" scale="57" orientation="landscape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86380-C235-4B6E-944D-D5A761CECAEB}">
  <sheetPr codeName="N28">
    <pageSetUpPr fitToPage="1"/>
  </sheetPr>
  <dimension ref="A1:BC94"/>
  <sheetViews>
    <sheetView topLeftCell="A16" zoomScale="85" zoomScaleNormal="85" workbookViewId="0">
      <selection activeCell="K36" sqref="K36"/>
    </sheetView>
  </sheetViews>
  <sheetFormatPr defaultColWidth="0" defaultRowHeight="0" customHeight="1" zeroHeight="1" x14ac:dyDescent="0.25"/>
  <cols>
    <col min="1" max="1" width="10.7109375" style="7" customWidth="1"/>
    <col min="2" max="3" width="10.7109375" style="7" hidden="1" customWidth="1"/>
    <col min="4" max="14" width="10.7109375" style="7" customWidth="1"/>
    <col min="15" max="17" width="11.7109375" style="7" customWidth="1"/>
    <col min="18" max="18" width="10.7109375" style="7" hidden="1" customWidth="1"/>
    <col min="19" max="22" width="10.7109375" style="7" customWidth="1"/>
    <col min="23" max="23" width="2.7109375" style="7" customWidth="1"/>
    <col min="24" max="29" width="10.7109375" style="7" customWidth="1"/>
    <col min="30" max="30" width="30.7109375" style="7" customWidth="1"/>
    <col min="31" max="33" width="11.7109375" style="7" customWidth="1"/>
    <col min="34" max="34" width="30.7109375" style="7" customWidth="1"/>
    <col min="35" max="35" width="2.7109375" style="7" hidden="1" customWidth="1"/>
    <col min="36" max="55" width="11.7109375" style="7" hidden="1" customWidth="1"/>
    <col min="56" max="16384" width="9.140625" style="7" hidden="1"/>
  </cols>
  <sheetData>
    <row r="1" spans="1:55" ht="15" customHeight="1" x14ac:dyDescent="0.25">
      <c r="A1" s="7" t="s">
        <v>16</v>
      </c>
      <c r="D1" s="11" t="s">
        <v>85</v>
      </c>
      <c r="J1" s="7" t="str">
        <f>IF(MR!U13="Yes","PRINT","No")</f>
        <v>PRINT</v>
      </c>
      <c r="M1" s="191"/>
      <c r="N1" s="191"/>
    </row>
    <row r="2" spans="1:55" ht="15" customHeight="1" thickBot="1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192"/>
      <c r="M2" s="4"/>
      <c r="N2" s="4"/>
      <c r="O2" s="4"/>
      <c r="P2" s="4"/>
      <c r="Q2" s="4"/>
      <c r="R2" s="4"/>
      <c r="S2" s="8"/>
      <c r="T2" s="8"/>
      <c r="U2" s="8"/>
      <c r="V2" s="8"/>
      <c r="X2" s="8"/>
      <c r="Y2" s="8"/>
      <c r="Z2" s="8"/>
      <c r="AA2" s="8"/>
      <c r="AB2" s="8"/>
      <c r="AC2" s="8"/>
      <c r="AD2" s="8"/>
      <c r="AE2" s="8"/>
    </row>
    <row r="3" spans="1:55" ht="15" customHeight="1" x14ac:dyDescent="0.2">
      <c r="A3" s="31"/>
      <c r="B3" s="28"/>
      <c r="C3" s="28"/>
      <c r="D3" s="28"/>
      <c r="E3" s="28"/>
      <c r="F3" s="13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2"/>
      <c r="T3" s="22"/>
      <c r="U3" s="22"/>
      <c r="V3" s="23"/>
      <c r="X3" s="8"/>
      <c r="Y3" s="8"/>
      <c r="Z3" s="8"/>
      <c r="AA3" s="8"/>
      <c r="AB3" s="8"/>
      <c r="AC3" s="8"/>
      <c r="AD3" s="8"/>
      <c r="AE3" s="8"/>
    </row>
    <row r="4" spans="1:55" ht="30" customHeight="1" x14ac:dyDescent="0.25">
      <c r="A4" s="30"/>
      <c r="B4" s="1"/>
      <c r="C4" s="1"/>
      <c r="D4" s="1"/>
      <c r="E4" s="3"/>
      <c r="F4" s="63" t="s">
        <v>210</v>
      </c>
      <c r="G4" s="1"/>
      <c r="H4" s="1"/>
      <c r="I4" s="3"/>
      <c r="J4" s="3"/>
      <c r="K4" s="3"/>
      <c r="L4" s="3"/>
      <c r="M4" s="3"/>
      <c r="N4" s="3"/>
      <c r="O4" s="3"/>
      <c r="P4" s="3"/>
      <c r="Q4" s="3"/>
      <c r="R4" s="3"/>
      <c r="S4" s="1"/>
      <c r="T4" s="1"/>
      <c r="U4" s="1"/>
      <c r="V4" s="2"/>
      <c r="X4" s="5"/>
      <c r="Y4" s="5"/>
      <c r="Z4" s="5"/>
      <c r="AA4" s="5"/>
      <c r="AB4" s="5"/>
      <c r="AC4" s="5"/>
      <c r="AD4" s="5"/>
      <c r="AE4" s="5"/>
    </row>
    <row r="5" spans="1:55" ht="15" customHeight="1" x14ac:dyDescent="0.2">
      <c r="A5" s="32"/>
      <c r="B5" s="33"/>
      <c r="C5" s="33"/>
      <c r="D5" s="12"/>
      <c r="E5" s="3"/>
      <c r="F5" s="10" t="s">
        <v>129</v>
      </c>
      <c r="G5" s="1"/>
      <c r="H5" s="1"/>
      <c r="I5" s="3"/>
      <c r="J5" s="3"/>
      <c r="K5" s="3"/>
      <c r="L5" s="3"/>
      <c r="M5" s="3"/>
      <c r="N5" s="3"/>
      <c r="O5" s="3"/>
      <c r="P5" s="3"/>
      <c r="Q5" s="3"/>
      <c r="R5" s="3"/>
      <c r="S5" s="12"/>
      <c r="T5" s="12"/>
      <c r="U5" s="12"/>
      <c r="V5" s="14"/>
      <c r="X5" s="8"/>
      <c r="Y5" s="8"/>
      <c r="Z5" s="8"/>
      <c r="AA5" s="8"/>
      <c r="AB5" s="8"/>
      <c r="AC5" s="8"/>
      <c r="AD5" s="8"/>
      <c r="AE5" s="8"/>
      <c r="AJ5" s="193" t="s">
        <v>184</v>
      </c>
      <c r="AK5" s="194">
        <f>'V Calc'!B1</f>
        <v>500</v>
      </c>
      <c r="AL5" s="124"/>
    </row>
    <row r="6" spans="1:55" ht="15" customHeight="1" x14ac:dyDescent="0.2">
      <c r="A6" s="32"/>
      <c r="B6" s="33"/>
      <c r="C6" s="33"/>
      <c r="D6" s="12"/>
      <c r="E6" s="3"/>
      <c r="F6" s="10" t="s">
        <v>132</v>
      </c>
      <c r="G6" s="1"/>
      <c r="H6" s="1"/>
      <c r="I6" s="3"/>
      <c r="J6" s="3"/>
      <c r="K6" s="3"/>
      <c r="L6" s="3"/>
      <c r="M6" s="3"/>
      <c r="N6" s="3"/>
      <c r="O6" s="3"/>
      <c r="P6" s="3"/>
      <c r="Q6" s="3"/>
      <c r="R6" s="3"/>
      <c r="S6" s="12"/>
      <c r="T6" s="12"/>
      <c r="U6" s="12"/>
      <c r="V6" s="14"/>
      <c r="X6" s="8"/>
      <c r="Y6" s="8"/>
      <c r="Z6" s="8"/>
      <c r="AA6" s="8"/>
      <c r="AB6" s="8"/>
      <c r="AC6" s="8"/>
      <c r="AD6" s="8"/>
      <c r="AE6" s="8"/>
      <c r="AJ6" s="193" t="s">
        <v>185</v>
      </c>
      <c r="AK6" s="194">
        <f>'V Calc'!B2</f>
        <v>100</v>
      </c>
      <c r="AL6" s="124"/>
    </row>
    <row r="7" spans="1:55" ht="15" customHeight="1" x14ac:dyDescent="0.2">
      <c r="A7" s="32"/>
      <c r="B7" s="33"/>
      <c r="C7" s="33"/>
      <c r="D7" s="12"/>
      <c r="E7" s="3"/>
      <c r="F7" s="10" t="s">
        <v>130</v>
      </c>
      <c r="G7" s="1"/>
      <c r="H7" s="1"/>
      <c r="I7" s="3"/>
      <c r="J7" s="3"/>
      <c r="K7" s="3"/>
      <c r="L7" s="3"/>
      <c r="M7" s="3"/>
      <c r="N7" s="3"/>
      <c r="O7" s="3"/>
      <c r="P7" s="3"/>
      <c r="Q7" s="3"/>
      <c r="R7" s="3"/>
      <c r="S7" s="12"/>
      <c r="T7" s="12"/>
      <c r="U7" s="12"/>
      <c r="V7" s="14"/>
      <c r="X7" s="8"/>
      <c r="Y7" s="8"/>
      <c r="Z7" s="8"/>
      <c r="AA7" s="8"/>
      <c r="AB7" s="8"/>
      <c r="AC7" s="8"/>
      <c r="AD7" s="8"/>
      <c r="AE7" s="8"/>
      <c r="AJ7" s="193" t="s">
        <v>186</v>
      </c>
      <c r="AK7" s="195">
        <f>'V Calc'!B3</f>
        <v>2</v>
      </c>
      <c r="AL7" s="124"/>
    </row>
    <row r="8" spans="1:55" ht="15" customHeight="1" x14ac:dyDescent="0.2">
      <c r="A8" s="32"/>
      <c r="B8" s="33"/>
      <c r="C8" s="33"/>
      <c r="D8" s="12"/>
      <c r="E8" s="3"/>
      <c r="F8" s="10" t="s">
        <v>131</v>
      </c>
      <c r="G8" s="62"/>
      <c r="H8" s="62"/>
      <c r="I8" s="3"/>
      <c r="J8" s="3"/>
      <c r="K8" s="3"/>
      <c r="L8" s="3"/>
      <c r="M8" s="3"/>
      <c r="N8" s="3"/>
      <c r="O8" s="3"/>
      <c r="P8" s="3"/>
      <c r="Q8" s="3"/>
      <c r="R8" s="3"/>
      <c r="S8" s="12"/>
      <c r="T8" s="12"/>
      <c r="U8" s="12"/>
      <c r="V8" s="14"/>
      <c r="X8" s="8"/>
      <c r="Y8" s="8"/>
      <c r="Z8" s="8"/>
      <c r="AA8" s="8"/>
      <c r="AB8" s="8"/>
      <c r="AC8" s="8"/>
      <c r="AD8" s="8"/>
      <c r="AE8" s="8"/>
      <c r="AJ8" s="193" t="s">
        <v>187</v>
      </c>
      <c r="AK8" s="195">
        <f>'V Calc'!B4</f>
        <v>0.875</v>
      </c>
      <c r="AL8" s="124"/>
    </row>
    <row r="9" spans="1:55" ht="15" customHeight="1" thickBot="1" x14ac:dyDescent="0.25">
      <c r="A9" s="34"/>
      <c r="B9" s="29"/>
      <c r="C9" s="29"/>
      <c r="D9" s="29"/>
      <c r="E9" s="29"/>
      <c r="F9" s="15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16"/>
      <c r="T9" s="16"/>
      <c r="U9" s="16"/>
      <c r="V9" s="17"/>
      <c r="X9" s="8"/>
      <c r="Y9" s="8"/>
      <c r="Z9" s="8"/>
      <c r="AA9" s="8"/>
      <c r="AB9" s="8"/>
      <c r="AC9" s="8"/>
      <c r="AD9" s="8"/>
      <c r="AE9" s="8"/>
      <c r="AJ9" s="196" t="s">
        <v>188</v>
      </c>
      <c r="AK9" s="197">
        <f>'V Calc'!B5</f>
        <v>158.47</v>
      </c>
      <c r="AL9" s="198"/>
    </row>
    <row r="10" spans="1:55" s="9" customFormat="1" ht="30" customHeight="1" x14ac:dyDescent="0.2">
      <c r="A10" s="513" t="s">
        <v>20</v>
      </c>
      <c r="B10" s="514"/>
      <c r="C10" s="514"/>
      <c r="D10" s="514"/>
      <c r="E10" s="514"/>
      <c r="F10" s="514"/>
      <c r="G10" s="514"/>
      <c r="H10" s="514"/>
      <c r="I10" s="514"/>
      <c r="J10" s="514"/>
      <c r="K10" s="514"/>
      <c r="L10" s="514"/>
      <c r="M10" s="514"/>
      <c r="N10" s="514"/>
      <c r="O10" s="514"/>
      <c r="P10" s="514"/>
      <c r="Q10" s="514"/>
      <c r="R10" s="514"/>
      <c r="S10" s="514"/>
      <c r="T10" s="514"/>
      <c r="U10" s="514"/>
      <c r="V10" s="515"/>
      <c r="X10" s="96"/>
      <c r="Y10" s="96"/>
      <c r="Z10" s="96"/>
      <c r="AA10" s="96"/>
      <c r="AB10" s="96"/>
      <c r="AC10" s="96"/>
      <c r="AJ10" s="193" t="s">
        <v>189</v>
      </c>
      <c r="AK10" s="199">
        <f>'V Calc'!B6</f>
        <v>0.63607464142166403</v>
      </c>
      <c r="AL10" s="198" t="s">
        <v>190</v>
      </c>
    </row>
    <row r="11" spans="1:55" s="9" customFormat="1" ht="20.100000000000001" customHeight="1" thickBot="1" x14ac:dyDescent="0.25">
      <c r="A11" s="516" t="s">
        <v>21</v>
      </c>
      <c r="B11" s="517"/>
      <c r="C11" s="517"/>
      <c r="D11" s="517"/>
      <c r="E11" s="517"/>
      <c r="F11" s="517"/>
      <c r="G11" s="517"/>
      <c r="H11" s="517"/>
      <c r="I11" s="517"/>
      <c r="J11" s="517"/>
      <c r="K11" s="517"/>
      <c r="L11" s="517"/>
      <c r="M11" s="517"/>
      <c r="N11" s="517"/>
      <c r="O11" s="517"/>
      <c r="P11" s="517"/>
      <c r="Q11" s="517"/>
      <c r="R11" s="517"/>
      <c r="S11" s="517"/>
      <c r="T11" s="517"/>
      <c r="U11" s="517"/>
      <c r="V11" s="518"/>
      <c r="X11" s="97"/>
      <c r="Y11" s="97"/>
      <c r="Z11" s="97"/>
      <c r="AA11" s="97"/>
      <c r="AB11" s="97"/>
      <c r="AC11" s="97"/>
    </row>
    <row r="12" spans="1:55" s="6" customFormat="1" ht="30" customHeight="1" thickBot="1" x14ac:dyDescent="0.3">
      <c r="A12" s="18"/>
      <c r="B12" s="20"/>
      <c r="C12" s="20"/>
      <c r="D12" s="19" t="s">
        <v>121</v>
      </c>
      <c r="E12" s="200" t="str">
        <f>'Day 27'!E12</f>
        <v>MPR 632  RFD</v>
      </c>
      <c r="F12" s="35"/>
      <c r="G12" s="19" t="s">
        <v>120</v>
      </c>
      <c r="H12" s="200" t="str">
        <f>IF(Volume!C$31="","",Volume!C$31)</f>
        <v>FP 65354</v>
      </c>
      <c r="I12" s="20"/>
      <c r="J12" s="19" t="s">
        <v>17</v>
      </c>
      <c r="K12" s="505">
        <f>'Day 27'!K12+1</f>
        <v>45836</v>
      </c>
      <c r="L12" s="505"/>
      <c r="M12" s="100"/>
      <c r="N12" s="19" t="s">
        <v>119</v>
      </c>
      <c r="O12" s="200" t="str">
        <f>IF(Volume!D$31="","",Volume!D$31)</f>
        <v>SP. Tambun - Cluster F</v>
      </c>
      <c r="P12" s="20"/>
      <c r="Q12" s="19" t="s">
        <v>122</v>
      </c>
      <c r="S12" s="201">
        <f>IF(Volume!E$31="","",Volume!E$31)</f>
        <v>1.25</v>
      </c>
      <c r="T12" s="20"/>
      <c r="U12" s="19" t="s">
        <v>126</v>
      </c>
      <c r="V12" s="202" t="str">
        <f>IF(Volume!F$31="","",Volume!F$31)</f>
        <v>4/0</v>
      </c>
    </row>
    <row r="13" spans="1:55" ht="30" customHeight="1" thickBot="1" x14ac:dyDescent="0.3">
      <c r="A13" s="502" t="s">
        <v>0</v>
      </c>
      <c r="B13" s="502" t="s">
        <v>213</v>
      </c>
      <c r="C13" s="502" t="s">
        <v>212</v>
      </c>
      <c r="D13" s="502" t="s">
        <v>31</v>
      </c>
      <c r="E13" s="502" t="s">
        <v>32</v>
      </c>
      <c r="F13" s="502" t="s">
        <v>2</v>
      </c>
      <c r="G13" s="502" t="s">
        <v>33</v>
      </c>
      <c r="H13" s="502" t="s">
        <v>35</v>
      </c>
      <c r="I13" s="502" t="s">
        <v>36</v>
      </c>
      <c r="J13" s="502" t="s">
        <v>110</v>
      </c>
      <c r="K13" s="502" t="s">
        <v>15</v>
      </c>
      <c r="L13" s="502" t="s">
        <v>34</v>
      </c>
      <c r="M13" s="502" t="s">
        <v>10</v>
      </c>
      <c r="N13" s="502"/>
      <c r="O13" s="506" t="s">
        <v>300</v>
      </c>
      <c r="P13" s="506" t="s">
        <v>299</v>
      </c>
      <c r="Q13" s="502" t="s">
        <v>7</v>
      </c>
      <c r="R13" s="502" t="s">
        <v>88</v>
      </c>
      <c r="S13" s="502" t="s">
        <v>8</v>
      </c>
      <c r="T13" s="502"/>
      <c r="U13" s="502"/>
      <c r="V13" s="502"/>
      <c r="X13" s="98"/>
      <c r="Y13" s="98"/>
      <c r="Z13" s="98"/>
      <c r="AA13" s="98"/>
      <c r="AB13" s="98"/>
      <c r="AC13" s="98"/>
    </row>
    <row r="14" spans="1:55" ht="30" customHeight="1" x14ac:dyDescent="0.25">
      <c r="A14" s="504"/>
      <c r="B14" s="504"/>
      <c r="C14" s="504"/>
      <c r="D14" s="504"/>
      <c r="E14" s="504"/>
      <c r="F14" s="504"/>
      <c r="G14" s="504"/>
      <c r="H14" s="504"/>
      <c r="I14" s="504"/>
      <c r="J14" s="504"/>
      <c r="K14" s="504"/>
      <c r="L14" s="504"/>
      <c r="M14" s="94" t="s">
        <v>3</v>
      </c>
      <c r="N14" s="94" t="s">
        <v>4</v>
      </c>
      <c r="O14" s="507"/>
      <c r="P14" s="507"/>
      <c r="Q14" s="504"/>
      <c r="R14" s="504"/>
      <c r="S14" s="504"/>
      <c r="T14" s="504"/>
      <c r="U14" s="504"/>
      <c r="V14" s="504"/>
      <c r="Y14" s="502" t="s">
        <v>230</v>
      </c>
      <c r="Z14" s="502"/>
      <c r="AA14" s="502"/>
      <c r="AB14" s="502"/>
      <c r="AC14" s="502"/>
      <c r="AD14" s="502" t="s">
        <v>231</v>
      </c>
      <c r="AH14" s="203" t="s">
        <v>232</v>
      </c>
      <c r="AJ14" s="520" t="s">
        <v>191</v>
      </c>
      <c r="AK14" s="520" t="s">
        <v>192</v>
      </c>
      <c r="AL14" s="520" t="s">
        <v>193</v>
      </c>
      <c r="AM14" s="520" t="s">
        <v>194</v>
      </c>
      <c r="AN14" s="520" t="s">
        <v>195</v>
      </c>
      <c r="AO14" s="506" t="s">
        <v>196</v>
      </c>
      <c r="AP14" s="506" t="s">
        <v>197</v>
      </c>
      <c r="AQ14" s="506" t="s">
        <v>198</v>
      </c>
      <c r="AR14" s="506" t="s">
        <v>188</v>
      </c>
      <c r="AS14" s="506" t="s">
        <v>199</v>
      </c>
      <c r="AT14" s="506" t="s">
        <v>200</v>
      </c>
      <c r="AU14" s="506" t="s">
        <v>201</v>
      </c>
      <c r="AV14" s="506" t="s">
        <v>202</v>
      </c>
      <c r="AW14" s="506" t="s">
        <v>203</v>
      </c>
      <c r="AX14" s="506" t="s">
        <v>204</v>
      </c>
      <c r="AY14" s="523" t="s">
        <v>205</v>
      </c>
      <c r="AZ14" s="523" t="s">
        <v>206</v>
      </c>
      <c r="BA14" s="523" t="s">
        <v>207</v>
      </c>
      <c r="BB14" s="523" t="s">
        <v>208</v>
      </c>
      <c r="BC14" s="506" t="s">
        <v>197</v>
      </c>
    </row>
    <row r="15" spans="1:55" ht="20.100000000000001" customHeight="1" thickBot="1" x14ac:dyDescent="0.3">
      <c r="A15" s="503"/>
      <c r="B15" s="95" t="s">
        <v>1</v>
      </c>
      <c r="C15" s="95" t="s">
        <v>1</v>
      </c>
      <c r="D15" s="95" t="s">
        <v>1</v>
      </c>
      <c r="E15" s="95" t="s">
        <v>1</v>
      </c>
      <c r="F15" s="95" t="s">
        <v>140</v>
      </c>
      <c r="G15" s="95" t="s">
        <v>1</v>
      </c>
      <c r="H15" s="95" t="s">
        <v>1</v>
      </c>
      <c r="I15" s="95" t="s">
        <v>1</v>
      </c>
      <c r="J15" s="95" t="s">
        <v>18</v>
      </c>
      <c r="K15" s="95" t="s">
        <v>9</v>
      </c>
      <c r="L15" s="95" t="s">
        <v>5</v>
      </c>
      <c r="M15" s="95" t="s">
        <v>5</v>
      </c>
      <c r="N15" s="95" t="s">
        <v>5</v>
      </c>
      <c r="O15" s="95" t="s">
        <v>1</v>
      </c>
      <c r="P15" s="95" t="s">
        <v>14</v>
      </c>
      <c r="Q15" s="95" t="str">
        <f>IF(MR!G17="MSCF","MSCFD","MMSCFD")</f>
        <v>MSCFD</v>
      </c>
      <c r="R15" s="95" t="str">
        <f>MR!L17</f>
        <v>BPD</v>
      </c>
      <c r="S15" s="503"/>
      <c r="T15" s="503"/>
      <c r="U15" s="503"/>
      <c r="V15" s="503"/>
      <c r="X15" s="365"/>
      <c r="Y15" s="95" t="s">
        <v>123</v>
      </c>
      <c r="Z15" s="95" t="s">
        <v>124</v>
      </c>
      <c r="AA15" s="95" t="s">
        <v>125</v>
      </c>
      <c r="AB15" s="95" t="s">
        <v>51</v>
      </c>
      <c r="AC15" s="95" t="s">
        <v>48</v>
      </c>
      <c r="AD15" s="503"/>
      <c r="AH15" s="204" t="s">
        <v>228</v>
      </c>
      <c r="AJ15" s="521"/>
      <c r="AK15" s="521"/>
      <c r="AL15" s="521"/>
      <c r="AM15" s="521"/>
      <c r="AN15" s="521"/>
      <c r="AO15" s="522"/>
      <c r="AP15" s="522"/>
      <c r="AQ15" s="522"/>
      <c r="AR15" s="522"/>
      <c r="AS15" s="522"/>
      <c r="AT15" s="522"/>
      <c r="AU15" s="522"/>
      <c r="AV15" s="522"/>
      <c r="AW15" s="522"/>
      <c r="AX15" s="522"/>
      <c r="AY15" s="524"/>
      <c r="AZ15" s="524"/>
      <c r="BA15" s="524"/>
      <c r="BB15" s="524"/>
      <c r="BC15" s="522"/>
    </row>
    <row r="16" spans="1:55" ht="20.100000000000001" customHeight="1" x14ac:dyDescent="0.2">
      <c r="A16" s="44">
        <v>4.1666666666666664E-2</v>
      </c>
      <c r="B16" s="450"/>
      <c r="C16" s="450"/>
      <c r="D16" s="450">
        <v>6.4</v>
      </c>
      <c r="E16" s="450">
        <v>62.3</v>
      </c>
      <c r="F16" s="40">
        <v>1933</v>
      </c>
      <c r="G16" s="36">
        <v>-5.5</v>
      </c>
      <c r="H16" s="36">
        <v>72.8</v>
      </c>
      <c r="I16" s="36">
        <v>22.6</v>
      </c>
      <c r="J16" s="40">
        <v>726</v>
      </c>
      <c r="K16" s="36">
        <v>13</v>
      </c>
      <c r="L16" s="450">
        <v>133</v>
      </c>
      <c r="M16" s="450">
        <v>220</v>
      </c>
      <c r="N16" s="450">
        <v>85</v>
      </c>
      <c r="O16" s="352">
        <v>45</v>
      </c>
      <c r="P16" s="352">
        <v>10</v>
      </c>
      <c r="Q16" s="352">
        <v>219</v>
      </c>
      <c r="R16" s="36"/>
      <c r="S16" s="519" t="str">
        <f t="shared" ref="S16:S32" si="0">IF(Z16="",IF(AD16="","",AD16),CONCATENATE(TEXT(Z16,"[hh]:mm"),IF(AA16="",""," - "&amp;TEXT(AA16,"[hh]:mm")),IF(Y16="",""," "&amp;Y16&amp;"/")," "&amp;AD16))</f>
        <v/>
      </c>
      <c r="T16" s="519"/>
      <c r="U16" s="519"/>
      <c r="V16" s="519"/>
      <c r="X16" s="44">
        <v>4.1666666666666664E-2</v>
      </c>
      <c r="Y16" s="105"/>
      <c r="Z16" s="101"/>
      <c r="AA16" s="101"/>
      <c r="AB16" s="44" t="str">
        <f>IF(Y16="STBY",AA16-Z16,"")</f>
        <v/>
      </c>
      <c r="AC16" s="44" t="str">
        <f t="shared" ref="AC16:AC39" si="1">IF(Y16="SD",AA16-Z16,"")</f>
        <v/>
      </c>
      <c r="AD16" s="355"/>
      <c r="AE16" s="9" t="str">
        <f>IF(S16="","",IF(COUNTA(Z16:$Z$39)=1,IF(COUNTA(AD16:$AD$39)=1,""," ; "),IF(COUNTA(AD16:$AD$39)=1,IF(Z16="",""," ; ")," ; ")))</f>
        <v/>
      </c>
      <c r="AF16" s="9" t="str">
        <f t="shared" ref="AF16:AF39" si="2">CONCATENATE(S16,AE16)</f>
        <v/>
      </c>
      <c r="AG16" s="90" t="str">
        <f t="shared" ref="AG16:AG39" si="3">IF(AND(COUNTBLANK(N16:P16)&lt;3,Q16=""),"CEK : Data Flowrate","")</f>
        <v/>
      </c>
      <c r="AH16" s="204" t="s">
        <v>229</v>
      </c>
      <c r="AJ16" s="205">
        <f>AK5</f>
        <v>500</v>
      </c>
      <c r="AK16" s="205">
        <f>AK6</f>
        <v>100</v>
      </c>
      <c r="AL16" s="206">
        <f>AK7</f>
        <v>2</v>
      </c>
      <c r="AM16" s="207">
        <f>AK8</f>
        <v>0.875</v>
      </c>
      <c r="AN16" s="208">
        <f>AK10</f>
        <v>0.63607464142166403</v>
      </c>
      <c r="AO16" s="209">
        <f t="shared" ref="AO16:AO39" si="4">T16^2*AJ16/100-14.7</f>
        <v>-14.7</v>
      </c>
      <c r="AP16" s="210">
        <f t="shared" ref="AP16:AP39" si="5">IF(AO16&lt;100,1,BC16)</f>
        <v>1</v>
      </c>
      <c r="AQ16" s="210">
        <f t="shared" ref="AQ16:AQ39" si="6">(1/AP16)^0.5</f>
        <v>1</v>
      </c>
      <c r="AR16" s="52">
        <f>AK9</f>
        <v>158.47</v>
      </c>
      <c r="AS16" s="210">
        <f t="shared" ref="AS16:AS39" si="7">(520/(460+N16))^0.5</f>
        <v>0.97679498379494789</v>
      </c>
      <c r="AT16" s="210">
        <f t="shared" ref="AT16:AT39" si="8">(1/AN16)^0.5</f>
        <v>1.2538510821608391</v>
      </c>
      <c r="AU16" s="210">
        <f t="shared" ref="AU16:AU39" si="9">0.01*(AJ16*AK16)^0.5</f>
        <v>2.2360679774997898</v>
      </c>
      <c r="AV16" s="211">
        <f t="shared" ref="AV16:AV39" si="10">0.024*AQ16*AR16*AS16*AT16*AU16</f>
        <v>10.415801185754333</v>
      </c>
      <c r="AW16" s="210">
        <f t="shared" ref="AW16:AW39" si="11">(AO16+14.7)/(697.2-43*AN16)</f>
        <v>0</v>
      </c>
      <c r="AX16" s="212">
        <f t="shared" ref="AX16:AX39" si="12">(N16+460)/(315.1*AN16+170.4)</f>
        <v>1.4696875479799241</v>
      </c>
      <c r="AY16" s="210">
        <f t="shared" ref="AY16:AY39" si="13">0.3379*LN(LN(AX16))+1.091</f>
        <v>0.76851414128953044</v>
      </c>
      <c r="AZ16" s="211">
        <f t="shared" ref="AZ16:AZ39" si="14">21.46*AY16-11.9*AY16^2-5.9</f>
        <v>3.5640070462657096</v>
      </c>
      <c r="BA16" s="210">
        <f t="shared" ref="BA16:BA39" si="15">AW16/AZ16</f>
        <v>0</v>
      </c>
      <c r="BB16" s="210">
        <f t="shared" ref="BB16:BB39" si="16">(1.1+0.26*AX16+(1.04-1.42*AX16)*BA16)*2.718^BA16/AX16</f>
        <v>1.0084584063544275</v>
      </c>
      <c r="BC16" s="210">
        <f t="shared" ref="BC16:BC39" si="17">1+(AY16-1)*SIN((90*BA16)/57.29578)^BB16</f>
        <v>1</v>
      </c>
    </row>
    <row r="17" spans="1:55" ht="20.100000000000001" customHeight="1" x14ac:dyDescent="0.2">
      <c r="A17" s="45">
        <v>8.3333333333333301E-2</v>
      </c>
      <c r="B17" s="451"/>
      <c r="C17" s="451"/>
      <c r="D17" s="451">
        <v>6.6</v>
      </c>
      <c r="E17" s="451">
        <v>62.9</v>
      </c>
      <c r="F17" s="41">
        <v>1950</v>
      </c>
      <c r="G17" s="37">
        <v>-5.5</v>
      </c>
      <c r="H17" s="37">
        <v>72.3</v>
      </c>
      <c r="I17" s="37">
        <v>22.1</v>
      </c>
      <c r="J17" s="41">
        <v>727</v>
      </c>
      <c r="K17" s="37">
        <v>13</v>
      </c>
      <c r="L17" s="451">
        <v>131</v>
      </c>
      <c r="M17" s="451">
        <v>222</v>
      </c>
      <c r="N17" s="451">
        <v>85</v>
      </c>
      <c r="O17" s="353">
        <v>45</v>
      </c>
      <c r="P17" s="353">
        <v>12</v>
      </c>
      <c r="Q17" s="353">
        <v>239.72</v>
      </c>
      <c r="R17" s="37"/>
      <c r="S17" s="508" t="str">
        <f t="shared" si="0"/>
        <v/>
      </c>
      <c r="T17" s="508"/>
      <c r="U17" s="508"/>
      <c r="V17" s="508"/>
      <c r="X17" s="45">
        <v>8.3333333333333301E-2</v>
      </c>
      <c r="Y17" s="106"/>
      <c r="Z17" s="102"/>
      <c r="AA17" s="102"/>
      <c r="AB17" s="45" t="str">
        <f t="shared" ref="AB17:AB39" si="18">IF(Y17="STBY",AA17-Z17,"")</f>
        <v/>
      </c>
      <c r="AC17" s="45" t="str">
        <f t="shared" si="1"/>
        <v/>
      </c>
      <c r="AD17" s="81"/>
      <c r="AE17" s="9" t="str">
        <f>IF(S17="","",IF(COUNTA(Z17:$Z$39)=1,IF(COUNTA(AD17:$AD$39)=1,""," ; "),IF(COUNTA(AD17:$AD$39)=1,IF(Z17="",""," ; ")," ; ")))</f>
        <v/>
      </c>
      <c r="AF17" s="9" t="str">
        <f t="shared" si="2"/>
        <v/>
      </c>
      <c r="AG17" s="90" t="str">
        <f t="shared" si="3"/>
        <v/>
      </c>
      <c r="AH17" s="204" t="s">
        <v>289</v>
      </c>
      <c r="AJ17" s="206">
        <f t="shared" ref="AJ17:AN32" si="19">AJ16</f>
        <v>500</v>
      </c>
      <c r="AK17" s="206">
        <f t="shared" si="19"/>
        <v>100</v>
      </c>
      <c r="AL17" s="206">
        <f>AL16</f>
        <v>2</v>
      </c>
      <c r="AM17" s="213">
        <f>AM16</f>
        <v>0.875</v>
      </c>
      <c r="AN17" s="214">
        <f>AN16</f>
        <v>0.63607464142166403</v>
      </c>
      <c r="AO17" s="215">
        <f t="shared" si="4"/>
        <v>-14.7</v>
      </c>
      <c r="AP17" s="216">
        <f t="shared" si="5"/>
        <v>1</v>
      </c>
      <c r="AQ17" s="216">
        <f t="shared" si="6"/>
        <v>1</v>
      </c>
      <c r="AR17" s="215">
        <f>AR16</f>
        <v>158.47</v>
      </c>
      <c r="AS17" s="216">
        <f t="shared" si="7"/>
        <v>0.97679498379494789</v>
      </c>
      <c r="AT17" s="216">
        <f t="shared" si="8"/>
        <v>1.2538510821608391</v>
      </c>
      <c r="AU17" s="216">
        <f t="shared" si="9"/>
        <v>2.2360679774997898</v>
      </c>
      <c r="AV17" s="217">
        <f t="shared" si="10"/>
        <v>10.415801185754333</v>
      </c>
      <c r="AW17" s="216">
        <f t="shared" si="11"/>
        <v>0</v>
      </c>
      <c r="AX17" s="218">
        <f t="shared" si="12"/>
        <v>1.4696875479799241</v>
      </c>
      <c r="AY17" s="216">
        <f t="shared" si="13"/>
        <v>0.76851414128953044</v>
      </c>
      <c r="AZ17" s="217">
        <f t="shared" si="14"/>
        <v>3.5640070462657096</v>
      </c>
      <c r="BA17" s="216">
        <f t="shared" si="15"/>
        <v>0</v>
      </c>
      <c r="BB17" s="216">
        <f t="shared" si="16"/>
        <v>1.0084584063544275</v>
      </c>
      <c r="BC17" s="216">
        <f t="shared" si="17"/>
        <v>1</v>
      </c>
    </row>
    <row r="18" spans="1:55" ht="20.100000000000001" customHeight="1" x14ac:dyDescent="0.2">
      <c r="A18" s="45">
        <v>0.125</v>
      </c>
      <c r="B18" s="451"/>
      <c r="C18" s="451"/>
      <c r="D18" s="451">
        <v>6.5</v>
      </c>
      <c r="E18" s="451">
        <v>65.099999999999994</v>
      </c>
      <c r="F18" s="41">
        <v>1965</v>
      </c>
      <c r="G18" s="37">
        <v>-5.5</v>
      </c>
      <c r="H18" s="37">
        <v>72.599999999999994</v>
      </c>
      <c r="I18" s="37">
        <v>22.3</v>
      </c>
      <c r="J18" s="41">
        <v>728</v>
      </c>
      <c r="K18" s="37">
        <v>13</v>
      </c>
      <c r="L18" s="451">
        <v>131</v>
      </c>
      <c r="M18" s="451">
        <v>222</v>
      </c>
      <c r="N18" s="451">
        <v>85</v>
      </c>
      <c r="O18" s="353">
        <v>45</v>
      </c>
      <c r="P18" s="353">
        <v>11</v>
      </c>
      <c r="Q18" s="353">
        <v>229.59</v>
      </c>
      <c r="R18" s="37"/>
      <c r="S18" s="508" t="str">
        <f t="shared" si="0"/>
        <v/>
      </c>
      <c r="T18" s="508"/>
      <c r="U18" s="508"/>
      <c r="V18" s="508"/>
      <c r="X18" s="45">
        <v>0.125</v>
      </c>
      <c r="Y18" s="106"/>
      <c r="Z18" s="102"/>
      <c r="AA18" s="102"/>
      <c r="AB18" s="45" t="str">
        <f t="shared" si="18"/>
        <v/>
      </c>
      <c r="AC18" s="45" t="str">
        <f t="shared" si="1"/>
        <v/>
      </c>
      <c r="AD18" s="81"/>
      <c r="AE18" s="9" t="str">
        <f>IF(S18="","",IF(COUNTA(Z18:$Z$39)=1,IF(COUNTA(AD18:$AD$39)=1,""," ; "),IF(COUNTA(AD18:$AD$39)=1,IF(Z18="",""," ; ")," ; ")))</f>
        <v/>
      </c>
      <c r="AF18" s="9" t="str">
        <f t="shared" si="2"/>
        <v/>
      </c>
      <c r="AG18" s="90" t="str">
        <f t="shared" si="3"/>
        <v/>
      </c>
      <c r="AH18" s="204" t="s">
        <v>321</v>
      </c>
      <c r="AJ18" s="206">
        <f t="shared" si="19"/>
        <v>500</v>
      </c>
      <c r="AK18" s="206">
        <f t="shared" si="19"/>
        <v>100</v>
      </c>
      <c r="AL18" s="206">
        <f t="shared" si="19"/>
        <v>2</v>
      </c>
      <c r="AM18" s="213">
        <f t="shared" si="19"/>
        <v>0.875</v>
      </c>
      <c r="AN18" s="214">
        <f t="shared" si="19"/>
        <v>0.63607464142166403</v>
      </c>
      <c r="AO18" s="215">
        <f t="shared" si="4"/>
        <v>-14.7</v>
      </c>
      <c r="AP18" s="216">
        <f t="shared" si="5"/>
        <v>1</v>
      </c>
      <c r="AQ18" s="216">
        <f t="shared" si="6"/>
        <v>1</v>
      </c>
      <c r="AR18" s="215">
        <f t="shared" ref="AR18:AR39" si="20">AR17</f>
        <v>158.47</v>
      </c>
      <c r="AS18" s="216">
        <f t="shared" si="7"/>
        <v>0.97679498379494789</v>
      </c>
      <c r="AT18" s="216">
        <f t="shared" si="8"/>
        <v>1.2538510821608391</v>
      </c>
      <c r="AU18" s="216">
        <f t="shared" si="9"/>
        <v>2.2360679774997898</v>
      </c>
      <c r="AV18" s="217">
        <f t="shared" si="10"/>
        <v>10.415801185754333</v>
      </c>
      <c r="AW18" s="216">
        <f t="shared" si="11"/>
        <v>0</v>
      </c>
      <c r="AX18" s="218">
        <f t="shared" si="12"/>
        <v>1.4696875479799241</v>
      </c>
      <c r="AY18" s="216">
        <f t="shared" si="13"/>
        <v>0.76851414128953044</v>
      </c>
      <c r="AZ18" s="217">
        <f t="shared" si="14"/>
        <v>3.5640070462657096</v>
      </c>
      <c r="BA18" s="216">
        <f t="shared" si="15"/>
        <v>0</v>
      </c>
      <c r="BB18" s="216">
        <f t="shared" si="16"/>
        <v>1.0084584063544275</v>
      </c>
      <c r="BC18" s="216">
        <f t="shared" si="17"/>
        <v>1</v>
      </c>
    </row>
    <row r="19" spans="1:55" ht="20.100000000000001" customHeight="1" x14ac:dyDescent="0.2">
      <c r="A19" s="45">
        <v>0.16666666666666699</v>
      </c>
      <c r="B19" s="451"/>
      <c r="C19" s="451"/>
      <c r="D19" s="451">
        <v>6.3</v>
      </c>
      <c r="E19" s="451">
        <v>65.5</v>
      </c>
      <c r="F19" s="41">
        <v>1956</v>
      </c>
      <c r="G19" s="37">
        <v>-5.5</v>
      </c>
      <c r="H19" s="37">
        <v>72.5</v>
      </c>
      <c r="I19" s="37">
        <v>22.9</v>
      </c>
      <c r="J19" s="41">
        <v>729</v>
      </c>
      <c r="K19" s="37">
        <v>13</v>
      </c>
      <c r="L19" s="451">
        <v>129</v>
      </c>
      <c r="M19" s="451">
        <v>220</v>
      </c>
      <c r="N19" s="451">
        <v>85</v>
      </c>
      <c r="O19" s="353">
        <v>45</v>
      </c>
      <c r="P19" s="353">
        <v>13</v>
      </c>
      <c r="Q19" s="353">
        <v>249.43</v>
      </c>
      <c r="R19" s="37"/>
      <c r="S19" s="508" t="str">
        <f t="shared" si="0"/>
        <v/>
      </c>
      <c r="T19" s="508"/>
      <c r="U19" s="508"/>
      <c r="V19" s="508"/>
      <c r="X19" s="45">
        <v>0.16666666666666699</v>
      </c>
      <c r="Y19" s="106"/>
      <c r="Z19" s="102"/>
      <c r="AA19" s="102"/>
      <c r="AB19" s="45" t="str">
        <f t="shared" si="18"/>
        <v/>
      </c>
      <c r="AC19" s="45" t="str">
        <f t="shared" si="1"/>
        <v/>
      </c>
      <c r="AD19" s="81"/>
      <c r="AE19" s="9" t="str">
        <f>IF(S19="","",IF(COUNTA(Z19:$Z$39)=1,IF(COUNTA(AD19:$AD$39)=1,""," ; "),IF(COUNTA(AD19:$AD$39)=1,IF(Z19="",""," ; ")," ; ")))</f>
        <v/>
      </c>
      <c r="AF19" s="9" t="str">
        <f t="shared" si="2"/>
        <v/>
      </c>
      <c r="AG19" s="90" t="str">
        <f t="shared" si="3"/>
        <v/>
      </c>
      <c r="AH19" s="204" t="s">
        <v>272</v>
      </c>
      <c r="AJ19" s="206">
        <f t="shared" si="19"/>
        <v>500</v>
      </c>
      <c r="AK19" s="206">
        <f t="shared" si="19"/>
        <v>100</v>
      </c>
      <c r="AL19" s="206">
        <f t="shared" si="19"/>
        <v>2</v>
      </c>
      <c r="AM19" s="213">
        <f t="shared" si="19"/>
        <v>0.875</v>
      </c>
      <c r="AN19" s="214">
        <f t="shared" si="19"/>
        <v>0.63607464142166403</v>
      </c>
      <c r="AO19" s="215">
        <f t="shared" si="4"/>
        <v>-14.7</v>
      </c>
      <c r="AP19" s="216">
        <f t="shared" si="5"/>
        <v>1</v>
      </c>
      <c r="AQ19" s="216">
        <f t="shared" si="6"/>
        <v>1</v>
      </c>
      <c r="AR19" s="215">
        <f t="shared" si="20"/>
        <v>158.47</v>
      </c>
      <c r="AS19" s="216">
        <f t="shared" si="7"/>
        <v>0.97679498379494789</v>
      </c>
      <c r="AT19" s="216">
        <f t="shared" si="8"/>
        <v>1.2538510821608391</v>
      </c>
      <c r="AU19" s="216">
        <f t="shared" si="9"/>
        <v>2.2360679774997898</v>
      </c>
      <c r="AV19" s="217">
        <f t="shared" si="10"/>
        <v>10.415801185754333</v>
      </c>
      <c r="AW19" s="216">
        <f t="shared" si="11"/>
        <v>0</v>
      </c>
      <c r="AX19" s="218">
        <f t="shared" si="12"/>
        <v>1.4696875479799241</v>
      </c>
      <c r="AY19" s="216">
        <f t="shared" si="13"/>
        <v>0.76851414128953044</v>
      </c>
      <c r="AZ19" s="217">
        <f t="shared" si="14"/>
        <v>3.5640070462657096</v>
      </c>
      <c r="BA19" s="216">
        <f t="shared" si="15"/>
        <v>0</v>
      </c>
      <c r="BB19" s="216">
        <f t="shared" si="16"/>
        <v>1.0084584063544275</v>
      </c>
      <c r="BC19" s="216">
        <f t="shared" si="17"/>
        <v>1</v>
      </c>
    </row>
    <row r="20" spans="1:55" ht="20.100000000000001" customHeight="1" x14ac:dyDescent="0.2">
      <c r="A20" s="45">
        <v>0.20833333333333301</v>
      </c>
      <c r="B20" s="451"/>
      <c r="C20" s="451"/>
      <c r="D20" s="451">
        <v>6.8</v>
      </c>
      <c r="E20" s="451">
        <v>63.3</v>
      </c>
      <c r="F20" s="41">
        <v>1963</v>
      </c>
      <c r="G20" s="37">
        <v>-5.5</v>
      </c>
      <c r="H20" s="37">
        <v>72.3</v>
      </c>
      <c r="I20" s="37">
        <v>22.1</v>
      </c>
      <c r="J20" s="41">
        <v>730</v>
      </c>
      <c r="K20" s="37">
        <v>13</v>
      </c>
      <c r="L20" s="451">
        <v>129</v>
      </c>
      <c r="M20" s="451">
        <v>220</v>
      </c>
      <c r="N20" s="451">
        <v>85</v>
      </c>
      <c r="O20" s="353">
        <v>45</v>
      </c>
      <c r="P20" s="353">
        <v>13</v>
      </c>
      <c r="Q20" s="353">
        <v>249.43</v>
      </c>
      <c r="R20" s="37"/>
      <c r="S20" s="508" t="str">
        <f t="shared" si="0"/>
        <v/>
      </c>
      <c r="T20" s="508"/>
      <c r="U20" s="508"/>
      <c r="V20" s="508"/>
      <c r="X20" s="45">
        <v>0.20833333333333301</v>
      </c>
      <c r="Y20" s="106"/>
      <c r="Z20" s="102"/>
      <c r="AA20" s="102"/>
      <c r="AB20" s="45" t="str">
        <f t="shared" si="18"/>
        <v/>
      </c>
      <c r="AC20" s="45" t="str">
        <f t="shared" si="1"/>
        <v/>
      </c>
      <c r="AD20" s="81"/>
      <c r="AE20" s="9" t="str">
        <f>IF(S20="","",IF(COUNTA(Z20:$Z$39)=1,IF(COUNTA(AD20:$AD$39)=1,""," ; "),IF(COUNTA(AD20:$AD$39)=1,IF(Z20="",""," ; ")," ; ")))</f>
        <v/>
      </c>
      <c r="AF20" s="9" t="str">
        <f t="shared" si="2"/>
        <v/>
      </c>
      <c r="AG20" s="90" t="str">
        <f t="shared" si="3"/>
        <v/>
      </c>
      <c r="AH20" s="204" t="s">
        <v>275</v>
      </c>
      <c r="AJ20" s="206">
        <f t="shared" si="19"/>
        <v>500</v>
      </c>
      <c r="AK20" s="206">
        <f t="shared" si="19"/>
        <v>100</v>
      </c>
      <c r="AL20" s="206">
        <f t="shared" si="19"/>
        <v>2</v>
      </c>
      <c r="AM20" s="213">
        <f t="shared" si="19"/>
        <v>0.875</v>
      </c>
      <c r="AN20" s="214">
        <f t="shared" si="19"/>
        <v>0.63607464142166403</v>
      </c>
      <c r="AO20" s="215">
        <f t="shared" si="4"/>
        <v>-14.7</v>
      </c>
      <c r="AP20" s="216">
        <f t="shared" si="5"/>
        <v>1</v>
      </c>
      <c r="AQ20" s="216">
        <f t="shared" si="6"/>
        <v>1</v>
      </c>
      <c r="AR20" s="215">
        <f t="shared" si="20"/>
        <v>158.47</v>
      </c>
      <c r="AS20" s="216">
        <f t="shared" si="7"/>
        <v>0.97679498379494789</v>
      </c>
      <c r="AT20" s="216">
        <f t="shared" si="8"/>
        <v>1.2538510821608391</v>
      </c>
      <c r="AU20" s="216">
        <f t="shared" si="9"/>
        <v>2.2360679774997898</v>
      </c>
      <c r="AV20" s="217">
        <f t="shared" si="10"/>
        <v>10.415801185754333</v>
      </c>
      <c r="AW20" s="216">
        <f t="shared" si="11"/>
        <v>0</v>
      </c>
      <c r="AX20" s="218">
        <f t="shared" si="12"/>
        <v>1.4696875479799241</v>
      </c>
      <c r="AY20" s="216">
        <f t="shared" si="13"/>
        <v>0.76851414128953044</v>
      </c>
      <c r="AZ20" s="217">
        <f t="shared" si="14"/>
        <v>3.5640070462657096</v>
      </c>
      <c r="BA20" s="216">
        <f t="shared" si="15"/>
        <v>0</v>
      </c>
      <c r="BB20" s="216">
        <f t="shared" si="16"/>
        <v>1.0084584063544275</v>
      </c>
      <c r="BC20" s="216">
        <f t="shared" si="17"/>
        <v>1</v>
      </c>
    </row>
    <row r="21" spans="1:55" ht="20.100000000000001" customHeight="1" x14ac:dyDescent="0.2">
      <c r="A21" s="45">
        <v>0.25</v>
      </c>
      <c r="B21" s="451"/>
      <c r="C21" s="451"/>
      <c r="D21" s="451">
        <v>6.9</v>
      </c>
      <c r="E21" s="451">
        <v>63.6</v>
      </c>
      <c r="F21" s="41">
        <v>1951</v>
      </c>
      <c r="G21" s="37">
        <v>-5.5</v>
      </c>
      <c r="H21" s="37">
        <v>72.900000000000006</v>
      </c>
      <c r="I21" s="37">
        <v>22.5</v>
      </c>
      <c r="J21" s="41">
        <v>731</v>
      </c>
      <c r="K21" s="37">
        <v>13</v>
      </c>
      <c r="L21" s="451">
        <v>130</v>
      </c>
      <c r="M21" s="451">
        <v>223</v>
      </c>
      <c r="N21" s="451">
        <v>85</v>
      </c>
      <c r="O21" s="353">
        <v>45</v>
      </c>
      <c r="P21" s="353">
        <v>10</v>
      </c>
      <c r="Q21" s="353">
        <v>219</v>
      </c>
      <c r="R21" s="37"/>
      <c r="S21" s="508" t="str">
        <f t="shared" si="0"/>
        <v/>
      </c>
      <c r="T21" s="508"/>
      <c r="U21" s="508"/>
      <c r="V21" s="508"/>
      <c r="X21" s="45">
        <v>0.25</v>
      </c>
      <c r="Y21" s="106"/>
      <c r="Z21" s="102"/>
      <c r="AA21" s="102"/>
      <c r="AB21" s="45" t="str">
        <f t="shared" si="18"/>
        <v/>
      </c>
      <c r="AC21" s="45" t="str">
        <f t="shared" si="1"/>
        <v/>
      </c>
      <c r="AD21" s="81"/>
      <c r="AE21" s="9" t="str">
        <f>IF(S21="","",IF(COUNTA(Z21:$Z$39)=1,IF(COUNTA(AD21:$AD$39)=1,""," ; "),IF(COUNTA(AD21:$AD$39)=1,IF(Z21="",""," ; ")," ; ")))</f>
        <v/>
      </c>
      <c r="AF21" s="9" t="str">
        <f t="shared" si="2"/>
        <v/>
      </c>
      <c r="AG21" s="90" t="str">
        <f t="shared" si="3"/>
        <v/>
      </c>
      <c r="AH21" s="204" t="s">
        <v>322</v>
      </c>
      <c r="AJ21" s="206">
        <f t="shared" si="19"/>
        <v>500</v>
      </c>
      <c r="AK21" s="206">
        <f t="shared" si="19"/>
        <v>100</v>
      </c>
      <c r="AL21" s="206">
        <f t="shared" si="19"/>
        <v>2</v>
      </c>
      <c r="AM21" s="213">
        <f t="shared" si="19"/>
        <v>0.875</v>
      </c>
      <c r="AN21" s="214">
        <f t="shared" si="19"/>
        <v>0.63607464142166403</v>
      </c>
      <c r="AO21" s="215">
        <f t="shared" si="4"/>
        <v>-14.7</v>
      </c>
      <c r="AP21" s="216">
        <f t="shared" si="5"/>
        <v>1</v>
      </c>
      <c r="AQ21" s="216">
        <f t="shared" si="6"/>
        <v>1</v>
      </c>
      <c r="AR21" s="215">
        <f t="shared" si="20"/>
        <v>158.47</v>
      </c>
      <c r="AS21" s="216">
        <f t="shared" si="7"/>
        <v>0.97679498379494789</v>
      </c>
      <c r="AT21" s="216">
        <f t="shared" si="8"/>
        <v>1.2538510821608391</v>
      </c>
      <c r="AU21" s="216">
        <f t="shared" si="9"/>
        <v>2.2360679774997898</v>
      </c>
      <c r="AV21" s="217">
        <f t="shared" si="10"/>
        <v>10.415801185754333</v>
      </c>
      <c r="AW21" s="216">
        <f t="shared" si="11"/>
        <v>0</v>
      </c>
      <c r="AX21" s="218">
        <f t="shared" si="12"/>
        <v>1.4696875479799241</v>
      </c>
      <c r="AY21" s="216">
        <f t="shared" si="13"/>
        <v>0.76851414128953044</v>
      </c>
      <c r="AZ21" s="217">
        <f t="shared" si="14"/>
        <v>3.5640070462657096</v>
      </c>
      <c r="BA21" s="216">
        <f t="shared" si="15"/>
        <v>0</v>
      </c>
      <c r="BB21" s="216">
        <f t="shared" si="16"/>
        <v>1.0084584063544275</v>
      </c>
      <c r="BC21" s="216">
        <f t="shared" si="17"/>
        <v>1</v>
      </c>
    </row>
    <row r="22" spans="1:55" ht="20.100000000000001" customHeight="1" x14ac:dyDescent="0.2">
      <c r="A22" s="45">
        <v>0.29166666666666702</v>
      </c>
      <c r="B22" s="451"/>
      <c r="C22" s="451"/>
      <c r="D22" s="451">
        <v>7.2</v>
      </c>
      <c r="E22" s="451">
        <v>66.5</v>
      </c>
      <c r="F22" s="41">
        <v>1930</v>
      </c>
      <c r="G22" s="37">
        <v>-5.5</v>
      </c>
      <c r="H22" s="37">
        <v>72.2</v>
      </c>
      <c r="I22" s="37">
        <v>22.6</v>
      </c>
      <c r="J22" s="41">
        <v>732</v>
      </c>
      <c r="K22" s="37">
        <v>13</v>
      </c>
      <c r="L22" s="451">
        <v>130</v>
      </c>
      <c r="M22" s="451">
        <v>223</v>
      </c>
      <c r="N22" s="451">
        <v>85</v>
      </c>
      <c r="O22" s="353">
        <v>45</v>
      </c>
      <c r="P22" s="353">
        <v>12</v>
      </c>
      <c r="Q22" s="353">
        <v>239.72</v>
      </c>
      <c r="R22" s="37"/>
      <c r="S22" s="508" t="str">
        <f t="shared" si="0"/>
        <v/>
      </c>
      <c r="T22" s="508"/>
      <c r="U22" s="508"/>
      <c r="V22" s="508"/>
      <c r="X22" s="45">
        <v>0.29166666666666702</v>
      </c>
      <c r="Y22" s="106"/>
      <c r="Z22" s="102"/>
      <c r="AA22" s="102"/>
      <c r="AB22" s="45" t="str">
        <f t="shared" si="18"/>
        <v/>
      </c>
      <c r="AC22" s="45" t="str">
        <f t="shared" si="1"/>
        <v/>
      </c>
      <c r="AD22" s="81"/>
      <c r="AE22" s="9" t="str">
        <f>IF(S22="","",IF(COUNTA(Z22:$Z$39)=1,IF(COUNTA(AD22:$AD$39)=1,""," ; "),IF(COUNTA(AD22:$AD$39)=1,IF(Z22="",""," ; ")," ; ")))</f>
        <v/>
      </c>
      <c r="AF22" s="9" t="str">
        <f t="shared" si="2"/>
        <v/>
      </c>
      <c r="AG22" s="90" t="str">
        <f t="shared" si="3"/>
        <v/>
      </c>
      <c r="AH22" s="204" t="s">
        <v>279</v>
      </c>
      <c r="AJ22" s="206">
        <f t="shared" si="19"/>
        <v>500</v>
      </c>
      <c r="AK22" s="206">
        <f t="shared" si="19"/>
        <v>100</v>
      </c>
      <c r="AL22" s="206">
        <f t="shared" si="19"/>
        <v>2</v>
      </c>
      <c r="AM22" s="213">
        <f t="shared" si="19"/>
        <v>0.875</v>
      </c>
      <c r="AN22" s="214">
        <f t="shared" si="19"/>
        <v>0.63607464142166403</v>
      </c>
      <c r="AO22" s="215">
        <f t="shared" si="4"/>
        <v>-14.7</v>
      </c>
      <c r="AP22" s="216">
        <f t="shared" si="5"/>
        <v>1</v>
      </c>
      <c r="AQ22" s="216">
        <f t="shared" si="6"/>
        <v>1</v>
      </c>
      <c r="AR22" s="215">
        <f t="shared" si="20"/>
        <v>158.47</v>
      </c>
      <c r="AS22" s="216">
        <f t="shared" si="7"/>
        <v>0.97679498379494789</v>
      </c>
      <c r="AT22" s="216">
        <f t="shared" si="8"/>
        <v>1.2538510821608391</v>
      </c>
      <c r="AU22" s="216">
        <f t="shared" si="9"/>
        <v>2.2360679774997898</v>
      </c>
      <c r="AV22" s="217">
        <f t="shared" si="10"/>
        <v>10.415801185754333</v>
      </c>
      <c r="AW22" s="216">
        <f t="shared" si="11"/>
        <v>0</v>
      </c>
      <c r="AX22" s="218">
        <f t="shared" si="12"/>
        <v>1.4696875479799241</v>
      </c>
      <c r="AY22" s="216">
        <f t="shared" si="13"/>
        <v>0.76851414128953044</v>
      </c>
      <c r="AZ22" s="217">
        <f t="shared" si="14"/>
        <v>3.5640070462657096</v>
      </c>
      <c r="BA22" s="216">
        <f t="shared" si="15"/>
        <v>0</v>
      </c>
      <c r="BB22" s="216">
        <f t="shared" si="16"/>
        <v>1.0084584063544275</v>
      </c>
      <c r="BC22" s="216">
        <f t="shared" si="17"/>
        <v>1</v>
      </c>
    </row>
    <row r="23" spans="1:55" ht="20.100000000000001" customHeight="1" x14ac:dyDescent="0.2">
      <c r="A23" s="45">
        <v>0.33333333333333298</v>
      </c>
      <c r="B23" s="451"/>
      <c r="C23" s="451"/>
      <c r="D23" s="451">
        <v>6.6</v>
      </c>
      <c r="E23" s="451">
        <v>63</v>
      </c>
      <c r="F23" s="41">
        <v>1942</v>
      </c>
      <c r="G23" s="37">
        <v>-5.5</v>
      </c>
      <c r="H23" s="37">
        <v>72.599999999999994</v>
      </c>
      <c r="I23" s="37">
        <v>22.4</v>
      </c>
      <c r="J23" s="41">
        <v>733</v>
      </c>
      <c r="K23" s="37">
        <v>13</v>
      </c>
      <c r="L23" s="451">
        <v>135</v>
      </c>
      <c r="M23" s="451">
        <v>222</v>
      </c>
      <c r="N23" s="451">
        <v>85</v>
      </c>
      <c r="O23" s="353">
        <v>45</v>
      </c>
      <c r="P23" s="353">
        <v>14</v>
      </c>
      <c r="Q23" s="353">
        <v>258.77</v>
      </c>
      <c r="R23" s="37"/>
      <c r="S23" s="508" t="str">
        <f t="shared" si="0"/>
        <v/>
      </c>
      <c r="T23" s="508"/>
      <c r="U23" s="508"/>
      <c r="V23" s="508"/>
      <c r="X23" s="45">
        <v>0.33333333333333298</v>
      </c>
      <c r="Y23" s="106"/>
      <c r="Z23" s="102"/>
      <c r="AA23" s="102"/>
      <c r="AB23" s="45" t="str">
        <f t="shared" si="18"/>
        <v/>
      </c>
      <c r="AC23" s="45" t="str">
        <f t="shared" si="1"/>
        <v/>
      </c>
      <c r="AD23" s="81"/>
      <c r="AE23" s="9" t="str">
        <f>IF(S23="","",IF(COUNTA(Z23:$Z$39)=1,IF(COUNTA(AD23:$AD$39)=1,""," ; "),IF(COUNTA(AD23:$AD$39)=1,IF(Z23="",""," ; ")," ; ")))</f>
        <v/>
      </c>
      <c r="AF23" s="9" t="str">
        <f t="shared" si="2"/>
        <v/>
      </c>
      <c r="AG23" s="90" t="str">
        <f t="shared" si="3"/>
        <v/>
      </c>
      <c r="AH23" s="204" t="s">
        <v>274</v>
      </c>
      <c r="AJ23" s="206">
        <f t="shared" si="19"/>
        <v>500</v>
      </c>
      <c r="AK23" s="206">
        <f t="shared" si="19"/>
        <v>100</v>
      </c>
      <c r="AL23" s="206">
        <f t="shared" si="19"/>
        <v>2</v>
      </c>
      <c r="AM23" s="213">
        <f t="shared" si="19"/>
        <v>0.875</v>
      </c>
      <c r="AN23" s="214">
        <f t="shared" si="19"/>
        <v>0.63607464142166403</v>
      </c>
      <c r="AO23" s="215">
        <f t="shared" si="4"/>
        <v>-14.7</v>
      </c>
      <c r="AP23" s="216">
        <f t="shared" si="5"/>
        <v>1</v>
      </c>
      <c r="AQ23" s="216">
        <f t="shared" si="6"/>
        <v>1</v>
      </c>
      <c r="AR23" s="215">
        <f t="shared" si="20"/>
        <v>158.47</v>
      </c>
      <c r="AS23" s="216">
        <f t="shared" si="7"/>
        <v>0.97679498379494789</v>
      </c>
      <c r="AT23" s="216">
        <f t="shared" si="8"/>
        <v>1.2538510821608391</v>
      </c>
      <c r="AU23" s="216">
        <f t="shared" si="9"/>
        <v>2.2360679774997898</v>
      </c>
      <c r="AV23" s="217">
        <f t="shared" si="10"/>
        <v>10.415801185754333</v>
      </c>
      <c r="AW23" s="216">
        <f t="shared" si="11"/>
        <v>0</v>
      </c>
      <c r="AX23" s="218">
        <f t="shared" si="12"/>
        <v>1.4696875479799241</v>
      </c>
      <c r="AY23" s="216">
        <f t="shared" si="13"/>
        <v>0.76851414128953044</v>
      </c>
      <c r="AZ23" s="217">
        <f t="shared" si="14"/>
        <v>3.5640070462657096</v>
      </c>
      <c r="BA23" s="216">
        <f t="shared" si="15"/>
        <v>0</v>
      </c>
      <c r="BB23" s="216">
        <f t="shared" si="16"/>
        <v>1.0084584063544275</v>
      </c>
      <c r="BC23" s="216">
        <f t="shared" si="17"/>
        <v>1</v>
      </c>
    </row>
    <row r="24" spans="1:55" ht="20.100000000000001" customHeight="1" x14ac:dyDescent="0.2">
      <c r="A24" s="45">
        <v>0.375</v>
      </c>
      <c r="B24" s="451"/>
      <c r="C24" s="451"/>
      <c r="D24" s="451">
        <v>5.8</v>
      </c>
      <c r="E24" s="451">
        <v>62.7</v>
      </c>
      <c r="F24" s="41">
        <v>1915</v>
      </c>
      <c r="G24" s="37">
        <v>-5.5</v>
      </c>
      <c r="H24" s="37">
        <v>72.400000000000006</v>
      </c>
      <c r="I24" s="37">
        <v>22.2</v>
      </c>
      <c r="J24" s="41">
        <v>734</v>
      </c>
      <c r="K24" s="37">
        <v>13</v>
      </c>
      <c r="L24" s="451">
        <v>132</v>
      </c>
      <c r="M24" s="451">
        <v>222</v>
      </c>
      <c r="N24" s="451">
        <v>85</v>
      </c>
      <c r="O24" s="353">
        <v>45</v>
      </c>
      <c r="P24" s="353">
        <v>14</v>
      </c>
      <c r="Q24" s="353">
        <v>258.77</v>
      </c>
      <c r="R24" s="37"/>
      <c r="S24" s="508" t="str">
        <f t="shared" si="0"/>
        <v/>
      </c>
      <c r="T24" s="508"/>
      <c r="U24" s="508"/>
      <c r="V24" s="508"/>
      <c r="X24" s="45">
        <v>0.375</v>
      </c>
      <c r="Y24" s="106"/>
      <c r="Z24" s="102"/>
      <c r="AA24" s="102"/>
      <c r="AB24" s="45" t="str">
        <f t="shared" si="18"/>
        <v/>
      </c>
      <c r="AC24" s="45" t="str">
        <f t="shared" si="1"/>
        <v/>
      </c>
      <c r="AD24" s="81"/>
      <c r="AE24" s="9" t="str">
        <f>IF(S24="","",IF(COUNTA(Z24:$Z$39)=1,IF(COUNTA(AD24:$AD$39)=1,""," ; "),IF(COUNTA(AD24:$AD$39)=1,IF(Z24="",""," ; ")," ; ")))</f>
        <v/>
      </c>
      <c r="AF24" s="9" t="str">
        <f t="shared" si="2"/>
        <v/>
      </c>
      <c r="AG24" s="90" t="str">
        <f t="shared" si="3"/>
        <v/>
      </c>
      <c r="AH24" s="204" t="s">
        <v>307</v>
      </c>
      <c r="AJ24" s="206">
        <f t="shared" si="19"/>
        <v>500</v>
      </c>
      <c r="AK24" s="206">
        <f t="shared" si="19"/>
        <v>100</v>
      </c>
      <c r="AL24" s="206">
        <f t="shared" si="19"/>
        <v>2</v>
      </c>
      <c r="AM24" s="213">
        <f t="shared" si="19"/>
        <v>0.875</v>
      </c>
      <c r="AN24" s="214">
        <f t="shared" si="19"/>
        <v>0.63607464142166403</v>
      </c>
      <c r="AO24" s="215">
        <f t="shared" si="4"/>
        <v>-14.7</v>
      </c>
      <c r="AP24" s="216">
        <f t="shared" si="5"/>
        <v>1</v>
      </c>
      <c r="AQ24" s="216">
        <f t="shared" si="6"/>
        <v>1</v>
      </c>
      <c r="AR24" s="215">
        <f t="shared" si="20"/>
        <v>158.47</v>
      </c>
      <c r="AS24" s="216">
        <f t="shared" si="7"/>
        <v>0.97679498379494789</v>
      </c>
      <c r="AT24" s="216">
        <f t="shared" si="8"/>
        <v>1.2538510821608391</v>
      </c>
      <c r="AU24" s="216">
        <f t="shared" si="9"/>
        <v>2.2360679774997898</v>
      </c>
      <c r="AV24" s="217">
        <f t="shared" si="10"/>
        <v>10.415801185754333</v>
      </c>
      <c r="AW24" s="216">
        <f t="shared" si="11"/>
        <v>0</v>
      </c>
      <c r="AX24" s="218">
        <f t="shared" si="12"/>
        <v>1.4696875479799241</v>
      </c>
      <c r="AY24" s="216">
        <f t="shared" si="13"/>
        <v>0.76851414128953044</v>
      </c>
      <c r="AZ24" s="217">
        <f t="shared" si="14"/>
        <v>3.5640070462657096</v>
      </c>
      <c r="BA24" s="216">
        <f t="shared" si="15"/>
        <v>0</v>
      </c>
      <c r="BB24" s="216">
        <f t="shared" si="16"/>
        <v>1.0084584063544275</v>
      </c>
      <c r="BC24" s="216">
        <f t="shared" si="17"/>
        <v>1</v>
      </c>
    </row>
    <row r="25" spans="1:55" ht="20.100000000000001" customHeight="1" x14ac:dyDescent="0.2">
      <c r="A25" s="45">
        <v>0.41666666666666702</v>
      </c>
      <c r="B25" s="451"/>
      <c r="C25" s="451"/>
      <c r="D25" s="451">
        <v>7.4</v>
      </c>
      <c r="E25" s="451">
        <v>65.3</v>
      </c>
      <c r="F25" s="41">
        <v>1952</v>
      </c>
      <c r="G25" s="37">
        <v>-5.5</v>
      </c>
      <c r="H25" s="37">
        <v>72.099999999999994</v>
      </c>
      <c r="I25" s="37">
        <v>22.5</v>
      </c>
      <c r="J25" s="41">
        <v>735</v>
      </c>
      <c r="K25" s="37">
        <v>13</v>
      </c>
      <c r="L25" s="451">
        <v>137</v>
      </c>
      <c r="M25" s="451">
        <v>225</v>
      </c>
      <c r="N25" s="451">
        <v>85</v>
      </c>
      <c r="O25" s="353">
        <v>45</v>
      </c>
      <c r="P25" s="353">
        <v>12</v>
      </c>
      <c r="Q25" s="353">
        <v>239.72</v>
      </c>
      <c r="R25" s="37"/>
      <c r="S25" s="508" t="str">
        <f t="shared" si="0"/>
        <v/>
      </c>
      <c r="T25" s="508"/>
      <c r="U25" s="508"/>
      <c r="V25" s="508"/>
      <c r="X25" s="45">
        <v>0.41666666666666702</v>
      </c>
      <c r="Y25" s="106"/>
      <c r="Z25" s="102"/>
      <c r="AA25" s="102"/>
      <c r="AB25" s="45" t="str">
        <f t="shared" si="18"/>
        <v/>
      </c>
      <c r="AC25" s="45" t="str">
        <f t="shared" si="1"/>
        <v/>
      </c>
      <c r="AD25" s="81"/>
      <c r="AE25" s="9" t="str">
        <f>IF(S25="","",IF(COUNTA(Z25:$Z$39)=1,IF(COUNTA(AD25:$AD$39)=1,""," ; "),IF(COUNTA(AD25:$AD$39)=1,IF(Z25="",""," ; ")," ; ")))</f>
        <v/>
      </c>
      <c r="AF25" s="9" t="str">
        <f t="shared" si="2"/>
        <v/>
      </c>
      <c r="AG25" s="90" t="str">
        <f t="shared" si="3"/>
        <v/>
      </c>
      <c r="AH25" s="204" t="s">
        <v>225</v>
      </c>
      <c r="AJ25" s="206">
        <f t="shared" si="19"/>
        <v>500</v>
      </c>
      <c r="AK25" s="206">
        <f t="shared" si="19"/>
        <v>100</v>
      </c>
      <c r="AL25" s="206">
        <f t="shared" si="19"/>
        <v>2</v>
      </c>
      <c r="AM25" s="213">
        <f t="shared" si="19"/>
        <v>0.875</v>
      </c>
      <c r="AN25" s="214">
        <f t="shared" si="19"/>
        <v>0.63607464142166403</v>
      </c>
      <c r="AO25" s="215">
        <f t="shared" si="4"/>
        <v>-14.7</v>
      </c>
      <c r="AP25" s="216">
        <f t="shared" si="5"/>
        <v>1</v>
      </c>
      <c r="AQ25" s="216">
        <f t="shared" si="6"/>
        <v>1</v>
      </c>
      <c r="AR25" s="215">
        <f t="shared" si="20"/>
        <v>158.47</v>
      </c>
      <c r="AS25" s="216">
        <f t="shared" si="7"/>
        <v>0.97679498379494789</v>
      </c>
      <c r="AT25" s="216">
        <f t="shared" si="8"/>
        <v>1.2538510821608391</v>
      </c>
      <c r="AU25" s="216">
        <f t="shared" si="9"/>
        <v>2.2360679774997898</v>
      </c>
      <c r="AV25" s="217">
        <f t="shared" si="10"/>
        <v>10.415801185754333</v>
      </c>
      <c r="AW25" s="216">
        <f t="shared" si="11"/>
        <v>0</v>
      </c>
      <c r="AX25" s="218">
        <f t="shared" si="12"/>
        <v>1.4696875479799241</v>
      </c>
      <c r="AY25" s="216">
        <f t="shared" si="13"/>
        <v>0.76851414128953044</v>
      </c>
      <c r="AZ25" s="217">
        <f t="shared" si="14"/>
        <v>3.5640070462657096</v>
      </c>
      <c r="BA25" s="216">
        <f t="shared" si="15"/>
        <v>0</v>
      </c>
      <c r="BB25" s="216">
        <f t="shared" si="16"/>
        <v>1.0084584063544275</v>
      </c>
      <c r="BC25" s="216">
        <f t="shared" si="17"/>
        <v>1</v>
      </c>
    </row>
    <row r="26" spans="1:55" ht="20.100000000000001" customHeight="1" x14ac:dyDescent="0.2">
      <c r="A26" s="45">
        <v>0.45833333333333298</v>
      </c>
      <c r="B26" s="451"/>
      <c r="C26" s="451"/>
      <c r="D26" s="451">
        <v>7</v>
      </c>
      <c r="E26" s="451">
        <v>63.4</v>
      </c>
      <c r="F26" s="41">
        <v>1930</v>
      </c>
      <c r="G26" s="37">
        <v>-5.5</v>
      </c>
      <c r="H26" s="37">
        <v>72.5</v>
      </c>
      <c r="I26" s="37">
        <v>22.1</v>
      </c>
      <c r="J26" s="41">
        <v>736</v>
      </c>
      <c r="K26" s="37">
        <v>13</v>
      </c>
      <c r="L26" s="451">
        <v>130</v>
      </c>
      <c r="M26" s="451">
        <v>222</v>
      </c>
      <c r="N26" s="451">
        <v>85</v>
      </c>
      <c r="O26" s="353">
        <v>45</v>
      </c>
      <c r="P26" s="353">
        <v>12</v>
      </c>
      <c r="Q26" s="353">
        <v>239.72</v>
      </c>
      <c r="R26" s="37"/>
      <c r="S26" s="508" t="str">
        <f t="shared" si="0"/>
        <v/>
      </c>
      <c r="T26" s="508"/>
      <c r="U26" s="508"/>
      <c r="V26" s="508"/>
      <c r="X26" s="45">
        <v>0.45833333333333298</v>
      </c>
      <c r="Y26" s="106"/>
      <c r="Z26" s="102"/>
      <c r="AA26" s="102"/>
      <c r="AB26" s="45" t="str">
        <f t="shared" si="18"/>
        <v/>
      </c>
      <c r="AC26" s="45" t="str">
        <f t="shared" si="1"/>
        <v/>
      </c>
      <c r="AD26" s="81"/>
      <c r="AE26" s="9" t="str">
        <f>IF(S26="","",IF(COUNTA(Z26:$Z$39)=1,IF(COUNTA(AD26:$AD$39)=1,""," ; "),IF(COUNTA(AD26:$AD$39)=1,IF(Z26="",""," ; ")," ; ")))</f>
        <v/>
      </c>
      <c r="AF26" s="9" t="str">
        <f t="shared" si="2"/>
        <v/>
      </c>
      <c r="AG26" s="90" t="str">
        <f t="shared" si="3"/>
        <v/>
      </c>
      <c r="AH26" s="204" t="s">
        <v>287</v>
      </c>
      <c r="AJ26" s="206">
        <f t="shared" si="19"/>
        <v>500</v>
      </c>
      <c r="AK26" s="206">
        <f t="shared" si="19"/>
        <v>100</v>
      </c>
      <c r="AL26" s="206">
        <f t="shared" si="19"/>
        <v>2</v>
      </c>
      <c r="AM26" s="213">
        <f t="shared" si="19"/>
        <v>0.875</v>
      </c>
      <c r="AN26" s="214">
        <f t="shared" si="19"/>
        <v>0.63607464142166403</v>
      </c>
      <c r="AO26" s="215">
        <f t="shared" si="4"/>
        <v>-14.7</v>
      </c>
      <c r="AP26" s="216">
        <f t="shared" si="5"/>
        <v>1</v>
      </c>
      <c r="AQ26" s="216">
        <f t="shared" si="6"/>
        <v>1</v>
      </c>
      <c r="AR26" s="215">
        <f t="shared" si="20"/>
        <v>158.47</v>
      </c>
      <c r="AS26" s="216">
        <f t="shared" si="7"/>
        <v>0.97679498379494789</v>
      </c>
      <c r="AT26" s="216">
        <f t="shared" si="8"/>
        <v>1.2538510821608391</v>
      </c>
      <c r="AU26" s="216">
        <f t="shared" si="9"/>
        <v>2.2360679774997898</v>
      </c>
      <c r="AV26" s="217">
        <f t="shared" si="10"/>
        <v>10.415801185754333</v>
      </c>
      <c r="AW26" s="216">
        <f t="shared" si="11"/>
        <v>0</v>
      </c>
      <c r="AX26" s="218">
        <f t="shared" si="12"/>
        <v>1.4696875479799241</v>
      </c>
      <c r="AY26" s="216">
        <f t="shared" si="13"/>
        <v>0.76851414128953044</v>
      </c>
      <c r="AZ26" s="217">
        <f t="shared" si="14"/>
        <v>3.5640070462657096</v>
      </c>
      <c r="BA26" s="216">
        <f t="shared" si="15"/>
        <v>0</v>
      </c>
      <c r="BB26" s="216">
        <f t="shared" si="16"/>
        <v>1.0084584063544275</v>
      </c>
      <c r="BC26" s="216">
        <f t="shared" si="17"/>
        <v>1</v>
      </c>
    </row>
    <row r="27" spans="1:55" ht="20.100000000000001" customHeight="1" x14ac:dyDescent="0.2">
      <c r="A27" s="45">
        <v>0.5</v>
      </c>
      <c r="B27" s="451"/>
      <c r="C27" s="451"/>
      <c r="D27" s="451">
        <v>6.6</v>
      </c>
      <c r="E27" s="451">
        <v>63.7</v>
      </c>
      <c r="F27" s="41">
        <v>1935</v>
      </c>
      <c r="G27" s="37">
        <v>-5.5</v>
      </c>
      <c r="H27" s="37">
        <v>72</v>
      </c>
      <c r="I27" s="37">
        <v>22.6</v>
      </c>
      <c r="J27" s="41">
        <v>737</v>
      </c>
      <c r="K27" s="37">
        <v>13</v>
      </c>
      <c r="L27" s="451">
        <v>137</v>
      </c>
      <c r="M27" s="451">
        <v>221</v>
      </c>
      <c r="N27" s="451">
        <v>85</v>
      </c>
      <c r="O27" s="353">
        <v>45</v>
      </c>
      <c r="P27" s="353">
        <v>14</v>
      </c>
      <c r="Q27" s="353">
        <v>258.77</v>
      </c>
      <c r="R27" s="37"/>
      <c r="S27" s="508" t="str">
        <f t="shared" si="0"/>
        <v/>
      </c>
      <c r="T27" s="508"/>
      <c r="U27" s="508"/>
      <c r="V27" s="508"/>
      <c r="X27" s="45">
        <v>0.5</v>
      </c>
      <c r="Y27" s="106"/>
      <c r="Z27" s="102"/>
      <c r="AA27" s="102"/>
      <c r="AB27" s="45" t="str">
        <f t="shared" si="18"/>
        <v/>
      </c>
      <c r="AC27" s="45" t="str">
        <f t="shared" si="1"/>
        <v/>
      </c>
      <c r="AD27" s="81"/>
      <c r="AE27" s="9" t="str">
        <f>IF(S27="","",IF(COUNTA(Z27:$Z$39)=1,IF(COUNTA(AD27:$AD$39)=1,""," ; "),IF(COUNTA(AD27:$AD$39)=1,IF(Z27="",""," ; ")," ; ")))</f>
        <v/>
      </c>
      <c r="AF27" s="9" t="str">
        <f t="shared" si="2"/>
        <v/>
      </c>
      <c r="AG27" s="90" t="str">
        <f t="shared" si="3"/>
        <v/>
      </c>
      <c r="AH27" s="204" t="s">
        <v>276</v>
      </c>
      <c r="AJ27" s="206">
        <f t="shared" si="19"/>
        <v>500</v>
      </c>
      <c r="AK27" s="206">
        <f t="shared" si="19"/>
        <v>100</v>
      </c>
      <c r="AL27" s="206">
        <f t="shared" si="19"/>
        <v>2</v>
      </c>
      <c r="AM27" s="213">
        <f t="shared" si="19"/>
        <v>0.875</v>
      </c>
      <c r="AN27" s="214">
        <f t="shared" si="19"/>
        <v>0.63607464142166403</v>
      </c>
      <c r="AO27" s="215">
        <f t="shared" si="4"/>
        <v>-14.7</v>
      </c>
      <c r="AP27" s="216">
        <f t="shared" si="5"/>
        <v>1</v>
      </c>
      <c r="AQ27" s="216">
        <f t="shared" si="6"/>
        <v>1</v>
      </c>
      <c r="AR27" s="215">
        <f t="shared" si="20"/>
        <v>158.47</v>
      </c>
      <c r="AS27" s="216">
        <f t="shared" si="7"/>
        <v>0.97679498379494789</v>
      </c>
      <c r="AT27" s="216">
        <f t="shared" si="8"/>
        <v>1.2538510821608391</v>
      </c>
      <c r="AU27" s="216">
        <f t="shared" si="9"/>
        <v>2.2360679774997898</v>
      </c>
      <c r="AV27" s="217">
        <f t="shared" si="10"/>
        <v>10.415801185754333</v>
      </c>
      <c r="AW27" s="216">
        <f t="shared" si="11"/>
        <v>0</v>
      </c>
      <c r="AX27" s="218">
        <f t="shared" si="12"/>
        <v>1.4696875479799241</v>
      </c>
      <c r="AY27" s="216">
        <f t="shared" si="13"/>
        <v>0.76851414128953044</v>
      </c>
      <c r="AZ27" s="217">
        <f t="shared" si="14"/>
        <v>3.5640070462657096</v>
      </c>
      <c r="BA27" s="216">
        <f t="shared" si="15"/>
        <v>0</v>
      </c>
      <c r="BB27" s="216">
        <f t="shared" si="16"/>
        <v>1.0084584063544275</v>
      </c>
      <c r="BC27" s="216">
        <f t="shared" si="17"/>
        <v>1</v>
      </c>
    </row>
    <row r="28" spans="1:55" ht="20.100000000000001" customHeight="1" x14ac:dyDescent="0.2">
      <c r="A28" s="45">
        <v>0.54166666666666696</v>
      </c>
      <c r="B28" s="451"/>
      <c r="C28" s="451"/>
      <c r="D28" s="451">
        <v>5.0999999999999996</v>
      </c>
      <c r="E28" s="451">
        <v>59.8</v>
      </c>
      <c r="F28" s="41">
        <v>1931</v>
      </c>
      <c r="G28" s="37">
        <v>-5.5</v>
      </c>
      <c r="H28" s="37">
        <v>72.599999999999994</v>
      </c>
      <c r="I28" s="37">
        <v>22.9</v>
      </c>
      <c r="J28" s="41">
        <v>738</v>
      </c>
      <c r="K28" s="37">
        <v>13</v>
      </c>
      <c r="L28" s="451">
        <v>133</v>
      </c>
      <c r="M28" s="451">
        <v>221</v>
      </c>
      <c r="N28" s="451">
        <v>85</v>
      </c>
      <c r="O28" s="353">
        <v>40</v>
      </c>
      <c r="P28" s="353">
        <v>14</v>
      </c>
      <c r="Q28" s="353">
        <v>247.56</v>
      </c>
      <c r="R28" s="37"/>
      <c r="S28" s="508" t="str">
        <f t="shared" si="0"/>
        <v/>
      </c>
      <c r="T28" s="508"/>
      <c r="U28" s="508"/>
      <c r="V28" s="508"/>
      <c r="X28" s="45">
        <v>0.54166666666666696</v>
      </c>
      <c r="Y28" s="106"/>
      <c r="Z28" s="102"/>
      <c r="AA28" s="102"/>
      <c r="AB28" s="45" t="str">
        <f t="shared" si="18"/>
        <v/>
      </c>
      <c r="AC28" s="45" t="str">
        <f t="shared" si="1"/>
        <v/>
      </c>
      <c r="AD28" s="81"/>
      <c r="AE28" s="9" t="str">
        <f>IF(S28="","",IF(COUNTA(Z28:$Z$39)=1,IF(COUNTA(AD28:$AD$39)=1,""," ; "),IF(COUNTA(AD28:$AD$39)=1,IF(Z28="",""," ; ")," ; ")))</f>
        <v/>
      </c>
      <c r="AF28" s="9" t="str">
        <f t="shared" si="2"/>
        <v/>
      </c>
      <c r="AG28" s="90" t="str">
        <f t="shared" si="3"/>
        <v/>
      </c>
      <c r="AH28" s="204" t="s">
        <v>278</v>
      </c>
      <c r="AJ28" s="206">
        <f t="shared" si="19"/>
        <v>500</v>
      </c>
      <c r="AK28" s="206">
        <f t="shared" si="19"/>
        <v>100</v>
      </c>
      <c r="AL28" s="206">
        <f t="shared" si="19"/>
        <v>2</v>
      </c>
      <c r="AM28" s="213">
        <f t="shared" si="19"/>
        <v>0.875</v>
      </c>
      <c r="AN28" s="214">
        <f t="shared" si="19"/>
        <v>0.63607464142166403</v>
      </c>
      <c r="AO28" s="215">
        <f t="shared" si="4"/>
        <v>-14.7</v>
      </c>
      <c r="AP28" s="216">
        <f t="shared" si="5"/>
        <v>1</v>
      </c>
      <c r="AQ28" s="216">
        <f t="shared" si="6"/>
        <v>1</v>
      </c>
      <c r="AR28" s="215">
        <f t="shared" si="20"/>
        <v>158.47</v>
      </c>
      <c r="AS28" s="216">
        <f t="shared" si="7"/>
        <v>0.97679498379494789</v>
      </c>
      <c r="AT28" s="216">
        <f t="shared" si="8"/>
        <v>1.2538510821608391</v>
      </c>
      <c r="AU28" s="216">
        <f t="shared" si="9"/>
        <v>2.2360679774997898</v>
      </c>
      <c r="AV28" s="217">
        <f t="shared" si="10"/>
        <v>10.415801185754333</v>
      </c>
      <c r="AW28" s="216">
        <f t="shared" si="11"/>
        <v>0</v>
      </c>
      <c r="AX28" s="218">
        <f t="shared" si="12"/>
        <v>1.4696875479799241</v>
      </c>
      <c r="AY28" s="216">
        <f t="shared" si="13"/>
        <v>0.76851414128953044</v>
      </c>
      <c r="AZ28" s="217">
        <f t="shared" si="14"/>
        <v>3.5640070462657096</v>
      </c>
      <c r="BA28" s="216">
        <f t="shared" si="15"/>
        <v>0</v>
      </c>
      <c r="BB28" s="216">
        <f t="shared" si="16"/>
        <v>1.0084584063544275</v>
      </c>
      <c r="BC28" s="216">
        <f t="shared" si="17"/>
        <v>1</v>
      </c>
    </row>
    <row r="29" spans="1:55" ht="20.100000000000001" customHeight="1" x14ac:dyDescent="0.2">
      <c r="A29" s="45">
        <v>0.58333333333333304</v>
      </c>
      <c r="B29" s="451"/>
      <c r="C29" s="451"/>
      <c r="D29" s="451">
        <v>5.7</v>
      </c>
      <c r="E29" s="451">
        <v>66.2</v>
      </c>
      <c r="F29" s="41">
        <v>1927</v>
      </c>
      <c r="G29" s="37">
        <v>-5.5</v>
      </c>
      <c r="H29" s="37">
        <v>72.400000000000006</v>
      </c>
      <c r="I29" s="37">
        <v>22.5</v>
      </c>
      <c r="J29" s="41">
        <v>739</v>
      </c>
      <c r="K29" s="37">
        <v>13</v>
      </c>
      <c r="L29" s="451">
        <v>134</v>
      </c>
      <c r="M29" s="451">
        <v>224</v>
      </c>
      <c r="N29" s="451">
        <v>85</v>
      </c>
      <c r="O29" s="353">
        <v>40</v>
      </c>
      <c r="P29" s="353">
        <v>15</v>
      </c>
      <c r="Q29" s="353">
        <v>256.17</v>
      </c>
      <c r="R29" s="37"/>
      <c r="S29" s="508" t="str">
        <f t="shared" si="0"/>
        <v/>
      </c>
      <c r="T29" s="508"/>
      <c r="U29" s="508"/>
      <c r="V29" s="508"/>
      <c r="X29" s="45">
        <v>0.58333333333333304</v>
      </c>
      <c r="Y29" s="106"/>
      <c r="Z29" s="102"/>
      <c r="AA29" s="102"/>
      <c r="AB29" s="45" t="str">
        <f t="shared" si="18"/>
        <v/>
      </c>
      <c r="AC29" s="45" t="str">
        <f t="shared" si="1"/>
        <v/>
      </c>
      <c r="AD29" s="81"/>
      <c r="AE29" s="9" t="str">
        <f>IF(S29="","",IF(COUNTA(Z29:$Z$39)=1,IF(COUNTA(AD29:$AD$39)=1,""," ; "),IF(COUNTA(AD29:$AD$39)=1,IF(Z29="",""," ; ")," ; ")))</f>
        <v/>
      </c>
      <c r="AF29" s="9" t="str">
        <f t="shared" si="2"/>
        <v/>
      </c>
      <c r="AG29" s="90" t="str">
        <f t="shared" si="3"/>
        <v/>
      </c>
      <c r="AH29" s="204" t="s">
        <v>224</v>
      </c>
      <c r="AJ29" s="206">
        <f t="shared" si="19"/>
        <v>500</v>
      </c>
      <c r="AK29" s="206">
        <f t="shared" si="19"/>
        <v>100</v>
      </c>
      <c r="AL29" s="206">
        <f t="shared" si="19"/>
        <v>2</v>
      </c>
      <c r="AM29" s="213">
        <f t="shared" si="19"/>
        <v>0.875</v>
      </c>
      <c r="AN29" s="214">
        <f t="shared" si="19"/>
        <v>0.63607464142166403</v>
      </c>
      <c r="AO29" s="215">
        <f t="shared" si="4"/>
        <v>-14.7</v>
      </c>
      <c r="AP29" s="216">
        <f t="shared" si="5"/>
        <v>1</v>
      </c>
      <c r="AQ29" s="216">
        <f t="shared" si="6"/>
        <v>1</v>
      </c>
      <c r="AR29" s="215">
        <f t="shared" si="20"/>
        <v>158.47</v>
      </c>
      <c r="AS29" s="216">
        <f t="shared" si="7"/>
        <v>0.97679498379494789</v>
      </c>
      <c r="AT29" s="216">
        <f t="shared" si="8"/>
        <v>1.2538510821608391</v>
      </c>
      <c r="AU29" s="216">
        <f t="shared" si="9"/>
        <v>2.2360679774997898</v>
      </c>
      <c r="AV29" s="217">
        <f t="shared" si="10"/>
        <v>10.415801185754333</v>
      </c>
      <c r="AW29" s="216">
        <f t="shared" si="11"/>
        <v>0</v>
      </c>
      <c r="AX29" s="218">
        <f t="shared" si="12"/>
        <v>1.4696875479799241</v>
      </c>
      <c r="AY29" s="216">
        <f t="shared" si="13"/>
        <v>0.76851414128953044</v>
      </c>
      <c r="AZ29" s="217">
        <f t="shared" si="14"/>
        <v>3.5640070462657096</v>
      </c>
      <c r="BA29" s="216">
        <f t="shared" si="15"/>
        <v>0</v>
      </c>
      <c r="BB29" s="216">
        <f t="shared" si="16"/>
        <v>1.0084584063544275</v>
      </c>
      <c r="BC29" s="216">
        <f t="shared" si="17"/>
        <v>1</v>
      </c>
    </row>
    <row r="30" spans="1:55" ht="20.100000000000001" customHeight="1" x14ac:dyDescent="0.2">
      <c r="A30" s="45">
        <v>0.625</v>
      </c>
      <c r="B30" s="451"/>
      <c r="C30" s="451"/>
      <c r="D30" s="451">
        <v>5.4</v>
      </c>
      <c r="E30" s="451">
        <v>59.9</v>
      </c>
      <c r="F30" s="41">
        <v>1951</v>
      </c>
      <c r="G30" s="37">
        <v>-5.5</v>
      </c>
      <c r="H30" s="37">
        <v>72.3</v>
      </c>
      <c r="I30" s="37">
        <v>22.7</v>
      </c>
      <c r="J30" s="41">
        <v>740</v>
      </c>
      <c r="K30" s="37">
        <v>13</v>
      </c>
      <c r="L30" s="451">
        <v>136</v>
      </c>
      <c r="M30" s="451">
        <v>227</v>
      </c>
      <c r="N30" s="451">
        <v>85</v>
      </c>
      <c r="O30" s="353">
        <v>40</v>
      </c>
      <c r="P30" s="353">
        <v>15</v>
      </c>
      <c r="Q30" s="353">
        <v>256.17</v>
      </c>
      <c r="R30" s="37"/>
      <c r="S30" s="508" t="str">
        <f t="shared" si="0"/>
        <v/>
      </c>
      <c r="T30" s="508"/>
      <c r="U30" s="508"/>
      <c r="V30" s="508"/>
      <c r="X30" s="45">
        <v>0.625</v>
      </c>
      <c r="Y30" s="106"/>
      <c r="Z30" s="102"/>
      <c r="AA30" s="102"/>
      <c r="AB30" s="45" t="str">
        <f t="shared" si="18"/>
        <v/>
      </c>
      <c r="AC30" s="45" t="str">
        <f t="shared" si="1"/>
        <v/>
      </c>
      <c r="AD30" s="81"/>
      <c r="AE30" s="9" t="str">
        <f>IF(S30="","",IF(COUNTA(Z30:$Z$39)=1,IF(COUNTA(AD30:$AD$39)=1,""," ; "),IF(COUNTA(AD30:$AD$39)=1,IF(Z30="",""," ; ")," ; ")))</f>
        <v/>
      </c>
      <c r="AF30" s="9" t="str">
        <f t="shared" si="2"/>
        <v/>
      </c>
      <c r="AG30" s="90" t="str">
        <f t="shared" si="3"/>
        <v/>
      </c>
      <c r="AH30" s="204" t="s">
        <v>260</v>
      </c>
      <c r="AJ30" s="206">
        <f t="shared" si="19"/>
        <v>500</v>
      </c>
      <c r="AK30" s="206">
        <f t="shared" si="19"/>
        <v>100</v>
      </c>
      <c r="AL30" s="206">
        <f t="shared" si="19"/>
        <v>2</v>
      </c>
      <c r="AM30" s="213">
        <f t="shared" si="19"/>
        <v>0.875</v>
      </c>
      <c r="AN30" s="214">
        <f t="shared" si="19"/>
        <v>0.63607464142166403</v>
      </c>
      <c r="AO30" s="215">
        <f t="shared" si="4"/>
        <v>-14.7</v>
      </c>
      <c r="AP30" s="216">
        <f t="shared" si="5"/>
        <v>1</v>
      </c>
      <c r="AQ30" s="216">
        <f t="shared" si="6"/>
        <v>1</v>
      </c>
      <c r="AR30" s="215">
        <f t="shared" si="20"/>
        <v>158.47</v>
      </c>
      <c r="AS30" s="216">
        <f t="shared" si="7"/>
        <v>0.97679498379494789</v>
      </c>
      <c r="AT30" s="216">
        <f t="shared" si="8"/>
        <v>1.2538510821608391</v>
      </c>
      <c r="AU30" s="216">
        <f t="shared" si="9"/>
        <v>2.2360679774997898</v>
      </c>
      <c r="AV30" s="217">
        <f t="shared" si="10"/>
        <v>10.415801185754333</v>
      </c>
      <c r="AW30" s="216">
        <f t="shared" si="11"/>
        <v>0</v>
      </c>
      <c r="AX30" s="218">
        <f t="shared" si="12"/>
        <v>1.4696875479799241</v>
      </c>
      <c r="AY30" s="216">
        <f t="shared" si="13"/>
        <v>0.76851414128953044</v>
      </c>
      <c r="AZ30" s="217">
        <f t="shared" si="14"/>
        <v>3.5640070462657096</v>
      </c>
      <c r="BA30" s="216">
        <f t="shared" si="15"/>
        <v>0</v>
      </c>
      <c r="BB30" s="216">
        <f t="shared" si="16"/>
        <v>1.0084584063544275</v>
      </c>
      <c r="BC30" s="216">
        <f t="shared" si="17"/>
        <v>1</v>
      </c>
    </row>
    <row r="31" spans="1:55" ht="20.100000000000001" customHeight="1" x14ac:dyDescent="0.2">
      <c r="A31" s="45">
        <v>0.66666666666666696</v>
      </c>
      <c r="B31" s="451"/>
      <c r="C31" s="451"/>
      <c r="D31" s="451">
        <v>5.3</v>
      </c>
      <c r="E31" s="451">
        <v>58.7</v>
      </c>
      <c r="F31" s="41">
        <v>1944</v>
      </c>
      <c r="G31" s="37">
        <v>-5.5</v>
      </c>
      <c r="H31" s="37">
        <v>72.5</v>
      </c>
      <c r="I31" s="37">
        <v>22.3</v>
      </c>
      <c r="J31" s="41">
        <v>741</v>
      </c>
      <c r="K31" s="37">
        <v>13</v>
      </c>
      <c r="L31" s="451">
        <v>129</v>
      </c>
      <c r="M31" s="451">
        <v>226</v>
      </c>
      <c r="N31" s="451">
        <v>85</v>
      </c>
      <c r="O31" s="353">
        <v>40</v>
      </c>
      <c r="P31" s="353">
        <v>15</v>
      </c>
      <c r="Q31" s="353">
        <v>256.17</v>
      </c>
      <c r="R31" s="37"/>
      <c r="S31" s="508" t="str">
        <f t="shared" si="0"/>
        <v/>
      </c>
      <c r="T31" s="508"/>
      <c r="U31" s="508"/>
      <c r="V31" s="508"/>
      <c r="X31" s="45">
        <v>0.66666666666666696</v>
      </c>
      <c r="Y31" s="106"/>
      <c r="Z31" s="102"/>
      <c r="AA31" s="102"/>
      <c r="AB31" s="45" t="str">
        <f t="shared" si="18"/>
        <v/>
      </c>
      <c r="AC31" s="45" t="str">
        <f t="shared" si="1"/>
        <v/>
      </c>
      <c r="AD31" s="81"/>
      <c r="AE31" s="9" t="str">
        <f>IF(S31="","",IF(COUNTA(Z31:$Z$39)=1,IF(COUNTA(AD31:$AD$39)=1,""," ; "),IF(COUNTA(AD31:$AD$39)=1,IF(Z31="",""," ; ")," ; ")))</f>
        <v/>
      </c>
      <c r="AF31" s="9" t="str">
        <f t="shared" si="2"/>
        <v/>
      </c>
      <c r="AG31" s="90" t="str">
        <f t="shared" si="3"/>
        <v/>
      </c>
      <c r="AH31" s="204" t="s">
        <v>226</v>
      </c>
      <c r="AJ31" s="206">
        <f t="shared" si="19"/>
        <v>500</v>
      </c>
      <c r="AK31" s="206">
        <f t="shared" si="19"/>
        <v>100</v>
      </c>
      <c r="AL31" s="206">
        <f t="shared" si="19"/>
        <v>2</v>
      </c>
      <c r="AM31" s="213">
        <f t="shared" si="19"/>
        <v>0.875</v>
      </c>
      <c r="AN31" s="214">
        <f t="shared" si="19"/>
        <v>0.63607464142166403</v>
      </c>
      <c r="AO31" s="215">
        <f t="shared" si="4"/>
        <v>-14.7</v>
      </c>
      <c r="AP31" s="216">
        <f t="shared" si="5"/>
        <v>1</v>
      </c>
      <c r="AQ31" s="216">
        <f t="shared" si="6"/>
        <v>1</v>
      </c>
      <c r="AR31" s="215">
        <f t="shared" si="20"/>
        <v>158.47</v>
      </c>
      <c r="AS31" s="216">
        <f t="shared" si="7"/>
        <v>0.97679498379494789</v>
      </c>
      <c r="AT31" s="216">
        <f t="shared" si="8"/>
        <v>1.2538510821608391</v>
      </c>
      <c r="AU31" s="216">
        <f t="shared" si="9"/>
        <v>2.2360679774997898</v>
      </c>
      <c r="AV31" s="217">
        <f t="shared" si="10"/>
        <v>10.415801185754333</v>
      </c>
      <c r="AW31" s="216">
        <f t="shared" si="11"/>
        <v>0</v>
      </c>
      <c r="AX31" s="218">
        <f t="shared" si="12"/>
        <v>1.4696875479799241</v>
      </c>
      <c r="AY31" s="216">
        <f t="shared" si="13"/>
        <v>0.76851414128953044</v>
      </c>
      <c r="AZ31" s="217">
        <f t="shared" si="14"/>
        <v>3.5640070462657096</v>
      </c>
      <c r="BA31" s="216">
        <f t="shared" si="15"/>
        <v>0</v>
      </c>
      <c r="BB31" s="216">
        <f t="shared" si="16"/>
        <v>1.0084584063544275</v>
      </c>
      <c r="BC31" s="216">
        <f t="shared" si="17"/>
        <v>1</v>
      </c>
    </row>
    <row r="32" spans="1:55" ht="20.100000000000001" customHeight="1" x14ac:dyDescent="0.2">
      <c r="A32" s="45">
        <v>0.70833333333333304</v>
      </c>
      <c r="B32" s="451"/>
      <c r="C32" s="451"/>
      <c r="D32" s="451">
        <v>5.0999999999999996</v>
      </c>
      <c r="E32" s="451">
        <v>63.2</v>
      </c>
      <c r="F32" s="41">
        <v>1935</v>
      </c>
      <c r="G32" s="37">
        <v>-5.5</v>
      </c>
      <c r="H32" s="37">
        <v>72.3</v>
      </c>
      <c r="I32" s="37">
        <v>22</v>
      </c>
      <c r="J32" s="41">
        <v>742</v>
      </c>
      <c r="K32" s="37">
        <v>13</v>
      </c>
      <c r="L32" s="451">
        <v>122</v>
      </c>
      <c r="M32" s="451">
        <v>221</v>
      </c>
      <c r="N32" s="451">
        <v>85</v>
      </c>
      <c r="O32" s="353">
        <v>40</v>
      </c>
      <c r="P32" s="353">
        <v>14</v>
      </c>
      <c r="Q32" s="353">
        <v>247.56</v>
      </c>
      <c r="R32" s="37"/>
      <c r="S32" s="508" t="str">
        <f t="shared" si="0"/>
        <v/>
      </c>
      <c r="T32" s="508"/>
      <c r="U32" s="508"/>
      <c r="V32" s="508"/>
      <c r="X32" s="45">
        <v>0.70833333333333304</v>
      </c>
      <c r="Y32" s="106"/>
      <c r="Z32" s="102"/>
      <c r="AA32" s="102"/>
      <c r="AB32" s="45" t="str">
        <f t="shared" si="18"/>
        <v/>
      </c>
      <c r="AC32" s="45" t="str">
        <f t="shared" si="1"/>
        <v/>
      </c>
      <c r="AD32" s="81"/>
      <c r="AE32" s="9" t="str">
        <f>IF(S32="","",IF(COUNTA(Z32:$Z$39)=1,IF(COUNTA(AD32:$AD$39)=1,""," ; "),IF(COUNTA(AD32:$AD$39)=1,IF(Z32="",""," ; ")," ; ")))</f>
        <v/>
      </c>
      <c r="AF32" s="9" t="str">
        <f t="shared" si="2"/>
        <v/>
      </c>
      <c r="AG32" s="90" t="str">
        <f t="shared" si="3"/>
        <v/>
      </c>
      <c r="AH32" s="204" t="s">
        <v>313</v>
      </c>
      <c r="AJ32" s="206">
        <f t="shared" si="19"/>
        <v>500</v>
      </c>
      <c r="AK32" s="206">
        <f t="shared" si="19"/>
        <v>100</v>
      </c>
      <c r="AL32" s="206">
        <f t="shared" si="19"/>
        <v>2</v>
      </c>
      <c r="AM32" s="213">
        <f t="shared" si="19"/>
        <v>0.875</v>
      </c>
      <c r="AN32" s="214">
        <f t="shared" si="19"/>
        <v>0.63607464142166403</v>
      </c>
      <c r="AO32" s="215">
        <f t="shared" si="4"/>
        <v>-14.7</v>
      </c>
      <c r="AP32" s="216">
        <f t="shared" si="5"/>
        <v>1</v>
      </c>
      <c r="AQ32" s="216">
        <f t="shared" si="6"/>
        <v>1</v>
      </c>
      <c r="AR32" s="215">
        <f t="shared" si="20"/>
        <v>158.47</v>
      </c>
      <c r="AS32" s="216">
        <f t="shared" si="7"/>
        <v>0.97679498379494789</v>
      </c>
      <c r="AT32" s="216">
        <f t="shared" si="8"/>
        <v>1.2538510821608391</v>
      </c>
      <c r="AU32" s="216">
        <f t="shared" si="9"/>
        <v>2.2360679774997898</v>
      </c>
      <c r="AV32" s="217">
        <f t="shared" si="10"/>
        <v>10.415801185754333</v>
      </c>
      <c r="AW32" s="216">
        <f t="shared" si="11"/>
        <v>0</v>
      </c>
      <c r="AX32" s="218">
        <f t="shared" si="12"/>
        <v>1.4696875479799241</v>
      </c>
      <c r="AY32" s="216">
        <f t="shared" si="13"/>
        <v>0.76851414128953044</v>
      </c>
      <c r="AZ32" s="217">
        <f t="shared" si="14"/>
        <v>3.5640070462657096</v>
      </c>
      <c r="BA32" s="216">
        <f t="shared" si="15"/>
        <v>0</v>
      </c>
      <c r="BB32" s="216">
        <f t="shared" si="16"/>
        <v>1.0084584063544275</v>
      </c>
      <c r="BC32" s="216">
        <f t="shared" si="17"/>
        <v>1</v>
      </c>
    </row>
    <row r="33" spans="1:55" ht="20.100000000000001" customHeight="1" x14ac:dyDescent="0.2">
      <c r="A33" s="45">
        <v>0.75</v>
      </c>
      <c r="B33" s="451"/>
      <c r="C33" s="451"/>
      <c r="D33" s="451">
        <v>6.6</v>
      </c>
      <c r="E33" s="451">
        <v>67.599999999999994</v>
      </c>
      <c r="F33" s="41">
        <v>1965</v>
      </c>
      <c r="G33" s="37">
        <v>-5.5</v>
      </c>
      <c r="H33" s="37">
        <v>72</v>
      </c>
      <c r="I33" s="37">
        <v>22.9</v>
      </c>
      <c r="J33" s="41">
        <v>743</v>
      </c>
      <c r="K33" s="37">
        <v>13</v>
      </c>
      <c r="L33" s="451">
        <v>127</v>
      </c>
      <c r="M33" s="451">
        <v>220</v>
      </c>
      <c r="N33" s="451">
        <v>85</v>
      </c>
      <c r="O33" s="353">
        <v>45</v>
      </c>
      <c r="P33" s="353">
        <v>14</v>
      </c>
      <c r="Q33" s="353">
        <v>258.77</v>
      </c>
      <c r="R33" s="37"/>
      <c r="S33" s="508" t="str">
        <f>IF(Z33="",IF(AD33="","",AD33),CONCATENATE(TEXT(Z33,"[hh]:mm"),IF(AA33="",""," - "&amp;TEXT(AA33,"[hh]:mm")),IF(Y33="",""," "&amp;Y33&amp;"/")," "&amp;AD33))</f>
        <v/>
      </c>
      <c r="T33" s="508"/>
      <c r="U33" s="508"/>
      <c r="V33" s="508"/>
      <c r="X33" s="45">
        <v>0.75</v>
      </c>
      <c r="Y33" s="106"/>
      <c r="Z33" s="102"/>
      <c r="AA33" s="102"/>
      <c r="AB33" s="45" t="str">
        <f t="shared" si="18"/>
        <v/>
      </c>
      <c r="AC33" s="45" t="str">
        <f t="shared" si="1"/>
        <v/>
      </c>
      <c r="AD33" s="81"/>
      <c r="AE33" s="9" t="str">
        <f>IF(S33="","",IF(COUNTA(Z33:$Z$39)=1,IF(COUNTA(AD33:$AD$39)=1,""," ; "),IF(COUNTA(AD33:$AD$39)=1,IF(Z33="",""," ; ")," ; ")))</f>
        <v/>
      </c>
      <c r="AF33" s="9" t="str">
        <f t="shared" si="2"/>
        <v/>
      </c>
      <c r="AG33" s="90" t="str">
        <f t="shared" si="3"/>
        <v/>
      </c>
      <c r="AH33" s="204" t="s">
        <v>308</v>
      </c>
      <c r="AJ33" s="206">
        <f t="shared" ref="AJ33:AN39" si="21">AJ32</f>
        <v>500</v>
      </c>
      <c r="AK33" s="206">
        <f t="shared" si="21"/>
        <v>100</v>
      </c>
      <c r="AL33" s="206">
        <f t="shared" si="21"/>
        <v>2</v>
      </c>
      <c r="AM33" s="213">
        <f t="shared" si="21"/>
        <v>0.875</v>
      </c>
      <c r="AN33" s="214">
        <f t="shared" si="21"/>
        <v>0.63607464142166403</v>
      </c>
      <c r="AO33" s="215">
        <f t="shared" si="4"/>
        <v>-14.7</v>
      </c>
      <c r="AP33" s="216">
        <f t="shared" si="5"/>
        <v>1</v>
      </c>
      <c r="AQ33" s="216">
        <f t="shared" si="6"/>
        <v>1</v>
      </c>
      <c r="AR33" s="215">
        <f t="shared" si="20"/>
        <v>158.47</v>
      </c>
      <c r="AS33" s="216">
        <f t="shared" si="7"/>
        <v>0.97679498379494789</v>
      </c>
      <c r="AT33" s="216">
        <f t="shared" si="8"/>
        <v>1.2538510821608391</v>
      </c>
      <c r="AU33" s="216">
        <f t="shared" si="9"/>
        <v>2.2360679774997898</v>
      </c>
      <c r="AV33" s="217">
        <f t="shared" si="10"/>
        <v>10.415801185754333</v>
      </c>
      <c r="AW33" s="216">
        <f t="shared" si="11"/>
        <v>0</v>
      </c>
      <c r="AX33" s="218">
        <f t="shared" si="12"/>
        <v>1.4696875479799241</v>
      </c>
      <c r="AY33" s="216">
        <f t="shared" si="13"/>
        <v>0.76851414128953044</v>
      </c>
      <c r="AZ33" s="217">
        <f t="shared" si="14"/>
        <v>3.5640070462657096</v>
      </c>
      <c r="BA33" s="216">
        <f t="shared" si="15"/>
        <v>0</v>
      </c>
      <c r="BB33" s="216">
        <f t="shared" si="16"/>
        <v>1.0084584063544275</v>
      </c>
      <c r="BC33" s="216">
        <f t="shared" si="17"/>
        <v>1</v>
      </c>
    </row>
    <row r="34" spans="1:55" ht="20.100000000000001" customHeight="1" x14ac:dyDescent="0.2">
      <c r="A34" s="45">
        <v>0.79166666666666696</v>
      </c>
      <c r="B34" s="451"/>
      <c r="C34" s="451"/>
      <c r="D34" s="451">
        <v>7.3</v>
      </c>
      <c r="E34" s="451">
        <v>65.400000000000006</v>
      </c>
      <c r="F34" s="41">
        <v>1947</v>
      </c>
      <c r="G34" s="37">
        <v>-5.5</v>
      </c>
      <c r="H34" s="37">
        <v>72.099999999999994</v>
      </c>
      <c r="I34" s="37">
        <v>22.5</v>
      </c>
      <c r="J34" s="41">
        <v>744</v>
      </c>
      <c r="K34" s="37">
        <v>13</v>
      </c>
      <c r="L34" s="451">
        <v>130</v>
      </c>
      <c r="M34" s="451">
        <v>220</v>
      </c>
      <c r="N34" s="451">
        <v>85</v>
      </c>
      <c r="O34" s="353">
        <v>45</v>
      </c>
      <c r="P34" s="353">
        <v>14</v>
      </c>
      <c r="Q34" s="353">
        <v>258.77</v>
      </c>
      <c r="R34" s="37"/>
      <c r="S34" s="508" t="str">
        <f t="shared" ref="S34:S39" si="22">IF(Z34="",IF(AD34="","",AD34),CONCATENATE(TEXT(Z34,"[hh]:mm"),IF(AA34="",""," - "&amp;TEXT(AA34,"[hh]:mm")),IF(Y34="",""," "&amp;Y34&amp;"/")," "&amp;AD34))</f>
        <v/>
      </c>
      <c r="T34" s="508"/>
      <c r="U34" s="508"/>
      <c r="V34" s="508"/>
      <c r="X34" s="45">
        <v>0.79166666666666696</v>
      </c>
      <c r="Y34" s="106"/>
      <c r="Z34" s="102"/>
      <c r="AA34" s="102"/>
      <c r="AB34" s="45" t="str">
        <f t="shared" si="18"/>
        <v/>
      </c>
      <c r="AC34" s="45" t="str">
        <f t="shared" si="1"/>
        <v/>
      </c>
      <c r="AD34" s="81"/>
      <c r="AE34" s="9" t="str">
        <f>IF(S34="","",IF(COUNTA(Z34:$Z$39)=1,IF(COUNTA(AD34:$AD$39)=1,""," ; "),IF(COUNTA(AD34:$AD$39)=1,IF(Z34="",""," ; ")," ; ")))</f>
        <v/>
      </c>
      <c r="AF34" s="9" t="str">
        <f t="shared" si="2"/>
        <v/>
      </c>
      <c r="AG34" s="90" t="str">
        <f t="shared" si="3"/>
        <v/>
      </c>
      <c r="AH34" s="204" t="s">
        <v>314</v>
      </c>
      <c r="AJ34" s="206">
        <f t="shared" si="21"/>
        <v>500</v>
      </c>
      <c r="AK34" s="206">
        <f t="shared" si="21"/>
        <v>100</v>
      </c>
      <c r="AL34" s="206">
        <f t="shared" si="21"/>
        <v>2</v>
      </c>
      <c r="AM34" s="213">
        <f t="shared" si="21"/>
        <v>0.875</v>
      </c>
      <c r="AN34" s="214">
        <f t="shared" si="21"/>
        <v>0.63607464142166403</v>
      </c>
      <c r="AO34" s="215">
        <f t="shared" si="4"/>
        <v>-14.7</v>
      </c>
      <c r="AP34" s="216">
        <f t="shared" si="5"/>
        <v>1</v>
      </c>
      <c r="AQ34" s="216">
        <f t="shared" si="6"/>
        <v>1</v>
      </c>
      <c r="AR34" s="215">
        <f t="shared" si="20"/>
        <v>158.47</v>
      </c>
      <c r="AS34" s="216">
        <f t="shared" si="7"/>
        <v>0.97679498379494789</v>
      </c>
      <c r="AT34" s="216">
        <f t="shared" si="8"/>
        <v>1.2538510821608391</v>
      </c>
      <c r="AU34" s="216">
        <f t="shared" si="9"/>
        <v>2.2360679774997898</v>
      </c>
      <c r="AV34" s="217">
        <f t="shared" si="10"/>
        <v>10.415801185754333</v>
      </c>
      <c r="AW34" s="216">
        <f t="shared" si="11"/>
        <v>0</v>
      </c>
      <c r="AX34" s="218">
        <f t="shared" si="12"/>
        <v>1.4696875479799241</v>
      </c>
      <c r="AY34" s="216">
        <f t="shared" si="13"/>
        <v>0.76851414128953044</v>
      </c>
      <c r="AZ34" s="217">
        <f t="shared" si="14"/>
        <v>3.5640070462657096</v>
      </c>
      <c r="BA34" s="216">
        <f t="shared" si="15"/>
        <v>0</v>
      </c>
      <c r="BB34" s="216">
        <f t="shared" si="16"/>
        <v>1.0084584063544275</v>
      </c>
      <c r="BC34" s="216">
        <f t="shared" si="17"/>
        <v>1</v>
      </c>
    </row>
    <row r="35" spans="1:55" ht="20.100000000000001" customHeight="1" x14ac:dyDescent="0.2">
      <c r="A35" s="45">
        <v>0.83333333333333304</v>
      </c>
      <c r="B35" s="451"/>
      <c r="C35" s="451"/>
      <c r="D35" s="451">
        <v>7.6</v>
      </c>
      <c r="E35" s="451">
        <v>63.8</v>
      </c>
      <c r="F35" s="41">
        <v>1950</v>
      </c>
      <c r="G35" s="37">
        <v>-5.5</v>
      </c>
      <c r="H35" s="37">
        <v>72.3</v>
      </c>
      <c r="I35" s="37">
        <v>22.6</v>
      </c>
      <c r="J35" s="41">
        <v>745</v>
      </c>
      <c r="K35" s="37">
        <v>13</v>
      </c>
      <c r="L35" s="451">
        <v>128</v>
      </c>
      <c r="M35" s="451">
        <v>221</v>
      </c>
      <c r="N35" s="451">
        <v>85</v>
      </c>
      <c r="O35" s="353">
        <v>40</v>
      </c>
      <c r="P35" s="353">
        <v>13</v>
      </c>
      <c r="Q35" s="353">
        <v>238.62</v>
      </c>
      <c r="R35" s="37"/>
      <c r="S35" s="508" t="str">
        <f t="shared" si="22"/>
        <v/>
      </c>
      <c r="T35" s="508"/>
      <c r="U35" s="508"/>
      <c r="V35" s="508"/>
      <c r="X35" s="45">
        <v>0.83333333333333304</v>
      </c>
      <c r="Y35" s="106"/>
      <c r="Z35" s="102"/>
      <c r="AA35" s="102"/>
      <c r="AB35" s="45" t="str">
        <f t="shared" si="18"/>
        <v/>
      </c>
      <c r="AC35" s="45" t="str">
        <f t="shared" si="1"/>
        <v/>
      </c>
      <c r="AD35" s="81"/>
      <c r="AE35" s="9" t="str">
        <f>IF(S35="","",IF(COUNTA(Z35:$Z$39)=1,IF(COUNTA(AD35:$AD$39)=1,""," ; "),IF(COUNTA(AD35:$AD$39)=1,IF(Z35="",""," ; ")," ; ")))</f>
        <v/>
      </c>
      <c r="AF35" s="9" t="str">
        <f t="shared" si="2"/>
        <v/>
      </c>
      <c r="AG35" s="90" t="str">
        <f t="shared" si="3"/>
        <v/>
      </c>
      <c r="AH35" s="204" t="s">
        <v>227</v>
      </c>
      <c r="AJ35" s="206">
        <f t="shared" si="21"/>
        <v>500</v>
      </c>
      <c r="AK35" s="206">
        <f t="shared" si="21"/>
        <v>100</v>
      </c>
      <c r="AL35" s="206">
        <f t="shared" si="21"/>
        <v>2</v>
      </c>
      <c r="AM35" s="213">
        <f t="shared" si="21"/>
        <v>0.875</v>
      </c>
      <c r="AN35" s="214">
        <f t="shared" si="21"/>
        <v>0.63607464142166403</v>
      </c>
      <c r="AO35" s="215">
        <f t="shared" si="4"/>
        <v>-14.7</v>
      </c>
      <c r="AP35" s="216">
        <f t="shared" si="5"/>
        <v>1</v>
      </c>
      <c r="AQ35" s="216">
        <f t="shared" si="6"/>
        <v>1</v>
      </c>
      <c r="AR35" s="215">
        <f t="shared" si="20"/>
        <v>158.47</v>
      </c>
      <c r="AS35" s="216">
        <f t="shared" si="7"/>
        <v>0.97679498379494789</v>
      </c>
      <c r="AT35" s="216">
        <f t="shared" si="8"/>
        <v>1.2538510821608391</v>
      </c>
      <c r="AU35" s="216">
        <f t="shared" si="9"/>
        <v>2.2360679774997898</v>
      </c>
      <c r="AV35" s="217">
        <f t="shared" si="10"/>
        <v>10.415801185754333</v>
      </c>
      <c r="AW35" s="216">
        <f t="shared" si="11"/>
        <v>0</v>
      </c>
      <c r="AX35" s="218">
        <f t="shared" si="12"/>
        <v>1.4696875479799241</v>
      </c>
      <c r="AY35" s="216">
        <f t="shared" si="13"/>
        <v>0.76851414128953044</v>
      </c>
      <c r="AZ35" s="217">
        <f t="shared" si="14"/>
        <v>3.5640070462657096</v>
      </c>
      <c r="BA35" s="216">
        <f t="shared" si="15"/>
        <v>0</v>
      </c>
      <c r="BB35" s="216">
        <f t="shared" si="16"/>
        <v>1.0084584063544275</v>
      </c>
      <c r="BC35" s="216">
        <f t="shared" si="17"/>
        <v>1</v>
      </c>
    </row>
    <row r="36" spans="1:55" ht="20.100000000000001" customHeight="1" x14ac:dyDescent="0.2">
      <c r="A36" s="45">
        <v>0.875</v>
      </c>
      <c r="B36" s="451"/>
      <c r="C36" s="451"/>
      <c r="D36" s="451">
        <v>7.9</v>
      </c>
      <c r="E36" s="451">
        <v>63.3</v>
      </c>
      <c r="F36" s="41">
        <v>1936</v>
      </c>
      <c r="G36" s="37">
        <v>-5.5</v>
      </c>
      <c r="H36" s="37">
        <v>72.5</v>
      </c>
      <c r="I36" s="37">
        <v>22.3</v>
      </c>
      <c r="J36" s="41">
        <v>746</v>
      </c>
      <c r="K36" s="37">
        <v>13</v>
      </c>
      <c r="L36" s="451">
        <v>128</v>
      </c>
      <c r="M36" s="451">
        <v>221</v>
      </c>
      <c r="N36" s="451">
        <v>85</v>
      </c>
      <c r="O36" s="353">
        <v>40</v>
      </c>
      <c r="P36" s="353">
        <v>12</v>
      </c>
      <c r="Q36" s="353">
        <v>229.34</v>
      </c>
      <c r="R36" s="37"/>
      <c r="S36" s="508" t="str">
        <f t="shared" si="22"/>
        <v/>
      </c>
      <c r="T36" s="508"/>
      <c r="U36" s="508"/>
      <c r="V36" s="508"/>
      <c r="X36" s="45">
        <v>0.875</v>
      </c>
      <c r="Y36" s="106"/>
      <c r="Z36" s="102"/>
      <c r="AA36" s="102"/>
      <c r="AB36" s="45" t="str">
        <f t="shared" si="18"/>
        <v/>
      </c>
      <c r="AC36" s="45" t="str">
        <f t="shared" si="1"/>
        <v/>
      </c>
      <c r="AD36" s="81"/>
      <c r="AE36" s="9" t="str">
        <f>IF(S36="","",IF(COUNTA(Z36:$Z$39)=1,IF(COUNTA(AD36:$AD$39)=1,""," ; "),IF(COUNTA(AD36:$AD$39)=1,IF(Z36="",""," ; ")," ; ")))</f>
        <v/>
      </c>
      <c r="AF36" s="9" t="str">
        <f t="shared" si="2"/>
        <v/>
      </c>
      <c r="AG36" s="90" t="str">
        <f t="shared" si="3"/>
        <v/>
      </c>
      <c r="AH36" s="204" t="s">
        <v>309</v>
      </c>
      <c r="AJ36" s="206">
        <f t="shared" si="21"/>
        <v>500</v>
      </c>
      <c r="AK36" s="206">
        <f t="shared" si="21"/>
        <v>100</v>
      </c>
      <c r="AL36" s="206">
        <f t="shared" si="21"/>
        <v>2</v>
      </c>
      <c r="AM36" s="213">
        <f t="shared" si="21"/>
        <v>0.875</v>
      </c>
      <c r="AN36" s="214">
        <f t="shared" si="21"/>
        <v>0.63607464142166403</v>
      </c>
      <c r="AO36" s="215">
        <f t="shared" si="4"/>
        <v>-14.7</v>
      </c>
      <c r="AP36" s="216">
        <f t="shared" si="5"/>
        <v>1</v>
      </c>
      <c r="AQ36" s="216">
        <f t="shared" si="6"/>
        <v>1</v>
      </c>
      <c r="AR36" s="215">
        <f t="shared" si="20"/>
        <v>158.47</v>
      </c>
      <c r="AS36" s="216">
        <f t="shared" si="7"/>
        <v>0.97679498379494789</v>
      </c>
      <c r="AT36" s="216">
        <f t="shared" si="8"/>
        <v>1.2538510821608391</v>
      </c>
      <c r="AU36" s="216">
        <f t="shared" si="9"/>
        <v>2.2360679774997898</v>
      </c>
      <c r="AV36" s="217">
        <f t="shared" si="10"/>
        <v>10.415801185754333</v>
      </c>
      <c r="AW36" s="216">
        <f t="shared" si="11"/>
        <v>0</v>
      </c>
      <c r="AX36" s="218">
        <f t="shared" si="12"/>
        <v>1.4696875479799241</v>
      </c>
      <c r="AY36" s="216">
        <f t="shared" si="13"/>
        <v>0.76851414128953044</v>
      </c>
      <c r="AZ36" s="217">
        <f t="shared" si="14"/>
        <v>3.5640070462657096</v>
      </c>
      <c r="BA36" s="216">
        <f t="shared" si="15"/>
        <v>0</v>
      </c>
      <c r="BB36" s="216">
        <f t="shared" si="16"/>
        <v>1.0084584063544275</v>
      </c>
      <c r="BC36" s="216">
        <f t="shared" si="17"/>
        <v>1</v>
      </c>
    </row>
    <row r="37" spans="1:55" ht="20.100000000000001" customHeight="1" x14ac:dyDescent="0.2">
      <c r="A37" s="45">
        <v>0.91666666666666696</v>
      </c>
      <c r="B37" s="451"/>
      <c r="C37" s="451"/>
      <c r="D37" s="451">
        <v>7.3</v>
      </c>
      <c r="E37" s="451">
        <v>63.1</v>
      </c>
      <c r="F37" s="41">
        <v>1930</v>
      </c>
      <c r="G37" s="37">
        <v>-5.5</v>
      </c>
      <c r="H37" s="37">
        <v>72.599999999999994</v>
      </c>
      <c r="I37" s="37">
        <v>22.9</v>
      </c>
      <c r="J37" s="41">
        <v>747</v>
      </c>
      <c r="K37" s="37">
        <v>13</v>
      </c>
      <c r="L37" s="451">
        <v>126</v>
      </c>
      <c r="M37" s="451">
        <v>223</v>
      </c>
      <c r="N37" s="451">
        <v>85</v>
      </c>
      <c r="O37" s="353">
        <v>40</v>
      </c>
      <c r="P37" s="353">
        <v>11</v>
      </c>
      <c r="Q37" s="353">
        <v>219.65</v>
      </c>
      <c r="R37" s="37"/>
      <c r="S37" s="508" t="str">
        <f t="shared" si="22"/>
        <v/>
      </c>
      <c r="T37" s="508"/>
      <c r="U37" s="508"/>
      <c r="V37" s="508"/>
      <c r="X37" s="45">
        <v>0.91666666666666696</v>
      </c>
      <c r="Y37" s="106"/>
      <c r="Z37" s="102"/>
      <c r="AA37" s="102"/>
      <c r="AB37" s="45" t="str">
        <f t="shared" si="18"/>
        <v/>
      </c>
      <c r="AC37" s="45" t="str">
        <f t="shared" si="1"/>
        <v/>
      </c>
      <c r="AD37" s="81"/>
      <c r="AE37" s="9" t="str">
        <f>IF(S37="","",IF(COUNTA(Z37:$Z$39)=1,IF(COUNTA(AD37:$AD$39)=1,""," ; "),IF(COUNTA(AD37:$AD$39)=1,IF(Z37="",""," ; ")," ; ")))</f>
        <v/>
      </c>
      <c r="AF37" s="9" t="str">
        <f t="shared" si="2"/>
        <v/>
      </c>
      <c r="AG37" s="90" t="str">
        <f t="shared" si="3"/>
        <v/>
      </c>
      <c r="AH37" s="204" t="s">
        <v>319</v>
      </c>
      <c r="AJ37" s="206">
        <f t="shared" si="21"/>
        <v>500</v>
      </c>
      <c r="AK37" s="206">
        <f t="shared" si="21"/>
        <v>100</v>
      </c>
      <c r="AL37" s="206">
        <f t="shared" si="21"/>
        <v>2</v>
      </c>
      <c r="AM37" s="213">
        <f t="shared" si="21"/>
        <v>0.875</v>
      </c>
      <c r="AN37" s="214">
        <f t="shared" si="21"/>
        <v>0.63607464142166403</v>
      </c>
      <c r="AO37" s="215">
        <f t="shared" si="4"/>
        <v>-14.7</v>
      </c>
      <c r="AP37" s="216">
        <f t="shared" si="5"/>
        <v>1</v>
      </c>
      <c r="AQ37" s="216">
        <f t="shared" si="6"/>
        <v>1</v>
      </c>
      <c r="AR37" s="215">
        <f t="shared" si="20"/>
        <v>158.47</v>
      </c>
      <c r="AS37" s="216">
        <f t="shared" si="7"/>
        <v>0.97679498379494789</v>
      </c>
      <c r="AT37" s="216">
        <f t="shared" si="8"/>
        <v>1.2538510821608391</v>
      </c>
      <c r="AU37" s="216">
        <f t="shared" si="9"/>
        <v>2.2360679774997898</v>
      </c>
      <c r="AV37" s="217">
        <f t="shared" si="10"/>
        <v>10.415801185754333</v>
      </c>
      <c r="AW37" s="216">
        <f t="shared" si="11"/>
        <v>0</v>
      </c>
      <c r="AX37" s="218">
        <f t="shared" si="12"/>
        <v>1.4696875479799241</v>
      </c>
      <c r="AY37" s="216">
        <f t="shared" si="13"/>
        <v>0.76851414128953044</v>
      </c>
      <c r="AZ37" s="217">
        <f t="shared" si="14"/>
        <v>3.5640070462657096</v>
      </c>
      <c r="BA37" s="216">
        <f t="shared" si="15"/>
        <v>0</v>
      </c>
      <c r="BB37" s="216">
        <f t="shared" si="16"/>
        <v>1.0084584063544275</v>
      </c>
      <c r="BC37" s="216">
        <f t="shared" si="17"/>
        <v>1</v>
      </c>
    </row>
    <row r="38" spans="1:55" ht="20.100000000000001" customHeight="1" x14ac:dyDescent="0.2">
      <c r="A38" s="45">
        <v>0.95833333333333304</v>
      </c>
      <c r="B38" s="451"/>
      <c r="C38" s="451"/>
      <c r="D38" s="451">
        <v>6.1</v>
      </c>
      <c r="E38" s="451">
        <v>61.5</v>
      </c>
      <c r="F38" s="41">
        <v>1931</v>
      </c>
      <c r="G38" s="37">
        <v>-5.5</v>
      </c>
      <c r="H38" s="37">
        <v>72.099999999999994</v>
      </c>
      <c r="I38" s="37">
        <v>22.5</v>
      </c>
      <c r="J38" s="41">
        <v>748</v>
      </c>
      <c r="K38" s="37">
        <v>13</v>
      </c>
      <c r="L38" s="451">
        <v>126</v>
      </c>
      <c r="M38" s="451">
        <v>223</v>
      </c>
      <c r="N38" s="451">
        <v>85</v>
      </c>
      <c r="O38" s="353">
        <v>40</v>
      </c>
      <c r="P38" s="353">
        <v>12</v>
      </c>
      <c r="Q38" s="353">
        <v>229.34</v>
      </c>
      <c r="R38" s="37"/>
      <c r="S38" s="508" t="str">
        <f t="shared" si="22"/>
        <v/>
      </c>
      <c r="T38" s="508"/>
      <c r="U38" s="508"/>
      <c r="V38" s="508"/>
      <c r="X38" s="45">
        <v>0.95833333333333304</v>
      </c>
      <c r="Y38" s="106"/>
      <c r="Z38" s="102"/>
      <c r="AA38" s="102"/>
      <c r="AB38" s="45" t="str">
        <f t="shared" si="18"/>
        <v/>
      </c>
      <c r="AC38" s="45" t="str">
        <f t="shared" si="1"/>
        <v/>
      </c>
      <c r="AD38" s="81"/>
      <c r="AE38" s="9" t="str">
        <f>IF(S38="","",IF(COUNTA(Z38:$Z$39)=1,IF(COUNTA(AD38:$AD$39)=1,""," ; "),IF(COUNTA(AD38:$AD$39)=1,IF(Z38="",""," ; ")," ; ")))</f>
        <v/>
      </c>
      <c r="AF38" s="9" t="str">
        <f t="shared" si="2"/>
        <v/>
      </c>
      <c r="AG38" s="90" t="str">
        <f t="shared" si="3"/>
        <v/>
      </c>
      <c r="AH38" s="204" t="s">
        <v>219</v>
      </c>
      <c r="AJ38" s="206">
        <f t="shared" si="21"/>
        <v>500</v>
      </c>
      <c r="AK38" s="206">
        <f t="shared" si="21"/>
        <v>100</v>
      </c>
      <c r="AL38" s="206">
        <f t="shared" si="21"/>
        <v>2</v>
      </c>
      <c r="AM38" s="213">
        <f t="shared" si="21"/>
        <v>0.875</v>
      </c>
      <c r="AN38" s="214">
        <f t="shared" si="21"/>
        <v>0.63607464142166403</v>
      </c>
      <c r="AO38" s="215">
        <f t="shared" si="4"/>
        <v>-14.7</v>
      </c>
      <c r="AP38" s="216">
        <f t="shared" si="5"/>
        <v>1</v>
      </c>
      <c r="AQ38" s="216">
        <f t="shared" si="6"/>
        <v>1</v>
      </c>
      <c r="AR38" s="215">
        <f t="shared" si="20"/>
        <v>158.47</v>
      </c>
      <c r="AS38" s="216">
        <f t="shared" si="7"/>
        <v>0.97679498379494789</v>
      </c>
      <c r="AT38" s="216">
        <f t="shared" si="8"/>
        <v>1.2538510821608391</v>
      </c>
      <c r="AU38" s="216">
        <f t="shared" si="9"/>
        <v>2.2360679774997898</v>
      </c>
      <c r="AV38" s="217">
        <f t="shared" si="10"/>
        <v>10.415801185754333</v>
      </c>
      <c r="AW38" s="216">
        <f t="shared" si="11"/>
        <v>0</v>
      </c>
      <c r="AX38" s="218">
        <f t="shared" si="12"/>
        <v>1.4696875479799241</v>
      </c>
      <c r="AY38" s="216">
        <f t="shared" si="13"/>
        <v>0.76851414128953044</v>
      </c>
      <c r="AZ38" s="217">
        <f t="shared" si="14"/>
        <v>3.5640070462657096</v>
      </c>
      <c r="BA38" s="216">
        <f t="shared" si="15"/>
        <v>0</v>
      </c>
      <c r="BB38" s="216">
        <f t="shared" si="16"/>
        <v>1.0084584063544275</v>
      </c>
      <c r="BC38" s="216">
        <f t="shared" si="17"/>
        <v>1</v>
      </c>
    </row>
    <row r="39" spans="1:55" ht="20.100000000000001" customHeight="1" thickBot="1" x14ac:dyDescent="0.25">
      <c r="A39" s="46">
        <v>1</v>
      </c>
      <c r="B39" s="451"/>
      <c r="C39" s="451"/>
      <c r="D39" s="452">
        <v>6.5</v>
      </c>
      <c r="E39" s="452">
        <v>61.8</v>
      </c>
      <c r="F39" s="42">
        <v>1963</v>
      </c>
      <c r="G39" s="37">
        <v>-5.5</v>
      </c>
      <c r="H39" s="38">
        <v>72.5</v>
      </c>
      <c r="I39" s="37">
        <v>22.8</v>
      </c>
      <c r="J39" s="41">
        <v>749</v>
      </c>
      <c r="K39" s="37">
        <v>13</v>
      </c>
      <c r="L39" s="452">
        <v>127</v>
      </c>
      <c r="M39" s="452">
        <v>220</v>
      </c>
      <c r="N39" s="451">
        <v>85</v>
      </c>
      <c r="O39" s="353">
        <v>40</v>
      </c>
      <c r="P39" s="353">
        <v>12</v>
      </c>
      <c r="Q39" s="354">
        <v>229.34</v>
      </c>
      <c r="R39" s="38"/>
      <c r="S39" s="512" t="str">
        <f t="shared" si="22"/>
        <v/>
      </c>
      <c r="T39" s="512"/>
      <c r="U39" s="512"/>
      <c r="V39" s="512"/>
      <c r="X39" s="46">
        <v>1</v>
      </c>
      <c r="Y39" s="107"/>
      <c r="Z39" s="103"/>
      <c r="AA39" s="103"/>
      <c r="AB39" s="46" t="str">
        <f t="shared" si="18"/>
        <v/>
      </c>
      <c r="AC39" s="46" t="str">
        <f t="shared" si="1"/>
        <v/>
      </c>
      <c r="AD39" s="82"/>
      <c r="AE39" s="9" t="str">
        <f>IF(S39="","",IF(COUNTA(Z39:$Z$39)=1,IF(COUNTA(AD39:$AD$39)=1,""," ; "),IF(COUNTA(AD39:$AD$39)=1,IF(Z39="",""," ; ")," ; ")))</f>
        <v/>
      </c>
      <c r="AF39" s="9" t="str">
        <f t="shared" si="2"/>
        <v/>
      </c>
      <c r="AG39" s="90" t="str">
        <f t="shared" si="3"/>
        <v/>
      </c>
      <c r="AH39" s="204" t="s">
        <v>220</v>
      </c>
      <c r="AJ39" s="219">
        <f t="shared" si="21"/>
        <v>500</v>
      </c>
      <c r="AK39" s="219">
        <f t="shared" si="21"/>
        <v>100</v>
      </c>
      <c r="AL39" s="219">
        <f t="shared" si="21"/>
        <v>2</v>
      </c>
      <c r="AM39" s="220">
        <f t="shared" si="21"/>
        <v>0.875</v>
      </c>
      <c r="AN39" s="221">
        <f t="shared" si="21"/>
        <v>0.63607464142166403</v>
      </c>
      <c r="AO39" s="222">
        <f t="shared" si="4"/>
        <v>-14.7</v>
      </c>
      <c r="AP39" s="223">
        <f t="shared" si="5"/>
        <v>1</v>
      </c>
      <c r="AQ39" s="223">
        <f t="shared" si="6"/>
        <v>1</v>
      </c>
      <c r="AR39" s="222">
        <f t="shared" si="20"/>
        <v>158.47</v>
      </c>
      <c r="AS39" s="223">
        <f t="shared" si="7"/>
        <v>0.97679498379494789</v>
      </c>
      <c r="AT39" s="223">
        <f t="shared" si="8"/>
        <v>1.2538510821608391</v>
      </c>
      <c r="AU39" s="223">
        <f t="shared" si="9"/>
        <v>2.2360679774997898</v>
      </c>
      <c r="AV39" s="224">
        <f t="shared" si="10"/>
        <v>10.415801185754333</v>
      </c>
      <c r="AW39" s="223">
        <f t="shared" si="11"/>
        <v>0</v>
      </c>
      <c r="AX39" s="225">
        <f t="shared" si="12"/>
        <v>1.4696875479799241</v>
      </c>
      <c r="AY39" s="223">
        <f t="shared" si="13"/>
        <v>0.76851414128953044</v>
      </c>
      <c r="AZ39" s="224">
        <f t="shared" si="14"/>
        <v>3.5640070462657096</v>
      </c>
      <c r="BA39" s="223">
        <f t="shared" si="15"/>
        <v>0</v>
      </c>
      <c r="BB39" s="223">
        <f t="shared" si="16"/>
        <v>1.0084584063544275</v>
      </c>
      <c r="BC39" s="223">
        <f t="shared" si="17"/>
        <v>1</v>
      </c>
    </row>
    <row r="40" spans="1:55" ht="20.100000000000001" customHeight="1" thickBot="1" x14ac:dyDescent="0.3">
      <c r="A40" s="53" t="s">
        <v>11</v>
      </c>
      <c r="B40" s="453" t="str">
        <f>IFERROR(ROUND(AVERAGE(B16:B39),2),"")</f>
        <v/>
      </c>
      <c r="C40" s="453" t="str">
        <f>IFERROR(ROUND(AVERAGE(C16:C39),2),"")</f>
        <v/>
      </c>
      <c r="D40" s="453">
        <f>IFERROR(ROUND(AVERAGE(D16:D39),2),"")</f>
        <v>6.5</v>
      </c>
      <c r="E40" s="453">
        <f>IFERROR(ROUND(AVERAGE(E16:E39),2),"")</f>
        <v>63.4</v>
      </c>
      <c r="F40" s="55">
        <f>IFERROR(ROUND(AVERAGE(F16:F39),0),"")</f>
        <v>1943</v>
      </c>
      <c r="G40" s="54">
        <f>IFERROR(AVERAGE(G16:G39),"")</f>
        <v>-5.5</v>
      </c>
      <c r="H40" s="54">
        <f>IFERROR(AVERAGE(H16:H39),"")</f>
        <v>72.391666666666652</v>
      </c>
      <c r="I40" s="54">
        <f>IFERROR(AVERAGE(I16:I39),"")</f>
        <v>22.491666666666664</v>
      </c>
      <c r="J40" s="71"/>
      <c r="K40" s="111">
        <f>IFERROR(AVERAGE(K16:K39),"")</f>
        <v>13</v>
      </c>
      <c r="L40" s="453">
        <f t="shared" ref="L40:P40" si="23">IFERROR(ROUND(AVERAGE(L16:L39),1),"")</f>
        <v>130.4</v>
      </c>
      <c r="M40" s="453">
        <f t="shared" si="23"/>
        <v>222</v>
      </c>
      <c r="N40" s="453">
        <f t="shared" si="23"/>
        <v>85</v>
      </c>
      <c r="O40" s="456">
        <f t="shared" si="23"/>
        <v>42.9</v>
      </c>
      <c r="P40" s="456">
        <f t="shared" si="23"/>
        <v>12.8</v>
      </c>
      <c r="Q40" s="456">
        <f>IF($I$47=1,$M$49,$Q$44)</f>
        <v>240.5</v>
      </c>
      <c r="R40" s="54" t="str">
        <f>IFERROR(ROUND(AVERAGE(R16:R39),1),"")</f>
        <v/>
      </c>
      <c r="S40" s="509"/>
      <c r="T40" s="510"/>
      <c r="U40" s="510"/>
      <c r="V40" s="511"/>
      <c r="X40" s="99"/>
      <c r="Y40" s="99"/>
      <c r="Z40" s="99"/>
      <c r="AA40" s="99"/>
      <c r="AB40" s="104">
        <f>SUM(AB16:AB39)</f>
        <v>0</v>
      </c>
      <c r="AC40" s="104">
        <f>SUM(AC16:AC39)</f>
        <v>0</v>
      </c>
      <c r="AD40" s="92" t="str">
        <f>IF(OR(COUNTBLANK(D16:E39)+COUNTBLANK(O16:P39)=0,COUNTA(S16:V39)&lt;&gt;0),"","CEK : Blank Data - Remarks")</f>
        <v/>
      </c>
      <c r="AG40" s="90" t="str">
        <f>IF(COUNTIF(AG16:AG39,"")=COUNTA(AG16:AG39),"","CEK : Data Flowrate")</f>
        <v/>
      </c>
      <c r="AH40" s="204" t="s">
        <v>311</v>
      </c>
    </row>
    <row r="41" spans="1:55" ht="20.100000000000001" hidden="1" customHeight="1" thickBot="1" x14ac:dyDescent="0.3">
      <c r="A41" s="49" t="s">
        <v>12</v>
      </c>
      <c r="B41" s="52" t="str">
        <f>IF(COUNT(B16:B39)&gt;0,ROUND(MIN(B16:B39),2),"")</f>
        <v/>
      </c>
      <c r="C41" s="52" t="str">
        <f>IF(COUNT(C16:C39)&gt;0,ROUND(MIN(C16:C39),2),"")</f>
        <v/>
      </c>
      <c r="D41" s="52">
        <f>IF(COUNT(D16:D39)&gt;0,ROUND(MIN(D16:D39),2),"")</f>
        <v>5.0999999999999996</v>
      </c>
      <c r="E41" s="52">
        <f>IF(COUNT(E16:E39)&gt;0,ROUND(MIN(E16:E39),2),"")</f>
        <v>58.7</v>
      </c>
      <c r="F41" s="51">
        <f>IF(COUNT(F16:F39)&gt;0,ROUND(MIN(F16:F39),0),"")</f>
        <v>1915</v>
      </c>
      <c r="G41" s="50">
        <f>IF(COUNT(G16:G39)&gt;0,MIN(G16:G39),"")</f>
        <v>-5.5</v>
      </c>
      <c r="H41" s="50">
        <f>IF(COUNT(H16:H39)&gt;0,MIN(H16:H39),"")</f>
        <v>72</v>
      </c>
      <c r="I41" s="50">
        <f>IF(COUNT(I16:I39)&gt;0,MIN(I16:I39),"")</f>
        <v>22</v>
      </c>
      <c r="J41" s="72"/>
      <c r="K41" s="50">
        <f>IF(COUNT(K16:K39)&gt;0,MIN(K16:K39),"")</f>
        <v>13</v>
      </c>
      <c r="L41" s="52">
        <f>IF(COUNT(L16:L39)&gt;0,ROUND(MIN(L16:L39),1),"")</f>
        <v>122</v>
      </c>
      <c r="M41" s="52">
        <f>IF(COUNT(M16:M39)&gt;0,ROUND(MIN(M16:M39),1),"")</f>
        <v>220</v>
      </c>
      <c r="N41" s="52">
        <f>IF(COUNT(N16:N39)&gt;0,ROUND(MIN(N16:N39),1),"")</f>
        <v>85</v>
      </c>
      <c r="O41" s="440">
        <f>IF(COUNT(O16:O39)&gt;0,ROUND(MIN(O16:O39),1),"")</f>
        <v>40</v>
      </c>
      <c r="P41" s="440">
        <f>IF(COUNT(P16:P39)&gt;0,ROUND(MIN(P16:P39),1),"")</f>
        <v>10</v>
      </c>
      <c r="Q41" s="440">
        <f>IF(COUNT(Q16:Q39)&gt;0,ROUND(MIN(Q16:Q39),4),"")</f>
        <v>219</v>
      </c>
      <c r="R41" s="121" t="str">
        <f>IF(COUNT(R16:R39)&gt;0,ROUND(MIN(R16:R39),1),"")</f>
        <v/>
      </c>
      <c r="S41" s="509"/>
      <c r="T41" s="510"/>
      <c r="U41" s="510"/>
      <c r="V41" s="511"/>
      <c r="X41" s="99"/>
      <c r="Y41" s="99"/>
      <c r="Z41" s="99"/>
      <c r="AA41" s="99"/>
      <c r="AB41" s="99"/>
      <c r="AC41" s="99"/>
      <c r="AH41" s="204" t="s">
        <v>318</v>
      </c>
    </row>
    <row r="42" spans="1:55" ht="20.100000000000001" hidden="1" customHeight="1" thickBot="1" x14ac:dyDescent="0.3">
      <c r="A42" s="21" t="s">
        <v>13</v>
      </c>
      <c r="B42" s="454" t="str">
        <f>IF(COUNT(B16:B39)&gt;0,ROUND(MAX(B16:B39),2),"")</f>
        <v/>
      </c>
      <c r="C42" s="454" t="str">
        <f>IF(COUNT(C16:C39)&gt;0,ROUND(MAX(C16:C39),2),"")</f>
        <v/>
      </c>
      <c r="D42" s="454">
        <f>IF(COUNT(D16:D39)&gt;0,ROUND(MAX(D16:D39),2),"")</f>
        <v>7.9</v>
      </c>
      <c r="E42" s="454">
        <f>IF(COUNT(E16:E39)&gt;0,ROUND(MAX(E16:E39),2),"")</f>
        <v>67.599999999999994</v>
      </c>
      <c r="F42" s="43">
        <f>IF(COUNT(F16:F39)&gt;0,ROUND(MAX(F16:F39),0),"")</f>
        <v>1965</v>
      </c>
      <c r="G42" s="39">
        <f>IF(COUNT(G16:G39)&gt;0,MAX(G16:G39),"")</f>
        <v>-5.5</v>
      </c>
      <c r="H42" s="39">
        <f>IF(COUNT(H16:H39)&gt;0,MAX(H16:H39),"")</f>
        <v>72.900000000000006</v>
      </c>
      <c r="I42" s="39">
        <f>IF(COUNT(I16:I39)&gt;0,MAX(I16:I39),"")</f>
        <v>22.9</v>
      </c>
      <c r="J42" s="43">
        <f>IF(COUNT(J16:J39)&gt;0,MAX(J16:J39),"")</f>
        <v>749</v>
      </c>
      <c r="K42" s="39">
        <f>IF(COUNT(K16:K39)&gt;0,MAX(K16:K39),"")</f>
        <v>13</v>
      </c>
      <c r="L42" s="454">
        <f>IF(COUNT(L16:L39)&gt;0,ROUND(MAX(L16:L39),1),"")</f>
        <v>137</v>
      </c>
      <c r="M42" s="454">
        <f>IF(COUNT(M16:M39)&gt;0,ROUND(MAX(M16:M39),1),"")</f>
        <v>227</v>
      </c>
      <c r="N42" s="454">
        <f>IF(COUNT(N16:N39)&gt;0,ROUND(MAX(N16:N39),1),"")</f>
        <v>85</v>
      </c>
      <c r="O42" s="441">
        <f>IF(COUNT(O16:O39)&gt;0,ROUND(MAX(O16:O39),1),"")</f>
        <v>45</v>
      </c>
      <c r="P42" s="441">
        <f>IF(COUNT(P16:P39)&gt;0,ROUND(MAX(P16:P39),1),"")</f>
        <v>15</v>
      </c>
      <c r="Q42" s="441">
        <f>IF(COUNT(Q16:Q39)&gt;0,ROUND(MAX(Q16:Q39),4),"")</f>
        <v>258.77</v>
      </c>
      <c r="R42" s="39" t="str">
        <f>IF(COUNT(R16:R39)&gt;0,ROUND(MAX(R16:R39),1),"")</f>
        <v/>
      </c>
      <c r="S42" s="509"/>
      <c r="T42" s="510"/>
      <c r="U42" s="510"/>
      <c r="V42" s="511"/>
      <c r="X42" s="99"/>
      <c r="Y42" s="99"/>
      <c r="Z42" s="99"/>
      <c r="AA42" s="99"/>
      <c r="AB42" s="99"/>
      <c r="AC42" s="99"/>
      <c r="AH42" s="204" t="s">
        <v>312</v>
      </c>
    </row>
    <row r="43" spans="1:55" ht="20.100000000000001" hidden="1" customHeight="1" x14ac:dyDescent="0.25">
      <c r="A43" s="109"/>
      <c r="B43" s="110">
        <f>COUNT(B16:B39)</f>
        <v>0</v>
      </c>
      <c r="C43" s="110">
        <f>COUNT(C16:C39)</f>
        <v>0</v>
      </c>
      <c r="D43" s="110">
        <f>COUNT(D16:D39)</f>
        <v>24</v>
      </c>
      <c r="E43" s="110">
        <f t="shared" ref="E43:H43" si="24">COUNT(E16:E39)</f>
        <v>24</v>
      </c>
      <c r="F43" s="110">
        <f t="shared" si="24"/>
        <v>24</v>
      </c>
      <c r="G43" s="110">
        <f t="shared" si="24"/>
        <v>24</v>
      </c>
      <c r="H43" s="110">
        <f t="shared" si="24"/>
        <v>24</v>
      </c>
      <c r="I43" s="110"/>
      <c r="J43" s="110"/>
      <c r="K43" s="110"/>
      <c r="L43" s="110">
        <f t="shared" ref="L43:Q43" si="25">COUNT(L16:L39)</f>
        <v>24</v>
      </c>
      <c r="M43" s="110">
        <f t="shared" si="25"/>
        <v>24</v>
      </c>
      <c r="N43" s="110">
        <f t="shared" si="25"/>
        <v>24</v>
      </c>
      <c r="O43" s="110">
        <f t="shared" si="25"/>
        <v>24</v>
      </c>
      <c r="P43" s="110">
        <f t="shared" si="25"/>
        <v>24</v>
      </c>
      <c r="Q43" s="110">
        <f t="shared" si="25"/>
        <v>24</v>
      </c>
      <c r="R43" s="110"/>
      <c r="S43" s="99"/>
      <c r="T43" s="99"/>
      <c r="U43" s="99"/>
      <c r="V43" s="99"/>
      <c r="X43" s="99"/>
      <c r="Y43" s="99"/>
      <c r="Z43" s="99"/>
      <c r="AA43" s="99"/>
      <c r="AB43" s="99"/>
      <c r="AC43" s="99"/>
      <c r="AD43" s="92" t="str">
        <f>IF(AND(D43=E43,D43=F43,D43=G43,D43=H43,D43=L43,D43=M43,D43=N43,D43=O43,D43=P43,D43=Q43),"","CEK : Data Content")</f>
        <v/>
      </c>
      <c r="AH43" s="204" t="s">
        <v>221</v>
      </c>
    </row>
    <row r="44" spans="1:55" s="6" customFormat="1" ht="15" customHeight="1" x14ac:dyDescent="0.25">
      <c r="J44" s="91" t="str">
        <f>IF(J1="PRINT","",IF(J42="","RH please ! !",""))</f>
        <v/>
      </c>
      <c r="L44" s="24"/>
      <c r="Q44" s="445">
        <f>IFERROR(ROUND(AVERAGE(Q16:Q39),4),"")</f>
        <v>242.8792</v>
      </c>
      <c r="AH44" s="204" t="s">
        <v>323</v>
      </c>
      <c r="AI44" s="7"/>
    </row>
    <row r="45" spans="1:55" s="6" customFormat="1" ht="15" customHeight="1" x14ac:dyDescent="0.25">
      <c r="L45" s="26" t="s">
        <v>290</v>
      </c>
      <c r="Q45" s="445"/>
      <c r="AH45" s="204" t="s">
        <v>288</v>
      </c>
      <c r="AI45" s="7"/>
    </row>
    <row r="46" spans="1:55" s="6" customFormat="1" ht="15" customHeight="1" x14ac:dyDescent="0.25">
      <c r="D46" s="443" t="s">
        <v>90</v>
      </c>
      <c r="E46" s="448" t="str">
        <f>IF(Schedule!C$32="","",Schedule!C$32)</f>
        <v/>
      </c>
      <c r="G46" s="61"/>
      <c r="H46" s="25" t="str">
        <f>IFERROR(IF(OR(I47="",I48="",I49=""),"WAKTU BELUM DI-ISI LENGKAP",IF(SUM(I48:I49)&lt;=1,"","CEK KEMBALI PENULISAN WAKTU SALAH")),"CEK KEMBALI PENULISAN WAKTU SALAH")</f>
        <v/>
      </c>
      <c r="L46" s="26" t="s">
        <v>22</v>
      </c>
      <c r="M46" s="460">
        <f>IF(Volume!$W31="",$O46,Volume!$W31)</f>
        <v>43.294499999999999</v>
      </c>
      <c r="N46" s="27" t="s">
        <v>1</v>
      </c>
      <c r="O46" s="447">
        <f>IF(O40="","",O40)</f>
        <v>42.9</v>
      </c>
      <c r="P46" s="361" t="s">
        <v>29</v>
      </c>
      <c r="Q46" s="362"/>
      <c r="R46" s="362"/>
      <c r="S46" s="362"/>
      <c r="T46" s="361" t="s">
        <v>30</v>
      </c>
      <c r="U46" s="362"/>
      <c r="V46" s="362"/>
      <c r="AH46" s="204" t="s">
        <v>222</v>
      </c>
    </row>
    <row r="47" spans="1:55" s="6" customFormat="1" ht="15" customHeight="1" x14ac:dyDescent="0.25">
      <c r="D47" s="448"/>
      <c r="E47" s="448"/>
      <c r="H47" s="26" t="s">
        <v>26</v>
      </c>
      <c r="I47" s="56">
        <f>IF(OR(I48="",I49=""),"",1-I48-I49)</f>
        <v>1</v>
      </c>
      <c r="J47" s="27" t="s">
        <v>19</v>
      </c>
      <c r="L47" s="26" t="s">
        <v>23</v>
      </c>
      <c r="M47" s="442">
        <f>IF(Volume!$Y31="",$O47,Volume!$Y31)</f>
        <v>13.0914</v>
      </c>
      <c r="N47" s="27" t="s">
        <v>14</v>
      </c>
      <c r="O47" s="447">
        <f>IF(P40="","",P40)</f>
        <v>12.8</v>
      </c>
      <c r="P47" s="361" t="s">
        <v>211</v>
      </c>
      <c r="Q47" s="362"/>
      <c r="R47" s="362"/>
      <c r="S47" s="362"/>
      <c r="T47" s="361" t="s">
        <v>271</v>
      </c>
      <c r="U47" s="362"/>
      <c r="V47" s="362"/>
      <c r="AH47" s="204" t="s">
        <v>223</v>
      </c>
    </row>
    <row r="48" spans="1:55" s="6" customFormat="1" ht="15" customHeight="1" x14ac:dyDescent="0.25">
      <c r="D48" s="443" t="s">
        <v>91</v>
      </c>
      <c r="E48" s="448" t="str">
        <f>IF(Schedule!D$32="","",Schedule!D$32)</f>
        <v/>
      </c>
      <c r="H48" s="26" t="s">
        <v>37</v>
      </c>
      <c r="I48" s="108">
        <f>IF(OR(COUNT($Q$16:$Q$39)&lt;&gt;0,COUNTA($AD$16:$AD$39)&lt;&gt;0),AB40,"")</f>
        <v>0</v>
      </c>
      <c r="J48" s="27" t="s">
        <v>19</v>
      </c>
      <c r="L48" s="26" t="s">
        <v>24</v>
      </c>
      <c r="M48" s="449">
        <f>IF(N40="","",N40)</f>
        <v>85</v>
      </c>
      <c r="N48" s="27" t="s">
        <v>5</v>
      </c>
      <c r="P48" s="362"/>
      <c r="Q48" s="362"/>
      <c r="R48" s="362"/>
      <c r="S48" s="362"/>
      <c r="T48" s="361" t="s">
        <v>291</v>
      </c>
      <c r="U48" s="362"/>
      <c r="V48" s="362"/>
      <c r="AH48" s="204" t="s">
        <v>324</v>
      </c>
    </row>
    <row r="49" spans="1:34" s="6" customFormat="1" ht="15" customHeight="1" x14ac:dyDescent="0.25">
      <c r="D49" s="448"/>
      <c r="E49" s="448"/>
      <c r="H49" s="26" t="s">
        <v>27</v>
      </c>
      <c r="I49" s="108">
        <f>IF(OR(COUNT($Q$16:$Q$39)&lt;&gt;0,COUNTA($AD$16:$AD$39)&lt;&gt;0),AC40,"")</f>
        <v>0</v>
      </c>
      <c r="J49" s="27" t="s">
        <v>19</v>
      </c>
      <c r="L49" s="26" t="s">
        <v>128</v>
      </c>
      <c r="M49" s="442">
        <f>IF(Volume!$L31="",M51,Volume!$L31)</f>
        <v>240.5</v>
      </c>
      <c r="N49" s="27" t="str">
        <f>IF(Q15="MSCFD","MSCF","MMSCF")</f>
        <v>MSCF</v>
      </c>
      <c r="P49" s="362"/>
      <c r="Q49" s="362"/>
      <c r="R49" s="362"/>
      <c r="S49" s="362"/>
      <c r="T49" s="362"/>
      <c r="U49" s="362"/>
      <c r="V49" s="362"/>
      <c r="AH49" s="204" t="s">
        <v>317</v>
      </c>
    </row>
    <row r="50" spans="1:34" s="6" customFormat="1" ht="15" customHeight="1" x14ac:dyDescent="0.25">
      <c r="D50" s="443" t="s">
        <v>92</v>
      </c>
      <c r="E50" s="448" t="str">
        <f>IF(Schedule!E$32="","",Schedule!E$32)</f>
        <v>Marihot Gustafa S.</v>
      </c>
      <c r="L50" s="443" t="str">
        <f>CONCATENATE(MR!L16," ",":")</f>
        <v>Liquid Gain :</v>
      </c>
      <c r="M50" s="446" t="str">
        <f>IF(R40="","",ROUND(SUM(R16:R39),2))</f>
        <v/>
      </c>
      <c r="N50" s="444" t="str">
        <f>R15</f>
        <v>BPD</v>
      </c>
      <c r="P50" s="362"/>
      <c r="Q50" s="362"/>
      <c r="R50" s="362"/>
      <c r="S50" s="362"/>
      <c r="T50" s="362"/>
      <c r="U50" s="362"/>
      <c r="V50" s="362"/>
      <c r="AH50" s="204" t="s">
        <v>282</v>
      </c>
    </row>
    <row r="51" spans="1:34" s="6" customFormat="1" ht="15" customHeight="1" x14ac:dyDescent="0.25">
      <c r="A51" s="4"/>
      <c r="L51" s="443" t="s">
        <v>286</v>
      </c>
      <c r="M51" s="447">
        <f>IF(Q44="","",IF(SUM(I48:I49)=1,IF(Q44&lt;&gt;0,"Cek Tabel",""),ROUND(Q44*I47,4)))</f>
        <v>242.8792</v>
      </c>
      <c r="N51" s="444" t="str">
        <f>IF(Q15="MSCFD","MSCF","MMSCF")</f>
        <v>MSCF</v>
      </c>
      <c r="P51" s="362"/>
      <c r="Q51" s="362"/>
      <c r="R51" s="362"/>
      <c r="S51" s="362"/>
      <c r="T51" s="362"/>
      <c r="U51" s="362"/>
      <c r="V51" s="362"/>
      <c r="AH51" s="204" t="s">
        <v>325</v>
      </c>
    </row>
    <row r="52" spans="1:34" s="6" customFormat="1" ht="15" customHeight="1" x14ac:dyDescent="0.25">
      <c r="D52" s="26" t="s">
        <v>28</v>
      </c>
      <c r="E52" s="47"/>
      <c r="F52" s="47"/>
      <c r="G52" s="47"/>
      <c r="H52" s="47"/>
      <c r="I52" s="47"/>
      <c r="J52" s="47"/>
      <c r="K52" s="47"/>
      <c r="L52" s="5"/>
      <c r="P52" s="362"/>
      <c r="Q52" s="362"/>
      <c r="R52" s="362"/>
      <c r="S52" s="362"/>
      <c r="T52" s="362"/>
      <c r="U52" s="362"/>
      <c r="V52" s="362"/>
      <c r="AH52" s="204" t="s">
        <v>280</v>
      </c>
    </row>
    <row r="53" spans="1:34" s="6" customFormat="1" ht="15" customHeight="1" x14ac:dyDescent="0.25">
      <c r="D53" s="5"/>
      <c r="E53" s="48"/>
      <c r="F53" s="48"/>
      <c r="G53" s="48"/>
      <c r="H53" s="48"/>
      <c r="I53" s="48"/>
      <c r="J53" s="48"/>
      <c r="K53" s="48"/>
      <c r="L53" s="5"/>
      <c r="P53" s="363" t="str">
        <f>UPPER(E50)</f>
        <v>MARIHOT GUSTAFA S.</v>
      </c>
      <c r="Q53" s="362"/>
      <c r="R53" s="362"/>
      <c r="S53" s="362"/>
      <c r="T53" s="363" t="str">
        <f>IF(Schedule!F$32="","",UPPER(Schedule!F$32))</f>
        <v>SAPUAN</v>
      </c>
      <c r="U53" s="362"/>
      <c r="V53" s="362"/>
      <c r="AH53" s="204" t="s">
        <v>316</v>
      </c>
    </row>
    <row r="54" spans="1:34" s="6" customFormat="1" ht="15" customHeight="1" x14ac:dyDescent="0.25">
      <c r="E54" s="48"/>
      <c r="F54" s="48"/>
      <c r="G54" s="48"/>
      <c r="H54" s="48"/>
      <c r="I54" s="48"/>
      <c r="J54" s="48"/>
      <c r="K54" s="48"/>
      <c r="P54" s="361" t="s">
        <v>107</v>
      </c>
      <c r="Q54" s="362"/>
      <c r="R54" s="362"/>
      <c r="S54" s="362"/>
      <c r="T54" s="361" t="s">
        <v>294</v>
      </c>
      <c r="U54" s="362"/>
      <c r="V54" s="362"/>
      <c r="AH54" s="204" t="s">
        <v>326</v>
      </c>
    </row>
    <row r="55" spans="1:34" s="6" customFormat="1" ht="15" customHeight="1" x14ac:dyDescent="0.25">
      <c r="P55" s="364" t="str">
        <f>CONCATENATE("Date : ",TEXT(K12,"[$-409]d mmm yyyy;@"))</f>
        <v>Date : 28 Jun 2025</v>
      </c>
      <c r="Q55" s="362"/>
      <c r="R55" s="364"/>
      <c r="S55" s="362"/>
      <c r="T55" s="364" t="str">
        <f>CONCATENATE("Date : ",TEXT(K12,"[$-409]d mmm yyyy;@"))</f>
        <v>Date : 28 Jun 2025</v>
      </c>
      <c r="U55" s="362"/>
      <c r="V55" s="362"/>
      <c r="AH55" s="204" t="s">
        <v>327</v>
      </c>
    </row>
    <row r="56" spans="1:34" ht="15" customHeight="1" x14ac:dyDescent="0.25">
      <c r="AH56" s="204" t="s">
        <v>281</v>
      </c>
    </row>
    <row r="57" spans="1:34" ht="15" customHeight="1" x14ac:dyDescent="0.25">
      <c r="AH57" s="204" t="s">
        <v>277</v>
      </c>
    </row>
    <row r="58" spans="1:34" ht="15" customHeight="1" x14ac:dyDescent="0.25">
      <c r="AH58" s="204" t="s">
        <v>328</v>
      </c>
    </row>
    <row r="59" spans="1:34" ht="15" customHeight="1" x14ac:dyDescent="0.25">
      <c r="AH59" s="204" t="s">
        <v>329</v>
      </c>
    </row>
    <row r="60" spans="1:34" ht="15" customHeight="1" x14ac:dyDescent="0.25">
      <c r="AH60" s="204" t="s">
        <v>330</v>
      </c>
    </row>
    <row r="61" spans="1:34" ht="15" customHeight="1" x14ac:dyDescent="0.25">
      <c r="AH61" s="204" t="s">
        <v>331</v>
      </c>
    </row>
    <row r="62" spans="1:34" ht="15" customHeight="1" x14ac:dyDescent="0.25">
      <c r="AH62" s="204" t="s">
        <v>332</v>
      </c>
    </row>
    <row r="63" spans="1:34" ht="15" customHeight="1" x14ac:dyDescent="0.25">
      <c r="AH63" s="204" t="s">
        <v>315</v>
      </c>
    </row>
    <row r="64" spans="1:34" ht="15" customHeight="1" x14ac:dyDescent="0.25">
      <c r="AH64" s="204" t="s">
        <v>333</v>
      </c>
    </row>
    <row r="65" spans="34:34" ht="15" customHeight="1" x14ac:dyDescent="0.25">
      <c r="AH65" s="204" t="s">
        <v>310</v>
      </c>
    </row>
    <row r="66" spans="34:34" ht="15" customHeight="1" x14ac:dyDescent="0.25">
      <c r="AH66" s="204" t="s">
        <v>334</v>
      </c>
    </row>
    <row r="67" spans="34:34" ht="15" customHeight="1" x14ac:dyDescent="0.25">
      <c r="AH67" s="204" t="s">
        <v>335</v>
      </c>
    </row>
    <row r="68" spans="34:34" ht="15" customHeight="1" x14ac:dyDescent="0.25">
      <c r="AH68" s="204" t="s">
        <v>336</v>
      </c>
    </row>
    <row r="69" spans="34:34" ht="15" customHeight="1" x14ac:dyDescent="0.25">
      <c r="AH69" s="204" t="s">
        <v>337</v>
      </c>
    </row>
    <row r="70" spans="34:34" ht="15" customHeight="1" x14ac:dyDescent="0.25">
      <c r="AH70" s="204" t="s">
        <v>338</v>
      </c>
    </row>
    <row r="71" spans="34:34" ht="15" customHeight="1" x14ac:dyDescent="0.25">
      <c r="AH71" s="204" t="s">
        <v>339</v>
      </c>
    </row>
    <row r="72" spans="34:34" ht="15" customHeight="1" x14ac:dyDescent="0.25">
      <c r="AH72" s="204" t="s">
        <v>340</v>
      </c>
    </row>
    <row r="85" spans="34:34" ht="0" hidden="1" customHeight="1" x14ac:dyDescent="0.25">
      <c r="AH85" s="6"/>
    </row>
    <row r="86" spans="34:34" ht="0" hidden="1" customHeight="1" x14ac:dyDescent="0.25">
      <c r="AH86" s="6"/>
    </row>
    <row r="87" spans="34:34" ht="0" hidden="1" customHeight="1" x14ac:dyDescent="0.25">
      <c r="AH87" s="6"/>
    </row>
    <row r="88" spans="34:34" ht="0" hidden="1" customHeight="1" x14ac:dyDescent="0.25">
      <c r="AH88" s="6"/>
    </row>
    <row r="89" spans="34:34" ht="0" hidden="1" customHeight="1" x14ac:dyDescent="0.25">
      <c r="AH89" s="6"/>
    </row>
    <row r="90" spans="34:34" ht="0" hidden="1" customHeight="1" x14ac:dyDescent="0.25">
      <c r="AH90" s="6"/>
    </row>
    <row r="91" spans="34:34" ht="0" hidden="1" customHeight="1" x14ac:dyDescent="0.25">
      <c r="AH91" s="6"/>
    </row>
    <row r="92" spans="34:34" ht="0" hidden="1" customHeight="1" x14ac:dyDescent="0.25">
      <c r="AH92" s="6"/>
    </row>
    <row r="93" spans="34:34" ht="0" hidden="1" customHeight="1" x14ac:dyDescent="0.25">
      <c r="AH93" s="6"/>
    </row>
    <row r="94" spans="34:34" ht="0" hidden="1" customHeight="1" x14ac:dyDescent="0.25">
      <c r="AH94" s="6"/>
    </row>
  </sheetData>
  <sheetProtection algorithmName="SHA-512" hashValue="3RTj7Mb0+ROzBxhK6A5lPCJb5T/KIOGRNKiZlhVR1q0BGzxUUlyzF74gvXBEK0EO9JLrpZ+G7l7PzgfMy9yKtQ==" saltValue="Scurv5afvUgxT0uBAQfT9g==" spinCount="100000" sheet="1" objects="1" scenarios="1" formatColumns="0" formatRows="0" insertColumns="0" insertRows="0" sort="0" autoFilter="0" pivotTables="0"/>
  <mergeCells count="69">
    <mergeCell ref="S37:V37"/>
    <mergeCell ref="S38:V38"/>
    <mergeCell ref="S39:V39"/>
    <mergeCell ref="S40:V40"/>
    <mergeCell ref="S41:V42"/>
    <mergeCell ref="S36:V36"/>
    <mergeCell ref="S25:V25"/>
    <mergeCell ref="S26:V26"/>
    <mergeCell ref="S27:V27"/>
    <mergeCell ref="S28:V28"/>
    <mergeCell ref="S29:V29"/>
    <mergeCell ref="S30:V30"/>
    <mergeCell ref="S31:V31"/>
    <mergeCell ref="S32:V32"/>
    <mergeCell ref="S33:V33"/>
    <mergeCell ref="S34:V34"/>
    <mergeCell ref="S35:V35"/>
    <mergeCell ref="S19:V19"/>
    <mergeCell ref="S20:V20"/>
    <mergeCell ref="S21:V21"/>
    <mergeCell ref="S22:V22"/>
    <mergeCell ref="S23:V23"/>
    <mergeCell ref="S24:V24"/>
    <mergeCell ref="BA14:BA15"/>
    <mergeCell ref="BB14:BB15"/>
    <mergeCell ref="BC14:BC15"/>
    <mergeCell ref="S16:V16"/>
    <mergeCell ref="S17:V17"/>
    <mergeCell ref="S18:V18"/>
    <mergeCell ref="AU14:AU15"/>
    <mergeCell ref="AV14:AV15"/>
    <mergeCell ref="AW14:AW15"/>
    <mergeCell ref="AX14:AX15"/>
    <mergeCell ref="AY14:AY15"/>
    <mergeCell ref="AZ14:AZ15"/>
    <mergeCell ref="AO14:AO15"/>
    <mergeCell ref="AP14:AP15"/>
    <mergeCell ref="AQ14:AQ15"/>
    <mergeCell ref="AR14:AR15"/>
    <mergeCell ref="AS14:AS15"/>
    <mergeCell ref="AT14:AT15"/>
    <mergeCell ref="AD14:AD15"/>
    <mergeCell ref="AJ14:AJ15"/>
    <mergeCell ref="AK14:AK15"/>
    <mergeCell ref="AL14:AL15"/>
    <mergeCell ref="AM14:AM15"/>
    <mergeCell ref="AN14:AN15"/>
    <mergeCell ref="Y14:AC14"/>
    <mergeCell ref="H13:H14"/>
    <mergeCell ref="I13:I14"/>
    <mergeCell ref="J13:J14"/>
    <mergeCell ref="K13:K14"/>
    <mergeCell ref="L13:L14"/>
    <mergeCell ref="M13:N13"/>
    <mergeCell ref="Q13:Q14"/>
    <mergeCell ref="R13:R14"/>
    <mergeCell ref="S13:V15"/>
    <mergeCell ref="O13:O14"/>
    <mergeCell ref="P13:P14"/>
    <mergeCell ref="A10:V10"/>
    <mergeCell ref="A11:V11"/>
    <mergeCell ref="K12:L12"/>
    <mergeCell ref="A13:A15"/>
    <mergeCell ref="B13:B14"/>
    <mergeCell ref="C13:C14"/>
    <mergeCell ref="D13:D14"/>
    <mergeCell ref="E13:E14"/>
    <mergeCell ref="F13:F14"/>
    <mergeCell ref="G13:G14"/>
  </mergeCells>
  <conditionalFormatting sqref="I47">
    <cfRule type="cellIs" dxfId="15" priority="6" operator="lessThan">
      <formula>0</formula>
    </cfRule>
  </conditionalFormatting>
  <conditionalFormatting sqref="Y16:Y39">
    <cfRule type="containsText" dxfId="14" priority="4" operator="containsText" text="STBY">
      <formula>NOT(ISERROR(SEARCH("STBY",Y16)))</formula>
    </cfRule>
    <cfRule type="containsText" dxfId="13" priority="5" operator="containsText" text="SD">
      <formula>NOT(ISERROR(SEARCH("SD",Y16)))</formula>
    </cfRule>
  </conditionalFormatting>
  <conditionalFormatting sqref="B16:B39 L16:R39">
    <cfRule type="expression" dxfId="12" priority="3">
      <formula>ISTEXT(B16)</formula>
    </cfRule>
  </conditionalFormatting>
  <conditionalFormatting sqref="C16:C39">
    <cfRule type="expression" dxfId="11" priority="2">
      <formula>ISTEXT(C16)</formula>
    </cfRule>
  </conditionalFormatting>
  <conditionalFormatting sqref="D16:K39">
    <cfRule type="expression" dxfId="10" priority="1">
      <formula>ISTEXT(D16)</formula>
    </cfRule>
  </conditionalFormatting>
  <dataValidations count="2">
    <dataValidation type="list" allowBlank="1" showInputMessage="1" showErrorMessage="1" sqref="Y16:Y39" xr:uid="{7BC122D9-C2B7-4A27-862E-903F6B070138}">
      <formula1>"SD,STBY"</formula1>
    </dataValidation>
    <dataValidation type="list" allowBlank="1" showInputMessage="1" sqref="AD16:AD39" xr:uid="{A3FD6FC4-FEB2-449B-8B60-12ABE149A2C6}">
      <formula1>$AH$15:$AH$72</formula1>
    </dataValidation>
  </dataValidations>
  <printOptions horizontalCentered="1"/>
  <pageMargins left="0.39370078740157483" right="0.39370078740157483" top="0.59055118110236227" bottom="0.39370078740157483" header="0.31496062992125984" footer="0.31496062992125984"/>
  <pageSetup paperSize="9" scale="57" orientation="landscape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88227-5C65-4A8D-91AD-2AD9EC219198}">
  <sheetPr codeName="N29">
    <pageSetUpPr fitToPage="1"/>
  </sheetPr>
  <dimension ref="A1:BC94"/>
  <sheetViews>
    <sheetView topLeftCell="A16" zoomScale="85" zoomScaleNormal="85" workbookViewId="0">
      <selection activeCell="K36" sqref="K36"/>
    </sheetView>
  </sheetViews>
  <sheetFormatPr defaultColWidth="0" defaultRowHeight="0" customHeight="1" zeroHeight="1" x14ac:dyDescent="0.25"/>
  <cols>
    <col min="1" max="1" width="10.7109375" style="7" customWidth="1"/>
    <col min="2" max="3" width="10.7109375" style="7" hidden="1" customWidth="1"/>
    <col min="4" max="14" width="10.7109375" style="7" customWidth="1"/>
    <col min="15" max="17" width="11.7109375" style="7" customWidth="1"/>
    <col min="18" max="18" width="10.7109375" style="7" hidden="1" customWidth="1"/>
    <col min="19" max="22" width="10.7109375" style="7" customWidth="1"/>
    <col min="23" max="23" width="2.7109375" style="7" customWidth="1"/>
    <col min="24" max="29" width="10.7109375" style="7" customWidth="1"/>
    <col min="30" max="30" width="30.7109375" style="7" customWidth="1"/>
    <col min="31" max="33" width="11.7109375" style="7" customWidth="1"/>
    <col min="34" max="34" width="30.7109375" style="7" customWidth="1"/>
    <col min="35" max="35" width="2.7109375" style="7" hidden="1" customWidth="1"/>
    <col min="36" max="55" width="11.7109375" style="7" hidden="1" customWidth="1"/>
    <col min="56" max="16384" width="9.140625" style="7" hidden="1"/>
  </cols>
  <sheetData>
    <row r="1" spans="1:55" ht="15" customHeight="1" x14ac:dyDescent="0.25">
      <c r="A1" s="7" t="s">
        <v>16</v>
      </c>
      <c r="D1" s="11" t="s">
        <v>85</v>
      </c>
      <c r="J1" s="7" t="str">
        <f>IF(MR!U13="Yes","PRINT","No")</f>
        <v>PRINT</v>
      </c>
      <c r="M1" s="191"/>
      <c r="N1" s="191"/>
    </row>
    <row r="2" spans="1:55" ht="15" customHeight="1" thickBot="1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192"/>
      <c r="M2" s="4"/>
      <c r="N2" s="4"/>
      <c r="O2" s="4"/>
      <c r="P2" s="4"/>
      <c r="Q2" s="4"/>
      <c r="R2" s="4"/>
      <c r="S2" s="8"/>
      <c r="T2" s="8"/>
      <c r="U2" s="8"/>
      <c r="V2" s="8"/>
      <c r="X2" s="8"/>
      <c r="Y2" s="8"/>
      <c r="Z2" s="8"/>
      <c r="AA2" s="8"/>
      <c r="AB2" s="8"/>
      <c r="AC2" s="8"/>
      <c r="AD2" s="8"/>
      <c r="AE2" s="8"/>
    </row>
    <row r="3" spans="1:55" ht="15" customHeight="1" x14ac:dyDescent="0.2">
      <c r="A3" s="31"/>
      <c r="B3" s="28"/>
      <c r="C3" s="28"/>
      <c r="D3" s="28"/>
      <c r="E3" s="28"/>
      <c r="F3" s="13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2"/>
      <c r="T3" s="22"/>
      <c r="U3" s="22"/>
      <c r="V3" s="23"/>
      <c r="X3" s="8"/>
      <c r="Y3" s="8"/>
      <c r="Z3" s="8"/>
      <c r="AA3" s="8"/>
      <c r="AB3" s="8"/>
      <c r="AC3" s="8"/>
      <c r="AD3" s="8"/>
      <c r="AE3" s="8"/>
    </row>
    <row r="4" spans="1:55" ht="30" customHeight="1" x14ac:dyDescent="0.25">
      <c r="A4" s="30"/>
      <c r="B4" s="1"/>
      <c r="C4" s="1"/>
      <c r="D4" s="1"/>
      <c r="E4" s="3"/>
      <c r="F4" s="63" t="s">
        <v>210</v>
      </c>
      <c r="G4" s="1"/>
      <c r="H4" s="1"/>
      <c r="I4" s="3"/>
      <c r="J4" s="3"/>
      <c r="K4" s="3"/>
      <c r="L4" s="3"/>
      <c r="M4" s="3"/>
      <c r="N4" s="3"/>
      <c r="O4" s="3"/>
      <c r="P4" s="3"/>
      <c r="Q4" s="3"/>
      <c r="R4" s="3"/>
      <c r="S4" s="1"/>
      <c r="T4" s="1"/>
      <c r="U4" s="1"/>
      <c r="V4" s="2"/>
      <c r="X4" s="5"/>
      <c r="Y4" s="5"/>
      <c r="Z4" s="5"/>
      <c r="AA4" s="5"/>
      <c r="AB4" s="5"/>
      <c r="AC4" s="5"/>
      <c r="AD4" s="5"/>
      <c r="AE4" s="5"/>
    </row>
    <row r="5" spans="1:55" ht="15" customHeight="1" x14ac:dyDescent="0.2">
      <c r="A5" s="32"/>
      <c r="B5" s="33"/>
      <c r="C5" s="33"/>
      <c r="D5" s="12"/>
      <c r="E5" s="3"/>
      <c r="F5" s="10" t="s">
        <v>129</v>
      </c>
      <c r="G5" s="1"/>
      <c r="H5" s="1"/>
      <c r="I5" s="3"/>
      <c r="J5" s="3"/>
      <c r="K5" s="3"/>
      <c r="L5" s="3"/>
      <c r="M5" s="3"/>
      <c r="N5" s="3"/>
      <c r="O5" s="3"/>
      <c r="P5" s="3"/>
      <c r="Q5" s="3"/>
      <c r="R5" s="3"/>
      <c r="S5" s="12"/>
      <c r="T5" s="12"/>
      <c r="U5" s="12"/>
      <c r="V5" s="14"/>
      <c r="X5" s="8"/>
      <c r="Y5" s="8"/>
      <c r="Z5" s="8"/>
      <c r="AA5" s="8"/>
      <c r="AB5" s="8"/>
      <c r="AC5" s="8"/>
      <c r="AD5" s="8"/>
      <c r="AE5" s="8"/>
      <c r="AJ5" s="193" t="s">
        <v>184</v>
      </c>
      <c r="AK5" s="194">
        <f>'V Calc'!B1</f>
        <v>500</v>
      </c>
      <c r="AL5" s="124"/>
    </row>
    <row r="6" spans="1:55" ht="15" customHeight="1" x14ac:dyDescent="0.2">
      <c r="A6" s="32"/>
      <c r="B6" s="33"/>
      <c r="C6" s="33"/>
      <c r="D6" s="12"/>
      <c r="E6" s="3"/>
      <c r="F6" s="10" t="s">
        <v>132</v>
      </c>
      <c r="G6" s="1"/>
      <c r="H6" s="1"/>
      <c r="I6" s="3"/>
      <c r="J6" s="3"/>
      <c r="K6" s="3"/>
      <c r="L6" s="3"/>
      <c r="M6" s="3"/>
      <c r="N6" s="3"/>
      <c r="O6" s="3"/>
      <c r="P6" s="3"/>
      <c r="Q6" s="3"/>
      <c r="R6" s="3"/>
      <c r="S6" s="12"/>
      <c r="T6" s="12"/>
      <c r="U6" s="12"/>
      <c r="V6" s="14"/>
      <c r="X6" s="8"/>
      <c r="Y6" s="8"/>
      <c r="Z6" s="8"/>
      <c r="AA6" s="8"/>
      <c r="AB6" s="8"/>
      <c r="AC6" s="8"/>
      <c r="AD6" s="8"/>
      <c r="AE6" s="8"/>
      <c r="AJ6" s="193" t="s">
        <v>185</v>
      </c>
      <c r="AK6" s="194">
        <f>'V Calc'!B2</f>
        <v>100</v>
      </c>
      <c r="AL6" s="124"/>
    </row>
    <row r="7" spans="1:55" ht="15" customHeight="1" x14ac:dyDescent="0.2">
      <c r="A7" s="32"/>
      <c r="B7" s="33"/>
      <c r="C7" s="33"/>
      <c r="D7" s="12"/>
      <c r="E7" s="3"/>
      <c r="F7" s="10" t="s">
        <v>130</v>
      </c>
      <c r="G7" s="1"/>
      <c r="H7" s="1"/>
      <c r="I7" s="3"/>
      <c r="J7" s="3"/>
      <c r="K7" s="3"/>
      <c r="L7" s="3"/>
      <c r="M7" s="3"/>
      <c r="N7" s="3"/>
      <c r="O7" s="3"/>
      <c r="P7" s="3"/>
      <c r="Q7" s="3"/>
      <c r="R7" s="3"/>
      <c r="S7" s="12"/>
      <c r="T7" s="12"/>
      <c r="U7" s="12"/>
      <c r="V7" s="14"/>
      <c r="X7" s="8"/>
      <c r="Y7" s="8"/>
      <c r="Z7" s="8"/>
      <c r="AA7" s="8"/>
      <c r="AB7" s="8"/>
      <c r="AC7" s="8"/>
      <c r="AD7" s="8"/>
      <c r="AE7" s="8"/>
      <c r="AJ7" s="193" t="s">
        <v>186</v>
      </c>
      <c r="AK7" s="195">
        <f>'V Calc'!B3</f>
        <v>2</v>
      </c>
      <c r="AL7" s="124"/>
    </row>
    <row r="8" spans="1:55" ht="15" customHeight="1" x14ac:dyDescent="0.2">
      <c r="A8" s="32"/>
      <c r="B8" s="33"/>
      <c r="C8" s="33"/>
      <c r="D8" s="12"/>
      <c r="E8" s="3"/>
      <c r="F8" s="10" t="s">
        <v>131</v>
      </c>
      <c r="G8" s="62"/>
      <c r="H8" s="62"/>
      <c r="I8" s="3"/>
      <c r="J8" s="3"/>
      <c r="K8" s="3"/>
      <c r="L8" s="3"/>
      <c r="M8" s="3"/>
      <c r="N8" s="3"/>
      <c r="O8" s="3"/>
      <c r="P8" s="3"/>
      <c r="Q8" s="3"/>
      <c r="R8" s="3"/>
      <c r="S8" s="12"/>
      <c r="T8" s="12"/>
      <c r="U8" s="12"/>
      <c r="V8" s="14"/>
      <c r="X8" s="8"/>
      <c r="Y8" s="8"/>
      <c r="Z8" s="8"/>
      <c r="AA8" s="8"/>
      <c r="AB8" s="8"/>
      <c r="AC8" s="8"/>
      <c r="AD8" s="8"/>
      <c r="AE8" s="8"/>
      <c r="AJ8" s="193" t="s">
        <v>187</v>
      </c>
      <c r="AK8" s="195">
        <f>'V Calc'!B4</f>
        <v>0.875</v>
      </c>
      <c r="AL8" s="124"/>
    </row>
    <row r="9" spans="1:55" ht="15" customHeight="1" thickBot="1" x14ac:dyDescent="0.25">
      <c r="A9" s="34"/>
      <c r="B9" s="29"/>
      <c r="C9" s="29"/>
      <c r="D9" s="29"/>
      <c r="E9" s="29"/>
      <c r="F9" s="15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16"/>
      <c r="T9" s="16"/>
      <c r="U9" s="16"/>
      <c r="V9" s="17"/>
      <c r="X9" s="8"/>
      <c r="Y9" s="8"/>
      <c r="Z9" s="8"/>
      <c r="AA9" s="8"/>
      <c r="AB9" s="8"/>
      <c r="AC9" s="8"/>
      <c r="AD9" s="8"/>
      <c r="AE9" s="8"/>
      <c r="AJ9" s="196" t="s">
        <v>188</v>
      </c>
      <c r="AK9" s="197">
        <f>'V Calc'!B5</f>
        <v>158.47</v>
      </c>
      <c r="AL9" s="198"/>
    </row>
    <row r="10" spans="1:55" s="9" customFormat="1" ht="30" customHeight="1" x14ac:dyDescent="0.2">
      <c r="A10" s="513" t="s">
        <v>20</v>
      </c>
      <c r="B10" s="514"/>
      <c r="C10" s="514"/>
      <c r="D10" s="514"/>
      <c r="E10" s="514"/>
      <c r="F10" s="514"/>
      <c r="G10" s="514"/>
      <c r="H10" s="514"/>
      <c r="I10" s="514"/>
      <c r="J10" s="514"/>
      <c r="K10" s="514"/>
      <c r="L10" s="514"/>
      <c r="M10" s="514"/>
      <c r="N10" s="514"/>
      <c r="O10" s="514"/>
      <c r="P10" s="514"/>
      <c r="Q10" s="514"/>
      <c r="R10" s="514"/>
      <c r="S10" s="514"/>
      <c r="T10" s="514"/>
      <c r="U10" s="514"/>
      <c r="V10" s="515"/>
      <c r="X10" s="96"/>
      <c r="Y10" s="96"/>
      <c r="Z10" s="96"/>
      <c r="AA10" s="96"/>
      <c r="AB10" s="96"/>
      <c r="AC10" s="96"/>
      <c r="AJ10" s="193" t="s">
        <v>189</v>
      </c>
      <c r="AK10" s="199">
        <f>'V Calc'!B6</f>
        <v>0.63607464142166403</v>
      </c>
      <c r="AL10" s="198" t="s">
        <v>190</v>
      </c>
    </row>
    <row r="11" spans="1:55" s="9" customFormat="1" ht="20.100000000000001" customHeight="1" thickBot="1" x14ac:dyDescent="0.25">
      <c r="A11" s="516" t="s">
        <v>21</v>
      </c>
      <c r="B11" s="517"/>
      <c r="C11" s="517"/>
      <c r="D11" s="517"/>
      <c r="E11" s="517"/>
      <c r="F11" s="517"/>
      <c r="G11" s="517"/>
      <c r="H11" s="517"/>
      <c r="I11" s="517"/>
      <c r="J11" s="517"/>
      <c r="K11" s="517"/>
      <c r="L11" s="517"/>
      <c r="M11" s="517"/>
      <c r="N11" s="517"/>
      <c r="O11" s="517"/>
      <c r="P11" s="517"/>
      <c r="Q11" s="517"/>
      <c r="R11" s="517"/>
      <c r="S11" s="517"/>
      <c r="T11" s="517"/>
      <c r="U11" s="517"/>
      <c r="V11" s="518"/>
      <c r="X11" s="97"/>
      <c r="Y11" s="97"/>
      <c r="Z11" s="97"/>
      <c r="AA11" s="97"/>
      <c r="AB11" s="97"/>
      <c r="AC11" s="97"/>
    </row>
    <row r="12" spans="1:55" s="6" customFormat="1" ht="30" customHeight="1" thickBot="1" x14ac:dyDescent="0.3">
      <c r="A12" s="18"/>
      <c r="B12" s="20"/>
      <c r="C12" s="20"/>
      <c r="D12" s="19" t="s">
        <v>121</v>
      </c>
      <c r="E12" s="200" t="str">
        <f>'Day 28'!E12</f>
        <v>MPR 632  RFD</v>
      </c>
      <c r="F12" s="35"/>
      <c r="G12" s="19" t="s">
        <v>120</v>
      </c>
      <c r="H12" s="200" t="str">
        <f>IF(Volume!C$32="","",Volume!C$32)</f>
        <v>FP 65354</v>
      </c>
      <c r="I12" s="20"/>
      <c r="J12" s="19" t="s">
        <v>17</v>
      </c>
      <c r="K12" s="505">
        <f>'Day 28'!K12+1</f>
        <v>45837</v>
      </c>
      <c r="L12" s="505"/>
      <c r="M12" s="100"/>
      <c r="N12" s="19" t="s">
        <v>119</v>
      </c>
      <c r="O12" s="200" t="str">
        <f>IF(Volume!D$32="","",Volume!D$32)</f>
        <v>SP. Tambun - Cluster F</v>
      </c>
      <c r="P12" s="20"/>
      <c r="Q12" s="19" t="s">
        <v>122</v>
      </c>
      <c r="S12" s="201">
        <f>IF(Volume!E$32="","",Volume!E$32)</f>
        <v>1.25</v>
      </c>
      <c r="T12" s="20"/>
      <c r="U12" s="19" t="s">
        <v>126</v>
      </c>
      <c r="V12" s="202" t="str">
        <f>IF(Volume!F$32="","",Volume!F$32)</f>
        <v>4/0</v>
      </c>
    </row>
    <row r="13" spans="1:55" ht="30" customHeight="1" thickBot="1" x14ac:dyDescent="0.3">
      <c r="A13" s="502" t="s">
        <v>0</v>
      </c>
      <c r="B13" s="502" t="s">
        <v>213</v>
      </c>
      <c r="C13" s="502" t="s">
        <v>212</v>
      </c>
      <c r="D13" s="502" t="s">
        <v>31</v>
      </c>
      <c r="E13" s="502" t="s">
        <v>32</v>
      </c>
      <c r="F13" s="502" t="s">
        <v>2</v>
      </c>
      <c r="G13" s="502" t="s">
        <v>33</v>
      </c>
      <c r="H13" s="502" t="s">
        <v>35</v>
      </c>
      <c r="I13" s="502" t="s">
        <v>36</v>
      </c>
      <c r="J13" s="502" t="s">
        <v>110</v>
      </c>
      <c r="K13" s="502" t="s">
        <v>15</v>
      </c>
      <c r="L13" s="502" t="s">
        <v>34</v>
      </c>
      <c r="M13" s="502" t="s">
        <v>10</v>
      </c>
      <c r="N13" s="502"/>
      <c r="O13" s="506" t="s">
        <v>300</v>
      </c>
      <c r="P13" s="506" t="s">
        <v>299</v>
      </c>
      <c r="Q13" s="502" t="s">
        <v>7</v>
      </c>
      <c r="R13" s="502" t="s">
        <v>88</v>
      </c>
      <c r="S13" s="502" t="s">
        <v>8</v>
      </c>
      <c r="T13" s="502"/>
      <c r="U13" s="502"/>
      <c r="V13" s="502"/>
      <c r="X13" s="98"/>
      <c r="Y13" s="98"/>
      <c r="Z13" s="98"/>
      <c r="AA13" s="98"/>
      <c r="AB13" s="98"/>
      <c r="AC13" s="98"/>
    </row>
    <row r="14" spans="1:55" ht="30" customHeight="1" x14ac:dyDescent="0.25">
      <c r="A14" s="504"/>
      <c r="B14" s="504"/>
      <c r="C14" s="504"/>
      <c r="D14" s="504"/>
      <c r="E14" s="504"/>
      <c r="F14" s="504"/>
      <c r="G14" s="504"/>
      <c r="H14" s="504"/>
      <c r="I14" s="504"/>
      <c r="J14" s="504"/>
      <c r="K14" s="504"/>
      <c r="L14" s="504"/>
      <c r="M14" s="94" t="s">
        <v>3</v>
      </c>
      <c r="N14" s="94" t="s">
        <v>4</v>
      </c>
      <c r="O14" s="507"/>
      <c r="P14" s="507"/>
      <c r="Q14" s="504"/>
      <c r="R14" s="504"/>
      <c r="S14" s="504"/>
      <c r="T14" s="504"/>
      <c r="U14" s="504"/>
      <c r="V14" s="504"/>
      <c r="Y14" s="502" t="s">
        <v>230</v>
      </c>
      <c r="Z14" s="502"/>
      <c r="AA14" s="502"/>
      <c r="AB14" s="502"/>
      <c r="AC14" s="502"/>
      <c r="AD14" s="502" t="s">
        <v>231</v>
      </c>
      <c r="AH14" s="203" t="s">
        <v>232</v>
      </c>
      <c r="AJ14" s="520" t="s">
        <v>191</v>
      </c>
      <c r="AK14" s="520" t="s">
        <v>192</v>
      </c>
      <c r="AL14" s="520" t="s">
        <v>193</v>
      </c>
      <c r="AM14" s="520" t="s">
        <v>194</v>
      </c>
      <c r="AN14" s="520" t="s">
        <v>195</v>
      </c>
      <c r="AO14" s="506" t="s">
        <v>196</v>
      </c>
      <c r="AP14" s="506" t="s">
        <v>197</v>
      </c>
      <c r="AQ14" s="506" t="s">
        <v>198</v>
      </c>
      <c r="AR14" s="506" t="s">
        <v>188</v>
      </c>
      <c r="AS14" s="506" t="s">
        <v>199</v>
      </c>
      <c r="AT14" s="506" t="s">
        <v>200</v>
      </c>
      <c r="AU14" s="506" t="s">
        <v>201</v>
      </c>
      <c r="AV14" s="506" t="s">
        <v>202</v>
      </c>
      <c r="AW14" s="506" t="s">
        <v>203</v>
      </c>
      <c r="AX14" s="506" t="s">
        <v>204</v>
      </c>
      <c r="AY14" s="523" t="s">
        <v>205</v>
      </c>
      <c r="AZ14" s="523" t="s">
        <v>206</v>
      </c>
      <c r="BA14" s="523" t="s">
        <v>207</v>
      </c>
      <c r="BB14" s="523" t="s">
        <v>208</v>
      </c>
      <c r="BC14" s="506" t="s">
        <v>197</v>
      </c>
    </row>
    <row r="15" spans="1:55" ht="20.100000000000001" customHeight="1" thickBot="1" x14ac:dyDescent="0.3">
      <c r="A15" s="503"/>
      <c r="B15" s="95" t="s">
        <v>1</v>
      </c>
      <c r="C15" s="95" t="s">
        <v>1</v>
      </c>
      <c r="D15" s="95" t="s">
        <v>1</v>
      </c>
      <c r="E15" s="95" t="s">
        <v>1</v>
      </c>
      <c r="F15" s="95" t="s">
        <v>140</v>
      </c>
      <c r="G15" s="95" t="s">
        <v>1</v>
      </c>
      <c r="H15" s="95" t="s">
        <v>1</v>
      </c>
      <c r="I15" s="95" t="s">
        <v>1</v>
      </c>
      <c r="J15" s="95" t="s">
        <v>18</v>
      </c>
      <c r="K15" s="95" t="s">
        <v>9</v>
      </c>
      <c r="L15" s="95" t="s">
        <v>5</v>
      </c>
      <c r="M15" s="95" t="s">
        <v>5</v>
      </c>
      <c r="N15" s="95" t="s">
        <v>5</v>
      </c>
      <c r="O15" s="95" t="s">
        <v>1</v>
      </c>
      <c r="P15" s="95" t="s">
        <v>14</v>
      </c>
      <c r="Q15" s="95" t="str">
        <f>IF(MR!G17="MSCF","MSCFD","MMSCFD")</f>
        <v>MSCFD</v>
      </c>
      <c r="R15" s="95" t="str">
        <f>MR!L17</f>
        <v>BPD</v>
      </c>
      <c r="S15" s="503"/>
      <c r="T15" s="503"/>
      <c r="U15" s="503"/>
      <c r="V15" s="503"/>
      <c r="X15" s="365"/>
      <c r="Y15" s="95" t="s">
        <v>123</v>
      </c>
      <c r="Z15" s="95" t="s">
        <v>124</v>
      </c>
      <c r="AA15" s="95" t="s">
        <v>125</v>
      </c>
      <c r="AB15" s="95" t="s">
        <v>51</v>
      </c>
      <c r="AC15" s="95" t="s">
        <v>48</v>
      </c>
      <c r="AD15" s="503"/>
      <c r="AH15" s="204" t="s">
        <v>228</v>
      </c>
      <c r="AJ15" s="521"/>
      <c r="AK15" s="521"/>
      <c r="AL15" s="521"/>
      <c r="AM15" s="521"/>
      <c r="AN15" s="521"/>
      <c r="AO15" s="522"/>
      <c r="AP15" s="522"/>
      <c r="AQ15" s="522"/>
      <c r="AR15" s="522"/>
      <c r="AS15" s="522"/>
      <c r="AT15" s="522"/>
      <c r="AU15" s="522"/>
      <c r="AV15" s="522"/>
      <c r="AW15" s="522"/>
      <c r="AX15" s="522"/>
      <c r="AY15" s="524"/>
      <c r="AZ15" s="524"/>
      <c r="BA15" s="524"/>
      <c r="BB15" s="524"/>
      <c r="BC15" s="522"/>
    </row>
    <row r="16" spans="1:55" ht="20.100000000000001" customHeight="1" x14ac:dyDescent="0.2">
      <c r="A16" s="44">
        <v>4.1666666666666664E-2</v>
      </c>
      <c r="B16" s="450"/>
      <c r="C16" s="450"/>
      <c r="D16" s="450">
        <v>5.9</v>
      </c>
      <c r="E16" s="450">
        <v>59.3</v>
      </c>
      <c r="F16" s="40">
        <v>1955</v>
      </c>
      <c r="G16" s="36">
        <v>-5.6</v>
      </c>
      <c r="H16" s="36">
        <v>72.599999999999994</v>
      </c>
      <c r="I16" s="36">
        <v>23.1</v>
      </c>
      <c r="J16" s="40">
        <v>750</v>
      </c>
      <c r="K16" s="36">
        <v>13</v>
      </c>
      <c r="L16" s="450">
        <v>135</v>
      </c>
      <c r="M16" s="450">
        <v>224</v>
      </c>
      <c r="N16" s="450">
        <v>90</v>
      </c>
      <c r="O16" s="352">
        <v>40</v>
      </c>
      <c r="P16" s="352">
        <v>13</v>
      </c>
      <c r="Q16" s="352">
        <v>237.53</v>
      </c>
      <c r="R16" s="36"/>
      <c r="S16" s="519" t="str">
        <f t="shared" ref="S16:S32" si="0">IF(Z16="",IF(AD16="","",AD16),CONCATENATE(TEXT(Z16,"[hh]:mm"),IF(AA16="",""," - "&amp;TEXT(AA16,"[hh]:mm")),IF(Y16="",""," "&amp;Y16&amp;"/")," "&amp;AD16))</f>
        <v/>
      </c>
      <c r="T16" s="519"/>
      <c r="U16" s="519"/>
      <c r="V16" s="519"/>
      <c r="X16" s="44">
        <v>4.1666666666666664E-2</v>
      </c>
      <c r="Y16" s="105"/>
      <c r="Z16" s="101"/>
      <c r="AA16" s="101"/>
      <c r="AB16" s="44" t="str">
        <f>IF(Y16="STBY",AA16-Z16,"")</f>
        <v/>
      </c>
      <c r="AC16" s="44" t="str">
        <f t="shared" ref="AC16:AC39" si="1">IF(Y16="SD",AA16-Z16,"")</f>
        <v/>
      </c>
      <c r="AD16" s="355"/>
      <c r="AE16" s="9" t="str">
        <f>IF(S16="","",IF(COUNTA(Z16:$Z$39)=1,IF(COUNTA(AD16:$AD$39)=1,""," ; "),IF(COUNTA(AD16:$AD$39)=1,IF(Z16="",""," ; ")," ; ")))</f>
        <v/>
      </c>
      <c r="AF16" s="9" t="str">
        <f t="shared" ref="AF16:AF39" si="2">CONCATENATE(S16,AE16)</f>
        <v/>
      </c>
      <c r="AG16" s="90" t="str">
        <f t="shared" ref="AG16:AG39" si="3">IF(AND(COUNTBLANK(N16:P16)&lt;3,Q16=""),"CEK : Data Flowrate","")</f>
        <v/>
      </c>
      <c r="AH16" s="204" t="s">
        <v>229</v>
      </c>
      <c r="AJ16" s="205">
        <f>AK5</f>
        <v>500</v>
      </c>
      <c r="AK16" s="205">
        <f>AK6</f>
        <v>100</v>
      </c>
      <c r="AL16" s="206">
        <f>AK7</f>
        <v>2</v>
      </c>
      <c r="AM16" s="207">
        <f>AK8</f>
        <v>0.875</v>
      </c>
      <c r="AN16" s="208">
        <f>AK10</f>
        <v>0.63607464142166403</v>
      </c>
      <c r="AO16" s="209">
        <f t="shared" ref="AO16:AO39" si="4">T16^2*AJ16/100-14.7</f>
        <v>-14.7</v>
      </c>
      <c r="AP16" s="210">
        <f t="shared" ref="AP16:AP39" si="5">IF(AO16&lt;100,1,BC16)</f>
        <v>1</v>
      </c>
      <c r="AQ16" s="210">
        <f t="shared" ref="AQ16:AQ39" si="6">(1/AP16)^0.5</f>
        <v>1</v>
      </c>
      <c r="AR16" s="52">
        <f>AK9</f>
        <v>158.47</v>
      </c>
      <c r="AS16" s="210">
        <f t="shared" ref="AS16:AS39" si="7">(520/(460+N16))^0.5</f>
        <v>0.9723448696087954</v>
      </c>
      <c r="AT16" s="210">
        <f t="shared" ref="AT16:AT39" si="8">(1/AN16)^0.5</f>
        <v>1.2538510821608391</v>
      </c>
      <c r="AU16" s="210">
        <f t="shared" ref="AU16:AU39" si="9">0.01*(AJ16*AK16)^0.5</f>
        <v>2.2360679774997898</v>
      </c>
      <c r="AV16" s="211">
        <f t="shared" ref="AV16:AV39" si="10">0.024*AQ16*AR16*AS16*AT16*AU16</f>
        <v>10.368348541764712</v>
      </c>
      <c r="AW16" s="210">
        <f t="shared" ref="AW16:AW39" si="11">(AO16+14.7)/(697.2-43*AN16)</f>
        <v>0</v>
      </c>
      <c r="AX16" s="212">
        <f t="shared" ref="AX16:AX39" si="12">(N16+460)/(315.1*AN16+170.4)</f>
        <v>1.4831709199797398</v>
      </c>
      <c r="AY16" s="210">
        <f t="shared" ref="AY16:AY39" si="13">0.3379*LN(LN(AX16))+1.091</f>
        <v>0.77643477842613629</v>
      </c>
      <c r="AZ16" s="211">
        <f t="shared" ref="AZ16:AZ39" si="14">21.46*AY16-11.9*AY16^2-5.9</f>
        <v>3.5883638597441294</v>
      </c>
      <c r="BA16" s="210">
        <f t="shared" ref="BA16:BA39" si="15">AW16/AZ16</f>
        <v>0</v>
      </c>
      <c r="BB16" s="210">
        <f t="shared" ref="BB16:BB39" si="16">(1.1+0.26*AX16+(1.04-1.42*AX16)*BA16)*2.718^BA16/AX16</f>
        <v>1.0016542390239327</v>
      </c>
      <c r="BC16" s="210">
        <f t="shared" ref="BC16:BC39" si="17">1+(AY16-1)*SIN((90*BA16)/57.29578)^BB16</f>
        <v>1</v>
      </c>
    </row>
    <row r="17" spans="1:55" ht="20.100000000000001" customHeight="1" x14ac:dyDescent="0.2">
      <c r="A17" s="45">
        <v>8.3333333333333301E-2</v>
      </c>
      <c r="B17" s="451"/>
      <c r="C17" s="451"/>
      <c r="D17" s="451">
        <v>5.5</v>
      </c>
      <c r="E17" s="451">
        <v>59.6</v>
      </c>
      <c r="F17" s="41">
        <v>1956</v>
      </c>
      <c r="G17" s="37">
        <v>-5.6</v>
      </c>
      <c r="H17" s="37">
        <v>72.3</v>
      </c>
      <c r="I17" s="37">
        <v>23.5</v>
      </c>
      <c r="J17" s="41">
        <v>751</v>
      </c>
      <c r="K17" s="37">
        <v>13</v>
      </c>
      <c r="L17" s="451">
        <v>133</v>
      </c>
      <c r="M17" s="451">
        <v>222</v>
      </c>
      <c r="N17" s="451">
        <v>90</v>
      </c>
      <c r="O17" s="353">
        <v>40</v>
      </c>
      <c r="P17" s="353">
        <v>13</v>
      </c>
      <c r="Q17" s="353">
        <v>237.53</v>
      </c>
      <c r="R17" s="37"/>
      <c r="S17" s="508" t="str">
        <f t="shared" si="0"/>
        <v/>
      </c>
      <c r="T17" s="508"/>
      <c r="U17" s="508"/>
      <c r="V17" s="508"/>
      <c r="X17" s="45">
        <v>8.3333333333333301E-2</v>
      </c>
      <c r="Y17" s="106"/>
      <c r="Z17" s="102"/>
      <c r="AA17" s="102"/>
      <c r="AB17" s="45" t="str">
        <f t="shared" ref="AB17:AB39" si="18">IF(Y17="STBY",AA17-Z17,"")</f>
        <v/>
      </c>
      <c r="AC17" s="45" t="str">
        <f t="shared" si="1"/>
        <v/>
      </c>
      <c r="AD17" s="81"/>
      <c r="AE17" s="9" t="str">
        <f>IF(S17="","",IF(COUNTA(Z17:$Z$39)=1,IF(COUNTA(AD17:$AD$39)=1,""," ; "),IF(COUNTA(AD17:$AD$39)=1,IF(Z17="",""," ; ")," ; ")))</f>
        <v/>
      </c>
      <c r="AF17" s="9" t="str">
        <f t="shared" si="2"/>
        <v/>
      </c>
      <c r="AG17" s="90" t="str">
        <f t="shared" si="3"/>
        <v/>
      </c>
      <c r="AH17" s="204" t="s">
        <v>289</v>
      </c>
      <c r="AJ17" s="206">
        <f t="shared" ref="AJ17:AN32" si="19">AJ16</f>
        <v>500</v>
      </c>
      <c r="AK17" s="206">
        <f t="shared" si="19"/>
        <v>100</v>
      </c>
      <c r="AL17" s="206">
        <f>AL16</f>
        <v>2</v>
      </c>
      <c r="AM17" s="213">
        <f>AM16</f>
        <v>0.875</v>
      </c>
      <c r="AN17" s="214">
        <f>AN16</f>
        <v>0.63607464142166403</v>
      </c>
      <c r="AO17" s="215">
        <f t="shared" si="4"/>
        <v>-14.7</v>
      </c>
      <c r="AP17" s="216">
        <f t="shared" si="5"/>
        <v>1</v>
      </c>
      <c r="AQ17" s="216">
        <f t="shared" si="6"/>
        <v>1</v>
      </c>
      <c r="AR17" s="215">
        <f>AR16</f>
        <v>158.47</v>
      </c>
      <c r="AS17" s="216">
        <f t="shared" si="7"/>
        <v>0.9723448696087954</v>
      </c>
      <c r="AT17" s="216">
        <f t="shared" si="8"/>
        <v>1.2538510821608391</v>
      </c>
      <c r="AU17" s="216">
        <f t="shared" si="9"/>
        <v>2.2360679774997898</v>
      </c>
      <c r="AV17" s="217">
        <f t="shared" si="10"/>
        <v>10.368348541764712</v>
      </c>
      <c r="AW17" s="216">
        <f t="shared" si="11"/>
        <v>0</v>
      </c>
      <c r="AX17" s="218">
        <f t="shared" si="12"/>
        <v>1.4831709199797398</v>
      </c>
      <c r="AY17" s="216">
        <f t="shared" si="13"/>
        <v>0.77643477842613629</v>
      </c>
      <c r="AZ17" s="217">
        <f t="shared" si="14"/>
        <v>3.5883638597441294</v>
      </c>
      <c r="BA17" s="216">
        <f t="shared" si="15"/>
        <v>0</v>
      </c>
      <c r="BB17" s="216">
        <f t="shared" si="16"/>
        <v>1.0016542390239327</v>
      </c>
      <c r="BC17" s="216">
        <f t="shared" si="17"/>
        <v>1</v>
      </c>
    </row>
    <row r="18" spans="1:55" ht="20.100000000000001" customHeight="1" x14ac:dyDescent="0.2">
      <c r="A18" s="45">
        <v>0.125</v>
      </c>
      <c r="B18" s="451"/>
      <c r="C18" s="451"/>
      <c r="D18" s="451">
        <v>6.8</v>
      </c>
      <c r="E18" s="451">
        <v>61.5</v>
      </c>
      <c r="F18" s="41">
        <v>1930</v>
      </c>
      <c r="G18" s="37">
        <v>-5.6</v>
      </c>
      <c r="H18" s="37">
        <v>72.900000000000006</v>
      </c>
      <c r="I18" s="37">
        <v>23.3</v>
      </c>
      <c r="J18" s="41">
        <v>752</v>
      </c>
      <c r="K18" s="37">
        <v>13</v>
      </c>
      <c r="L18" s="451">
        <v>133</v>
      </c>
      <c r="M18" s="451">
        <v>222</v>
      </c>
      <c r="N18" s="451">
        <v>90</v>
      </c>
      <c r="O18" s="353">
        <v>40</v>
      </c>
      <c r="P18" s="353">
        <v>14</v>
      </c>
      <c r="Q18" s="353">
        <v>246.42</v>
      </c>
      <c r="R18" s="37"/>
      <c r="S18" s="508" t="str">
        <f t="shared" si="0"/>
        <v/>
      </c>
      <c r="T18" s="508"/>
      <c r="U18" s="508"/>
      <c r="V18" s="508"/>
      <c r="X18" s="45">
        <v>0.125</v>
      </c>
      <c r="Y18" s="106"/>
      <c r="Z18" s="102"/>
      <c r="AA18" s="102"/>
      <c r="AB18" s="45" t="str">
        <f t="shared" si="18"/>
        <v/>
      </c>
      <c r="AC18" s="45" t="str">
        <f t="shared" si="1"/>
        <v/>
      </c>
      <c r="AD18" s="81"/>
      <c r="AE18" s="9" t="str">
        <f>IF(S18="","",IF(COUNTA(Z18:$Z$39)=1,IF(COUNTA(AD18:$AD$39)=1,""," ; "),IF(COUNTA(AD18:$AD$39)=1,IF(Z18="",""," ; ")," ; ")))</f>
        <v/>
      </c>
      <c r="AF18" s="9" t="str">
        <f t="shared" si="2"/>
        <v/>
      </c>
      <c r="AG18" s="90" t="str">
        <f t="shared" si="3"/>
        <v/>
      </c>
      <c r="AH18" s="204" t="s">
        <v>321</v>
      </c>
      <c r="AJ18" s="206">
        <f t="shared" si="19"/>
        <v>500</v>
      </c>
      <c r="AK18" s="206">
        <f t="shared" si="19"/>
        <v>100</v>
      </c>
      <c r="AL18" s="206">
        <f t="shared" si="19"/>
        <v>2</v>
      </c>
      <c r="AM18" s="213">
        <f t="shared" si="19"/>
        <v>0.875</v>
      </c>
      <c r="AN18" s="214">
        <f t="shared" si="19"/>
        <v>0.63607464142166403</v>
      </c>
      <c r="AO18" s="215">
        <f t="shared" si="4"/>
        <v>-14.7</v>
      </c>
      <c r="AP18" s="216">
        <f t="shared" si="5"/>
        <v>1</v>
      </c>
      <c r="AQ18" s="216">
        <f t="shared" si="6"/>
        <v>1</v>
      </c>
      <c r="AR18" s="215">
        <f t="shared" ref="AR18:AR39" si="20">AR17</f>
        <v>158.47</v>
      </c>
      <c r="AS18" s="216">
        <f t="shared" si="7"/>
        <v>0.9723448696087954</v>
      </c>
      <c r="AT18" s="216">
        <f t="shared" si="8"/>
        <v>1.2538510821608391</v>
      </c>
      <c r="AU18" s="216">
        <f t="shared" si="9"/>
        <v>2.2360679774997898</v>
      </c>
      <c r="AV18" s="217">
        <f t="shared" si="10"/>
        <v>10.368348541764712</v>
      </c>
      <c r="AW18" s="216">
        <f t="shared" si="11"/>
        <v>0</v>
      </c>
      <c r="AX18" s="218">
        <f t="shared" si="12"/>
        <v>1.4831709199797398</v>
      </c>
      <c r="AY18" s="216">
        <f t="shared" si="13"/>
        <v>0.77643477842613629</v>
      </c>
      <c r="AZ18" s="217">
        <f t="shared" si="14"/>
        <v>3.5883638597441294</v>
      </c>
      <c r="BA18" s="216">
        <f t="shared" si="15"/>
        <v>0</v>
      </c>
      <c r="BB18" s="216">
        <f t="shared" si="16"/>
        <v>1.0016542390239327</v>
      </c>
      <c r="BC18" s="216">
        <f t="shared" si="17"/>
        <v>1</v>
      </c>
    </row>
    <row r="19" spans="1:55" ht="20.100000000000001" customHeight="1" x14ac:dyDescent="0.2">
      <c r="A19" s="45">
        <v>0.16666666666666699</v>
      </c>
      <c r="B19" s="451"/>
      <c r="C19" s="451"/>
      <c r="D19" s="451">
        <v>6.3</v>
      </c>
      <c r="E19" s="451">
        <v>61.1</v>
      </c>
      <c r="F19" s="41">
        <v>1965</v>
      </c>
      <c r="G19" s="37">
        <v>-5.6</v>
      </c>
      <c r="H19" s="37">
        <v>72</v>
      </c>
      <c r="I19" s="37">
        <v>23.6</v>
      </c>
      <c r="J19" s="41">
        <v>753</v>
      </c>
      <c r="K19" s="37">
        <v>13</v>
      </c>
      <c r="L19" s="451">
        <v>130</v>
      </c>
      <c r="M19" s="451">
        <v>220</v>
      </c>
      <c r="N19" s="451">
        <v>90</v>
      </c>
      <c r="O19" s="353">
        <v>40</v>
      </c>
      <c r="P19" s="353">
        <v>14</v>
      </c>
      <c r="Q19" s="353">
        <v>246.42</v>
      </c>
      <c r="R19" s="37"/>
      <c r="S19" s="508" t="str">
        <f t="shared" si="0"/>
        <v/>
      </c>
      <c r="T19" s="508"/>
      <c r="U19" s="508"/>
      <c r="V19" s="508"/>
      <c r="X19" s="45">
        <v>0.16666666666666699</v>
      </c>
      <c r="Y19" s="106"/>
      <c r="Z19" s="102"/>
      <c r="AA19" s="102"/>
      <c r="AB19" s="45" t="str">
        <f t="shared" si="18"/>
        <v/>
      </c>
      <c r="AC19" s="45" t="str">
        <f t="shared" si="1"/>
        <v/>
      </c>
      <c r="AD19" s="81"/>
      <c r="AE19" s="9" t="str">
        <f>IF(S19="","",IF(COUNTA(Z19:$Z$39)=1,IF(COUNTA(AD19:$AD$39)=1,""," ; "),IF(COUNTA(AD19:$AD$39)=1,IF(Z19="",""," ; ")," ; ")))</f>
        <v/>
      </c>
      <c r="AF19" s="9" t="str">
        <f t="shared" si="2"/>
        <v/>
      </c>
      <c r="AG19" s="90" t="str">
        <f t="shared" si="3"/>
        <v/>
      </c>
      <c r="AH19" s="204" t="s">
        <v>272</v>
      </c>
      <c r="AJ19" s="206">
        <f t="shared" si="19"/>
        <v>500</v>
      </c>
      <c r="AK19" s="206">
        <f t="shared" si="19"/>
        <v>100</v>
      </c>
      <c r="AL19" s="206">
        <f t="shared" si="19"/>
        <v>2</v>
      </c>
      <c r="AM19" s="213">
        <f t="shared" si="19"/>
        <v>0.875</v>
      </c>
      <c r="AN19" s="214">
        <f t="shared" si="19"/>
        <v>0.63607464142166403</v>
      </c>
      <c r="AO19" s="215">
        <f t="shared" si="4"/>
        <v>-14.7</v>
      </c>
      <c r="AP19" s="216">
        <f t="shared" si="5"/>
        <v>1</v>
      </c>
      <c r="AQ19" s="216">
        <f t="shared" si="6"/>
        <v>1</v>
      </c>
      <c r="AR19" s="215">
        <f t="shared" si="20"/>
        <v>158.47</v>
      </c>
      <c r="AS19" s="216">
        <f t="shared" si="7"/>
        <v>0.9723448696087954</v>
      </c>
      <c r="AT19" s="216">
        <f t="shared" si="8"/>
        <v>1.2538510821608391</v>
      </c>
      <c r="AU19" s="216">
        <f t="shared" si="9"/>
        <v>2.2360679774997898</v>
      </c>
      <c r="AV19" s="217">
        <f t="shared" si="10"/>
        <v>10.368348541764712</v>
      </c>
      <c r="AW19" s="216">
        <f t="shared" si="11"/>
        <v>0</v>
      </c>
      <c r="AX19" s="218">
        <f t="shared" si="12"/>
        <v>1.4831709199797398</v>
      </c>
      <c r="AY19" s="216">
        <f t="shared" si="13"/>
        <v>0.77643477842613629</v>
      </c>
      <c r="AZ19" s="217">
        <f t="shared" si="14"/>
        <v>3.5883638597441294</v>
      </c>
      <c r="BA19" s="216">
        <f t="shared" si="15"/>
        <v>0</v>
      </c>
      <c r="BB19" s="216">
        <f t="shared" si="16"/>
        <v>1.0016542390239327</v>
      </c>
      <c r="BC19" s="216">
        <f t="shared" si="17"/>
        <v>1</v>
      </c>
    </row>
    <row r="20" spans="1:55" ht="20.100000000000001" customHeight="1" x14ac:dyDescent="0.2">
      <c r="A20" s="45">
        <v>0.20833333333333301</v>
      </c>
      <c r="B20" s="451"/>
      <c r="C20" s="451"/>
      <c r="D20" s="451">
        <v>6.6</v>
      </c>
      <c r="E20" s="451">
        <v>61.5</v>
      </c>
      <c r="F20" s="41">
        <v>1936</v>
      </c>
      <c r="G20" s="37">
        <v>-5.6</v>
      </c>
      <c r="H20" s="37">
        <v>72.5</v>
      </c>
      <c r="I20" s="37">
        <v>23.9</v>
      </c>
      <c r="J20" s="41">
        <v>754</v>
      </c>
      <c r="K20" s="37">
        <v>13</v>
      </c>
      <c r="L20" s="451">
        <v>130</v>
      </c>
      <c r="M20" s="451">
        <v>220</v>
      </c>
      <c r="N20" s="451">
        <v>90</v>
      </c>
      <c r="O20" s="353">
        <v>45</v>
      </c>
      <c r="P20" s="353">
        <v>12</v>
      </c>
      <c r="Q20" s="353">
        <v>238.62</v>
      </c>
      <c r="R20" s="37"/>
      <c r="S20" s="508" t="str">
        <f t="shared" si="0"/>
        <v/>
      </c>
      <c r="T20" s="508"/>
      <c r="U20" s="508"/>
      <c r="V20" s="508"/>
      <c r="X20" s="45">
        <v>0.20833333333333301</v>
      </c>
      <c r="Y20" s="106"/>
      <c r="Z20" s="102"/>
      <c r="AA20" s="102"/>
      <c r="AB20" s="45" t="str">
        <f t="shared" si="18"/>
        <v/>
      </c>
      <c r="AC20" s="45" t="str">
        <f t="shared" si="1"/>
        <v/>
      </c>
      <c r="AD20" s="81"/>
      <c r="AE20" s="9" t="str">
        <f>IF(S20="","",IF(COUNTA(Z20:$Z$39)=1,IF(COUNTA(AD20:$AD$39)=1,""," ; "),IF(COUNTA(AD20:$AD$39)=1,IF(Z20="",""," ; ")," ; ")))</f>
        <v/>
      </c>
      <c r="AF20" s="9" t="str">
        <f t="shared" si="2"/>
        <v/>
      </c>
      <c r="AG20" s="90" t="str">
        <f t="shared" si="3"/>
        <v/>
      </c>
      <c r="AH20" s="204" t="s">
        <v>275</v>
      </c>
      <c r="AJ20" s="206">
        <f t="shared" si="19"/>
        <v>500</v>
      </c>
      <c r="AK20" s="206">
        <f t="shared" si="19"/>
        <v>100</v>
      </c>
      <c r="AL20" s="206">
        <f t="shared" si="19"/>
        <v>2</v>
      </c>
      <c r="AM20" s="213">
        <f t="shared" si="19"/>
        <v>0.875</v>
      </c>
      <c r="AN20" s="214">
        <f t="shared" si="19"/>
        <v>0.63607464142166403</v>
      </c>
      <c r="AO20" s="215">
        <f t="shared" si="4"/>
        <v>-14.7</v>
      </c>
      <c r="AP20" s="216">
        <f t="shared" si="5"/>
        <v>1</v>
      </c>
      <c r="AQ20" s="216">
        <f t="shared" si="6"/>
        <v>1</v>
      </c>
      <c r="AR20" s="215">
        <f t="shared" si="20"/>
        <v>158.47</v>
      </c>
      <c r="AS20" s="216">
        <f t="shared" si="7"/>
        <v>0.9723448696087954</v>
      </c>
      <c r="AT20" s="216">
        <f t="shared" si="8"/>
        <v>1.2538510821608391</v>
      </c>
      <c r="AU20" s="216">
        <f t="shared" si="9"/>
        <v>2.2360679774997898</v>
      </c>
      <c r="AV20" s="217">
        <f t="shared" si="10"/>
        <v>10.368348541764712</v>
      </c>
      <c r="AW20" s="216">
        <f t="shared" si="11"/>
        <v>0</v>
      </c>
      <c r="AX20" s="218">
        <f t="shared" si="12"/>
        <v>1.4831709199797398</v>
      </c>
      <c r="AY20" s="216">
        <f t="shared" si="13"/>
        <v>0.77643477842613629</v>
      </c>
      <c r="AZ20" s="217">
        <f t="shared" si="14"/>
        <v>3.5883638597441294</v>
      </c>
      <c r="BA20" s="216">
        <f t="shared" si="15"/>
        <v>0</v>
      </c>
      <c r="BB20" s="216">
        <f t="shared" si="16"/>
        <v>1.0016542390239327</v>
      </c>
      <c r="BC20" s="216">
        <f t="shared" si="17"/>
        <v>1</v>
      </c>
    </row>
    <row r="21" spans="1:55" ht="20.100000000000001" customHeight="1" x14ac:dyDescent="0.2">
      <c r="A21" s="45">
        <v>0.25</v>
      </c>
      <c r="B21" s="451"/>
      <c r="C21" s="451"/>
      <c r="D21" s="451">
        <v>5.5</v>
      </c>
      <c r="E21" s="451">
        <v>58.3</v>
      </c>
      <c r="F21" s="41">
        <v>1980</v>
      </c>
      <c r="G21" s="37">
        <v>-5.6</v>
      </c>
      <c r="H21" s="37">
        <v>72.8</v>
      </c>
      <c r="I21" s="37">
        <v>23.5</v>
      </c>
      <c r="J21" s="41">
        <v>755</v>
      </c>
      <c r="K21" s="37">
        <v>13</v>
      </c>
      <c r="L21" s="451">
        <v>132</v>
      </c>
      <c r="M21" s="451">
        <v>223</v>
      </c>
      <c r="N21" s="451">
        <v>90</v>
      </c>
      <c r="O21" s="353">
        <v>45</v>
      </c>
      <c r="P21" s="353">
        <v>12</v>
      </c>
      <c r="Q21" s="353">
        <v>238.62</v>
      </c>
      <c r="R21" s="37"/>
      <c r="S21" s="508" t="str">
        <f t="shared" si="0"/>
        <v/>
      </c>
      <c r="T21" s="508"/>
      <c r="U21" s="508"/>
      <c r="V21" s="508"/>
      <c r="X21" s="45">
        <v>0.25</v>
      </c>
      <c r="Y21" s="106"/>
      <c r="Z21" s="102"/>
      <c r="AA21" s="102"/>
      <c r="AB21" s="45" t="str">
        <f t="shared" si="18"/>
        <v/>
      </c>
      <c r="AC21" s="45" t="str">
        <f t="shared" si="1"/>
        <v/>
      </c>
      <c r="AD21" s="81"/>
      <c r="AE21" s="9" t="str">
        <f>IF(S21="","",IF(COUNTA(Z21:$Z$39)=1,IF(COUNTA(AD21:$AD$39)=1,""," ; "),IF(COUNTA(AD21:$AD$39)=1,IF(Z21="",""," ; ")," ; ")))</f>
        <v/>
      </c>
      <c r="AF21" s="9" t="str">
        <f t="shared" si="2"/>
        <v/>
      </c>
      <c r="AG21" s="90" t="str">
        <f t="shared" si="3"/>
        <v/>
      </c>
      <c r="AH21" s="204" t="s">
        <v>322</v>
      </c>
      <c r="AJ21" s="206">
        <f t="shared" si="19"/>
        <v>500</v>
      </c>
      <c r="AK21" s="206">
        <f t="shared" si="19"/>
        <v>100</v>
      </c>
      <c r="AL21" s="206">
        <f t="shared" si="19"/>
        <v>2</v>
      </c>
      <c r="AM21" s="213">
        <f t="shared" si="19"/>
        <v>0.875</v>
      </c>
      <c r="AN21" s="214">
        <f t="shared" si="19"/>
        <v>0.63607464142166403</v>
      </c>
      <c r="AO21" s="215">
        <f t="shared" si="4"/>
        <v>-14.7</v>
      </c>
      <c r="AP21" s="216">
        <f t="shared" si="5"/>
        <v>1</v>
      </c>
      <c r="AQ21" s="216">
        <f t="shared" si="6"/>
        <v>1</v>
      </c>
      <c r="AR21" s="215">
        <f t="shared" si="20"/>
        <v>158.47</v>
      </c>
      <c r="AS21" s="216">
        <f t="shared" si="7"/>
        <v>0.9723448696087954</v>
      </c>
      <c r="AT21" s="216">
        <f t="shared" si="8"/>
        <v>1.2538510821608391</v>
      </c>
      <c r="AU21" s="216">
        <f t="shared" si="9"/>
        <v>2.2360679774997898</v>
      </c>
      <c r="AV21" s="217">
        <f t="shared" si="10"/>
        <v>10.368348541764712</v>
      </c>
      <c r="AW21" s="216">
        <f t="shared" si="11"/>
        <v>0</v>
      </c>
      <c r="AX21" s="218">
        <f t="shared" si="12"/>
        <v>1.4831709199797398</v>
      </c>
      <c r="AY21" s="216">
        <f t="shared" si="13"/>
        <v>0.77643477842613629</v>
      </c>
      <c r="AZ21" s="217">
        <f t="shared" si="14"/>
        <v>3.5883638597441294</v>
      </c>
      <c r="BA21" s="216">
        <f t="shared" si="15"/>
        <v>0</v>
      </c>
      <c r="BB21" s="216">
        <f t="shared" si="16"/>
        <v>1.0016542390239327</v>
      </c>
      <c r="BC21" s="216">
        <f t="shared" si="17"/>
        <v>1</v>
      </c>
    </row>
    <row r="22" spans="1:55" ht="20.100000000000001" customHeight="1" x14ac:dyDescent="0.2">
      <c r="A22" s="45">
        <v>0.29166666666666702</v>
      </c>
      <c r="B22" s="451"/>
      <c r="C22" s="451"/>
      <c r="D22" s="451">
        <v>6.1</v>
      </c>
      <c r="E22" s="451">
        <v>62.6</v>
      </c>
      <c r="F22" s="41">
        <v>1931</v>
      </c>
      <c r="G22" s="37">
        <v>-5.6</v>
      </c>
      <c r="H22" s="37">
        <v>72.400000000000006</v>
      </c>
      <c r="I22" s="37">
        <v>23.8</v>
      </c>
      <c r="J22" s="41">
        <v>756</v>
      </c>
      <c r="K22" s="37">
        <v>13</v>
      </c>
      <c r="L22" s="451">
        <v>132</v>
      </c>
      <c r="M22" s="451">
        <v>223</v>
      </c>
      <c r="N22" s="451">
        <v>90</v>
      </c>
      <c r="O22" s="353">
        <v>45</v>
      </c>
      <c r="P22" s="353">
        <v>12</v>
      </c>
      <c r="Q22" s="353">
        <v>238.62</v>
      </c>
      <c r="R22" s="37"/>
      <c r="S22" s="508" t="str">
        <f t="shared" si="0"/>
        <v/>
      </c>
      <c r="T22" s="508"/>
      <c r="U22" s="508"/>
      <c r="V22" s="508"/>
      <c r="X22" s="45">
        <v>0.29166666666666702</v>
      </c>
      <c r="Y22" s="106"/>
      <c r="Z22" s="102"/>
      <c r="AA22" s="102"/>
      <c r="AB22" s="45" t="str">
        <f t="shared" si="18"/>
        <v/>
      </c>
      <c r="AC22" s="45" t="str">
        <f t="shared" si="1"/>
        <v/>
      </c>
      <c r="AD22" s="81"/>
      <c r="AE22" s="9" t="str">
        <f>IF(S22="","",IF(COUNTA(Z22:$Z$39)=1,IF(COUNTA(AD22:$AD$39)=1,""," ; "),IF(COUNTA(AD22:$AD$39)=1,IF(Z22="",""," ; ")," ; ")))</f>
        <v/>
      </c>
      <c r="AF22" s="9" t="str">
        <f t="shared" si="2"/>
        <v/>
      </c>
      <c r="AG22" s="90" t="str">
        <f t="shared" si="3"/>
        <v/>
      </c>
      <c r="AH22" s="204" t="s">
        <v>279</v>
      </c>
      <c r="AJ22" s="206">
        <f t="shared" si="19"/>
        <v>500</v>
      </c>
      <c r="AK22" s="206">
        <f t="shared" si="19"/>
        <v>100</v>
      </c>
      <c r="AL22" s="206">
        <f t="shared" si="19"/>
        <v>2</v>
      </c>
      <c r="AM22" s="213">
        <f t="shared" si="19"/>
        <v>0.875</v>
      </c>
      <c r="AN22" s="214">
        <f t="shared" si="19"/>
        <v>0.63607464142166403</v>
      </c>
      <c r="AO22" s="215">
        <f t="shared" si="4"/>
        <v>-14.7</v>
      </c>
      <c r="AP22" s="216">
        <f t="shared" si="5"/>
        <v>1</v>
      </c>
      <c r="AQ22" s="216">
        <f t="shared" si="6"/>
        <v>1</v>
      </c>
      <c r="AR22" s="215">
        <f t="shared" si="20"/>
        <v>158.47</v>
      </c>
      <c r="AS22" s="216">
        <f t="shared" si="7"/>
        <v>0.9723448696087954</v>
      </c>
      <c r="AT22" s="216">
        <f t="shared" si="8"/>
        <v>1.2538510821608391</v>
      </c>
      <c r="AU22" s="216">
        <f t="shared" si="9"/>
        <v>2.2360679774997898</v>
      </c>
      <c r="AV22" s="217">
        <f t="shared" si="10"/>
        <v>10.368348541764712</v>
      </c>
      <c r="AW22" s="216">
        <f t="shared" si="11"/>
        <v>0</v>
      </c>
      <c r="AX22" s="218">
        <f t="shared" si="12"/>
        <v>1.4831709199797398</v>
      </c>
      <c r="AY22" s="216">
        <f t="shared" si="13"/>
        <v>0.77643477842613629</v>
      </c>
      <c r="AZ22" s="217">
        <f t="shared" si="14"/>
        <v>3.5883638597441294</v>
      </c>
      <c r="BA22" s="216">
        <f t="shared" si="15"/>
        <v>0</v>
      </c>
      <c r="BB22" s="216">
        <f t="shared" si="16"/>
        <v>1.0016542390239327</v>
      </c>
      <c r="BC22" s="216">
        <f t="shared" si="17"/>
        <v>1</v>
      </c>
    </row>
    <row r="23" spans="1:55" ht="20.100000000000001" customHeight="1" x14ac:dyDescent="0.2">
      <c r="A23" s="45">
        <v>0.33333333333333298</v>
      </c>
      <c r="B23" s="451"/>
      <c r="C23" s="451"/>
      <c r="D23" s="451">
        <v>4.9000000000000004</v>
      </c>
      <c r="E23" s="451">
        <v>62.1</v>
      </c>
      <c r="F23" s="41">
        <v>1933</v>
      </c>
      <c r="G23" s="37">
        <v>-5.6</v>
      </c>
      <c r="H23" s="37">
        <v>72.099999999999994</v>
      </c>
      <c r="I23" s="37">
        <v>23.5</v>
      </c>
      <c r="J23" s="41">
        <v>757</v>
      </c>
      <c r="K23" s="37">
        <v>13</v>
      </c>
      <c r="L23" s="451">
        <v>137</v>
      </c>
      <c r="M23" s="451">
        <v>222</v>
      </c>
      <c r="N23" s="451">
        <v>90</v>
      </c>
      <c r="O23" s="353">
        <v>40</v>
      </c>
      <c r="P23" s="353">
        <v>14</v>
      </c>
      <c r="Q23" s="353">
        <v>246.42</v>
      </c>
      <c r="R23" s="37"/>
      <c r="S23" s="508" t="str">
        <f t="shared" si="0"/>
        <v/>
      </c>
      <c r="T23" s="508"/>
      <c r="U23" s="508"/>
      <c r="V23" s="508"/>
      <c r="X23" s="45">
        <v>0.33333333333333298</v>
      </c>
      <c r="Y23" s="106"/>
      <c r="Z23" s="102"/>
      <c r="AA23" s="102"/>
      <c r="AB23" s="45" t="str">
        <f t="shared" si="18"/>
        <v/>
      </c>
      <c r="AC23" s="45" t="str">
        <f t="shared" si="1"/>
        <v/>
      </c>
      <c r="AD23" s="81"/>
      <c r="AE23" s="9" t="str">
        <f>IF(S23="","",IF(COUNTA(Z23:$Z$39)=1,IF(COUNTA(AD23:$AD$39)=1,""," ; "),IF(COUNTA(AD23:$AD$39)=1,IF(Z23="",""," ; ")," ; ")))</f>
        <v/>
      </c>
      <c r="AF23" s="9" t="str">
        <f t="shared" si="2"/>
        <v/>
      </c>
      <c r="AG23" s="90" t="str">
        <f t="shared" si="3"/>
        <v/>
      </c>
      <c r="AH23" s="204" t="s">
        <v>274</v>
      </c>
      <c r="AJ23" s="206">
        <f t="shared" si="19"/>
        <v>500</v>
      </c>
      <c r="AK23" s="206">
        <f t="shared" si="19"/>
        <v>100</v>
      </c>
      <c r="AL23" s="206">
        <f t="shared" si="19"/>
        <v>2</v>
      </c>
      <c r="AM23" s="213">
        <f t="shared" si="19"/>
        <v>0.875</v>
      </c>
      <c r="AN23" s="214">
        <f t="shared" si="19"/>
        <v>0.63607464142166403</v>
      </c>
      <c r="AO23" s="215">
        <f t="shared" si="4"/>
        <v>-14.7</v>
      </c>
      <c r="AP23" s="216">
        <f t="shared" si="5"/>
        <v>1</v>
      </c>
      <c r="AQ23" s="216">
        <f t="shared" si="6"/>
        <v>1</v>
      </c>
      <c r="AR23" s="215">
        <f t="shared" si="20"/>
        <v>158.47</v>
      </c>
      <c r="AS23" s="216">
        <f t="shared" si="7"/>
        <v>0.9723448696087954</v>
      </c>
      <c r="AT23" s="216">
        <f t="shared" si="8"/>
        <v>1.2538510821608391</v>
      </c>
      <c r="AU23" s="216">
        <f t="shared" si="9"/>
        <v>2.2360679774997898</v>
      </c>
      <c r="AV23" s="217">
        <f t="shared" si="10"/>
        <v>10.368348541764712</v>
      </c>
      <c r="AW23" s="216">
        <f t="shared" si="11"/>
        <v>0</v>
      </c>
      <c r="AX23" s="218">
        <f t="shared" si="12"/>
        <v>1.4831709199797398</v>
      </c>
      <c r="AY23" s="216">
        <f t="shared" si="13"/>
        <v>0.77643477842613629</v>
      </c>
      <c r="AZ23" s="217">
        <f t="shared" si="14"/>
        <v>3.5883638597441294</v>
      </c>
      <c r="BA23" s="216">
        <f t="shared" si="15"/>
        <v>0</v>
      </c>
      <c r="BB23" s="216">
        <f t="shared" si="16"/>
        <v>1.0016542390239327</v>
      </c>
      <c r="BC23" s="216">
        <f t="shared" si="17"/>
        <v>1</v>
      </c>
    </row>
    <row r="24" spans="1:55" ht="20.100000000000001" customHeight="1" x14ac:dyDescent="0.2">
      <c r="A24" s="45">
        <v>0.375</v>
      </c>
      <c r="B24" s="451"/>
      <c r="C24" s="451"/>
      <c r="D24" s="451">
        <v>6.3</v>
      </c>
      <c r="E24" s="451">
        <v>62.3</v>
      </c>
      <c r="F24" s="41">
        <v>1915</v>
      </c>
      <c r="G24" s="37">
        <v>-5.6</v>
      </c>
      <c r="H24" s="37">
        <v>72.599999999999994</v>
      </c>
      <c r="I24" s="37">
        <v>23.2</v>
      </c>
      <c r="J24" s="41">
        <v>758</v>
      </c>
      <c r="K24" s="37">
        <v>13</v>
      </c>
      <c r="L24" s="451">
        <v>130</v>
      </c>
      <c r="M24" s="451">
        <v>222</v>
      </c>
      <c r="N24" s="451">
        <v>90</v>
      </c>
      <c r="O24" s="353">
        <v>40</v>
      </c>
      <c r="P24" s="353">
        <v>14</v>
      </c>
      <c r="Q24" s="353">
        <v>246.42</v>
      </c>
      <c r="R24" s="37"/>
      <c r="S24" s="508" t="str">
        <f t="shared" si="0"/>
        <v/>
      </c>
      <c r="T24" s="508"/>
      <c r="U24" s="508"/>
      <c r="V24" s="508"/>
      <c r="X24" s="45">
        <v>0.375</v>
      </c>
      <c r="Y24" s="106"/>
      <c r="Z24" s="102"/>
      <c r="AA24" s="102"/>
      <c r="AB24" s="45" t="str">
        <f t="shared" si="18"/>
        <v/>
      </c>
      <c r="AC24" s="45" t="str">
        <f t="shared" si="1"/>
        <v/>
      </c>
      <c r="AD24" s="81"/>
      <c r="AE24" s="9" t="str">
        <f>IF(S24="","",IF(COUNTA(Z24:$Z$39)=1,IF(COUNTA(AD24:$AD$39)=1,""," ; "),IF(COUNTA(AD24:$AD$39)=1,IF(Z24="",""," ; ")," ; ")))</f>
        <v/>
      </c>
      <c r="AF24" s="9" t="str">
        <f t="shared" si="2"/>
        <v/>
      </c>
      <c r="AG24" s="90" t="str">
        <f t="shared" si="3"/>
        <v/>
      </c>
      <c r="AH24" s="204" t="s">
        <v>307</v>
      </c>
      <c r="AJ24" s="206">
        <f t="shared" si="19"/>
        <v>500</v>
      </c>
      <c r="AK24" s="206">
        <f t="shared" si="19"/>
        <v>100</v>
      </c>
      <c r="AL24" s="206">
        <f t="shared" si="19"/>
        <v>2</v>
      </c>
      <c r="AM24" s="213">
        <f t="shared" si="19"/>
        <v>0.875</v>
      </c>
      <c r="AN24" s="214">
        <f t="shared" si="19"/>
        <v>0.63607464142166403</v>
      </c>
      <c r="AO24" s="215">
        <f t="shared" si="4"/>
        <v>-14.7</v>
      </c>
      <c r="AP24" s="216">
        <f t="shared" si="5"/>
        <v>1</v>
      </c>
      <c r="AQ24" s="216">
        <f t="shared" si="6"/>
        <v>1</v>
      </c>
      <c r="AR24" s="215">
        <f t="shared" si="20"/>
        <v>158.47</v>
      </c>
      <c r="AS24" s="216">
        <f t="shared" si="7"/>
        <v>0.9723448696087954</v>
      </c>
      <c r="AT24" s="216">
        <f t="shared" si="8"/>
        <v>1.2538510821608391</v>
      </c>
      <c r="AU24" s="216">
        <f t="shared" si="9"/>
        <v>2.2360679774997898</v>
      </c>
      <c r="AV24" s="217">
        <f t="shared" si="10"/>
        <v>10.368348541764712</v>
      </c>
      <c r="AW24" s="216">
        <f t="shared" si="11"/>
        <v>0</v>
      </c>
      <c r="AX24" s="218">
        <f t="shared" si="12"/>
        <v>1.4831709199797398</v>
      </c>
      <c r="AY24" s="216">
        <f t="shared" si="13"/>
        <v>0.77643477842613629</v>
      </c>
      <c r="AZ24" s="217">
        <f t="shared" si="14"/>
        <v>3.5883638597441294</v>
      </c>
      <c r="BA24" s="216">
        <f t="shared" si="15"/>
        <v>0</v>
      </c>
      <c r="BB24" s="216">
        <f t="shared" si="16"/>
        <v>1.0016542390239327</v>
      </c>
      <c r="BC24" s="216">
        <f t="shared" si="17"/>
        <v>1</v>
      </c>
    </row>
    <row r="25" spans="1:55" ht="20.100000000000001" customHeight="1" x14ac:dyDescent="0.2">
      <c r="A25" s="45">
        <v>0.41666666666666702</v>
      </c>
      <c r="B25" s="451"/>
      <c r="C25" s="451"/>
      <c r="D25" s="451">
        <v>6.4</v>
      </c>
      <c r="E25" s="451">
        <v>60.3</v>
      </c>
      <c r="F25" s="41">
        <v>1915</v>
      </c>
      <c r="G25" s="37">
        <v>-5.6</v>
      </c>
      <c r="H25" s="37">
        <v>72.400000000000006</v>
      </c>
      <c r="I25" s="37">
        <v>23.7</v>
      </c>
      <c r="J25" s="41">
        <v>759</v>
      </c>
      <c r="K25" s="37">
        <v>13</v>
      </c>
      <c r="L25" s="451">
        <v>132</v>
      </c>
      <c r="M25" s="451">
        <v>221</v>
      </c>
      <c r="N25" s="451">
        <v>90</v>
      </c>
      <c r="O25" s="353">
        <v>40</v>
      </c>
      <c r="P25" s="353">
        <v>14</v>
      </c>
      <c r="Q25" s="353">
        <v>246.42</v>
      </c>
      <c r="R25" s="37"/>
      <c r="S25" s="508" t="str">
        <f t="shared" si="0"/>
        <v/>
      </c>
      <c r="T25" s="508"/>
      <c r="U25" s="508"/>
      <c r="V25" s="508"/>
      <c r="X25" s="45">
        <v>0.41666666666666702</v>
      </c>
      <c r="Y25" s="106"/>
      <c r="Z25" s="102"/>
      <c r="AA25" s="102"/>
      <c r="AB25" s="45" t="str">
        <f t="shared" si="18"/>
        <v/>
      </c>
      <c r="AC25" s="45" t="str">
        <f t="shared" si="1"/>
        <v/>
      </c>
      <c r="AD25" s="81"/>
      <c r="AE25" s="9" t="str">
        <f>IF(S25="","",IF(COUNTA(Z25:$Z$39)=1,IF(COUNTA(AD25:$AD$39)=1,""," ; "),IF(COUNTA(AD25:$AD$39)=1,IF(Z25="",""," ; ")," ; ")))</f>
        <v/>
      </c>
      <c r="AF25" s="9" t="str">
        <f t="shared" si="2"/>
        <v/>
      </c>
      <c r="AG25" s="90" t="str">
        <f t="shared" si="3"/>
        <v/>
      </c>
      <c r="AH25" s="204" t="s">
        <v>225</v>
      </c>
      <c r="AJ25" s="206">
        <f t="shared" si="19"/>
        <v>500</v>
      </c>
      <c r="AK25" s="206">
        <f t="shared" si="19"/>
        <v>100</v>
      </c>
      <c r="AL25" s="206">
        <f t="shared" si="19"/>
        <v>2</v>
      </c>
      <c r="AM25" s="213">
        <f t="shared" si="19"/>
        <v>0.875</v>
      </c>
      <c r="AN25" s="214">
        <f t="shared" si="19"/>
        <v>0.63607464142166403</v>
      </c>
      <c r="AO25" s="215">
        <f t="shared" si="4"/>
        <v>-14.7</v>
      </c>
      <c r="AP25" s="216">
        <f t="shared" si="5"/>
        <v>1</v>
      </c>
      <c r="AQ25" s="216">
        <f t="shared" si="6"/>
        <v>1</v>
      </c>
      <c r="AR25" s="215">
        <f t="shared" si="20"/>
        <v>158.47</v>
      </c>
      <c r="AS25" s="216">
        <f t="shared" si="7"/>
        <v>0.9723448696087954</v>
      </c>
      <c r="AT25" s="216">
        <f t="shared" si="8"/>
        <v>1.2538510821608391</v>
      </c>
      <c r="AU25" s="216">
        <f t="shared" si="9"/>
        <v>2.2360679774997898</v>
      </c>
      <c r="AV25" s="217">
        <f t="shared" si="10"/>
        <v>10.368348541764712</v>
      </c>
      <c r="AW25" s="216">
        <f t="shared" si="11"/>
        <v>0</v>
      </c>
      <c r="AX25" s="218">
        <f t="shared" si="12"/>
        <v>1.4831709199797398</v>
      </c>
      <c r="AY25" s="216">
        <f t="shared" si="13"/>
        <v>0.77643477842613629</v>
      </c>
      <c r="AZ25" s="217">
        <f t="shared" si="14"/>
        <v>3.5883638597441294</v>
      </c>
      <c r="BA25" s="216">
        <f t="shared" si="15"/>
        <v>0</v>
      </c>
      <c r="BB25" s="216">
        <f t="shared" si="16"/>
        <v>1.0016542390239327</v>
      </c>
      <c r="BC25" s="216">
        <f t="shared" si="17"/>
        <v>1</v>
      </c>
    </row>
    <row r="26" spans="1:55" ht="20.100000000000001" customHeight="1" x14ac:dyDescent="0.2">
      <c r="A26" s="45">
        <v>0.45833333333333298</v>
      </c>
      <c r="B26" s="451"/>
      <c r="C26" s="451"/>
      <c r="D26" s="451">
        <v>7</v>
      </c>
      <c r="E26" s="451">
        <v>61.7</v>
      </c>
      <c r="F26" s="41">
        <v>1991</v>
      </c>
      <c r="G26" s="37">
        <v>-5.6</v>
      </c>
      <c r="H26" s="37">
        <v>72.2</v>
      </c>
      <c r="I26" s="37">
        <v>23.5</v>
      </c>
      <c r="J26" s="41">
        <v>760</v>
      </c>
      <c r="K26" s="37">
        <v>13</v>
      </c>
      <c r="L26" s="451">
        <v>134</v>
      </c>
      <c r="M26" s="451">
        <v>227</v>
      </c>
      <c r="N26" s="451">
        <v>90</v>
      </c>
      <c r="O26" s="353">
        <v>40</v>
      </c>
      <c r="P26" s="353">
        <v>14</v>
      </c>
      <c r="Q26" s="353">
        <v>246.42</v>
      </c>
      <c r="R26" s="37"/>
      <c r="S26" s="508" t="str">
        <f t="shared" si="0"/>
        <v/>
      </c>
      <c r="T26" s="508"/>
      <c r="U26" s="508"/>
      <c r="V26" s="508"/>
      <c r="X26" s="45">
        <v>0.45833333333333298</v>
      </c>
      <c r="Y26" s="106"/>
      <c r="Z26" s="102"/>
      <c r="AA26" s="102"/>
      <c r="AB26" s="45" t="str">
        <f t="shared" si="18"/>
        <v/>
      </c>
      <c r="AC26" s="45" t="str">
        <f t="shared" si="1"/>
        <v/>
      </c>
      <c r="AD26" s="81"/>
      <c r="AE26" s="9" t="str">
        <f>IF(S26="","",IF(COUNTA(Z26:$Z$39)=1,IF(COUNTA(AD26:$AD$39)=1,""," ; "),IF(COUNTA(AD26:$AD$39)=1,IF(Z26="",""," ; ")," ; ")))</f>
        <v/>
      </c>
      <c r="AF26" s="9" t="str">
        <f t="shared" si="2"/>
        <v/>
      </c>
      <c r="AG26" s="90" t="str">
        <f t="shared" si="3"/>
        <v/>
      </c>
      <c r="AH26" s="204" t="s">
        <v>287</v>
      </c>
      <c r="AJ26" s="206">
        <f t="shared" si="19"/>
        <v>500</v>
      </c>
      <c r="AK26" s="206">
        <f t="shared" si="19"/>
        <v>100</v>
      </c>
      <c r="AL26" s="206">
        <f t="shared" si="19"/>
        <v>2</v>
      </c>
      <c r="AM26" s="213">
        <f t="shared" si="19"/>
        <v>0.875</v>
      </c>
      <c r="AN26" s="214">
        <f t="shared" si="19"/>
        <v>0.63607464142166403</v>
      </c>
      <c r="AO26" s="215">
        <f t="shared" si="4"/>
        <v>-14.7</v>
      </c>
      <c r="AP26" s="216">
        <f t="shared" si="5"/>
        <v>1</v>
      </c>
      <c r="AQ26" s="216">
        <f t="shared" si="6"/>
        <v>1</v>
      </c>
      <c r="AR26" s="215">
        <f t="shared" si="20"/>
        <v>158.47</v>
      </c>
      <c r="AS26" s="216">
        <f t="shared" si="7"/>
        <v>0.9723448696087954</v>
      </c>
      <c r="AT26" s="216">
        <f t="shared" si="8"/>
        <v>1.2538510821608391</v>
      </c>
      <c r="AU26" s="216">
        <f t="shared" si="9"/>
        <v>2.2360679774997898</v>
      </c>
      <c r="AV26" s="217">
        <f t="shared" si="10"/>
        <v>10.368348541764712</v>
      </c>
      <c r="AW26" s="216">
        <f t="shared" si="11"/>
        <v>0</v>
      </c>
      <c r="AX26" s="218">
        <f t="shared" si="12"/>
        <v>1.4831709199797398</v>
      </c>
      <c r="AY26" s="216">
        <f t="shared" si="13"/>
        <v>0.77643477842613629</v>
      </c>
      <c r="AZ26" s="217">
        <f t="shared" si="14"/>
        <v>3.5883638597441294</v>
      </c>
      <c r="BA26" s="216">
        <f t="shared" si="15"/>
        <v>0</v>
      </c>
      <c r="BB26" s="216">
        <f t="shared" si="16"/>
        <v>1.0016542390239327</v>
      </c>
      <c r="BC26" s="216">
        <f t="shared" si="17"/>
        <v>1</v>
      </c>
    </row>
    <row r="27" spans="1:55" ht="20.100000000000001" customHeight="1" x14ac:dyDescent="0.2">
      <c r="A27" s="45">
        <v>0.5</v>
      </c>
      <c r="B27" s="451"/>
      <c r="C27" s="451"/>
      <c r="D27" s="451">
        <v>6.2</v>
      </c>
      <c r="E27" s="451">
        <v>54.2</v>
      </c>
      <c r="F27" s="41">
        <v>1952</v>
      </c>
      <c r="G27" s="37">
        <v>-5.6</v>
      </c>
      <c r="H27" s="37">
        <v>72</v>
      </c>
      <c r="I27" s="37">
        <v>23.2</v>
      </c>
      <c r="J27" s="41">
        <v>761</v>
      </c>
      <c r="K27" s="37">
        <v>13</v>
      </c>
      <c r="L27" s="451">
        <v>137</v>
      </c>
      <c r="M27" s="451">
        <v>227</v>
      </c>
      <c r="N27" s="451">
        <v>90</v>
      </c>
      <c r="O27" s="353">
        <v>40</v>
      </c>
      <c r="P27" s="353">
        <v>12</v>
      </c>
      <c r="Q27" s="353">
        <v>228.29</v>
      </c>
      <c r="R27" s="37"/>
      <c r="S27" s="508" t="str">
        <f t="shared" si="0"/>
        <v/>
      </c>
      <c r="T27" s="508"/>
      <c r="U27" s="508"/>
      <c r="V27" s="508"/>
      <c r="X27" s="45">
        <v>0.5</v>
      </c>
      <c r="Y27" s="106"/>
      <c r="Z27" s="102"/>
      <c r="AA27" s="102"/>
      <c r="AB27" s="45" t="str">
        <f t="shared" si="18"/>
        <v/>
      </c>
      <c r="AC27" s="45" t="str">
        <f t="shared" si="1"/>
        <v/>
      </c>
      <c r="AD27" s="81"/>
      <c r="AE27" s="9" t="str">
        <f>IF(S27="","",IF(COUNTA(Z27:$Z$39)=1,IF(COUNTA(AD27:$AD$39)=1,""," ; "),IF(COUNTA(AD27:$AD$39)=1,IF(Z27="",""," ; ")," ; ")))</f>
        <v/>
      </c>
      <c r="AF27" s="9" t="str">
        <f t="shared" si="2"/>
        <v/>
      </c>
      <c r="AG27" s="90" t="str">
        <f t="shared" si="3"/>
        <v/>
      </c>
      <c r="AH27" s="204" t="s">
        <v>276</v>
      </c>
      <c r="AJ27" s="206">
        <f t="shared" si="19"/>
        <v>500</v>
      </c>
      <c r="AK27" s="206">
        <f t="shared" si="19"/>
        <v>100</v>
      </c>
      <c r="AL27" s="206">
        <f t="shared" si="19"/>
        <v>2</v>
      </c>
      <c r="AM27" s="213">
        <f t="shared" si="19"/>
        <v>0.875</v>
      </c>
      <c r="AN27" s="214">
        <f t="shared" si="19"/>
        <v>0.63607464142166403</v>
      </c>
      <c r="AO27" s="215">
        <f t="shared" si="4"/>
        <v>-14.7</v>
      </c>
      <c r="AP27" s="216">
        <f t="shared" si="5"/>
        <v>1</v>
      </c>
      <c r="AQ27" s="216">
        <f t="shared" si="6"/>
        <v>1</v>
      </c>
      <c r="AR27" s="215">
        <f t="shared" si="20"/>
        <v>158.47</v>
      </c>
      <c r="AS27" s="216">
        <f t="shared" si="7"/>
        <v>0.9723448696087954</v>
      </c>
      <c r="AT27" s="216">
        <f t="shared" si="8"/>
        <v>1.2538510821608391</v>
      </c>
      <c r="AU27" s="216">
        <f t="shared" si="9"/>
        <v>2.2360679774997898</v>
      </c>
      <c r="AV27" s="217">
        <f t="shared" si="10"/>
        <v>10.368348541764712</v>
      </c>
      <c r="AW27" s="216">
        <f t="shared" si="11"/>
        <v>0</v>
      </c>
      <c r="AX27" s="218">
        <f t="shared" si="12"/>
        <v>1.4831709199797398</v>
      </c>
      <c r="AY27" s="216">
        <f t="shared" si="13"/>
        <v>0.77643477842613629</v>
      </c>
      <c r="AZ27" s="217">
        <f t="shared" si="14"/>
        <v>3.5883638597441294</v>
      </c>
      <c r="BA27" s="216">
        <f t="shared" si="15"/>
        <v>0</v>
      </c>
      <c r="BB27" s="216">
        <f t="shared" si="16"/>
        <v>1.0016542390239327</v>
      </c>
      <c r="BC27" s="216">
        <f t="shared" si="17"/>
        <v>1</v>
      </c>
    </row>
    <row r="28" spans="1:55" ht="20.100000000000001" customHeight="1" x14ac:dyDescent="0.2">
      <c r="A28" s="45">
        <v>0.54166666666666696</v>
      </c>
      <c r="B28" s="451"/>
      <c r="C28" s="451"/>
      <c r="D28" s="451">
        <v>6.4</v>
      </c>
      <c r="E28" s="451">
        <v>59.3</v>
      </c>
      <c r="F28" s="41">
        <v>1946</v>
      </c>
      <c r="G28" s="37">
        <v>-5.6</v>
      </c>
      <c r="H28" s="37">
        <v>72.3</v>
      </c>
      <c r="I28" s="37">
        <v>23.7</v>
      </c>
      <c r="J28" s="41">
        <v>762</v>
      </c>
      <c r="K28" s="37">
        <v>13</v>
      </c>
      <c r="L28" s="451">
        <v>133</v>
      </c>
      <c r="M28" s="451">
        <v>220</v>
      </c>
      <c r="N28" s="451">
        <v>90</v>
      </c>
      <c r="O28" s="353">
        <v>40</v>
      </c>
      <c r="P28" s="353">
        <v>12</v>
      </c>
      <c r="Q28" s="353">
        <v>228.29</v>
      </c>
      <c r="R28" s="37"/>
      <c r="S28" s="508" t="str">
        <f t="shared" si="0"/>
        <v/>
      </c>
      <c r="T28" s="508"/>
      <c r="U28" s="508"/>
      <c r="V28" s="508"/>
      <c r="X28" s="45">
        <v>0.54166666666666696</v>
      </c>
      <c r="Y28" s="106"/>
      <c r="Z28" s="102"/>
      <c r="AA28" s="102"/>
      <c r="AB28" s="45" t="str">
        <f t="shared" si="18"/>
        <v/>
      </c>
      <c r="AC28" s="45" t="str">
        <f t="shared" si="1"/>
        <v/>
      </c>
      <c r="AD28" s="81"/>
      <c r="AE28" s="9" t="str">
        <f>IF(S28="","",IF(COUNTA(Z28:$Z$39)=1,IF(COUNTA(AD28:$AD$39)=1,""," ; "),IF(COUNTA(AD28:$AD$39)=1,IF(Z28="",""," ; ")," ; ")))</f>
        <v/>
      </c>
      <c r="AF28" s="9" t="str">
        <f t="shared" si="2"/>
        <v/>
      </c>
      <c r="AG28" s="90" t="str">
        <f t="shared" si="3"/>
        <v/>
      </c>
      <c r="AH28" s="204" t="s">
        <v>278</v>
      </c>
      <c r="AJ28" s="206">
        <f t="shared" si="19"/>
        <v>500</v>
      </c>
      <c r="AK28" s="206">
        <f t="shared" si="19"/>
        <v>100</v>
      </c>
      <c r="AL28" s="206">
        <f t="shared" si="19"/>
        <v>2</v>
      </c>
      <c r="AM28" s="213">
        <f t="shared" si="19"/>
        <v>0.875</v>
      </c>
      <c r="AN28" s="214">
        <f t="shared" si="19"/>
        <v>0.63607464142166403</v>
      </c>
      <c r="AO28" s="215">
        <f t="shared" si="4"/>
        <v>-14.7</v>
      </c>
      <c r="AP28" s="216">
        <f t="shared" si="5"/>
        <v>1</v>
      </c>
      <c r="AQ28" s="216">
        <f t="shared" si="6"/>
        <v>1</v>
      </c>
      <c r="AR28" s="215">
        <f t="shared" si="20"/>
        <v>158.47</v>
      </c>
      <c r="AS28" s="216">
        <f t="shared" si="7"/>
        <v>0.9723448696087954</v>
      </c>
      <c r="AT28" s="216">
        <f t="shared" si="8"/>
        <v>1.2538510821608391</v>
      </c>
      <c r="AU28" s="216">
        <f t="shared" si="9"/>
        <v>2.2360679774997898</v>
      </c>
      <c r="AV28" s="217">
        <f t="shared" si="10"/>
        <v>10.368348541764712</v>
      </c>
      <c r="AW28" s="216">
        <f t="shared" si="11"/>
        <v>0</v>
      </c>
      <c r="AX28" s="218">
        <f t="shared" si="12"/>
        <v>1.4831709199797398</v>
      </c>
      <c r="AY28" s="216">
        <f t="shared" si="13"/>
        <v>0.77643477842613629</v>
      </c>
      <c r="AZ28" s="217">
        <f t="shared" si="14"/>
        <v>3.5883638597441294</v>
      </c>
      <c r="BA28" s="216">
        <f t="shared" si="15"/>
        <v>0</v>
      </c>
      <c r="BB28" s="216">
        <f t="shared" si="16"/>
        <v>1.0016542390239327</v>
      </c>
      <c r="BC28" s="216">
        <f t="shared" si="17"/>
        <v>1</v>
      </c>
    </row>
    <row r="29" spans="1:55" ht="20.100000000000001" customHeight="1" x14ac:dyDescent="0.2">
      <c r="A29" s="45">
        <v>0.58333333333333304</v>
      </c>
      <c r="B29" s="451"/>
      <c r="C29" s="451"/>
      <c r="D29" s="451">
        <v>6</v>
      </c>
      <c r="E29" s="451">
        <v>59.2</v>
      </c>
      <c r="F29" s="41">
        <v>1946</v>
      </c>
      <c r="G29" s="37">
        <v>-5.6</v>
      </c>
      <c r="H29" s="37">
        <v>72.5</v>
      </c>
      <c r="I29" s="37">
        <v>23.6</v>
      </c>
      <c r="J29" s="41">
        <v>763</v>
      </c>
      <c r="K29" s="37">
        <v>13</v>
      </c>
      <c r="L29" s="451">
        <v>131</v>
      </c>
      <c r="M29" s="451">
        <v>220</v>
      </c>
      <c r="N29" s="451">
        <v>90</v>
      </c>
      <c r="O29" s="353">
        <v>30</v>
      </c>
      <c r="P29" s="353">
        <v>16</v>
      </c>
      <c r="Q29" s="353">
        <v>237.74</v>
      </c>
      <c r="R29" s="37"/>
      <c r="S29" s="508" t="str">
        <f t="shared" si="0"/>
        <v/>
      </c>
      <c r="T29" s="508"/>
      <c r="U29" s="508"/>
      <c r="V29" s="508"/>
      <c r="X29" s="45">
        <v>0.58333333333333304</v>
      </c>
      <c r="Y29" s="106"/>
      <c r="Z29" s="102"/>
      <c r="AA29" s="102"/>
      <c r="AB29" s="45" t="str">
        <f t="shared" si="18"/>
        <v/>
      </c>
      <c r="AC29" s="45" t="str">
        <f t="shared" si="1"/>
        <v/>
      </c>
      <c r="AD29" s="81"/>
      <c r="AE29" s="9" t="str">
        <f>IF(S29="","",IF(COUNTA(Z29:$Z$39)=1,IF(COUNTA(AD29:$AD$39)=1,""," ; "),IF(COUNTA(AD29:$AD$39)=1,IF(Z29="",""," ; ")," ; ")))</f>
        <v/>
      </c>
      <c r="AF29" s="9" t="str">
        <f t="shared" si="2"/>
        <v/>
      </c>
      <c r="AG29" s="90" t="str">
        <f t="shared" si="3"/>
        <v/>
      </c>
      <c r="AH29" s="204" t="s">
        <v>224</v>
      </c>
      <c r="AJ29" s="206">
        <f t="shared" si="19"/>
        <v>500</v>
      </c>
      <c r="AK29" s="206">
        <f t="shared" si="19"/>
        <v>100</v>
      </c>
      <c r="AL29" s="206">
        <f t="shared" si="19"/>
        <v>2</v>
      </c>
      <c r="AM29" s="213">
        <f t="shared" si="19"/>
        <v>0.875</v>
      </c>
      <c r="AN29" s="214">
        <f t="shared" si="19"/>
        <v>0.63607464142166403</v>
      </c>
      <c r="AO29" s="215">
        <f t="shared" si="4"/>
        <v>-14.7</v>
      </c>
      <c r="AP29" s="216">
        <f t="shared" si="5"/>
        <v>1</v>
      </c>
      <c r="AQ29" s="216">
        <f t="shared" si="6"/>
        <v>1</v>
      </c>
      <c r="AR29" s="215">
        <f t="shared" si="20"/>
        <v>158.47</v>
      </c>
      <c r="AS29" s="216">
        <f t="shared" si="7"/>
        <v>0.9723448696087954</v>
      </c>
      <c r="AT29" s="216">
        <f t="shared" si="8"/>
        <v>1.2538510821608391</v>
      </c>
      <c r="AU29" s="216">
        <f t="shared" si="9"/>
        <v>2.2360679774997898</v>
      </c>
      <c r="AV29" s="217">
        <f t="shared" si="10"/>
        <v>10.368348541764712</v>
      </c>
      <c r="AW29" s="216">
        <f t="shared" si="11"/>
        <v>0</v>
      </c>
      <c r="AX29" s="218">
        <f t="shared" si="12"/>
        <v>1.4831709199797398</v>
      </c>
      <c r="AY29" s="216">
        <f t="shared" si="13"/>
        <v>0.77643477842613629</v>
      </c>
      <c r="AZ29" s="217">
        <f t="shared" si="14"/>
        <v>3.5883638597441294</v>
      </c>
      <c r="BA29" s="216">
        <f t="shared" si="15"/>
        <v>0</v>
      </c>
      <c r="BB29" s="216">
        <f t="shared" si="16"/>
        <v>1.0016542390239327</v>
      </c>
      <c r="BC29" s="216">
        <f t="shared" si="17"/>
        <v>1</v>
      </c>
    </row>
    <row r="30" spans="1:55" ht="20.100000000000001" customHeight="1" x14ac:dyDescent="0.2">
      <c r="A30" s="45">
        <v>0.625</v>
      </c>
      <c r="B30" s="451"/>
      <c r="C30" s="451"/>
      <c r="D30" s="451">
        <v>7.1</v>
      </c>
      <c r="E30" s="451">
        <v>58.7</v>
      </c>
      <c r="F30" s="41">
        <v>1950</v>
      </c>
      <c r="G30" s="37">
        <v>-5.6</v>
      </c>
      <c r="H30" s="37">
        <v>72.7</v>
      </c>
      <c r="I30" s="37">
        <v>23.1</v>
      </c>
      <c r="J30" s="41">
        <v>764</v>
      </c>
      <c r="K30" s="37">
        <v>13</v>
      </c>
      <c r="L30" s="451">
        <v>135</v>
      </c>
      <c r="M30" s="451">
        <v>225</v>
      </c>
      <c r="N30" s="451">
        <v>90</v>
      </c>
      <c r="O30" s="353">
        <v>30</v>
      </c>
      <c r="P30" s="353">
        <v>16</v>
      </c>
      <c r="Q30" s="353">
        <v>237.74</v>
      </c>
      <c r="R30" s="37"/>
      <c r="S30" s="508" t="str">
        <f t="shared" si="0"/>
        <v/>
      </c>
      <c r="T30" s="508"/>
      <c r="U30" s="508"/>
      <c r="V30" s="508"/>
      <c r="X30" s="45">
        <v>0.625</v>
      </c>
      <c r="Y30" s="106"/>
      <c r="Z30" s="102"/>
      <c r="AA30" s="102"/>
      <c r="AB30" s="45" t="str">
        <f t="shared" si="18"/>
        <v/>
      </c>
      <c r="AC30" s="45" t="str">
        <f t="shared" si="1"/>
        <v/>
      </c>
      <c r="AD30" s="81"/>
      <c r="AE30" s="9" t="str">
        <f>IF(S30="","",IF(COUNTA(Z30:$Z$39)=1,IF(COUNTA(AD30:$AD$39)=1,""," ; "),IF(COUNTA(AD30:$AD$39)=1,IF(Z30="",""," ; ")," ; ")))</f>
        <v/>
      </c>
      <c r="AF30" s="9" t="str">
        <f t="shared" si="2"/>
        <v/>
      </c>
      <c r="AG30" s="90" t="str">
        <f t="shared" si="3"/>
        <v/>
      </c>
      <c r="AH30" s="204" t="s">
        <v>260</v>
      </c>
      <c r="AJ30" s="206">
        <f t="shared" si="19"/>
        <v>500</v>
      </c>
      <c r="AK30" s="206">
        <f t="shared" si="19"/>
        <v>100</v>
      </c>
      <c r="AL30" s="206">
        <f t="shared" si="19"/>
        <v>2</v>
      </c>
      <c r="AM30" s="213">
        <f t="shared" si="19"/>
        <v>0.875</v>
      </c>
      <c r="AN30" s="214">
        <f t="shared" si="19"/>
        <v>0.63607464142166403</v>
      </c>
      <c r="AO30" s="215">
        <f t="shared" si="4"/>
        <v>-14.7</v>
      </c>
      <c r="AP30" s="216">
        <f t="shared" si="5"/>
        <v>1</v>
      </c>
      <c r="AQ30" s="216">
        <f t="shared" si="6"/>
        <v>1</v>
      </c>
      <c r="AR30" s="215">
        <f t="shared" si="20"/>
        <v>158.47</v>
      </c>
      <c r="AS30" s="216">
        <f t="shared" si="7"/>
        <v>0.9723448696087954</v>
      </c>
      <c r="AT30" s="216">
        <f t="shared" si="8"/>
        <v>1.2538510821608391</v>
      </c>
      <c r="AU30" s="216">
        <f t="shared" si="9"/>
        <v>2.2360679774997898</v>
      </c>
      <c r="AV30" s="217">
        <f t="shared" si="10"/>
        <v>10.368348541764712</v>
      </c>
      <c r="AW30" s="216">
        <f t="shared" si="11"/>
        <v>0</v>
      </c>
      <c r="AX30" s="218">
        <f t="shared" si="12"/>
        <v>1.4831709199797398</v>
      </c>
      <c r="AY30" s="216">
        <f t="shared" si="13"/>
        <v>0.77643477842613629</v>
      </c>
      <c r="AZ30" s="217">
        <f t="shared" si="14"/>
        <v>3.5883638597441294</v>
      </c>
      <c r="BA30" s="216">
        <f t="shared" si="15"/>
        <v>0</v>
      </c>
      <c r="BB30" s="216">
        <f t="shared" si="16"/>
        <v>1.0016542390239327</v>
      </c>
      <c r="BC30" s="216">
        <f t="shared" si="17"/>
        <v>1</v>
      </c>
    </row>
    <row r="31" spans="1:55" ht="20.100000000000001" customHeight="1" x14ac:dyDescent="0.2">
      <c r="A31" s="45">
        <v>0.66666666666666696</v>
      </c>
      <c r="B31" s="451"/>
      <c r="C31" s="451"/>
      <c r="D31" s="451">
        <v>6.8</v>
      </c>
      <c r="E31" s="451">
        <v>56.9</v>
      </c>
      <c r="F31" s="41">
        <v>1933</v>
      </c>
      <c r="G31" s="37">
        <v>-5.6</v>
      </c>
      <c r="H31" s="37">
        <v>72.400000000000006</v>
      </c>
      <c r="I31" s="37">
        <v>23.4</v>
      </c>
      <c r="J31" s="41">
        <v>765</v>
      </c>
      <c r="K31" s="37">
        <v>13</v>
      </c>
      <c r="L31" s="451">
        <v>132</v>
      </c>
      <c r="M31" s="451">
        <v>221</v>
      </c>
      <c r="N31" s="451">
        <v>90</v>
      </c>
      <c r="O31" s="353">
        <v>30</v>
      </c>
      <c r="P31" s="353">
        <v>15</v>
      </c>
      <c r="Q31" s="353">
        <v>230.26</v>
      </c>
      <c r="R31" s="37"/>
      <c r="S31" s="508" t="str">
        <f t="shared" si="0"/>
        <v/>
      </c>
      <c r="T31" s="508"/>
      <c r="U31" s="508"/>
      <c r="V31" s="508"/>
      <c r="X31" s="45">
        <v>0.66666666666666696</v>
      </c>
      <c r="Y31" s="106"/>
      <c r="Z31" s="102"/>
      <c r="AA31" s="102"/>
      <c r="AB31" s="45" t="str">
        <f t="shared" si="18"/>
        <v/>
      </c>
      <c r="AC31" s="45" t="str">
        <f t="shared" si="1"/>
        <v/>
      </c>
      <c r="AD31" s="81"/>
      <c r="AE31" s="9" t="str">
        <f>IF(S31="","",IF(COUNTA(Z31:$Z$39)=1,IF(COUNTA(AD31:$AD$39)=1,""," ; "),IF(COUNTA(AD31:$AD$39)=1,IF(Z31="",""," ; ")," ; ")))</f>
        <v/>
      </c>
      <c r="AF31" s="9" t="str">
        <f t="shared" si="2"/>
        <v/>
      </c>
      <c r="AG31" s="90" t="str">
        <f t="shared" si="3"/>
        <v/>
      </c>
      <c r="AH31" s="204" t="s">
        <v>226</v>
      </c>
      <c r="AJ31" s="206">
        <f t="shared" si="19"/>
        <v>500</v>
      </c>
      <c r="AK31" s="206">
        <f t="shared" si="19"/>
        <v>100</v>
      </c>
      <c r="AL31" s="206">
        <f t="shared" si="19"/>
        <v>2</v>
      </c>
      <c r="AM31" s="213">
        <f t="shared" si="19"/>
        <v>0.875</v>
      </c>
      <c r="AN31" s="214">
        <f t="shared" si="19"/>
        <v>0.63607464142166403</v>
      </c>
      <c r="AO31" s="215">
        <f t="shared" si="4"/>
        <v>-14.7</v>
      </c>
      <c r="AP31" s="216">
        <f t="shared" si="5"/>
        <v>1</v>
      </c>
      <c r="AQ31" s="216">
        <f t="shared" si="6"/>
        <v>1</v>
      </c>
      <c r="AR31" s="215">
        <f t="shared" si="20"/>
        <v>158.47</v>
      </c>
      <c r="AS31" s="216">
        <f t="shared" si="7"/>
        <v>0.9723448696087954</v>
      </c>
      <c r="AT31" s="216">
        <f t="shared" si="8"/>
        <v>1.2538510821608391</v>
      </c>
      <c r="AU31" s="216">
        <f t="shared" si="9"/>
        <v>2.2360679774997898</v>
      </c>
      <c r="AV31" s="217">
        <f t="shared" si="10"/>
        <v>10.368348541764712</v>
      </c>
      <c r="AW31" s="216">
        <f t="shared" si="11"/>
        <v>0</v>
      </c>
      <c r="AX31" s="218">
        <f t="shared" si="12"/>
        <v>1.4831709199797398</v>
      </c>
      <c r="AY31" s="216">
        <f t="shared" si="13"/>
        <v>0.77643477842613629</v>
      </c>
      <c r="AZ31" s="217">
        <f t="shared" si="14"/>
        <v>3.5883638597441294</v>
      </c>
      <c r="BA31" s="216">
        <f t="shared" si="15"/>
        <v>0</v>
      </c>
      <c r="BB31" s="216">
        <f t="shared" si="16"/>
        <v>1.0016542390239327</v>
      </c>
      <c r="BC31" s="216">
        <f t="shared" si="17"/>
        <v>1</v>
      </c>
    </row>
    <row r="32" spans="1:55" ht="20.100000000000001" customHeight="1" x14ac:dyDescent="0.2">
      <c r="A32" s="45">
        <v>0.70833333333333304</v>
      </c>
      <c r="B32" s="451"/>
      <c r="C32" s="451"/>
      <c r="D32" s="451">
        <v>6.2</v>
      </c>
      <c r="E32" s="451">
        <v>58.2</v>
      </c>
      <c r="F32" s="41">
        <v>1951</v>
      </c>
      <c r="G32" s="37">
        <v>-5.6</v>
      </c>
      <c r="H32" s="37">
        <v>72.599999999999994</v>
      </c>
      <c r="I32" s="37">
        <v>23.1</v>
      </c>
      <c r="J32" s="41">
        <v>766</v>
      </c>
      <c r="K32" s="37">
        <v>13</v>
      </c>
      <c r="L32" s="451">
        <v>137</v>
      </c>
      <c r="M32" s="451">
        <v>221</v>
      </c>
      <c r="N32" s="451">
        <v>90</v>
      </c>
      <c r="O32" s="353">
        <v>30</v>
      </c>
      <c r="P32" s="353">
        <v>15</v>
      </c>
      <c r="Q32" s="353">
        <v>230.26</v>
      </c>
      <c r="R32" s="37"/>
      <c r="S32" s="508" t="str">
        <f t="shared" si="0"/>
        <v/>
      </c>
      <c r="T32" s="508"/>
      <c r="U32" s="508"/>
      <c r="V32" s="508"/>
      <c r="X32" s="45">
        <v>0.70833333333333304</v>
      </c>
      <c r="Y32" s="106"/>
      <c r="Z32" s="102"/>
      <c r="AA32" s="102"/>
      <c r="AB32" s="45" t="str">
        <f t="shared" si="18"/>
        <v/>
      </c>
      <c r="AC32" s="45" t="str">
        <f t="shared" si="1"/>
        <v/>
      </c>
      <c r="AD32" s="81"/>
      <c r="AE32" s="9" t="str">
        <f>IF(S32="","",IF(COUNTA(Z32:$Z$39)=1,IF(COUNTA(AD32:$AD$39)=1,""," ; "),IF(COUNTA(AD32:$AD$39)=1,IF(Z32="",""," ; ")," ; ")))</f>
        <v/>
      </c>
      <c r="AF32" s="9" t="str">
        <f t="shared" si="2"/>
        <v/>
      </c>
      <c r="AG32" s="90" t="str">
        <f t="shared" si="3"/>
        <v/>
      </c>
      <c r="AH32" s="204" t="s">
        <v>313</v>
      </c>
      <c r="AJ32" s="206">
        <f t="shared" si="19"/>
        <v>500</v>
      </c>
      <c r="AK32" s="206">
        <f t="shared" si="19"/>
        <v>100</v>
      </c>
      <c r="AL32" s="206">
        <f t="shared" si="19"/>
        <v>2</v>
      </c>
      <c r="AM32" s="213">
        <f t="shared" si="19"/>
        <v>0.875</v>
      </c>
      <c r="AN32" s="214">
        <f t="shared" si="19"/>
        <v>0.63607464142166403</v>
      </c>
      <c r="AO32" s="215">
        <f t="shared" si="4"/>
        <v>-14.7</v>
      </c>
      <c r="AP32" s="216">
        <f t="shared" si="5"/>
        <v>1</v>
      </c>
      <c r="AQ32" s="216">
        <f t="shared" si="6"/>
        <v>1</v>
      </c>
      <c r="AR32" s="215">
        <f t="shared" si="20"/>
        <v>158.47</v>
      </c>
      <c r="AS32" s="216">
        <f t="shared" si="7"/>
        <v>0.9723448696087954</v>
      </c>
      <c r="AT32" s="216">
        <f t="shared" si="8"/>
        <v>1.2538510821608391</v>
      </c>
      <c r="AU32" s="216">
        <f t="shared" si="9"/>
        <v>2.2360679774997898</v>
      </c>
      <c r="AV32" s="217">
        <f t="shared" si="10"/>
        <v>10.368348541764712</v>
      </c>
      <c r="AW32" s="216">
        <f t="shared" si="11"/>
        <v>0</v>
      </c>
      <c r="AX32" s="218">
        <f t="shared" si="12"/>
        <v>1.4831709199797398</v>
      </c>
      <c r="AY32" s="216">
        <f t="shared" si="13"/>
        <v>0.77643477842613629</v>
      </c>
      <c r="AZ32" s="217">
        <f t="shared" si="14"/>
        <v>3.5883638597441294</v>
      </c>
      <c r="BA32" s="216">
        <f t="shared" si="15"/>
        <v>0</v>
      </c>
      <c r="BB32" s="216">
        <f t="shared" si="16"/>
        <v>1.0016542390239327</v>
      </c>
      <c r="BC32" s="216">
        <f t="shared" si="17"/>
        <v>1</v>
      </c>
    </row>
    <row r="33" spans="1:55" ht="20.100000000000001" customHeight="1" x14ac:dyDescent="0.2">
      <c r="A33" s="45">
        <v>0.75</v>
      </c>
      <c r="B33" s="451"/>
      <c r="C33" s="451"/>
      <c r="D33" s="451">
        <v>5.0999999999999996</v>
      </c>
      <c r="E33" s="451">
        <v>52.6</v>
      </c>
      <c r="F33" s="41">
        <v>1913</v>
      </c>
      <c r="G33" s="37">
        <v>-5.6</v>
      </c>
      <c r="H33" s="37">
        <v>72.2</v>
      </c>
      <c r="I33" s="37">
        <v>23.3</v>
      </c>
      <c r="J33" s="41">
        <v>767</v>
      </c>
      <c r="K33" s="37">
        <v>13</v>
      </c>
      <c r="L33" s="451">
        <v>132</v>
      </c>
      <c r="M33" s="451">
        <v>222</v>
      </c>
      <c r="N33" s="451">
        <v>90</v>
      </c>
      <c r="O33" s="353">
        <v>30</v>
      </c>
      <c r="P33" s="353">
        <v>16</v>
      </c>
      <c r="Q33" s="353">
        <v>237.74</v>
      </c>
      <c r="R33" s="37"/>
      <c r="S33" s="508" t="str">
        <f>IF(Z33="",IF(AD33="","",AD33),CONCATENATE(TEXT(Z33,"[hh]:mm"),IF(AA33="",""," - "&amp;TEXT(AA33,"[hh]:mm")),IF(Y33="",""," "&amp;Y33&amp;"/")," "&amp;AD33))</f>
        <v/>
      </c>
      <c r="T33" s="508"/>
      <c r="U33" s="508"/>
      <c r="V33" s="508"/>
      <c r="X33" s="45">
        <v>0.75</v>
      </c>
      <c r="Y33" s="106"/>
      <c r="Z33" s="102"/>
      <c r="AA33" s="102"/>
      <c r="AB33" s="45" t="str">
        <f t="shared" si="18"/>
        <v/>
      </c>
      <c r="AC33" s="45" t="str">
        <f t="shared" si="1"/>
        <v/>
      </c>
      <c r="AD33" s="81"/>
      <c r="AE33" s="9" t="str">
        <f>IF(S33="","",IF(COUNTA(Z33:$Z$39)=1,IF(COUNTA(AD33:$AD$39)=1,""," ; "),IF(COUNTA(AD33:$AD$39)=1,IF(Z33="",""," ; ")," ; ")))</f>
        <v/>
      </c>
      <c r="AF33" s="9" t="str">
        <f t="shared" si="2"/>
        <v/>
      </c>
      <c r="AG33" s="90" t="str">
        <f t="shared" si="3"/>
        <v/>
      </c>
      <c r="AH33" s="204" t="s">
        <v>308</v>
      </c>
      <c r="AJ33" s="206">
        <f t="shared" ref="AJ33:AN39" si="21">AJ32</f>
        <v>500</v>
      </c>
      <c r="AK33" s="206">
        <f t="shared" si="21"/>
        <v>100</v>
      </c>
      <c r="AL33" s="206">
        <f t="shared" si="21"/>
        <v>2</v>
      </c>
      <c r="AM33" s="213">
        <f t="shared" si="21"/>
        <v>0.875</v>
      </c>
      <c r="AN33" s="214">
        <f t="shared" si="21"/>
        <v>0.63607464142166403</v>
      </c>
      <c r="AO33" s="215">
        <f t="shared" si="4"/>
        <v>-14.7</v>
      </c>
      <c r="AP33" s="216">
        <f t="shared" si="5"/>
        <v>1</v>
      </c>
      <c r="AQ33" s="216">
        <f t="shared" si="6"/>
        <v>1</v>
      </c>
      <c r="AR33" s="215">
        <f t="shared" si="20"/>
        <v>158.47</v>
      </c>
      <c r="AS33" s="216">
        <f t="shared" si="7"/>
        <v>0.9723448696087954</v>
      </c>
      <c r="AT33" s="216">
        <f t="shared" si="8"/>
        <v>1.2538510821608391</v>
      </c>
      <c r="AU33" s="216">
        <f t="shared" si="9"/>
        <v>2.2360679774997898</v>
      </c>
      <c r="AV33" s="217">
        <f t="shared" si="10"/>
        <v>10.368348541764712</v>
      </c>
      <c r="AW33" s="216">
        <f t="shared" si="11"/>
        <v>0</v>
      </c>
      <c r="AX33" s="218">
        <f t="shared" si="12"/>
        <v>1.4831709199797398</v>
      </c>
      <c r="AY33" s="216">
        <f t="shared" si="13"/>
        <v>0.77643477842613629</v>
      </c>
      <c r="AZ33" s="217">
        <f t="shared" si="14"/>
        <v>3.5883638597441294</v>
      </c>
      <c r="BA33" s="216">
        <f t="shared" si="15"/>
        <v>0</v>
      </c>
      <c r="BB33" s="216">
        <f t="shared" si="16"/>
        <v>1.0016542390239327</v>
      </c>
      <c r="BC33" s="216">
        <f t="shared" si="17"/>
        <v>1</v>
      </c>
    </row>
    <row r="34" spans="1:55" ht="20.100000000000001" customHeight="1" x14ac:dyDescent="0.2">
      <c r="A34" s="45">
        <v>0.79166666666666696</v>
      </c>
      <c r="B34" s="451"/>
      <c r="C34" s="451"/>
      <c r="D34" s="451">
        <v>5.6</v>
      </c>
      <c r="E34" s="451">
        <v>54.3</v>
      </c>
      <c r="F34" s="41">
        <v>1920</v>
      </c>
      <c r="G34" s="37">
        <v>-5.6</v>
      </c>
      <c r="H34" s="37">
        <v>72.900000000000006</v>
      </c>
      <c r="I34" s="37">
        <v>23.4</v>
      </c>
      <c r="J34" s="41">
        <v>768</v>
      </c>
      <c r="K34" s="37">
        <v>13</v>
      </c>
      <c r="L34" s="451">
        <v>131</v>
      </c>
      <c r="M34" s="451">
        <v>223</v>
      </c>
      <c r="N34" s="451">
        <v>90</v>
      </c>
      <c r="O34" s="353">
        <v>30</v>
      </c>
      <c r="P34" s="353">
        <v>16</v>
      </c>
      <c r="Q34" s="353">
        <v>237.74</v>
      </c>
      <c r="R34" s="37"/>
      <c r="S34" s="508" t="str">
        <f t="shared" ref="S34:S39" si="22">IF(Z34="",IF(AD34="","",AD34),CONCATENATE(TEXT(Z34,"[hh]:mm"),IF(AA34="",""," - "&amp;TEXT(AA34,"[hh]:mm")),IF(Y34="",""," "&amp;Y34&amp;"/")," "&amp;AD34))</f>
        <v/>
      </c>
      <c r="T34" s="508"/>
      <c r="U34" s="508"/>
      <c r="V34" s="508"/>
      <c r="X34" s="45">
        <v>0.79166666666666696</v>
      </c>
      <c r="Y34" s="106"/>
      <c r="Z34" s="102"/>
      <c r="AA34" s="102"/>
      <c r="AB34" s="45" t="str">
        <f t="shared" si="18"/>
        <v/>
      </c>
      <c r="AC34" s="45" t="str">
        <f t="shared" si="1"/>
        <v/>
      </c>
      <c r="AD34" s="81"/>
      <c r="AE34" s="9" t="str">
        <f>IF(S34="","",IF(COUNTA(Z34:$Z$39)=1,IF(COUNTA(AD34:$AD$39)=1,""," ; "),IF(COUNTA(AD34:$AD$39)=1,IF(Z34="",""," ; ")," ; ")))</f>
        <v/>
      </c>
      <c r="AF34" s="9" t="str">
        <f t="shared" si="2"/>
        <v/>
      </c>
      <c r="AG34" s="90" t="str">
        <f t="shared" si="3"/>
        <v/>
      </c>
      <c r="AH34" s="204" t="s">
        <v>314</v>
      </c>
      <c r="AJ34" s="206">
        <f t="shared" si="21"/>
        <v>500</v>
      </c>
      <c r="AK34" s="206">
        <f t="shared" si="21"/>
        <v>100</v>
      </c>
      <c r="AL34" s="206">
        <f t="shared" si="21"/>
        <v>2</v>
      </c>
      <c r="AM34" s="213">
        <f t="shared" si="21"/>
        <v>0.875</v>
      </c>
      <c r="AN34" s="214">
        <f t="shared" si="21"/>
        <v>0.63607464142166403</v>
      </c>
      <c r="AO34" s="215">
        <f t="shared" si="4"/>
        <v>-14.7</v>
      </c>
      <c r="AP34" s="216">
        <f t="shared" si="5"/>
        <v>1</v>
      </c>
      <c r="AQ34" s="216">
        <f t="shared" si="6"/>
        <v>1</v>
      </c>
      <c r="AR34" s="215">
        <f t="shared" si="20"/>
        <v>158.47</v>
      </c>
      <c r="AS34" s="216">
        <f t="shared" si="7"/>
        <v>0.9723448696087954</v>
      </c>
      <c r="AT34" s="216">
        <f t="shared" si="8"/>
        <v>1.2538510821608391</v>
      </c>
      <c r="AU34" s="216">
        <f t="shared" si="9"/>
        <v>2.2360679774997898</v>
      </c>
      <c r="AV34" s="217">
        <f t="shared" si="10"/>
        <v>10.368348541764712</v>
      </c>
      <c r="AW34" s="216">
        <f t="shared" si="11"/>
        <v>0</v>
      </c>
      <c r="AX34" s="218">
        <f t="shared" si="12"/>
        <v>1.4831709199797398</v>
      </c>
      <c r="AY34" s="216">
        <f t="shared" si="13"/>
        <v>0.77643477842613629</v>
      </c>
      <c r="AZ34" s="217">
        <f t="shared" si="14"/>
        <v>3.5883638597441294</v>
      </c>
      <c r="BA34" s="216">
        <f t="shared" si="15"/>
        <v>0</v>
      </c>
      <c r="BB34" s="216">
        <f t="shared" si="16"/>
        <v>1.0016542390239327</v>
      </c>
      <c r="BC34" s="216">
        <f t="shared" si="17"/>
        <v>1</v>
      </c>
    </row>
    <row r="35" spans="1:55" ht="20.100000000000001" customHeight="1" x14ac:dyDescent="0.2">
      <c r="A35" s="45">
        <v>0.83333333333333304</v>
      </c>
      <c r="B35" s="451"/>
      <c r="C35" s="451"/>
      <c r="D35" s="451">
        <v>5.8</v>
      </c>
      <c r="E35" s="451">
        <v>59.6</v>
      </c>
      <c r="F35" s="41">
        <v>1951</v>
      </c>
      <c r="G35" s="37">
        <v>-5.6</v>
      </c>
      <c r="H35" s="37">
        <v>72.3</v>
      </c>
      <c r="I35" s="37">
        <v>23.6</v>
      </c>
      <c r="J35" s="41">
        <v>769</v>
      </c>
      <c r="K35" s="37">
        <v>13</v>
      </c>
      <c r="L35" s="451">
        <v>130</v>
      </c>
      <c r="M35" s="451">
        <v>222</v>
      </c>
      <c r="N35" s="451">
        <v>90</v>
      </c>
      <c r="O35" s="353">
        <v>30</v>
      </c>
      <c r="P35" s="353">
        <v>15</v>
      </c>
      <c r="Q35" s="353">
        <v>230.26</v>
      </c>
      <c r="R35" s="37"/>
      <c r="S35" s="508" t="str">
        <f t="shared" si="22"/>
        <v/>
      </c>
      <c r="T35" s="508"/>
      <c r="U35" s="508"/>
      <c r="V35" s="508"/>
      <c r="X35" s="45">
        <v>0.83333333333333304</v>
      </c>
      <c r="Y35" s="106"/>
      <c r="Z35" s="102"/>
      <c r="AA35" s="102"/>
      <c r="AB35" s="45" t="str">
        <f t="shared" si="18"/>
        <v/>
      </c>
      <c r="AC35" s="45" t="str">
        <f t="shared" si="1"/>
        <v/>
      </c>
      <c r="AD35" s="81"/>
      <c r="AE35" s="9" t="str">
        <f>IF(S35="","",IF(COUNTA(Z35:$Z$39)=1,IF(COUNTA(AD35:$AD$39)=1,""," ; "),IF(COUNTA(AD35:$AD$39)=1,IF(Z35="",""," ; ")," ; ")))</f>
        <v/>
      </c>
      <c r="AF35" s="9" t="str">
        <f t="shared" si="2"/>
        <v/>
      </c>
      <c r="AG35" s="90" t="str">
        <f t="shared" si="3"/>
        <v/>
      </c>
      <c r="AH35" s="204" t="s">
        <v>227</v>
      </c>
      <c r="AJ35" s="206">
        <f t="shared" si="21"/>
        <v>500</v>
      </c>
      <c r="AK35" s="206">
        <f t="shared" si="21"/>
        <v>100</v>
      </c>
      <c r="AL35" s="206">
        <f t="shared" si="21"/>
        <v>2</v>
      </c>
      <c r="AM35" s="213">
        <f t="shared" si="21"/>
        <v>0.875</v>
      </c>
      <c r="AN35" s="214">
        <f t="shared" si="21"/>
        <v>0.63607464142166403</v>
      </c>
      <c r="AO35" s="215">
        <f t="shared" si="4"/>
        <v>-14.7</v>
      </c>
      <c r="AP35" s="216">
        <f t="shared" si="5"/>
        <v>1</v>
      </c>
      <c r="AQ35" s="216">
        <f t="shared" si="6"/>
        <v>1</v>
      </c>
      <c r="AR35" s="215">
        <f t="shared" si="20"/>
        <v>158.47</v>
      </c>
      <c r="AS35" s="216">
        <f t="shared" si="7"/>
        <v>0.9723448696087954</v>
      </c>
      <c r="AT35" s="216">
        <f t="shared" si="8"/>
        <v>1.2538510821608391</v>
      </c>
      <c r="AU35" s="216">
        <f t="shared" si="9"/>
        <v>2.2360679774997898</v>
      </c>
      <c r="AV35" s="217">
        <f t="shared" si="10"/>
        <v>10.368348541764712</v>
      </c>
      <c r="AW35" s="216">
        <f t="shared" si="11"/>
        <v>0</v>
      </c>
      <c r="AX35" s="218">
        <f t="shared" si="12"/>
        <v>1.4831709199797398</v>
      </c>
      <c r="AY35" s="216">
        <f t="shared" si="13"/>
        <v>0.77643477842613629</v>
      </c>
      <c r="AZ35" s="217">
        <f t="shared" si="14"/>
        <v>3.5883638597441294</v>
      </c>
      <c r="BA35" s="216">
        <f t="shared" si="15"/>
        <v>0</v>
      </c>
      <c r="BB35" s="216">
        <f t="shared" si="16"/>
        <v>1.0016542390239327</v>
      </c>
      <c r="BC35" s="216">
        <f t="shared" si="17"/>
        <v>1</v>
      </c>
    </row>
    <row r="36" spans="1:55" ht="20.100000000000001" customHeight="1" x14ac:dyDescent="0.2">
      <c r="A36" s="45">
        <v>0.875</v>
      </c>
      <c r="B36" s="451"/>
      <c r="C36" s="451"/>
      <c r="D36" s="451">
        <v>6.3</v>
      </c>
      <c r="E36" s="451">
        <v>59.5</v>
      </c>
      <c r="F36" s="41">
        <v>1936</v>
      </c>
      <c r="G36" s="37">
        <v>-5.6</v>
      </c>
      <c r="H36" s="37">
        <v>72.599999999999994</v>
      </c>
      <c r="I36" s="37">
        <v>23.5</v>
      </c>
      <c r="J36" s="41">
        <v>770</v>
      </c>
      <c r="K36" s="37">
        <v>13</v>
      </c>
      <c r="L36" s="451">
        <v>130</v>
      </c>
      <c r="M36" s="451">
        <v>222</v>
      </c>
      <c r="N36" s="451">
        <v>90</v>
      </c>
      <c r="O36" s="353">
        <v>30</v>
      </c>
      <c r="P36" s="353">
        <v>14</v>
      </c>
      <c r="Q36" s="353">
        <v>222.52</v>
      </c>
      <c r="R36" s="37"/>
      <c r="S36" s="508" t="str">
        <f t="shared" si="22"/>
        <v/>
      </c>
      <c r="T36" s="508"/>
      <c r="U36" s="508"/>
      <c r="V36" s="508"/>
      <c r="X36" s="45">
        <v>0.875</v>
      </c>
      <c r="Y36" s="106"/>
      <c r="Z36" s="102"/>
      <c r="AA36" s="102"/>
      <c r="AB36" s="45" t="str">
        <f t="shared" si="18"/>
        <v/>
      </c>
      <c r="AC36" s="45" t="str">
        <f t="shared" si="1"/>
        <v/>
      </c>
      <c r="AD36" s="81"/>
      <c r="AE36" s="9" t="str">
        <f>IF(S36="","",IF(COUNTA(Z36:$Z$39)=1,IF(COUNTA(AD36:$AD$39)=1,""," ; "),IF(COUNTA(AD36:$AD$39)=1,IF(Z36="",""," ; ")," ; ")))</f>
        <v/>
      </c>
      <c r="AF36" s="9" t="str">
        <f t="shared" si="2"/>
        <v/>
      </c>
      <c r="AG36" s="90" t="str">
        <f t="shared" si="3"/>
        <v/>
      </c>
      <c r="AH36" s="204" t="s">
        <v>309</v>
      </c>
      <c r="AJ36" s="206">
        <f t="shared" si="21"/>
        <v>500</v>
      </c>
      <c r="AK36" s="206">
        <f t="shared" si="21"/>
        <v>100</v>
      </c>
      <c r="AL36" s="206">
        <f t="shared" si="21"/>
        <v>2</v>
      </c>
      <c r="AM36" s="213">
        <f t="shared" si="21"/>
        <v>0.875</v>
      </c>
      <c r="AN36" s="214">
        <f t="shared" si="21"/>
        <v>0.63607464142166403</v>
      </c>
      <c r="AO36" s="215">
        <f t="shared" si="4"/>
        <v>-14.7</v>
      </c>
      <c r="AP36" s="216">
        <f t="shared" si="5"/>
        <v>1</v>
      </c>
      <c r="AQ36" s="216">
        <f t="shared" si="6"/>
        <v>1</v>
      </c>
      <c r="AR36" s="215">
        <f t="shared" si="20"/>
        <v>158.47</v>
      </c>
      <c r="AS36" s="216">
        <f t="shared" si="7"/>
        <v>0.9723448696087954</v>
      </c>
      <c r="AT36" s="216">
        <f t="shared" si="8"/>
        <v>1.2538510821608391</v>
      </c>
      <c r="AU36" s="216">
        <f t="shared" si="9"/>
        <v>2.2360679774997898</v>
      </c>
      <c r="AV36" s="217">
        <f t="shared" si="10"/>
        <v>10.368348541764712</v>
      </c>
      <c r="AW36" s="216">
        <f t="shared" si="11"/>
        <v>0</v>
      </c>
      <c r="AX36" s="218">
        <f t="shared" si="12"/>
        <v>1.4831709199797398</v>
      </c>
      <c r="AY36" s="216">
        <f t="shared" si="13"/>
        <v>0.77643477842613629</v>
      </c>
      <c r="AZ36" s="217">
        <f t="shared" si="14"/>
        <v>3.5883638597441294</v>
      </c>
      <c r="BA36" s="216">
        <f t="shared" si="15"/>
        <v>0</v>
      </c>
      <c r="BB36" s="216">
        <f t="shared" si="16"/>
        <v>1.0016542390239327</v>
      </c>
      <c r="BC36" s="216">
        <f t="shared" si="17"/>
        <v>1</v>
      </c>
    </row>
    <row r="37" spans="1:55" ht="20.100000000000001" customHeight="1" x14ac:dyDescent="0.2">
      <c r="A37" s="45">
        <v>0.91666666666666696</v>
      </c>
      <c r="B37" s="451"/>
      <c r="C37" s="451"/>
      <c r="D37" s="451">
        <v>6.6</v>
      </c>
      <c r="E37" s="451">
        <v>62.3</v>
      </c>
      <c r="F37" s="41">
        <v>1945</v>
      </c>
      <c r="G37" s="37">
        <v>-5.6</v>
      </c>
      <c r="H37" s="37">
        <v>72.5</v>
      </c>
      <c r="I37" s="37">
        <v>23.3</v>
      </c>
      <c r="J37" s="41">
        <v>771</v>
      </c>
      <c r="K37" s="37">
        <v>13</v>
      </c>
      <c r="L37" s="451">
        <v>128</v>
      </c>
      <c r="M37" s="451">
        <v>220</v>
      </c>
      <c r="N37" s="451">
        <v>90</v>
      </c>
      <c r="O37" s="353">
        <v>30</v>
      </c>
      <c r="P37" s="353">
        <v>17</v>
      </c>
      <c r="Q37" s="353">
        <v>244.99</v>
      </c>
      <c r="R37" s="37"/>
      <c r="S37" s="508" t="str">
        <f t="shared" si="22"/>
        <v/>
      </c>
      <c r="T37" s="508"/>
      <c r="U37" s="508"/>
      <c r="V37" s="508"/>
      <c r="X37" s="45">
        <v>0.91666666666666696</v>
      </c>
      <c r="Y37" s="106"/>
      <c r="Z37" s="102"/>
      <c r="AA37" s="102"/>
      <c r="AB37" s="45" t="str">
        <f t="shared" si="18"/>
        <v/>
      </c>
      <c r="AC37" s="45" t="str">
        <f t="shared" si="1"/>
        <v/>
      </c>
      <c r="AD37" s="81"/>
      <c r="AE37" s="9" t="str">
        <f>IF(S37="","",IF(COUNTA(Z37:$Z$39)=1,IF(COUNTA(AD37:$AD$39)=1,""," ; "),IF(COUNTA(AD37:$AD$39)=1,IF(Z37="",""," ; ")," ; ")))</f>
        <v/>
      </c>
      <c r="AF37" s="9" t="str">
        <f t="shared" si="2"/>
        <v/>
      </c>
      <c r="AG37" s="90" t="str">
        <f t="shared" si="3"/>
        <v/>
      </c>
      <c r="AH37" s="204" t="s">
        <v>319</v>
      </c>
      <c r="AJ37" s="206">
        <f t="shared" si="21"/>
        <v>500</v>
      </c>
      <c r="AK37" s="206">
        <f t="shared" si="21"/>
        <v>100</v>
      </c>
      <c r="AL37" s="206">
        <f t="shared" si="21"/>
        <v>2</v>
      </c>
      <c r="AM37" s="213">
        <f t="shared" si="21"/>
        <v>0.875</v>
      </c>
      <c r="AN37" s="214">
        <f t="shared" si="21"/>
        <v>0.63607464142166403</v>
      </c>
      <c r="AO37" s="215">
        <f t="shared" si="4"/>
        <v>-14.7</v>
      </c>
      <c r="AP37" s="216">
        <f t="shared" si="5"/>
        <v>1</v>
      </c>
      <c r="AQ37" s="216">
        <f t="shared" si="6"/>
        <v>1</v>
      </c>
      <c r="AR37" s="215">
        <f t="shared" si="20"/>
        <v>158.47</v>
      </c>
      <c r="AS37" s="216">
        <f t="shared" si="7"/>
        <v>0.9723448696087954</v>
      </c>
      <c r="AT37" s="216">
        <f t="shared" si="8"/>
        <v>1.2538510821608391</v>
      </c>
      <c r="AU37" s="216">
        <f t="shared" si="9"/>
        <v>2.2360679774997898</v>
      </c>
      <c r="AV37" s="217">
        <f t="shared" si="10"/>
        <v>10.368348541764712</v>
      </c>
      <c r="AW37" s="216">
        <f t="shared" si="11"/>
        <v>0</v>
      </c>
      <c r="AX37" s="218">
        <f t="shared" si="12"/>
        <v>1.4831709199797398</v>
      </c>
      <c r="AY37" s="216">
        <f t="shared" si="13"/>
        <v>0.77643477842613629</v>
      </c>
      <c r="AZ37" s="217">
        <f t="shared" si="14"/>
        <v>3.5883638597441294</v>
      </c>
      <c r="BA37" s="216">
        <f t="shared" si="15"/>
        <v>0</v>
      </c>
      <c r="BB37" s="216">
        <f t="shared" si="16"/>
        <v>1.0016542390239327</v>
      </c>
      <c r="BC37" s="216">
        <f t="shared" si="17"/>
        <v>1</v>
      </c>
    </row>
    <row r="38" spans="1:55" ht="20.100000000000001" customHeight="1" x14ac:dyDescent="0.2">
      <c r="A38" s="45">
        <v>0.95833333333333304</v>
      </c>
      <c r="B38" s="451"/>
      <c r="C38" s="451"/>
      <c r="D38" s="451">
        <v>6.9</v>
      </c>
      <c r="E38" s="451">
        <v>62.6</v>
      </c>
      <c r="F38" s="41">
        <v>1951</v>
      </c>
      <c r="G38" s="37">
        <v>-5.6</v>
      </c>
      <c r="H38" s="37">
        <v>72.8</v>
      </c>
      <c r="I38" s="37">
        <v>23.9</v>
      </c>
      <c r="J38" s="41">
        <v>772</v>
      </c>
      <c r="K38" s="37">
        <v>13</v>
      </c>
      <c r="L38" s="451">
        <v>128</v>
      </c>
      <c r="M38" s="451">
        <v>220</v>
      </c>
      <c r="N38" s="451">
        <v>90</v>
      </c>
      <c r="O38" s="353">
        <v>30</v>
      </c>
      <c r="P38" s="353">
        <v>16</v>
      </c>
      <c r="Q38" s="353">
        <v>237.74</v>
      </c>
      <c r="R38" s="37"/>
      <c r="S38" s="508" t="str">
        <f t="shared" si="22"/>
        <v/>
      </c>
      <c r="T38" s="508"/>
      <c r="U38" s="508"/>
      <c r="V38" s="508"/>
      <c r="X38" s="45">
        <v>0.95833333333333304</v>
      </c>
      <c r="Y38" s="106"/>
      <c r="Z38" s="102"/>
      <c r="AA38" s="102"/>
      <c r="AB38" s="45" t="str">
        <f t="shared" si="18"/>
        <v/>
      </c>
      <c r="AC38" s="45" t="str">
        <f t="shared" si="1"/>
        <v/>
      </c>
      <c r="AD38" s="81"/>
      <c r="AE38" s="9" t="str">
        <f>IF(S38="","",IF(COUNTA(Z38:$Z$39)=1,IF(COUNTA(AD38:$AD$39)=1,""," ; "),IF(COUNTA(AD38:$AD$39)=1,IF(Z38="",""," ; ")," ; ")))</f>
        <v/>
      </c>
      <c r="AF38" s="9" t="str">
        <f t="shared" si="2"/>
        <v/>
      </c>
      <c r="AG38" s="90" t="str">
        <f t="shared" si="3"/>
        <v/>
      </c>
      <c r="AH38" s="204" t="s">
        <v>219</v>
      </c>
      <c r="AJ38" s="206">
        <f t="shared" si="21"/>
        <v>500</v>
      </c>
      <c r="AK38" s="206">
        <f t="shared" si="21"/>
        <v>100</v>
      </c>
      <c r="AL38" s="206">
        <f t="shared" si="21"/>
        <v>2</v>
      </c>
      <c r="AM38" s="213">
        <f t="shared" si="21"/>
        <v>0.875</v>
      </c>
      <c r="AN38" s="214">
        <f t="shared" si="21"/>
        <v>0.63607464142166403</v>
      </c>
      <c r="AO38" s="215">
        <f t="shared" si="4"/>
        <v>-14.7</v>
      </c>
      <c r="AP38" s="216">
        <f t="shared" si="5"/>
        <v>1</v>
      </c>
      <c r="AQ38" s="216">
        <f t="shared" si="6"/>
        <v>1</v>
      </c>
      <c r="AR38" s="215">
        <f t="shared" si="20"/>
        <v>158.47</v>
      </c>
      <c r="AS38" s="216">
        <f t="shared" si="7"/>
        <v>0.9723448696087954</v>
      </c>
      <c r="AT38" s="216">
        <f t="shared" si="8"/>
        <v>1.2538510821608391</v>
      </c>
      <c r="AU38" s="216">
        <f t="shared" si="9"/>
        <v>2.2360679774997898</v>
      </c>
      <c r="AV38" s="217">
        <f t="shared" si="10"/>
        <v>10.368348541764712</v>
      </c>
      <c r="AW38" s="216">
        <f t="shared" si="11"/>
        <v>0</v>
      </c>
      <c r="AX38" s="218">
        <f t="shared" si="12"/>
        <v>1.4831709199797398</v>
      </c>
      <c r="AY38" s="216">
        <f t="shared" si="13"/>
        <v>0.77643477842613629</v>
      </c>
      <c r="AZ38" s="217">
        <f t="shared" si="14"/>
        <v>3.5883638597441294</v>
      </c>
      <c r="BA38" s="216">
        <f t="shared" si="15"/>
        <v>0</v>
      </c>
      <c r="BB38" s="216">
        <f t="shared" si="16"/>
        <v>1.0016542390239327</v>
      </c>
      <c r="BC38" s="216">
        <f t="shared" si="17"/>
        <v>1</v>
      </c>
    </row>
    <row r="39" spans="1:55" ht="20.100000000000001" customHeight="1" thickBot="1" x14ac:dyDescent="0.25">
      <c r="A39" s="46">
        <v>1</v>
      </c>
      <c r="B39" s="451"/>
      <c r="C39" s="451"/>
      <c r="D39" s="452">
        <v>6.5</v>
      </c>
      <c r="E39" s="452">
        <v>62.8</v>
      </c>
      <c r="F39" s="42">
        <v>1963</v>
      </c>
      <c r="G39" s="37">
        <v>-5.6</v>
      </c>
      <c r="H39" s="38">
        <v>72.5</v>
      </c>
      <c r="I39" s="37">
        <v>23.5</v>
      </c>
      <c r="J39" s="41">
        <v>773</v>
      </c>
      <c r="K39" s="37">
        <v>13</v>
      </c>
      <c r="L39" s="452">
        <v>129</v>
      </c>
      <c r="M39" s="452">
        <v>220</v>
      </c>
      <c r="N39" s="451">
        <v>90</v>
      </c>
      <c r="O39" s="353">
        <v>30</v>
      </c>
      <c r="P39" s="353">
        <v>13</v>
      </c>
      <c r="Q39" s="354">
        <v>214.5</v>
      </c>
      <c r="R39" s="38"/>
      <c r="S39" s="512" t="str">
        <f t="shared" si="22"/>
        <v/>
      </c>
      <c r="T39" s="512"/>
      <c r="U39" s="512"/>
      <c r="V39" s="512"/>
      <c r="X39" s="46">
        <v>1</v>
      </c>
      <c r="Y39" s="107"/>
      <c r="Z39" s="103"/>
      <c r="AA39" s="103"/>
      <c r="AB39" s="46" t="str">
        <f t="shared" si="18"/>
        <v/>
      </c>
      <c r="AC39" s="46" t="str">
        <f t="shared" si="1"/>
        <v/>
      </c>
      <c r="AD39" s="82"/>
      <c r="AE39" s="9" t="str">
        <f>IF(S39="","",IF(COUNTA(Z39:$Z$39)=1,IF(COUNTA(AD39:$AD$39)=1,""," ; "),IF(COUNTA(AD39:$AD$39)=1,IF(Z39="",""," ; ")," ; ")))</f>
        <v/>
      </c>
      <c r="AF39" s="9" t="str">
        <f t="shared" si="2"/>
        <v/>
      </c>
      <c r="AG39" s="90" t="str">
        <f t="shared" si="3"/>
        <v/>
      </c>
      <c r="AH39" s="204" t="s">
        <v>220</v>
      </c>
      <c r="AJ39" s="219">
        <f t="shared" si="21"/>
        <v>500</v>
      </c>
      <c r="AK39" s="219">
        <f t="shared" si="21"/>
        <v>100</v>
      </c>
      <c r="AL39" s="219">
        <f t="shared" si="21"/>
        <v>2</v>
      </c>
      <c r="AM39" s="220">
        <f t="shared" si="21"/>
        <v>0.875</v>
      </c>
      <c r="AN39" s="221">
        <f t="shared" si="21"/>
        <v>0.63607464142166403</v>
      </c>
      <c r="AO39" s="222">
        <f t="shared" si="4"/>
        <v>-14.7</v>
      </c>
      <c r="AP39" s="223">
        <f t="shared" si="5"/>
        <v>1</v>
      </c>
      <c r="AQ39" s="223">
        <f t="shared" si="6"/>
        <v>1</v>
      </c>
      <c r="AR39" s="222">
        <f t="shared" si="20"/>
        <v>158.47</v>
      </c>
      <c r="AS39" s="223">
        <f t="shared" si="7"/>
        <v>0.9723448696087954</v>
      </c>
      <c r="AT39" s="223">
        <f t="shared" si="8"/>
        <v>1.2538510821608391</v>
      </c>
      <c r="AU39" s="223">
        <f t="shared" si="9"/>
        <v>2.2360679774997898</v>
      </c>
      <c r="AV39" s="224">
        <f t="shared" si="10"/>
        <v>10.368348541764712</v>
      </c>
      <c r="AW39" s="223">
        <f t="shared" si="11"/>
        <v>0</v>
      </c>
      <c r="AX39" s="225">
        <f t="shared" si="12"/>
        <v>1.4831709199797398</v>
      </c>
      <c r="AY39" s="223">
        <f t="shared" si="13"/>
        <v>0.77643477842613629</v>
      </c>
      <c r="AZ39" s="224">
        <f t="shared" si="14"/>
        <v>3.5883638597441294</v>
      </c>
      <c r="BA39" s="223">
        <f t="shared" si="15"/>
        <v>0</v>
      </c>
      <c r="BB39" s="223">
        <f t="shared" si="16"/>
        <v>1.0016542390239327</v>
      </c>
      <c r="BC39" s="223">
        <f t="shared" si="17"/>
        <v>1</v>
      </c>
    </row>
    <row r="40" spans="1:55" ht="20.100000000000001" customHeight="1" thickBot="1" x14ac:dyDescent="0.3">
      <c r="A40" s="53" t="s">
        <v>11</v>
      </c>
      <c r="B40" s="453" t="str">
        <f>IFERROR(ROUND(AVERAGE(B16:B39),2),"")</f>
        <v/>
      </c>
      <c r="C40" s="453" t="str">
        <f>IFERROR(ROUND(AVERAGE(C16:C39),2),"")</f>
        <v/>
      </c>
      <c r="D40" s="453">
        <f>IFERROR(ROUND(AVERAGE(D16:D39),2),"")</f>
        <v>6.2</v>
      </c>
      <c r="E40" s="453">
        <f>IFERROR(ROUND(AVERAGE(E16:E39),2),"")</f>
        <v>59.6</v>
      </c>
      <c r="F40" s="55">
        <f>IFERROR(ROUND(AVERAGE(F16:F39),0),"")</f>
        <v>1944</v>
      </c>
      <c r="G40" s="54">
        <f>IFERROR(AVERAGE(G16:G39),"")</f>
        <v>-5.5999999999999979</v>
      </c>
      <c r="H40" s="54">
        <f>IFERROR(AVERAGE(H16:H39),"")</f>
        <v>72.462499999999991</v>
      </c>
      <c r="I40" s="54">
        <f>IFERROR(AVERAGE(I16:I39),"")</f>
        <v>23.466666666666669</v>
      </c>
      <c r="J40" s="71"/>
      <c r="K40" s="111">
        <f>IFERROR(AVERAGE(K16:K39),"")</f>
        <v>13</v>
      </c>
      <c r="L40" s="453">
        <f t="shared" ref="L40:P40" si="23">IFERROR(ROUND(AVERAGE(L16:L39),1),"")</f>
        <v>132.1</v>
      </c>
      <c r="M40" s="453">
        <f t="shared" si="23"/>
        <v>222</v>
      </c>
      <c r="N40" s="453">
        <f t="shared" si="23"/>
        <v>90</v>
      </c>
      <c r="O40" s="456">
        <f t="shared" si="23"/>
        <v>36</v>
      </c>
      <c r="P40" s="456">
        <f t="shared" si="23"/>
        <v>14.1</v>
      </c>
      <c r="Q40" s="456">
        <f>IF($I$47=1,$M$49,$Q$44)</f>
        <v>226.5</v>
      </c>
      <c r="R40" s="54" t="str">
        <f>IFERROR(ROUND(AVERAGE(R16:R39),1),"")</f>
        <v/>
      </c>
      <c r="S40" s="509"/>
      <c r="T40" s="510"/>
      <c r="U40" s="510"/>
      <c r="V40" s="511"/>
      <c r="X40" s="99"/>
      <c r="Y40" s="99"/>
      <c r="Z40" s="99"/>
      <c r="AA40" s="99"/>
      <c r="AB40" s="104">
        <f>SUM(AB16:AB39)</f>
        <v>0</v>
      </c>
      <c r="AC40" s="104">
        <f>SUM(AC16:AC39)</f>
        <v>0</v>
      </c>
      <c r="AD40" s="92" t="str">
        <f>IF(OR(COUNTBLANK(D16:E39)+COUNTBLANK(O16:P39)=0,COUNTA(S16:V39)&lt;&gt;0),"","CEK : Blank Data - Remarks")</f>
        <v/>
      </c>
      <c r="AG40" s="90" t="str">
        <f>IF(COUNTIF(AG16:AG39,"")=COUNTA(AG16:AG39),"","CEK : Data Flowrate")</f>
        <v/>
      </c>
      <c r="AH40" s="204" t="s">
        <v>311</v>
      </c>
    </row>
    <row r="41" spans="1:55" ht="20.100000000000001" hidden="1" customHeight="1" thickBot="1" x14ac:dyDescent="0.3">
      <c r="A41" s="49" t="s">
        <v>12</v>
      </c>
      <c r="B41" s="52" t="str">
        <f>IF(COUNT(B16:B39)&gt;0,ROUND(MIN(B16:B39),2),"")</f>
        <v/>
      </c>
      <c r="C41" s="52" t="str">
        <f>IF(COUNT(C16:C39)&gt;0,ROUND(MIN(C16:C39),2),"")</f>
        <v/>
      </c>
      <c r="D41" s="52">
        <f>IF(COUNT(D16:D39)&gt;0,ROUND(MIN(D16:D39),2),"")</f>
        <v>4.9000000000000004</v>
      </c>
      <c r="E41" s="52">
        <f>IF(COUNT(E16:E39)&gt;0,ROUND(MIN(E16:E39),2),"")</f>
        <v>52.6</v>
      </c>
      <c r="F41" s="51">
        <f>IF(COUNT(F16:F39)&gt;0,ROUND(MIN(F16:F39),0),"")</f>
        <v>1913</v>
      </c>
      <c r="G41" s="50">
        <f>IF(COUNT(G16:G39)&gt;0,MIN(G16:G39),"")</f>
        <v>-5.6</v>
      </c>
      <c r="H41" s="50">
        <f>IF(COUNT(H16:H39)&gt;0,MIN(H16:H39),"")</f>
        <v>72</v>
      </c>
      <c r="I41" s="50">
        <f>IF(COUNT(I16:I39)&gt;0,MIN(I16:I39),"")</f>
        <v>23.1</v>
      </c>
      <c r="J41" s="72"/>
      <c r="K41" s="50">
        <f>IF(COUNT(K16:K39)&gt;0,MIN(K16:K39),"")</f>
        <v>13</v>
      </c>
      <c r="L41" s="52">
        <f>IF(COUNT(L16:L39)&gt;0,ROUND(MIN(L16:L39),1),"")</f>
        <v>128</v>
      </c>
      <c r="M41" s="52">
        <f>IF(COUNT(M16:M39)&gt;0,ROUND(MIN(M16:M39),1),"")</f>
        <v>220</v>
      </c>
      <c r="N41" s="52">
        <f>IF(COUNT(N16:N39)&gt;0,ROUND(MIN(N16:N39),1),"")</f>
        <v>90</v>
      </c>
      <c r="O41" s="440">
        <f>IF(COUNT(O16:O39)&gt;0,ROUND(MIN(O16:O39),1),"")</f>
        <v>30</v>
      </c>
      <c r="P41" s="440">
        <f>IF(COUNT(P16:P39)&gt;0,ROUND(MIN(P16:P39),1),"")</f>
        <v>12</v>
      </c>
      <c r="Q41" s="440">
        <f>IF(COUNT(Q16:Q39)&gt;0,ROUND(MIN(Q16:Q39),4),"")</f>
        <v>214.5</v>
      </c>
      <c r="R41" s="121" t="str">
        <f>IF(COUNT(R16:R39)&gt;0,ROUND(MIN(R16:R39),1),"")</f>
        <v/>
      </c>
      <c r="S41" s="509"/>
      <c r="T41" s="510"/>
      <c r="U41" s="510"/>
      <c r="V41" s="511"/>
      <c r="X41" s="99"/>
      <c r="Y41" s="99"/>
      <c r="Z41" s="99"/>
      <c r="AA41" s="99"/>
      <c r="AB41" s="99"/>
      <c r="AC41" s="99"/>
      <c r="AH41" s="204" t="s">
        <v>318</v>
      </c>
    </row>
    <row r="42" spans="1:55" ht="20.100000000000001" hidden="1" customHeight="1" thickBot="1" x14ac:dyDescent="0.3">
      <c r="A42" s="21" t="s">
        <v>13</v>
      </c>
      <c r="B42" s="454" t="str">
        <f>IF(COUNT(B16:B39)&gt;0,ROUND(MAX(B16:B39),2),"")</f>
        <v/>
      </c>
      <c r="C42" s="454" t="str">
        <f>IF(COUNT(C16:C39)&gt;0,ROUND(MAX(C16:C39),2),"")</f>
        <v/>
      </c>
      <c r="D42" s="454">
        <f>IF(COUNT(D16:D39)&gt;0,ROUND(MAX(D16:D39),2),"")</f>
        <v>7.1</v>
      </c>
      <c r="E42" s="454">
        <f>IF(COUNT(E16:E39)&gt;0,ROUND(MAX(E16:E39),2),"")</f>
        <v>62.8</v>
      </c>
      <c r="F42" s="43">
        <f>IF(COUNT(F16:F39)&gt;0,ROUND(MAX(F16:F39),0),"")</f>
        <v>1991</v>
      </c>
      <c r="G42" s="39">
        <f>IF(COUNT(G16:G39)&gt;0,MAX(G16:G39),"")</f>
        <v>-5.6</v>
      </c>
      <c r="H42" s="39">
        <f>IF(COUNT(H16:H39)&gt;0,MAX(H16:H39),"")</f>
        <v>72.900000000000006</v>
      </c>
      <c r="I42" s="39">
        <f>IF(COUNT(I16:I39)&gt;0,MAX(I16:I39),"")</f>
        <v>23.9</v>
      </c>
      <c r="J42" s="43">
        <f>IF(COUNT(J16:J39)&gt;0,MAX(J16:J39),"")</f>
        <v>773</v>
      </c>
      <c r="K42" s="39">
        <f>IF(COUNT(K16:K39)&gt;0,MAX(K16:K39),"")</f>
        <v>13</v>
      </c>
      <c r="L42" s="454">
        <f>IF(COUNT(L16:L39)&gt;0,ROUND(MAX(L16:L39),1),"")</f>
        <v>137</v>
      </c>
      <c r="M42" s="454">
        <f>IF(COUNT(M16:M39)&gt;0,ROUND(MAX(M16:M39),1),"")</f>
        <v>227</v>
      </c>
      <c r="N42" s="454">
        <f>IF(COUNT(N16:N39)&gt;0,ROUND(MAX(N16:N39),1),"")</f>
        <v>90</v>
      </c>
      <c r="O42" s="441">
        <f>IF(COUNT(O16:O39)&gt;0,ROUND(MAX(O16:O39),1),"")</f>
        <v>45</v>
      </c>
      <c r="P42" s="441">
        <f>IF(COUNT(P16:P39)&gt;0,ROUND(MAX(P16:P39),1),"")</f>
        <v>17</v>
      </c>
      <c r="Q42" s="441">
        <f>IF(COUNT(Q16:Q39)&gt;0,ROUND(MAX(Q16:Q39),4),"")</f>
        <v>246.42</v>
      </c>
      <c r="R42" s="39" t="str">
        <f>IF(COUNT(R16:R39)&gt;0,ROUND(MAX(R16:R39),1),"")</f>
        <v/>
      </c>
      <c r="S42" s="509"/>
      <c r="T42" s="510"/>
      <c r="U42" s="510"/>
      <c r="V42" s="511"/>
      <c r="X42" s="99"/>
      <c r="Y42" s="99"/>
      <c r="Z42" s="99"/>
      <c r="AA42" s="99"/>
      <c r="AB42" s="99"/>
      <c r="AC42" s="99"/>
      <c r="AH42" s="204" t="s">
        <v>312</v>
      </c>
    </row>
    <row r="43" spans="1:55" ht="20.100000000000001" hidden="1" customHeight="1" x14ac:dyDescent="0.25">
      <c r="A43" s="109"/>
      <c r="B43" s="110">
        <f>COUNT(B16:B39)</f>
        <v>0</v>
      </c>
      <c r="C43" s="110">
        <f>COUNT(C16:C39)</f>
        <v>0</v>
      </c>
      <c r="D43" s="110">
        <f>COUNT(D16:D39)</f>
        <v>24</v>
      </c>
      <c r="E43" s="110">
        <f t="shared" ref="E43:H43" si="24">COUNT(E16:E39)</f>
        <v>24</v>
      </c>
      <c r="F43" s="110">
        <f t="shared" si="24"/>
        <v>24</v>
      </c>
      <c r="G43" s="110">
        <f t="shared" si="24"/>
        <v>24</v>
      </c>
      <c r="H43" s="110">
        <f t="shared" si="24"/>
        <v>24</v>
      </c>
      <c r="I43" s="110"/>
      <c r="J43" s="110"/>
      <c r="K43" s="110"/>
      <c r="L43" s="110">
        <f t="shared" ref="L43:Q43" si="25">COUNT(L16:L39)</f>
        <v>24</v>
      </c>
      <c r="M43" s="110">
        <f t="shared" si="25"/>
        <v>24</v>
      </c>
      <c r="N43" s="110">
        <f t="shared" si="25"/>
        <v>24</v>
      </c>
      <c r="O43" s="110">
        <f t="shared" si="25"/>
        <v>24</v>
      </c>
      <c r="P43" s="110">
        <f t="shared" si="25"/>
        <v>24</v>
      </c>
      <c r="Q43" s="110">
        <f t="shared" si="25"/>
        <v>24</v>
      </c>
      <c r="R43" s="110"/>
      <c r="S43" s="99"/>
      <c r="T43" s="99"/>
      <c r="U43" s="99"/>
      <c r="V43" s="99"/>
      <c r="X43" s="99"/>
      <c r="Y43" s="99"/>
      <c r="Z43" s="99"/>
      <c r="AA43" s="99"/>
      <c r="AB43" s="99"/>
      <c r="AC43" s="99"/>
      <c r="AD43" s="92" t="str">
        <f>IF(AND(D43=E43,D43=F43,D43=G43,D43=H43,D43=L43,D43=M43,D43=N43,D43=O43,D43=P43,D43=Q43),"","CEK : Data Content")</f>
        <v/>
      </c>
      <c r="AH43" s="204" t="s">
        <v>221</v>
      </c>
    </row>
    <row r="44" spans="1:55" s="6" customFormat="1" ht="15" customHeight="1" x14ac:dyDescent="0.25">
      <c r="J44" s="91" t="str">
        <f>IF(J1="PRINT","",IF(J42="","RH please ! !",""))</f>
        <v/>
      </c>
      <c r="L44" s="24"/>
      <c r="Q44" s="445">
        <f>IFERROR(ROUND(AVERAGE(Q16:Q39),4),"")</f>
        <v>236.9796</v>
      </c>
      <c r="AH44" s="204" t="s">
        <v>323</v>
      </c>
      <c r="AI44" s="7"/>
    </row>
    <row r="45" spans="1:55" s="6" customFormat="1" ht="15" customHeight="1" x14ac:dyDescent="0.25">
      <c r="L45" s="26" t="s">
        <v>290</v>
      </c>
      <c r="Q45" s="445"/>
      <c r="AH45" s="204" t="s">
        <v>288</v>
      </c>
      <c r="AI45" s="7"/>
    </row>
    <row r="46" spans="1:55" s="6" customFormat="1" ht="15" customHeight="1" x14ac:dyDescent="0.25">
      <c r="D46" s="443" t="s">
        <v>90</v>
      </c>
      <c r="E46" s="448" t="str">
        <f>IF(Schedule!C$33="","",Schedule!C$33)</f>
        <v/>
      </c>
      <c r="G46" s="61"/>
      <c r="H46" s="25" t="str">
        <f>IFERROR(IF(OR(I47="",I48="",I49=""),"WAKTU BELUM DI-ISI LENGKAP",IF(SUM(I48:I49)&lt;=1,"","CEK KEMBALI PENULISAN WAKTU SALAH")),"CEK KEMBALI PENULISAN WAKTU SALAH")</f>
        <v/>
      </c>
      <c r="L46" s="26" t="s">
        <v>22</v>
      </c>
      <c r="M46" s="460">
        <f>IF(Volume!$W32="",$O46,Volume!$W32)</f>
        <v>37.719099999999997</v>
      </c>
      <c r="N46" s="27" t="s">
        <v>1</v>
      </c>
      <c r="O46" s="447">
        <f>IF(O40="","",O40)</f>
        <v>36</v>
      </c>
      <c r="P46" s="361" t="s">
        <v>29</v>
      </c>
      <c r="Q46" s="362"/>
      <c r="R46" s="362"/>
      <c r="S46" s="362"/>
      <c r="T46" s="361" t="s">
        <v>30</v>
      </c>
      <c r="U46" s="362"/>
      <c r="V46" s="362"/>
      <c r="AH46" s="204" t="s">
        <v>222</v>
      </c>
    </row>
    <row r="47" spans="1:55" s="6" customFormat="1" ht="15" customHeight="1" x14ac:dyDescent="0.25">
      <c r="D47" s="448"/>
      <c r="E47" s="448"/>
      <c r="H47" s="26" t="s">
        <v>26</v>
      </c>
      <c r="I47" s="56">
        <f>IF(OR(I48="",I49=""),"",1-I48-I49)</f>
        <v>1</v>
      </c>
      <c r="J47" s="27" t="s">
        <v>19</v>
      </c>
      <c r="L47" s="26" t="s">
        <v>23</v>
      </c>
      <c r="M47" s="442">
        <f>IF(Volume!$Y32="",$O47,Volume!$Y32)</f>
        <v>12.991</v>
      </c>
      <c r="N47" s="27" t="s">
        <v>14</v>
      </c>
      <c r="O47" s="447">
        <f>IF(P40="","",P40)</f>
        <v>14.1</v>
      </c>
      <c r="P47" s="361" t="s">
        <v>211</v>
      </c>
      <c r="Q47" s="362"/>
      <c r="R47" s="362"/>
      <c r="S47" s="362"/>
      <c r="T47" s="361" t="s">
        <v>271</v>
      </c>
      <c r="U47" s="362"/>
      <c r="V47" s="362"/>
      <c r="AH47" s="204" t="s">
        <v>223</v>
      </c>
    </row>
    <row r="48" spans="1:55" s="6" customFormat="1" ht="15" customHeight="1" x14ac:dyDescent="0.25">
      <c r="D48" s="443" t="s">
        <v>91</v>
      </c>
      <c r="E48" s="448" t="str">
        <f>IF(Schedule!D$33="","",Schedule!D$33)</f>
        <v/>
      </c>
      <c r="H48" s="26" t="s">
        <v>37</v>
      </c>
      <c r="I48" s="108">
        <f>IF(OR(COUNT($Q$16:$Q$39)&lt;&gt;0,COUNTA($AD$16:$AD$39)&lt;&gt;0),AB40,"")</f>
        <v>0</v>
      </c>
      <c r="J48" s="27" t="s">
        <v>19</v>
      </c>
      <c r="L48" s="26" t="s">
        <v>24</v>
      </c>
      <c r="M48" s="449">
        <f>IF(N40="","",N40)</f>
        <v>90</v>
      </c>
      <c r="N48" s="27" t="s">
        <v>5</v>
      </c>
      <c r="P48" s="362"/>
      <c r="Q48" s="362"/>
      <c r="R48" s="362"/>
      <c r="S48" s="362"/>
      <c r="T48" s="361" t="s">
        <v>291</v>
      </c>
      <c r="U48" s="362"/>
      <c r="V48" s="362"/>
      <c r="AH48" s="204" t="s">
        <v>324</v>
      </c>
    </row>
    <row r="49" spans="1:34" s="6" customFormat="1" ht="15" customHeight="1" x14ac:dyDescent="0.25">
      <c r="D49" s="448"/>
      <c r="E49" s="448"/>
      <c r="H49" s="26" t="s">
        <v>27</v>
      </c>
      <c r="I49" s="108">
        <f>IF(OR(COUNT($Q$16:$Q$39)&lt;&gt;0,COUNTA($AD$16:$AD$39)&lt;&gt;0),AC40,"")</f>
        <v>0</v>
      </c>
      <c r="J49" s="27" t="s">
        <v>19</v>
      </c>
      <c r="L49" s="26" t="s">
        <v>128</v>
      </c>
      <c r="M49" s="442">
        <f>IF(Volume!$L32="",M51,Volume!$L32)</f>
        <v>226.5</v>
      </c>
      <c r="N49" s="27" t="str">
        <f>IF(Q15="MSCFD","MSCF","MMSCF")</f>
        <v>MSCF</v>
      </c>
      <c r="P49" s="362"/>
      <c r="Q49" s="362"/>
      <c r="R49" s="362"/>
      <c r="S49" s="362"/>
      <c r="T49" s="362"/>
      <c r="U49" s="362"/>
      <c r="V49" s="362"/>
      <c r="AH49" s="204" t="s">
        <v>317</v>
      </c>
    </row>
    <row r="50" spans="1:34" s="6" customFormat="1" ht="15" customHeight="1" x14ac:dyDescent="0.25">
      <c r="D50" s="443" t="s">
        <v>92</v>
      </c>
      <c r="E50" s="448" t="str">
        <f>IF(Schedule!E$33="","",Schedule!E$33)</f>
        <v>Marihot Gustafa S.</v>
      </c>
      <c r="L50" s="443" t="str">
        <f>CONCATENATE(MR!L16," ",":")</f>
        <v>Liquid Gain :</v>
      </c>
      <c r="M50" s="446" t="str">
        <f>IF(R40="","",ROUND(SUM(R16:R39),2))</f>
        <v/>
      </c>
      <c r="N50" s="444" t="str">
        <f>R15</f>
        <v>BPD</v>
      </c>
      <c r="P50" s="362"/>
      <c r="Q50" s="362"/>
      <c r="R50" s="362"/>
      <c r="S50" s="362"/>
      <c r="T50" s="362"/>
      <c r="U50" s="362"/>
      <c r="V50" s="362"/>
      <c r="AH50" s="204" t="s">
        <v>282</v>
      </c>
    </row>
    <row r="51" spans="1:34" s="6" customFormat="1" ht="15" customHeight="1" x14ac:dyDescent="0.25">
      <c r="A51" s="4"/>
      <c r="L51" s="443" t="s">
        <v>286</v>
      </c>
      <c r="M51" s="447">
        <f>IF(Q44="","",IF(SUM(I48:I49)=1,IF(Q44&lt;&gt;0,"Cek Tabel",""),ROUND(Q44*I47,4)))</f>
        <v>236.9796</v>
      </c>
      <c r="N51" s="444" t="str">
        <f>IF(Q15="MSCFD","MSCF","MMSCF")</f>
        <v>MSCF</v>
      </c>
      <c r="P51" s="362"/>
      <c r="Q51" s="362"/>
      <c r="R51" s="362"/>
      <c r="S51" s="362"/>
      <c r="T51" s="362"/>
      <c r="U51" s="362"/>
      <c r="V51" s="362"/>
      <c r="AH51" s="204" t="s">
        <v>325</v>
      </c>
    </row>
    <row r="52" spans="1:34" s="6" customFormat="1" ht="15" customHeight="1" x14ac:dyDescent="0.25">
      <c r="D52" s="26" t="s">
        <v>28</v>
      </c>
      <c r="E52" s="47"/>
      <c r="F52" s="47"/>
      <c r="G52" s="47"/>
      <c r="H52" s="47"/>
      <c r="I52" s="47"/>
      <c r="J52" s="47"/>
      <c r="K52" s="47"/>
      <c r="L52" s="5"/>
      <c r="P52" s="362"/>
      <c r="Q52" s="362"/>
      <c r="R52" s="362"/>
      <c r="S52" s="362"/>
      <c r="T52" s="362"/>
      <c r="U52" s="362"/>
      <c r="V52" s="362"/>
      <c r="AH52" s="204" t="s">
        <v>280</v>
      </c>
    </row>
    <row r="53" spans="1:34" s="6" customFormat="1" ht="15" customHeight="1" x14ac:dyDescent="0.25">
      <c r="D53" s="5"/>
      <c r="E53" s="48"/>
      <c r="F53" s="48"/>
      <c r="G53" s="48"/>
      <c r="H53" s="48"/>
      <c r="I53" s="48"/>
      <c r="J53" s="48"/>
      <c r="K53" s="48"/>
      <c r="L53" s="5"/>
      <c r="P53" s="363" t="str">
        <f>UPPER(E50)</f>
        <v>MARIHOT GUSTAFA S.</v>
      </c>
      <c r="Q53" s="362"/>
      <c r="R53" s="362"/>
      <c r="S53" s="362"/>
      <c r="T53" s="363" t="str">
        <f>IF(Schedule!F$33="","",UPPER(Schedule!F$33))</f>
        <v>SAPUAN</v>
      </c>
      <c r="U53" s="362"/>
      <c r="V53" s="362"/>
      <c r="AH53" s="204" t="s">
        <v>316</v>
      </c>
    </row>
    <row r="54" spans="1:34" s="6" customFormat="1" ht="15" customHeight="1" x14ac:dyDescent="0.25">
      <c r="E54" s="48"/>
      <c r="F54" s="48"/>
      <c r="G54" s="48"/>
      <c r="H54" s="48"/>
      <c r="I54" s="48"/>
      <c r="J54" s="48"/>
      <c r="K54" s="48"/>
      <c r="P54" s="361" t="s">
        <v>107</v>
      </c>
      <c r="Q54" s="362"/>
      <c r="R54" s="362"/>
      <c r="S54" s="362"/>
      <c r="T54" s="361" t="s">
        <v>294</v>
      </c>
      <c r="U54" s="362"/>
      <c r="V54" s="362"/>
      <c r="AH54" s="204" t="s">
        <v>326</v>
      </c>
    </row>
    <row r="55" spans="1:34" s="6" customFormat="1" ht="15" customHeight="1" x14ac:dyDescent="0.25">
      <c r="P55" s="364" t="str">
        <f>CONCATENATE("Date : ",TEXT(K12,"[$-409]d mmm yyyy;@"))</f>
        <v>Date : 29 Jun 2025</v>
      </c>
      <c r="Q55" s="362"/>
      <c r="R55" s="364"/>
      <c r="S55" s="362"/>
      <c r="T55" s="364" t="str">
        <f>CONCATENATE("Date : ",TEXT(K12,"[$-409]d mmm yyyy;@"))</f>
        <v>Date : 29 Jun 2025</v>
      </c>
      <c r="U55" s="362"/>
      <c r="V55" s="362"/>
      <c r="AH55" s="204" t="s">
        <v>327</v>
      </c>
    </row>
    <row r="56" spans="1:34" ht="15" customHeight="1" x14ac:dyDescent="0.25">
      <c r="AH56" s="204" t="s">
        <v>281</v>
      </c>
    </row>
    <row r="57" spans="1:34" ht="15" customHeight="1" x14ac:dyDescent="0.25">
      <c r="AH57" s="204" t="s">
        <v>277</v>
      </c>
    </row>
    <row r="58" spans="1:34" ht="15" customHeight="1" x14ac:dyDescent="0.25">
      <c r="AH58" s="204" t="s">
        <v>328</v>
      </c>
    </row>
    <row r="59" spans="1:34" ht="15" customHeight="1" x14ac:dyDescent="0.25">
      <c r="AH59" s="204" t="s">
        <v>329</v>
      </c>
    </row>
    <row r="60" spans="1:34" ht="15" customHeight="1" x14ac:dyDescent="0.25">
      <c r="AH60" s="204" t="s">
        <v>330</v>
      </c>
    </row>
    <row r="61" spans="1:34" ht="15" customHeight="1" x14ac:dyDescent="0.25">
      <c r="AH61" s="204" t="s">
        <v>331</v>
      </c>
    </row>
    <row r="62" spans="1:34" ht="15" customHeight="1" x14ac:dyDescent="0.25">
      <c r="AH62" s="204" t="s">
        <v>332</v>
      </c>
    </row>
    <row r="63" spans="1:34" ht="15" customHeight="1" x14ac:dyDescent="0.25">
      <c r="AH63" s="204" t="s">
        <v>315</v>
      </c>
    </row>
    <row r="64" spans="1:34" ht="15" customHeight="1" x14ac:dyDescent="0.25">
      <c r="AH64" s="204" t="s">
        <v>333</v>
      </c>
    </row>
    <row r="65" spans="34:34" ht="15" customHeight="1" x14ac:dyDescent="0.25">
      <c r="AH65" s="204" t="s">
        <v>310</v>
      </c>
    </row>
    <row r="66" spans="34:34" ht="15" customHeight="1" x14ac:dyDescent="0.25">
      <c r="AH66" s="204" t="s">
        <v>334</v>
      </c>
    </row>
    <row r="67" spans="34:34" ht="15" customHeight="1" x14ac:dyDescent="0.25">
      <c r="AH67" s="204" t="s">
        <v>335</v>
      </c>
    </row>
    <row r="68" spans="34:34" ht="15" customHeight="1" x14ac:dyDescent="0.25">
      <c r="AH68" s="204" t="s">
        <v>336</v>
      </c>
    </row>
    <row r="69" spans="34:34" ht="15" customHeight="1" x14ac:dyDescent="0.25">
      <c r="AH69" s="204" t="s">
        <v>337</v>
      </c>
    </row>
    <row r="70" spans="34:34" ht="15" customHeight="1" x14ac:dyDescent="0.25">
      <c r="AH70" s="204" t="s">
        <v>338</v>
      </c>
    </row>
    <row r="71" spans="34:34" ht="15" customHeight="1" x14ac:dyDescent="0.25">
      <c r="AH71" s="204" t="s">
        <v>339</v>
      </c>
    </row>
    <row r="72" spans="34:34" ht="15" customHeight="1" x14ac:dyDescent="0.25">
      <c r="AH72" s="204" t="s">
        <v>340</v>
      </c>
    </row>
    <row r="85" spans="34:34" ht="0" hidden="1" customHeight="1" x14ac:dyDescent="0.25">
      <c r="AH85" s="6"/>
    </row>
    <row r="86" spans="34:34" ht="0" hidden="1" customHeight="1" x14ac:dyDescent="0.25">
      <c r="AH86" s="6"/>
    </row>
    <row r="87" spans="34:34" ht="0" hidden="1" customHeight="1" x14ac:dyDescent="0.25">
      <c r="AH87" s="6"/>
    </row>
    <row r="88" spans="34:34" ht="0" hidden="1" customHeight="1" x14ac:dyDescent="0.25">
      <c r="AH88" s="6"/>
    </row>
    <row r="89" spans="34:34" ht="0" hidden="1" customHeight="1" x14ac:dyDescent="0.25">
      <c r="AH89" s="6"/>
    </row>
    <row r="90" spans="34:34" ht="0" hidden="1" customHeight="1" x14ac:dyDescent="0.25">
      <c r="AH90" s="6"/>
    </row>
    <row r="91" spans="34:34" ht="0" hidden="1" customHeight="1" x14ac:dyDescent="0.25">
      <c r="AH91" s="6"/>
    </row>
    <row r="92" spans="34:34" ht="0" hidden="1" customHeight="1" x14ac:dyDescent="0.25">
      <c r="AH92" s="6"/>
    </row>
    <row r="93" spans="34:34" ht="0" hidden="1" customHeight="1" x14ac:dyDescent="0.25">
      <c r="AH93" s="6"/>
    </row>
    <row r="94" spans="34:34" ht="0" hidden="1" customHeight="1" x14ac:dyDescent="0.25">
      <c r="AH94" s="6"/>
    </row>
  </sheetData>
  <sheetProtection algorithmName="SHA-512" hashValue="oZrRksjlm8G6CdRCtbStrXYNFRGfWX8YwtMwSgu+K+Ko+BjJT6w5YEtgFykt4CouNYxTBGeBOBBN2KY+m4QeIw==" saltValue="IF45rup2SBnWrUriO1I9iQ==" spinCount="100000" sheet="1" objects="1" scenarios="1" formatColumns="0" formatRows="0" insertColumns="0" insertRows="0" sort="0" autoFilter="0" pivotTables="0"/>
  <mergeCells count="69">
    <mergeCell ref="S37:V37"/>
    <mergeCell ref="S38:V38"/>
    <mergeCell ref="S39:V39"/>
    <mergeCell ref="S40:V40"/>
    <mergeCell ref="S41:V42"/>
    <mergeCell ref="S36:V36"/>
    <mergeCell ref="S25:V25"/>
    <mergeCell ref="S26:V26"/>
    <mergeCell ref="S27:V27"/>
    <mergeCell ref="S28:V28"/>
    <mergeCell ref="S29:V29"/>
    <mergeCell ref="S30:V30"/>
    <mergeCell ref="S31:V31"/>
    <mergeCell ref="S32:V32"/>
    <mergeCell ref="S33:V33"/>
    <mergeCell ref="S34:V34"/>
    <mergeCell ref="S35:V35"/>
    <mergeCell ref="S19:V19"/>
    <mergeCell ref="S20:V20"/>
    <mergeCell ref="S21:V21"/>
    <mergeCell ref="S22:V22"/>
    <mergeCell ref="S23:V23"/>
    <mergeCell ref="S24:V24"/>
    <mergeCell ref="BA14:BA15"/>
    <mergeCell ref="BB14:BB15"/>
    <mergeCell ref="BC14:BC15"/>
    <mergeCell ref="S16:V16"/>
    <mergeCell ref="S17:V17"/>
    <mergeCell ref="S18:V18"/>
    <mergeCell ref="AU14:AU15"/>
    <mergeCell ref="AV14:AV15"/>
    <mergeCell ref="AW14:AW15"/>
    <mergeCell ref="AX14:AX15"/>
    <mergeCell ref="AY14:AY15"/>
    <mergeCell ref="AZ14:AZ15"/>
    <mergeCell ref="AO14:AO15"/>
    <mergeCell ref="AP14:AP15"/>
    <mergeCell ref="AQ14:AQ15"/>
    <mergeCell ref="AR14:AR15"/>
    <mergeCell ref="AS14:AS15"/>
    <mergeCell ref="AT14:AT15"/>
    <mergeCell ref="AD14:AD15"/>
    <mergeCell ref="AJ14:AJ15"/>
    <mergeCell ref="AK14:AK15"/>
    <mergeCell ref="AL14:AL15"/>
    <mergeCell ref="AM14:AM15"/>
    <mergeCell ref="AN14:AN15"/>
    <mergeCell ref="Y14:AC14"/>
    <mergeCell ref="H13:H14"/>
    <mergeCell ref="I13:I14"/>
    <mergeCell ref="J13:J14"/>
    <mergeCell ref="K13:K14"/>
    <mergeCell ref="L13:L14"/>
    <mergeCell ref="M13:N13"/>
    <mergeCell ref="Q13:Q14"/>
    <mergeCell ref="R13:R14"/>
    <mergeCell ref="S13:V15"/>
    <mergeCell ref="O13:O14"/>
    <mergeCell ref="P13:P14"/>
    <mergeCell ref="A10:V10"/>
    <mergeCell ref="A11:V11"/>
    <mergeCell ref="K12:L12"/>
    <mergeCell ref="A13:A15"/>
    <mergeCell ref="B13:B14"/>
    <mergeCell ref="C13:C14"/>
    <mergeCell ref="D13:D14"/>
    <mergeCell ref="E13:E14"/>
    <mergeCell ref="F13:F14"/>
    <mergeCell ref="G13:G14"/>
  </mergeCells>
  <conditionalFormatting sqref="I47">
    <cfRule type="cellIs" dxfId="9" priority="5" operator="lessThan">
      <formula>0</formula>
    </cfRule>
  </conditionalFormatting>
  <conditionalFormatting sqref="Y16:Y39">
    <cfRule type="containsText" dxfId="8" priority="3" operator="containsText" text="STBY">
      <formula>NOT(ISERROR(SEARCH("STBY",Y16)))</formula>
    </cfRule>
    <cfRule type="containsText" dxfId="7" priority="4" operator="containsText" text="SD">
      <formula>NOT(ISERROR(SEARCH("SD",Y16)))</formula>
    </cfRule>
  </conditionalFormatting>
  <conditionalFormatting sqref="B16:B39 D16:R39">
    <cfRule type="expression" dxfId="6" priority="2">
      <formula>ISTEXT(B16)</formula>
    </cfRule>
  </conditionalFormatting>
  <conditionalFormatting sqref="C16:C39">
    <cfRule type="expression" dxfId="5" priority="1">
      <formula>ISTEXT(C16)</formula>
    </cfRule>
  </conditionalFormatting>
  <dataValidations count="2">
    <dataValidation type="list" allowBlank="1" showInputMessage="1" showErrorMessage="1" sqref="Y16:Y39" xr:uid="{705BC2B9-675B-40D3-84F8-80A3B6560DAF}">
      <formula1>"SD,STBY"</formula1>
    </dataValidation>
    <dataValidation type="list" allowBlank="1" showInputMessage="1" sqref="AD16:AD39" xr:uid="{FC4AC41E-7EDA-4127-BC02-BCDAFDCE8B7F}">
      <formula1>$AH$15:$AH$72</formula1>
    </dataValidation>
  </dataValidations>
  <printOptions horizontalCentered="1"/>
  <pageMargins left="0.39370078740157483" right="0.39370078740157483" top="0.59055118110236227" bottom="0.39370078740157483" header="0.31496062992125984" footer="0.31496062992125984"/>
  <pageSetup paperSize="9" scale="57" orientation="landscape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0B8C7-F2E1-4C4B-92CA-F009FF14EA1F}">
  <sheetPr codeName="N30">
    <pageSetUpPr fitToPage="1"/>
  </sheetPr>
  <dimension ref="A1:BC94"/>
  <sheetViews>
    <sheetView topLeftCell="A16" zoomScale="85" zoomScaleNormal="85" workbookViewId="0">
      <selection activeCell="S24" sqref="S24:V24"/>
    </sheetView>
  </sheetViews>
  <sheetFormatPr defaultColWidth="0" defaultRowHeight="0" customHeight="1" zeroHeight="1" x14ac:dyDescent="0.25"/>
  <cols>
    <col min="1" max="1" width="10.7109375" style="7" customWidth="1"/>
    <col min="2" max="3" width="10.7109375" style="7" hidden="1" customWidth="1"/>
    <col min="4" max="14" width="10.7109375" style="7" customWidth="1"/>
    <col min="15" max="17" width="11.7109375" style="7" customWidth="1"/>
    <col min="18" max="18" width="10.7109375" style="7" hidden="1" customWidth="1"/>
    <col min="19" max="22" width="10.7109375" style="7" customWidth="1"/>
    <col min="23" max="23" width="2.7109375" style="7" customWidth="1"/>
    <col min="24" max="29" width="10.7109375" style="7" customWidth="1"/>
    <col min="30" max="30" width="30.7109375" style="7" customWidth="1"/>
    <col min="31" max="33" width="11.7109375" style="7" customWidth="1"/>
    <col min="34" max="34" width="30.7109375" style="7" customWidth="1"/>
    <col min="35" max="35" width="2.7109375" style="7" hidden="1" customWidth="1"/>
    <col min="36" max="55" width="11.7109375" style="7" hidden="1" customWidth="1"/>
    <col min="56" max="16384" width="9.140625" style="7" hidden="1"/>
  </cols>
  <sheetData>
    <row r="1" spans="1:55" ht="15" customHeight="1" x14ac:dyDescent="0.25">
      <c r="A1" s="7" t="s">
        <v>16</v>
      </c>
      <c r="D1" s="11" t="s">
        <v>85</v>
      </c>
      <c r="J1" s="7" t="str">
        <f>IF(MR!U13="Yes","PRINT","No")</f>
        <v>PRINT</v>
      </c>
      <c r="M1" s="191"/>
      <c r="N1" s="191"/>
    </row>
    <row r="2" spans="1:55" ht="15" customHeight="1" thickBot="1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192"/>
      <c r="M2" s="4"/>
      <c r="N2" s="4"/>
      <c r="O2" s="4"/>
      <c r="P2" s="4"/>
      <c r="Q2" s="4"/>
      <c r="R2" s="4"/>
      <c r="S2" s="8"/>
      <c r="T2" s="8"/>
      <c r="U2" s="8"/>
      <c r="V2" s="8"/>
      <c r="X2" s="8"/>
      <c r="Y2" s="8"/>
      <c r="Z2" s="8"/>
      <c r="AA2" s="8"/>
      <c r="AB2" s="8"/>
      <c r="AC2" s="8"/>
      <c r="AD2" s="8"/>
      <c r="AE2" s="8"/>
    </row>
    <row r="3" spans="1:55" ht="15" customHeight="1" x14ac:dyDescent="0.2">
      <c r="A3" s="31"/>
      <c r="B3" s="28"/>
      <c r="C3" s="28"/>
      <c r="D3" s="28"/>
      <c r="E3" s="28"/>
      <c r="F3" s="13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2"/>
      <c r="T3" s="22"/>
      <c r="U3" s="22"/>
      <c r="V3" s="23"/>
      <c r="X3" s="8"/>
      <c r="Y3" s="8"/>
      <c r="Z3" s="8"/>
      <c r="AA3" s="8"/>
      <c r="AB3" s="8"/>
      <c r="AC3" s="8"/>
      <c r="AD3" s="8"/>
      <c r="AE3" s="8"/>
    </row>
    <row r="4" spans="1:55" ht="30" customHeight="1" x14ac:dyDescent="0.25">
      <c r="A4" s="30"/>
      <c r="B4" s="1"/>
      <c r="C4" s="1"/>
      <c r="D4" s="1"/>
      <c r="E4" s="3"/>
      <c r="F4" s="63" t="s">
        <v>210</v>
      </c>
      <c r="G4" s="1"/>
      <c r="H4" s="1"/>
      <c r="I4" s="3"/>
      <c r="J4" s="3"/>
      <c r="K4" s="3"/>
      <c r="L4" s="3"/>
      <c r="M4" s="3"/>
      <c r="N4" s="3"/>
      <c r="O4" s="3"/>
      <c r="P4" s="3"/>
      <c r="Q4" s="3"/>
      <c r="R4" s="3"/>
      <c r="S4" s="1"/>
      <c r="T4" s="1"/>
      <c r="U4" s="1"/>
      <c r="V4" s="2"/>
      <c r="X4" s="5"/>
      <c r="Y4" s="5"/>
      <c r="Z4" s="5"/>
      <c r="AA4" s="5"/>
      <c r="AB4" s="5"/>
      <c r="AC4" s="5"/>
      <c r="AD4" s="5"/>
      <c r="AE4" s="5"/>
    </row>
    <row r="5" spans="1:55" ht="15" customHeight="1" x14ac:dyDescent="0.2">
      <c r="A5" s="32"/>
      <c r="B5" s="33"/>
      <c r="C5" s="33"/>
      <c r="D5" s="12"/>
      <c r="E5" s="3"/>
      <c r="F5" s="10" t="s">
        <v>129</v>
      </c>
      <c r="G5" s="1"/>
      <c r="H5" s="1"/>
      <c r="I5" s="3"/>
      <c r="J5" s="3"/>
      <c r="K5" s="3"/>
      <c r="L5" s="3"/>
      <c r="M5" s="3"/>
      <c r="N5" s="3"/>
      <c r="O5" s="3"/>
      <c r="P5" s="3"/>
      <c r="Q5" s="3"/>
      <c r="R5" s="3"/>
      <c r="S5" s="12"/>
      <c r="T5" s="12"/>
      <c r="U5" s="12"/>
      <c r="V5" s="14"/>
      <c r="X5" s="8"/>
      <c r="Y5" s="8"/>
      <c r="Z5" s="8"/>
      <c r="AA5" s="8"/>
      <c r="AB5" s="8"/>
      <c r="AC5" s="8"/>
      <c r="AD5" s="8"/>
      <c r="AE5" s="8"/>
      <c r="AJ5" s="193" t="s">
        <v>184</v>
      </c>
      <c r="AK5" s="194">
        <f>'V Calc'!B1</f>
        <v>500</v>
      </c>
      <c r="AL5" s="124"/>
    </row>
    <row r="6" spans="1:55" ht="15" customHeight="1" x14ac:dyDescent="0.2">
      <c r="A6" s="32"/>
      <c r="B6" s="33"/>
      <c r="C6" s="33"/>
      <c r="D6" s="12"/>
      <c r="E6" s="3"/>
      <c r="F6" s="10" t="s">
        <v>132</v>
      </c>
      <c r="G6" s="1"/>
      <c r="H6" s="1"/>
      <c r="I6" s="3"/>
      <c r="J6" s="3"/>
      <c r="K6" s="3"/>
      <c r="L6" s="3"/>
      <c r="M6" s="3"/>
      <c r="N6" s="3"/>
      <c r="O6" s="3"/>
      <c r="P6" s="3"/>
      <c r="Q6" s="3"/>
      <c r="R6" s="3"/>
      <c r="S6" s="12"/>
      <c r="T6" s="12"/>
      <c r="U6" s="12"/>
      <c r="V6" s="14"/>
      <c r="X6" s="8"/>
      <c r="Y6" s="8"/>
      <c r="Z6" s="8"/>
      <c r="AA6" s="8"/>
      <c r="AB6" s="8"/>
      <c r="AC6" s="8"/>
      <c r="AD6" s="8"/>
      <c r="AE6" s="8"/>
      <c r="AJ6" s="193" t="s">
        <v>185</v>
      </c>
      <c r="AK6" s="194">
        <f>'V Calc'!B2</f>
        <v>100</v>
      </c>
      <c r="AL6" s="124"/>
    </row>
    <row r="7" spans="1:55" ht="15" customHeight="1" x14ac:dyDescent="0.2">
      <c r="A7" s="32"/>
      <c r="B7" s="33"/>
      <c r="C7" s="33"/>
      <c r="D7" s="12"/>
      <c r="E7" s="3"/>
      <c r="F7" s="10" t="s">
        <v>130</v>
      </c>
      <c r="G7" s="1"/>
      <c r="H7" s="1"/>
      <c r="I7" s="3"/>
      <c r="J7" s="3"/>
      <c r="K7" s="3"/>
      <c r="L7" s="3"/>
      <c r="M7" s="3"/>
      <c r="N7" s="3"/>
      <c r="O7" s="3"/>
      <c r="P7" s="3"/>
      <c r="Q7" s="3"/>
      <c r="R7" s="3"/>
      <c r="S7" s="12"/>
      <c r="T7" s="12"/>
      <c r="U7" s="12"/>
      <c r="V7" s="14"/>
      <c r="X7" s="8"/>
      <c r="Y7" s="8"/>
      <c r="Z7" s="8"/>
      <c r="AA7" s="8"/>
      <c r="AB7" s="8"/>
      <c r="AC7" s="8"/>
      <c r="AD7" s="8"/>
      <c r="AE7" s="8"/>
      <c r="AJ7" s="193" t="s">
        <v>186</v>
      </c>
      <c r="AK7" s="195">
        <f>'V Calc'!B3</f>
        <v>2</v>
      </c>
      <c r="AL7" s="124"/>
    </row>
    <row r="8" spans="1:55" ht="15" customHeight="1" x14ac:dyDescent="0.2">
      <c r="A8" s="32"/>
      <c r="B8" s="33"/>
      <c r="C8" s="33"/>
      <c r="D8" s="12"/>
      <c r="E8" s="3"/>
      <c r="F8" s="10" t="s">
        <v>131</v>
      </c>
      <c r="G8" s="62"/>
      <c r="H8" s="62"/>
      <c r="I8" s="3"/>
      <c r="J8" s="3"/>
      <c r="K8" s="3"/>
      <c r="L8" s="3"/>
      <c r="M8" s="3"/>
      <c r="N8" s="3"/>
      <c r="O8" s="3"/>
      <c r="P8" s="3"/>
      <c r="Q8" s="3"/>
      <c r="R8" s="3"/>
      <c r="S8" s="12"/>
      <c r="T8" s="12"/>
      <c r="U8" s="12"/>
      <c r="V8" s="14"/>
      <c r="X8" s="8"/>
      <c r="Y8" s="8"/>
      <c r="Z8" s="8"/>
      <c r="AA8" s="8"/>
      <c r="AB8" s="8"/>
      <c r="AC8" s="8"/>
      <c r="AD8" s="8"/>
      <c r="AE8" s="8"/>
      <c r="AJ8" s="193" t="s">
        <v>187</v>
      </c>
      <c r="AK8" s="195">
        <f>'V Calc'!B4</f>
        <v>0.875</v>
      </c>
      <c r="AL8" s="124"/>
    </row>
    <row r="9" spans="1:55" ht="15" customHeight="1" thickBot="1" x14ac:dyDescent="0.25">
      <c r="A9" s="34"/>
      <c r="B9" s="29"/>
      <c r="C9" s="29"/>
      <c r="D9" s="29"/>
      <c r="E9" s="29"/>
      <c r="F9" s="15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16"/>
      <c r="T9" s="16"/>
      <c r="U9" s="16"/>
      <c r="V9" s="17"/>
      <c r="X9" s="8"/>
      <c r="Y9" s="8"/>
      <c r="Z9" s="8"/>
      <c r="AA9" s="8"/>
      <c r="AB9" s="8"/>
      <c r="AC9" s="8"/>
      <c r="AD9" s="8"/>
      <c r="AE9" s="8"/>
      <c r="AJ9" s="196" t="s">
        <v>188</v>
      </c>
      <c r="AK9" s="197">
        <f>'V Calc'!B5</f>
        <v>158.47</v>
      </c>
      <c r="AL9" s="198"/>
    </row>
    <row r="10" spans="1:55" s="9" customFormat="1" ht="30" customHeight="1" x14ac:dyDescent="0.2">
      <c r="A10" s="513" t="s">
        <v>20</v>
      </c>
      <c r="B10" s="514"/>
      <c r="C10" s="514"/>
      <c r="D10" s="514"/>
      <c r="E10" s="514"/>
      <c r="F10" s="514"/>
      <c r="G10" s="514"/>
      <c r="H10" s="514"/>
      <c r="I10" s="514"/>
      <c r="J10" s="514"/>
      <c r="K10" s="514"/>
      <c r="L10" s="514"/>
      <c r="M10" s="514"/>
      <c r="N10" s="514"/>
      <c r="O10" s="514"/>
      <c r="P10" s="514"/>
      <c r="Q10" s="514"/>
      <c r="R10" s="514"/>
      <c r="S10" s="514"/>
      <c r="T10" s="514"/>
      <c r="U10" s="514"/>
      <c r="V10" s="515"/>
      <c r="X10" s="96"/>
      <c r="Y10" s="96"/>
      <c r="Z10" s="96"/>
      <c r="AA10" s="96"/>
      <c r="AB10" s="96"/>
      <c r="AC10" s="96"/>
      <c r="AJ10" s="193" t="s">
        <v>189</v>
      </c>
      <c r="AK10" s="199">
        <f>'V Calc'!B6</f>
        <v>0.63607464142166403</v>
      </c>
      <c r="AL10" s="198" t="s">
        <v>190</v>
      </c>
    </row>
    <row r="11" spans="1:55" s="9" customFormat="1" ht="20.100000000000001" customHeight="1" thickBot="1" x14ac:dyDescent="0.25">
      <c r="A11" s="516" t="s">
        <v>21</v>
      </c>
      <c r="B11" s="517"/>
      <c r="C11" s="517"/>
      <c r="D11" s="517"/>
      <c r="E11" s="517"/>
      <c r="F11" s="517"/>
      <c r="G11" s="517"/>
      <c r="H11" s="517"/>
      <c r="I11" s="517"/>
      <c r="J11" s="517"/>
      <c r="K11" s="517"/>
      <c r="L11" s="517"/>
      <c r="M11" s="517"/>
      <c r="N11" s="517"/>
      <c r="O11" s="517"/>
      <c r="P11" s="517"/>
      <c r="Q11" s="517"/>
      <c r="R11" s="517"/>
      <c r="S11" s="517"/>
      <c r="T11" s="517"/>
      <c r="U11" s="517"/>
      <c r="V11" s="518"/>
      <c r="X11" s="97"/>
      <c r="Y11" s="97"/>
      <c r="Z11" s="97"/>
      <c r="AA11" s="97"/>
      <c r="AB11" s="97"/>
      <c r="AC11" s="97"/>
    </row>
    <row r="12" spans="1:55" s="6" customFormat="1" ht="30" customHeight="1" thickBot="1" x14ac:dyDescent="0.3">
      <c r="A12" s="18"/>
      <c r="B12" s="20"/>
      <c r="C12" s="20"/>
      <c r="D12" s="19" t="s">
        <v>121</v>
      </c>
      <c r="E12" s="200" t="str">
        <f>'Day 29'!E12</f>
        <v>MPR 632  RFD</v>
      </c>
      <c r="F12" s="35"/>
      <c r="G12" s="19" t="s">
        <v>120</v>
      </c>
      <c r="H12" s="200" t="str">
        <f>IF(Volume!C$33="","",Volume!C$33)</f>
        <v>FP 65354</v>
      </c>
      <c r="I12" s="20"/>
      <c r="J12" s="19" t="s">
        <v>17</v>
      </c>
      <c r="K12" s="505">
        <f>'Day 29'!K12+1</f>
        <v>45838</v>
      </c>
      <c r="L12" s="505"/>
      <c r="M12" s="100"/>
      <c r="N12" s="19" t="s">
        <v>119</v>
      </c>
      <c r="O12" s="200" t="str">
        <f>IF(Volume!D$33="","",Volume!D$33)</f>
        <v>SP. Tambun - Cluster F</v>
      </c>
      <c r="P12" s="20"/>
      <c r="Q12" s="19" t="s">
        <v>122</v>
      </c>
      <c r="S12" s="201">
        <f>IF(Volume!E$33="","",Volume!E$33)</f>
        <v>1.25</v>
      </c>
      <c r="T12" s="20"/>
      <c r="U12" s="19" t="s">
        <v>126</v>
      </c>
      <c r="V12" s="202" t="str">
        <f>IF(Volume!F$33="","",Volume!F$33)</f>
        <v>4/0</v>
      </c>
    </row>
    <row r="13" spans="1:55" ht="30" customHeight="1" thickBot="1" x14ac:dyDescent="0.3">
      <c r="A13" s="502" t="s">
        <v>0</v>
      </c>
      <c r="B13" s="502" t="s">
        <v>213</v>
      </c>
      <c r="C13" s="502" t="s">
        <v>212</v>
      </c>
      <c r="D13" s="502" t="s">
        <v>31</v>
      </c>
      <c r="E13" s="502" t="s">
        <v>32</v>
      </c>
      <c r="F13" s="502" t="s">
        <v>2</v>
      </c>
      <c r="G13" s="502" t="s">
        <v>33</v>
      </c>
      <c r="H13" s="502" t="s">
        <v>35</v>
      </c>
      <c r="I13" s="502" t="s">
        <v>36</v>
      </c>
      <c r="J13" s="502" t="s">
        <v>110</v>
      </c>
      <c r="K13" s="502" t="s">
        <v>15</v>
      </c>
      <c r="L13" s="502" t="s">
        <v>34</v>
      </c>
      <c r="M13" s="502" t="s">
        <v>10</v>
      </c>
      <c r="N13" s="502"/>
      <c r="O13" s="506" t="s">
        <v>300</v>
      </c>
      <c r="P13" s="506" t="s">
        <v>299</v>
      </c>
      <c r="Q13" s="502" t="s">
        <v>7</v>
      </c>
      <c r="R13" s="502" t="s">
        <v>88</v>
      </c>
      <c r="S13" s="502" t="s">
        <v>8</v>
      </c>
      <c r="T13" s="502"/>
      <c r="U13" s="502"/>
      <c r="V13" s="502"/>
      <c r="X13" s="98"/>
      <c r="Y13" s="98"/>
      <c r="Z13" s="98"/>
      <c r="AA13" s="98"/>
      <c r="AB13" s="98"/>
      <c r="AC13" s="98"/>
    </row>
    <row r="14" spans="1:55" ht="30" customHeight="1" x14ac:dyDescent="0.25">
      <c r="A14" s="504"/>
      <c r="B14" s="504"/>
      <c r="C14" s="504"/>
      <c r="D14" s="504"/>
      <c r="E14" s="504"/>
      <c r="F14" s="504"/>
      <c r="G14" s="504"/>
      <c r="H14" s="504"/>
      <c r="I14" s="504"/>
      <c r="J14" s="504"/>
      <c r="K14" s="504"/>
      <c r="L14" s="504"/>
      <c r="M14" s="94" t="s">
        <v>3</v>
      </c>
      <c r="N14" s="94" t="s">
        <v>4</v>
      </c>
      <c r="O14" s="507"/>
      <c r="P14" s="507"/>
      <c r="Q14" s="504"/>
      <c r="R14" s="504"/>
      <c r="S14" s="504"/>
      <c r="T14" s="504"/>
      <c r="U14" s="504"/>
      <c r="V14" s="504"/>
      <c r="Y14" s="502" t="s">
        <v>230</v>
      </c>
      <c r="Z14" s="502"/>
      <c r="AA14" s="502"/>
      <c r="AB14" s="502"/>
      <c r="AC14" s="502"/>
      <c r="AD14" s="502" t="s">
        <v>231</v>
      </c>
      <c r="AH14" s="203" t="s">
        <v>232</v>
      </c>
      <c r="AJ14" s="520" t="s">
        <v>191</v>
      </c>
      <c r="AK14" s="520" t="s">
        <v>192</v>
      </c>
      <c r="AL14" s="520" t="s">
        <v>193</v>
      </c>
      <c r="AM14" s="520" t="s">
        <v>194</v>
      </c>
      <c r="AN14" s="520" t="s">
        <v>195</v>
      </c>
      <c r="AO14" s="506" t="s">
        <v>196</v>
      </c>
      <c r="AP14" s="506" t="s">
        <v>197</v>
      </c>
      <c r="AQ14" s="506" t="s">
        <v>198</v>
      </c>
      <c r="AR14" s="506" t="s">
        <v>188</v>
      </c>
      <c r="AS14" s="506" t="s">
        <v>199</v>
      </c>
      <c r="AT14" s="506" t="s">
        <v>200</v>
      </c>
      <c r="AU14" s="506" t="s">
        <v>201</v>
      </c>
      <c r="AV14" s="506" t="s">
        <v>202</v>
      </c>
      <c r="AW14" s="506" t="s">
        <v>203</v>
      </c>
      <c r="AX14" s="506" t="s">
        <v>204</v>
      </c>
      <c r="AY14" s="523" t="s">
        <v>205</v>
      </c>
      <c r="AZ14" s="523" t="s">
        <v>206</v>
      </c>
      <c r="BA14" s="523" t="s">
        <v>207</v>
      </c>
      <c r="BB14" s="523" t="s">
        <v>208</v>
      </c>
      <c r="BC14" s="506" t="s">
        <v>197</v>
      </c>
    </row>
    <row r="15" spans="1:55" ht="20.100000000000001" customHeight="1" thickBot="1" x14ac:dyDescent="0.3">
      <c r="A15" s="503"/>
      <c r="B15" s="95" t="s">
        <v>1</v>
      </c>
      <c r="C15" s="95" t="s">
        <v>1</v>
      </c>
      <c r="D15" s="95" t="s">
        <v>1</v>
      </c>
      <c r="E15" s="95" t="s">
        <v>1</v>
      </c>
      <c r="F15" s="95" t="s">
        <v>140</v>
      </c>
      <c r="G15" s="95" t="s">
        <v>1</v>
      </c>
      <c r="H15" s="95" t="s">
        <v>1</v>
      </c>
      <c r="I15" s="95" t="s">
        <v>1</v>
      </c>
      <c r="J15" s="95" t="s">
        <v>18</v>
      </c>
      <c r="K15" s="95" t="s">
        <v>9</v>
      </c>
      <c r="L15" s="95" t="s">
        <v>5</v>
      </c>
      <c r="M15" s="95" t="s">
        <v>5</v>
      </c>
      <c r="N15" s="95" t="s">
        <v>5</v>
      </c>
      <c r="O15" s="95" t="s">
        <v>1</v>
      </c>
      <c r="P15" s="95" t="s">
        <v>14</v>
      </c>
      <c r="Q15" s="95" t="str">
        <f>IF(MR!G17="MSCF","MSCFD","MMSCFD")</f>
        <v>MSCFD</v>
      </c>
      <c r="R15" s="95" t="str">
        <f>MR!L17</f>
        <v>BPD</v>
      </c>
      <c r="S15" s="503"/>
      <c r="T15" s="503"/>
      <c r="U15" s="503"/>
      <c r="V15" s="503"/>
      <c r="X15" s="365"/>
      <c r="Y15" s="95" t="s">
        <v>123</v>
      </c>
      <c r="Z15" s="95" t="s">
        <v>124</v>
      </c>
      <c r="AA15" s="95" t="s">
        <v>125</v>
      </c>
      <c r="AB15" s="95" t="s">
        <v>51</v>
      </c>
      <c r="AC15" s="95" t="s">
        <v>48</v>
      </c>
      <c r="AD15" s="503"/>
      <c r="AH15" s="204" t="s">
        <v>228</v>
      </c>
      <c r="AJ15" s="521"/>
      <c r="AK15" s="521"/>
      <c r="AL15" s="521"/>
      <c r="AM15" s="521"/>
      <c r="AN15" s="521"/>
      <c r="AO15" s="522"/>
      <c r="AP15" s="522"/>
      <c r="AQ15" s="522"/>
      <c r="AR15" s="522"/>
      <c r="AS15" s="522"/>
      <c r="AT15" s="522"/>
      <c r="AU15" s="522"/>
      <c r="AV15" s="522"/>
      <c r="AW15" s="522"/>
      <c r="AX15" s="522"/>
      <c r="AY15" s="524"/>
      <c r="AZ15" s="524"/>
      <c r="BA15" s="524"/>
      <c r="BB15" s="524"/>
      <c r="BC15" s="522"/>
    </row>
    <row r="16" spans="1:55" ht="20.100000000000001" customHeight="1" x14ac:dyDescent="0.2">
      <c r="A16" s="44">
        <v>4.1666666666666664E-2</v>
      </c>
      <c r="B16" s="450"/>
      <c r="C16" s="450"/>
      <c r="D16" s="450">
        <v>6.6</v>
      </c>
      <c r="E16" s="450">
        <v>63.3</v>
      </c>
      <c r="F16" s="40">
        <v>1943</v>
      </c>
      <c r="G16" s="36">
        <v>-5.6</v>
      </c>
      <c r="H16" s="36">
        <v>72.900000000000006</v>
      </c>
      <c r="I16" s="36">
        <v>23.3</v>
      </c>
      <c r="J16" s="40">
        <v>774</v>
      </c>
      <c r="K16" s="36">
        <v>13</v>
      </c>
      <c r="L16" s="450">
        <v>135</v>
      </c>
      <c r="M16" s="450">
        <v>220</v>
      </c>
      <c r="N16" s="450">
        <v>85</v>
      </c>
      <c r="O16" s="352">
        <v>45</v>
      </c>
      <c r="P16" s="352">
        <v>13</v>
      </c>
      <c r="Q16" s="352">
        <v>249.43</v>
      </c>
      <c r="R16" s="36"/>
      <c r="S16" s="519" t="str">
        <f t="shared" ref="S16:S32" si="0">IF(Z16="",IF(AD16="","",AD16),CONCATENATE(TEXT(Z16,"[hh]:mm"),IF(AA16="",""," - "&amp;TEXT(AA16,"[hh]:mm")),IF(Y16="",""," "&amp;Y16&amp;"/")," "&amp;AD16))</f>
        <v/>
      </c>
      <c r="T16" s="519"/>
      <c r="U16" s="519"/>
      <c r="V16" s="519"/>
      <c r="X16" s="44">
        <v>4.1666666666666664E-2</v>
      </c>
      <c r="Y16" s="105"/>
      <c r="Z16" s="101"/>
      <c r="AA16" s="101"/>
      <c r="AB16" s="44" t="str">
        <f>IF(Y16="STBY",AA16-Z16,"")</f>
        <v/>
      </c>
      <c r="AC16" s="44" t="str">
        <f t="shared" ref="AC16:AC39" si="1">IF(Y16="SD",AA16-Z16,"")</f>
        <v/>
      </c>
      <c r="AD16" s="355"/>
      <c r="AE16" s="9" t="str">
        <f>IF(S16="","",IF(COUNTA(Z16:$Z$39)=1,IF(COUNTA(AD16:$AD$39)=1,""," ; "),IF(COUNTA(AD16:$AD$39)=1,IF(Z16="",""," ; ")," ; ")))</f>
        <v/>
      </c>
      <c r="AF16" s="9" t="str">
        <f t="shared" ref="AF16:AF39" si="2">CONCATENATE(S16,AE16)</f>
        <v/>
      </c>
      <c r="AG16" s="90" t="str">
        <f t="shared" ref="AG16:AG39" si="3">IF(AND(COUNTBLANK(N16:P16)&lt;3,Q16=""),"CEK : Data Flowrate","")</f>
        <v/>
      </c>
      <c r="AH16" s="204" t="s">
        <v>229</v>
      </c>
      <c r="AJ16" s="205">
        <f>AK5</f>
        <v>500</v>
      </c>
      <c r="AK16" s="205">
        <f>AK6</f>
        <v>100</v>
      </c>
      <c r="AL16" s="206">
        <f>AK7</f>
        <v>2</v>
      </c>
      <c r="AM16" s="207">
        <f>AK8</f>
        <v>0.875</v>
      </c>
      <c r="AN16" s="208">
        <f>AK10</f>
        <v>0.63607464142166403</v>
      </c>
      <c r="AO16" s="209">
        <f t="shared" ref="AO16:AO39" si="4">T16^2*AJ16/100-14.7</f>
        <v>-14.7</v>
      </c>
      <c r="AP16" s="210">
        <f t="shared" ref="AP16:AP39" si="5">IF(AO16&lt;100,1,BC16)</f>
        <v>1</v>
      </c>
      <c r="AQ16" s="210">
        <f t="shared" ref="AQ16:AQ39" si="6">(1/AP16)^0.5</f>
        <v>1</v>
      </c>
      <c r="AR16" s="52">
        <f>AK9</f>
        <v>158.47</v>
      </c>
      <c r="AS16" s="210">
        <f t="shared" ref="AS16:AS39" si="7">(520/(460+N16))^0.5</f>
        <v>0.97679498379494789</v>
      </c>
      <c r="AT16" s="210">
        <f t="shared" ref="AT16:AT39" si="8">(1/AN16)^0.5</f>
        <v>1.2538510821608391</v>
      </c>
      <c r="AU16" s="210">
        <f t="shared" ref="AU16:AU39" si="9">0.01*(AJ16*AK16)^0.5</f>
        <v>2.2360679774997898</v>
      </c>
      <c r="AV16" s="211">
        <f t="shared" ref="AV16:AV39" si="10">0.024*AQ16*AR16*AS16*AT16*AU16</f>
        <v>10.415801185754333</v>
      </c>
      <c r="AW16" s="210">
        <f t="shared" ref="AW16:AW39" si="11">(AO16+14.7)/(697.2-43*AN16)</f>
        <v>0</v>
      </c>
      <c r="AX16" s="212">
        <f t="shared" ref="AX16:AX39" si="12">(N16+460)/(315.1*AN16+170.4)</f>
        <v>1.4696875479799241</v>
      </c>
      <c r="AY16" s="210">
        <f t="shared" ref="AY16:AY39" si="13">0.3379*LN(LN(AX16))+1.091</f>
        <v>0.76851414128953044</v>
      </c>
      <c r="AZ16" s="211">
        <f t="shared" ref="AZ16:AZ39" si="14">21.46*AY16-11.9*AY16^2-5.9</f>
        <v>3.5640070462657096</v>
      </c>
      <c r="BA16" s="210">
        <f t="shared" ref="BA16:BA39" si="15">AW16/AZ16</f>
        <v>0</v>
      </c>
      <c r="BB16" s="210">
        <f t="shared" ref="BB16:BB39" si="16">(1.1+0.26*AX16+(1.04-1.42*AX16)*BA16)*2.718^BA16/AX16</f>
        <v>1.0084584063544275</v>
      </c>
      <c r="BC16" s="210">
        <f t="shared" ref="BC16:BC39" si="17">1+(AY16-1)*SIN((90*BA16)/57.29578)^BB16</f>
        <v>1</v>
      </c>
    </row>
    <row r="17" spans="1:55" ht="20.100000000000001" customHeight="1" x14ac:dyDescent="0.2">
      <c r="A17" s="45">
        <v>8.3333333333333301E-2</v>
      </c>
      <c r="B17" s="451"/>
      <c r="C17" s="451"/>
      <c r="D17" s="451">
        <v>6.3</v>
      </c>
      <c r="E17" s="451">
        <v>63.9</v>
      </c>
      <c r="F17" s="41">
        <v>1951</v>
      </c>
      <c r="G17" s="37">
        <v>-5.6</v>
      </c>
      <c r="H17" s="37">
        <v>72.3</v>
      </c>
      <c r="I17" s="37">
        <v>23.6</v>
      </c>
      <c r="J17" s="41">
        <v>775</v>
      </c>
      <c r="K17" s="37">
        <v>13</v>
      </c>
      <c r="L17" s="451">
        <v>132</v>
      </c>
      <c r="M17" s="451">
        <v>220</v>
      </c>
      <c r="N17" s="451">
        <v>85</v>
      </c>
      <c r="O17" s="353">
        <v>45</v>
      </c>
      <c r="P17" s="353">
        <v>13</v>
      </c>
      <c r="Q17" s="353">
        <v>249.43</v>
      </c>
      <c r="R17" s="37"/>
      <c r="S17" s="508" t="str">
        <f t="shared" si="0"/>
        <v/>
      </c>
      <c r="T17" s="508"/>
      <c r="U17" s="508"/>
      <c r="V17" s="508"/>
      <c r="X17" s="45">
        <v>8.3333333333333301E-2</v>
      </c>
      <c r="Y17" s="106"/>
      <c r="Z17" s="102"/>
      <c r="AA17" s="102"/>
      <c r="AB17" s="45" t="str">
        <f t="shared" ref="AB17:AB39" si="18">IF(Y17="STBY",AA17-Z17,"")</f>
        <v/>
      </c>
      <c r="AC17" s="45" t="str">
        <f t="shared" si="1"/>
        <v/>
      </c>
      <c r="AD17" s="81"/>
      <c r="AE17" s="9" t="str">
        <f>IF(S17="","",IF(COUNTA(Z17:$Z$39)=1,IF(COUNTA(AD17:$AD$39)=1,""," ; "),IF(COUNTA(AD17:$AD$39)=1,IF(Z17="",""," ; ")," ; ")))</f>
        <v/>
      </c>
      <c r="AF17" s="9" t="str">
        <f t="shared" si="2"/>
        <v/>
      </c>
      <c r="AG17" s="90" t="str">
        <f t="shared" si="3"/>
        <v/>
      </c>
      <c r="AH17" s="204" t="s">
        <v>289</v>
      </c>
      <c r="AJ17" s="206">
        <f t="shared" ref="AJ17:AN32" si="19">AJ16</f>
        <v>500</v>
      </c>
      <c r="AK17" s="206">
        <f t="shared" si="19"/>
        <v>100</v>
      </c>
      <c r="AL17" s="206">
        <f>AL16</f>
        <v>2</v>
      </c>
      <c r="AM17" s="213">
        <f>AM16</f>
        <v>0.875</v>
      </c>
      <c r="AN17" s="214">
        <f>AN16</f>
        <v>0.63607464142166403</v>
      </c>
      <c r="AO17" s="215">
        <f t="shared" si="4"/>
        <v>-14.7</v>
      </c>
      <c r="AP17" s="216">
        <f t="shared" si="5"/>
        <v>1</v>
      </c>
      <c r="AQ17" s="216">
        <f t="shared" si="6"/>
        <v>1</v>
      </c>
      <c r="AR17" s="215">
        <f>AR16</f>
        <v>158.47</v>
      </c>
      <c r="AS17" s="216">
        <f t="shared" si="7"/>
        <v>0.97679498379494789</v>
      </c>
      <c r="AT17" s="216">
        <f t="shared" si="8"/>
        <v>1.2538510821608391</v>
      </c>
      <c r="AU17" s="216">
        <f t="shared" si="9"/>
        <v>2.2360679774997898</v>
      </c>
      <c r="AV17" s="217">
        <f t="shared" si="10"/>
        <v>10.415801185754333</v>
      </c>
      <c r="AW17" s="216">
        <f t="shared" si="11"/>
        <v>0</v>
      </c>
      <c r="AX17" s="218">
        <f t="shared" si="12"/>
        <v>1.4696875479799241</v>
      </c>
      <c r="AY17" s="216">
        <f t="shared" si="13"/>
        <v>0.76851414128953044</v>
      </c>
      <c r="AZ17" s="217">
        <f t="shared" si="14"/>
        <v>3.5640070462657096</v>
      </c>
      <c r="BA17" s="216">
        <f t="shared" si="15"/>
        <v>0</v>
      </c>
      <c r="BB17" s="216">
        <f t="shared" si="16"/>
        <v>1.0084584063544275</v>
      </c>
      <c r="BC17" s="216">
        <f t="shared" si="17"/>
        <v>1</v>
      </c>
    </row>
    <row r="18" spans="1:55" ht="20.100000000000001" customHeight="1" x14ac:dyDescent="0.2">
      <c r="A18" s="45">
        <v>0.125</v>
      </c>
      <c r="B18" s="451"/>
      <c r="C18" s="451"/>
      <c r="D18" s="451">
        <v>7.9</v>
      </c>
      <c r="E18" s="451">
        <v>66.5</v>
      </c>
      <c r="F18" s="41">
        <v>1980</v>
      </c>
      <c r="G18" s="37">
        <v>-5.6</v>
      </c>
      <c r="H18" s="37">
        <v>72.599999999999994</v>
      </c>
      <c r="I18" s="37">
        <v>23.9</v>
      </c>
      <c r="J18" s="41">
        <v>776</v>
      </c>
      <c r="K18" s="37">
        <v>13</v>
      </c>
      <c r="L18" s="451">
        <v>130</v>
      </c>
      <c r="M18" s="451">
        <v>222</v>
      </c>
      <c r="N18" s="451">
        <v>85</v>
      </c>
      <c r="O18" s="353">
        <v>40</v>
      </c>
      <c r="P18" s="353">
        <v>13</v>
      </c>
      <c r="Q18" s="353">
        <v>238.62</v>
      </c>
      <c r="R18" s="37"/>
      <c r="S18" s="508" t="str">
        <f t="shared" si="0"/>
        <v/>
      </c>
      <c r="T18" s="508"/>
      <c r="U18" s="508"/>
      <c r="V18" s="508"/>
      <c r="X18" s="45">
        <v>0.125</v>
      </c>
      <c r="Y18" s="106"/>
      <c r="Z18" s="102"/>
      <c r="AA18" s="102"/>
      <c r="AB18" s="45" t="str">
        <f t="shared" si="18"/>
        <v/>
      </c>
      <c r="AC18" s="45" t="str">
        <f t="shared" si="1"/>
        <v/>
      </c>
      <c r="AD18" s="81"/>
      <c r="AE18" s="9" t="str">
        <f>IF(S18="","",IF(COUNTA(Z18:$Z$39)=1,IF(COUNTA(AD18:$AD$39)=1,""," ; "),IF(COUNTA(AD18:$AD$39)=1,IF(Z18="",""," ; ")," ; ")))</f>
        <v/>
      </c>
      <c r="AF18" s="9" t="str">
        <f t="shared" si="2"/>
        <v/>
      </c>
      <c r="AG18" s="90" t="str">
        <f t="shared" si="3"/>
        <v/>
      </c>
      <c r="AH18" s="204" t="s">
        <v>321</v>
      </c>
      <c r="AJ18" s="206">
        <f t="shared" si="19"/>
        <v>500</v>
      </c>
      <c r="AK18" s="206">
        <f t="shared" si="19"/>
        <v>100</v>
      </c>
      <c r="AL18" s="206">
        <f t="shared" si="19"/>
        <v>2</v>
      </c>
      <c r="AM18" s="213">
        <f t="shared" si="19"/>
        <v>0.875</v>
      </c>
      <c r="AN18" s="214">
        <f t="shared" si="19"/>
        <v>0.63607464142166403</v>
      </c>
      <c r="AO18" s="215">
        <f t="shared" si="4"/>
        <v>-14.7</v>
      </c>
      <c r="AP18" s="216">
        <f t="shared" si="5"/>
        <v>1</v>
      </c>
      <c r="AQ18" s="216">
        <f t="shared" si="6"/>
        <v>1</v>
      </c>
      <c r="AR18" s="215">
        <f t="shared" ref="AR18:AR39" si="20">AR17</f>
        <v>158.47</v>
      </c>
      <c r="AS18" s="216">
        <f t="shared" si="7"/>
        <v>0.97679498379494789</v>
      </c>
      <c r="AT18" s="216">
        <f t="shared" si="8"/>
        <v>1.2538510821608391</v>
      </c>
      <c r="AU18" s="216">
        <f t="shared" si="9"/>
        <v>2.2360679774997898</v>
      </c>
      <c r="AV18" s="217">
        <f t="shared" si="10"/>
        <v>10.415801185754333</v>
      </c>
      <c r="AW18" s="216">
        <f t="shared" si="11"/>
        <v>0</v>
      </c>
      <c r="AX18" s="218">
        <f t="shared" si="12"/>
        <v>1.4696875479799241</v>
      </c>
      <c r="AY18" s="216">
        <f t="shared" si="13"/>
        <v>0.76851414128953044</v>
      </c>
      <c r="AZ18" s="217">
        <f t="shared" si="14"/>
        <v>3.5640070462657096</v>
      </c>
      <c r="BA18" s="216">
        <f t="shared" si="15"/>
        <v>0</v>
      </c>
      <c r="BB18" s="216">
        <f t="shared" si="16"/>
        <v>1.0084584063544275</v>
      </c>
      <c r="BC18" s="216">
        <f t="shared" si="17"/>
        <v>1</v>
      </c>
    </row>
    <row r="19" spans="1:55" ht="20.100000000000001" customHeight="1" x14ac:dyDescent="0.2">
      <c r="A19" s="45">
        <v>0.16666666666666699</v>
      </c>
      <c r="B19" s="451"/>
      <c r="C19" s="451"/>
      <c r="D19" s="451">
        <v>7</v>
      </c>
      <c r="E19" s="451">
        <v>66.2</v>
      </c>
      <c r="F19" s="41">
        <v>1930</v>
      </c>
      <c r="G19" s="37">
        <v>-5.6</v>
      </c>
      <c r="H19" s="37">
        <v>72.5</v>
      </c>
      <c r="I19" s="37">
        <v>23.5</v>
      </c>
      <c r="J19" s="41">
        <v>777</v>
      </c>
      <c r="K19" s="37">
        <v>13</v>
      </c>
      <c r="L19" s="451">
        <v>130</v>
      </c>
      <c r="M19" s="451">
        <v>220</v>
      </c>
      <c r="N19" s="451">
        <v>85</v>
      </c>
      <c r="O19" s="353">
        <v>30</v>
      </c>
      <c r="P19" s="353">
        <v>15</v>
      </c>
      <c r="Q19" s="353">
        <v>231.31</v>
      </c>
      <c r="R19" s="37"/>
      <c r="S19" s="508" t="str">
        <f t="shared" si="0"/>
        <v/>
      </c>
      <c r="T19" s="508"/>
      <c r="U19" s="508"/>
      <c r="V19" s="508"/>
      <c r="X19" s="45">
        <v>0.16666666666666699</v>
      </c>
      <c r="Y19" s="106"/>
      <c r="Z19" s="102"/>
      <c r="AA19" s="102"/>
      <c r="AB19" s="45" t="str">
        <f t="shared" si="18"/>
        <v/>
      </c>
      <c r="AC19" s="45" t="str">
        <f t="shared" si="1"/>
        <v/>
      </c>
      <c r="AD19" s="81"/>
      <c r="AE19" s="9" t="str">
        <f>IF(S19="","",IF(COUNTA(Z19:$Z$39)=1,IF(COUNTA(AD19:$AD$39)=1,""," ; "),IF(COUNTA(AD19:$AD$39)=1,IF(Z19="",""," ; ")," ; ")))</f>
        <v/>
      </c>
      <c r="AF19" s="9" t="str">
        <f t="shared" si="2"/>
        <v/>
      </c>
      <c r="AG19" s="90" t="str">
        <f t="shared" si="3"/>
        <v/>
      </c>
      <c r="AH19" s="204" t="s">
        <v>272</v>
      </c>
      <c r="AJ19" s="206">
        <f t="shared" si="19"/>
        <v>500</v>
      </c>
      <c r="AK19" s="206">
        <f t="shared" si="19"/>
        <v>100</v>
      </c>
      <c r="AL19" s="206">
        <f t="shared" si="19"/>
        <v>2</v>
      </c>
      <c r="AM19" s="213">
        <f t="shared" si="19"/>
        <v>0.875</v>
      </c>
      <c r="AN19" s="214">
        <f t="shared" si="19"/>
        <v>0.63607464142166403</v>
      </c>
      <c r="AO19" s="215">
        <f t="shared" si="4"/>
        <v>-14.7</v>
      </c>
      <c r="AP19" s="216">
        <f t="shared" si="5"/>
        <v>1</v>
      </c>
      <c r="AQ19" s="216">
        <f t="shared" si="6"/>
        <v>1</v>
      </c>
      <c r="AR19" s="215">
        <f t="shared" si="20"/>
        <v>158.47</v>
      </c>
      <c r="AS19" s="216">
        <f t="shared" si="7"/>
        <v>0.97679498379494789</v>
      </c>
      <c r="AT19" s="216">
        <f t="shared" si="8"/>
        <v>1.2538510821608391</v>
      </c>
      <c r="AU19" s="216">
        <f t="shared" si="9"/>
        <v>2.2360679774997898</v>
      </c>
      <c r="AV19" s="217">
        <f t="shared" si="10"/>
        <v>10.415801185754333</v>
      </c>
      <c r="AW19" s="216">
        <f t="shared" si="11"/>
        <v>0</v>
      </c>
      <c r="AX19" s="218">
        <f t="shared" si="12"/>
        <v>1.4696875479799241</v>
      </c>
      <c r="AY19" s="216">
        <f t="shared" si="13"/>
        <v>0.76851414128953044</v>
      </c>
      <c r="AZ19" s="217">
        <f t="shared" si="14"/>
        <v>3.5640070462657096</v>
      </c>
      <c r="BA19" s="216">
        <f t="shared" si="15"/>
        <v>0</v>
      </c>
      <c r="BB19" s="216">
        <f t="shared" si="16"/>
        <v>1.0084584063544275</v>
      </c>
      <c r="BC19" s="216">
        <f t="shared" si="17"/>
        <v>1</v>
      </c>
    </row>
    <row r="20" spans="1:55" ht="20.100000000000001" customHeight="1" x14ac:dyDescent="0.2">
      <c r="A20" s="45">
        <v>0.20833333333333301</v>
      </c>
      <c r="B20" s="451"/>
      <c r="C20" s="451"/>
      <c r="D20" s="451">
        <v>7.5</v>
      </c>
      <c r="E20" s="451">
        <v>65.3</v>
      </c>
      <c r="F20" s="41">
        <v>1955</v>
      </c>
      <c r="G20" s="37">
        <v>-5.6</v>
      </c>
      <c r="H20" s="37">
        <v>72.099999999999994</v>
      </c>
      <c r="I20" s="37">
        <v>23.8</v>
      </c>
      <c r="J20" s="41">
        <v>778</v>
      </c>
      <c r="K20" s="37">
        <v>13</v>
      </c>
      <c r="L20" s="451">
        <v>130</v>
      </c>
      <c r="M20" s="451">
        <v>220</v>
      </c>
      <c r="N20" s="451">
        <v>85</v>
      </c>
      <c r="O20" s="353">
        <v>30</v>
      </c>
      <c r="P20" s="353">
        <v>16</v>
      </c>
      <c r="Q20" s="353">
        <v>238.82</v>
      </c>
      <c r="R20" s="37"/>
      <c r="S20" s="508" t="str">
        <f t="shared" si="0"/>
        <v/>
      </c>
      <c r="T20" s="508"/>
      <c r="U20" s="508"/>
      <c r="V20" s="508"/>
      <c r="X20" s="45">
        <v>0.20833333333333301</v>
      </c>
      <c r="Y20" s="106"/>
      <c r="Z20" s="102"/>
      <c r="AA20" s="102"/>
      <c r="AB20" s="45" t="str">
        <f t="shared" si="18"/>
        <v/>
      </c>
      <c r="AC20" s="45" t="str">
        <f t="shared" si="1"/>
        <v/>
      </c>
      <c r="AD20" s="81"/>
      <c r="AE20" s="9" t="str">
        <f>IF(S20="","",IF(COUNTA(Z20:$Z$39)=1,IF(COUNTA(AD20:$AD$39)=1,""," ; "),IF(COUNTA(AD20:$AD$39)=1,IF(Z20="",""," ; ")," ; ")))</f>
        <v/>
      </c>
      <c r="AF20" s="9" t="str">
        <f t="shared" si="2"/>
        <v/>
      </c>
      <c r="AG20" s="90" t="str">
        <f t="shared" si="3"/>
        <v/>
      </c>
      <c r="AH20" s="204" t="s">
        <v>275</v>
      </c>
      <c r="AJ20" s="206">
        <f t="shared" si="19"/>
        <v>500</v>
      </c>
      <c r="AK20" s="206">
        <f t="shared" si="19"/>
        <v>100</v>
      </c>
      <c r="AL20" s="206">
        <f t="shared" si="19"/>
        <v>2</v>
      </c>
      <c r="AM20" s="213">
        <f t="shared" si="19"/>
        <v>0.875</v>
      </c>
      <c r="AN20" s="214">
        <f t="shared" si="19"/>
        <v>0.63607464142166403</v>
      </c>
      <c r="AO20" s="215">
        <f t="shared" si="4"/>
        <v>-14.7</v>
      </c>
      <c r="AP20" s="216">
        <f t="shared" si="5"/>
        <v>1</v>
      </c>
      <c r="AQ20" s="216">
        <f t="shared" si="6"/>
        <v>1</v>
      </c>
      <c r="AR20" s="215">
        <f t="shared" si="20"/>
        <v>158.47</v>
      </c>
      <c r="AS20" s="216">
        <f t="shared" si="7"/>
        <v>0.97679498379494789</v>
      </c>
      <c r="AT20" s="216">
        <f t="shared" si="8"/>
        <v>1.2538510821608391</v>
      </c>
      <c r="AU20" s="216">
        <f t="shared" si="9"/>
        <v>2.2360679774997898</v>
      </c>
      <c r="AV20" s="217">
        <f t="shared" si="10"/>
        <v>10.415801185754333</v>
      </c>
      <c r="AW20" s="216">
        <f t="shared" si="11"/>
        <v>0</v>
      </c>
      <c r="AX20" s="218">
        <f t="shared" si="12"/>
        <v>1.4696875479799241</v>
      </c>
      <c r="AY20" s="216">
        <f t="shared" si="13"/>
        <v>0.76851414128953044</v>
      </c>
      <c r="AZ20" s="217">
        <f t="shared" si="14"/>
        <v>3.5640070462657096</v>
      </c>
      <c r="BA20" s="216">
        <f t="shared" si="15"/>
        <v>0</v>
      </c>
      <c r="BB20" s="216">
        <f t="shared" si="16"/>
        <v>1.0084584063544275</v>
      </c>
      <c r="BC20" s="216">
        <f t="shared" si="17"/>
        <v>1</v>
      </c>
    </row>
    <row r="21" spans="1:55" ht="20.100000000000001" customHeight="1" x14ac:dyDescent="0.2">
      <c r="A21" s="45">
        <v>0.25</v>
      </c>
      <c r="B21" s="451"/>
      <c r="C21" s="451"/>
      <c r="D21" s="451">
        <v>7.8</v>
      </c>
      <c r="E21" s="451">
        <v>65.099999999999994</v>
      </c>
      <c r="F21" s="41">
        <v>1961</v>
      </c>
      <c r="G21" s="37">
        <v>-5.6</v>
      </c>
      <c r="H21" s="37">
        <v>72.599999999999994</v>
      </c>
      <c r="I21" s="37">
        <v>23.3</v>
      </c>
      <c r="J21" s="41">
        <v>779</v>
      </c>
      <c r="K21" s="37">
        <v>13</v>
      </c>
      <c r="L21" s="451">
        <v>133</v>
      </c>
      <c r="M21" s="451">
        <v>221</v>
      </c>
      <c r="N21" s="451">
        <v>85</v>
      </c>
      <c r="O21" s="353">
        <v>30</v>
      </c>
      <c r="P21" s="353">
        <v>16</v>
      </c>
      <c r="Q21" s="353">
        <v>238.82</v>
      </c>
      <c r="R21" s="37"/>
      <c r="S21" s="508" t="str">
        <f t="shared" si="0"/>
        <v/>
      </c>
      <c r="T21" s="508"/>
      <c r="U21" s="508"/>
      <c r="V21" s="508"/>
      <c r="X21" s="45">
        <v>0.25</v>
      </c>
      <c r="Y21" s="106"/>
      <c r="Z21" s="102"/>
      <c r="AA21" s="102"/>
      <c r="AB21" s="45" t="str">
        <f t="shared" si="18"/>
        <v/>
      </c>
      <c r="AC21" s="45" t="str">
        <f t="shared" si="1"/>
        <v/>
      </c>
      <c r="AD21" s="81"/>
      <c r="AE21" s="9" t="str">
        <f>IF(S21="","",IF(COUNTA(Z21:$Z$39)=1,IF(COUNTA(AD21:$AD$39)=1,""," ; "),IF(COUNTA(AD21:$AD$39)=1,IF(Z21="",""," ; ")," ; ")))</f>
        <v/>
      </c>
      <c r="AF21" s="9" t="str">
        <f t="shared" si="2"/>
        <v/>
      </c>
      <c r="AG21" s="90" t="str">
        <f t="shared" si="3"/>
        <v/>
      </c>
      <c r="AH21" s="204" t="s">
        <v>322</v>
      </c>
      <c r="AJ21" s="206">
        <f t="shared" si="19"/>
        <v>500</v>
      </c>
      <c r="AK21" s="206">
        <f t="shared" si="19"/>
        <v>100</v>
      </c>
      <c r="AL21" s="206">
        <f t="shared" si="19"/>
        <v>2</v>
      </c>
      <c r="AM21" s="213">
        <f t="shared" si="19"/>
        <v>0.875</v>
      </c>
      <c r="AN21" s="214">
        <f t="shared" si="19"/>
        <v>0.63607464142166403</v>
      </c>
      <c r="AO21" s="215">
        <f t="shared" si="4"/>
        <v>-14.7</v>
      </c>
      <c r="AP21" s="216">
        <f t="shared" si="5"/>
        <v>1</v>
      </c>
      <c r="AQ21" s="216">
        <f t="shared" si="6"/>
        <v>1</v>
      </c>
      <c r="AR21" s="215">
        <f t="shared" si="20"/>
        <v>158.47</v>
      </c>
      <c r="AS21" s="216">
        <f t="shared" si="7"/>
        <v>0.97679498379494789</v>
      </c>
      <c r="AT21" s="216">
        <f t="shared" si="8"/>
        <v>1.2538510821608391</v>
      </c>
      <c r="AU21" s="216">
        <f t="shared" si="9"/>
        <v>2.2360679774997898</v>
      </c>
      <c r="AV21" s="217">
        <f t="shared" si="10"/>
        <v>10.415801185754333</v>
      </c>
      <c r="AW21" s="216">
        <f t="shared" si="11"/>
        <v>0</v>
      </c>
      <c r="AX21" s="218">
        <f t="shared" si="12"/>
        <v>1.4696875479799241</v>
      </c>
      <c r="AY21" s="216">
        <f t="shared" si="13"/>
        <v>0.76851414128953044</v>
      </c>
      <c r="AZ21" s="217">
        <f t="shared" si="14"/>
        <v>3.5640070462657096</v>
      </c>
      <c r="BA21" s="216">
        <f t="shared" si="15"/>
        <v>0</v>
      </c>
      <c r="BB21" s="216">
        <f t="shared" si="16"/>
        <v>1.0084584063544275</v>
      </c>
      <c r="BC21" s="216">
        <f t="shared" si="17"/>
        <v>1</v>
      </c>
    </row>
    <row r="22" spans="1:55" ht="20.100000000000001" customHeight="1" x14ac:dyDescent="0.2">
      <c r="A22" s="45">
        <v>0.29166666666666702</v>
      </c>
      <c r="B22" s="451"/>
      <c r="C22" s="451"/>
      <c r="D22" s="451">
        <v>7.3</v>
      </c>
      <c r="E22" s="451">
        <v>62.2</v>
      </c>
      <c r="F22" s="41">
        <v>1933</v>
      </c>
      <c r="G22" s="37">
        <v>-5.6</v>
      </c>
      <c r="H22" s="37">
        <v>72.5</v>
      </c>
      <c r="I22" s="37">
        <v>23.6</v>
      </c>
      <c r="J22" s="41">
        <v>780</v>
      </c>
      <c r="K22" s="37">
        <v>13</v>
      </c>
      <c r="L22" s="451">
        <v>133</v>
      </c>
      <c r="M22" s="451">
        <v>222</v>
      </c>
      <c r="N22" s="451">
        <v>85</v>
      </c>
      <c r="O22" s="353">
        <v>30</v>
      </c>
      <c r="P22" s="353">
        <v>16</v>
      </c>
      <c r="Q22" s="353">
        <v>238.82</v>
      </c>
      <c r="R22" s="37"/>
      <c r="S22" s="508" t="str">
        <f t="shared" si="0"/>
        <v/>
      </c>
      <c r="T22" s="508"/>
      <c r="U22" s="508"/>
      <c r="V22" s="508"/>
      <c r="X22" s="45">
        <v>0.29166666666666702</v>
      </c>
      <c r="Y22" s="106"/>
      <c r="Z22" s="102"/>
      <c r="AA22" s="102"/>
      <c r="AB22" s="45" t="str">
        <f t="shared" si="18"/>
        <v/>
      </c>
      <c r="AC22" s="45" t="str">
        <f t="shared" si="1"/>
        <v/>
      </c>
      <c r="AD22" s="81"/>
      <c r="AE22" s="9" t="str">
        <f>IF(S22="","",IF(COUNTA(Z22:$Z$39)=1,IF(COUNTA(AD22:$AD$39)=1,""," ; "),IF(COUNTA(AD22:$AD$39)=1,IF(Z22="",""," ; ")," ; ")))</f>
        <v/>
      </c>
      <c r="AF22" s="9" t="str">
        <f t="shared" si="2"/>
        <v/>
      </c>
      <c r="AG22" s="90" t="str">
        <f t="shared" si="3"/>
        <v/>
      </c>
      <c r="AH22" s="204" t="s">
        <v>279</v>
      </c>
      <c r="AJ22" s="206">
        <f t="shared" si="19"/>
        <v>500</v>
      </c>
      <c r="AK22" s="206">
        <f t="shared" si="19"/>
        <v>100</v>
      </c>
      <c r="AL22" s="206">
        <f t="shared" si="19"/>
        <v>2</v>
      </c>
      <c r="AM22" s="213">
        <f t="shared" si="19"/>
        <v>0.875</v>
      </c>
      <c r="AN22" s="214">
        <f t="shared" si="19"/>
        <v>0.63607464142166403</v>
      </c>
      <c r="AO22" s="215">
        <f t="shared" si="4"/>
        <v>-14.7</v>
      </c>
      <c r="AP22" s="216">
        <f t="shared" si="5"/>
        <v>1</v>
      </c>
      <c r="AQ22" s="216">
        <f t="shared" si="6"/>
        <v>1</v>
      </c>
      <c r="AR22" s="215">
        <f t="shared" si="20"/>
        <v>158.47</v>
      </c>
      <c r="AS22" s="216">
        <f t="shared" si="7"/>
        <v>0.97679498379494789</v>
      </c>
      <c r="AT22" s="216">
        <f t="shared" si="8"/>
        <v>1.2538510821608391</v>
      </c>
      <c r="AU22" s="216">
        <f t="shared" si="9"/>
        <v>2.2360679774997898</v>
      </c>
      <c r="AV22" s="217">
        <f t="shared" si="10"/>
        <v>10.415801185754333</v>
      </c>
      <c r="AW22" s="216">
        <f t="shared" si="11"/>
        <v>0</v>
      </c>
      <c r="AX22" s="218">
        <f t="shared" si="12"/>
        <v>1.4696875479799241</v>
      </c>
      <c r="AY22" s="216">
        <f t="shared" si="13"/>
        <v>0.76851414128953044</v>
      </c>
      <c r="AZ22" s="217">
        <f t="shared" si="14"/>
        <v>3.5640070462657096</v>
      </c>
      <c r="BA22" s="216">
        <f t="shared" si="15"/>
        <v>0</v>
      </c>
      <c r="BB22" s="216">
        <f t="shared" si="16"/>
        <v>1.0084584063544275</v>
      </c>
      <c r="BC22" s="216">
        <f t="shared" si="17"/>
        <v>1</v>
      </c>
    </row>
    <row r="23" spans="1:55" ht="20.100000000000001" customHeight="1" x14ac:dyDescent="0.2">
      <c r="A23" s="45">
        <v>0.33333333333333298</v>
      </c>
      <c r="B23" s="451"/>
      <c r="C23" s="451"/>
      <c r="D23" s="451">
        <v>7.5</v>
      </c>
      <c r="E23" s="451">
        <v>61.6</v>
      </c>
      <c r="F23" s="41">
        <v>1941</v>
      </c>
      <c r="G23" s="37">
        <v>-5.6</v>
      </c>
      <c r="H23" s="37">
        <v>72.099999999999994</v>
      </c>
      <c r="I23" s="37">
        <v>23.1</v>
      </c>
      <c r="J23" s="41">
        <v>781</v>
      </c>
      <c r="K23" s="37">
        <v>13</v>
      </c>
      <c r="L23" s="451">
        <v>133</v>
      </c>
      <c r="M23" s="451">
        <v>223</v>
      </c>
      <c r="N23" s="451">
        <v>85</v>
      </c>
      <c r="O23" s="353">
        <v>30</v>
      </c>
      <c r="P23" s="353">
        <v>16</v>
      </c>
      <c r="Q23" s="353">
        <v>238.82</v>
      </c>
      <c r="R23" s="37"/>
      <c r="S23" s="508" t="str">
        <f t="shared" si="0"/>
        <v/>
      </c>
      <c r="T23" s="508"/>
      <c r="U23" s="508"/>
      <c r="V23" s="508"/>
      <c r="X23" s="45">
        <v>0.33333333333333298</v>
      </c>
      <c r="Y23" s="106"/>
      <c r="Z23" s="102"/>
      <c r="AA23" s="102"/>
      <c r="AB23" s="45" t="str">
        <f t="shared" si="18"/>
        <v/>
      </c>
      <c r="AC23" s="45" t="str">
        <f t="shared" si="1"/>
        <v/>
      </c>
      <c r="AD23" s="81"/>
      <c r="AE23" s="9" t="str">
        <f>IF(S23="","",IF(COUNTA(Z23:$Z$39)=1,IF(COUNTA(AD23:$AD$39)=1,""," ; "),IF(COUNTA(AD23:$AD$39)=1,IF(Z23="",""," ; ")," ; ")))</f>
        <v/>
      </c>
      <c r="AF23" s="9" t="str">
        <f t="shared" si="2"/>
        <v/>
      </c>
      <c r="AG23" s="90" t="str">
        <f t="shared" si="3"/>
        <v/>
      </c>
      <c r="AH23" s="204" t="s">
        <v>274</v>
      </c>
      <c r="AJ23" s="206">
        <f t="shared" si="19"/>
        <v>500</v>
      </c>
      <c r="AK23" s="206">
        <f t="shared" si="19"/>
        <v>100</v>
      </c>
      <c r="AL23" s="206">
        <f t="shared" si="19"/>
        <v>2</v>
      </c>
      <c r="AM23" s="213">
        <f t="shared" si="19"/>
        <v>0.875</v>
      </c>
      <c r="AN23" s="214">
        <f t="shared" si="19"/>
        <v>0.63607464142166403</v>
      </c>
      <c r="AO23" s="215">
        <f t="shared" si="4"/>
        <v>-14.7</v>
      </c>
      <c r="AP23" s="216">
        <f t="shared" si="5"/>
        <v>1</v>
      </c>
      <c r="AQ23" s="216">
        <f t="shared" si="6"/>
        <v>1</v>
      </c>
      <c r="AR23" s="215">
        <f t="shared" si="20"/>
        <v>158.47</v>
      </c>
      <c r="AS23" s="216">
        <f t="shared" si="7"/>
        <v>0.97679498379494789</v>
      </c>
      <c r="AT23" s="216">
        <f t="shared" si="8"/>
        <v>1.2538510821608391</v>
      </c>
      <c r="AU23" s="216">
        <f t="shared" si="9"/>
        <v>2.2360679774997898</v>
      </c>
      <c r="AV23" s="217">
        <f t="shared" si="10"/>
        <v>10.415801185754333</v>
      </c>
      <c r="AW23" s="216">
        <f t="shared" si="11"/>
        <v>0</v>
      </c>
      <c r="AX23" s="218">
        <f t="shared" si="12"/>
        <v>1.4696875479799241</v>
      </c>
      <c r="AY23" s="216">
        <f t="shared" si="13"/>
        <v>0.76851414128953044</v>
      </c>
      <c r="AZ23" s="217">
        <f t="shared" si="14"/>
        <v>3.5640070462657096</v>
      </c>
      <c r="BA23" s="216">
        <f t="shared" si="15"/>
        <v>0</v>
      </c>
      <c r="BB23" s="216">
        <f t="shared" si="16"/>
        <v>1.0084584063544275</v>
      </c>
      <c r="BC23" s="216">
        <f t="shared" si="17"/>
        <v>1</v>
      </c>
    </row>
    <row r="24" spans="1:55" ht="20.100000000000001" customHeight="1" x14ac:dyDescent="0.2">
      <c r="A24" s="45">
        <v>0.375</v>
      </c>
      <c r="B24" s="451"/>
      <c r="C24" s="451"/>
      <c r="D24" s="451">
        <v>7.1</v>
      </c>
      <c r="E24" s="451">
        <v>61</v>
      </c>
      <c r="F24" s="41">
        <v>1973</v>
      </c>
      <c r="G24" s="37">
        <v>-5.6</v>
      </c>
      <c r="H24" s="37">
        <v>72.3</v>
      </c>
      <c r="I24" s="37">
        <v>23.9</v>
      </c>
      <c r="J24" s="41">
        <v>782</v>
      </c>
      <c r="K24" s="37">
        <v>13</v>
      </c>
      <c r="L24" s="451">
        <v>134</v>
      </c>
      <c r="M24" s="451">
        <v>224</v>
      </c>
      <c r="N24" s="451">
        <v>85</v>
      </c>
      <c r="O24" s="353">
        <v>30</v>
      </c>
      <c r="P24" s="353">
        <v>15</v>
      </c>
      <c r="Q24" s="353">
        <v>231.31</v>
      </c>
      <c r="R24" s="37"/>
      <c r="S24" s="508" t="str">
        <f t="shared" si="0"/>
        <v/>
      </c>
      <c r="T24" s="508"/>
      <c r="U24" s="508"/>
      <c r="V24" s="508"/>
      <c r="X24" s="45">
        <v>0.375</v>
      </c>
      <c r="Y24" s="106"/>
      <c r="Z24" s="102"/>
      <c r="AA24" s="102"/>
      <c r="AB24" s="45" t="str">
        <f t="shared" si="18"/>
        <v/>
      </c>
      <c r="AC24" s="45" t="str">
        <f t="shared" si="1"/>
        <v/>
      </c>
      <c r="AD24" s="81"/>
      <c r="AE24" s="9" t="str">
        <f>IF(S24="","",IF(COUNTA(Z24:$Z$39)=1,IF(COUNTA(AD24:$AD$39)=1,""," ; "),IF(COUNTA(AD24:$AD$39)=1,IF(Z24="",""," ; ")," ; ")))</f>
        <v/>
      </c>
      <c r="AF24" s="9" t="str">
        <f t="shared" si="2"/>
        <v/>
      </c>
      <c r="AG24" s="90" t="str">
        <f t="shared" si="3"/>
        <v/>
      </c>
      <c r="AH24" s="204" t="s">
        <v>307</v>
      </c>
      <c r="AJ24" s="206">
        <f t="shared" si="19"/>
        <v>500</v>
      </c>
      <c r="AK24" s="206">
        <f t="shared" si="19"/>
        <v>100</v>
      </c>
      <c r="AL24" s="206">
        <f t="shared" si="19"/>
        <v>2</v>
      </c>
      <c r="AM24" s="213">
        <f t="shared" si="19"/>
        <v>0.875</v>
      </c>
      <c r="AN24" s="214">
        <f t="shared" si="19"/>
        <v>0.63607464142166403</v>
      </c>
      <c r="AO24" s="215">
        <f t="shared" si="4"/>
        <v>-14.7</v>
      </c>
      <c r="AP24" s="216">
        <f t="shared" si="5"/>
        <v>1</v>
      </c>
      <c r="AQ24" s="216">
        <f t="shared" si="6"/>
        <v>1</v>
      </c>
      <c r="AR24" s="215">
        <f t="shared" si="20"/>
        <v>158.47</v>
      </c>
      <c r="AS24" s="216">
        <f t="shared" si="7"/>
        <v>0.97679498379494789</v>
      </c>
      <c r="AT24" s="216">
        <f t="shared" si="8"/>
        <v>1.2538510821608391</v>
      </c>
      <c r="AU24" s="216">
        <f t="shared" si="9"/>
        <v>2.2360679774997898</v>
      </c>
      <c r="AV24" s="217">
        <f t="shared" si="10"/>
        <v>10.415801185754333</v>
      </c>
      <c r="AW24" s="216">
        <f t="shared" si="11"/>
        <v>0</v>
      </c>
      <c r="AX24" s="218">
        <f t="shared" si="12"/>
        <v>1.4696875479799241</v>
      </c>
      <c r="AY24" s="216">
        <f t="shared" si="13"/>
        <v>0.76851414128953044</v>
      </c>
      <c r="AZ24" s="217">
        <f t="shared" si="14"/>
        <v>3.5640070462657096</v>
      </c>
      <c r="BA24" s="216">
        <f t="shared" si="15"/>
        <v>0</v>
      </c>
      <c r="BB24" s="216">
        <f t="shared" si="16"/>
        <v>1.0084584063544275</v>
      </c>
      <c r="BC24" s="216">
        <f t="shared" si="17"/>
        <v>1</v>
      </c>
    </row>
    <row r="25" spans="1:55" ht="20.100000000000001" customHeight="1" x14ac:dyDescent="0.2">
      <c r="A25" s="45">
        <v>0.41666666666666702</v>
      </c>
      <c r="B25" s="451"/>
      <c r="C25" s="451"/>
      <c r="D25" s="451">
        <v>6.9</v>
      </c>
      <c r="E25" s="451">
        <v>61.3</v>
      </c>
      <c r="F25" s="41">
        <v>1940</v>
      </c>
      <c r="G25" s="37">
        <v>-5.6</v>
      </c>
      <c r="H25" s="37">
        <v>72</v>
      </c>
      <c r="I25" s="37">
        <v>23.7</v>
      </c>
      <c r="J25" s="41">
        <v>783</v>
      </c>
      <c r="K25" s="37">
        <v>13</v>
      </c>
      <c r="L25" s="451">
        <v>134</v>
      </c>
      <c r="M25" s="451">
        <v>224</v>
      </c>
      <c r="N25" s="451">
        <v>88</v>
      </c>
      <c r="O25" s="353">
        <v>30</v>
      </c>
      <c r="P25" s="353">
        <v>15</v>
      </c>
      <c r="Q25" s="353">
        <v>230.68</v>
      </c>
      <c r="R25" s="37"/>
      <c r="S25" s="508" t="str">
        <f t="shared" si="0"/>
        <v/>
      </c>
      <c r="T25" s="508"/>
      <c r="U25" s="508"/>
      <c r="V25" s="508"/>
      <c r="X25" s="45">
        <v>0.41666666666666702</v>
      </c>
      <c r="Y25" s="106"/>
      <c r="Z25" s="102"/>
      <c r="AA25" s="102"/>
      <c r="AB25" s="45" t="str">
        <f t="shared" si="18"/>
        <v/>
      </c>
      <c r="AC25" s="45" t="str">
        <f t="shared" si="1"/>
        <v/>
      </c>
      <c r="AD25" s="81"/>
      <c r="AE25" s="9" t="str">
        <f>IF(S25="","",IF(COUNTA(Z25:$Z$39)=1,IF(COUNTA(AD25:$AD$39)=1,""," ; "),IF(COUNTA(AD25:$AD$39)=1,IF(Z25="",""," ; ")," ; ")))</f>
        <v/>
      </c>
      <c r="AF25" s="9" t="str">
        <f t="shared" si="2"/>
        <v/>
      </c>
      <c r="AG25" s="90" t="str">
        <f t="shared" si="3"/>
        <v/>
      </c>
      <c r="AH25" s="204" t="s">
        <v>225</v>
      </c>
      <c r="AJ25" s="206">
        <f t="shared" si="19"/>
        <v>500</v>
      </c>
      <c r="AK25" s="206">
        <f t="shared" si="19"/>
        <v>100</v>
      </c>
      <c r="AL25" s="206">
        <f t="shared" si="19"/>
        <v>2</v>
      </c>
      <c r="AM25" s="213">
        <f t="shared" si="19"/>
        <v>0.875</v>
      </c>
      <c r="AN25" s="214">
        <f t="shared" si="19"/>
        <v>0.63607464142166403</v>
      </c>
      <c r="AO25" s="215">
        <f t="shared" si="4"/>
        <v>-14.7</v>
      </c>
      <c r="AP25" s="216">
        <f t="shared" si="5"/>
        <v>1</v>
      </c>
      <c r="AQ25" s="216">
        <f t="shared" si="6"/>
        <v>1</v>
      </c>
      <c r="AR25" s="215">
        <f t="shared" si="20"/>
        <v>158.47</v>
      </c>
      <c r="AS25" s="216">
        <f t="shared" si="7"/>
        <v>0.97411760557391169</v>
      </c>
      <c r="AT25" s="216">
        <f t="shared" si="8"/>
        <v>1.2538510821608391</v>
      </c>
      <c r="AU25" s="216">
        <f t="shared" si="9"/>
        <v>2.2360679774997898</v>
      </c>
      <c r="AV25" s="217">
        <f t="shared" si="10"/>
        <v>10.387251654161696</v>
      </c>
      <c r="AW25" s="216">
        <f t="shared" si="11"/>
        <v>0</v>
      </c>
      <c r="AX25" s="218">
        <f t="shared" si="12"/>
        <v>1.4777775711798136</v>
      </c>
      <c r="AY25" s="216">
        <f t="shared" si="13"/>
        <v>0.77329742231598331</v>
      </c>
      <c r="AZ25" s="217">
        <f t="shared" si="14"/>
        <v>3.5788947329105252</v>
      </c>
      <c r="BA25" s="216">
        <f t="shared" si="15"/>
        <v>0</v>
      </c>
      <c r="BB25" s="216">
        <f t="shared" si="16"/>
        <v>1.0043610063196404</v>
      </c>
      <c r="BC25" s="216">
        <f t="shared" si="17"/>
        <v>1</v>
      </c>
    </row>
    <row r="26" spans="1:55" ht="20.100000000000001" customHeight="1" x14ac:dyDescent="0.2">
      <c r="A26" s="45">
        <v>0.45833333333333298</v>
      </c>
      <c r="B26" s="451"/>
      <c r="C26" s="451"/>
      <c r="D26" s="451">
        <v>7.4</v>
      </c>
      <c r="E26" s="451">
        <v>61.8</v>
      </c>
      <c r="F26" s="41">
        <v>1962</v>
      </c>
      <c r="G26" s="37">
        <v>-5.6</v>
      </c>
      <c r="H26" s="37">
        <v>72.099999999999994</v>
      </c>
      <c r="I26" s="37">
        <v>23.3</v>
      </c>
      <c r="J26" s="41">
        <v>784</v>
      </c>
      <c r="K26" s="37">
        <v>13</v>
      </c>
      <c r="L26" s="451">
        <v>135</v>
      </c>
      <c r="M26" s="451">
        <v>224</v>
      </c>
      <c r="N26" s="451">
        <v>90</v>
      </c>
      <c r="O26" s="353">
        <v>30</v>
      </c>
      <c r="P26" s="353">
        <v>15</v>
      </c>
      <c r="Q26" s="353">
        <v>230.26</v>
      </c>
      <c r="R26" s="37"/>
      <c r="S26" s="508" t="str">
        <f t="shared" si="0"/>
        <v/>
      </c>
      <c r="T26" s="508"/>
      <c r="U26" s="508"/>
      <c r="V26" s="508"/>
      <c r="X26" s="45">
        <v>0.45833333333333298</v>
      </c>
      <c r="Y26" s="106"/>
      <c r="Z26" s="102"/>
      <c r="AA26" s="102"/>
      <c r="AB26" s="45" t="str">
        <f t="shared" si="18"/>
        <v/>
      </c>
      <c r="AC26" s="45" t="str">
        <f t="shared" si="1"/>
        <v/>
      </c>
      <c r="AD26" s="81"/>
      <c r="AE26" s="9" t="str">
        <f>IF(S26="","",IF(COUNTA(Z26:$Z$39)=1,IF(COUNTA(AD26:$AD$39)=1,""," ; "),IF(COUNTA(AD26:$AD$39)=1,IF(Z26="",""," ; ")," ; ")))</f>
        <v/>
      </c>
      <c r="AF26" s="9" t="str">
        <f t="shared" si="2"/>
        <v/>
      </c>
      <c r="AG26" s="90" t="str">
        <f t="shared" si="3"/>
        <v/>
      </c>
      <c r="AH26" s="204" t="s">
        <v>287</v>
      </c>
      <c r="AJ26" s="206">
        <f t="shared" si="19"/>
        <v>500</v>
      </c>
      <c r="AK26" s="206">
        <f t="shared" si="19"/>
        <v>100</v>
      </c>
      <c r="AL26" s="206">
        <f t="shared" si="19"/>
        <v>2</v>
      </c>
      <c r="AM26" s="213">
        <f t="shared" si="19"/>
        <v>0.875</v>
      </c>
      <c r="AN26" s="214">
        <f t="shared" si="19"/>
        <v>0.63607464142166403</v>
      </c>
      <c r="AO26" s="215">
        <f t="shared" si="4"/>
        <v>-14.7</v>
      </c>
      <c r="AP26" s="216">
        <f t="shared" si="5"/>
        <v>1</v>
      </c>
      <c r="AQ26" s="216">
        <f t="shared" si="6"/>
        <v>1</v>
      </c>
      <c r="AR26" s="215">
        <f t="shared" si="20"/>
        <v>158.47</v>
      </c>
      <c r="AS26" s="216">
        <f t="shared" si="7"/>
        <v>0.9723448696087954</v>
      </c>
      <c r="AT26" s="216">
        <f t="shared" si="8"/>
        <v>1.2538510821608391</v>
      </c>
      <c r="AU26" s="216">
        <f t="shared" si="9"/>
        <v>2.2360679774997898</v>
      </c>
      <c r="AV26" s="217">
        <f t="shared" si="10"/>
        <v>10.368348541764712</v>
      </c>
      <c r="AW26" s="216">
        <f t="shared" si="11"/>
        <v>0</v>
      </c>
      <c r="AX26" s="218">
        <f t="shared" si="12"/>
        <v>1.4831709199797398</v>
      </c>
      <c r="AY26" s="216">
        <f t="shared" si="13"/>
        <v>0.77643477842613629</v>
      </c>
      <c r="AZ26" s="217">
        <f t="shared" si="14"/>
        <v>3.5883638597441294</v>
      </c>
      <c r="BA26" s="216">
        <f t="shared" si="15"/>
        <v>0</v>
      </c>
      <c r="BB26" s="216">
        <f t="shared" si="16"/>
        <v>1.0016542390239327</v>
      </c>
      <c r="BC26" s="216">
        <f t="shared" si="17"/>
        <v>1</v>
      </c>
    </row>
    <row r="27" spans="1:55" ht="20.100000000000001" customHeight="1" x14ac:dyDescent="0.2">
      <c r="A27" s="45">
        <v>0.5</v>
      </c>
      <c r="B27" s="451"/>
      <c r="C27" s="451"/>
      <c r="D27" s="451">
        <v>7.2</v>
      </c>
      <c r="E27" s="451">
        <v>61</v>
      </c>
      <c r="F27" s="41">
        <v>1940</v>
      </c>
      <c r="G27" s="37">
        <v>-5.6</v>
      </c>
      <c r="H27" s="37">
        <v>72.8</v>
      </c>
      <c r="I27" s="37">
        <v>23.1</v>
      </c>
      <c r="J27" s="41">
        <v>785</v>
      </c>
      <c r="K27" s="37">
        <v>13</v>
      </c>
      <c r="L27" s="451">
        <v>135</v>
      </c>
      <c r="M27" s="451">
        <v>225</v>
      </c>
      <c r="N27" s="451">
        <v>90</v>
      </c>
      <c r="O27" s="353">
        <v>30</v>
      </c>
      <c r="P27" s="353">
        <v>15</v>
      </c>
      <c r="Q27" s="353">
        <v>230.26</v>
      </c>
      <c r="R27" s="37"/>
      <c r="S27" s="508" t="str">
        <f t="shared" si="0"/>
        <v/>
      </c>
      <c r="T27" s="508"/>
      <c r="U27" s="508"/>
      <c r="V27" s="508"/>
      <c r="X27" s="45">
        <v>0.5</v>
      </c>
      <c r="Y27" s="106"/>
      <c r="Z27" s="102"/>
      <c r="AA27" s="102"/>
      <c r="AB27" s="45" t="str">
        <f t="shared" si="18"/>
        <v/>
      </c>
      <c r="AC27" s="45" t="str">
        <f t="shared" si="1"/>
        <v/>
      </c>
      <c r="AD27" s="81"/>
      <c r="AE27" s="9" t="str">
        <f>IF(S27="","",IF(COUNTA(Z27:$Z$39)=1,IF(COUNTA(AD27:$AD$39)=1,""," ; "),IF(COUNTA(AD27:$AD$39)=1,IF(Z27="",""," ; ")," ; ")))</f>
        <v/>
      </c>
      <c r="AF27" s="9" t="str">
        <f t="shared" si="2"/>
        <v/>
      </c>
      <c r="AG27" s="90" t="str">
        <f t="shared" si="3"/>
        <v/>
      </c>
      <c r="AH27" s="204" t="s">
        <v>276</v>
      </c>
      <c r="AJ27" s="206">
        <f t="shared" si="19"/>
        <v>500</v>
      </c>
      <c r="AK27" s="206">
        <f t="shared" si="19"/>
        <v>100</v>
      </c>
      <c r="AL27" s="206">
        <f t="shared" si="19"/>
        <v>2</v>
      </c>
      <c r="AM27" s="213">
        <f t="shared" si="19"/>
        <v>0.875</v>
      </c>
      <c r="AN27" s="214">
        <f t="shared" si="19"/>
        <v>0.63607464142166403</v>
      </c>
      <c r="AO27" s="215">
        <f t="shared" si="4"/>
        <v>-14.7</v>
      </c>
      <c r="AP27" s="216">
        <f t="shared" si="5"/>
        <v>1</v>
      </c>
      <c r="AQ27" s="216">
        <f t="shared" si="6"/>
        <v>1</v>
      </c>
      <c r="AR27" s="215">
        <f t="shared" si="20"/>
        <v>158.47</v>
      </c>
      <c r="AS27" s="216">
        <f t="shared" si="7"/>
        <v>0.9723448696087954</v>
      </c>
      <c r="AT27" s="216">
        <f t="shared" si="8"/>
        <v>1.2538510821608391</v>
      </c>
      <c r="AU27" s="216">
        <f t="shared" si="9"/>
        <v>2.2360679774997898</v>
      </c>
      <c r="AV27" s="217">
        <f t="shared" si="10"/>
        <v>10.368348541764712</v>
      </c>
      <c r="AW27" s="216">
        <f t="shared" si="11"/>
        <v>0</v>
      </c>
      <c r="AX27" s="218">
        <f t="shared" si="12"/>
        <v>1.4831709199797398</v>
      </c>
      <c r="AY27" s="216">
        <f t="shared" si="13"/>
        <v>0.77643477842613629</v>
      </c>
      <c r="AZ27" s="217">
        <f t="shared" si="14"/>
        <v>3.5883638597441294</v>
      </c>
      <c r="BA27" s="216">
        <f t="shared" si="15"/>
        <v>0</v>
      </c>
      <c r="BB27" s="216">
        <f t="shared" si="16"/>
        <v>1.0016542390239327</v>
      </c>
      <c r="BC27" s="216">
        <f t="shared" si="17"/>
        <v>1</v>
      </c>
    </row>
    <row r="28" spans="1:55" ht="20.100000000000001" customHeight="1" x14ac:dyDescent="0.2">
      <c r="A28" s="45">
        <v>0.54166666666666696</v>
      </c>
      <c r="B28" s="451"/>
      <c r="C28" s="451"/>
      <c r="D28" s="451">
        <v>7.6</v>
      </c>
      <c r="E28" s="451">
        <v>61.3</v>
      </c>
      <c r="F28" s="41">
        <v>1955</v>
      </c>
      <c r="G28" s="37">
        <v>-5.6</v>
      </c>
      <c r="H28" s="37">
        <v>72.099999999999994</v>
      </c>
      <c r="I28" s="37">
        <v>23.3</v>
      </c>
      <c r="J28" s="41">
        <v>786</v>
      </c>
      <c r="K28" s="37">
        <v>13</v>
      </c>
      <c r="L28" s="451">
        <v>136</v>
      </c>
      <c r="M28" s="451">
        <v>226</v>
      </c>
      <c r="N28" s="451">
        <v>90</v>
      </c>
      <c r="O28" s="353">
        <v>30</v>
      </c>
      <c r="P28" s="353">
        <v>15</v>
      </c>
      <c r="Q28" s="353">
        <v>230.26</v>
      </c>
      <c r="R28" s="37"/>
      <c r="S28" s="508" t="str">
        <f t="shared" si="0"/>
        <v/>
      </c>
      <c r="T28" s="508"/>
      <c r="U28" s="508"/>
      <c r="V28" s="508"/>
      <c r="X28" s="45">
        <v>0.54166666666666696</v>
      </c>
      <c r="Y28" s="106"/>
      <c r="Z28" s="102"/>
      <c r="AA28" s="102"/>
      <c r="AB28" s="45" t="str">
        <f t="shared" si="18"/>
        <v/>
      </c>
      <c r="AC28" s="45" t="str">
        <f t="shared" si="1"/>
        <v/>
      </c>
      <c r="AD28" s="81"/>
      <c r="AE28" s="9" t="str">
        <f>IF(S28="","",IF(COUNTA(Z28:$Z$39)=1,IF(COUNTA(AD28:$AD$39)=1,""," ; "),IF(COUNTA(AD28:$AD$39)=1,IF(Z28="",""," ; ")," ; ")))</f>
        <v/>
      </c>
      <c r="AF28" s="9" t="str">
        <f t="shared" si="2"/>
        <v/>
      </c>
      <c r="AG28" s="90" t="str">
        <f t="shared" si="3"/>
        <v/>
      </c>
      <c r="AH28" s="204" t="s">
        <v>278</v>
      </c>
      <c r="AJ28" s="206">
        <f t="shared" si="19"/>
        <v>500</v>
      </c>
      <c r="AK28" s="206">
        <f t="shared" si="19"/>
        <v>100</v>
      </c>
      <c r="AL28" s="206">
        <f t="shared" si="19"/>
        <v>2</v>
      </c>
      <c r="AM28" s="213">
        <f t="shared" si="19"/>
        <v>0.875</v>
      </c>
      <c r="AN28" s="214">
        <f t="shared" si="19"/>
        <v>0.63607464142166403</v>
      </c>
      <c r="AO28" s="215">
        <f t="shared" si="4"/>
        <v>-14.7</v>
      </c>
      <c r="AP28" s="216">
        <f t="shared" si="5"/>
        <v>1</v>
      </c>
      <c r="AQ28" s="216">
        <f t="shared" si="6"/>
        <v>1</v>
      </c>
      <c r="AR28" s="215">
        <f t="shared" si="20"/>
        <v>158.47</v>
      </c>
      <c r="AS28" s="216">
        <f t="shared" si="7"/>
        <v>0.9723448696087954</v>
      </c>
      <c r="AT28" s="216">
        <f t="shared" si="8"/>
        <v>1.2538510821608391</v>
      </c>
      <c r="AU28" s="216">
        <f t="shared" si="9"/>
        <v>2.2360679774997898</v>
      </c>
      <c r="AV28" s="217">
        <f t="shared" si="10"/>
        <v>10.368348541764712</v>
      </c>
      <c r="AW28" s="216">
        <f t="shared" si="11"/>
        <v>0</v>
      </c>
      <c r="AX28" s="218">
        <f t="shared" si="12"/>
        <v>1.4831709199797398</v>
      </c>
      <c r="AY28" s="216">
        <f t="shared" si="13"/>
        <v>0.77643477842613629</v>
      </c>
      <c r="AZ28" s="217">
        <f t="shared" si="14"/>
        <v>3.5883638597441294</v>
      </c>
      <c r="BA28" s="216">
        <f t="shared" si="15"/>
        <v>0</v>
      </c>
      <c r="BB28" s="216">
        <f t="shared" si="16"/>
        <v>1.0016542390239327</v>
      </c>
      <c r="BC28" s="216">
        <f t="shared" si="17"/>
        <v>1</v>
      </c>
    </row>
    <row r="29" spans="1:55" ht="20.100000000000001" customHeight="1" x14ac:dyDescent="0.2">
      <c r="A29" s="45">
        <v>0.58333333333333304</v>
      </c>
      <c r="B29" s="451"/>
      <c r="C29" s="451"/>
      <c r="D29" s="451">
        <v>7.9</v>
      </c>
      <c r="E29" s="451">
        <v>62.7</v>
      </c>
      <c r="F29" s="41">
        <v>1981</v>
      </c>
      <c r="G29" s="37">
        <v>-5.6</v>
      </c>
      <c r="H29" s="37">
        <v>72.8</v>
      </c>
      <c r="I29" s="37">
        <v>23.1</v>
      </c>
      <c r="J29" s="41">
        <v>787</v>
      </c>
      <c r="K29" s="37">
        <v>13</v>
      </c>
      <c r="L29" s="451">
        <v>135</v>
      </c>
      <c r="M29" s="451">
        <v>227</v>
      </c>
      <c r="N29" s="451">
        <v>90</v>
      </c>
      <c r="O29" s="353">
        <v>35</v>
      </c>
      <c r="P29" s="353">
        <v>12</v>
      </c>
      <c r="Q29" s="353">
        <v>217.49</v>
      </c>
      <c r="R29" s="37"/>
      <c r="S29" s="508" t="str">
        <f t="shared" si="0"/>
        <v/>
      </c>
      <c r="T29" s="508"/>
      <c r="U29" s="508"/>
      <c r="V29" s="508"/>
      <c r="X29" s="45">
        <v>0.58333333333333304</v>
      </c>
      <c r="Y29" s="106"/>
      <c r="Z29" s="102"/>
      <c r="AA29" s="102"/>
      <c r="AB29" s="45" t="str">
        <f t="shared" si="18"/>
        <v/>
      </c>
      <c r="AC29" s="45" t="str">
        <f t="shared" si="1"/>
        <v/>
      </c>
      <c r="AD29" s="81"/>
      <c r="AE29" s="9" t="str">
        <f>IF(S29="","",IF(COUNTA(Z29:$Z$39)=1,IF(COUNTA(AD29:$AD$39)=1,""," ; "),IF(COUNTA(AD29:$AD$39)=1,IF(Z29="",""," ; ")," ; ")))</f>
        <v/>
      </c>
      <c r="AF29" s="9" t="str">
        <f t="shared" si="2"/>
        <v/>
      </c>
      <c r="AG29" s="90" t="str">
        <f t="shared" si="3"/>
        <v/>
      </c>
      <c r="AH29" s="204" t="s">
        <v>224</v>
      </c>
      <c r="AJ29" s="206">
        <f t="shared" si="19"/>
        <v>500</v>
      </c>
      <c r="AK29" s="206">
        <f t="shared" si="19"/>
        <v>100</v>
      </c>
      <c r="AL29" s="206">
        <f t="shared" si="19"/>
        <v>2</v>
      </c>
      <c r="AM29" s="213">
        <f t="shared" si="19"/>
        <v>0.875</v>
      </c>
      <c r="AN29" s="214">
        <f t="shared" si="19"/>
        <v>0.63607464142166403</v>
      </c>
      <c r="AO29" s="215">
        <f t="shared" si="4"/>
        <v>-14.7</v>
      </c>
      <c r="AP29" s="216">
        <f t="shared" si="5"/>
        <v>1</v>
      </c>
      <c r="AQ29" s="216">
        <f t="shared" si="6"/>
        <v>1</v>
      </c>
      <c r="AR29" s="215">
        <f t="shared" si="20"/>
        <v>158.47</v>
      </c>
      <c r="AS29" s="216">
        <f t="shared" si="7"/>
        <v>0.9723448696087954</v>
      </c>
      <c r="AT29" s="216">
        <f t="shared" si="8"/>
        <v>1.2538510821608391</v>
      </c>
      <c r="AU29" s="216">
        <f t="shared" si="9"/>
        <v>2.2360679774997898</v>
      </c>
      <c r="AV29" s="217">
        <f t="shared" si="10"/>
        <v>10.368348541764712</v>
      </c>
      <c r="AW29" s="216">
        <f t="shared" si="11"/>
        <v>0</v>
      </c>
      <c r="AX29" s="218">
        <f t="shared" si="12"/>
        <v>1.4831709199797398</v>
      </c>
      <c r="AY29" s="216">
        <f t="shared" si="13"/>
        <v>0.77643477842613629</v>
      </c>
      <c r="AZ29" s="217">
        <f t="shared" si="14"/>
        <v>3.5883638597441294</v>
      </c>
      <c r="BA29" s="216">
        <f t="shared" si="15"/>
        <v>0</v>
      </c>
      <c r="BB29" s="216">
        <f t="shared" si="16"/>
        <v>1.0016542390239327</v>
      </c>
      <c r="BC29" s="216">
        <f t="shared" si="17"/>
        <v>1</v>
      </c>
    </row>
    <row r="30" spans="1:55" ht="20.100000000000001" customHeight="1" x14ac:dyDescent="0.2">
      <c r="A30" s="45">
        <v>0.625</v>
      </c>
      <c r="B30" s="451"/>
      <c r="C30" s="451"/>
      <c r="D30" s="451">
        <v>7.2</v>
      </c>
      <c r="E30" s="451">
        <v>62.1</v>
      </c>
      <c r="F30" s="41">
        <v>1970</v>
      </c>
      <c r="G30" s="37">
        <v>-5.6</v>
      </c>
      <c r="H30" s="37">
        <v>72.900000000000006</v>
      </c>
      <c r="I30" s="37">
        <v>23.8</v>
      </c>
      <c r="J30" s="41">
        <v>788</v>
      </c>
      <c r="K30" s="37">
        <v>13</v>
      </c>
      <c r="L30" s="451">
        <v>133</v>
      </c>
      <c r="M30" s="451">
        <v>227</v>
      </c>
      <c r="N30" s="451">
        <v>90</v>
      </c>
      <c r="O30" s="353">
        <v>40</v>
      </c>
      <c r="P30" s="353">
        <v>12</v>
      </c>
      <c r="Q30" s="353">
        <v>228.29</v>
      </c>
      <c r="R30" s="37"/>
      <c r="S30" s="508" t="str">
        <f t="shared" si="0"/>
        <v/>
      </c>
      <c r="T30" s="508"/>
      <c r="U30" s="508"/>
      <c r="V30" s="508"/>
      <c r="X30" s="45">
        <v>0.625</v>
      </c>
      <c r="Y30" s="106"/>
      <c r="Z30" s="102"/>
      <c r="AA30" s="102"/>
      <c r="AB30" s="45" t="str">
        <f t="shared" si="18"/>
        <v/>
      </c>
      <c r="AC30" s="45" t="str">
        <f t="shared" si="1"/>
        <v/>
      </c>
      <c r="AD30" s="81"/>
      <c r="AE30" s="9" t="str">
        <f>IF(S30="","",IF(COUNTA(Z30:$Z$39)=1,IF(COUNTA(AD30:$AD$39)=1,""," ; "),IF(COUNTA(AD30:$AD$39)=1,IF(Z30="",""," ; ")," ; ")))</f>
        <v/>
      </c>
      <c r="AF30" s="9" t="str">
        <f t="shared" si="2"/>
        <v/>
      </c>
      <c r="AG30" s="90" t="str">
        <f t="shared" si="3"/>
        <v/>
      </c>
      <c r="AH30" s="204" t="s">
        <v>260</v>
      </c>
      <c r="AJ30" s="206">
        <f t="shared" si="19"/>
        <v>500</v>
      </c>
      <c r="AK30" s="206">
        <f t="shared" si="19"/>
        <v>100</v>
      </c>
      <c r="AL30" s="206">
        <f t="shared" si="19"/>
        <v>2</v>
      </c>
      <c r="AM30" s="213">
        <f t="shared" si="19"/>
        <v>0.875</v>
      </c>
      <c r="AN30" s="214">
        <f t="shared" si="19"/>
        <v>0.63607464142166403</v>
      </c>
      <c r="AO30" s="215">
        <f t="shared" si="4"/>
        <v>-14.7</v>
      </c>
      <c r="AP30" s="216">
        <f t="shared" si="5"/>
        <v>1</v>
      </c>
      <c r="AQ30" s="216">
        <f t="shared" si="6"/>
        <v>1</v>
      </c>
      <c r="AR30" s="215">
        <f t="shared" si="20"/>
        <v>158.47</v>
      </c>
      <c r="AS30" s="216">
        <f t="shared" si="7"/>
        <v>0.9723448696087954</v>
      </c>
      <c r="AT30" s="216">
        <f t="shared" si="8"/>
        <v>1.2538510821608391</v>
      </c>
      <c r="AU30" s="216">
        <f t="shared" si="9"/>
        <v>2.2360679774997898</v>
      </c>
      <c r="AV30" s="217">
        <f t="shared" si="10"/>
        <v>10.368348541764712</v>
      </c>
      <c r="AW30" s="216">
        <f t="shared" si="11"/>
        <v>0</v>
      </c>
      <c r="AX30" s="218">
        <f t="shared" si="12"/>
        <v>1.4831709199797398</v>
      </c>
      <c r="AY30" s="216">
        <f t="shared" si="13"/>
        <v>0.77643477842613629</v>
      </c>
      <c r="AZ30" s="217">
        <f t="shared" si="14"/>
        <v>3.5883638597441294</v>
      </c>
      <c r="BA30" s="216">
        <f t="shared" si="15"/>
        <v>0</v>
      </c>
      <c r="BB30" s="216">
        <f t="shared" si="16"/>
        <v>1.0016542390239327</v>
      </c>
      <c r="BC30" s="216">
        <f t="shared" si="17"/>
        <v>1</v>
      </c>
    </row>
    <row r="31" spans="1:55" ht="20.100000000000001" customHeight="1" x14ac:dyDescent="0.2">
      <c r="A31" s="45">
        <v>0.66666666666666696</v>
      </c>
      <c r="B31" s="451"/>
      <c r="C31" s="451"/>
      <c r="D31" s="451">
        <v>8.1999999999999993</v>
      </c>
      <c r="E31" s="451">
        <v>62.8</v>
      </c>
      <c r="F31" s="41">
        <v>1963</v>
      </c>
      <c r="G31" s="37">
        <v>-5.6</v>
      </c>
      <c r="H31" s="37">
        <v>72</v>
      </c>
      <c r="I31" s="37">
        <v>21</v>
      </c>
      <c r="J31" s="41">
        <v>789</v>
      </c>
      <c r="K31" s="37">
        <v>13</v>
      </c>
      <c r="L31" s="451">
        <v>133</v>
      </c>
      <c r="M31" s="451">
        <v>227</v>
      </c>
      <c r="N31" s="451">
        <v>90</v>
      </c>
      <c r="O31" s="353">
        <v>40</v>
      </c>
      <c r="P31" s="353">
        <v>13</v>
      </c>
      <c r="Q31" s="353">
        <v>237.53</v>
      </c>
      <c r="R31" s="37"/>
      <c r="S31" s="508" t="str">
        <f t="shared" si="0"/>
        <v/>
      </c>
      <c r="T31" s="508"/>
      <c r="U31" s="508"/>
      <c r="V31" s="508"/>
      <c r="X31" s="45">
        <v>0.66666666666666696</v>
      </c>
      <c r="Y31" s="106"/>
      <c r="Z31" s="102"/>
      <c r="AA31" s="102"/>
      <c r="AB31" s="45" t="str">
        <f t="shared" si="18"/>
        <v/>
      </c>
      <c r="AC31" s="45" t="str">
        <f t="shared" si="1"/>
        <v/>
      </c>
      <c r="AD31" s="81"/>
      <c r="AE31" s="9" t="str">
        <f>IF(S31="","",IF(COUNTA(Z31:$Z$39)=1,IF(COUNTA(AD31:$AD$39)=1,""," ; "),IF(COUNTA(AD31:$AD$39)=1,IF(Z31="",""," ; ")," ; ")))</f>
        <v/>
      </c>
      <c r="AF31" s="9" t="str">
        <f t="shared" si="2"/>
        <v/>
      </c>
      <c r="AG31" s="90" t="str">
        <f t="shared" si="3"/>
        <v/>
      </c>
      <c r="AH31" s="204" t="s">
        <v>226</v>
      </c>
      <c r="AJ31" s="206">
        <f t="shared" si="19"/>
        <v>500</v>
      </c>
      <c r="AK31" s="206">
        <f t="shared" si="19"/>
        <v>100</v>
      </c>
      <c r="AL31" s="206">
        <f t="shared" si="19"/>
        <v>2</v>
      </c>
      <c r="AM31" s="213">
        <f t="shared" si="19"/>
        <v>0.875</v>
      </c>
      <c r="AN31" s="214">
        <f t="shared" si="19"/>
        <v>0.63607464142166403</v>
      </c>
      <c r="AO31" s="215">
        <f t="shared" si="4"/>
        <v>-14.7</v>
      </c>
      <c r="AP31" s="216">
        <f t="shared" si="5"/>
        <v>1</v>
      </c>
      <c r="AQ31" s="216">
        <f t="shared" si="6"/>
        <v>1</v>
      </c>
      <c r="AR31" s="215">
        <f t="shared" si="20"/>
        <v>158.47</v>
      </c>
      <c r="AS31" s="216">
        <f t="shared" si="7"/>
        <v>0.9723448696087954</v>
      </c>
      <c r="AT31" s="216">
        <f t="shared" si="8"/>
        <v>1.2538510821608391</v>
      </c>
      <c r="AU31" s="216">
        <f t="shared" si="9"/>
        <v>2.2360679774997898</v>
      </c>
      <c r="AV31" s="217">
        <f t="shared" si="10"/>
        <v>10.368348541764712</v>
      </c>
      <c r="AW31" s="216">
        <f t="shared" si="11"/>
        <v>0</v>
      </c>
      <c r="AX31" s="218">
        <f t="shared" si="12"/>
        <v>1.4831709199797398</v>
      </c>
      <c r="AY31" s="216">
        <f t="shared" si="13"/>
        <v>0.77643477842613629</v>
      </c>
      <c r="AZ31" s="217">
        <f t="shared" si="14"/>
        <v>3.5883638597441294</v>
      </c>
      <c r="BA31" s="216">
        <f t="shared" si="15"/>
        <v>0</v>
      </c>
      <c r="BB31" s="216">
        <f t="shared" si="16"/>
        <v>1.0016542390239327</v>
      </c>
      <c r="BC31" s="216">
        <f t="shared" si="17"/>
        <v>1</v>
      </c>
    </row>
    <row r="32" spans="1:55" ht="20.100000000000001" customHeight="1" x14ac:dyDescent="0.2">
      <c r="A32" s="45">
        <v>0.70833333333333304</v>
      </c>
      <c r="B32" s="451"/>
      <c r="C32" s="451"/>
      <c r="D32" s="451">
        <v>7.5</v>
      </c>
      <c r="E32" s="451">
        <v>62.1</v>
      </c>
      <c r="F32" s="41">
        <v>1935</v>
      </c>
      <c r="G32" s="37">
        <v>-5.6</v>
      </c>
      <c r="H32" s="37">
        <v>72.3</v>
      </c>
      <c r="I32" s="37">
        <v>23.8</v>
      </c>
      <c r="J32" s="41">
        <v>790</v>
      </c>
      <c r="K32" s="37">
        <v>13</v>
      </c>
      <c r="L32" s="451">
        <v>132</v>
      </c>
      <c r="M32" s="451">
        <v>227</v>
      </c>
      <c r="N32" s="451">
        <v>90</v>
      </c>
      <c r="O32" s="353">
        <v>40</v>
      </c>
      <c r="P32" s="353">
        <v>12</v>
      </c>
      <c r="Q32" s="353">
        <v>228.29</v>
      </c>
      <c r="R32" s="37"/>
      <c r="S32" s="508" t="str">
        <f t="shared" si="0"/>
        <v/>
      </c>
      <c r="T32" s="508"/>
      <c r="U32" s="508"/>
      <c r="V32" s="508"/>
      <c r="X32" s="45">
        <v>0.70833333333333304</v>
      </c>
      <c r="Y32" s="106"/>
      <c r="Z32" s="102"/>
      <c r="AA32" s="102"/>
      <c r="AB32" s="45" t="str">
        <f t="shared" si="18"/>
        <v/>
      </c>
      <c r="AC32" s="45" t="str">
        <f t="shared" si="1"/>
        <v/>
      </c>
      <c r="AD32" s="81"/>
      <c r="AE32" s="9" t="str">
        <f>IF(S32="","",IF(COUNTA(Z32:$Z$39)=1,IF(COUNTA(AD32:$AD$39)=1,""," ; "),IF(COUNTA(AD32:$AD$39)=1,IF(Z32="",""," ; ")," ; ")))</f>
        <v/>
      </c>
      <c r="AF32" s="9" t="str">
        <f t="shared" si="2"/>
        <v/>
      </c>
      <c r="AG32" s="90" t="str">
        <f t="shared" si="3"/>
        <v/>
      </c>
      <c r="AH32" s="204" t="s">
        <v>313</v>
      </c>
      <c r="AJ32" s="206">
        <f t="shared" si="19"/>
        <v>500</v>
      </c>
      <c r="AK32" s="206">
        <f t="shared" si="19"/>
        <v>100</v>
      </c>
      <c r="AL32" s="206">
        <f t="shared" si="19"/>
        <v>2</v>
      </c>
      <c r="AM32" s="213">
        <f t="shared" si="19"/>
        <v>0.875</v>
      </c>
      <c r="AN32" s="214">
        <f t="shared" si="19"/>
        <v>0.63607464142166403</v>
      </c>
      <c r="AO32" s="215">
        <f t="shared" si="4"/>
        <v>-14.7</v>
      </c>
      <c r="AP32" s="216">
        <f t="shared" si="5"/>
        <v>1</v>
      </c>
      <c r="AQ32" s="216">
        <f t="shared" si="6"/>
        <v>1</v>
      </c>
      <c r="AR32" s="215">
        <f t="shared" si="20"/>
        <v>158.47</v>
      </c>
      <c r="AS32" s="216">
        <f t="shared" si="7"/>
        <v>0.9723448696087954</v>
      </c>
      <c r="AT32" s="216">
        <f t="shared" si="8"/>
        <v>1.2538510821608391</v>
      </c>
      <c r="AU32" s="216">
        <f t="shared" si="9"/>
        <v>2.2360679774997898</v>
      </c>
      <c r="AV32" s="217">
        <f t="shared" si="10"/>
        <v>10.368348541764712</v>
      </c>
      <c r="AW32" s="216">
        <f t="shared" si="11"/>
        <v>0</v>
      </c>
      <c r="AX32" s="218">
        <f t="shared" si="12"/>
        <v>1.4831709199797398</v>
      </c>
      <c r="AY32" s="216">
        <f t="shared" si="13"/>
        <v>0.77643477842613629</v>
      </c>
      <c r="AZ32" s="217">
        <f t="shared" si="14"/>
        <v>3.5883638597441294</v>
      </c>
      <c r="BA32" s="216">
        <f t="shared" si="15"/>
        <v>0</v>
      </c>
      <c r="BB32" s="216">
        <f t="shared" si="16"/>
        <v>1.0016542390239327</v>
      </c>
      <c r="BC32" s="216">
        <f t="shared" si="17"/>
        <v>1</v>
      </c>
    </row>
    <row r="33" spans="1:55" ht="20.100000000000001" customHeight="1" x14ac:dyDescent="0.2">
      <c r="A33" s="45">
        <v>0.75</v>
      </c>
      <c r="B33" s="451"/>
      <c r="C33" s="451"/>
      <c r="D33" s="451">
        <v>7.2</v>
      </c>
      <c r="E33" s="451">
        <v>61.8</v>
      </c>
      <c r="F33" s="41">
        <v>1971</v>
      </c>
      <c r="G33" s="37">
        <v>-5.6</v>
      </c>
      <c r="H33" s="37">
        <v>72</v>
      </c>
      <c r="I33" s="37">
        <v>23</v>
      </c>
      <c r="J33" s="41">
        <v>791</v>
      </c>
      <c r="K33" s="37">
        <v>13</v>
      </c>
      <c r="L33" s="451">
        <v>130</v>
      </c>
      <c r="M33" s="451">
        <v>227</v>
      </c>
      <c r="N33" s="451">
        <v>90</v>
      </c>
      <c r="O33" s="353">
        <v>40</v>
      </c>
      <c r="P33" s="353">
        <v>12</v>
      </c>
      <c r="Q33" s="353">
        <v>228.29</v>
      </c>
      <c r="R33" s="37"/>
      <c r="S33" s="508" t="str">
        <f>IF(Z33="",IF(AD33="","",AD33),CONCATENATE(TEXT(Z33,"[hh]:mm"),IF(AA33="",""," - "&amp;TEXT(AA33,"[hh]:mm")),IF(Y33="",""," "&amp;Y33&amp;"/")," "&amp;AD33))</f>
        <v/>
      </c>
      <c r="T33" s="508"/>
      <c r="U33" s="508"/>
      <c r="V33" s="508"/>
      <c r="X33" s="45">
        <v>0.75</v>
      </c>
      <c r="Y33" s="106"/>
      <c r="Z33" s="102"/>
      <c r="AA33" s="102"/>
      <c r="AB33" s="45" t="str">
        <f t="shared" si="18"/>
        <v/>
      </c>
      <c r="AC33" s="45" t="str">
        <f t="shared" si="1"/>
        <v/>
      </c>
      <c r="AD33" s="81"/>
      <c r="AE33" s="9" t="str">
        <f>IF(S33="","",IF(COUNTA(Z33:$Z$39)=1,IF(COUNTA(AD33:$AD$39)=1,""," ; "),IF(COUNTA(AD33:$AD$39)=1,IF(Z33="",""," ; ")," ; ")))</f>
        <v/>
      </c>
      <c r="AF33" s="9" t="str">
        <f t="shared" si="2"/>
        <v/>
      </c>
      <c r="AG33" s="90" t="str">
        <f t="shared" si="3"/>
        <v/>
      </c>
      <c r="AH33" s="204" t="s">
        <v>308</v>
      </c>
      <c r="AJ33" s="206">
        <f t="shared" ref="AJ33:AN39" si="21">AJ32</f>
        <v>500</v>
      </c>
      <c r="AK33" s="206">
        <f t="shared" si="21"/>
        <v>100</v>
      </c>
      <c r="AL33" s="206">
        <f t="shared" si="21"/>
        <v>2</v>
      </c>
      <c r="AM33" s="213">
        <f t="shared" si="21"/>
        <v>0.875</v>
      </c>
      <c r="AN33" s="214">
        <f t="shared" si="21"/>
        <v>0.63607464142166403</v>
      </c>
      <c r="AO33" s="215">
        <f t="shared" si="4"/>
        <v>-14.7</v>
      </c>
      <c r="AP33" s="216">
        <f t="shared" si="5"/>
        <v>1</v>
      </c>
      <c r="AQ33" s="216">
        <f t="shared" si="6"/>
        <v>1</v>
      </c>
      <c r="AR33" s="215">
        <f t="shared" si="20"/>
        <v>158.47</v>
      </c>
      <c r="AS33" s="216">
        <f t="shared" si="7"/>
        <v>0.9723448696087954</v>
      </c>
      <c r="AT33" s="216">
        <f t="shared" si="8"/>
        <v>1.2538510821608391</v>
      </c>
      <c r="AU33" s="216">
        <f t="shared" si="9"/>
        <v>2.2360679774997898</v>
      </c>
      <c r="AV33" s="217">
        <f t="shared" si="10"/>
        <v>10.368348541764712</v>
      </c>
      <c r="AW33" s="216">
        <f t="shared" si="11"/>
        <v>0</v>
      </c>
      <c r="AX33" s="218">
        <f t="shared" si="12"/>
        <v>1.4831709199797398</v>
      </c>
      <c r="AY33" s="216">
        <f t="shared" si="13"/>
        <v>0.77643477842613629</v>
      </c>
      <c r="AZ33" s="217">
        <f t="shared" si="14"/>
        <v>3.5883638597441294</v>
      </c>
      <c r="BA33" s="216">
        <f t="shared" si="15"/>
        <v>0</v>
      </c>
      <c r="BB33" s="216">
        <f t="shared" si="16"/>
        <v>1.0016542390239327</v>
      </c>
      <c r="BC33" s="216">
        <f t="shared" si="17"/>
        <v>1</v>
      </c>
    </row>
    <row r="34" spans="1:55" ht="20.100000000000001" customHeight="1" x14ac:dyDescent="0.2">
      <c r="A34" s="45">
        <v>0.79166666666666696</v>
      </c>
      <c r="B34" s="451"/>
      <c r="C34" s="451"/>
      <c r="D34" s="451">
        <v>7</v>
      </c>
      <c r="E34" s="451">
        <v>61.4</v>
      </c>
      <c r="F34" s="41">
        <v>1950</v>
      </c>
      <c r="G34" s="37">
        <v>-5.6</v>
      </c>
      <c r="H34" s="37">
        <v>72.2</v>
      </c>
      <c r="I34" s="37">
        <v>23.6</v>
      </c>
      <c r="J34" s="41">
        <v>792</v>
      </c>
      <c r="K34" s="37">
        <v>13</v>
      </c>
      <c r="L34" s="451">
        <v>128</v>
      </c>
      <c r="M34" s="451">
        <v>222</v>
      </c>
      <c r="N34" s="451">
        <v>90</v>
      </c>
      <c r="O34" s="353">
        <v>40</v>
      </c>
      <c r="P34" s="353">
        <v>12</v>
      </c>
      <c r="Q34" s="353">
        <v>228.29</v>
      </c>
      <c r="R34" s="37"/>
      <c r="S34" s="508" t="str">
        <f t="shared" ref="S34:S39" si="22">IF(Z34="",IF(AD34="","",AD34),CONCATENATE(TEXT(Z34,"[hh]:mm"),IF(AA34="",""," - "&amp;TEXT(AA34,"[hh]:mm")),IF(Y34="",""," "&amp;Y34&amp;"/")," "&amp;AD34))</f>
        <v/>
      </c>
      <c r="T34" s="508"/>
      <c r="U34" s="508"/>
      <c r="V34" s="508"/>
      <c r="X34" s="45">
        <v>0.79166666666666696</v>
      </c>
      <c r="Y34" s="106"/>
      <c r="Z34" s="102"/>
      <c r="AA34" s="102"/>
      <c r="AB34" s="45" t="str">
        <f t="shared" si="18"/>
        <v/>
      </c>
      <c r="AC34" s="45" t="str">
        <f t="shared" si="1"/>
        <v/>
      </c>
      <c r="AD34" s="81"/>
      <c r="AE34" s="9" t="str">
        <f>IF(S34="","",IF(COUNTA(Z34:$Z$39)=1,IF(COUNTA(AD34:$AD$39)=1,""," ; "),IF(COUNTA(AD34:$AD$39)=1,IF(Z34="",""," ; ")," ; ")))</f>
        <v/>
      </c>
      <c r="AF34" s="9" t="str">
        <f t="shared" si="2"/>
        <v/>
      </c>
      <c r="AG34" s="90" t="str">
        <f t="shared" si="3"/>
        <v/>
      </c>
      <c r="AH34" s="204" t="s">
        <v>314</v>
      </c>
      <c r="AJ34" s="206">
        <f t="shared" si="21"/>
        <v>500</v>
      </c>
      <c r="AK34" s="206">
        <f t="shared" si="21"/>
        <v>100</v>
      </c>
      <c r="AL34" s="206">
        <f t="shared" si="21"/>
        <v>2</v>
      </c>
      <c r="AM34" s="213">
        <f t="shared" si="21"/>
        <v>0.875</v>
      </c>
      <c r="AN34" s="214">
        <f t="shared" si="21"/>
        <v>0.63607464142166403</v>
      </c>
      <c r="AO34" s="215">
        <f t="shared" si="4"/>
        <v>-14.7</v>
      </c>
      <c r="AP34" s="216">
        <f t="shared" si="5"/>
        <v>1</v>
      </c>
      <c r="AQ34" s="216">
        <f t="shared" si="6"/>
        <v>1</v>
      </c>
      <c r="AR34" s="215">
        <f t="shared" si="20"/>
        <v>158.47</v>
      </c>
      <c r="AS34" s="216">
        <f t="shared" si="7"/>
        <v>0.9723448696087954</v>
      </c>
      <c r="AT34" s="216">
        <f t="shared" si="8"/>
        <v>1.2538510821608391</v>
      </c>
      <c r="AU34" s="216">
        <f t="shared" si="9"/>
        <v>2.2360679774997898</v>
      </c>
      <c r="AV34" s="217">
        <f t="shared" si="10"/>
        <v>10.368348541764712</v>
      </c>
      <c r="AW34" s="216">
        <f t="shared" si="11"/>
        <v>0</v>
      </c>
      <c r="AX34" s="218">
        <f t="shared" si="12"/>
        <v>1.4831709199797398</v>
      </c>
      <c r="AY34" s="216">
        <f t="shared" si="13"/>
        <v>0.77643477842613629</v>
      </c>
      <c r="AZ34" s="217">
        <f t="shared" si="14"/>
        <v>3.5883638597441294</v>
      </c>
      <c r="BA34" s="216">
        <f t="shared" si="15"/>
        <v>0</v>
      </c>
      <c r="BB34" s="216">
        <f t="shared" si="16"/>
        <v>1.0016542390239327</v>
      </c>
      <c r="BC34" s="216">
        <f t="shared" si="17"/>
        <v>1</v>
      </c>
    </row>
    <row r="35" spans="1:55" ht="20.100000000000001" customHeight="1" x14ac:dyDescent="0.2">
      <c r="A35" s="45">
        <v>0.83333333333333304</v>
      </c>
      <c r="B35" s="451"/>
      <c r="C35" s="451"/>
      <c r="D35" s="451">
        <v>6.6</v>
      </c>
      <c r="E35" s="451">
        <v>65.2</v>
      </c>
      <c r="F35" s="41">
        <v>1930</v>
      </c>
      <c r="G35" s="37">
        <v>-5.6</v>
      </c>
      <c r="H35" s="37">
        <v>72.400000000000006</v>
      </c>
      <c r="I35" s="37">
        <v>23.1</v>
      </c>
      <c r="J35" s="41">
        <v>793</v>
      </c>
      <c r="K35" s="37">
        <v>13</v>
      </c>
      <c r="L35" s="451">
        <v>125</v>
      </c>
      <c r="M35" s="451">
        <v>222</v>
      </c>
      <c r="N35" s="451">
        <v>90</v>
      </c>
      <c r="O35" s="353">
        <v>40</v>
      </c>
      <c r="P35" s="353">
        <v>12</v>
      </c>
      <c r="Q35" s="353">
        <v>228.29</v>
      </c>
      <c r="R35" s="37"/>
      <c r="S35" s="508" t="str">
        <f t="shared" si="22"/>
        <v/>
      </c>
      <c r="T35" s="508"/>
      <c r="U35" s="508"/>
      <c r="V35" s="508"/>
      <c r="X35" s="45">
        <v>0.83333333333333304</v>
      </c>
      <c r="Y35" s="106"/>
      <c r="Z35" s="102"/>
      <c r="AA35" s="102"/>
      <c r="AB35" s="45" t="str">
        <f t="shared" si="18"/>
        <v/>
      </c>
      <c r="AC35" s="45" t="str">
        <f t="shared" si="1"/>
        <v/>
      </c>
      <c r="AD35" s="81"/>
      <c r="AE35" s="9" t="str">
        <f>IF(S35="","",IF(COUNTA(Z35:$Z$39)=1,IF(COUNTA(AD35:$AD$39)=1,""," ; "),IF(COUNTA(AD35:$AD$39)=1,IF(Z35="",""," ; ")," ; ")))</f>
        <v/>
      </c>
      <c r="AF35" s="9" t="str">
        <f t="shared" si="2"/>
        <v/>
      </c>
      <c r="AG35" s="90" t="str">
        <f t="shared" si="3"/>
        <v/>
      </c>
      <c r="AH35" s="204" t="s">
        <v>227</v>
      </c>
      <c r="AJ35" s="206">
        <f t="shared" si="21"/>
        <v>500</v>
      </c>
      <c r="AK35" s="206">
        <f t="shared" si="21"/>
        <v>100</v>
      </c>
      <c r="AL35" s="206">
        <f t="shared" si="21"/>
        <v>2</v>
      </c>
      <c r="AM35" s="213">
        <f t="shared" si="21"/>
        <v>0.875</v>
      </c>
      <c r="AN35" s="214">
        <f t="shared" si="21"/>
        <v>0.63607464142166403</v>
      </c>
      <c r="AO35" s="215">
        <f t="shared" si="4"/>
        <v>-14.7</v>
      </c>
      <c r="AP35" s="216">
        <f t="shared" si="5"/>
        <v>1</v>
      </c>
      <c r="AQ35" s="216">
        <f t="shared" si="6"/>
        <v>1</v>
      </c>
      <c r="AR35" s="215">
        <f t="shared" si="20"/>
        <v>158.47</v>
      </c>
      <c r="AS35" s="216">
        <f t="shared" si="7"/>
        <v>0.9723448696087954</v>
      </c>
      <c r="AT35" s="216">
        <f t="shared" si="8"/>
        <v>1.2538510821608391</v>
      </c>
      <c r="AU35" s="216">
        <f t="shared" si="9"/>
        <v>2.2360679774997898</v>
      </c>
      <c r="AV35" s="217">
        <f t="shared" si="10"/>
        <v>10.368348541764712</v>
      </c>
      <c r="AW35" s="216">
        <f t="shared" si="11"/>
        <v>0</v>
      </c>
      <c r="AX35" s="218">
        <f t="shared" si="12"/>
        <v>1.4831709199797398</v>
      </c>
      <c r="AY35" s="216">
        <f t="shared" si="13"/>
        <v>0.77643477842613629</v>
      </c>
      <c r="AZ35" s="217">
        <f t="shared" si="14"/>
        <v>3.5883638597441294</v>
      </c>
      <c r="BA35" s="216">
        <f t="shared" si="15"/>
        <v>0</v>
      </c>
      <c r="BB35" s="216">
        <f t="shared" si="16"/>
        <v>1.0016542390239327</v>
      </c>
      <c r="BC35" s="216">
        <f t="shared" si="17"/>
        <v>1</v>
      </c>
    </row>
    <row r="36" spans="1:55" ht="20.100000000000001" customHeight="1" x14ac:dyDescent="0.2">
      <c r="A36" s="45">
        <v>0.875</v>
      </c>
      <c r="B36" s="451"/>
      <c r="C36" s="451"/>
      <c r="D36" s="451">
        <v>6.4</v>
      </c>
      <c r="E36" s="451">
        <v>63.7</v>
      </c>
      <c r="F36" s="41">
        <v>1922</v>
      </c>
      <c r="G36" s="37">
        <v>-5.6</v>
      </c>
      <c r="H36" s="37">
        <v>72.599999999999994</v>
      </c>
      <c r="I36" s="37">
        <v>23.2</v>
      </c>
      <c r="J36" s="41">
        <v>794</v>
      </c>
      <c r="K36" s="37">
        <v>13</v>
      </c>
      <c r="L36" s="451">
        <v>127</v>
      </c>
      <c r="M36" s="451">
        <v>220</v>
      </c>
      <c r="N36" s="451">
        <v>90</v>
      </c>
      <c r="O36" s="353">
        <v>40</v>
      </c>
      <c r="P36" s="353">
        <v>12</v>
      </c>
      <c r="Q36" s="353">
        <v>228.29</v>
      </c>
      <c r="R36" s="37"/>
      <c r="S36" s="508" t="str">
        <f t="shared" si="22"/>
        <v/>
      </c>
      <c r="T36" s="508"/>
      <c r="U36" s="508"/>
      <c r="V36" s="508"/>
      <c r="X36" s="45">
        <v>0.875</v>
      </c>
      <c r="Y36" s="106"/>
      <c r="Z36" s="102"/>
      <c r="AA36" s="102"/>
      <c r="AB36" s="45" t="str">
        <f t="shared" si="18"/>
        <v/>
      </c>
      <c r="AC36" s="45" t="str">
        <f t="shared" si="1"/>
        <v/>
      </c>
      <c r="AD36" s="81"/>
      <c r="AE36" s="9" t="str">
        <f>IF(S36="","",IF(COUNTA(Z36:$Z$39)=1,IF(COUNTA(AD36:$AD$39)=1,""," ; "),IF(COUNTA(AD36:$AD$39)=1,IF(Z36="",""," ; ")," ; ")))</f>
        <v/>
      </c>
      <c r="AF36" s="9" t="str">
        <f t="shared" si="2"/>
        <v/>
      </c>
      <c r="AG36" s="90" t="str">
        <f t="shared" si="3"/>
        <v/>
      </c>
      <c r="AH36" s="204" t="s">
        <v>309</v>
      </c>
      <c r="AJ36" s="206">
        <f t="shared" si="21"/>
        <v>500</v>
      </c>
      <c r="AK36" s="206">
        <f t="shared" si="21"/>
        <v>100</v>
      </c>
      <c r="AL36" s="206">
        <f t="shared" si="21"/>
        <v>2</v>
      </c>
      <c r="AM36" s="213">
        <f t="shared" si="21"/>
        <v>0.875</v>
      </c>
      <c r="AN36" s="214">
        <f t="shared" si="21"/>
        <v>0.63607464142166403</v>
      </c>
      <c r="AO36" s="215">
        <f t="shared" si="4"/>
        <v>-14.7</v>
      </c>
      <c r="AP36" s="216">
        <f t="shared" si="5"/>
        <v>1</v>
      </c>
      <c r="AQ36" s="216">
        <f t="shared" si="6"/>
        <v>1</v>
      </c>
      <c r="AR36" s="215">
        <f t="shared" si="20"/>
        <v>158.47</v>
      </c>
      <c r="AS36" s="216">
        <f t="shared" si="7"/>
        <v>0.9723448696087954</v>
      </c>
      <c r="AT36" s="216">
        <f t="shared" si="8"/>
        <v>1.2538510821608391</v>
      </c>
      <c r="AU36" s="216">
        <f t="shared" si="9"/>
        <v>2.2360679774997898</v>
      </c>
      <c r="AV36" s="217">
        <f t="shared" si="10"/>
        <v>10.368348541764712</v>
      </c>
      <c r="AW36" s="216">
        <f t="shared" si="11"/>
        <v>0</v>
      </c>
      <c r="AX36" s="218">
        <f t="shared" si="12"/>
        <v>1.4831709199797398</v>
      </c>
      <c r="AY36" s="216">
        <f t="shared" si="13"/>
        <v>0.77643477842613629</v>
      </c>
      <c r="AZ36" s="217">
        <f t="shared" si="14"/>
        <v>3.5883638597441294</v>
      </c>
      <c r="BA36" s="216">
        <f t="shared" si="15"/>
        <v>0</v>
      </c>
      <c r="BB36" s="216">
        <f t="shared" si="16"/>
        <v>1.0016542390239327</v>
      </c>
      <c r="BC36" s="216">
        <f t="shared" si="17"/>
        <v>1</v>
      </c>
    </row>
    <row r="37" spans="1:55" ht="20.100000000000001" customHeight="1" x14ac:dyDescent="0.2">
      <c r="A37" s="45">
        <v>0.91666666666666696</v>
      </c>
      <c r="B37" s="451"/>
      <c r="C37" s="451"/>
      <c r="D37" s="451">
        <v>6.2</v>
      </c>
      <c r="E37" s="451">
        <v>64.8</v>
      </c>
      <c r="F37" s="41">
        <v>1946</v>
      </c>
      <c r="G37" s="37">
        <v>-5.6</v>
      </c>
      <c r="H37" s="37">
        <v>72.3</v>
      </c>
      <c r="I37" s="37">
        <v>23.4</v>
      </c>
      <c r="J37" s="41">
        <v>795</v>
      </c>
      <c r="K37" s="37">
        <v>13</v>
      </c>
      <c r="L37" s="451">
        <v>122</v>
      </c>
      <c r="M37" s="451">
        <v>222</v>
      </c>
      <c r="N37" s="451">
        <v>90</v>
      </c>
      <c r="O37" s="353">
        <v>30</v>
      </c>
      <c r="P37" s="353">
        <v>15</v>
      </c>
      <c r="Q37" s="353">
        <v>230.26</v>
      </c>
      <c r="R37" s="37"/>
      <c r="S37" s="508" t="str">
        <f t="shared" si="22"/>
        <v/>
      </c>
      <c r="T37" s="508"/>
      <c r="U37" s="508"/>
      <c r="V37" s="508"/>
      <c r="X37" s="45">
        <v>0.91666666666666696</v>
      </c>
      <c r="Y37" s="106"/>
      <c r="Z37" s="102"/>
      <c r="AA37" s="102"/>
      <c r="AB37" s="45" t="str">
        <f t="shared" si="18"/>
        <v/>
      </c>
      <c r="AC37" s="45" t="str">
        <f t="shared" si="1"/>
        <v/>
      </c>
      <c r="AD37" s="81"/>
      <c r="AE37" s="9" t="str">
        <f>IF(S37="","",IF(COUNTA(Z37:$Z$39)=1,IF(COUNTA(AD37:$AD$39)=1,""," ; "),IF(COUNTA(AD37:$AD$39)=1,IF(Z37="",""," ; ")," ; ")))</f>
        <v/>
      </c>
      <c r="AF37" s="9" t="str">
        <f t="shared" si="2"/>
        <v/>
      </c>
      <c r="AG37" s="90" t="str">
        <f t="shared" si="3"/>
        <v/>
      </c>
      <c r="AH37" s="204" t="s">
        <v>319</v>
      </c>
      <c r="AJ37" s="206">
        <f t="shared" si="21"/>
        <v>500</v>
      </c>
      <c r="AK37" s="206">
        <f t="shared" si="21"/>
        <v>100</v>
      </c>
      <c r="AL37" s="206">
        <f t="shared" si="21"/>
        <v>2</v>
      </c>
      <c r="AM37" s="213">
        <f t="shared" si="21"/>
        <v>0.875</v>
      </c>
      <c r="AN37" s="214">
        <f t="shared" si="21"/>
        <v>0.63607464142166403</v>
      </c>
      <c r="AO37" s="215">
        <f t="shared" si="4"/>
        <v>-14.7</v>
      </c>
      <c r="AP37" s="216">
        <f t="shared" si="5"/>
        <v>1</v>
      </c>
      <c r="AQ37" s="216">
        <f t="shared" si="6"/>
        <v>1</v>
      </c>
      <c r="AR37" s="215">
        <f t="shared" si="20"/>
        <v>158.47</v>
      </c>
      <c r="AS37" s="216">
        <f t="shared" si="7"/>
        <v>0.9723448696087954</v>
      </c>
      <c r="AT37" s="216">
        <f t="shared" si="8"/>
        <v>1.2538510821608391</v>
      </c>
      <c r="AU37" s="216">
        <f t="shared" si="9"/>
        <v>2.2360679774997898</v>
      </c>
      <c r="AV37" s="217">
        <f t="shared" si="10"/>
        <v>10.368348541764712</v>
      </c>
      <c r="AW37" s="216">
        <f t="shared" si="11"/>
        <v>0</v>
      </c>
      <c r="AX37" s="218">
        <f t="shared" si="12"/>
        <v>1.4831709199797398</v>
      </c>
      <c r="AY37" s="216">
        <f t="shared" si="13"/>
        <v>0.77643477842613629</v>
      </c>
      <c r="AZ37" s="217">
        <f t="shared" si="14"/>
        <v>3.5883638597441294</v>
      </c>
      <c r="BA37" s="216">
        <f t="shared" si="15"/>
        <v>0</v>
      </c>
      <c r="BB37" s="216">
        <f t="shared" si="16"/>
        <v>1.0016542390239327</v>
      </c>
      <c r="BC37" s="216">
        <f t="shared" si="17"/>
        <v>1</v>
      </c>
    </row>
    <row r="38" spans="1:55" ht="20.100000000000001" customHeight="1" x14ac:dyDescent="0.2">
      <c r="A38" s="45">
        <v>0.95833333333333304</v>
      </c>
      <c r="B38" s="451"/>
      <c r="C38" s="451"/>
      <c r="D38" s="451">
        <v>7.5</v>
      </c>
      <c r="E38" s="451">
        <v>59.7</v>
      </c>
      <c r="F38" s="41">
        <v>1937</v>
      </c>
      <c r="G38" s="37">
        <v>-5.6</v>
      </c>
      <c r="H38" s="37">
        <v>72</v>
      </c>
      <c r="I38" s="37">
        <v>23.7</v>
      </c>
      <c r="J38" s="41">
        <v>796</v>
      </c>
      <c r="K38" s="37">
        <v>13</v>
      </c>
      <c r="L38" s="451">
        <v>124</v>
      </c>
      <c r="M38" s="451">
        <v>220</v>
      </c>
      <c r="N38" s="451">
        <v>90</v>
      </c>
      <c r="O38" s="353">
        <v>30</v>
      </c>
      <c r="P38" s="353">
        <v>15</v>
      </c>
      <c r="Q38" s="353">
        <v>230.26</v>
      </c>
      <c r="R38" s="37"/>
      <c r="S38" s="508" t="str">
        <f t="shared" si="22"/>
        <v/>
      </c>
      <c r="T38" s="508"/>
      <c r="U38" s="508"/>
      <c r="V38" s="508"/>
      <c r="X38" s="45">
        <v>0.95833333333333304</v>
      </c>
      <c r="Y38" s="106"/>
      <c r="Z38" s="102"/>
      <c r="AA38" s="102"/>
      <c r="AB38" s="45" t="str">
        <f t="shared" si="18"/>
        <v/>
      </c>
      <c r="AC38" s="45" t="str">
        <f t="shared" si="1"/>
        <v/>
      </c>
      <c r="AD38" s="81"/>
      <c r="AE38" s="9" t="str">
        <f>IF(S38="","",IF(COUNTA(Z38:$Z$39)=1,IF(COUNTA(AD38:$AD$39)=1,""," ; "),IF(COUNTA(AD38:$AD$39)=1,IF(Z38="",""," ; ")," ; ")))</f>
        <v/>
      </c>
      <c r="AF38" s="9" t="str">
        <f t="shared" si="2"/>
        <v/>
      </c>
      <c r="AG38" s="90" t="str">
        <f t="shared" si="3"/>
        <v/>
      </c>
      <c r="AH38" s="204" t="s">
        <v>219</v>
      </c>
      <c r="AJ38" s="206">
        <f t="shared" si="21"/>
        <v>500</v>
      </c>
      <c r="AK38" s="206">
        <f t="shared" si="21"/>
        <v>100</v>
      </c>
      <c r="AL38" s="206">
        <f t="shared" si="21"/>
        <v>2</v>
      </c>
      <c r="AM38" s="213">
        <f t="shared" si="21"/>
        <v>0.875</v>
      </c>
      <c r="AN38" s="214">
        <f t="shared" si="21"/>
        <v>0.63607464142166403</v>
      </c>
      <c r="AO38" s="215">
        <f t="shared" si="4"/>
        <v>-14.7</v>
      </c>
      <c r="AP38" s="216">
        <f t="shared" si="5"/>
        <v>1</v>
      </c>
      <c r="AQ38" s="216">
        <f t="shared" si="6"/>
        <v>1</v>
      </c>
      <c r="AR38" s="215">
        <f t="shared" si="20"/>
        <v>158.47</v>
      </c>
      <c r="AS38" s="216">
        <f t="shared" si="7"/>
        <v>0.9723448696087954</v>
      </c>
      <c r="AT38" s="216">
        <f t="shared" si="8"/>
        <v>1.2538510821608391</v>
      </c>
      <c r="AU38" s="216">
        <f t="shared" si="9"/>
        <v>2.2360679774997898</v>
      </c>
      <c r="AV38" s="217">
        <f t="shared" si="10"/>
        <v>10.368348541764712</v>
      </c>
      <c r="AW38" s="216">
        <f t="shared" si="11"/>
        <v>0</v>
      </c>
      <c r="AX38" s="218">
        <f t="shared" si="12"/>
        <v>1.4831709199797398</v>
      </c>
      <c r="AY38" s="216">
        <f t="shared" si="13"/>
        <v>0.77643477842613629</v>
      </c>
      <c r="AZ38" s="217">
        <f t="shared" si="14"/>
        <v>3.5883638597441294</v>
      </c>
      <c r="BA38" s="216">
        <f t="shared" si="15"/>
        <v>0</v>
      </c>
      <c r="BB38" s="216">
        <f t="shared" si="16"/>
        <v>1.0016542390239327</v>
      </c>
      <c r="BC38" s="216">
        <f t="shared" si="17"/>
        <v>1</v>
      </c>
    </row>
    <row r="39" spans="1:55" ht="20.100000000000001" customHeight="1" thickBot="1" x14ac:dyDescent="0.25">
      <c r="A39" s="46">
        <v>1</v>
      </c>
      <c r="B39" s="451"/>
      <c r="C39" s="451"/>
      <c r="D39" s="452">
        <v>7.1</v>
      </c>
      <c r="E39" s="452">
        <v>65.099999999999994</v>
      </c>
      <c r="F39" s="42">
        <v>1925</v>
      </c>
      <c r="G39" s="37">
        <v>-5.6</v>
      </c>
      <c r="H39" s="37">
        <v>72.3</v>
      </c>
      <c r="I39" s="37">
        <v>23</v>
      </c>
      <c r="J39" s="41">
        <v>797</v>
      </c>
      <c r="K39" s="37">
        <v>13</v>
      </c>
      <c r="L39" s="452">
        <v>128</v>
      </c>
      <c r="M39" s="451">
        <v>220</v>
      </c>
      <c r="N39" s="451">
        <v>90</v>
      </c>
      <c r="O39" s="353">
        <v>40</v>
      </c>
      <c r="P39" s="353">
        <v>12</v>
      </c>
      <c r="Q39" s="354">
        <v>228.29</v>
      </c>
      <c r="R39" s="38"/>
      <c r="S39" s="512" t="str">
        <f t="shared" si="22"/>
        <v/>
      </c>
      <c r="T39" s="512"/>
      <c r="U39" s="512"/>
      <c r="V39" s="512"/>
      <c r="X39" s="46">
        <v>1</v>
      </c>
      <c r="Y39" s="107"/>
      <c r="Z39" s="103"/>
      <c r="AA39" s="103"/>
      <c r="AB39" s="46" t="str">
        <f t="shared" si="18"/>
        <v/>
      </c>
      <c r="AC39" s="46" t="str">
        <f t="shared" si="1"/>
        <v/>
      </c>
      <c r="AD39" s="82"/>
      <c r="AE39" s="9" t="str">
        <f>IF(S39="","",IF(COUNTA(Z39:$Z$39)=1,IF(COUNTA(AD39:$AD$39)=1,""," ; "),IF(COUNTA(AD39:$AD$39)=1,IF(Z39="",""," ; ")," ; ")))</f>
        <v/>
      </c>
      <c r="AF39" s="9" t="str">
        <f t="shared" si="2"/>
        <v/>
      </c>
      <c r="AG39" s="90" t="str">
        <f t="shared" si="3"/>
        <v/>
      </c>
      <c r="AH39" s="204" t="s">
        <v>220</v>
      </c>
      <c r="AJ39" s="219">
        <f t="shared" si="21"/>
        <v>500</v>
      </c>
      <c r="AK39" s="219">
        <f t="shared" si="21"/>
        <v>100</v>
      </c>
      <c r="AL39" s="219">
        <f t="shared" si="21"/>
        <v>2</v>
      </c>
      <c r="AM39" s="220">
        <f t="shared" si="21"/>
        <v>0.875</v>
      </c>
      <c r="AN39" s="221">
        <f t="shared" si="21"/>
        <v>0.63607464142166403</v>
      </c>
      <c r="AO39" s="222">
        <f t="shared" si="4"/>
        <v>-14.7</v>
      </c>
      <c r="AP39" s="223">
        <f t="shared" si="5"/>
        <v>1</v>
      </c>
      <c r="AQ39" s="223">
        <f t="shared" si="6"/>
        <v>1</v>
      </c>
      <c r="AR39" s="222">
        <f t="shared" si="20"/>
        <v>158.47</v>
      </c>
      <c r="AS39" s="223">
        <f t="shared" si="7"/>
        <v>0.9723448696087954</v>
      </c>
      <c r="AT39" s="223">
        <f t="shared" si="8"/>
        <v>1.2538510821608391</v>
      </c>
      <c r="AU39" s="223">
        <f t="shared" si="9"/>
        <v>2.2360679774997898</v>
      </c>
      <c r="AV39" s="224">
        <f t="shared" si="10"/>
        <v>10.368348541764712</v>
      </c>
      <c r="AW39" s="223">
        <f t="shared" si="11"/>
        <v>0</v>
      </c>
      <c r="AX39" s="225">
        <f t="shared" si="12"/>
        <v>1.4831709199797398</v>
      </c>
      <c r="AY39" s="223">
        <f t="shared" si="13"/>
        <v>0.77643477842613629</v>
      </c>
      <c r="AZ39" s="224">
        <f t="shared" si="14"/>
        <v>3.5883638597441294</v>
      </c>
      <c r="BA39" s="223">
        <f t="shared" si="15"/>
        <v>0</v>
      </c>
      <c r="BB39" s="223">
        <f t="shared" si="16"/>
        <v>1.0016542390239327</v>
      </c>
      <c r="BC39" s="223">
        <f t="shared" si="17"/>
        <v>1</v>
      </c>
    </row>
    <row r="40" spans="1:55" ht="20.100000000000001" customHeight="1" thickBot="1" x14ac:dyDescent="0.3">
      <c r="A40" s="53" t="s">
        <v>11</v>
      </c>
      <c r="B40" s="453" t="str">
        <f>IFERROR(ROUND(AVERAGE(B16:B39),2),"")</f>
        <v/>
      </c>
      <c r="C40" s="453" t="str">
        <f>IFERROR(ROUND(AVERAGE(C16:C39),2),"")</f>
        <v/>
      </c>
      <c r="D40" s="453">
        <f>IFERROR(ROUND(AVERAGE(D16:D39),2),"")</f>
        <v>7.2</v>
      </c>
      <c r="E40" s="453">
        <f>IFERROR(ROUND(AVERAGE(E16:E39),2),"")</f>
        <v>63</v>
      </c>
      <c r="F40" s="55">
        <f>IFERROR(ROUND(AVERAGE(F16:F39),0),"")</f>
        <v>1950</v>
      </c>
      <c r="G40" s="54">
        <f>IFERROR(AVERAGE(G16:G39),"")</f>
        <v>-5.5999999999999979</v>
      </c>
      <c r="H40" s="54">
        <f>IFERROR(AVERAGE(H16:H39),"")</f>
        <v>72.362499999999997</v>
      </c>
      <c r="I40" s="54">
        <f>IFERROR(AVERAGE(I16:I39),"")</f>
        <v>23.337500000000006</v>
      </c>
      <c r="J40" s="71"/>
      <c r="K40" s="111">
        <f>IFERROR(AVERAGE(K16:K39),"")</f>
        <v>13</v>
      </c>
      <c r="L40" s="453">
        <f t="shared" ref="L40:P40" si="23">IFERROR(ROUND(AVERAGE(L16:L39),1),"")</f>
        <v>131.1</v>
      </c>
      <c r="M40" s="453">
        <f t="shared" si="23"/>
        <v>223</v>
      </c>
      <c r="N40" s="453">
        <f t="shared" si="23"/>
        <v>88</v>
      </c>
      <c r="O40" s="456">
        <f t="shared" si="23"/>
        <v>35.200000000000003</v>
      </c>
      <c r="P40" s="456">
        <f t="shared" si="23"/>
        <v>13.8</v>
      </c>
      <c r="Q40" s="456">
        <f>IF($I$47=1,$M$49,$Q$44)</f>
        <v>227.5</v>
      </c>
      <c r="R40" s="54" t="str">
        <f>IFERROR(ROUND(AVERAGE(R16:R39),1),"")</f>
        <v/>
      </c>
      <c r="S40" s="509"/>
      <c r="T40" s="510"/>
      <c r="U40" s="510"/>
      <c r="V40" s="511"/>
      <c r="X40" s="99"/>
      <c r="Y40" s="99"/>
      <c r="Z40" s="99"/>
      <c r="AA40" s="99"/>
      <c r="AB40" s="104">
        <f>SUM(AB16:AB39)</f>
        <v>0</v>
      </c>
      <c r="AC40" s="104">
        <f>SUM(AC16:AC39)</f>
        <v>0</v>
      </c>
      <c r="AD40" s="92" t="str">
        <f>IF(OR(COUNTBLANK(D16:E39)+COUNTBLANK(O16:P39)=0,COUNTA(S16:V39)&lt;&gt;0),"","CEK : Blank Data - Remarks")</f>
        <v/>
      </c>
      <c r="AG40" s="90" t="str">
        <f>IF(COUNTIF(AG16:AG39,"")=COUNTA(AG16:AG39),"","CEK : Data Flowrate")</f>
        <v/>
      </c>
      <c r="AH40" s="204" t="s">
        <v>311</v>
      </c>
    </row>
    <row r="41" spans="1:55" ht="20.100000000000001" hidden="1" customHeight="1" thickBot="1" x14ac:dyDescent="0.3">
      <c r="A41" s="49" t="s">
        <v>12</v>
      </c>
      <c r="B41" s="52" t="str">
        <f>IF(COUNT(B16:B39)&gt;0,ROUND(MIN(B16:B39),2),"")</f>
        <v/>
      </c>
      <c r="C41" s="52" t="str">
        <f>IF(COUNT(C16:C39)&gt;0,ROUND(MIN(C16:C39),2),"")</f>
        <v/>
      </c>
      <c r="D41" s="52">
        <f>IF(COUNT(D16:D39)&gt;0,ROUND(MIN(D16:D39),2),"")</f>
        <v>6.2</v>
      </c>
      <c r="E41" s="52">
        <f>IF(COUNT(E16:E39)&gt;0,ROUND(MIN(E16:E39),2),"")</f>
        <v>59.7</v>
      </c>
      <c r="F41" s="51">
        <f>IF(COUNT(F16:F39)&gt;0,ROUND(MIN(F16:F39),0),"")</f>
        <v>1922</v>
      </c>
      <c r="G41" s="50">
        <f>IF(COUNT(G16:G39)&gt;0,MIN(G16:G39),"")</f>
        <v>-5.6</v>
      </c>
      <c r="H41" s="50">
        <f>IF(COUNT(H16:H39)&gt;0,MIN(H16:H39),"")</f>
        <v>72</v>
      </c>
      <c r="I41" s="50">
        <f>IF(COUNT(I16:I39)&gt;0,MIN(I16:I39),"")</f>
        <v>21</v>
      </c>
      <c r="J41" s="72"/>
      <c r="K41" s="50">
        <f>IF(COUNT(K16:K39)&gt;0,MIN(K16:K39),"")</f>
        <v>13</v>
      </c>
      <c r="L41" s="52">
        <f>IF(COUNT(L16:L39)&gt;0,ROUND(MIN(L16:L39),1),"")</f>
        <v>122</v>
      </c>
      <c r="M41" s="52">
        <f>IF(COUNT(M16:M39)&gt;0,ROUND(MIN(M16:M39),1),"")</f>
        <v>220</v>
      </c>
      <c r="N41" s="52">
        <f>IF(COUNT(N16:N39)&gt;0,ROUND(MIN(N16:N39),1),"")</f>
        <v>85</v>
      </c>
      <c r="O41" s="440">
        <f>IF(COUNT(O16:O39)&gt;0,ROUND(MIN(O16:O39),1),"")</f>
        <v>30</v>
      </c>
      <c r="P41" s="440">
        <f>IF(COUNT(P16:P39)&gt;0,ROUND(MIN(P16:P39),1),"")</f>
        <v>12</v>
      </c>
      <c r="Q41" s="440">
        <f>IF(COUNT(Q16:Q39)&gt;0,ROUND(MIN(Q16:Q39),4),"")</f>
        <v>217.49</v>
      </c>
      <c r="R41" s="121" t="str">
        <f>IF(COUNT(R16:R39)&gt;0,ROUND(MIN(R16:R39),1),"")</f>
        <v/>
      </c>
      <c r="S41" s="509"/>
      <c r="T41" s="510"/>
      <c r="U41" s="510"/>
      <c r="V41" s="511"/>
      <c r="X41" s="99"/>
      <c r="Y41" s="99"/>
      <c r="Z41" s="99"/>
      <c r="AA41" s="99"/>
      <c r="AB41" s="99"/>
      <c r="AC41" s="99"/>
      <c r="AH41" s="204" t="s">
        <v>318</v>
      </c>
    </row>
    <row r="42" spans="1:55" ht="20.100000000000001" hidden="1" customHeight="1" thickBot="1" x14ac:dyDescent="0.3">
      <c r="A42" s="21" t="s">
        <v>13</v>
      </c>
      <c r="B42" s="454" t="str">
        <f>IF(COUNT(B16:B39)&gt;0,ROUND(MAX(B16:B39),2),"")</f>
        <v/>
      </c>
      <c r="C42" s="454" t="str">
        <f>IF(COUNT(C16:C39)&gt;0,ROUND(MAX(C16:C39),2),"")</f>
        <v/>
      </c>
      <c r="D42" s="454">
        <f>IF(COUNT(D16:D39)&gt;0,ROUND(MAX(D16:D39),2),"")</f>
        <v>8.1999999999999993</v>
      </c>
      <c r="E42" s="454">
        <f>IF(COUNT(E16:E39)&gt;0,ROUND(MAX(E16:E39),2),"")</f>
        <v>66.5</v>
      </c>
      <c r="F42" s="43">
        <f>IF(COUNT(F16:F39)&gt;0,ROUND(MAX(F16:F39),0),"")</f>
        <v>1981</v>
      </c>
      <c r="G42" s="39">
        <f>IF(COUNT(G16:G39)&gt;0,MAX(G16:G39),"")</f>
        <v>-5.6</v>
      </c>
      <c r="H42" s="39">
        <f>IF(COUNT(H16:H39)&gt;0,MAX(H16:H39),"")</f>
        <v>72.900000000000006</v>
      </c>
      <c r="I42" s="39">
        <f>IF(COUNT(I16:I39)&gt;0,MAX(I16:I39),"")</f>
        <v>23.9</v>
      </c>
      <c r="J42" s="43">
        <f>IF(COUNT(J16:J39)&gt;0,MAX(J16:J39),"")</f>
        <v>797</v>
      </c>
      <c r="K42" s="39">
        <f>IF(COUNT(K16:K39)&gt;0,MAX(K16:K39),"")</f>
        <v>13</v>
      </c>
      <c r="L42" s="454">
        <f>IF(COUNT(L16:L39)&gt;0,ROUND(MAX(L16:L39),1),"")</f>
        <v>136</v>
      </c>
      <c r="M42" s="454">
        <f>IF(COUNT(M16:M39)&gt;0,ROUND(MAX(M16:M39),1),"")</f>
        <v>227</v>
      </c>
      <c r="N42" s="454">
        <f>IF(COUNT(N16:N39)&gt;0,ROUND(MAX(N16:N39),1),"")</f>
        <v>90</v>
      </c>
      <c r="O42" s="441">
        <f>IF(COUNT(O16:O39)&gt;0,ROUND(MAX(O16:O39),1),"")</f>
        <v>45</v>
      </c>
      <c r="P42" s="441">
        <f>IF(COUNT(P16:P39)&gt;0,ROUND(MAX(P16:P39),1),"")</f>
        <v>16</v>
      </c>
      <c r="Q42" s="441">
        <f>IF(COUNT(Q16:Q39)&gt;0,ROUND(MAX(Q16:Q39),4),"")</f>
        <v>249.43</v>
      </c>
      <c r="R42" s="39" t="str">
        <f>IF(COUNT(R16:R39)&gt;0,ROUND(MAX(R16:R39),1),"")</f>
        <v/>
      </c>
      <c r="S42" s="509"/>
      <c r="T42" s="510"/>
      <c r="U42" s="510"/>
      <c r="V42" s="511"/>
      <c r="X42" s="99"/>
      <c r="Y42" s="99"/>
      <c r="Z42" s="99"/>
      <c r="AA42" s="99"/>
      <c r="AB42" s="99"/>
      <c r="AC42" s="99"/>
      <c r="AH42" s="204" t="s">
        <v>312</v>
      </c>
    </row>
    <row r="43" spans="1:55" ht="20.100000000000001" hidden="1" customHeight="1" x14ac:dyDescent="0.25">
      <c r="A43" s="109"/>
      <c r="B43" s="110">
        <f>COUNT(B16:B39)</f>
        <v>0</v>
      </c>
      <c r="C43" s="110">
        <f>COUNT(C16:C39)</f>
        <v>0</v>
      </c>
      <c r="D43" s="110">
        <f>COUNT(D16:D39)</f>
        <v>24</v>
      </c>
      <c r="E43" s="110">
        <f t="shared" ref="E43:H43" si="24">COUNT(E16:E39)</f>
        <v>24</v>
      </c>
      <c r="F43" s="110">
        <f t="shared" si="24"/>
        <v>24</v>
      </c>
      <c r="G43" s="110">
        <f t="shared" si="24"/>
        <v>24</v>
      </c>
      <c r="H43" s="110">
        <f t="shared" si="24"/>
        <v>24</v>
      </c>
      <c r="I43" s="110"/>
      <c r="J43" s="110"/>
      <c r="K43" s="110"/>
      <c r="L43" s="110">
        <f t="shared" ref="L43:Q43" si="25">COUNT(L16:L39)</f>
        <v>24</v>
      </c>
      <c r="M43" s="110">
        <f t="shared" si="25"/>
        <v>24</v>
      </c>
      <c r="N43" s="110">
        <f t="shared" si="25"/>
        <v>24</v>
      </c>
      <c r="O43" s="110">
        <f t="shared" si="25"/>
        <v>24</v>
      </c>
      <c r="P43" s="110">
        <f t="shared" si="25"/>
        <v>24</v>
      </c>
      <c r="Q43" s="110">
        <f t="shared" si="25"/>
        <v>24</v>
      </c>
      <c r="R43" s="110"/>
      <c r="S43" s="99"/>
      <c r="T43" s="99"/>
      <c r="U43" s="99"/>
      <c r="V43" s="99"/>
      <c r="X43" s="99"/>
      <c r="Y43" s="99"/>
      <c r="Z43" s="99"/>
      <c r="AA43" s="99"/>
      <c r="AB43" s="99"/>
      <c r="AC43" s="99"/>
      <c r="AD43" s="92" t="str">
        <f>IF(AND(D43=E43,D43=F43,D43=G43,D43=H43,D43=L43,D43=M43,D43=N43,D43=O43,D43=P43,D43=Q43),"","CEK : Data Content")</f>
        <v/>
      </c>
      <c r="AH43" s="204" t="s">
        <v>221</v>
      </c>
    </row>
    <row r="44" spans="1:55" s="6" customFormat="1" ht="15" customHeight="1" x14ac:dyDescent="0.25">
      <c r="J44" s="91" t="str">
        <f>IF(J1="PRINT","",IF(J42="","RH please ! !",""))</f>
        <v/>
      </c>
      <c r="L44" s="24"/>
      <c r="Q44" s="445">
        <f>IFERROR(ROUND(AVERAGE(Q16:Q39),4),"")</f>
        <v>232.93379999999999</v>
      </c>
      <c r="AH44" s="204" t="s">
        <v>323</v>
      </c>
      <c r="AI44" s="7"/>
    </row>
    <row r="45" spans="1:55" s="6" customFormat="1" ht="15" customHeight="1" x14ac:dyDescent="0.25">
      <c r="L45" s="26" t="s">
        <v>290</v>
      </c>
      <c r="Q45" s="445"/>
      <c r="AH45" s="204" t="s">
        <v>288</v>
      </c>
      <c r="AI45" s="7"/>
    </row>
    <row r="46" spans="1:55" s="6" customFormat="1" ht="15" customHeight="1" x14ac:dyDescent="0.25">
      <c r="D46" s="443" t="s">
        <v>90</v>
      </c>
      <c r="E46" s="448" t="str">
        <f>IF(Schedule!C$34="","",Schedule!C$34)</f>
        <v/>
      </c>
      <c r="G46" s="61"/>
      <c r="H46" s="25" t="str">
        <f>IFERROR(IF(OR(I47="",I48="",I49=""),"WAKTU BELUM DI-ISI LENGKAP",IF(SUM(I48:I49)&lt;=1,"","CEK KEMBALI PENULISAN WAKTU SALAH")),"CEK KEMBALI PENULISAN WAKTU SALAH")</f>
        <v/>
      </c>
      <c r="L46" s="26" t="s">
        <v>22</v>
      </c>
      <c r="M46" s="460">
        <f>IF(Volume!$W33="",$O46,Volume!$W33)</f>
        <v>38.008000000000003</v>
      </c>
      <c r="N46" s="27" t="s">
        <v>1</v>
      </c>
      <c r="O46" s="447">
        <f>IF(O40="","",O40)</f>
        <v>35.200000000000003</v>
      </c>
      <c r="P46" s="361" t="s">
        <v>29</v>
      </c>
      <c r="Q46" s="362"/>
      <c r="R46" s="362"/>
      <c r="S46" s="362"/>
      <c r="T46" s="361" t="s">
        <v>30</v>
      </c>
      <c r="U46" s="362"/>
      <c r="V46" s="362"/>
      <c r="AH46" s="204" t="s">
        <v>222</v>
      </c>
    </row>
    <row r="47" spans="1:55" s="6" customFormat="1" ht="15" customHeight="1" x14ac:dyDescent="0.25">
      <c r="D47" s="448"/>
      <c r="E47" s="448"/>
      <c r="H47" s="26" t="s">
        <v>26</v>
      </c>
      <c r="I47" s="56">
        <f>IF(OR(I48="",I49=""),"",1-I48-I49)</f>
        <v>1</v>
      </c>
      <c r="J47" s="27" t="s">
        <v>19</v>
      </c>
      <c r="L47" s="26" t="s">
        <v>23</v>
      </c>
      <c r="M47" s="442">
        <f>IF(Volume!$Y33="",$O47,Volume!$Y33)</f>
        <v>12.978</v>
      </c>
      <c r="N47" s="27" t="s">
        <v>14</v>
      </c>
      <c r="O47" s="447">
        <f>IF(P40="","",P40)</f>
        <v>13.8</v>
      </c>
      <c r="P47" s="361" t="s">
        <v>211</v>
      </c>
      <c r="Q47" s="362"/>
      <c r="R47" s="362"/>
      <c r="S47" s="362"/>
      <c r="T47" s="361" t="s">
        <v>271</v>
      </c>
      <c r="U47" s="362"/>
      <c r="V47" s="362"/>
      <c r="AH47" s="204" t="s">
        <v>223</v>
      </c>
    </row>
    <row r="48" spans="1:55" s="6" customFormat="1" ht="15" customHeight="1" x14ac:dyDescent="0.25">
      <c r="D48" s="443" t="s">
        <v>91</v>
      </c>
      <c r="E48" s="448" t="str">
        <f>IF(Schedule!D$34="","",Schedule!D$34)</f>
        <v/>
      </c>
      <c r="H48" s="26" t="s">
        <v>37</v>
      </c>
      <c r="I48" s="108">
        <f>IF(OR(COUNT($Q$16:$Q$39)&lt;&gt;0,COUNTA($AD$16:$AD$39)&lt;&gt;0),AB40,"")</f>
        <v>0</v>
      </c>
      <c r="J48" s="27" t="s">
        <v>19</v>
      </c>
      <c r="L48" s="26" t="s">
        <v>24</v>
      </c>
      <c r="M48" s="449">
        <f>IF(N40="","",N40)</f>
        <v>88</v>
      </c>
      <c r="N48" s="27" t="s">
        <v>5</v>
      </c>
      <c r="P48" s="362"/>
      <c r="Q48" s="362"/>
      <c r="R48" s="362"/>
      <c r="S48" s="362"/>
      <c r="T48" s="361" t="s">
        <v>291</v>
      </c>
      <c r="U48" s="362"/>
      <c r="V48" s="362"/>
      <c r="AH48" s="204" t="s">
        <v>324</v>
      </c>
    </row>
    <row r="49" spans="1:34" s="6" customFormat="1" ht="15" customHeight="1" x14ac:dyDescent="0.25">
      <c r="D49" s="448"/>
      <c r="E49" s="448"/>
      <c r="H49" s="26" t="s">
        <v>27</v>
      </c>
      <c r="I49" s="108">
        <f>IF(OR(COUNT($Q$16:$Q$39)&lt;&gt;0,COUNTA($AD$16:$AD$39)&lt;&gt;0),AC40,"")</f>
        <v>0</v>
      </c>
      <c r="J49" s="27" t="s">
        <v>19</v>
      </c>
      <c r="L49" s="26" t="s">
        <v>128</v>
      </c>
      <c r="M49" s="442">
        <f>IF(Volume!$L33="",M51,Volume!$L33)</f>
        <v>227.5</v>
      </c>
      <c r="N49" s="27" t="str">
        <f>IF(Q15="MSCFD","MSCF","MMSCF")</f>
        <v>MSCF</v>
      </c>
      <c r="P49" s="362"/>
      <c r="Q49" s="362"/>
      <c r="R49" s="362"/>
      <c r="S49" s="362"/>
      <c r="T49" s="362"/>
      <c r="U49" s="362"/>
      <c r="V49" s="362"/>
      <c r="AH49" s="204" t="s">
        <v>317</v>
      </c>
    </row>
    <row r="50" spans="1:34" s="6" customFormat="1" ht="15" customHeight="1" x14ac:dyDescent="0.25">
      <c r="D50" s="443" t="s">
        <v>92</v>
      </c>
      <c r="E50" s="448" t="str">
        <f>IF(Schedule!E$34="","",Schedule!E$34)</f>
        <v>Marihot Gustafa S.</v>
      </c>
      <c r="L50" s="443" t="str">
        <f>CONCATENATE(MR!L16," ",":")</f>
        <v>Liquid Gain :</v>
      </c>
      <c r="M50" s="446" t="str">
        <f>IF(R40="","",ROUND(SUM(R16:R39),2))</f>
        <v/>
      </c>
      <c r="N50" s="444" t="str">
        <f>R15</f>
        <v>BPD</v>
      </c>
      <c r="P50" s="362"/>
      <c r="Q50" s="362"/>
      <c r="R50" s="362"/>
      <c r="S50" s="362"/>
      <c r="T50" s="362"/>
      <c r="U50" s="362"/>
      <c r="V50" s="362"/>
      <c r="AH50" s="204" t="s">
        <v>282</v>
      </c>
    </row>
    <row r="51" spans="1:34" s="6" customFormat="1" ht="15" customHeight="1" x14ac:dyDescent="0.25">
      <c r="A51" s="4"/>
      <c r="L51" s="443" t="s">
        <v>286</v>
      </c>
      <c r="M51" s="447">
        <f>IF(Q44="","",IF(SUM(I48:I49)=1,IF(Q44&lt;&gt;0,"Cek Tabel",""),ROUND(Q44*I47,4)))</f>
        <v>232.93379999999999</v>
      </c>
      <c r="N51" s="444" t="str">
        <f>IF(Q15="MSCFD","MSCF","MMSCF")</f>
        <v>MSCF</v>
      </c>
      <c r="P51" s="362"/>
      <c r="Q51" s="362"/>
      <c r="R51" s="362"/>
      <c r="S51" s="362"/>
      <c r="T51" s="362"/>
      <c r="U51" s="362"/>
      <c r="V51" s="362"/>
      <c r="AH51" s="204" t="s">
        <v>325</v>
      </c>
    </row>
    <row r="52" spans="1:34" s="6" customFormat="1" ht="15" customHeight="1" x14ac:dyDescent="0.25">
      <c r="D52" s="26" t="s">
        <v>28</v>
      </c>
      <c r="E52" s="47"/>
      <c r="F52" s="47"/>
      <c r="G52" s="47"/>
      <c r="H52" s="47"/>
      <c r="I52" s="47"/>
      <c r="J52" s="47"/>
      <c r="K52" s="47"/>
      <c r="L52" s="5"/>
      <c r="P52" s="362"/>
      <c r="Q52" s="362"/>
      <c r="R52" s="362"/>
      <c r="S52" s="362"/>
      <c r="T52" s="362"/>
      <c r="U52" s="362"/>
      <c r="V52" s="362"/>
      <c r="AH52" s="204" t="s">
        <v>280</v>
      </c>
    </row>
    <row r="53" spans="1:34" s="6" customFormat="1" ht="15" customHeight="1" x14ac:dyDescent="0.25">
      <c r="D53" s="5"/>
      <c r="E53" s="48"/>
      <c r="F53" s="48"/>
      <c r="G53" s="48"/>
      <c r="H53" s="48"/>
      <c r="I53" s="48"/>
      <c r="J53" s="48"/>
      <c r="K53" s="48"/>
      <c r="L53" s="5"/>
      <c r="P53" s="363" t="str">
        <f>UPPER(E50)</f>
        <v>MARIHOT GUSTAFA S.</v>
      </c>
      <c r="Q53" s="362"/>
      <c r="R53" s="362"/>
      <c r="S53" s="362"/>
      <c r="T53" s="363" t="str">
        <f>IF(Schedule!F$34="","",UPPER(Schedule!F$34))</f>
        <v>SAPUAN</v>
      </c>
      <c r="U53" s="362"/>
      <c r="V53" s="362"/>
      <c r="AH53" s="204" t="s">
        <v>316</v>
      </c>
    </row>
    <row r="54" spans="1:34" s="6" customFormat="1" ht="15" customHeight="1" x14ac:dyDescent="0.25">
      <c r="E54" s="48"/>
      <c r="F54" s="48"/>
      <c r="G54" s="48"/>
      <c r="H54" s="48"/>
      <c r="I54" s="48"/>
      <c r="J54" s="48"/>
      <c r="K54" s="48"/>
      <c r="P54" s="361" t="s">
        <v>107</v>
      </c>
      <c r="Q54" s="362"/>
      <c r="R54" s="362"/>
      <c r="S54" s="362"/>
      <c r="T54" s="361" t="s">
        <v>294</v>
      </c>
      <c r="U54" s="362"/>
      <c r="V54" s="362"/>
      <c r="AH54" s="204" t="s">
        <v>326</v>
      </c>
    </row>
    <row r="55" spans="1:34" s="6" customFormat="1" ht="15" customHeight="1" x14ac:dyDescent="0.25">
      <c r="P55" s="364" t="str">
        <f>CONCATENATE("Date : ",TEXT(K12,"[$-409]d mmm yyyy;@"))</f>
        <v>Date : 30 Jun 2025</v>
      </c>
      <c r="Q55" s="362"/>
      <c r="R55" s="364"/>
      <c r="S55" s="362"/>
      <c r="T55" s="364" t="str">
        <f>CONCATENATE("Date : ",TEXT(K12,"[$-409]d mmm yyyy;@"))</f>
        <v>Date : 30 Jun 2025</v>
      </c>
      <c r="U55" s="362"/>
      <c r="V55" s="362"/>
      <c r="AH55" s="204" t="s">
        <v>327</v>
      </c>
    </row>
    <row r="56" spans="1:34" ht="15" customHeight="1" x14ac:dyDescent="0.25">
      <c r="AH56" s="204" t="s">
        <v>281</v>
      </c>
    </row>
    <row r="57" spans="1:34" ht="15" customHeight="1" x14ac:dyDescent="0.25">
      <c r="AH57" s="204" t="s">
        <v>277</v>
      </c>
    </row>
    <row r="58" spans="1:34" ht="15" customHeight="1" x14ac:dyDescent="0.25">
      <c r="AH58" s="204" t="s">
        <v>328</v>
      </c>
    </row>
    <row r="59" spans="1:34" ht="15" customHeight="1" x14ac:dyDescent="0.25">
      <c r="AH59" s="204" t="s">
        <v>329</v>
      </c>
    </row>
    <row r="60" spans="1:34" ht="15" customHeight="1" x14ac:dyDescent="0.25">
      <c r="AH60" s="204" t="s">
        <v>330</v>
      </c>
    </row>
    <row r="61" spans="1:34" ht="15" customHeight="1" x14ac:dyDescent="0.25">
      <c r="AH61" s="204" t="s">
        <v>331</v>
      </c>
    </row>
    <row r="62" spans="1:34" ht="15" customHeight="1" x14ac:dyDescent="0.25">
      <c r="AH62" s="204" t="s">
        <v>332</v>
      </c>
    </row>
    <row r="63" spans="1:34" ht="15" customHeight="1" x14ac:dyDescent="0.25">
      <c r="AH63" s="204" t="s">
        <v>315</v>
      </c>
    </row>
    <row r="64" spans="1:34" ht="15" customHeight="1" x14ac:dyDescent="0.25">
      <c r="AH64" s="204" t="s">
        <v>333</v>
      </c>
    </row>
    <row r="65" spans="34:34" ht="15" customHeight="1" x14ac:dyDescent="0.25">
      <c r="AH65" s="204" t="s">
        <v>310</v>
      </c>
    </row>
    <row r="66" spans="34:34" ht="15" customHeight="1" x14ac:dyDescent="0.25">
      <c r="AH66" s="204" t="s">
        <v>334</v>
      </c>
    </row>
    <row r="67" spans="34:34" ht="15" customHeight="1" x14ac:dyDescent="0.25">
      <c r="AH67" s="204" t="s">
        <v>335</v>
      </c>
    </row>
    <row r="68" spans="34:34" ht="15" customHeight="1" x14ac:dyDescent="0.25">
      <c r="AH68" s="204" t="s">
        <v>336</v>
      </c>
    </row>
    <row r="69" spans="34:34" ht="15" customHeight="1" x14ac:dyDescent="0.25">
      <c r="AH69" s="204" t="s">
        <v>337</v>
      </c>
    </row>
    <row r="70" spans="34:34" ht="15" customHeight="1" x14ac:dyDescent="0.25">
      <c r="AH70" s="204" t="s">
        <v>338</v>
      </c>
    </row>
    <row r="71" spans="34:34" ht="15" customHeight="1" x14ac:dyDescent="0.25">
      <c r="AH71" s="204" t="s">
        <v>339</v>
      </c>
    </row>
    <row r="72" spans="34:34" ht="15" customHeight="1" x14ac:dyDescent="0.25">
      <c r="AH72" s="204" t="s">
        <v>340</v>
      </c>
    </row>
    <row r="85" spans="34:34" ht="0" hidden="1" customHeight="1" x14ac:dyDescent="0.25">
      <c r="AH85" s="6"/>
    </row>
    <row r="86" spans="34:34" ht="0" hidden="1" customHeight="1" x14ac:dyDescent="0.25">
      <c r="AH86" s="6"/>
    </row>
    <row r="87" spans="34:34" ht="0" hidden="1" customHeight="1" x14ac:dyDescent="0.25">
      <c r="AH87" s="6"/>
    </row>
    <row r="88" spans="34:34" ht="0" hidden="1" customHeight="1" x14ac:dyDescent="0.25">
      <c r="AH88" s="6"/>
    </row>
    <row r="89" spans="34:34" ht="0" hidden="1" customHeight="1" x14ac:dyDescent="0.25">
      <c r="AH89" s="6"/>
    </row>
    <row r="90" spans="34:34" ht="0" hidden="1" customHeight="1" x14ac:dyDescent="0.25">
      <c r="AH90" s="6"/>
    </row>
    <row r="91" spans="34:34" ht="0" hidden="1" customHeight="1" x14ac:dyDescent="0.25">
      <c r="AH91" s="6"/>
    </row>
    <row r="92" spans="34:34" ht="0" hidden="1" customHeight="1" x14ac:dyDescent="0.25">
      <c r="AH92" s="6"/>
    </row>
    <row r="93" spans="34:34" ht="0" hidden="1" customHeight="1" x14ac:dyDescent="0.25">
      <c r="AH93" s="6"/>
    </row>
    <row r="94" spans="34:34" ht="0" hidden="1" customHeight="1" x14ac:dyDescent="0.25">
      <c r="AH94" s="6"/>
    </row>
  </sheetData>
  <sheetProtection algorithmName="SHA-512" hashValue="Y+mNVVuQkARyECsgEfREGm+WdhQZ+RLKkB/OfPHY4G7qS/FqZ7WHJWCkHdYQ5J5w0Ud1uNb8SmHhqEX5C1+KUQ==" saltValue="0qaoxkLcd/1Z63Y4fZS2/w==" spinCount="100000" sheet="1" objects="1" scenarios="1" formatColumns="0" formatRows="0" insertColumns="0" insertRows="0" sort="0" autoFilter="0" pivotTables="0"/>
  <mergeCells count="69">
    <mergeCell ref="S37:V37"/>
    <mergeCell ref="S38:V38"/>
    <mergeCell ref="S39:V39"/>
    <mergeCell ref="S40:V40"/>
    <mergeCell ref="S41:V42"/>
    <mergeCell ref="S36:V36"/>
    <mergeCell ref="S25:V25"/>
    <mergeCell ref="S26:V26"/>
    <mergeCell ref="S27:V27"/>
    <mergeCell ref="S28:V28"/>
    <mergeCell ref="S29:V29"/>
    <mergeCell ref="S30:V30"/>
    <mergeCell ref="S31:V31"/>
    <mergeCell ref="S32:V32"/>
    <mergeCell ref="S33:V33"/>
    <mergeCell ref="S34:V34"/>
    <mergeCell ref="S35:V35"/>
    <mergeCell ref="S19:V19"/>
    <mergeCell ref="S20:V20"/>
    <mergeCell ref="S21:V21"/>
    <mergeCell ref="S22:V22"/>
    <mergeCell ref="S23:V23"/>
    <mergeCell ref="S24:V24"/>
    <mergeCell ref="BA14:BA15"/>
    <mergeCell ref="BB14:BB15"/>
    <mergeCell ref="BC14:BC15"/>
    <mergeCell ref="S16:V16"/>
    <mergeCell ref="S17:V17"/>
    <mergeCell ref="S18:V18"/>
    <mergeCell ref="AU14:AU15"/>
    <mergeCell ref="AV14:AV15"/>
    <mergeCell ref="AW14:AW15"/>
    <mergeCell ref="AX14:AX15"/>
    <mergeCell ref="AY14:AY15"/>
    <mergeCell ref="AZ14:AZ15"/>
    <mergeCell ref="AO14:AO15"/>
    <mergeCell ref="AP14:AP15"/>
    <mergeCell ref="AQ14:AQ15"/>
    <mergeCell ref="AR14:AR15"/>
    <mergeCell ref="AS14:AS15"/>
    <mergeCell ref="AT14:AT15"/>
    <mergeCell ref="AD14:AD15"/>
    <mergeCell ref="AJ14:AJ15"/>
    <mergeCell ref="AK14:AK15"/>
    <mergeCell ref="AL14:AL15"/>
    <mergeCell ref="AM14:AM15"/>
    <mergeCell ref="AN14:AN15"/>
    <mergeCell ref="Y14:AC14"/>
    <mergeCell ref="H13:H14"/>
    <mergeCell ref="I13:I14"/>
    <mergeCell ref="J13:J14"/>
    <mergeCell ref="K13:K14"/>
    <mergeCell ref="L13:L14"/>
    <mergeCell ref="M13:N13"/>
    <mergeCell ref="Q13:Q14"/>
    <mergeCell ref="R13:R14"/>
    <mergeCell ref="S13:V15"/>
    <mergeCell ref="O13:O14"/>
    <mergeCell ref="P13:P14"/>
    <mergeCell ref="A10:V10"/>
    <mergeCell ref="A11:V11"/>
    <mergeCell ref="K12:L12"/>
    <mergeCell ref="A13:A15"/>
    <mergeCell ref="B13:B14"/>
    <mergeCell ref="C13:C14"/>
    <mergeCell ref="D13:D14"/>
    <mergeCell ref="E13:E14"/>
    <mergeCell ref="F13:F14"/>
    <mergeCell ref="G13:G14"/>
  </mergeCells>
  <conditionalFormatting sqref="I47">
    <cfRule type="cellIs" dxfId="4" priority="5" operator="lessThan">
      <formula>0</formula>
    </cfRule>
  </conditionalFormatting>
  <conditionalFormatting sqref="Y16:Y39">
    <cfRule type="containsText" dxfId="3" priority="3" operator="containsText" text="STBY">
      <formula>NOT(ISERROR(SEARCH("STBY",Y16)))</formula>
    </cfRule>
    <cfRule type="containsText" dxfId="2" priority="4" operator="containsText" text="SD">
      <formula>NOT(ISERROR(SEARCH("SD",Y16)))</formula>
    </cfRule>
  </conditionalFormatting>
  <conditionalFormatting sqref="B16:B39 D16:R39">
    <cfRule type="expression" dxfId="1" priority="2">
      <formula>ISTEXT(B16)</formula>
    </cfRule>
  </conditionalFormatting>
  <conditionalFormatting sqref="C16:C39">
    <cfRule type="expression" dxfId="0" priority="1">
      <formula>ISTEXT(C16)</formula>
    </cfRule>
  </conditionalFormatting>
  <dataValidations count="2">
    <dataValidation type="list" allowBlank="1" showInputMessage="1" showErrorMessage="1" sqref="Y16:Y39" xr:uid="{0EAF552C-9E8C-4A0E-8E07-A3CA06EB8333}">
      <formula1>"SD,STBY"</formula1>
    </dataValidation>
    <dataValidation type="list" allowBlank="1" showInputMessage="1" sqref="AD16:AD39" xr:uid="{52D01442-F841-44F7-9BD9-2F936F33F88B}">
      <formula1>$AH$15:$AH$72</formula1>
    </dataValidation>
  </dataValidations>
  <printOptions horizontalCentered="1"/>
  <pageMargins left="0.39370078740157483" right="0.39370078740157483" top="0.59055118110236227" bottom="0.39370078740157483" header="0.31496062992125984" footer="0.31496062992125984"/>
  <pageSetup paperSize="9" scale="57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36</vt:i4>
      </vt:variant>
    </vt:vector>
  </HeadingPairs>
  <TitlesOfParts>
    <vt:vector size="74" baseType="lpstr">
      <vt:lpstr>PRINT</vt:lpstr>
      <vt:lpstr>Recap</vt:lpstr>
      <vt:lpstr>MR</vt:lpstr>
      <vt:lpstr>Summary</vt:lpstr>
      <vt:lpstr>V Calc</vt:lpstr>
      <vt:lpstr>Volume</vt:lpstr>
      <vt:lpstr>Schedule</vt:lpstr>
      <vt:lpstr>Lube</vt:lpstr>
      <vt:lpstr>Day 1</vt:lpstr>
      <vt:lpstr>Day 2</vt:lpstr>
      <vt:lpstr>Day 3</vt:lpstr>
      <vt:lpstr>Day 4</vt:lpstr>
      <vt:lpstr>Day 5</vt:lpstr>
      <vt:lpstr>Day 6</vt:lpstr>
      <vt:lpstr>Day 7</vt:lpstr>
      <vt:lpstr>Day 8</vt:lpstr>
      <vt:lpstr>Day 9</vt:lpstr>
      <vt:lpstr>Day 10</vt:lpstr>
      <vt:lpstr>Day 11</vt:lpstr>
      <vt:lpstr>Day 12</vt:lpstr>
      <vt:lpstr>Day 13</vt:lpstr>
      <vt:lpstr>Day 14</vt:lpstr>
      <vt:lpstr>Day 15</vt:lpstr>
      <vt:lpstr>Day 16</vt:lpstr>
      <vt:lpstr>Day 17</vt:lpstr>
      <vt:lpstr>Day 18</vt:lpstr>
      <vt:lpstr>Day 19</vt:lpstr>
      <vt:lpstr>Day 20</vt:lpstr>
      <vt:lpstr>Day 21</vt:lpstr>
      <vt:lpstr>Day 22</vt:lpstr>
      <vt:lpstr>Day 23</vt:lpstr>
      <vt:lpstr>Day 24</vt:lpstr>
      <vt:lpstr>Day 25</vt:lpstr>
      <vt:lpstr>Day 26</vt:lpstr>
      <vt:lpstr>Day 27</vt:lpstr>
      <vt:lpstr>Day 28</vt:lpstr>
      <vt:lpstr>Day 29</vt:lpstr>
      <vt:lpstr>Day 30</vt:lpstr>
      <vt:lpstr>'Day 1'!Print_Area</vt:lpstr>
      <vt:lpstr>'Day 10'!Print_Area</vt:lpstr>
      <vt:lpstr>'Day 11'!Print_Area</vt:lpstr>
      <vt:lpstr>'Day 12'!Print_Area</vt:lpstr>
      <vt:lpstr>'Day 13'!Print_Area</vt:lpstr>
      <vt:lpstr>'Day 14'!Print_Area</vt:lpstr>
      <vt:lpstr>'Day 15'!Print_Area</vt:lpstr>
      <vt:lpstr>'Day 16'!Print_Area</vt:lpstr>
      <vt:lpstr>'Day 17'!Print_Area</vt:lpstr>
      <vt:lpstr>'Day 18'!Print_Area</vt:lpstr>
      <vt:lpstr>'Day 19'!Print_Area</vt:lpstr>
      <vt:lpstr>'Day 2'!Print_Area</vt:lpstr>
      <vt:lpstr>'Day 20'!Print_Area</vt:lpstr>
      <vt:lpstr>'Day 21'!Print_Area</vt:lpstr>
      <vt:lpstr>'Day 22'!Print_Area</vt:lpstr>
      <vt:lpstr>'Day 23'!Print_Area</vt:lpstr>
      <vt:lpstr>'Day 24'!Print_Area</vt:lpstr>
      <vt:lpstr>'Day 25'!Print_Area</vt:lpstr>
      <vt:lpstr>'Day 26'!Print_Area</vt:lpstr>
      <vt:lpstr>'Day 27'!Print_Area</vt:lpstr>
      <vt:lpstr>'Day 28'!Print_Area</vt:lpstr>
      <vt:lpstr>'Day 29'!Print_Area</vt:lpstr>
      <vt:lpstr>'Day 3'!Print_Area</vt:lpstr>
      <vt:lpstr>'Day 30'!Print_Area</vt:lpstr>
      <vt:lpstr>'Day 4'!Print_Area</vt:lpstr>
      <vt:lpstr>'Day 5'!Print_Area</vt:lpstr>
      <vt:lpstr>'Day 6'!Print_Area</vt:lpstr>
      <vt:lpstr>'Day 7'!Print_Area</vt:lpstr>
      <vt:lpstr>'Day 8'!Print_Area</vt:lpstr>
      <vt:lpstr>'Day 9'!Print_Area</vt:lpstr>
      <vt:lpstr>Lube!Print_Area</vt:lpstr>
      <vt:lpstr>MR!Print_Area</vt:lpstr>
      <vt:lpstr>PRINT!Print_Area</vt:lpstr>
      <vt:lpstr>Schedule!Print_Area</vt:lpstr>
      <vt:lpstr>Summary!Print_Area</vt:lpstr>
      <vt:lpstr>Volume!Print_Area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SINERCO</dc:creator>
  <cp:lastModifiedBy>Administrator</cp:lastModifiedBy>
  <cp:lastPrinted>2023-08-03T21:32:06Z</cp:lastPrinted>
  <dcterms:created xsi:type="dcterms:W3CDTF">2015-06-03T15:27:59Z</dcterms:created>
  <dcterms:modified xsi:type="dcterms:W3CDTF">2025-07-02T13:55:47Z</dcterms:modified>
</cp:coreProperties>
</file>